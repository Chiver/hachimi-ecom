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activeTab="3"/>
  </bookViews>
  <sheets>
    <sheet name="销售日报表" sheetId="1" r:id="rId1"/>
    <sheet name="业务报告" sheetId="2" r:id="rId2"/>
    <sheet name="单SKU总广告监控表" sheetId="3" r:id="rId3"/>
    <sheet name="利润明细" sheetId="4" r:id="rId4"/>
    <sheet name="排名追踪" sheetId="5" r:id="rId5"/>
    <sheet name="关键词排名" sheetId="6" r:id="rId6"/>
    <sheet name="竞品追踪" sheetId="7" r:id="rId7"/>
    <sheet name="测评订单记录" sheetId="8" r:id="rId8"/>
    <sheet name="客户跟踪" sheetId="9" r:id="rId9"/>
    <sheet name="库存监控" sheetId="10" r:id="rId10"/>
  </sheets>
  <definedNames>
    <definedName name="_xlnm._FilterDatabase" localSheetId="2" hidden="1">单SKU总广告监控表!$A$11:$P$43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=广告支出/销售额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=销售额/广告支出</t>
        </r>
      </text>
    </comment>
    <comment ref="K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=收入/支出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sharedStrings.xml><?xml version="1.0" encoding="utf-8"?>
<sst xmlns="http://schemas.openxmlformats.org/spreadsheetml/2006/main" count="251" uniqueCount="172">
  <si>
    <t>销售日报表</t>
  </si>
  <si>
    <t>日期</t>
  </si>
  <si>
    <t>单价</t>
  </si>
  <si>
    <t>自然订单</t>
  </si>
  <si>
    <t>广告订单</t>
  </si>
  <si>
    <t>日总订单</t>
  </si>
  <si>
    <t>测评订单</t>
  </si>
  <si>
    <t>实际订单</t>
  </si>
  <si>
    <t>刷单金额</t>
  </si>
  <si>
    <t>总销售额</t>
  </si>
  <si>
    <t>实际销售额</t>
  </si>
  <si>
    <t>销售总量</t>
  </si>
  <si>
    <t>实际销售量</t>
  </si>
  <si>
    <t>合计</t>
  </si>
  <si>
    <t>日平均</t>
  </si>
  <si>
    <t>ASIN</t>
  </si>
  <si>
    <t>总买家访问次数</t>
  </si>
  <si>
    <t>买家访问
次数</t>
  </si>
  <si>
    <t>买家访问次数
百分比</t>
  </si>
  <si>
    <t>页面浏览
次数</t>
  </si>
  <si>
    <t>页面浏览次数
百分比</t>
  </si>
  <si>
    <t>购买按钮赢得率</t>
  </si>
  <si>
    <t>已订购商品数量</t>
  </si>
  <si>
    <t>订单商品数量转化率</t>
  </si>
  <si>
    <t>已订购商品销售额</t>
  </si>
  <si>
    <t>订单商品种类数</t>
  </si>
  <si>
    <t>总转化率</t>
  </si>
  <si>
    <t>自然转化率</t>
  </si>
  <si>
    <t>Date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</si>
  <si>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</si>
  <si>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</si>
  <si>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</si>
  <si>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</si>
  <si>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</si>
  <si>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</si>
  <si>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 Session Percentage</t>
  </si>
  <si>
    <t>Ordered Product Sales</t>
  </si>
  <si>
    <t>Total Order Items</t>
  </si>
  <si>
    <t>曝光量</t>
  </si>
  <si>
    <t>点击</t>
  </si>
  <si>
    <t>点击率</t>
  </si>
  <si>
    <t>花费</t>
  </si>
  <si>
    <t>单次点击费用</t>
  </si>
  <si>
    <t>Ad订单</t>
  </si>
  <si>
    <t>贡献销售</t>
  </si>
  <si>
    <t>ACoS</t>
  </si>
  <si>
    <t>ROAS</t>
  </si>
  <si>
    <t>广告转化率</t>
  </si>
  <si>
    <t>AD销量</t>
  </si>
  <si>
    <t>客单价</t>
  </si>
  <si>
    <t>今日动作</t>
  </si>
  <si>
    <t>今日工作总结</t>
  </si>
  <si>
    <t>周总结</t>
  </si>
  <si>
    <t>总和</t>
  </si>
  <si>
    <t>汇率</t>
  </si>
  <si>
    <t>售价</t>
  </si>
  <si>
    <t>产品成本</t>
  </si>
  <si>
    <t>头程</t>
  </si>
  <si>
    <t>FBA派送</t>
  </si>
  <si>
    <t>佣金</t>
  </si>
  <si>
    <t>利润</t>
  </si>
  <si>
    <t>毛利率</t>
  </si>
  <si>
    <t>投入</t>
  </si>
  <si>
    <t>测评手续费</t>
  </si>
  <si>
    <t>实际商品数量</t>
  </si>
  <si>
    <t>产品净利润</t>
  </si>
  <si>
    <t>广告费</t>
  </si>
  <si>
    <t>广告占比</t>
  </si>
  <si>
    <t>ROI</t>
  </si>
  <si>
    <t>测评数量</t>
  </si>
  <si>
    <t>测评成本</t>
  </si>
  <si>
    <t>排名追踪表</t>
  </si>
  <si>
    <t>Sport &amp; Outdoor</t>
  </si>
  <si>
    <t>Sleeping Bags</t>
  </si>
  <si>
    <t>Review</t>
  </si>
  <si>
    <t>星级</t>
  </si>
  <si>
    <t>订单量</t>
  </si>
  <si>
    <t>Listing</t>
  </si>
  <si>
    <t>站外</t>
  </si>
  <si>
    <t>广告</t>
  </si>
  <si>
    <t>排名监控表</t>
  </si>
  <si>
    <t>广告词排名</t>
  </si>
  <si>
    <t>自然排名</t>
  </si>
  <si>
    <t>竞品追踪</t>
  </si>
  <si>
    <t>价格</t>
  </si>
  <si>
    <t>rating</t>
  </si>
  <si>
    <t>大类排名</t>
  </si>
  <si>
    <t>小类排名</t>
  </si>
  <si>
    <t>类型</t>
  </si>
  <si>
    <t>时间</t>
  </si>
  <si>
    <t>订单号</t>
  </si>
  <si>
    <t>买家姓名</t>
  </si>
  <si>
    <t>状态</t>
  </si>
  <si>
    <t>购买时间</t>
  </si>
  <si>
    <t>review情况</t>
  </si>
  <si>
    <t>Amazon ID</t>
  </si>
  <si>
    <t>留评时间</t>
  </si>
  <si>
    <t>测评</t>
  </si>
  <si>
    <t>放量</t>
  </si>
  <si>
    <t>Name</t>
  </si>
  <si>
    <t>Email</t>
  </si>
  <si>
    <t>Order_ID</t>
  </si>
  <si>
    <t>Message</t>
  </si>
  <si>
    <t>Action</t>
  </si>
  <si>
    <t>数量</t>
  </si>
  <si>
    <t>表格开始日期</t>
  </si>
  <si>
    <t>总计</t>
  </si>
  <si>
    <t>2020年9月</t>
  </si>
  <si>
    <t>汇总</t>
  </si>
  <si>
    <t>价格变化</t>
  </si>
  <si>
    <t>无</t>
  </si>
  <si>
    <t>刷单订单</t>
  </si>
  <si>
    <t>折扣订单</t>
  </si>
  <si>
    <t>退货订单</t>
  </si>
  <si>
    <t>产品名称</t>
  </si>
  <si>
    <t>LISTING情况</t>
  </si>
  <si>
    <r>
      <rPr>
        <sz val="12"/>
        <color rgb="FF000000"/>
        <rFont val="宋体"/>
        <charset val="134"/>
      </rPr>
      <t>R</t>
    </r>
    <r>
      <rPr>
        <sz val="12"/>
        <color indexed="8"/>
        <rFont val="宋体"/>
        <charset val="134"/>
      </rPr>
      <t>eview</t>
    </r>
  </si>
  <si>
    <t>一星比例</t>
  </si>
  <si>
    <t>QA</t>
  </si>
  <si>
    <t xml:space="preserve"> ASIN </t>
  </si>
  <si>
    <t>店铺情况</t>
  </si>
  <si>
    <t>Feedback反馈</t>
  </si>
  <si>
    <t>Feedback反馈差评率</t>
  </si>
  <si>
    <t>账户状况</t>
  </si>
  <si>
    <t>流量情况</t>
  </si>
  <si>
    <t>访问量</t>
  </si>
  <si>
    <t>转化率</t>
  </si>
  <si>
    <t>日预算</t>
  </si>
  <si>
    <t>标签：</t>
  </si>
  <si>
    <t>曝光</t>
  </si>
  <si>
    <t>点击单价</t>
  </si>
  <si>
    <t>点击出价(Auto)</t>
  </si>
  <si>
    <t>出单量(通过广告）</t>
  </si>
  <si>
    <t>ACOS</t>
  </si>
  <si>
    <t>10.07</t>
  </si>
  <si>
    <t>手动广告（广泛1组）</t>
  </si>
  <si>
    <t>点击次数</t>
  </si>
  <si>
    <t>点击出价</t>
  </si>
  <si>
    <t>出单量</t>
  </si>
  <si>
    <t>出单词</t>
  </si>
  <si>
    <t>店铺日销售额</t>
  </si>
  <si>
    <t>退货</t>
  </si>
  <si>
    <t>Best Seller榜单</t>
  </si>
  <si>
    <t xml:space="preserve">类别排名(See Top 100 in Sport &amp; Outdoor) </t>
  </si>
  <si>
    <t>类别排名 Sports &amp; Outdoors &gt; Camping, Hiking &amp; Mountaineering &gt; Sleeping Gear &gt; Sleeping Bags &gt; Rectangular Sleeping Bags</t>
  </si>
  <si>
    <t xml:space="preserve">类别排名 Sports &amp; Outdoors &gt; Camping, Hiking &amp; Mountaineering &gt; Sleeping Gear &gt; Sleeping Bags </t>
  </si>
  <si>
    <t>关键词排名情况</t>
  </si>
  <si>
    <t>自然词排名</t>
  </si>
  <si>
    <t>竞品1</t>
  </si>
  <si>
    <t>竞品RVIEW</t>
  </si>
  <si>
    <t>竞品价格</t>
  </si>
  <si>
    <t>竞品2</t>
  </si>
  <si>
    <t>竞品3</t>
  </si>
  <si>
    <t>库存量</t>
  </si>
  <si>
    <t>不可售</t>
  </si>
  <si>
    <t>预留</t>
  </si>
  <si>
    <t>发货</t>
  </si>
  <si>
    <t xml:space="preserve">补货 </t>
  </si>
  <si>
    <t>备注：</t>
  </si>
  <si>
    <r>
      <rPr>
        <sz val="12"/>
        <rFont val="宋体"/>
        <charset val="134"/>
      </rPr>
      <t>1：不可售库存超过10个</t>
    </r>
    <r>
      <rPr>
        <sz val="12"/>
        <color indexed="10"/>
        <rFont val="宋体"/>
        <charset val="134"/>
      </rPr>
      <t>标红</t>
    </r>
  </si>
  <si>
    <r>
      <rPr>
        <sz val="12"/>
        <rFont val="宋体"/>
        <charset val="134"/>
      </rPr>
      <t>2：库存量少于100</t>
    </r>
    <r>
      <rPr>
        <sz val="12"/>
        <color indexed="10"/>
        <rFont val="宋体"/>
        <charset val="134"/>
      </rPr>
      <t>标红</t>
    </r>
  </si>
  <si>
    <t>3：有新的1星反馈时查看内容，和产品评价有关的，自助删除。</t>
  </si>
  <si>
    <r>
      <rPr>
        <sz val="12"/>
        <rFont val="宋体"/>
        <charset val="134"/>
      </rPr>
      <t>4：账户状况有不是0%的</t>
    </r>
    <r>
      <rPr>
        <sz val="12"/>
        <color indexed="10"/>
        <rFont val="宋体"/>
        <charset val="134"/>
      </rPr>
      <t>标红</t>
    </r>
  </si>
  <si>
    <t>5：广告ACOS的位置登记即时的，第二天补前一日更新后的。</t>
  </si>
  <si>
    <t>6: 广告花费单项大于30时即时报备。</t>
  </si>
  <si>
    <t>7：退货情况当天空白，第二天补前一日的。</t>
  </si>
  <si>
    <r>
      <rPr>
        <sz val="12"/>
        <rFont val="宋体"/>
        <charset val="134"/>
      </rPr>
      <t>8: 广告词倒退几位的没事，按页倒退的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</si>
  <si>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9: 自然词倒退几位的没事，按页倒退的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</si>
  <si>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t>定价</t>
  </si>
  <si>
    <t>成本</t>
  </si>
  <si>
    <t>佣金+配送</t>
  </si>
  <si>
    <t>头程运费</t>
  </si>
</sst>
</file>

<file path=xl/styles.xml><?xml version="1.0" encoding="utf-8"?>
<styleSheet xmlns="http://schemas.openxmlformats.org/spreadsheetml/2006/main">
  <numFmts count="18">
    <numFmt numFmtId="176" formatCode="0_ "/>
    <numFmt numFmtId="44" formatCode="_ &quot;￥&quot;* #,##0.00_ ;_ &quot;￥&quot;* \-#,##0.00_ ;_ &quot;￥&quot;* &quot;-&quot;??_ ;_ @_ "/>
    <numFmt numFmtId="177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8" formatCode="yyyy/m/d;@"/>
    <numFmt numFmtId="179" formatCode="\$#,##0.00;\-\$#,##0.00"/>
    <numFmt numFmtId="180" formatCode="[$£-809]#,##0.00;\-[$£-809]#,##0.00"/>
    <numFmt numFmtId="181" formatCode="0.00_ "/>
    <numFmt numFmtId="182" formatCode="m/d;@"/>
    <numFmt numFmtId="26" formatCode="\$#,##0.00_);[Red]\(\$#,##0.00\)"/>
    <numFmt numFmtId="183" formatCode="#,##0.00_);[Red]\(#,##0.00\)"/>
    <numFmt numFmtId="184" formatCode="0_);[Red]\(0\)"/>
    <numFmt numFmtId="185" formatCode="[$£-809]#,##0.00_);[Red]\([$£-809]#,##0.00\)"/>
    <numFmt numFmtId="186" formatCode="#,##0.00_ "/>
    <numFmt numFmtId="187" formatCode="m&quot;月&quot;d&quot;日&quot;;@"/>
    <numFmt numFmtId="188" formatCode="0.0_ "/>
  </numFmts>
  <fonts count="40">
    <font>
      <sz val="12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Arial"/>
      <charset val="134"/>
    </font>
    <font>
      <sz val="11"/>
      <name val="宋体"/>
      <charset val="134"/>
    </font>
    <font>
      <sz val="12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24"/>
      <name val="宋体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0B050"/>
        <bgColor rgb="FF5C9BD5"/>
      </patternFill>
    </fill>
    <fill>
      <patternFill patternType="solid">
        <fgColor rgb="FFA8D08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2CB"/>
      </left>
      <right style="thin">
        <color rgb="FFFFF2CB"/>
      </right>
      <top style="thin">
        <color rgb="FFFFF2CB"/>
      </top>
      <bottom style="thin">
        <color rgb="FFFFF2CB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22" borderId="26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16" fillId="26" borderId="27" applyNumberFormat="0" applyFon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3" fillId="34" borderId="31" applyNumberFormat="0" applyAlignment="0" applyProtection="0">
      <alignment vertical="center"/>
    </xf>
    <xf numFmtId="0" fontId="34" fillId="34" borderId="26" applyNumberFormat="0" applyAlignment="0" applyProtection="0">
      <alignment vertical="center"/>
    </xf>
    <xf numFmtId="0" fontId="26" fillId="29" borderId="28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178" fontId="1" fillId="2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180" fontId="1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181" fontId="0" fillId="0" borderId="0" xfId="0" applyNumberFormat="1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178" fontId="0" fillId="2" borderId="1" xfId="0" applyNumberFormat="1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176" fontId="1" fillId="10" borderId="0" xfId="0" applyNumberFormat="1" applyFont="1" applyFill="1" applyBorder="1" applyAlignment="1">
      <alignment horizontal="center" vertical="center" wrapText="1"/>
    </xf>
    <xf numFmtId="178" fontId="1" fillId="10" borderId="0" xfId="0" applyNumberFormat="1" applyFont="1" applyFill="1" applyBorder="1" applyAlignment="1">
      <alignment horizontal="center" vertical="center" wrapText="1"/>
    </xf>
    <xf numFmtId="176" fontId="2" fillId="10" borderId="0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76" fontId="4" fillId="10" borderId="1" xfId="0" applyNumberFormat="1" applyFont="1" applyFill="1" applyBorder="1" applyAlignment="1">
      <alignment horizontal="center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 wrapText="1"/>
    </xf>
    <xf numFmtId="176" fontId="1" fillId="10" borderId="0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2" fillId="10" borderId="0" xfId="0" applyNumberFormat="1" applyFont="1" applyFill="1" applyBorder="1">
      <alignment vertical="center"/>
    </xf>
    <xf numFmtId="176" fontId="1" fillId="10" borderId="0" xfId="0" applyNumberFormat="1" applyFont="1" applyFill="1" applyBorder="1">
      <alignment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/>
    </xf>
    <xf numFmtId="176" fontId="2" fillId="4" borderId="0" xfId="0" applyNumberFormat="1" applyFont="1" applyFill="1" applyBorder="1">
      <alignment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/>
    </xf>
    <xf numFmtId="182" fontId="2" fillId="4" borderId="0" xfId="0" applyNumberFormat="1" applyFont="1" applyFill="1" applyBorder="1">
      <alignment vertical="center"/>
    </xf>
    <xf numFmtId="182" fontId="1" fillId="4" borderId="0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26" fontId="1" fillId="4" borderId="3" xfId="0" applyNumberFormat="1" applyFont="1" applyFill="1" applyBorder="1" applyAlignment="1">
      <alignment horizontal="center" vertical="center" wrapText="1"/>
    </xf>
    <xf numFmtId="26" fontId="1" fillId="4" borderId="1" xfId="0" applyNumberFormat="1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176" fontId="1" fillId="4" borderId="6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>
      <alignment vertical="center"/>
    </xf>
    <xf numFmtId="0" fontId="3" fillId="4" borderId="9" xfId="0" applyNumberFormat="1" applyFont="1" applyFill="1" applyBorder="1" applyAlignment="1">
      <alignment horizontal="center" vertical="center"/>
    </xf>
    <xf numFmtId="0" fontId="1" fillId="4" borderId="6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183" fontId="4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/>
    </xf>
    <xf numFmtId="26" fontId="3" fillId="5" borderId="10" xfId="0" applyNumberFormat="1" applyFont="1" applyFill="1" applyBorder="1" applyAlignment="1">
      <alignment horizontal="center" vertical="center"/>
    </xf>
    <xf numFmtId="176" fontId="2" fillId="5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horizontal="center" vertical="center"/>
    </xf>
    <xf numFmtId="180" fontId="1" fillId="10" borderId="0" xfId="0" applyNumberFormat="1" applyFont="1" applyFill="1" applyBorder="1" applyAlignment="1">
      <alignment horizontal="center" vertical="center"/>
    </xf>
    <xf numFmtId="180" fontId="2" fillId="10" borderId="1" xfId="0" applyNumberFormat="1" applyFont="1" applyFill="1" applyBorder="1" applyAlignment="1">
      <alignment horizontal="center" vertical="center"/>
    </xf>
    <xf numFmtId="180" fontId="2" fillId="6" borderId="3" xfId="0" applyNumberFormat="1" applyFont="1" applyFill="1" applyBorder="1" applyAlignment="1">
      <alignment horizontal="center" vertical="center" wrapText="1"/>
    </xf>
    <xf numFmtId="180" fontId="1" fillId="6" borderId="1" xfId="0" applyNumberFormat="1" applyFont="1" applyFill="1" applyBorder="1" applyAlignment="1">
      <alignment vertical="center" wrapText="1"/>
    </xf>
    <xf numFmtId="180" fontId="1" fillId="6" borderId="1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vertical="center" wrapText="1"/>
    </xf>
    <xf numFmtId="176" fontId="1" fillId="6" borderId="1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180" fontId="3" fillId="10" borderId="1" xfId="0" applyNumberFormat="1" applyFont="1" applyFill="1" applyBorder="1" applyAlignment="1">
      <alignment horizontal="center" vertical="center"/>
    </xf>
    <xf numFmtId="10" fontId="1" fillId="10" borderId="0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26" fontId="1" fillId="10" borderId="0" xfId="0" applyNumberFormat="1" applyFont="1" applyFill="1" applyBorder="1" applyAlignment="1">
      <alignment horizontal="center" vertical="center"/>
    </xf>
    <xf numFmtId="26" fontId="2" fillId="10" borderId="1" xfId="0" applyNumberFormat="1" applyFont="1" applyFill="1" applyBorder="1" applyAlignment="1">
      <alignment horizontal="center" vertical="center"/>
    </xf>
    <xf numFmtId="26" fontId="2" fillId="6" borderId="3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vertical="center" wrapText="1"/>
    </xf>
    <xf numFmtId="181" fontId="1" fillId="6" borderId="1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vertical="center" wrapText="1"/>
    </xf>
    <xf numFmtId="181" fontId="1" fillId="6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26" fontId="2" fillId="7" borderId="12" xfId="0" applyNumberFormat="1" applyFont="1" applyFill="1" applyBorder="1" applyAlignment="1">
      <alignment vertical="center" wrapText="1"/>
    </xf>
    <xf numFmtId="26" fontId="1" fillId="7" borderId="6" xfId="0" applyNumberFormat="1" applyFont="1" applyFill="1" applyBorder="1" applyAlignment="1">
      <alignment vertical="center" wrapText="1"/>
    </xf>
    <xf numFmtId="181" fontId="1" fillId="7" borderId="6" xfId="0" applyNumberFormat="1" applyFont="1" applyFill="1" applyBorder="1" applyAlignment="1">
      <alignment horizontal="center" vertical="center"/>
    </xf>
    <xf numFmtId="180" fontId="1" fillId="4" borderId="0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180" fontId="1" fillId="4" borderId="3" xfId="0" applyNumberFormat="1" applyFont="1" applyFill="1" applyBorder="1" applyAlignment="1">
      <alignment horizontal="center" vertical="center" wrapText="1"/>
    </xf>
    <xf numFmtId="180" fontId="1" fillId="4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0" fontId="3" fillId="10" borderId="6" xfId="0" applyNumberFormat="1" applyFont="1" applyFill="1" applyBorder="1" applyAlignment="1">
      <alignment horizontal="center" vertical="center" wrapText="1"/>
    </xf>
    <xf numFmtId="26" fontId="5" fillId="11" borderId="3" xfId="0" applyNumberFormat="1" applyFont="1" applyFill="1" applyBorder="1" applyAlignment="1">
      <alignment horizontal="center" vertical="center" wrapText="1"/>
    </xf>
    <xf numFmtId="26" fontId="5" fillId="11" borderId="1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 wrapText="1"/>
    </xf>
    <xf numFmtId="26" fontId="1" fillId="2" borderId="6" xfId="0" applyNumberFormat="1" applyFont="1" applyFill="1" applyBorder="1" applyAlignment="1">
      <alignment horizontal="center" vertical="center" wrapText="1"/>
    </xf>
    <xf numFmtId="26" fontId="1" fillId="2" borderId="1" xfId="0" applyNumberFormat="1" applyFont="1" applyFill="1" applyBorder="1" applyAlignment="1">
      <alignment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26" fontId="1" fillId="2" borderId="9" xfId="0" applyNumberFormat="1" applyFont="1" applyFill="1" applyBorder="1" applyAlignment="1">
      <alignment horizontal="center" vertical="center" wrapText="1"/>
    </xf>
    <xf numFmtId="26" fontId="1" fillId="2" borderId="10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26" fontId="1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79" fontId="1" fillId="6" borderId="1" xfId="0" applyNumberFormat="1" applyFont="1" applyFill="1" applyBorder="1" applyAlignment="1">
      <alignment horizontal="center" vertical="center"/>
    </xf>
    <xf numFmtId="0" fontId="3" fillId="10" borderId="6" xfId="0" applyNumberFormat="1" applyFont="1" applyFill="1" applyBorder="1" applyAlignment="1">
      <alignment horizontal="center" vertical="center"/>
    </xf>
    <xf numFmtId="26" fontId="1" fillId="9" borderId="5" xfId="0" applyNumberFormat="1" applyFont="1" applyFill="1" applyBorder="1" applyAlignment="1">
      <alignment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/>
    </xf>
    <xf numFmtId="180" fontId="1" fillId="9" borderId="3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76" fontId="1" fillId="10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26" fontId="1" fillId="4" borderId="13" xfId="0" applyNumberFormat="1" applyFont="1" applyFill="1" applyBorder="1" applyAlignment="1">
      <alignment vertical="center" wrapText="1"/>
    </xf>
    <xf numFmtId="176" fontId="1" fillId="4" borderId="14" xfId="0" applyNumberFormat="1" applyFont="1" applyFill="1" applyBorder="1" applyAlignment="1">
      <alignment horizontal="center" vertical="center" wrapText="1"/>
    </xf>
    <xf numFmtId="180" fontId="1" fillId="4" borderId="14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/>
    </xf>
    <xf numFmtId="26" fontId="1" fillId="4" borderId="15" xfId="0" applyNumberFormat="1" applyFont="1" applyFill="1" applyBorder="1" applyAlignment="1">
      <alignment vertical="center" wrapText="1"/>
    </xf>
    <xf numFmtId="176" fontId="1" fillId="4" borderId="16" xfId="0" applyNumberFormat="1" applyFont="1" applyFill="1" applyBorder="1" applyAlignment="1">
      <alignment horizontal="center" vertical="center" wrapText="1"/>
    </xf>
    <xf numFmtId="180" fontId="1" fillId="4" borderId="1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 wrapText="1"/>
    </xf>
    <xf numFmtId="58" fontId="11" fillId="8" borderId="17" xfId="0" applyNumberFormat="1" applyFont="1" applyFill="1" applyBorder="1">
      <alignment vertical="center"/>
    </xf>
    <xf numFmtId="0" fontId="11" fillId="8" borderId="17" xfId="0" applyFont="1" applyFill="1" applyBorder="1">
      <alignment vertical="center"/>
    </xf>
    <xf numFmtId="0" fontId="11" fillId="13" borderId="17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 wrapText="1"/>
    </xf>
    <xf numFmtId="58" fontId="11" fillId="14" borderId="17" xfId="0" applyNumberFormat="1" applyFont="1" applyFill="1" applyBorder="1">
      <alignment vertical="center"/>
    </xf>
    <xf numFmtId="49" fontId="11" fillId="1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11" fillId="14" borderId="17" xfId="0" applyNumberFormat="1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/>
      <protection locked="0"/>
    </xf>
    <xf numFmtId="0" fontId="11" fillId="14" borderId="17" xfId="0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 wrapText="1"/>
      <protection locked="0"/>
    </xf>
    <xf numFmtId="26" fontId="11" fillId="0" borderId="0" xfId="0" applyNumberFormat="1" applyFont="1" applyAlignment="1">
      <alignment horizontal="center" vertical="center"/>
    </xf>
    <xf numFmtId="26" fontId="12" fillId="0" borderId="0" xfId="0" applyNumberFormat="1" applyFont="1" applyFill="1" applyBorder="1" applyAlignment="1">
      <alignment horizontal="center" vertical="center"/>
    </xf>
    <xf numFmtId="26" fontId="11" fillId="0" borderId="0" xfId="0" applyNumberFormat="1" applyFont="1" applyFill="1" applyBorder="1" applyAlignment="1">
      <alignment horizontal="center" vertical="center"/>
    </xf>
    <xf numFmtId="185" fontId="12" fillId="0" borderId="0" xfId="0" applyNumberFormat="1" applyFont="1" applyFill="1" applyBorder="1" applyAlignment="1">
      <alignment horizontal="center" vertical="center"/>
    </xf>
    <xf numFmtId="185" fontId="11" fillId="0" borderId="0" xfId="0" applyNumberFormat="1" applyFont="1" applyFill="1" applyBorder="1" applyAlignment="1">
      <alignment horizontal="center" vertical="center"/>
    </xf>
    <xf numFmtId="182" fontId="12" fillId="15" borderId="0" xfId="0" applyNumberFormat="1" applyFont="1" applyFill="1" applyBorder="1" applyAlignment="1">
      <alignment horizontal="center" vertical="center" wrapText="1"/>
    </xf>
    <xf numFmtId="179" fontId="12" fillId="15" borderId="0" xfId="0" applyNumberFormat="1" applyFont="1" applyFill="1" applyBorder="1" applyAlignment="1">
      <alignment horizontal="center" vertical="center" wrapText="1"/>
    </xf>
    <xf numFmtId="26" fontId="12" fillId="15" borderId="0" xfId="0" applyNumberFormat="1" applyFont="1" applyFill="1" applyBorder="1" applyAlignment="1">
      <alignment horizontal="center" vertical="center" wrapText="1"/>
    </xf>
    <xf numFmtId="58" fontId="11" fillId="14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26" fontId="11" fillId="14" borderId="1" xfId="0" applyNumberFormat="1" applyFont="1" applyFill="1" applyBorder="1" applyAlignment="1">
      <alignment horizontal="center" vertical="center"/>
    </xf>
    <xf numFmtId="186" fontId="11" fillId="14" borderId="1" xfId="0" applyNumberFormat="1" applyFont="1" applyFill="1" applyBorder="1" applyAlignment="1">
      <alignment horizontal="center" vertical="center"/>
    </xf>
    <xf numFmtId="181" fontId="11" fillId="14" borderId="1" xfId="0" applyNumberFormat="1" applyFont="1" applyFill="1" applyBorder="1" applyAlignment="1">
      <alignment horizontal="center" vertical="center"/>
    </xf>
    <xf numFmtId="10" fontId="12" fillId="0" borderId="0" xfId="0" applyNumberFormat="1" applyFont="1" applyFill="1" applyBorder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0" fontId="12" fillId="15" borderId="0" xfId="0" applyNumberFormat="1" applyFont="1" applyFill="1" applyBorder="1" applyAlignment="1">
      <alignment horizontal="center" vertical="center" wrapText="1"/>
    </xf>
    <xf numFmtId="10" fontId="11" fillId="14" borderId="1" xfId="11" applyNumberFormat="1" applyFont="1" applyFill="1" applyBorder="1" applyAlignment="1" applyProtection="1">
      <alignment horizontal="center" vertical="center"/>
    </xf>
    <xf numFmtId="177" fontId="11" fillId="1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10" fontId="12" fillId="0" borderId="0" xfId="0" applyNumberFormat="1" applyFont="1" applyFill="1" applyAlignment="1">
      <alignment horizontal="center" vertical="center"/>
    </xf>
    <xf numFmtId="187" fontId="14" fillId="16" borderId="21" xfId="0" applyNumberFormat="1" applyFont="1" applyFill="1" applyBorder="1" applyAlignment="1">
      <alignment horizontal="center" vertical="center"/>
    </xf>
    <xf numFmtId="176" fontId="14" fillId="16" borderId="22" xfId="0" applyNumberFormat="1" applyFont="1" applyFill="1" applyBorder="1" applyAlignment="1">
      <alignment horizontal="center" vertical="center"/>
    </xf>
    <xf numFmtId="10" fontId="14" fillId="16" borderId="22" xfId="0" applyNumberFormat="1" applyFont="1" applyFill="1" applyBorder="1" applyAlignment="1">
      <alignment horizontal="center" vertical="center"/>
    </xf>
    <xf numFmtId="179" fontId="14" fillId="16" borderId="22" xfId="0" applyNumberFormat="1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0" fontId="12" fillId="0" borderId="1" xfId="11" applyNumberFormat="1" applyFont="1" applyFill="1" applyBorder="1" applyAlignment="1" applyProtection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/>
    </xf>
    <xf numFmtId="0" fontId="12" fillId="7" borderId="1" xfId="0" applyNumberFormat="1" applyFont="1" applyFill="1" applyBorder="1" applyAlignment="1">
      <alignment horizontal="center" vertical="center"/>
    </xf>
    <xf numFmtId="181" fontId="12" fillId="7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16" borderId="22" xfId="0" applyFont="1" applyFill="1" applyBorder="1" applyAlignment="1">
      <alignment horizontal="center" vertical="center"/>
    </xf>
    <xf numFmtId="10" fontId="14" fillId="16" borderId="22" xfId="11" applyNumberFormat="1" applyFont="1" applyFill="1" applyBorder="1" applyAlignment="1" applyProtection="1">
      <alignment horizontal="center" vertical="center"/>
    </xf>
    <xf numFmtId="184" fontId="1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0" fontId="12" fillId="7" borderId="1" xfId="11" applyNumberFormat="1" applyFont="1" applyFill="1" applyBorder="1" applyAlignment="1" applyProtection="1">
      <alignment horizontal="center" vertical="center"/>
    </xf>
    <xf numFmtId="188" fontId="12" fillId="7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9" fontId="11" fillId="0" borderId="0" xfId="11" applyFont="1" applyAlignment="1" applyProtection="1">
      <alignment horizontal="center" vertical="center"/>
    </xf>
    <xf numFmtId="0" fontId="15" fillId="0" borderId="0" xfId="0" applyFont="1">
      <alignment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 wrapText="1"/>
    </xf>
    <xf numFmtId="9" fontId="11" fillId="13" borderId="23" xfId="11" applyFont="1" applyFill="1" applyBorder="1" applyAlignment="1" applyProtection="1">
      <alignment horizontal="center" vertical="center" wrapText="1"/>
    </xf>
    <xf numFmtId="58" fontId="11" fillId="14" borderId="23" xfId="0" applyNumberFormat="1" applyFont="1" applyFill="1" applyBorder="1" applyAlignment="1">
      <alignment horizontal="center" vertical="center"/>
    </xf>
    <xf numFmtId="184" fontId="11" fillId="14" borderId="23" xfId="0" applyNumberFormat="1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10" fontId="11" fillId="14" borderId="23" xfId="11" applyNumberFormat="1" applyFont="1" applyFill="1" applyBorder="1" applyAlignment="1" applyProtection="1">
      <alignment horizontal="center" vertical="center"/>
    </xf>
    <xf numFmtId="9" fontId="11" fillId="14" borderId="23" xfId="11" applyNumberFormat="1" applyFont="1" applyFill="1" applyBorder="1" applyAlignment="1" applyProtection="1">
      <alignment horizontal="center" vertical="center"/>
    </xf>
    <xf numFmtId="26" fontId="11" fillId="14" borderId="23" xfId="0" applyNumberFormat="1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176" fontId="11" fillId="14" borderId="23" xfId="0" applyNumberFormat="1" applyFont="1" applyFill="1" applyBorder="1" applyAlignment="1">
      <alignment horizontal="center" vertical="center"/>
    </xf>
    <xf numFmtId="176" fontId="11" fillId="9" borderId="23" xfId="0" applyNumberFormat="1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181" fontId="11" fillId="14" borderId="23" xfId="0" applyNumberFormat="1" applyFont="1" applyFill="1" applyBorder="1" applyAlignment="1">
      <alignment horizontal="center" vertical="center"/>
    </xf>
    <xf numFmtId="181" fontId="11" fillId="9" borderId="2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customXml" Target="../customXml/item6.xml"/><Relationship Id="rId15" Type="http://schemas.openxmlformats.org/officeDocument/2006/relationships/customXml" Target="../customXml/item5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单SKU总广告监控表!$C$11</c:f>
              <c:strCache>
                <c:ptCount val="1"/>
                <c:pt idx="0">
                  <c:v>点击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单SKU总广告监控表!$C$12:$C$41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单SKU总广告监控表!$D$11</c:f>
              <c:strCache>
                <c:ptCount val="1"/>
                <c:pt idx="0">
                  <c:v>点击率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单SKU总广告监控表!$D$12:$D$41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单SKU总广告监控表!$G$11</c:f>
              <c:strCache>
                <c:ptCount val="1"/>
                <c:pt idx="0">
                  <c:v>Ad订单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单SKU总广告监控表!$G$12:$G$41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单SKU总广告监控表!$H$11</c:f>
              <c:strCache>
                <c:ptCount val="1"/>
                <c:pt idx="0">
                  <c:v>贡献销售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单SKU总广告监控表!$H$12:$H$41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单SKU总广告监控表!$K$11</c:f>
              <c:strCache>
                <c:ptCount val="1"/>
                <c:pt idx="0">
                  <c:v>广告转化率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单SKU总广告监控表!$K$12:$K$41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0"/>
          <c:order val="10"/>
          <c:tx>
            <c:strRef>
              <c:f>单SKU总广告监控表!$L$11</c:f>
              <c:strCache>
                <c:ptCount val="1"/>
                <c:pt idx="0">
                  <c:v>AD销量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单SKU总广告监控表!$L$12:$L$41</c:f>
              <c:numCache>
                <c:formatCode>0_);[Red]\(0\)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0075072"/>
        <c:axId val="680074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680075072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4744"/>
        <c:crosses val="autoZero"/>
        <c:auto val="1"/>
        <c:lblOffset val="100"/>
        <c:baseTimeUnit val="days"/>
      </c:dateAx>
      <c:valAx>
        <c:axId val="68007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0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118545</xdr:colOff>
      <xdr:row>0</xdr:row>
      <xdr:rowOff>164529</xdr:rowOff>
    </xdr:from>
    <xdr:to>
      <xdr:col>3</xdr:col>
      <xdr:colOff>892110</xdr:colOff>
      <xdr:row>8</xdr:row>
      <xdr:rowOff>50750</xdr:rowOff>
    </xdr:to>
    <xdr:graphicFrame>
      <xdr:nvGraphicFramePr>
        <xdr:cNvPr id="2" name="图表 1"/>
        <xdr:cNvGraphicFramePr/>
      </xdr:nvGraphicFramePr>
      <xdr:xfrm>
        <a:off x="118110" y="164465"/>
        <a:ext cx="2945130" cy="1470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928466</xdr:colOff>
      <xdr:row>0</xdr:row>
      <xdr:rowOff>88403</xdr:rowOff>
    </xdr:from>
    <xdr:to>
      <xdr:col>7</xdr:col>
      <xdr:colOff>178095</xdr:colOff>
      <xdr:row>9</xdr:row>
      <xdr:rowOff>164529</xdr:rowOff>
    </xdr:to>
    <xdr:graphicFrame>
      <xdr:nvGraphicFramePr>
        <xdr:cNvPr id="3" name="图表 2"/>
        <xdr:cNvGraphicFramePr/>
      </xdr:nvGraphicFramePr>
      <xdr:xfrm>
        <a:off x="3100070" y="88265"/>
        <a:ext cx="3030855" cy="18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130248</xdr:colOff>
      <xdr:row>0</xdr:row>
      <xdr:rowOff>101500</xdr:rowOff>
    </xdr:from>
    <xdr:to>
      <xdr:col>10</xdr:col>
      <xdr:colOff>344912</xdr:colOff>
      <xdr:row>9</xdr:row>
      <xdr:rowOff>0</xdr:rowOff>
    </xdr:to>
    <xdr:graphicFrame>
      <xdr:nvGraphicFramePr>
        <xdr:cNvPr id="4" name="图表 3"/>
        <xdr:cNvGraphicFramePr/>
      </xdr:nvGraphicFramePr>
      <xdr:xfrm>
        <a:off x="6083300" y="100965"/>
        <a:ext cx="2910205" cy="1682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452114</xdr:colOff>
      <xdr:row>0</xdr:row>
      <xdr:rowOff>152251</xdr:rowOff>
    </xdr:from>
    <xdr:to>
      <xdr:col>13</xdr:col>
      <xdr:colOff>379504</xdr:colOff>
      <xdr:row>8</xdr:row>
      <xdr:rowOff>101500</xdr:rowOff>
    </xdr:to>
    <xdr:graphicFrame>
      <xdr:nvGraphicFramePr>
        <xdr:cNvPr id="5" name="图表 4"/>
        <xdr:cNvGraphicFramePr/>
      </xdr:nvGraphicFramePr>
      <xdr:xfrm>
        <a:off x="9100185" y="151765"/>
        <a:ext cx="2651760" cy="153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451994</xdr:colOff>
      <xdr:row>0</xdr:row>
      <xdr:rowOff>126875</xdr:rowOff>
    </xdr:from>
    <xdr:to>
      <xdr:col>14</xdr:col>
      <xdr:colOff>749263</xdr:colOff>
      <xdr:row>8</xdr:row>
      <xdr:rowOff>101500</xdr:rowOff>
    </xdr:to>
    <xdr:graphicFrame>
      <xdr:nvGraphicFramePr>
        <xdr:cNvPr id="6" name="图表 5"/>
        <xdr:cNvGraphicFramePr/>
      </xdr:nvGraphicFramePr>
      <xdr:xfrm>
        <a:off x="11824335" y="126365"/>
        <a:ext cx="2497455" cy="155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821346</xdr:colOff>
      <xdr:row>0</xdr:row>
      <xdr:rowOff>139154</xdr:rowOff>
    </xdr:from>
    <xdr:to>
      <xdr:col>17</xdr:col>
      <xdr:colOff>309470</xdr:colOff>
      <xdr:row>8</xdr:row>
      <xdr:rowOff>37653</xdr:rowOff>
    </xdr:to>
    <xdr:graphicFrame>
      <xdr:nvGraphicFramePr>
        <xdr:cNvPr id="7" name="图表 6"/>
        <xdr:cNvGraphicFramePr/>
      </xdr:nvGraphicFramePr>
      <xdr:xfrm>
        <a:off x="14394180" y="139065"/>
        <a:ext cx="2450465" cy="148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="82" zoomScaleNormal="82" workbookViewId="0">
      <pane ySplit="2" topLeftCell="A3" activePane="bottomLeft" state="frozen"/>
      <selection/>
      <selection pane="bottomLeft" activeCell="S7" sqref="S7"/>
    </sheetView>
  </sheetViews>
  <sheetFormatPr defaultColWidth="9" defaultRowHeight="15.6"/>
  <cols>
    <col min="1" max="2" width="10.625" style="190" customWidth="1"/>
    <col min="3" max="8" width="7.875" style="190" customWidth="1"/>
    <col min="9" max="9" width="8.375" style="190" customWidth="1"/>
    <col min="10" max="12" width="9.5" style="190" customWidth="1"/>
    <col min="13" max="16384" width="8.75" style="190"/>
  </cols>
  <sheetData>
    <row r="1" ht="36" customHeight="1" spans="1:1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ht="24" customHeight="1" spans="1:12">
      <c r="A2" s="239" t="s">
        <v>1</v>
      </c>
      <c r="B2" s="239" t="s">
        <v>2</v>
      </c>
      <c r="C2" s="248" t="s">
        <v>3</v>
      </c>
      <c r="D2" s="248" t="s">
        <v>4</v>
      </c>
      <c r="E2" s="248" t="s">
        <v>5</v>
      </c>
      <c r="F2" s="248" t="s">
        <v>6</v>
      </c>
      <c r="G2" s="248" t="s">
        <v>7</v>
      </c>
      <c r="H2" s="249" t="s">
        <v>8</v>
      </c>
      <c r="I2" s="249" t="s">
        <v>9</v>
      </c>
      <c r="J2" s="249" t="s">
        <v>10</v>
      </c>
      <c r="K2" s="253" t="s">
        <v>11</v>
      </c>
      <c r="L2" s="253" t="s">
        <v>12</v>
      </c>
    </row>
    <row r="3" spans="1:12">
      <c r="A3" s="242">
        <v>44136</v>
      </c>
      <c r="B3" s="244"/>
      <c r="C3" s="244">
        <f>E3-D3</f>
        <v>0</v>
      </c>
      <c r="D3" s="244">
        <f>单SKU总广告监控表!G12</f>
        <v>0</v>
      </c>
      <c r="E3" s="244">
        <f>业务报告!L3</f>
        <v>0</v>
      </c>
      <c r="F3" s="244"/>
      <c r="G3" s="250">
        <f t="shared" ref="G3:G32" si="0">E3-F3</f>
        <v>0</v>
      </c>
      <c r="H3" s="244">
        <f t="shared" ref="H3:H32" si="1">F3*B3</f>
        <v>0</v>
      </c>
      <c r="I3" s="254">
        <f>业务报告!K3</f>
        <v>0</v>
      </c>
      <c r="J3" s="255">
        <f>I3-F3*B3</f>
        <v>0</v>
      </c>
      <c r="K3" s="244">
        <f>业务报告!I3</f>
        <v>0</v>
      </c>
      <c r="L3" s="250">
        <f>K3-F3</f>
        <v>0</v>
      </c>
    </row>
    <row r="4" spans="1:12">
      <c r="A4" s="242">
        <v>44137</v>
      </c>
      <c r="B4" s="244"/>
      <c r="C4" s="244">
        <f>E4-D4</f>
        <v>0</v>
      </c>
      <c r="D4" s="244">
        <f>单SKU总广告监控表!G13</f>
        <v>0</v>
      </c>
      <c r="E4" s="244">
        <f>业务报告!L4</f>
        <v>0</v>
      </c>
      <c r="F4" s="244"/>
      <c r="G4" s="250">
        <f t="shared" si="0"/>
        <v>0</v>
      </c>
      <c r="H4" s="244">
        <f t="shared" si="1"/>
        <v>0</v>
      </c>
      <c r="I4" s="254">
        <f>业务报告!K4</f>
        <v>0</v>
      </c>
      <c r="J4" s="255">
        <f t="shared" ref="J4:J32" si="2">I4-F4*B4</f>
        <v>0</v>
      </c>
      <c r="K4" s="244">
        <f>业务报告!I4</f>
        <v>0</v>
      </c>
      <c r="L4" s="250">
        <f>K4-F4</f>
        <v>0</v>
      </c>
    </row>
    <row r="5" spans="1:12">
      <c r="A5" s="242">
        <v>44138</v>
      </c>
      <c r="B5" s="244"/>
      <c r="C5" s="244">
        <f t="shared" ref="C5:C32" si="3">E5-D5</f>
        <v>0</v>
      </c>
      <c r="D5" s="244">
        <f>单SKU总广告监控表!G14</f>
        <v>0</v>
      </c>
      <c r="E5" s="244">
        <f>业务报告!L5</f>
        <v>0</v>
      </c>
      <c r="F5" s="244"/>
      <c r="G5" s="250">
        <f t="shared" si="0"/>
        <v>0</v>
      </c>
      <c r="H5" s="244">
        <f t="shared" si="1"/>
        <v>0</v>
      </c>
      <c r="I5" s="254">
        <f>业务报告!K5</f>
        <v>0</v>
      </c>
      <c r="J5" s="255">
        <f t="shared" si="2"/>
        <v>0</v>
      </c>
      <c r="K5" s="244">
        <f>业务报告!I5</f>
        <v>0</v>
      </c>
      <c r="L5" s="250">
        <f t="shared" ref="L5:L32" si="4">K5-F5</f>
        <v>0</v>
      </c>
    </row>
    <row r="6" spans="1:12">
      <c r="A6" s="242">
        <v>44139</v>
      </c>
      <c r="B6" s="244"/>
      <c r="C6" s="244">
        <f t="shared" si="3"/>
        <v>0</v>
      </c>
      <c r="D6" s="244">
        <f>单SKU总广告监控表!G15</f>
        <v>0</v>
      </c>
      <c r="E6" s="244">
        <f>业务报告!L6</f>
        <v>0</v>
      </c>
      <c r="F6" s="244"/>
      <c r="G6" s="250">
        <f t="shared" si="0"/>
        <v>0</v>
      </c>
      <c r="H6" s="244">
        <f t="shared" si="1"/>
        <v>0</v>
      </c>
      <c r="I6" s="254">
        <f>业务报告!K6</f>
        <v>0</v>
      </c>
      <c r="J6" s="255">
        <f t="shared" si="2"/>
        <v>0</v>
      </c>
      <c r="K6" s="244">
        <f>业务报告!I6</f>
        <v>0</v>
      </c>
      <c r="L6" s="250">
        <f t="shared" si="4"/>
        <v>0</v>
      </c>
    </row>
    <row r="7" spans="1:12">
      <c r="A7" s="242">
        <v>44140</v>
      </c>
      <c r="B7" s="244"/>
      <c r="C7" s="244">
        <f t="shared" si="3"/>
        <v>0</v>
      </c>
      <c r="D7" s="244">
        <f>单SKU总广告监控表!G16</f>
        <v>0</v>
      </c>
      <c r="E7" s="244">
        <f>业务报告!L7</f>
        <v>0</v>
      </c>
      <c r="F7" s="244"/>
      <c r="G7" s="250">
        <f t="shared" si="0"/>
        <v>0</v>
      </c>
      <c r="H7" s="244">
        <f t="shared" si="1"/>
        <v>0</v>
      </c>
      <c r="I7" s="254">
        <f>业务报告!K7</f>
        <v>0</v>
      </c>
      <c r="J7" s="255">
        <f t="shared" si="2"/>
        <v>0</v>
      </c>
      <c r="K7" s="244">
        <f>业务报告!I7</f>
        <v>0</v>
      </c>
      <c r="L7" s="250">
        <f t="shared" si="4"/>
        <v>0</v>
      </c>
    </row>
    <row r="8" spans="1:12">
      <c r="A8" s="242">
        <v>44141</v>
      </c>
      <c r="B8" s="244"/>
      <c r="C8" s="244">
        <f t="shared" si="3"/>
        <v>0</v>
      </c>
      <c r="D8" s="244">
        <f>单SKU总广告监控表!G17</f>
        <v>0</v>
      </c>
      <c r="E8" s="244">
        <f>业务报告!L8</f>
        <v>0</v>
      </c>
      <c r="F8" s="244"/>
      <c r="G8" s="250">
        <f t="shared" si="0"/>
        <v>0</v>
      </c>
      <c r="H8" s="244">
        <f t="shared" si="1"/>
        <v>0</v>
      </c>
      <c r="I8" s="254">
        <f>业务报告!K8</f>
        <v>0</v>
      </c>
      <c r="J8" s="255">
        <f t="shared" si="2"/>
        <v>0</v>
      </c>
      <c r="K8" s="244">
        <f>业务报告!I8</f>
        <v>0</v>
      </c>
      <c r="L8" s="250">
        <f t="shared" si="4"/>
        <v>0</v>
      </c>
    </row>
    <row r="9" spans="1:12">
      <c r="A9" s="242">
        <v>44142</v>
      </c>
      <c r="B9" s="244"/>
      <c r="C9" s="244">
        <f t="shared" si="3"/>
        <v>0</v>
      </c>
      <c r="D9" s="244">
        <f>单SKU总广告监控表!G18</f>
        <v>0</v>
      </c>
      <c r="E9" s="244">
        <f>业务报告!L9</f>
        <v>0</v>
      </c>
      <c r="F9" s="244"/>
      <c r="G9" s="250">
        <f t="shared" si="0"/>
        <v>0</v>
      </c>
      <c r="H9" s="244">
        <f t="shared" si="1"/>
        <v>0</v>
      </c>
      <c r="I9" s="254">
        <f>业务报告!K9</f>
        <v>0</v>
      </c>
      <c r="J9" s="255">
        <f t="shared" si="2"/>
        <v>0</v>
      </c>
      <c r="K9" s="244">
        <f>业务报告!I9</f>
        <v>0</v>
      </c>
      <c r="L9" s="250">
        <f t="shared" si="4"/>
        <v>0</v>
      </c>
    </row>
    <row r="10" spans="1:12">
      <c r="A10" s="242">
        <v>44143</v>
      </c>
      <c r="B10" s="244"/>
      <c r="C10" s="244">
        <f t="shared" si="3"/>
        <v>0</v>
      </c>
      <c r="D10" s="244">
        <f>单SKU总广告监控表!G19</f>
        <v>0</v>
      </c>
      <c r="E10" s="244">
        <f>业务报告!L10</f>
        <v>0</v>
      </c>
      <c r="F10" s="244"/>
      <c r="G10" s="250">
        <f t="shared" si="0"/>
        <v>0</v>
      </c>
      <c r="H10" s="244">
        <f t="shared" si="1"/>
        <v>0</v>
      </c>
      <c r="I10" s="254">
        <f>业务报告!K10</f>
        <v>0</v>
      </c>
      <c r="J10" s="255">
        <f t="shared" si="2"/>
        <v>0</v>
      </c>
      <c r="K10" s="244">
        <f>业务报告!I10</f>
        <v>0</v>
      </c>
      <c r="L10" s="250">
        <f t="shared" si="4"/>
        <v>0</v>
      </c>
    </row>
    <row r="11" spans="1:12">
      <c r="A11" s="242">
        <v>44144</v>
      </c>
      <c r="B11" s="244"/>
      <c r="C11" s="244">
        <f t="shared" si="3"/>
        <v>0</v>
      </c>
      <c r="D11" s="244">
        <f>单SKU总广告监控表!G20</f>
        <v>0</v>
      </c>
      <c r="E11" s="244">
        <f>业务报告!L11</f>
        <v>0</v>
      </c>
      <c r="F11" s="244"/>
      <c r="G11" s="250">
        <f t="shared" si="0"/>
        <v>0</v>
      </c>
      <c r="H11" s="244">
        <f t="shared" si="1"/>
        <v>0</v>
      </c>
      <c r="I11" s="254">
        <f>业务报告!K11</f>
        <v>0</v>
      </c>
      <c r="J11" s="255">
        <f t="shared" si="2"/>
        <v>0</v>
      </c>
      <c r="K11" s="244">
        <f>业务报告!I11</f>
        <v>0</v>
      </c>
      <c r="L11" s="250">
        <f t="shared" si="4"/>
        <v>0</v>
      </c>
    </row>
    <row r="12" spans="1:12">
      <c r="A12" s="242">
        <v>44145</v>
      </c>
      <c r="B12" s="244"/>
      <c r="C12" s="244">
        <f t="shared" si="3"/>
        <v>0</v>
      </c>
      <c r="D12" s="244">
        <f>单SKU总广告监控表!G21</f>
        <v>0</v>
      </c>
      <c r="E12" s="244">
        <f>业务报告!L12</f>
        <v>0</v>
      </c>
      <c r="F12" s="244"/>
      <c r="G12" s="250">
        <f t="shared" si="0"/>
        <v>0</v>
      </c>
      <c r="H12" s="244">
        <f t="shared" si="1"/>
        <v>0</v>
      </c>
      <c r="I12" s="254">
        <f>业务报告!K12</f>
        <v>0</v>
      </c>
      <c r="J12" s="255">
        <f t="shared" si="2"/>
        <v>0</v>
      </c>
      <c r="K12" s="244">
        <f>业务报告!I12</f>
        <v>0</v>
      </c>
      <c r="L12" s="250">
        <f t="shared" si="4"/>
        <v>0</v>
      </c>
    </row>
    <row r="13" spans="1:12">
      <c r="A13" s="242">
        <v>44146</v>
      </c>
      <c r="B13" s="244"/>
      <c r="C13" s="244">
        <f t="shared" si="3"/>
        <v>0</v>
      </c>
      <c r="D13" s="244">
        <f>单SKU总广告监控表!G22</f>
        <v>0</v>
      </c>
      <c r="E13" s="244">
        <f>业务报告!L13</f>
        <v>0</v>
      </c>
      <c r="F13" s="244"/>
      <c r="G13" s="250">
        <f t="shared" si="0"/>
        <v>0</v>
      </c>
      <c r="H13" s="244">
        <f t="shared" si="1"/>
        <v>0</v>
      </c>
      <c r="I13" s="254">
        <f>业务报告!K13</f>
        <v>0</v>
      </c>
      <c r="J13" s="255">
        <f t="shared" si="2"/>
        <v>0</v>
      </c>
      <c r="K13" s="244">
        <f>业务报告!I13</f>
        <v>0</v>
      </c>
      <c r="L13" s="250">
        <f t="shared" si="4"/>
        <v>0</v>
      </c>
    </row>
    <row r="14" spans="1:12">
      <c r="A14" s="242">
        <v>44147</v>
      </c>
      <c r="B14" s="244"/>
      <c r="C14" s="244">
        <f t="shared" si="3"/>
        <v>0</v>
      </c>
      <c r="D14" s="244">
        <f>单SKU总广告监控表!G23</f>
        <v>0</v>
      </c>
      <c r="E14" s="244">
        <f>业务报告!L14</f>
        <v>0</v>
      </c>
      <c r="F14" s="244"/>
      <c r="G14" s="250">
        <f t="shared" si="0"/>
        <v>0</v>
      </c>
      <c r="H14" s="244">
        <f t="shared" si="1"/>
        <v>0</v>
      </c>
      <c r="I14" s="254">
        <f>业务报告!K14</f>
        <v>0</v>
      </c>
      <c r="J14" s="255">
        <f t="shared" si="2"/>
        <v>0</v>
      </c>
      <c r="K14" s="244">
        <f>业务报告!I14</f>
        <v>0</v>
      </c>
      <c r="L14" s="250">
        <f t="shared" si="4"/>
        <v>0</v>
      </c>
    </row>
    <row r="15" spans="1:12">
      <c r="A15" s="242">
        <v>44148</v>
      </c>
      <c r="B15" s="244"/>
      <c r="C15" s="244">
        <f t="shared" si="3"/>
        <v>0</v>
      </c>
      <c r="D15" s="244">
        <f>单SKU总广告监控表!G24</f>
        <v>0</v>
      </c>
      <c r="E15" s="244">
        <f>业务报告!L15</f>
        <v>0</v>
      </c>
      <c r="F15" s="244"/>
      <c r="G15" s="250">
        <f t="shared" si="0"/>
        <v>0</v>
      </c>
      <c r="H15" s="244">
        <f t="shared" si="1"/>
        <v>0</v>
      </c>
      <c r="I15" s="254">
        <f>业务报告!K15</f>
        <v>0</v>
      </c>
      <c r="J15" s="255">
        <f t="shared" si="2"/>
        <v>0</v>
      </c>
      <c r="K15" s="244">
        <f>业务报告!I15</f>
        <v>0</v>
      </c>
      <c r="L15" s="250">
        <f t="shared" si="4"/>
        <v>0</v>
      </c>
    </row>
    <row r="16" spans="1:12">
      <c r="A16" s="242">
        <v>44149</v>
      </c>
      <c r="B16" s="244"/>
      <c r="C16" s="244">
        <f t="shared" si="3"/>
        <v>0</v>
      </c>
      <c r="D16" s="244">
        <f>单SKU总广告监控表!G25</f>
        <v>0</v>
      </c>
      <c r="E16" s="244">
        <f>业务报告!L16</f>
        <v>0</v>
      </c>
      <c r="F16" s="244"/>
      <c r="G16" s="250">
        <f t="shared" si="0"/>
        <v>0</v>
      </c>
      <c r="H16" s="244">
        <f t="shared" si="1"/>
        <v>0</v>
      </c>
      <c r="I16" s="254">
        <f>业务报告!K16</f>
        <v>0</v>
      </c>
      <c r="J16" s="255">
        <f t="shared" si="2"/>
        <v>0</v>
      </c>
      <c r="K16" s="244">
        <f>业务报告!I16</f>
        <v>0</v>
      </c>
      <c r="L16" s="250">
        <f t="shared" si="4"/>
        <v>0</v>
      </c>
    </row>
    <row r="17" spans="1:12">
      <c r="A17" s="242">
        <v>44150</v>
      </c>
      <c r="B17" s="244"/>
      <c r="C17" s="244">
        <f t="shared" si="3"/>
        <v>0</v>
      </c>
      <c r="D17" s="244">
        <f>单SKU总广告监控表!G26</f>
        <v>0</v>
      </c>
      <c r="E17" s="244">
        <f>业务报告!L17</f>
        <v>0</v>
      </c>
      <c r="F17" s="244"/>
      <c r="G17" s="250">
        <f t="shared" si="0"/>
        <v>0</v>
      </c>
      <c r="H17" s="244">
        <f t="shared" si="1"/>
        <v>0</v>
      </c>
      <c r="I17" s="254">
        <f>业务报告!K17</f>
        <v>0</v>
      </c>
      <c r="J17" s="255">
        <f t="shared" si="2"/>
        <v>0</v>
      </c>
      <c r="K17" s="244">
        <f>业务报告!I17</f>
        <v>0</v>
      </c>
      <c r="L17" s="250">
        <f t="shared" si="4"/>
        <v>0</v>
      </c>
    </row>
    <row r="18" spans="1:12">
      <c r="A18" s="242">
        <v>44151</v>
      </c>
      <c r="B18" s="244"/>
      <c r="C18" s="244">
        <f t="shared" si="3"/>
        <v>0</v>
      </c>
      <c r="D18" s="244">
        <f>单SKU总广告监控表!G27</f>
        <v>0</v>
      </c>
      <c r="E18" s="244">
        <f>业务报告!L18</f>
        <v>0</v>
      </c>
      <c r="F18" s="244"/>
      <c r="G18" s="250">
        <f t="shared" si="0"/>
        <v>0</v>
      </c>
      <c r="H18" s="244">
        <f t="shared" si="1"/>
        <v>0</v>
      </c>
      <c r="I18" s="254">
        <f>业务报告!K18</f>
        <v>0</v>
      </c>
      <c r="J18" s="255">
        <f t="shared" si="2"/>
        <v>0</v>
      </c>
      <c r="K18" s="244">
        <f>业务报告!I18</f>
        <v>0</v>
      </c>
      <c r="L18" s="250">
        <f t="shared" si="4"/>
        <v>0</v>
      </c>
    </row>
    <row r="19" spans="1:12">
      <c r="A19" s="242">
        <v>44152</v>
      </c>
      <c r="B19" s="244"/>
      <c r="C19" s="244">
        <f t="shared" si="3"/>
        <v>0</v>
      </c>
      <c r="D19" s="244">
        <f>单SKU总广告监控表!G28</f>
        <v>0</v>
      </c>
      <c r="E19" s="244">
        <f>业务报告!L19</f>
        <v>0</v>
      </c>
      <c r="F19" s="244"/>
      <c r="G19" s="250">
        <f t="shared" si="0"/>
        <v>0</v>
      </c>
      <c r="H19" s="244">
        <f t="shared" si="1"/>
        <v>0</v>
      </c>
      <c r="I19" s="254">
        <f>业务报告!K19</f>
        <v>0</v>
      </c>
      <c r="J19" s="255">
        <f t="shared" si="2"/>
        <v>0</v>
      </c>
      <c r="K19" s="244">
        <f>业务报告!I19</f>
        <v>0</v>
      </c>
      <c r="L19" s="250">
        <f t="shared" si="4"/>
        <v>0</v>
      </c>
    </row>
    <row r="20" spans="1:12">
      <c r="A20" s="242">
        <v>44153</v>
      </c>
      <c r="B20" s="244"/>
      <c r="C20" s="244">
        <f t="shared" si="3"/>
        <v>0</v>
      </c>
      <c r="D20" s="244">
        <f>单SKU总广告监控表!G29</f>
        <v>0</v>
      </c>
      <c r="E20" s="244">
        <f>业务报告!L20</f>
        <v>0</v>
      </c>
      <c r="F20" s="244"/>
      <c r="G20" s="250">
        <f t="shared" si="0"/>
        <v>0</v>
      </c>
      <c r="H20" s="244">
        <f t="shared" si="1"/>
        <v>0</v>
      </c>
      <c r="I20" s="254">
        <f>业务报告!K20</f>
        <v>0</v>
      </c>
      <c r="J20" s="255">
        <f t="shared" si="2"/>
        <v>0</v>
      </c>
      <c r="K20" s="244">
        <f>业务报告!I20</f>
        <v>0</v>
      </c>
      <c r="L20" s="250">
        <f t="shared" si="4"/>
        <v>0</v>
      </c>
    </row>
    <row r="21" spans="1:12">
      <c r="A21" s="242">
        <v>44154</v>
      </c>
      <c r="B21" s="244"/>
      <c r="C21" s="244">
        <f t="shared" si="3"/>
        <v>0</v>
      </c>
      <c r="D21" s="244">
        <f>单SKU总广告监控表!G30</f>
        <v>0</v>
      </c>
      <c r="E21" s="244">
        <f>业务报告!L21</f>
        <v>0</v>
      </c>
      <c r="F21" s="244"/>
      <c r="G21" s="250">
        <f t="shared" si="0"/>
        <v>0</v>
      </c>
      <c r="H21" s="244">
        <f t="shared" si="1"/>
        <v>0</v>
      </c>
      <c r="I21" s="254">
        <f>业务报告!K21</f>
        <v>0</v>
      </c>
      <c r="J21" s="255">
        <f t="shared" si="2"/>
        <v>0</v>
      </c>
      <c r="K21" s="244">
        <f>业务报告!I21</f>
        <v>0</v>
      </c>
      <c r="L21" s="250">
        <f t="shared" si="4"/>
        <v>0</v>
      </c>
    </row>
    <row r="22" spans="1:12">
      <c r="A22" s="242">
        <v>44155</v>
      </c>
      <c r="B22" s="244"/>
      <c r="C22" s="244">
        <f t="shared" si="3"/>
        <v>0</v>
      </c>
      <c r="D22" s="244">
        <f>单SKU总广告监控表!G31</f>
        <v>0</v>
      </c>
      <c r="E22" s="244">
        <f>业务报告!L22</f>
        <v>0</v>
      </c>
      <c r="F22" s="244"/>
      <c r="G22" s="250">
        <f t="shared" si="0"/>
        <v>0</v>
      </c>
      <c r="H22" s="244">
        <f t="shared" si="1"/>
        <v>0</v>
      </c>
      <c r="I22" s="254">
        <f>业务报告!K22</f>
        <v>0</v>
      </c>
      <c r="J22" s="255">
        <f t="shared" si="2"/>
        <v>0</v>
      </c>
      <c r="K22" s="244">
        <f>业务报告!I22</f>
        <v>0</v>
      </c>
      <c r="L22" s="250">
        <f t="shared" si="4"/>
        <v>0</v>
      </c>
    </row>
    <row r="23" spans="1:12">
      <c r="A23" s="242">
        <v>44156</v>
      </c>
      <c r="B23" s="244"/>
      <c r="C23" s="244">
        <f t="shared" si="3"/>
        <v>0</v>
      </c>
      <c r="D23" s="244">
        <f>单SKU总广告监控表!G32</f>
        <v>0</v>
      </c>
      <c r="E23" s="244">
        <f>业务报告!L23</f>
        <v>0</v>
      </c>
      <c r="F23" s="244"/>
      <c r="G23" s="250">
        <f t="shared" si="0"/>
        <v>0</v>
      </c>
      <c r="H23" s="244">
        <f t="shared" si="1"/>
        <v>0</v>
      </c>
      <c r="I23" s="254">
        <f>业务报告!K23</f>
        <v>0</v>
      </c>
      <c r="J23" s="255">
        <f t="shared" si="2"/>
        <v>0</v>
      </c>
      <c r="K23" s="244">
        <f>业务报告!I23</f>
        <v>0</v>
      </c>
      <c r="L23" s="250">
        <f t="shared" si="4"/>
        <v>0</v>
      </c>
    </row>
    <row r="24" spans="1:12">
      <c r="A24" s="242">
        <v>44157</v>
      </c>
      <c r="B24" s="244"/>
      <c r="C24" s="244">
        <f t="shared" si="3"/>
        <v>0</v>
      </c>
      <c r="D24" s="244">
        <f>单SKU总广告监控表!G33</f>
        <v>0</v>
      </c>
      <c r="E24" s="244">
        <f>业务报告!L24</f>
        <v>0</v>
      </c>
      <c r="F24" s="244"/>
      <c r="G24" s="250">
        <f t="shared" si="0"/>
        <v>0</v>
      </c>
      <c r="H24" s="244">
        <f t="shared" si="1"/>
        <v>0</v>
      </c>
      <c r="I24" s="254">
        <f>业务报告!K24</f>
        <v>0</v>
      </c>
      <c r="J24" s="255">
        <f t="shared" si="2"/>
        <v>0</v>
      </c>
      <c r="K24" s="244">
        <f>业务报告!I24</f>
        <v>0</v>
      </c>
      <c r="L24" s="250">
        <f t="shared" si="4"/>
        <v>0</v>
      </c>
    </row>
    <row r="25" spans="1:12">
      <c r="A25" s="242">
        <v>44158</v>
      </c>
      <c r="B25" s="244"/>
      <c r="C25" s="244">
        <f t="shared" si="3"/>
        <v>0</v>
      </c>
      <c r="D25" s="244">
        <f>单SKU总广告监控表!G34</f>
        <v>0</v>
      </c>
      <c r="E25" s="244">
        <f>业务报告!L25</f>
        <v>0</v>
      </c>
      <c r="F25" s="244"/>
      <c r="G25" s="250">
        <f t="shared" si="0"/>
        <v>0</v>
      </c>
      <c r="H25" s="244">
        <f t="shared" si="1"/>
        <v>0</v>
      </c>
      <c r="I25" s="254">
        <f>业务报告!K25</f>
        <v>0</v>
      </c>
      <c r="J25" s="255">
        <f t="shared" si="2"/>
        <v>0</v>
      </c>
      <c r="K25" s="244">
        <f>业务报告!I25</f>
        <v>0</v>
      </c>
      <c r="L25" s="250">
        <f t="shared" si="4"/>
        <v>0</v>
      </c>
    </row>
    <row r="26" spans="1:12">
      <c r="A26" s="242">
        <v>44159</v>
      </c>
      <c r="B26" s="244"/>
      <c r="C26" s="244">
        <f t="shared" si="3"/>
        <v>0</v>
      </c>
      <c r="D26" s="244">
        <f>单SKU总广告监控表!G35</f>
        <v>0</v>
      </c>
      <c r="E26" s="244">
        <f>业务报告!L26</f>
        <v>0</v>
      </c>
      <c r="F26" s="244"/>
      <c r="G26" s="250">
        <f t="shared" si="0"/>
        <v>0</v>
      </c>
      <c r="H26" s="244">
        <f t="shared" si="1"/>
        <v>0</v>
      </c>
      <c r="I26" s="254">
        <f>业务报告!K26</f>
        <v>0</v>
      </c>
      <c r="J26" s="255">
        <f t="shared" si="2"/>
        <v>0</v>
      </c>
      <c r="K26" s="244">
        <f>业务报告!I26</f>
        <v>0</v>
      </c>
      <c r="L26" s="250">
        <f t="shared" si="4"/>
        <v>0</v>
      </c>
    </row>
    <row r="27" spans="1:12">
      <c r="A27" s="242">
        <v>44160</v>
      </c>
      <c r="B27" s="244"/>
      <c r="C27" s="244">
        <f t="shared" si="3"/>
        <v>0</v>
      </c>
      <c r="D27" s="244">
        <f>单SKU总广告监控表!G36</f>
        <v>0</v>
      </c>
      <c r="E27" s="244">
        <f>业务报告!L27</f>
        <v>0</v>
      </c>
      <c r="F27" s="244"/>
      <c r="G27" s="250">
        <f t="shared" si="0"/>
        <v>0</v>
      </c>
      <c r="H27" s="244">
        <f t="shared" si="1"/>
        <v>0</v>
      </c>
      <c r="I27" s="254">
        <f>业务报告!K27</f>
        <v>0</v>
      </c>
      <c r="J27" s="255">
        <f t="shared" si="2"/>
        <v>0</v>
      </c>
      <c r="K27" s="244">
        <f>业务报告!I27</f>
        <v>0</v>
      </c>
      <c r="L27" s="250">
        <f t="shared" si="4"/>
        <v>0</v>
      </c>
    </row>
    <row r="28" spans="1:12">
      <c r="A28" s="242">
        <v>44161</v>
      </c>
      <c r="B28" s="244"/>
      <c r="C28" s="244">
        <f t="shared" si="3"/>
        <v>0</v>
      </c>
      <c r="D28" s="244">
        <f>单SKU总广告监控表!G37</f>
        <v>0</v>
      </c>
      <c r="E28" s="244">
        <f>业务报告!L28</f>
        <v>0</v>
      </c>
      <c r="F28" s="244"/>
      <c r="G28" s="250">
        <f t="shared" si="0"/>
        <v>0</v>
      </c>
      <c r="H28" s="244">
        <f t="shared" si="1"/>
        <v>0</v>
      </c>
      <c r="I28" s="254">
        <f>业务报告!K28</f>
        <v>0</v>
      </c>
      <c r="J28" s="255">
        <f t="shared" si="2"/>
        <v>0</v>
      </c>
      <c r="K28" s="244">
        <f>业务报告!I28</f>
        <v>0</v>
      </c>
      <c r="L28" s="250">
        <f t="shared" si="4"/>
        <v>0</v>
      </c>
    </row>
    <row r="29" spans="1:12">
      <c r="A29" s="242">
        <v>44162</v>
      </c>
      <c r="B29" s="244"/>
      <c r="C29" s="244">
        <f t="shared" si="3"/>
        <v>0</v>
      </c>
      <c r="D29" s="244">
        <f>单SKU总广告监控表!G38</f>
        <v>0</v>
      </c>
      <c r="E29" s="244">
        <f>业务报告!L29</f>
        <v>0</v>
      </c>
      <c r="F29" s="244"/>
      <c r="G29" s="250">
        <f t="shared" si="0"/>
        <v>0</v>
      </c>
      <c r="H29" s="244">
        <f t="shared" si="1"/>
        <v>0</v>
      </c>
      <c r="I29" s="254">
        <f>业务报告!K29</f>
        <v>0</v>
      </c>
      <c r="J29" s="255">
        <f t="shared" si="2"/>
        <v>0</v>
      </c>
      <c r="K29" s="244">
        <f>业务报告!I29</f>
        <v>0</v>
      </c>
      <c r="L29" s="250">
        <f t="shared" si="4"/>
        <v>0</v>
      </c>
    </row>
    <row r="30" spans="1:12">
      <c r="A30" s="242">
        <v>44163</v>
      </c>
      <c r="B30" s="244"/>
      <c r="C30" s="244">
        <f t="shared" si="3"/>
        <v>0</v>
      </c>
      <c r="D30" s="244">
        <f>单SKU总广告监控表!G39</f>
        <v>0</v>
      </c>
      <c r="E30" s="244">
        <f>业务报告!L30</f>
        <v>0</v>
      </c>
      <c r="F30" s="244"/>
      <c r="G30" s="250">
        <f t="shared" si="0"/>
        <v>0</v>
      </c>
      <c r="H30" s="244">
        <f t="shared" si="1"/>
        <v>0</v>
      </c>
      <c r="I30" s="254">
        <f>业务报告!K30</f>
        <v>0</v>
      </c>
      <c r="J30" s="255">
        <f t="shared" si="2"/>
        <v>0</v>
      </c>
      <c r="K30" s="244">
        <f>业务报告!I30</f>
        <v>0</v>
      </c>
      <c r="L30" s="250">
        <f t="shared" si="4"/>
        <v>0</v>
      </c>
    </row>
    <row r="31" spans="1:12">
      <c r="A31" s="242">
        <v>44164</v>
      </c>
      <c r="B31" s="244"/>
      <c r="C31" s="244">
        <f t="shared" si="3"/>
        <v>0</v>
      </c>
      <c r="D31" s="244">
        <f>单SKU总广告监控表!G40</f>
        <v>0</v>
      </c>
      <c r="E31" s="244">
        <f>业务报告!L31</f>
        <v>0</v>
      </c>
      <c r="F31" s="244"/>
      <c r="G31" s="250">
        <f t="shared" si="0"/>
        <v>0</v>
      </c>
      <c r="H31" s="244">
        <f t="shared" si="1"/>
        <v>0</v>
      </c>
      <c r="I31" s="254">
        <f>业务报告!K31</f>
        <v>0</v>
      </c>
      <c r="J31" s="255">
        <f t="shared" si="2"/>
        <v>0</v>
      </c>
      <c r="K31" s="244">
        <f>业务报告!I31</f>
        <v>0</v>
      </c>
      <c r="L31" s="250">
        <f t="shared" si="4"/>
        <v>0</v>
      </c>
    </row>
    <row r="32" spans="1:12">
      <c r="A32" s="242">
        <v>44165</v>
      </c>
      <c r="B32" s="244"/>
      <c r="C32" s="244">
        <f t="shared" si="3"/>
        <v>0</v>
      </c>
      <c r="D32" s="244">
        <f>单SKU总广告监控表!G41</f>
        <v>0</v>
      </c>
      <c r="E32" s="244">
        <f>业务报告!L32</f>
        <v>0</v>
      </c>
      <c r="F32" s="244"/>
      <c r="G32" s="250">
        <f t="shared" si="0"/>
        <v>0</v>
      </c>
      <c r="H32" s="244">
        <f t="shared" si="1"/>
        <v>0</v>
      </c>
      <c r="I32" s="254">
        <f>业务报告!K32</f>
        <v>0</v>
      </c>
      <c r="J32" s="255">
        <f t="shared" si="2"/>
        <v>0</v>
      </c>
      <c r="K32" s="244">
        <f>业务报告!I32</f>
        <v>0</v>
      </c>
      <c r="L32" s="250">
        <f t="shared" si="4"/>
        <v>0</v>
      </c>
    </row>
    <row r="33" spans="1:12">
      <c r="A33" s="242" t="s">
        <v>13</v>
      </c>
      <c r="B33" s="244"/>
      <c r="C33" s="244">
        <f>SUM(C3:C32)</f>
        <v>0</v>
      </c>
      <c r="D33" s="244">
        <f t="shared" ref="D33:L33" si="5">SUM(D3:D32)</f>
        <v>0</v>
      </c>
      <c r="E33" s="244">
        <f t="shared" si="5"/>
        <v>0</v>
      </c>
      <c r="F33" s="244">
        <f t="shared" si="5"/>
        <v>0</v>
      </c>
      <c r="G33" s="250">
        <f t="shared" si="5"/>
        <v>0</v>
      </c>
      <c r="H33" s="244">
        <f t="shared" si="5"/>
        <v>0</v>
      </c>
      <c r="I33" s="244">
        <f t="shared" si="5"/>
        <v>0</v>
      </c>
      <c r="J33" s="250">
        <f t="shared" si="5"/>
        <v>0</v>
      </c>
      <c r="K33" s="244">
        <f t="shared" si="5"/>
        <v>0</v>
      </c>
      <c r="L33" s="250">
        <f t="shared" si="5"/>
        <v>0</v>
      </c>
    </row>
    <row r="34" spans="1:12">
      <c r="A34" s="242" t="s">
        <v>14</v>
      </c>
      <c r="B34" s="244"/>
      <c r="C34" s="251">
        <f>AVERAGE(C3:C32)</f>
        <v>0</v>
      </c>
      <c r="D34" s="251">
        <f t="shared" ref="D34:L34" si="6">AVERAGE(D3:D32)</f>
        <v>0</v>
      </c>
      <c r="E34" s="251">
        <f t="shared" si="6"/>
        <v>0</v>
      </c>
      <c r="F34" s="251"/>
      <c r="G34" s="252">
        <f t="shared" si="6"/>
        <v>0</v>
      </c>
      <c r="H34" s="251">
        <f t="shared" si="6"/>
        <v>0</v>
      </c>
      <c r="I34" s="251">
        <f t="shared" si="6"/>
        <v>0</v>
      </c>
      <c r="J34" s="252">
        <f t="shared" si="6"/>
        <v>0</v>
      </c>
      <c r="K34" s="251">
        <f t="shared" si="6"/>
        <v>0</v>
      </c>
      <c r="L34" s="252">
        <f t="shared" si="6"/>
        <v>0</v>
      </c>
    </row>
  </sheetData>
  <sheetProtection formatCells="0" insertHyperlinks="0" autoFilter="0"/>
  <mergeCells count="1">
    <mergeCell ref="A1:L1"/>
  </mergeCells>
  <pageMargins left="0.75" right="0.75" top="1" bottom="1" header="0.5" footer="0.5"/>
  <pageSetup paperSize="9" scale="8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zoomScale="85" zoomScaleNormal="85" workbookViewId="0">
      <pane ySplit="2" topLeftCell="A3" activePane="bottomLeft" state="frozen"/>
      <selection/>
      <selection pane="bottomLeft" activeCell="R3" sqref="R3"/>
    </sheetView>
  </sheetViews>
  <sheetFormatPr defaultColWidth="9" defaultRowHeight="15"/>
  <cols>
    <col min="1" max="1" width="10.25" style="173" customWidth="1"/>
    <col min="2" max="3" width="13.375" style="173" customWidth="1"/>
    <col min="4" max="4" width="9.75" style="173" customWidth="1"/>
    <col min="5" max="5" width="11.875" style="237" customWidth="1"/>
    <col min="6" max="6" width="8.125" style="173" customWidth="1"/>
    <col min="7" max="7" width="11.875" style="237" customWidth="1"/>
    <col min="8" max="8" width="10" style="237" customWidth="1"/>
    <col min="9" max="9" width="10" style="173" customWidth="1"/>
    <col min="10" max="10" width="10.5" style="237" customWidth="1"/>
    <col min="11" max="14" width="10.5" style="173" customWidth="1"/>
    <col min="15" max="15" width="12.625" style="173"/>
    <col min="16" max="259" width="9" style="173"/>
    <col min="260" max="16384" width="9" style="238"/>
  </cols>
  <sheetData>
    <row r="1" ht="33" customHeight="1" spans="1:15">
      <c r="A1" s="239" t="s">
        <v>1</v>
      </c>
      <c r="B1" s="239" t="s">
        <v>15</v>
      </c>
      <c r="C1" s="239" t="s">
        <v>16</v>
      </c>
      <c r="D1" s="240" t="s">
        <v>17</v>
      </c>
      <c r="E1" s="241" t="s">
        <v>18</v>
      </c>
      <c r="F1" s="240" t="s">
        <v>19</v>
      </c>
      <c r="G1" s="241" t="s">
        <v>20</v>
      </c>
      <c r="H1" s="241" t="s">
        <v>21</v>
      </c>
      <c r="I1" s="240" t="s">
        <v>22</v>
      </c>
      <c r="J1" s="241" t="s">
        <v>23</v>
      </c>
      <c r="K1" s="240" t="s">
        <v>24</v>
      </c>
      <c r="L1" s="240" t="s">
        <v>25</v>
      </c>
      <c r="M1" s="240" t="s">
        <v>26</v>
      </c>
      <c r="N1" s="240" t="s">
        <v>3</v>
      </c>
      <c r="O1" s="240" t="s">
        <v>27</v>
      </c>
    </row>
    <row r="2" ht="35.1" customHeight="1" spans="1:15">
      <c r="A2" s="239" t="s">
        <v>28</v>
      </c>
      <c r="B2" s="239" t="s">
        <v>15</v>
      </c>
      <c r="C2" s="239"/>
      <c r="D2" s="240" t="s">
        <v>29</v>
      </c>
      <c r="E2" s="241" t="s">
        <v>30</v>
      </c>
      <c r="F2" s="240" t="s">
        <v>31</v>
      </c>
      <c r="G2" s="241" t="s">
        <v>32</v>
      </c>
      <c r="H2" s="241" t="s">
        <v>33</v>
      </c>
      <c r="I2" s="240" t="s">
        <v>34</v>
      </c>
      <c r="J2" s="241" t="s">
        <v>35</v>
      </c>
      <c r="K2" s="240" t="s">
        <v>36</v>
      </c>
      <c r="L2" s="240" t="s">
        <v>37</v>
      </c>
      <c r="M2" s="240"/>
      <c r="N2" s="240"/>
      <c r="O2" s="240"/>
    </row>
    <row r="3" spans="1:15">
      <c r="A3" s="242">
        <v>44136</v>
      </c>
      <c r="B3" s="242"/>
      <c r="C3" s="243">
        <f>D3+单SKU总广告监控表!C12</f>
        <v>0</v>
      </c>
      <c r="D3" s="244"/>
      <c r="E3" s="245"/>
      <c r="F3" s="244"/>
      <c r="G3" s="245"/>
      <c r="H3" s="246"/>
      <c r="I3" s="244"/>
      <c r="J3" s="245"/>
      <c r="K3" s="247"/>
      <c r="L3" s="244"/>
      <c r="M3" s="245" t="e">
        <f>L3/C3</f>
        <v>#DIV/0!</v>
      </c>
      <c r="N3" s="244">
        <f>销售日报表!C3</f>
        <v>0</v>
      </c>
      <c r="O3" s="245" t="e">
        <f>N3/D3</f>
        <v>#DIV/0!</v>
      </c>
    </row>
    <row r="4" spans="1:15">
      <c r="A4" s="242">
        <v>44137</v>
      </c>
      <c r="B4" s="242"/>
      <c r="C4" s="243">
        <f>D4+单SKU总广告监控表!C13</f>
        <v>0</v>
      </c>
      <c r="D4" s="244"/>
      <c r="E4" s="245"/>
      <c r="F4" s="244"/>
      <c r="G4" s="245"/>
      <c r="H4" s="246"/>
      <c r="I4" s="244"/>
      <c r="J4" s="245"/>
      <c r="K4" s="247"/>
      <c r="L4" s="244"/>
      <c r="M4" s="245" t="e">
        <f t="shared" ref="M4:M32" si="0">L4/C4</f>
        <v>#DIV/0!</v>
      </c>
      <c r="N4" s="244">
        <f>销售日报表!C4</f>
        <v>0</v>
      </c>
      <c r="O4" s="245" t="e">
        <f t="shared" ref="O4:O32" si="1">N4/D4</f>
        <v>#DIV/0!</v>
      </c>
    </row>
    <row r="5" spans="1:15">
      <c r="A5" s="242">
        <v>44138</v>
      </c>
      <c r="B5" s="242"/>
      <c r="C5" s="243">
        <f>D5+单SKU总广告监控表!C14</f>
        <v>0</v>
      </c>
      <c r="D5" s="244"/>
      <c r="E5" s="245"/>
      <c r="F5" s="244"/>
      <c r="G5" s="245"/>
      <c r="H5" s="246"/>
      <c r="I5" s="244"/>
      <c r="J5" s="245"/>
      <c r="K5" s="247"/>
      <c r="L5" s="244"/>
      <c r="M5" s="245" t="e">
        <f t="shared" si="0"/>
        <v>#DIV/0!</v>
      </c>
      <c r="N5" s="244">
        <f>销售日报表!C5</f>
        <v>0</v>
      </c>
      <c r="O5" s="245" t="e">
        <f t="shared" si="1"/>
        <v>#DIV/0!</v>
      </c>
    </row>
    <row r="6" spans="1:15">
      <c r="A6" s="242">
        <v>44139</v>
      </c>
      <c r="B6" s="242"/>
      <c r="C6" s="243">
        <f>D6+单SKU总广告监控表!C15</f>
        <v>0</v>
      </c>
      <c r="D6" s="244"/>
      <c r="E6" s="245"/>
      <c r="F6" s="244"/>
      <c r="G6" s="245"/>
      <c r="H6" s="246"/>
      <c r="I6" s="244"/>
      <c r="J6" s="245"/>
      <c r="K6" s="247"/>
      <c r="L6" s="244"/>
      <c r="M6" s="245" t="e">
        <f t="shared" si="0"/>
        <v>#DIV/0!</v>
      </c>
      <c r="N6" s="244">
        <f>销售日报表!C6</f>
        <v>0</v>
      </c>
      <c r="O6" s="245" t="e">
        <f t="shared" si="1"/>
        <v>#DIV/0!</v>
      </c>
    </row>
    <row r="7" spans="1:15">
      <c r="A7" s="242">
        <v>44140</v>
      </c>
      <c r="B7" s="242"/>
      <c r="C7" s="243">
        <f>D7+单SKU总广告监控表!C16</f>
        <v>0</v>
      </c>
      <c r="D7" s="244"/>
      <c r="E7" s="245"/>
      <c r="F7" s="244"/>
      <c r="G7" s="245"/>
      <c r="H7" s="246"/>
      <c r="I7" s="244"/>
      <c r="J7" s="245"/>
      <c r="K7" s="247"/>
      <c r="L7" s="244"/>
      <c r="M7" s="245" t="e">
        <f t="shared" si="0"/>
        <v>#DIV/0!</v>
      </c>
      <c r="N7" s="244">
        <f>销售日报表!C7</f>
        <v>0</v>
      </c>
      <c r="O7" s="245" t="e">
        <f t="shared" si="1"/>
        <v>#DIV/0!</v>
      </c>
    </row>
    <row r="8" spans="1:15">
      <c r="A8" s="242">
        <v>44141</v>
      </c>
      <c r="B8" s="242"/>
      <c r="C8" s="243">
        <f>D8+单SKU总广告监控表!C17</f>
        <v>0</v>
      </c>
      <c r="D8" s="244"/>
      <c r="E8" s="245"/>
      <c r="F8" s="244"/>
      <c r="G8" s="245"/>
      <c r="H8" s="246"/>
      <c r="I8" s="244"/>
      <c r="J8" s="245"/>
      <c r="K8" s="247"/>
      <c r="L8" s="244"/>
      <c r="M8" s="245" t="e">
        <f t="shared" si="0"/>
        <v>#DIV/0!</v>
      </c>
      <c r="N8" s="244">
        <f>销售日报表!C8</f>
        <v>0</v>
      </c>
      <c r="O8" s="245" t="e">
        <f t="shared" si="1"/>
        <v>#DIV/0!</v>
      </c>
    </row>
    <row r="9" spans="1:15">
      <c r="A9" s="242">
        <v>44142</v>
      </c>
      <c r="B9" s="242"/>
      <c r="C9" s="243">
        <f>D9+单SKU总广告监控表!C18</f>
        <v>0</v>
      </c>
      <c r="D9" s="244"/>
      <c r="E9" s="245"/>
      <c r="F9" s="244"/>
      <c r="G9" s="245"/>
      <c r="H9" s="246"/>
      <c r="I9" s="244"/>
      <c r="J9" s="245"/>
      <c r="K9" s="247"/>
      <c r="L9" s="244"/>
      <c r="M9" s="245" t="e">
        <f t="shared" si="0"/>
        <v>#DIV/0!</v>
      </c>
      <c r="N9" s="244">
        <f>销售日报表!C9</f>
        <v>0</v>
      </c>
      <c r="O9" s="245" t="e">
        <f t="shared" si="1"/>
        <v>#DIV/0!</v>
      </c>
    </row>
    <row r="10" spans="1:15">
      <c r="A10" s="242">
        <v>44143</v>
      </c>
      <c r="B10" s="242"/>
      <c r="C10" s="243">
        <f>D10+单SKU总广告监控表!C19</f>
        <v>0</v>
      </c>
      <c r="D10" s="244"/>
      <c r="E10" s="245"/>
      <c r="F10" s="244"/>
      <c r="G10" s="245"/>
      <c r="H10" s="246"/>
      <c r="I10" s="244"/>
      <c r="J10" s="245"/>
      <c r="K10" s="247"/>
      <c r="L10" s="244"/>
      <c r="M10" s="245" t="e">
        <f t="shared" si="0"/>
        <v>#DIV/0!</v>
      </c>
      <c r="N10" s="244">
        <f>销售日报表!C10</f>
        <v>0</v>
      </c>
      <c r="O10" s="245" t="e">
        <f t="shared" si="1"/>
        <v>#DIV/0!</v>
      </c>
    </row>
    <row r="11" spans="1:15">
      <c r="A11" s="242">
        <v>44144</v>
      </c>
      <c r="B11" s="242"/>
      <c r="C11" s="243">
        <f>D11+单SKU总广告监控表!C20</f>
        <v>0</v>
      </c>
      <c r="D11" s="244"/>
      <c r="E11" s="245"/>
      <c r="F11" s="244"/>
      <c r="G11" s="245"/>
      <c r="H11" s="246"/>
      <c r="I11" s="244"/>
      <c r="J11" s="245"/>
      <c r="K11" s="247"/>
      <c r="L11" s="244"/>
      <c r="M11" s="245" t="e">
        <f t="shared" si="0"/>
        <v>#DIV/0!</v>
      </c>
      <c r="N11" s="244">
        <f>销售日报表!C11</f>
        <v>0</v>
      </c>
      <c r="O11" s="245" t="e">
        <f t="shared" si="1"/>
        <v>#DIV/0!</v>
      </c>
    </row>
    <row r="12" spans="1:15">
      <c r="A12" s="242">
        <v>44145</v>
      </c>
      <c r="B12" s="242"/>
      <c r="C12" s="243">
        <f>D12+单SKU总广告监控表!C21</f>
        <v>0</v>
      </c>
      <c r="D12" s="244"/>
      <c r="E12" s="245"/>
      <c r="F12" s="244"/>
      <c r="G12" s="245"/>
      <c r="H12" s="246"/>
      <c r="I12" s="244"/>
      <c r="J12" s="245"/>
      <c r="K12" s="247"/>
      <c r="L12" s="244"/>
      <c r="M12" s="245" t="e">
        <f t="shared" si="0"/>
        <v>#DIV/0!</v>
      </c>
      <c r="N12" s="244">
        <f>销售日报表!C12</f>
        <v>0</v>
      </c>
      <c r="O12" s="245" t="e">
        <f t="shared" si="1"/>
        <v>#DIV/0!</v>
      </c>
    </row>
    <row r="13" spans="1:15">
      <c r="A13" s="242">
        <v>44146</v>
      </c>
      <c r="B13" s="242"/>
      <c r="C13" s="243">
        <f>D13+单SKU总广告监控表!C22</f>
        <v>0</v>
      </c>
      <c r="D13" s="244"/>
      <c r="E13" s="245"/>
      <c r="F13" s="244"/>
      <c r="G13" s="245"/>
      <c r="H13" s="246"/>
      <c r="I13" s="244"/>
      <c r="J13" s="245"/>
      <c r="K13" s="247"/>
      <c r="L13" s="244"/>
      <c r="M13" s="245" t="e">
        <f t="shared" si="0"/>
        <v>#DIV/0!</v>
      </c>
      <c r="N13" s="244">
        <f>销售日报表!C13</f>
        <v>0</v>
      </c>
      <c r="O13" s="245" t="e">
        <f t="shared" si="1"/>
        <v>#DIV/0!</v>
      </c>
    </row>
    <row r="14" spans="1:15">
      <c r="A14" s="242">
        <v>44147</v>
      </c>
      <c r="B14" s="242"/>
      <c r="C14" s="243">
        <f>D14+单SKU总广告监控表!C23</f>
        <v>0</v>
      </c>
      <c r="D14" s="244"/>
      <c r="E14" s="245"/>
      <c r="F14" s="244"/>
      <c r="G14" s="245"/>
      <c r="H14" s="246"/>
      <c r="I14" s="244"/>
      <c r="J14" s="245"/>
      <c r="K14" s="247"/>
      <c r="L14" s="244"/>
      <c r="M14" s="245" t="e">
        <f t="shared" si="0"/>
        <v>#DIV/0!</v>
      </c>
      <c r="N14" s="244">
        <f>销售日报表!C14</f>
        <v>0</v>
      </c>
      <c r="O14" s="245" t="e">
        <f t="shared" si="1"/>
        <v>#DIV/0!</v>
      </c>
    </row>
    <row r="15" spans="1:15">
      <c r="A15" s="242">
        <v>44148</v>
      </c>
      <c r="B15" s="242"/>
      <c r="C15" s="243">
        <f>D15+单SKU总广告监控表!C24</f>
        <v>0</v>
      </c>
      <c r="D15" s="244"/>
      <c r="E15" s="245"/>
      <c r="F15" s="244"/>
      <c r="G15" s="245"/>
      <c r="H15" s="246"/>
      <c r="I15" s="244"/>
      <c r="J15" s="245"/>
      <c r="K15" s="247"/>
      <c r="L15" s="244"/>
      <c r="M15" s="245" t="e">
        <f t="shared" si="0"/>
        <v>#DIV/0!</v>
      </c>
      <c r="N15" s="244">
        <f>销售日报表!C15</f>
        <v>0</v>
      </c>
      <c r="O15" s="245" t="e">
        <f t="shared" si="1"/>
        <v>#DIV/0!</v>
      </c>
    </row>
    <row r="16" spans="1:15">
      <c r="A16" s="242">
        <v>44149</v>
      </c>
      <c r="B16" s="242"/>
      <c r="C16" s="243">
        <f>D16+单SKU总广告监控表!C25</f>
        <v>0</v>
      </c>
      <c r="D16" s="244"/>
      <c r="E16" s="245"/>
      <c r="F16" s="244"/>
      <c r="G16" s="245"/>
      <c r="H16" s="246"/>
      <c r="I16" s="244"/>
      <c r="J16" s="245"/>
      <c r="K16" s="247"/>
      <c r="L16" s="244"/>
      <c r="M16" s="245" t="e">
        <f t="shared" si="0"/>
        <v>#DIV/0!</v>
      </c>
      <c r="N16" s="244">
        <f>销售日报表!C16</f>
        <v>0</v>
      </c>
      <c r="O16" s="245" t="e">
        <f t="shared" si="1"/>
        <v>#DIV/0!</v>
      </c>
    </row>
    <row r="17" spans="1:15">
      <c r="A17" s="242">
        <v>44150</v>
      </c>
      <c r="B17" s="242"/>
      <c r="C17" s="243">
        <f>D17+单SKU总广告监控表!C26</f>
        <v>0</v>
      </c>
      <c r="D17" s="244"/>
      <c r="E17" s="245"/>
      <c r="F17" s="244"/>
      <c r="G17" s="245"/>
      <c r="H17" s="246"/>
      <c r="I17" s="244"/>
      <c r="J17" s="245"/>
      <c r="K17" s="247"/>
      <c r="L17" s="244"/>
      <c r="M17" s="245" t="e">
        <f t="shared" si="0"/>
        <v>#DIV/0!</v>
      </c>
      <c r="N17" s="244">
        <f>销售日报表!C17</f>
        <v>0</v>
      </c>
      <c r="O17" s="245" t="e">
        <f t="shared" si="1"/>
        <v>#DIV/0!</v>
      </c>
    </row>
    <row r="18" spans="1:15">
      <c r="A18" s="242">
        <v>44151</v>
      </c>
      <c r="B18" s="242"/>
      <c r="C18" s="243">
        <f>D18+单SKU总广告监控表!C27</f>
        <v>0</v>
      </c>
      <c r="D18" s="244"/>
      <c r="E18" s="245"/>
      <c r="F18" s="244"/>
      <c r="G18" s="245"/>
      <c r="H18" s="246"/>
      <c r="I18" s="244"/>
      <c r="J18" s="245"/>
      <c r="K18" s="247"/>
      <c r="L18" s="244"/>
      <c r="M18" s="245" t="e">
        <f t="shared" si="0"/>
        <v>#DIV/0!</v>
      </c>
      <c r="N18" s="244">
        <f>销售日报表!C18</f>
        <v>0</v>
      </c>
      <c r="O18" s="245" t="e">
        <f t="shared" si="1"/>
        <v>#DIV/0!</v>
      </c>
    </row>
    <row r="19" spans="1:15">
      <c r="A19" s="242">
        <v>44152</v>
      </c>
      <c r="B19" s="242"/>
      <c r="C19" s="243">
        <f>D19+单SKU总广告监控表!C28</f>
        <v>0</v>
      </c>
      <c r="D19" s="244"/>
      <c r="E19" s="245"/>
      <c r="F19" s="244"/>
      <c r="G19" s="245"/>
      <c r="H19" s="246"/>
      <c r="I19" s="244"/>
      <c r="J19" s="245"/>
      <c r="K19" s="247"/>
      <c r="L19" s="244"/>
      <c r="M19" s="245" t="e">
        <f t="shared" si="0"/>
        <v>#DIV/0!</v>
      </c>
      <c r="N19" s="244">
        <f>销售日报表!C19</f>
        <v>0</v>
      </c>
      <c r="O19" s="245" t="e">
        <f t="shared" si="1"/>
        <v>#DIV/0!</v>
      </c>
    </row>
    <row r="20" spans="1:15">
      <c r="A20" s="242">
        <v>44153</v>
      </c>
      <c r="B20" s="242"/>
      <c r="C20" s="243">
        <f>D20+单SKU总广告监控表!C29</f>
        <v>0</v>
      </c>
      <c r="D20" s="244"/>
      <c r="E20" s="245"/>
      <c r="F20" s="244"/>
      <c r="G20" s="245"/>
      <c r="H20" s="246"/>
      <c r="I20" s="244"/>
      <c r="J20" s="245"/>
      <c r="K20" s="247"/>
      <c r="L20" s="244"/>
      <c r="M20" s="245" t="e">
        <f t="shared" si="0"/>
        <v>#DIV/0!</v>
      </c>
      <c r="N20" s="244">
        <f>销售日报表!C20</f>
        <v>0</v>
      </c>
      <c r="O20" s="245" t="e">
        <f t="shared" si="1"/>
        <v>#DIV/0!</v>
      </c>
    </row>
    <row r="21" spans="1:15">
      <c r="A21" s="242">
        <v>44154</v>
      </c>
      <c r="B21" s="242"/>
      <c r="C21" s="243">
        <f>D21+单SKU总广告监控表!C30</f>
        <v>0</v>
      </c>
      <c r="D21" s="244"/>
      <c r="E21" s="245"/>
      <c r="F21" s="244"/>
      <c r="G21" s="245"/>
      <c r="H21" s="246"/>
      <c r="I21" s="244"/>
      <c r="J21" s="245"/>
      <c r="K21" s="247"/>
      <c r="L21" s="244"/>
      <c r="M21" s="245" t="e">
        <f t="shared" si="0"/>
        <v>#DIV/0!</v>
      </c>
      <c r="N21" s="244">
        <f>销售日报表!C21</f>
        <v>0</v>
      </c>
      <c r="O21" s="245" t="e">
        <f t="shared" si="1"/>
        <v>#DIV/0!</v>
      </c>
    </row>
    <row r="22" spans="1:15">
      <c r="A22" s="242">
        <v>44155</v>
      </c>
      <c r="B22" s="242"/>
      <c r="C22" s="243">
        <f>D22+单SKU总广告监控表!C31</f>
        <v>0</v>
      </c>
      <c r="D22" s="244"/>
      <c r="E22" s="245"/>
      <c r="F22" s="244"/>
      <c r="G22" s="245"/>
      <c r="H22" s="246"/>
      <c r="I22" s="244"/>
      <c r="J22" s="245"/>
      <c r="K22" s="247"/>
      <c r="L22" s="244"/>
      <c r="M22" s="245" t="e">
        <f t="shared" si="0"/>
        <v>#DIV/0!</v>
      </c>
      <c r="N22" s="244">
        <f>销售日报表!C22</f>
        <v>0</v>
      </c>
      <c r="O22" s="245" t="e">
        <f t="shared" si="1"/>
        <v>#DIV/0!</v>
      </c>
    </row>
    <row r="23" spans="1:15">
      <c r="A23" s="242">
        <v>44156</v>
      </c>
      <c r="B23" s="242"/>
      <c r="C23" s="243">
        <f>D23+单SKU总广告监控表!C32</f>
        <v>0</v>
      </c>
      <c r="D23" s="244"/>
      <c r="E23" s="245"/>
      <c r="F23" s="244"/>
      <c r="G23" s="245"/>
      <c r="H23" s="246"/>
      <c r="I23" s="244"/>
      <c r="J23" s="245"/>
      <c r="K23" s="247"/>
      <c r="L23" s="244"/>
      <c r="M23" s="245" t="e">
        <f t="shared" si="0"/>
        <v>#DIV/0!</v>
      </c>
      <c r="N23" s="244">
        <f>销售日报表!C23</f>
        <v>0</v>
      </c>
      <c r="O23" s="245" t="e">
        <f t="shared" si="1"/>
        <v>#DIV/0!</v>
      </c>
    </row>
    <row r="24" spans="1:15">
      <c r="A24" s="242">
        <v>44157</v>
      </c>
      <c r="B24" s="242"/>
      <c r="C24" s="243">
        <f>D24+单SKU总广告监控表!C33</f>
        <v>0</v>
      </c>
      <c r="D24" s="244"/>
      <c r="E24" s="245"/>
      <c r="F24" s="244"/>
      <c r="G24" s="245"/>
      <c r="H24" s="246"/>
      <c r="I24" s="244"/>
      <c r="J24" s="245"/>
      <c r="K24" s="247"/>
      <c r="L24" s="244"/>
      <c r="M24" s="245" t="e">
        <f t="shared" si="0"/>
        <v>#DIV/0!</v>
      </c>
      <c r="N24" s="244">
        <f>销售日报表!C24</f>
        <v>0</v>
      </c>
      <c r="O24" s="245" t="e">
        <f t="shared" si="1"/>
        <v>#DIV/0!</v>
      </c>
    </row>
    <row r="25" spans="1:15">
      <c r="A25" s="242">
        <v>44158</v>
      </c>
      <c r="B25" s="242"/>
      <c r="C25" s="243">
        <f>D25+单SKU总广告监控表!C34</f>
        <v>0</v>
      </c>
      <c r="D25" s="244"/>
      <c r="E25" s="245"/>
      <c r="F25" s="244"/>
      <c r="G25" s="245"/>
      <c r="H25" s="246"/>
      <c r="I25" s="244"/>
      <c r="J25" s="245"/>
      <c r="K25" s="247"/>
      <c r="L25" s="244"/>
      <c r="M25" s="245" t="e">
        <f t="shared" si="0"/>
        <v>#DIV/0!</v>
      </c>
      <c r="N25" s="244">
        <f>销售日报表!C25</f>
        <v>0</v>
      </c>
      <c r="O25" s="245" t="e">
        <f t="shared" si="1"/>
        <v>#DIV/0!</v>
      </c>
    </row>
    <row r="26" spans="1:15">
      <c r="A26" s="242">
        <v>44159</v>
      </c>
      <c r="B26" s="242"/>
      <c r="C26" s="243">
        <f>D26+单SKU总广告监控表!C35</f>
        <v>0</v>
      </c>
      <c r="D26" s="244"/>
      <c r="E26" s="245"/>
      <c r="F26" s="244"/>
      <c r="G26" s="245"/>
      <c r="H26" s="246"/>
      <c r="I26" s="244"/>
      <c r="J26" s="245"/>
      <c r="K26" s="247"/>
      <c r="L26" s="244"/>
      <c r="M26" s="245" t="e">
        <f t="shared" si="0"/>
        <v>#DIV/0!</v>
      </c>
      <c r="N26" s="244">
        <f>销售日报表!C26</f>
        <v>0</v>
      </c>
      <c r="O26" s="245" t="e">
        <f t="shared" si="1"/>
        <v>#DIV/0!</v>
      </c>
    </row>
    <row r="27" spans="1:15">
      <c r="A27" s="242">
        <v>44160</v>
      </c>
      <c r="B27" s="242"/>
      <c r="C27" s="243">
        <f>D27+单SKU总广告监控表!C36</f>
        <v>0</v>
      </c>
      <c r="D27" s="244"/>
      <c r="E27" s="245"/>
      <c r="F27" s="244"/>
      <c r="G27" s="245"/>
      <c r="H27" s="246"/>
      <c r="I27" s="244"/>
      <c r="J27" s="245"/>
      <c r="K27" s="247"/>
      <c r="L27" s="244"/>
      <c r="M27" s="245" t="e">
        <f t="shared" si="0"/>
        <v>#DIV/0!</v>
      </c>
      <c r="N27" s="244">
        <f>销售日报表!C27</f>
        <v>0</v>
      </c>
      <c r="O27" s="245" t="e">
        <f t="shared" si="1"/>
        <v>#DIV/0!</v>
      </c>
    </row>
    <row r="28" spans="1:15">
      <c r="A28" s="242">
        <v>44161</v>
      </c>
      <c r="B28" s="242"/>
      <c r="C28" s="243">
        <f>D28+单SKU总广告监控表!C37</f>
        <v>0</v>
      </c>
      <c r="D28" s="244"/>
      <c r="E28" s="245"/>
      <c r="F28" s="244"/>
      <c r="G28" s="245"/>
      <c r="H28" s="246"/>
      <c r="I28" s="244"/>
      <c r="J28" s="245"/>
      <c r="K28" s="247"/>
      <c r="L28" s="244"/>
      <c r="M28" s="245" t="e">
        <f t="shared" si="0"/>
        <v>#DIV/0!</v>
      </c>
      <c r="N28" s="244">
        <f>销售日报表!C28</f>
        <v>0</v>
      </c>
      <c r="O28" s="245" t="e">
        <f t="shared" si="1"/>
        <v>#DIV/0!</v>
      </c>
    </row>
    <row r="29" spans="1:15">
      <c r="A29" s="242">
        <v>44162</v>
      </c>
      <c r="B29" s="242"/>
      <c r="C29" s="243">
        <f>D29+单SKU总广告监控表!C38</f>
        <v>0</v>
      </c>
      <c r="D29" s="244"/>
      <c r="E29" s="245"/>
      <c r="F29" s="244"/>
      <c r="G29" s="245"/>
      <c r="H29" s="246"/>
      <c r="I29" s="244"/>
      <c r="J29" s="245"/>
      <c r="K29" s="247"/>
      <c r="L29" s="244"/>
      <c r="M29" s="245" t="e">
        <f t="shared" si="0"/>
        <v>#DIV/0!</v>
      </c>
      <c r="N29" s="244">
        <f>销售日报表!C29</f>
        <v>0</v>
      </c>
      <c r="O29" s="245" t="e">
        <f t="shared" si="1"/>
        <v>#DIV/0!</v>
      </c>
    </row>
    <row r="30" spans="1:15">
      <c r="A30" s="242">
        <v>44163</v>
      </c>
      <c r="B30" s="242"/>
      <c r="C30" s="243">
        <f>D30+单SKU总广告监控表!C39</f>
        <v>0</v>
      </c>
      <c r="D30" s="244"/>
      <c r="E30" s="245"/>
      <c r="F30" s="244"/>
      <c r="G30" s="245"/>
      <c r="H30" s="246"/>
      <c r="I30" s="244"/>
      <c r="J30" s="245"/>
      <c r="K30" s="247"/>
      <c r="L30" s="244"/>
      <c r="M30" s="245" t="e">
        <f t="shared" si="0"/>
        <v>#DIV/0!</v>
      </c>
      <c r="N30" s="244">
        <f>销售日报表!C30</f>
        <v>0</v>
      </c>
      <c r="O30" s="245" t="e">
        <f t="shared" si="1"/>
        <v>#DIV/0!</v>
      </c>
    </row>
    <row r="31" spans="1:15">
      <c r="A31" s="242">
        <v>44164</v>
      </c>
      <c r="B31" s="242"/>
      <c r="C31" s="243">
        <f>D31+单SKU总广告监控表!C40</f>
        <v>0</v>
      </c>
      <c r="D31" s="244"/>
      <c r="E31" s="245"/>
      <c r="F31" s="244"/>
      <c r="G31" s="245"/>
      <c r="H31" s="246"/>
      <c r="I31" s="244"/>
      <c r="J31" s="245"/>
      <c r="K31" s="247"/>
      <c r="L31" s="244"/>
      <c r="M31" s="245" t="e">
        <f t="shared" si="0"/>
        <v>#DIV/0!</v>
      </c>
      <c r="N31" s="244">
        <f>销售日报表!C31</f>
        <v>0</v>
      </c>
      <c r="O31" s="245" t="e">
        <f t="shared" si="1"/>
        <v>#DIV/0!</v>
      </c>
    </row>
    <row r="32" spans="1:15">
      <c r="A32" s="242">
        <v>44165</v>
      </c>
      <c r="B32" s="242"/>
      <c r="C32" s="243">
        <f>D32+单SKU总广告监控表!C41</f>
        <v>0</v>
      </c>
      <c r="D32" s="244"/>
      <c r="E32" s="245"/>
      <c r="F32" s="244"/>
      <c r="G32" s="245"/>
      <c r="H32" s="246"/>
      <c r="I32" s="244"/>
      <c r="J32" s="245"/>
      <c r="K32" s="247"/>
      <c r="L32" s="244"/>
      <c r="M32" s="245" t="e">
        <f t="shared" si="0"/>
        <v>#DIV/0!</v>
      </c>
      <c r="N32" s="244">
        <f>销售日报表!C32</f>
        <v>0</v>
      </c>
      <c r="O32" s="245" t="e">
        <f t="shared" si="1"/>
        <v>#DIV/0!</v>
      </c>
    </row>
    <row r="33" customFormat="1" ht="15.6"/>
    <row r="34" customFormat="1" ht="15.6"/>
    <row r="35" customFormat="1" ht="15.6"/>
    <row r="36" customFormat="1" ht="15.6"/>
    <row r="37" customFormat="1" ht="15.6"/>
  </sheetData>
  <sheetProtection formatCells="0" insertHyperlinks="0" autoFilter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zoomScale="70" zoomScaleNormal="70" workbookViewId="0">
      <pane ySplit="11" topLeftCell="A12" activePane="bottomLeft" state="frozen"/>
      <selection/>
      <selection pane="bottomLeft" activeCell="U14" sqref="U14"/>
    </sheetView>
  </sheetViews>
  <sheetFormatPr defaultColWidth="9" defaultRowHeight="15.6"/>
  <cols>
    <col min="1" max="3" width="9.5" style="213" customWidth="1"/>
    <col min="4" max="4" width="12.625" style="213" customWidth="1"/>
    <col min="5" max="5" width="9.5" style="214" customWidth="1"/>
    <col min="6" max="7" width="13.75" style="214" customWidth="1"/>
    <col min="8" max="8" width="12" style="213" customWidth="1"/>
    <col min="9" max="9" width="10.75" style="190" customWidth="1"/>
    <col min="10" max="12" width="12.625" style="190"/>
    <col min="13" max="13" width="10.5" style="190" customWidth="1"/>
    <col min="14" max="14" width="28.875" style="190" customWidth="1"/>
    <col min="15" max="16" width="13.75" style="190" customWidth="1"/>
    <col min="17" max="17" width="11.375" style="190" customWidth="1"/>
    <col min="18" max="16384" width="8.75" style="190"/>
  </cols>
  <sheetData>
    <row r="1" spans="1:15">
      <c r="A1" s="215"/>
      <c r="B1" s="215"/>
      <c r="C1" s="215"/>
      <c r="D1" s="215"/>
      <c r="E1" s="208"/>
      <c r="F1" s="208"/>
      <c r="G1" s="208"/>
      <c r="H1" s="215"/>
      <c r="I1" s="176"/>
      <c r="J1" s="176"/>
      <c r="K1" s="176"/>
      <c r="L1" s="176"/>
      <c r="M1" s="176"/>
      <c r="N1" s="176"/>
      <c r="O1" s="176"/>
    </row>
    <row r="2" spans="1:15">
      <c r="A2" s="215"/>
      <c r="B2" s="215"/>
      <c r="C2" s="215"/>
      <c r="D2" s="215"/>
      <c r="E2" s="208"/>
      <c r="F2" s="208"/>
      <c r="G2" s="208"/>
      <c r="H2" s="215"/>
      <c r="I2" s="176"/>
      <c r="J2" s="176"/>
      <c r="K2" s="176"/>
      <c r="L2" s="176"/>
      <c r="M2" s="176"/>
      <c r="N2" s="176"/>
      <c r="O2" s="176"/>
    </row>
    <row r="3" spans="1:15">
      <c r="A3" s="215"/>
      <c r="B3" s="215"/>
      <c r="C3" s="215"/>
      <c r="D3" s="215"/>
      <c r="E3" s="208"/>
      <c r="F3" s="208"/>
      <c r="G3" s="208"/>
      <c r="H3" s="215"/>
      <c r="I3" s="176"/>
      <c r="J3" s="176"/>
      <c r="K3" s="176"/>
      <c r="L3" s="176"/>
      <c r="M3" s="176"/>
      <c r="N3" s="176"/>
      <c r="O3" s="176"/>
    </row>
    <row r="4" spans="1:15">
      <c r="A4" s="215"/>
      <c r="B4" s="215"/>
      <c r="C4" s="215"/>
      <c r="D4" s="215"/>
      <c r="E4" s="208"/>
      <c r="F4" s="208"/>
      <c r="G4" s="208"/>
      <c r="H4" s="215"/>
      <c r="I4" s="176"/>
      <c r="J4" s="176"/>
      <c r="K4" s="176"/>
      <c r="L4" s="176"/>
      <c r="M4" s="176"/>
      <c r="N4" s="176"/>
      <c r="O4" s="176"/>
    </row>
    <row r="5" spans="1:15">
      <c r="A5" s="215"/>
      <c r="B5" s="215"/>
      <c r="C5" s="215"/>
      <c r="D5" s="215"/>
      <c r="E5" s="208"/>
      <c r="F5" s="208"/>
      <c r="G5" s="208"/>
      <c r="H5" s="215"/>
      <c r="I5" s="176"/>
      <c r="J5" s="176"/>
      <c r="K5" s="176"/>
      <c r="L5" s="176"/>
      <c r="M5" s="176"/>
      <c r="N5" s="176"/>
      <c r="O5" s="176"/>
    </row>
    <row r="6" spans="1:15">
      <c r="A6" s="215"/>
      <c r="B6" s="215"/>
      <c r="C6" s="215"/>
      <c r="D6" s="215"/>
      <c r="E6" s="208"/>
      <c r="F6" s="208"/>
      <c r="G6" s="208"/>
      <c r="H6" s="215"/>
      <c r="I6" s="176"/>
      <c r="J6" s="176"/>
      <c r="K6" s="176"/>
      <c r="L6" s="176"/>
      <c r="M6" s="176"/>
      <c r="N6" s="176"/>
      <c r="O6" s="176"/>
    </row>
    <row r="7" spans="1:15">
      <c r="A7" s="215"/>
      <c r="B7" s="215"/>
      <c r="C7" s="215"/>
      <c r="D7" s="215"/>
      <c r="E7" s="208"/>
      <c r="F7" s="208"/>
      <c r="G7" s="208"/>
      <c r="H7" s="215"/>
      <c r="I7" s="176"/>
      <c r="J7" s="176"/>
      <c r="K7" s="176"/>
      <c r="L7" s="176"/>
      <c r="M7" s="176"/>
      <c r="N7" s="176"/>
      <c r="O7" s="176"/>
    </row>
    <row r="8" spans="1:15">
      <c r="A8" s="215"/>
      <c r="B8" s="215"/>
      <c r="C8" s="215"/>
      <c r="D8" s="215"/>
      <c r="E8" s="208"/>
      <c r="F8" s="208"/>
      <c r="G8" s="208"/>
      <c r="H8" s="215"/>
      <c r="I8" s="176"/>
      <c r="J8" s="176"/>
      <c r="K8" s="176"/>
      <c r="L8" s="176"/>
      <c r="M8" s="176"/>
      <c r="N8" s="176"/>
      <c r="O8" s="176"/>
    </row>
    <row r="9" spans="1:15">
      <c r="A9" s="215"/>
      <c r="B9" s="215"/>
      <c r="C9" s="215"/>
      <c r="D9" s="215"/>
      <c r="E9" s="208"/>
      <c r="F9" s="208"/>
      <c r="G9" s="208"/>
      <c r="H9" s="215"/>
      <c r="I9" s="176"/>
      <c r="J9" s="176"/>
      <c r="K9" s="176"/>
      <c r="L9" s="176"/>
      <c r="M9" s="176"/>
      <c r="N9" s="176"/>
      <c r="O9" s="176"/>
    </row>
    <row r="10" spans="1:15">
      <c r="A10" s="216"/>
      <c r="B10" s="216"/>
      <c r="C10" s="216"/>
      <c r="D10" s="216"/>
      <c r="E10" s="217"/>
      <c r="F10" s="217"/>
      <c r="G10" s="217"/>
      <c r="H10" s="216"/>
      <c r="I10" s="229"/>
      <c r="J10" s="229"/>
      <c r="K10" s="229"/>
      <c r="L10" s="229"/>
      <c r="M10" s="229"/>
      <c r="N10" s="229"/>
      <c r="O10" s="176"/>
    </row>
    <row r="11" ht="36.95" customHeight="1" spans="1:16">
      <c r="A11" s="218" t="s">
        <v>1</v>
      </c>
      <c r="B11" s="219" t="s">
        <v>38</v>
      </c>
      <c r="C11" s="219" t="s">
        <v>39</v>
      </c>
      <c r="D11" s="220" t="s">
        <v>40</v>
      </c>
      <c r="E11" s="221" t="s">
        <v>41</v>
      </c>
      <c r="F11" s="221" t="s">
        <v>42</v>
      </c>
      <c r="G11" s="219" t="s">
        <v>43</v>
      </c>
      <c r="H11" s="220" t="s">
        <v>44</v>
      </c>
      <c r="I11" s="230" t="s">
        <v>45</v>
      </c>
      <c r="J11" s="230" t="s">
        <v>46</v>
      </c>
      <c r="K11" s="231" t="s">
        <v>47</v>
      </c>
      <c r="L11" s="220" t="s">
        <v>48</v>
      </c>
      <c r="M11" s="220" t="s">
        <v>49</v>
      </c>
      <c r="N11" s="219" t="s">
        <v>50</v>
      </c>
      <c r="O11" s="230" t="s">
        <v>51</v>
      </c>
      <c r="P11" s="230" t="s">
        <v>52</v>
      </c>
    </row>
    <row r="12" ht="16.35" spans="1:16">
      <c r="A12" s="222">
        <v>44136</v>
      </c>
      <c r="B12" s="223"/>
      <c r="C12" s="223"/>
      <c r="D12" s="224" t="e">
        <f t="shared" ref="D12:D41" si="0">C12/B12</f>
        <v>#DIV/0!</v>
      </c>
      <c r="E12" s="225"/>
      <c r="F12" s="226" t="e">
        <f t="shared" ref="F12:F41" si="1">E12/C12</f>
        <v>#DIV/0!</v>
      </c>
      <c r="G12" s="223"/>
      <c r="H12" s="223"/>
      <c r="I12" s="224" t="e">
        <f t="shared" ref="I12:I41" si="2">E12/H12</f>
        <v>#DIV/0!</v>
      </c>
      <c r="J12" s="226" t="e">
        <f t="shared" ref="J12:J41" si="3">H12/E12</f>
        <v>#DIV/0!</v>
      </c>
      <c r="K12" s="224" t="e">
        <f t="shared" ref="K12:K41" si="4">G12/C12</f>
        <v>#DIV/0!</v>
      </c>
      <c r="L12" s="232" t="e">
        <f t="shared" ref="L12:L41" si="5">H12/M12</f>
        <v>#DIV/0!</v>
      </c>
      <c r="M12" s="225">
        <f>销售日报表!B3</f>
        <v>0</v>
      </c>
      <c r="N12" s="223"/>
      <c r="O12" s="223"/>
      <c r="P12" s="233"/>
    </row>
    <row r="13" spans="1:16">
      <c r="A13" s="222">
        <v>44137</v>
      </c>
      <c r="B13" s="223"/>
      <c r="C13" s="223"/>
      <c r="D13" s="224" t="e">
        <f t="shared" si="0"/>
        <v>#DIV/0!</v>
      </c>
      <c r="E13" s="225"/>
      <c r="F13" s="226" t="e">
        <f t="shared" si="1"/>
        <v>#DIV/0!</v>
      </c>
      <c r="G13" s="223"/>
      <c r="H13" s="223"/>
      <c r="I13" s="224" t="e">
        <f t="shared" si="2"/>
        <v>#DIV/0!</v>
      </c>
      <c r="J13" s="226" t="e">
        <f t="shared" si="3"/>
        <v>#DIV/0!</v>
      </c>
      <c r="K13" s="224" t="e">
        <f t="shared" si="4"/>
        <v>#DIV/0!</v>
      </c>
      <c r="L13" s="232" t="e">
        <f t="shared" si="5"/>
        <v>#DIV/0!</v>
      </c>
      <c r="M13" s="225">
        <f>销售日报表!B4</f>
        <v>0</v>
      </c>
      <c r="N13" s="223"/>
      <c r="O13" s="223"/>
      <c r="P13" s="233"/>
    </row>
    <row r="14" spans="1:16">
      <c r="A14" s="222">
        <v>44138</v>
      </c>
      <c r="B14" s="223"/>
      <c r="C14" s="223"/>
      <c r="D14" s="224" t="e">
        <f t="shared" si="0"/>
        <v>#DIV/0!</v>
      </c>
      <c r="E14" s="225"/>
      <c r="F14" s="226" t="e">
        <f t="shared" si="1"/>
        <v>#DIV/0!</v>
      </c>
      <c r="G14" s="223"/>
      <c r="H14" s="223"/>
      <c r="I14" s="224" t="e">
        <f t="shared" si="2"/>
        <v>#DIV/0!</v>
      </c>
      <c r="J14" s="226" t="e">
        <f t="shared" si="3"/>
        <v>#DIV/0!</v>
      </c>
      <c r="K14" s="224" t="e">
        <f t="shared" si="4"/>
        <v>#DIV/0!</v>
      </c>
      <c r="L14" s="232" t="e">
        <f t="shared" si="5"/>
        <v>#DIV/0!</v>
      </c>
      <c r="M14" s="225">
        <f>销售日报表!B5</f>
        <v>0</v>
      </c>
      <c r="N14" s="223"/>
      <c r="O14" s="223"/>
      <c r="P14" s="233"/>
    </row>
    <row r="15" spans="1:16">
      <c r="A15" s="222">
        <v>44139</v>
      </c>
      <c r="B15" s="223"/>
      <c r="C15" s="223"/>
      <c r="D15" s="224" t="e">
        <f t="shared" si="0"/>
        <v>#DIV/0!</v>
      </c>
      <c r="E15" s="225"/>
      <c r="F15" s="226" t="e">
        <f t="shared" si="1"/>
        <v>#DIV/0!</v>
      </c>
      <c r="G15" s="223"/>
      <c r="H15" s="223"/>
      <c r="I15" s="224" t="e">
        <f t="shared" si="2"/>
        <v>#DIV/0!</v>
      </c>
      <c r="J15" s="226" t="e">
        <f t="shared" si="3"/>
        <v>#DIV/0!</v>
      </c>
      <c r="K15" s="224" t="e">
        <f t="shared" si="4"/>
        <v>#DIV/0!</v>
      </c>
      <c r="L15" s="232" t="e">
        <f t="shared" si="5"/>
        <v>#DIV/0!</v>
      </c>
      <c r="M15" s="225">
        <f>销售日报表!B6</f>
        <v>0</v>
      </c>
      <c r="N15" s="223"/>
      <c r="O15" s="223"/>
      <c r="P15" s="233"/>
    </row>
    <row r="16" spans="1:16">
      <c r="A16" s="222">
        <v>44140</v>
      </c>
      <c r="B16" s="223"/>
      <c r="C16" s="223"/>
      <c r="D16" s="224" t="e">
        <f t="shared" si="0"/>
        <v>#DIV/0!</v>
      </c>
      <c r="E16" s="225"/>
      <c r="F16" s="226" t="e">
        <f t="shared" si="1"/>
        <v>#DIV/0!</v>
      </c>
      <c r="G16" s="223"/>
      <c r="H16" s="223"/>
      <c r="I16" s="224" t="e">
        <f t="shared" si="2"/>
        <v>#DIV/0!</v>
      </c>
      <c r="J16" s="226" t="e">
        <f t="shared" si="3"/>
        <v>#DIV/0!</v>
      </c>
      <c r="K16" s="224" t="e">
        <f t="shared" si="4"/>
        <v>#DIV/0!</v>
      </c>
      <c r="L16" s="232" t="e">
        <f t="shared" si="5"/>
        <v>#DIV/0!</v>
      </c>
      <c r="M16" s="225">
        <f>销售日报表!B7</f>
        <v>0</v>
      </c>
      <c r="N16" s="223"/>
      <c r="O16" s="223"/>
      <c r="P16" s="233"/>
    </row>
    <row r="17" spans="1:16">
      <c r="A17" s="222">
        <v>44141</v>
      </c>
      <c r="B17" s="223"/>
      <c r="C17" s="223"/>
      <c r="D17" s="224" t="e">
        <f t="shared" si="0"/>
        <v>#DIV/0!</v>
      </c>
      <c r="E17" s="225"/>
      <c r="F17" s="226" t="e">
        <f t="shared" si="1"/>
        <v>#DIV/0!</v>
      </c>
      <c r="G17" s="223"/>
      <c r="H17" s="223"/>
      <c r="I17" s="224" t="e">
        <f t="shared" si="2"/>
        <v>#DIV/0!</v>
      </c>
      <c r="J17" s="226" t="e">
        <f t="shared" si="3"/>
        <v>#DIV/0!</v>
      </c>
      <c r="K17" s="224" t="e">
        <f t="shared" si="4"/>
        <v>#DIV/0!</v>
      </c>
      <c r="L17" s="232" t="e">
        <f t="shared" si="5"/>
        <v>#DIV/0!</v>
      </c>
      <c r="M17" s="225">
        <f>销售日报表!B8</f>
        <v>0</v>
      </c>
      <c r="N17" s="223"/>
      <c r="O17" s="223"/>
      <c r="P17" s="233"/>
    </row>
    <row r="18" spans="1:16">
      <c r="A18" s="222">
        <v>44142</v>
      </c>
      <c r="B18" s="223"/>
      <c r="C18" s="223"/>
      <c r="D18" s="224" t="e">
        <f t="shared" si="0"/>
        <v>#DIV/0!</v>
      </c>
      <c r="E18" s="225"/>
      <c r="F18" s="226" t="e">
        <f t="shared" si="1"/>
        <v>#DIV/0!</v>
      </c>
      <c r="G18" s="223"/>
      <c r="H18" s="223"/>
      <c r="I18" s="224" t="e">
        <f t="shared" si="2"/>
        <v>#DIV/0!</v>
      </c>
      <c r="J18" s="226" t="e">
        <f t="shared" si="3"/>
        <v>#DIV/0!</v>
      </c>
      <c r="K18" s="224" t="e">
        <f t="shared" si="4"/>
        <v>#DIV/0!</v>
      </c>
      <c r="L18" s="232" t="e">
        <f t="shared" si="5"/>
        <v>#DIV/0!</v>
      </c>
      <c r="M18" s="225">
        <f>销售日报表!B9</f>
        <v>0</v>
      </c>
      <c r="N18" s="223"/>
      <c r="O18" s="223"/>
      <c r="P18" s="233"/>
    </row>
    <row r="19" spans="1:16">
      <c r="A19" s="222">
        <v>44143</v>
      </c>
      <c r="B19" s="223"/>
      <c r="C19" s="223"/>
      <c r="D19" s="224" t="e">
        <f t="shared" si="0"/>
        <v>#DIV/0!</v>
      </c>
      <c r="E19" s="225"/>
      <c r="F19" s="226" t="e">
        <f t="shared" si="1"/>
        <v>#DIV/0!</v>
      </c>
      <c r="G19" s="223"/>
      <c r="H19" s="223"/>
      <c r="I19" s="224" t="e">
        <f t="shared" si="2"/>
        <v>#DIV/0!</v>
      </c>
      <c r="J19" s="226" t="e">
        <f t="shared" si="3"/>
        <v>#DIV/0!</v>
      </c>
      <c r="K19" s="224" t="e">
        <f t="shared" si="4"/>
        <v>#DIV/0!</v>
      </c>
      <c r="L19" s="232" t="e">
        <f t="shared" si="5"/>
        <v>#DIV/0!</v>
      </c>
      <c r="M19" s="225">
        <f>销售日报表!B10</f>
        <v>0</v>
      </c>
      <c r="N19" s="223"/>
      <c r="O19" s="223"/>
      <c r="P19" s="233"/>
    </row>
    <row r="20" spans="1:16">
      <c r="A20" s="222">
        <v>44144</v>
      </c>
      <c r="B20" s="223"/>
      <c r="C20" s="223"/>
      <c r="D20" s="224" t="e">
        <f t="shared" si="0"/>
        <v>#DIV/0!</v>
      </c>
      <c r="E20" s="225"/>
      <c r="F20" s="226" t="e">
        <f t="shared" si="1"/>
        <v>#DIV/0!</v>
      </c>
      <c r="G20" s="223"/>
      <c r="H20" s="223"/>
      <c r="I20" s="224" t="e">
        <f t="shared" si="2"/>
        <v>#DIV/0!</v>
      </c>
      <c r="J20" s="226" t="e">
        <f t="shared" si="3"/>
        <v>#DIV/0!</v>
      </c>
      <c r="K20" s="224" t="e">
        <f t="shared" si="4"/>
        <v>#DIV/0!</v>
      </c>
      <c r="L20" s="232" t="e">
        <f t="shared" si="5"/>
        <v>#DIV/0!</v>
      </c>
      <c r="M20" s="225">
        <f>销售日报表!B11</f>
        <v>0</v>
      </c>
      <c r="N20" s="223"/>
      <c r="O20" s="223"/>
      <c r="P20" s="233"/>
    </row>
    <row r="21" spans="1:16">
      <c r="A21" s="222">
        <v>44145</v>
      </c>
      <c r="B21" s="223"/>
      <c r="C21" s="223"/>
      <c r="D21" s="224" t="e">
        <f t="shared" si="0"/>
        <v>#DIV/0!</v>
      </c>
      <c r="E21" s="225"/>
      <c r="F21" s="226" t="e">
        <f t="shared" si="1"/>
        <v>#DIV/0!</v>
      </c>
      <c r="G21" s="223"/>
      <c r="H21" s="223"/>
      <c r="I21" s="224" t="e">
        <f t="shared" si="2"/>
        <v>#DIV/0!</v>
      </c>
      <c r="J21" s="226" t="e">
        <f t="shared" si="3"/>
        <v>#DIV/0!</v>
      </c>
      <c r="K21" s="224" t="e">
        <f t="shared" si="4"/>
        <v>#DIV/0!</v>
      </c>
      <c r="L21" s="232" t="e">
        <f t="shared" si="5"/>
        <v>#DIV/0!</v>
      </c>
      <c r="M21" s="225">
        <f>销售日报表!B12</f>
        <v>0</v>
      </c>
      <c r="N21" s="223"/>
      <c r="O21" s="223"/>
      <c r="P21" s="233"/>
    </row>
    <row r="22" spans="1:16">
      <c r="A22" s="222">
        <v>44146</v>
      </c>
      <c r="B22" s="223"/>
      <c r="C22" s="223"/>
      <c r="D22" s="224" t="e">
        <f t="shared" si="0"/>
        <v>#DIV/0!</v>
      </c>
      <c r="E22" s="225"/>
      <c r="F22" s="226" t="e">
        <f t="shared" si="1"/>
        <v>#DIV/0!</v>
      </c>
      <c r="G22" s="223"/>
      <c r="H22" s="223"/>
      <c r="I22" s="224" t="e">
        <f t="shared" si="2"/>
        <v>#DIV/0!</v>
      </c>
      <c r="J22" s="226" t="e">
        <f t="shared" si="3"/>
        <v>#DIV/0!</v>
      </c>
      <c r="K22" s="224" t="e">
        <f t="shared" si="4"/>
        <v>#DIV/0!</v>
      </c>
      <c r="L22" s="232" t="e">
        <f t="shared" si="5"/>
        <v>#DIV/0!</v>
      </c>
      <c r="M22" s="225">
        <f>销售日报表!B13</f>
        <v>0</v>
      </c>
      <c r="N22" s="223"/>
      <c r="O22" s="223"/>
      <c r="P22" s="233"/>
    </row>
    <row r="23" spans="1:16">
      <c r="A23" s="222">
        <v>44147</v>
      </c>
      <c r="B23" s="223"/>
      <c r="C23" s="223"/>
      <c r="D23" s="224" t="e">
        <f t="shared" si="0"/>
        <v>#DIV/0!</v>
      </c>
      <c r="E23" s="225"/>
      <c r="F23" s="226" t="e">
        <f t="shared" si="1"/>
        <v>#DIV/0!</v>
      </c>
      <c r="G23" s="223"/>
      <c r="H23" s="223"/>
      <c r="I23" s="224" t="e">
        <f t="shared" si="2"/>
        <v>#DIV/0!</v>
      </c>
      <c r="J23" s="226" t="e">
        <f t="shared" si="3"/>
        <v>#DIV/0!</v>
      </c>
      <c r="K23" s="224" t="e">
        <f t="shared" si="4"/>
        <v>#DIV/0!</v>
      </c>
      <c r="L23" s="232" t="e">
        <f t="shared" si="5"/>
        <v>#DIV/0!</v>
      </c>
      <c r="M23" s="225">
        <f>销售日报表!B14</f>
        <v>0</v>
      </c>
      <c r="N23" s="223"/>
      <c r="O23" s="223"/>
      <c r="P23" s="233"/>
    </row>
    <row r="24" spans="1:16">
      <c r="A24" s="222">
        <v>44148</v>
      </c>
      <c r="B24" s="223"/>
      <c r="C24" s="223"/>
      <c r="D24" s="224" t="e">
        <f t="shared" si="0"/>
        <v>#DIV/0!</v>
      </c>
      <c r="E24" s="225"/>
      <c r="F24" s="226" t="e">
        <f t="shared" si="1"/>
        <v>#DIV/0!</v>
      </c>
      <c r="G24" s="223"/>
      <c r="H24" s="223"/>
      <c r="I24" s="224" t="e">
        <f t="shared" si="2"/>
        <v>#DIV/0!</v>
      </c>
      <c r="J24" s="226" t="e">
        <f t="shared" si="3"/>
        <v>#DIV/0!</v>
      </c>
      <c r="K24" s="224" t="e">
        <f t="shared" si="4"/>
        <v>#DIV/0!</v>
      </c>
      <c r="L24" s="232" t="e">
        <f t="shared" si="5"/>
        <v>#DIV/0!</v>
      </c>
      <c r="M24" s="225">
        <f>销售日报表!B15</f>
        <v>0</v>
      </c>
      <c r="N24" s="223"/>
      <c r="O24" s="223"/>
      <c r="P24" s="233"/>
    </row>
    <row r="25" spans="1:16">
      <c r="A25" s="222">
        <v>44149</v>
      </c>
      <c r="B25" s="223"/>
      <c r="C25" s="223"/>
      <c r="D25" s="224" t="e">
        <f t="shared" si="0"/>
        <v>#DIV/0!</v>
      </c>
      <c r="E25" s="225"/>
      <c r="F25" s="226" t="e">
        <f t="shared" si="1"/>
        <v>#DIV/0!</v>
      </c>
      <c r="G25" s="223"/>
      <c r="H25" s="223"/>
      <c r="I25" s="224" t="e">
        <f t="shared" si="2"/>
        <v>#DIV/0!</v>
      </c>
      <c r="J25" s="226" t="e">
        <f t="shared" si="3"/>
        <v>#DIV/0!</v>
      </c>
      <c r="K25" s="224" t="e">
        <f t="shared" si="4"/>
        <v>#DIV/0!</v>
      </c>
      <c r="L25" s="232" t="e">
        <f t="shared" si="5"/>
        <v>#DIV/0!</v>
      </c>
      <c r="M25" s="225">
        <f>销售日报表!B16</f>
        <v>0</v>
      </c>
      <c r="N25" s="223"/>
      <c r="O25" s="223"/>
      <c r="P25" s="233"/>
    </row>
    <row r="26" spans="1:16">
      <c r="A26" s="222">
        <v>44150</v>
      </c>
      <c r="B26" s="223"/>
      <c r="C26" s="223"/>
      <c r="D26" s="224" t="e">
        <f t="shared" si="0"/>
        <v>#DIV/0!</v>
      </c>
      <c r="E26" s="225"/>
      <c r="F26" s="226" t="e">
        <f t="shared" si="1"/>
        <v>#DIV/0!</v>
      </c>
      <c r="G26" s="223"/>
      <c r="H26" s="223"/>
      <c r="I26" s="224" t="e">
        <f t="shared" si="2"/>
        <v>#DIV/0!</v>
      </c>
      <c r="J26" s="226" t="e">
        <f t="shared" si="3"/>
        <v>#DIV/0!</v>
      </c>
      <c r="K26" s="224" t="e">
        <f t="shared" si="4"/>
        <v>#DIV/0!</v>
      </c>
      <c r="L26" s="232" t="e">
        <f t="shared" si="5"/>
        <v>#DIV/0!</v>
      </c>
      <c r="M26" s="225">
        <f>销售日报表!B17</f>
        <v>0</v>
      </c>
      <c r="N26" s="223"/>
      <c r="O26" s="223"/>
      <c r="P26" s="233"/>
    </row>
    <row r="27" spans="1:16">
      <c r="A27" s="222">
        <v>44151</v>
      </c>
      <c r="B27" s="223"/>
      <c r="C27" s="223"/>
      <c r="D27" s="224" t="e">
        <f t="shared" si="0"/>
        <v>#DIV/0!</v>
      </c>
      <c r="E27" s="225"/>
      <c r="F27" s="226" t="e">
        <f t="shared" si="1"/>
        <v>#DIV/0!</v>
      </c>
      <c r="G27" s="223"/>
      <c r="H27" s="223"/>
      <c r="I27" s="224" t="e">
        <f t="shared" si="2"/>
        <v>#DIV/0!</v>
      </c>
      <c r="J27" s="226" t="e">
        <f t="shared" si="3"/>
        <v>#DIV/0!</v>
      </c>
      <c r="K27" s="224" t="e">
        <f t="shared" si="4"/>
        <v>#DIV/0!</v>
      </c>
      <c r="L27" s="232" t="e">
        <f t="shared" si="5"/>
        <v>#DIV/0!</v>
      </c>
      <c r="M27" s="225">
        <f>销售日报表!B18</f>
        <v>0</v>
      </c>
      <c r="N27" s="223"/>
      <c r="O27" s="223"/>
      <c r="P27" s="233"/>
    </row>
    <row r="28" spans="1:16">
      <c r="A28" s="222">
        <v>44152</v>
      </c>
      <c r="B28" s="223"/>
      <c r="C28" s="223"/>
      <c r="D28" s="224" t="e">
        <f t="shared" si="0"/>
        <v>#DIV/0!</v>
      </c>
      <c r="E28" s="225"/>
      <c r="F28" s="226" t="e">
        <f t="shared" si="1"/>
        <v>#DIV/0!</v>
      </c>
      <c r="G28" s="223"/>
      <c r="H28" s="223"/>
      <c r="I28" s="224" t="e">
        <f t="shared" si="2"/>
        <v>#DIV/0!</v>
      </c>
      <c r="J28" s="226" t="e">
        <f t="shared" si="3"/>
        <v>#DIV/0!</v>
      </c>
      <c r="K28" s="224" t="e">
        <f t="shared" si="4"/>
        <v>#DIV/0!</v>
      </c>
      <c r="L28" s="232" t="e">
        <f t="shared" si="5"/>
        <v>#DIV/0!</v>
      </c>
      <c r="M28" s="225">
        <f>销售日报表!B19</f>
        <v>0</v>
      </c>
      <c r="N28" s="223"/>
      <c r="O28" s="223"/>
      <c r="P28" s="233"/>
    </row>
    <row r="29" spans="1:16">
      <c r="A29" s="222">
        <v>44153</v>
      </c>
      <c r="B29" s="223"/>
      <c r="C29" s="223"/>
      <c r="D29" s="224" t="e">
        <f t="shared" si="0"/>
        <v>#DIV/0!</v>
      </c>
      <c r="E29" s="225"/>
      <c r="F29" s="226" t="e">
        <f t="shared" si="1"/>
        <v>#DIV/0!</v>
      </c>
      <c r="G29" s="223"/>
      <c r="H29" s="223"/>
      <c r="I29" s="224" t="e">
        <f t="shared" si="2"/>
        <v>#DIV/0!</v>
      </c>
      <c r="J29" s="226" t="e">
        <f t="shared" si="3"/>
        <v>#DIV/0!</v>
      </c>
      <c r="K29" s="224" t="e">
        <f t="shared" si="4"/>
        <v>#DIV/0!</v>
      </c>
      <c r="L29" s="232" t="e">
        <f t="shared" si="5"/>
        <v>#DIV/0!</v>
      </c>
      <c r="M29" s="225">
        <f>销售日报表!B20</f>
        <v>0</v>
      </c>
      <c r="N29" s="223"/>
      <c r="O29" s="223"/>
      <c r="P29" s="233"/>
    </row>
    <row r="30" spans="1:16">
      <c r="A30" s="222">
        <v>44154</v>
      </c>
      <c r="B30" s="223"/>
      <c r="C30" s="223"/>
      <c r="D30" s="224" t="e">
        <f t="shared" si="0"/>
        <v>#DIV/0!</v>
      </c>
      <c r="E30" s="225"/>
      <c r="F30" s="226" t="e">
        <f t="shared" si="1"/>
        <v>#DIV/0!</v>
      </c>
      <c r="G30" s="223"/>
      <c r="H30" s="223"/>
      <c r="I30" s="224" t="e">
        <f t="shared" si="2"/>
        <v>#DIV/0!</v>
      </c>
      <c r="J30" s="226" t="e">
        <f t="shared" si="3"/>
        <v>#DIV/0!</v>
      </c>
      <c r="K30" s="224" t="e">
        <f t="shared" si="4"/>
        <v>#DIV/0!</v>
      </c>
      <c r="L30" s="232" t="e">
        <f t="shared" si="5"/>
        <v>#DIV/0!</v>
      </c>
      <c r="M30" s="225">
        <f>销售日报表!B21</f>
        <v>0</v>
      </c>
      <c r="N30" s="223"/>
      <c r="O30" s="223"/>
      <c r="P30" s="233"/>
    </row>
    <row r="31" spans="1:16">
      <c r="A31" s="222">
        <v>44155</v>
      </c>
      <c r="B31" s="223"/>
      <c r="C31" s="223"/>
      <c r="D31" s="224" t="e">
        <f t="shared" si="0"/>
        <v>#DIV/0!</v>
      </c>
      <c r="E31" s="225"/>
      <c r="F31" s="226" t="e">
        <f t="shared" si="1"/>
        <v>#DIV/0!</v>
      </c>
      <c r="G31" s="223"/>
      <c r="H31" s="223"/>
      <c r="I31" s="224" t="e">
        <f t="shared" si="2"/>
        <v>#DIV/0!</v>
      </c>
      <c r="J31" s="226" t="e">
        <f t="shared" si="3"/>
        <v>#DIV/0!</v>
      </c>
      <c r="K31" s="224" t="e">
        <f t="shared" si="4"/>
        <v>#DIV/0!</v>
      </c>
      <c r="L31" s="232" t="e">
        <f t="shared" si="5"/>
        <v>#DIV/0!</v>
      </c>
      <c r="M31" s="225">
        <f>销售日报表!B22</f>
        <v>0</v>
      </c>
      <c r="N31" s="223"/>
      <c r="O31" s="223"/>
      <c r="P31" s="233"/>
    </row>
    <row r="32" spans="1:16">
      <c r="A32" s="222">
        <v>44156</v>
      </c>
      <c r="B32" s="223"/>
      <c r="C32" s="223"/>
      <c r="D32" s="224" t="e">
        <f t="shared" si="0"/>
        <v>#DIV/0!</v>
      </c>
      <c r="E32" s="225"/>
      <c r="F32" s="226" t="e">
        <f t="shared" si="1"/>
        <v>#DIV/0!</v>
      </c>
      <c r="G32" s="223"/>
      <c r="H32" s="223"/>
      <c r="I32" s="224" t="e">
        <f t="shared" si="2"/>
        <v>#DIV/0!</v>
      </c>
      <c r="J32" s="226" t="e">
        <f t="shared" si="3"/>
        <v>#DIV/0!</v>
      </c>
      <c r="K32" s="224" t="e">
        <f t="shared" si="4"/>
        <v>#DIV/0!</v>
      </c>
      <c r="L32" s="232" t="e">
        <f t="shared" si="5"/>
        <v>#DIV/0!</v>
      </c>
      <c r="M32" s="225">
        <f>销售日报表!B23</f>
        <v>0</v>
      </c>
      <c r="N32" s="223"/>
      <c r="O32" s="223"/>
      <c r="P32" s="233"/>
    </row>
    <row r="33" spans="1:16">
      <c r="A33" s="222">
        <v>44157</v>
      </c>
      <c r="B33" s="223"/>
      <c r="C33" s="223"/>
      <c r="D33" s="224" t="e">
        <f t="shared" si="0"/>
        <v>#DIV/0!</v>
      </c>
      <c r="E33" s="225"/>
      <c r="F33" s="226" t="e">
        <f t="shared" si="1"/>
        <v>#DIV/0!</v>
      </c>
      <c r="G33" s="223"/>
      <c r="H33" s="223"/>
      <c r="I33" s="224" t="e">
        <f t="shared" si="2"/>
        <v>#DIV/0!</v>
      </c>
      <c r="J33" s="226" t="e">
        <f t="shared" si="3"/>
        <v>#DIV/0!</v>
      </c>
      <c r="K33" s="224" t="e">
        <f t="shared" si="4"/>
        <v>#DIV/0!</v>
      </c>
      <c r="L33" s="232" t="e">
        <f t="shared" si="5"/>
        <v>#DIV/0!</v>
      </c>
      <c r="M33" s="225">
        <f>销售日报表!B24</f>
        <v>0</v>
      </c>
      <c r="N33" s="223"/>
      <c r="O33" s="223"/>
      <c r="P33" s="233"/>
    </row>
    <row r="34" spans="1:16">
      <c r="A34" s="222">
        <v>44158</v>
      </c>
      <c r="B34" s="223"/>
      <c r="C34" s="223"/>
      <c r="D34" s="224" t="e">
        <f t="shared" si="0"/>
        <v>#DIV/0!</v>
      </c>
      <c r="E34" s="225"/>
      <c r="F34" s="226" t="e">
        <f t="shared" si="1"/>
        <v>#DIV/0!</v>
      </c>
      <c r="G34" s="223"/>
      <c r="H34" s="223"/>
      <c r="I34" s="224" t="e">
        <f t="shared" si="2"/>
        <v>#DIV/0!</v>
      </c>
      <c r="J34" s="226" t="e">
        <f t="shared" si="3"/>
        <v>#DIV/0!</v>
      </c>
      <c r="K34" s="224" t="e">
        <f t="shared" si="4"/>
        <v>#DIV/0!</v>
      </c>
      <c r="L34" s="232" t="e">
        <f t="shared" si="5"/>
        <v>#DIV/0!</v>
      </c>
      <c r="M34" s="225">
        <f>销售日报表!B25</f>
        <v>0</v>
      </c>
      <c r="N34" s="223"/>
      <c r="O34" s="223"/>
      <c r="P34" s="233"/>
    </row>
    <row r="35" spans="1:16">
      <c r="A35" s="222">
        <v>44159</v>
      </c>
      <c r="B35" s="223"/>
      <c r="C35" s="223"/>
      <c r="D35" s="224" t="e">
        <f t="shared" si="0"/>
        <v>#DIV/0!</v>
      </c>
      <c r="E35" s="225"/>
      <c r="F35" s="226" t="e">
        <f t="shared" si="1"/>
        <v>#DIV/0!</v>
      </c>
      <c r="G35" s="223"/>
      <c r="H35" s="223"/>
      <c r="I35" s="224" t="e">
        <f t="shared" si="2"/>
        <v>#DIV/0!</v>
      </c>
      <c r="J35" s="226" t="e">
        <f t="shared" si="3"/>
        <v>#DIV/0!</v>
      </c>
      <c r="K35" s="224" t="e">
        <f t="shared" si="4"/>
        <v>#DIV/0!</v>
      </c>
      <c r="L35" s="232" t="e">
        <f t="shared" si="5"/>
        <v>#DIV/0!</v>
      </c>
      <c r="M35" s="225">
        <f>销售日报表!B26</f>
        <v>0</v>
      </c>
      <c r="N35" s="223"/>
      <c r="O35" s="223"/>
      <c r="P35" s="233"/>
    </row>
    <row r="36" spans="1:16">
      <c r="A36" s="222">
        <v>44160</v>
      </c>
      <c r="B36" s="223"/>
      <c r="C36" s="223"/>
      <c r="D36" s="224" t="e">
        <f t="shared" si="0"/>
        <v>#DIV/0!</v>
      </c>
      <c r="E36" s="225"/>
      <c r="F36" s="226" t="e">
        <f t="shared" si="1"/>
        <v>#DIV/0!</v>
      </c>
      <c r="G36" s="223"/>
      <c r="H36" s="223"/>
      <c r="I36" s="224" t="e">
        <f t="shared" si="2"/>
        <v>#DIV/0!</v>
      </c>
      <c r="J36" s="226" t="e">
        <f t="shared" si="3"/>
        <v>#DIV/0!</v>
      </c>
      <c r="K36" s="224" t="e">
        <f t="shared" si="4"/>
        <v>#DIV/0!</v>
      </c>
      <c r="L36" s="232" t="e">
        <f t="shared" si="5"/>
        <v>#DIV/0!</v>
      </c>
      <c r="M36" s="225">
        <f>销售日报表!B27</f>
        <v>0</v>
      </c>
      <c r="N36" s="223"/>
      <c r="O36" s="223"/>
      <c r="P36" s="233"/>
    </row>
    <row r="37" spans="1:16">
      <c r="A37" s="222">
        <v>44161</v>
      </c>
      <c r="B37" s="223"/>
      <c r="C37" s="223"/>
      <c r="D37" s="224" t="e">
        <f t="shared" si="0"/>
        <v>#DIV/0!</v>
      </c>
      <c r="E37" s="225"/>
      <c r="F37" s="226" t="e">
        <f t="shared" si="1"/>
        <v>#DIV/0!</v>
      </c>
      <c r="G37" s="223"/>
      <c r="H37" s="223"/>
      <c r="I37" s="224" t="e">
        <f t="shared" si="2"/>
        <v>#DIV/0!</v>
      </c>
      <c r="J37" s="226" t="e">
        <f t="shared" si="3"/>
        <v>#DIV/0!</v>
      </c>
      <c r="K37" s="224" t="e">
        <f t="shared" si="4"/>
        <v>#DIV/0!</v>
      </c>
      <c r="L37" s="232" t="e">
        <f t="shared" si="5"/>
        <v>#DIV/0!</v>
      </c>
      <c r="M37" s="225">
        <f>销售日报表!B28</f>
        <v>0</v>
      </c>
      <c r="N37" s="223"/>
      <c r="O37" s="223"/>
      <c r="P37" s="233"/>
    </row>
    <row r="38" spans="1:16">
      <c r="A38" s="222">
        <v>44162</v>
      </c>
      <c r="B38" s="223"/>
      <c r="C38" s="223"/>
      <c r="D38" s="224" t="e">
        <f t="shared" si="0"/>
        <v>#DIV/0!</v>
      </c>
      <c r="E38" s="225"/>
      <c r="F38" s="226" t="e">
        <f t="shared" si="1"/>
        <v>#DIV/0!</v>
      </c>
      <c r="G38" s="223"/>
      <c r="H38" s="223"/>
      <c r="I38" s="224" t="e">
        <f t="shared" si="2"/>
        <v>#DIV/0!</v>
      </c>
      <c r="J38" s="226" t="e">
        <f t="shared" si="3"/>
        <v>#DIV/0!</v>
      </c>
      <c r="K38" s="224" t="e">
        <f t="shared" si="4"/>
        <v>#DIV/0!</v>
      </c>
      <c r="L38" s="232" t="e">
        <f t="shared" si="5"/>
        <v>#DIV/0!</v>
      </c>
      <c r="M38" s="225">
        <f>销售日报表!B29</f>
        <v>0</v>
      </c>
      <c r="N38" s="223"/>
      <c r="O38" s="223"/>
      <c r="P38" s="233"/>
    </row>
    <row r="39" spans="1:16">
      <c r="A39" s="222">
        <v>44163</v>
      </c>
      <c r="B39" s="223"/>
      <c r="C39" s="223"/>
      <c r="D39" s="224" t="e">
        <f t="shared" si="0"/>
        <v>#DIV/0!</v>
      </c>
      <c r="E39" s="225"/>
      <c r="F39" s="226" t="e">
        <f t="shared" si="1"/>
        <v>#DIV/0!</v>
      </c>
      <c r="G39" s="223"/>
      <c r="H39" s="223"/>
      <c r="I39" s="224" t="e">
        <f t="shared" si="2"/>
        <v>#DIV/0!</v>
      </c>
      <c r="J39" s="226" t="e">
        <f t="shared" si="3"/>
        <v>#DIV/0!</v>
      </c>
      <c r="K39" s="224" t="e">
        <f t="shared" si="4"/>
        <v>#DIV/0!</v>
      </c>
      <c r="L39" s="232" t="e">
        <f t="shared" si="5"/>
        <v>#DIV/0!</v>
      </c>
      <c r="M39" s="225">
        <f>销售日报表!B30</f>
        <v>0</v>
      </c>
      <c r="N39" s="223"/>
      <c r="O39" s="223"/>
      <c r="P39" s="233"/>
    </row>
    <row r="40" spans="1:16">
      <c r="A40" s="222">
        <v>44164</v>
      </c>
      <c r="B40" s="223"/>
      <c r="C40" s="223"/>
      <c r="D40" s="224" t="e">
        <f t="shared" si="0"/>
        <v>#DIV/0!</v>
      </c>
      <c r="E40" s="225"/>
      <c r="F40" s="226" t="e">
        <f t="shared" si="1"/>
        <v>#DIV/0!</v>
      </c>
      <c r="G40" s="223"/>
      <c r="H40" s="223"/>
      <c r="I40" s="224" t="e">
        <f t="shared" si="2"/>
        <v>#DIV/0!</v>
      </c>
      <c r="J40" s="226" t="e">
        <f t="shared" si="3"/>
        <v>#DIV/0!</v>
      </c>
      <c r="K40" s="224" t="e">
        <f t="shared" si="4"/>
        <v>#DIV/0!</v>
      </c>
      <c r="L40" s="232" t="e">
        <f t="shared" si="5"/>
        <v>#DIV/0!</v>
      </c>
      <c r="M40" s="225">
        <f>销售日报表!B31</f>
        <v>0</v>
      </c>
      <c r="N40" s="223"/>
      <c r="O40" s="223"/>
      <c r="P40" s="233"/>
    </row>
    <row r="41" spans="1:16">
      <c r="A41" s="222">
        <v>44165</v>
      </c>
      <c r="B41" s="223"/>
      <c r="C41" s="223"/>
      <c r="D41" s="224" t="e">
        <f t="shared" si="0"/>
        <v>#DIV/0!</v>
      </c>
      <c r="E41" s="225"/>
      <c r="F41" s="226" t="e">
        <f t="shared" si="1"/>
        <v>#DIV/0!</v>
      </c>
      <c r="G41" s="223"/>
      <c r="H41" s="223"/>
      <c r="I41" s="224" t="e">
        <f t="shared" si="2"/>
        <v>#DIV/0!</v>
      </c>
      <c r="J41" s="226" t="e">
        <f t="shared" si="3"/>
        <v>#DIV/0!</v>
      </c>
      <c r="K41" s="224" t="e">
        <f t="shared" si="4"/>
        <v>#DIV/0!</v>
      </c>
      <c r="L41" s="232" t="e">
        <f t="shared" si="5"/>
        <v>#DIV/0!</v>
      </c>
      <c r="M41" s="225">
        <f>销售日报表!B32</f>
        <v>0</v>
      </c>
      <c r="N41" s="223"/>
      <c r="O41" s="223"/>
      <c r="P41" s="233"/>
    </row>
    <row r="42" spans="1:16">
      <c r="A42" s="227" t="s">
        <v>53</v>
      </c>
      <c r="B42" s="227"/>
      <c r="C42" s="227"/>
      <c r="D42" s="227"/>
      <c r="E42" s="227">
        <f>SUM(E12:E41)</f>
        <v>0</v>
      </c>
      <c r="F42" s="227" t="e">
        <f>SUM(F12:F41)</f>
        <v>#DIV/0!</v>
      </c>
      <c r="G42" s="227">
        <f>SUM(G12:G41)</f>
        <v>0</v>
      </c>
      <c r="H42" s="227">
        <f>SUM(H12:H41)</f>
        <v>0</v>
      </c>
      <c r="I42" s="234"/>
      <c r="J42" s="235"/>
      <c r="K42" s="227"/>
      <c r="L42" s="227" t="e">
        <f>SUM(L12:L41)</f>
        <v>#DIV/0!</v>
      </c>
      <c r="M42" s="227"/>
      <c r="N42" s="227"/>
      <c r="O42" s="227"/>
      <c r="P42" s="236"/>
    </row>
    <row r="43" spans="1:16">
      <c r="A43" s="227" t="s">
        <v>14</v>
      </c>
      <c r="B43" s="227"/>
      <c r="C43" s="227"/>
      <c r="D43" s="227" t="e">
        <f t="shared" ref="D43:J43" si="6">AVERAGE(D12:D41)</f>
        <v>#DIV/0!</v>
      </c>
      <c r="E43" s="228" t="e">
        <f t="shared" si="6"/>
        <v>#DIV/0!</v>
      </c>
      <c r="F43" s="228" t="e">
        <f t="shared" si="6"/>
        <v>#DIV/0!</v>
      </c>
      <c r="G43" s="228" t="e">
        <f t="shared" si="6"/>
        <v>#DIV/0!</v>
      </c>
      <c r="H43" s="228" t="e">
        <f t="shared" si="6"/>
        <v>#DIV/0!</v>
      </c>
      <c r="I43" s="234" t="e">
        <f t="shared" si="6"/>
        <v>#DIV/0!</v>
      </c>
      <c r="J43" s="235" t="e">
        <f t="shared" si="6"/>
        <v>#DIV/0!</v>
      </c>
      <c r="K43" s="227" t="e">
        <f>AVERAGE(K12:K40)</f>
        <v>#DIV/0!</v>
      </c>
      <c r="L43" s="228" t="e">
        <f>AVERAGE(L12:L41)</f>
        <v>#DIV/0!</v>
      </c>
      <c r="M43" s="228"/>
      <c r="N43" s="227"/>
      <c r="O43" s="227"/>
      <c r="P43" s="236"/>
    </row>
    <row r="44" spans="1:15">
      <c r="A44" s="216"/>
      <c r="B44" s="216"/>
      <c r="C44" s="216"/>
      <c r="D44" s="216"/>
      <c r="E44" s="217"/>
      <c r="F44" s="217"/>
      <c r="G44" s="217"/>
      <c r="H44" s="216"/>
      <c r="I44" s="229"/>
      <c r="J44" s="229"/>
      <c r="K44" s="229"/>
      <c r="L44" s="229"/>
      <c r="M44" s="229"/>
      <c r="N44" s="229"/>
      <c r="O44" s="176"/>
    </row>
    <row r="45" spans="1:15">
      <c r="A45" s="216"/>
      <c r="B45" s="216"/>
      <c r="C45" s="216"/>
      <c r="D45" s="216"/>
      <c r="E45" s="217"/>
      <c r="F45" s="217"/>
      <c r="G45" s="217"/>
      <c r="H45" s="216"/>
      <c r="I45" s="229"/>
      <c r="J45" s="229"/>
      <c r="K45" s="229"/>
      <c r="L45" s="229"/>
      <c r="M45" s="229"/>
      <c r="N45" s="229"/>
      <c r="O45" s="176"/>
    </row>
    <row r="46" spans="1:15">
      <c r="A46" s="216"/>
      <c r="B46" s="216"/>
      <c r="C46" s="216"/>
      <c r="D46" s="216"/>
      <c r="E46" s="217"/>
      <c r="F46" s="217"/>
      <c r="G46" s="217"/>
      <c r="H46" s="216"/>
      <c r="I46" s="229"/>
      <c r="J46" s="229"/>
      <c r="K46" s="229"/>
      <c r="L46" s="229"/>
      <c r="M46" s="229"/>
      <c r="N46" s="229"/>
      <c r="O46" s="176"/>
    </row>
    <row r="47" spans="1:15">
      <c r="A47" s="216"/>
      <c r="B47" s="216"/>
      <c r="C47" s="216"/>
      <c r="D47" s="216"/>
      <c r="E47" s="217"/>
      <c r="F47" s="217"/>
      <c r="G47" s="217"/>
      <c r="H47" s="216"/>
      <c r="I47" s="229"/>
      <c r="J47" s="229"/>
      <c r="K47" s="229"/>
      <c r="L47" s="229"/>
      <c r="M47" s="229"/>
      <c r="N47" s="229"/>
      <c r="O47" s="176"/>
    </row>
    <row r="48" spans="1:15">
      <c r="A48" s="216"/>
      <c r="B48" s="216"/>
      <c r="C48" s="216"/>
      <c r="D48" s="216"/>
      <c r="E48" s="217"/>
      <c r="F48" s="217"/>
      <c r="G48" s="217"/>
      <c r="H48" s="216"/>
      <c r="I48" s="229"/>
      <c r="J48" s="229"/>
      <c r="K48" s="229"/>
      <c r="L48" s="229"/>
      <c r="M48" s="229"/>
      <c r="N48" s="229"/>
      <c r="O48" s="176"/>
    </row>
    <row r="49" spans="1:15">
      <c r="A49" s="216"/>
      <c r="B49" s="216"/>
      <c r="C49" s="216"/>
      <c r="D49" s="216"/>
      <c r="E49" s="217"/>
      <c r="F49" s="217"/>
      <c r="G49" s="217"/>
      <c r="H49" s="216"/>
      <c r="I49" s="229"/>
      <c r="J49" s="229"/>
      <c r="K49" s="229"/>
      <c r="L49" s="229"/>
      <c r="M49" s="229"/>
      <c r="N49" s="229"/>
      <c r="O49" s="176"/>
    </row>
    <row r="50" spans="1:16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ht="33" customHeight="1" spans="1:16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</sheetData>
  <sheetProtection formatCells="0" insertHyperlinks="0" autoFilter="0"/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6"/>
  <sheetViews>
    <sheetView tabSelected="1" zoomScale="85" zoomScaleNormal="85" topLeftCell="B1" workbookViewId="0">
      <pane ySplit="5" topLeftCell="A6" activePane="bottomLeft" state="frozen"/>
      <selection/>
      <selection pane="bottomLeft" activeCell="F2" sqref="F2"/>
    </sheetView>
  </sheetViews>
  <sheetFormatPr defaultColWidth="9" defaultRowHeight="15"/>
  <cols>
    <col min="1" max="3" width="9" style="173"/>
    <col min="4" max="4" width="12" style="173" customWidth="1"/>
    <col min="5" max="5" width="12.75" style="173" customWidth="1"/>
    <col min="6" max="6" width="10.75" style="195"/>
    <col min="7" max="7" width="9" style="173"/>
    <col min="8" max="8" width="9.25" style="173"/>
    <col min="9" max="9" width="12.625" style="173"/>
    <col min="10" max="11" width="12.375" style="173" customWidth="1"/>
    <col min="12" max="12" width="10.375" style="173"/>
    <col min="13" max="13" width="12.625" style="173"/>
    <col min="14" max="14" width="9" style="173"/>
    <col min="15" max="15" width="10.375" style="173"/>
    <col min="16" max="16384" width="9" style="173"/>
  </cols>
  <sheetData>
    <row r="1" spans="2:11">
      <c r="B1" s="176" t="s">
        <v>54</v>
      </c>
      <c r="C1" s="196" t="s">
        <v>55</v>
      </c>
      <c r="D1" s="196" t="s">
        <v>56</v>
      </c>
      <c r="E1" s="196" t="s">
        <v>57</v>
      </c>
      <c r="F1" s="196" t="s">
        <v>58</v>
      </c>
      <c r="G1" s="196" t="s">
        <v>59</v>
      </c>
      <c r="H1" s="196" t="s">
        <v>60</v>
      </c>
      <c r="I1" s="208" t="s">
        <v>61</v>
      </c>
      <c r="J1" s="173" t="s">
        <v>62</v>
      </c>
      <c r="K1" s="173" t="s">
        <v>63</v>
      </c>
    </row>
    <row r="2" spans="2:11">
      <c r="B2" s="176">
        <v>6.62</v>
      </c>
      <c r="C2" s="196">
        <v>17.99</v>
      </c>
      <c r="D2" s="196">
        <v>5.57</v>
      </c>
      <c r="E2" s="197">
        <v>2.4</v>
      </c>
      <c r="F2" s="196">
        <v>6.94</v>
      </c>
      <c r="G2" s="196">
        <f>C2*0.15</f>
        <v>2.6985</v>
      </c>
      <c r="H2" s="196">
        <f>C2-D2-E2-F2-G2</f>
        <v>0.381499999999998</v>
      </c>
      <c r="I2" s="208">
        <f>H2/C2</f>
        <v>0.0212062256809337</v>
      </c>
      <c r="J2" s="195">
        <f ca="1">SUM(D2:D2:G2)</f>
        <v>17.6085</v>
      </c>
      <c r="K2" s="173">
        <f>50/B$2</f>
        <v>7.55287009063444</v>
      </c>
    </row>
    <row r="3" spans="2:13">
      <c r="B3" s="176"/>
      <c r="C3" s="198"/>
      <c r="D3" s="196"/>
      <c r="E3" s="197"/>
      <c r="F3" s="196"/>
      <c r="G3" s="196"/>
      <c r="H3" s="196"/>
      <c r="I3" s="196"/>
      <c r="J3" s="198"/>
      <c r="K3" s="196"/>
      <c r="L3" s="208"/>
      <c r="M3" s="195"/>
    </row>
    <row r="4" spans="2:13">
      <c r="B4" s="176"/>
      <c r="C4" s="198"/>
      <c r="D4" s="198"/>
      <c r="E4" s="199"/>
      <c r="F4" s="196"/>
      <c r="G4" s="198"/>
      <c r="H4" s="198"/>
      <c r="I4" s="198"/>
      <c r="J4" s="198"/>
      <c r="K4" s="198"/>
      <c r="L4" s="208"/>
      <c r="M4" s="209"/>
    </row>
    <row r="5" ht="15.6" spans="2:14">
      <c r="B5" s="190"/>
      <c r="C5" s="200" t="s">
        <v>1</v>
      </c>
      <c r="D5" s="200" t="s">
        <v>2</v>
      </c>
      <c r="E5" s="201" t="s">
        <v>64</v>
      </c>
      <c r="F5" s="202" t="s">
        <v>10</v>
      </c>
      <c r="G5" s="201" t="s">
        <v>59</v>
      </c>
      <c r="H5" s="201" t="s">
        <v>62</v>
      </c>
      <c r="I5" s="201" t="s">
        <v>65</v>
      </c>
      <c r="J5" s="201" t="s">
        <v>66</v>
      </c>
      <c r="K5" s="210" t="s">
        <v>67</v>
      </c>
      <c r="L5" s="210" t="s">
        <v>68</v>
      </c>
      <c r="M5" s="201" t="s">
        <v>69</v>
      </c>
      <c r="N5" s="201" t="s">
        <v>70</v>
      </c>
    </row>
    <row r="6" spans="3:14">
      <c r="C6" s="203">
        <v>44136</v>
      </c>
      <c r="D6" s="204">
        <f>销售日报表!B3</f>
        <v>0</v>
      </c>
      <c r="E6" s="204">
        <f>销售日报表!L3</f>
        <v>0</v>
      </c>
      <c r="F6" s="205">
        <f>销售日报表!J3</f>
        <v>0</v>
      </c>
      <c r="G6" s="206">
        <f t="shared" ref="G6:G35" si="0">D6*0.15</f>
        <v>0</v>
      </c>
      <c r="H6" s="206">
        <f t="shared" ref="H6:H35" si="1">($D$2+$E$2+$F$2+G6)</f>
        <v>14.91</v>
      </c>
      <c r="I6" s="207">
        <f t="shared" ref="I6:I35" si="2">F6-H6*E6-J6-N6</f>
        <v>0</v>
      </c>
      <c r="J6" s="204">
        <f>单SKU总广告监控表!E12</f>
        <v>0</v>
      </c>
      <c r="K6" s="211" t="e">
        <f t="shared" ref="K6:K35" si="3">J6/F6</f>
        <v>#DIV/0!</v>
      </c>
      <c r="L6" s="212">
        <f t="shared" ref="L6:L35" si="4">F6/(D$2+E$2+N6+J6)</f>
        <v>0</v>
      </c>
      <c r="M6" s="204">
        <f>销售日报表!F3</f>
        <v>0</v>
      </c>
      <c r="N6" s="207">
        <f t="shared" ref="N6:N35" si="5">(H6+K$2)*M6</f>
        <v>0</v>
      </c>
    </row>
    <row r="7" spans="3:14">
      <c r="C7" s="203">
        <v>44137</v>
      </c>
      <c r="D7" s="204">
        <f>销售日报表!B4</f>
        <v>0</v>
      </c>
      <c r="E7" s="204">
        <f>销售日报表!L4</f>
        <v>0</v>
      </c>
      <c r="F7" s="205">
        <f>销售日报表!J4</f>
        <v>0</v>
      </c>
      <c r="G7" s="206">
        <f t="shared" si="0"/>
        <v>0</v>
      </c>
      <c r="H7" s="206">
        <f t="shared" si="1"/>
        <v>14.91</v>
      </c>
      <c r="I7" s="207">
        <f t="shared" si="2"/>
        <v>0</v>
      </c>
      <c r="J7" s="204">
        <f>单SKU总广告监控表!E13</f>
        <v>0</v>
      </c>
      <c r="K7" s="211" t="e">
        <f t="shared" si="3"/>
        <v>#DIV/0!</v>
      </c>
      <c r="L7" s="212">
        <f t="shared" si="4"/>
        <v>0</v>
      </c>
      <c r="M7" s="204">
        <f>销售日报表!F4</f>
        <v>0</v>
      </c>
      <c r="N7" s="207">
        <f t="shared" si="5"/>
        <v>0</v>
      </c>
    </row>
    <row r="8" spans="3:14">
      <c r="C8" s="203">
        <v>44138</v>
      </c>
      <c r="D8" s="204">
        <f>销售日报表!B5</f>
        <v>0</v>
      </c>
      <c r="E8" s="204">
        <f>销售日报表!L5</f>
        <v>0</v>
      </c>
      <c r="F8" s="205">
        <f>销售日报表!J5</f>
        <v>0</v>
      </c>
      <c r="G8" s="206">
        <f t="shared" si="0"/>
        <v>0</v>
      </c>
      <c r="H8" s="206">
        <f t="shared" si="1"/>
        <v>14.91</v>
      </c>
      <c r="I8" s="207">
        <f t="shared" si="2"/>
        <v>0</v>
      </c>
      <c r="J8" s="204">
        <f>单SKU总广告监控表!E14</f>
        <v>0</v>
      </c>
      <c r="K8" s="211" t="e">
        <f t="shared" si="3"/>
        <v>#DIV/0!</v>
      </c>
      <c r="L8" s="212">
        <f t="shared" si="4"/>
        <v>0</v>
      </c>
      <c r="M8" s="204">
        <f>销售日报表!F5</f>
        <v>0</v>
      </c>
      <c r="N8" s="207">
        <f t="shared" si="5"/>
        <v>0</v>
      </c>
    </row>
    <row r="9" spans="3:14">
      <c r="C9" s="203">
        <v>44139</v>
      </c>
      <c r="D9" s="204">
        <f>销售日报表!B6</f>
        <v>0</v>
      </c>
      <c r="E9" s="204">
        <f>销售日报表!L6</f>
        <v>0</v>
      </c>
      <c r="F9" s="205">
        <f>销售日报表!J6</f>
        <v>0</v>
      </c>
      <c r="G9" s="206">
        <f t="shared" si="0"/>
        <v>0</v>
      </c>
      <c r="H9" s="206">
        <f t="shared" si="1"/>
        <v>14.91</v>
      </c>
      <c r="I9" s="207">
        <f t="shared" si="2"/>
        <v>0</v>
      </c>
      <c r="J9" s="204">
        <f>单SKU总广告监控表!E15</f>
        <v>0</v>
      </c>
      <c r="K9" s="211" t="e">
        <f t="shared" si="3"/>
        <v>#DIV/0!</v>
      </c>
      <c r="L9" s="212">
        <f t="shared" si="4"/>
        <v>0</v>
      </c>
      <c r="M9" s="204">
        <f>销售日报表!F6</f>
        <v>0</v>
      </c>
      <c r="N9" s="207">
        <f t="shared" si="5"/>
        <v>0</v>
      </c>
    </row>
    <row r="10" spans="3:14">
      <c r="C10" s="203">
        <v>44140</v>
      </c>
      <c r="D10" s="204">
        <f>销售日报表!B7</f>
        <v>0</v>
      </c>
      <c r="E10" s="204">
        <f>销售日报表!L7</f>
        <v>0</v>
      </c>
      <c r="F10" s="205">
        <f>销售日报表!J7</f>
        <v>0</v>
      </c>
      <c r="G10" s="206">
        <f t="shared" si="0"/>
        <v>0</v>
      </c>
      <c r="H10" s="206">
        <f t="shared" si="1"/>
        <v>14.91</v>
      </c>
      <c r="I10" s="207">
        <f t="shared" si="2"/>
        <v>0</v>
      </c>
      <c r="J10" s="204">
        <f>单SKU总广告监控表!E16</f>
        <v>0</v>
      </c>
      <c r="K10" s="211" t="e">
        <f t="shared" si="3"/>
        <v>#DIV/0!</v>
      </c>
      <c r="L10" s="212">
        <f t="shared" si="4"/>
        <v>0</v>
      </c>
      <c r="M10" s="204">
        <f>销售日报表!F7</f>
        <v>0</v>
      </c>
      <c r="N10" s="207">
        <f t="shared" si="5"/>
        <v>0</v>
      </c>
    </row>
    <row r="11" spans="3:14">
      <c r="C11" s="203">
        <v>44141</v>
      </c>
      <c r="D11" s="204">
        <f>销售日报表!B8</f>
        <v>0</v>
      </c>
      <c r="E11" s="204">
        <f>销售日报表!L8</f>
        <v>0</v>
      </c>
      <c r="F11" s="205">
        <f>销售日报表!J8</f>
        <v>0</v>
      </c>
      <c r="G11" s="206">
        <f t="shared" si="0"/>
        <v>0</v>
      </c>
      <c r="H11" s="206">
        <f t="shared" si="1"/>
        <v>14.91</v>
      </c>
      <c r="I11" s="207">
        <f t="shared" si="2"/>
        <v>0</v>
      </c>
      <c r="J11" s="204">
        <f>单SKU总广告监控表!E17</f>
        <v>0</v>
      </c>
      <c r="K11" s="211" t="e">
        <f t="shared" si="3"/>
        <v>#DIV/0!</v>
      </c>
      <c r="L11" s="212">
        <f t="shared" si="4"/>
        <v>0</v>
      </c>
      <c r="M11" s="204">
        <f>销售日报表!F8</f>
        <v>0</v>
      </c>
      <c r="N11" s="207">
        <f t="shared" si="5"/>
        <v>0</v>
      </c>
    </row>
    <row r="12" spans="3:14">
      <c r="C12" s="203">
        <v>44142</v>
      </c>
      <c r="D12" s="204">
        <f>销售日报表!B9</f>
        <v>0</v>
      </c>
      <c r="E12" s="204">
        <f>销售日报表!L9</f>
        <v>0</v>
      </c>
      <c r="F12" s="205">
        <f>销售日报表!J9</f>
        <v>0</v>
      </c>
      <c r="G12" s="206">
        <f t="shared" si="0"/>
        <v>0</v>
      </c>
      <c r="H12" s="206">
        <f t="shared" si="1"/>
        <v>14.91</v>
      </c>
      <c r="I12" s="207">
        <f t="shared" si="2"/>
        <v>0</v>
      </c>
      <c r="J12" s="204">
        <f>单SKU总广告监控表!E18</f>
        <v>0</v>
      </c>
      <c r="K12" s="211" t="e">
        <f t="shared" si="3"/>
        <v>#DIV/0!</v>
      </c>
      <c r="L12" s="212">
        <f t="shared" si="4"/>
        <v>0</v>
      </c>
      <c r="M12" s="204">
        <f>销售日报表!F9</f>
        <v>0</v>
      </c>
      <c r="N12" s="207">
        <f t="shared" si="5"/>
        <v>0</v>
      </c>
    </row>
    <row r="13" spans="3:14">
      <c r="C13" s="203">
        <v>44143</v>
      </c>
      <c r="D13" s="204">
        <f>销售日报表!B10</f>
        <v>0</v>
      </c>
      <c r="E13" s="204">
        <f>销售日报表!L10</f>
        <v>0</v>
      </c>
      <c r="F13" s="205">
        <f>销售日报表!J10</f>
        <v>0</v>
      </c>
      <c r="G13" s="206">
        <f t="shared" si="0"/>
        <v>0</v>
      </c>
      <c r="H13" s="206">
        <f t="shared" si="1"/>
        <v>14.91</v>
      </c>
      <c r="I13" s="207">
        <f t="shared" si="2"/>
        <v>0</v>
      </c>
      <c r="J13" s="204">
        <f>单SKU总广告监控表!E19</f>
        <v>0</v>
      </c>
      <c r="K13" s="211" t="e">
        <f t="shared" si="3"/>
        <v>#DIV/0!</v>
      </c>
      <c r="L13" s="212">
        <f t="shared" si="4"/>
        <v>0</v>
      </c>
      <c r="M13" s="204">
        <f>销售日报表!F10</f>
        <v>0</v>
      </c>
      <c r="N13" s="207">
        <f t="shared" si="5"/>
        <v>0</v>
      </c>
    </row>
    <row r="14" spans="3:14">
      <c r="C14" s="203">
        <v>44144</v>
      </c>
      <c r="D14" s="204">
        <f>销售日报表!B11</f>
        <v>0</v>
      </c>
      <c r="E14" s="204">
        <f>销售日报表!L11</f>
        <v>0</v>
      </c>
      <c r="F14" s="205">
        <f>销售日报表!J11</f>
        <v>0</v>
      </c>
      <c r="G14" s="206">
        <f t="shared" si="0"/>
        <v>0</v>
      </c>
      <c r="H14" s="206">
        <f t="shared" si="1"/>
        <v>14.91</v>
      </c>
      <c r="I14" s="207">
        <f t="shared" si="2"/>
        <v>0</v>
      </c>
      <c r="J14" s="204">
        <f>单SKU总广告监控表!E20</f>
        <v>0</v>
      </c>
      <c r="K14" s="211" t="e">
        <f t="shared" si="3"/>
        <v>#DIV/0!</v>
      </c>
      <c r="L14" s="212">
        <f t="shared" si="4"/>
        <v>0</v>
      </c>
      <c r="M14" s="204">
        <f>销售日报表!F11</f>
        <v>0</v>
      </c>
      <c r="N14" s="207">
        <f t="shared" si="5"/>
        <v>0</v>
      </c>
    </row>
    <row r="15" spans="3:14">
      <c r="C15" s="203">
        <v>44145</v>
      </c>
      <c r="D15" s="204">
        <f>销售日报表!B12</f>
        <v>0</v>
      </c>
      <c r="E15" s="204">
        <f>销售日报表!L12</f>
        <v>0</v>
      </c>
      <c r="F15" s="205">
        <f>销售日报表!J12</f>
        <v>0</v>
      </c>
      <c r="G15" s="206">
        <f t="shared" si="0"/>
        <v>0</v>
      </c>
      <c r="H15" s="206">
        <f t="shared" si="1"/>
        <v>14.91</v>
      </c>
      <c r="I15" s="207">
        <f t="shared" si="2"/>
        <v>0</v>
      </c>
      <c r="J15" s="204">
        <f>单SKU总广告监控表!E21</f>
        <v>0</v>
      </c>
      <c r="K15" s="211" t="e">
        <f t="shared" si="3"/>
        <v>#DIV/0!</v>
      </c>
      <c r="L15" s="212">
        <f t="shared" si="4"/>
        <v>0</v>
      </c>
      <c r="M15" s="204">
        <f>销售日报表!F12</f>
        <v>0</v>
      </c>
      <c r="N15" s="207">
        <f t="shared" si="5"/>
        <v>0</v>
      </c>
    </row>
    <row r="16" spans="3:14">
      <c r="C16" s="203">
        <v>44146</v>
      </c>
      <c r="D16" s="204">
        <f>销售日报表!B13</f>
        <v>0</v>
      </c>
      <c r="E16" s="204">
        <f>销售日报表!L13</f>
        <v>0</v>
      </c>
      <c r="F16" s="205">
        <f>销售日报表!J13</f>
        <v>0</v>
      </c>
      <c r="G16" s="206">
        <f t="shared" si="0"/>
        <v>0</v>
      </c>
      <c r="H16" s="206">
        <f t="shared" si="1"/>
        <v>14.91</v>
      </c>
      <c r="I16" s="207">
        <f t="shared" si="2"/>
        <v>0</v>
      </c>
      <c r="J16" s="204">
        <f>单SKU总广告监控表!E22</f>
        <v>0</v>
      </c>
      <c r="K16" s="211" t="e">
        <f t="shared" si="3"/>
        <v>#DIV/0!</v>
      </c>
      <c r="L16" s="212">
        <f t="shared" si="4"/>
        <v>0</v>
      </c>
      <c r="M16" s="204">
        <f>销售日报表!F13</f>
        <v>0</v>
      </c>
      <c r="N16" s="207">
        <f t="shared" si="5"/>
        <v>0</v>
      </c>
    </row>
    <row r="17" spans="3:14">
      <c r="C17" s="203">
        <v>44147</v>
      </c>
      <c r="D17" s="204">
        <f>销售日报表!B14</f>
        <v>0</v>
      </c>
      <c r="E17" s="204">
        <f>销售日报表!L14</f>
        <v>0</v>
      </c>
      <c r="F17" s="205">
        <f>销售日报表!J14</f>
        <v>0</v>
      </c>
      <c r="G17" s="206">
        <f t="shared" si="0"/>
        <v>0</v>
      </c>
      <c r="H17" s="206">
        <f t="shared" si="1"/>
        <v>14.91</v>
      </c>
      <c r="I17" s="207">
        <f t="shared" si="2"/>
        <v>0</v>
      </c>
      <c r="J17" s="204">
        <f>单SKU总广告监控表!E23</f>
        <v>0</v>
      </c>
      <c r="K17" s="211" t="e">
        <f t="shared" si="3"/>
        <v>#DIV/0!</v>
      </c>
      <c r="L17" s="212">
        <f t="shared" si="4"/>
        <v>0</v>
      </c>
      <c r="M17" s="204">
        <f>销售日报表!F14</f>
        <v>0</v>
      </c>
      <c r="N17" s="207">
        <f t="shared" si="5"/>
        <v>0</v>
      </c>
    </row>
    <row r="18" spans="3:14">
      <c r="C18" s="203">
        <v>44148</v>
      </c>
      <c r="D18" s="204">
        <f>销售日报表!B15</f>
        <v>0</v>
      </c>
      <c r="E18" s="204">
        <f>销售日报表!L15</f>
        <v>0</v>
      </c>
      <c r="F18" s="205">
        <f>销售日报表!J15</f>
        <v>0</v>
      </c>
      <c r="G18" s="206">
        <f t="shared" si="0"/>
        <v>0</v>
      </c>
      <c r="H18" s="206">
        <f t="shared" si="1"/>
        <v>14.91</v>
      </c>
      <c r="I18" s="207">
        <f t="shared" si="2"/>
        <v>0</v>
      </c>
      <c r="J18" s="204">
        <f>单SKU总广告监控表!E24</f>
        <v>0</v>
      </c>
      <c r="K18" s="211" t="e">
        <f t="shared" si="3"/>
        <v>#DIV/0!</v>
      </c>
      <c r="L18" s="212">
        <f t="shared" si="4"/>
        <v>0</v>
      </c>
      <c r="M18" s="204">
        <f>销售日报表!F15</f>
        <v>0</v>
      </c>
      <c r="N18" s="207">
        <f t="shared" si="5"/>
        <v>0</v>
      </c>
    </row>
    <row r="19" spans="3:14">
      <c r="C19" s="203">
        <v>44149</v>
      </c>
      <c r="D19" s="204">
        <f>销售日报表!B16</f>
        <v>0</v>
      </c>
      <c r="E19" s="204">
        <f>销售日报表!L16</f>
        <v>0</v>
      </c>
      <c r="F19" s="205">
        <f>销售日报表!J16</f>
        <v>0</v>
      </c>
      <c r="G19" s="206">
        <f t="shared" si="0"/>
        <v>0</v>
      </c>
      <c r="H19" s="206">
        <f t="shared" si="1"/>
        <v>14.91</v>
      </c>
      <c r="I19" s="207">
        <f t="shared" si="2"/>
        <v>0</v>
      </c>
      <c r="J19" s="204">
        <f>单SKU总广告监控表!E25</f>
        <v>0</v>
      </c>
      <c r="K19" s="211" t="e">
        <f t="shared" si="3"/>
        <v>#DIV/0!</v>
      </c>
      <c r="L19" s="212">
        <f t="shared" si="4"/>
        <v>0</v>
      </c>
      <c r="M19" s="204">
        <f>销售日报表!F16</f>
        <v>0</v>
      </c>
      <c r="N19" s="207">
        <f t="shared" si="5"/>
        <v>0</v>
      </c>
    </row>
    <row r="20" spans="3:14">
      <c r="C20" s="203">
        <v>44150</v>
      </c>
      <c r="D20" s="204">
        <f>销售日报表!B17</f>
        <v>0</v>
      </c>
      <c r="E20" s="204">
        <f>销售日报表!L17</f>
        <v>0</v>
      </c>
      <c r="F20" s="205">
        <f>销售日报表!J17</f>
        <v>0</v>
      </c>
      <c r="G20" s="206">
        <f t="shared" si="0"/>
        <v>0</v>
      </c>
      <c r="H20" s="206">
        <f t="shared" si="1"/>
        <v>14.91</v>
      </c>
      <c r="I20" s="207">
        <f t="shared" si="2"/>
        <v>0</v>
      </c>
      <c r="J20" s="204">
        <f>单SKU总广告监控表!E26</f>
        <v>0</v>
      </c>
      <c r="K20" s="211" t="e">
        <f t="shared" si="3"/>
        <v>#DIV/0!</v>
      </c>
      <c r="L20" s="212">
        <f t="shared" si="4"/>
        <v>0</v>
      </c>
      <c r="M20" s="204">
        <f>销售日报表!F17</f>
        <v>0</v>
      </c>
      <c r="N20" s="207">
        <f t="shared" si="5"/>
        <v>0</v>
      </c>
    </row>
    <row r="21" spans="3:14">
      <c r="C21" s="203">
        <v>44151</v>
      </c>
      <c r="D21" s="204">
        <f>销售日报表!B18</f>
        <v>0</v>
      </c>
      <c r="E21" s="204">
        <f>销售日报表!L18</f>
        <v>0</v>
      </c>
      <c r="F21" s="205">
        <f>销售日报表!J18</f>
        <v>0</v>
      </c>
      <c r="G21" s="206">
        <f t="shared" si="0"/>
        <v>0</v>
      </c>
      <c r="H21" s="206">
        <f t="shared" si="1"/>
        <v>14.91</v>
      </c>
      <c r="I21" s="207">
        <f t="shared" si="2"/>
        <v>0</v>
      </c>
      <c r="J21" s="204">
        <f>单SKU总广告监控表!E27</f>
        <v>0</v>
      </c>
      <c r="K21" s="211" t="e">
        <f t="shared" si="3"/>
        <v>#DIV/0!</v>
      </c>
      <c r="L21" s="212">
        <f t="shared" si="4"/>
        <v>0</v>
      </c>
      <c r="M21" s="204">
        <f>销售日报表!F18</f>
        <v>0</v>
      </c>
      <c r="N21" s="207">
        <f t="shared" si="5"/>
        <v>0</v>
      </c>
    </row>
    <row r="22" spans="3:14">
      <c r="C22" s="203">
        <v>44152</v>
      </c>
      <c r="D22" s="204">
        <f>销售日报表!B19</f>
        <v>0</v>
      </c>
      <c r="E22" s="204">
        <f>销售日报表!L19</f>
        <v>0</v>
      </c>
      <c r="F22" s="205">
        <f>销售日报表!J19</f>
        <v>0</v>
      </c>
      <c r="G22" s="206">
        <f t="shared" si="0"/>
        <v>0</v>
      </c>
      <c r="H22" s="206">
        <f t="shared" si="1"/>
        <v>14.91</v>
      </c>
      <c r="I22" s="207">
        <f t="shared" si="2"/>
        <v>0</v>
      </c>
      <c r="J22" s="204">
        <f>单SKU总广告监控表!E28</f>
        <v>0</v>
      </c>
      <c r="K22" s="211" t="e">
        <f t="shared" si="3"/>
        <v>#DIV/0!</v>
      </c>
      <c r="L22" s="212">
        <f t="shared" si="4"/>
        <v>0</v>
      </c>
      <c r="M22" s="204">
        <f>销售日报表!F19</f>
        <v>0</v>
      </c>
      <c r="N22" s="207">
        <f t="shared" si="5"/>
        <v>0</v>
      </c>
    </row>
    <row r="23" spans="3:14">
      <c r="C23" s="203">
        <v>44153</v>
      </c>
      <c r="D23" s="204">
        <f>销售日报表!B20</f>
        <v>0</v>
      </c>
      <c r="E23" s="204">
        <f>销售日报表!L20</f>
        <v>0</v>
      </c>
      <c r="F23" s="205">
        <f>销售日报表!J20</f>
        <v>0</v>
      </c>
      <c r="G23" s="206">
        <f t="shared" si="0"/>
        <v>0</v>
      </c>
      <c r="H23" s="206">
        <f t="shared" si="1"/>
        <v>14.91</v>
      </c>
      <c r="I23" s="207">
        <f t="shared" si="2"/>
        <v>0</v>
      </c>
      <c r="J23" s="204">
        <f>单SKU总广告监控表!E29</f>
        <v>0</v>
      </c>
      <c r="K23" s="211" t="e">
        <f t="shared" si="3"/>
        <v>#DIV/0!</v>
      </c>
      <c r="L23" s="212">
        <f t="shared" si="4"/>
        <v>0</v>
      </c>
      <c r="M23" s="204">
        <f>销售日报表!F20</f>
        <v>0</v>
      </c>
      <c r="N23" s="207">
        <f t="shared" si="5"/>
        <v>0</v>
      </c>
    </row>
    <row r="24" spans="3:14">
      <c r="C24" s="203">
        <v>44154</v>
      </c>
      <c r="D24" s="204">
        <f>销售日报表!B21</f>
        <v>0</v>
      </c>
      <c r="E24" s="204">
        <f>销售日报表!L21</f>
        <v>0</v>
      </c>
      <c r="F24" s="205">
        <f>销售日报表!J21</f>
        <v>0</v>
      </c>
      <c r="G24" s="206">
        <f t="shared" si="0"/>
        <v>0</v>
      </c>
      <c r="H24" s="206">
        <f t="shared" si="1"/>
        <v>14.91</v>
      </c>
      <c r="I24" s="207">
        <f t="shared" si="2"/>
        <v>0</v>
      </c>
      <c r="J24" s="204">
        <f>单SKU总广告监控表!E30</f>
        <v>0</v>
      </c>
      <c r="K24" s="211" t="e">
        <f t="shared" si="3"/>
        <v>#DIV/0!</v>
      </c>
      <c r="L24" s="212">
        <f t="shared" si="4"/>
        <v>0</v>
      </c>
      <c r="M24" s="204">
        <f>销售日报表!F21</f>
        <v>0</v>
      </c>
      <c r="N24" s="207">
        <f t="shared" si="5"/>
        <v>0</v>
      </c>
    </row>
    <row r="25" spans="3:14">
      <c r="C25" s="203">
        <v>44155</v>
      </c>
      <c r="D25" s="204">
        <f>销售日报表!B22</f>
        <v>0</v>
      </c>
      <c r="E25" s="204">
        <f>销售日报表!L22</f>
        <v>0</v>
      </c>
      <c r="F25" s="205">
        <f>销售日报表!J22</f>
        <v>0</v>
      </c>
      <c r="G25" s="206">
        <f t="shared" si="0"/>
        <v>0</v>
      </c>
      <c r="H25" s="206">
        <f t="shared" si="1"/>
        <v>14.91</v>
      </c>
      <c r="I25" s="207">
        <f t="shared" si="2"/>
        <v>0</v>
      </c>
      <c r="J25" s="204">
        <f>单SKU总广告监控表!E31</f>
        <v>0</v>
      </c>
      <c r="K25" s="211" t="e">
        <f t="shared" si="3"/>
        <v>#DIV/0!</v>
      </c>
      <c r="L25" s="212">
        <f t="shared" si="4"/>
        <v>0</v>
      </c>
      <c r="M25" s="204">
        <f>销售日报表!F22</f>
        <v>0</v>
      </c>
      <c r="N25" s="207">
        <f t="shared" si="5"/>
        <v>0</v>
      </c>
    </row>
    <row r="26" spans="3:14">
      <c r="C26" s="203">
        <v>44156</v>
      </c>
      <c r="D26" s="204">
        <f>销售日报表!B23</f>
        <v>0</v>
      </c>
      <c r="E26" s="204">
        <f>销售日报表!L23</f>
        <v>0</v>
      </c>
      <c r="F26" s="205">
        <f>销售日报表!J23</f>
        <v>0</v>
      </c>
      <c r="G26" s="206">
        <f t="shared" si="0"/>
        <v>0</v>
      </c>
      <c r="H26" s="206">
        <f t="shared" si="1"/>
        <v>14.91</v>
      </c>
      <c r="I26" s="207">
        <f t="shared" si="2"/>
        <v>0</v>
      </c>
      <c r="J26" s="204">
        <f>单SKU总广告监控表!E32</f>
        <v>0</v>
      </c>
      <c r="K26" s="211" t="e">
        <f t="shared" si="3"/>
        <v>#DIV/0!</v>
      </c>
      <c r="L26" s="212">
        <f t="shared" si="4"/>
        <v>0</v>
      </c>
      <c r="M26" s="204">
        <f>销售日报表!F23</f>
        <v>0</v>
      </c>
      <c r="N26" s="207">
        <f t="shared" si="5"/>
        <v>0</v>
      </c>
    </row>
    <row r="27" spans="3:14">
      <c r="C27" s="203">
        <v>44157</v>
      </c>
      <c r="D27" s="204">
        <f>销售日报表!B24</f>
        <v>0</v>
      </c>
      <c r="E27" s="204">
        <f>销售日报表!L24</f>
        <v>0</v>
      </c>
      <c r="F27" s="205">
        <f>销售日报表!J24</f>
        <v>0</v>
      </c>
      <c r="G27" s="206">
        <f t="shared" si="0"/>
        <v>0</v>
      </c>
      <c r="H27" s="206">
        <f t="shared" si="1"/>
        <v>14.91</v>
      </c>
      <c r="I27" s="207">
        <f t="shared" si="2"/>
        <v>0</v>
      </c>
      <c r="J27" s="204">
        <f>单SKU总广告监控表!E33</f>
        <v>0</v>
      </c>
      <c r="K27" s="211" t="e">
        <f t="shared" si="3"/>
        <v>#DIV/0!</v>
      </c>
      <c r="L27" s="212">
        <f t="shared" si="4"/>
        <v>0</v>
      </c>
      <c r="M27" s="204">
        <f>销售日报表!F24</f>
        <v>0</v>
      </c>
      <c r="N27" s="207">
        <f t="shared" si="5"/>
        <v>0</v>
      </c>
    </row>
    <row r="28" spans="3:14">
      <c r="C28" s="203">
        <v>44158</v>
      </c>
      <c r="D28" s="204">
        <f>销售日报表!B25</f>
        <v>0</v>
      </c>
      <c r="E28" s="204">
        <f>销售日报表!L25</f>
        <v>0</v>
      </c>
      <c r="F28" s="205">
        <f>销售日报表!J25</f>
        <v>0</v>
      </c>
      <c r="G28" s="206">
        <f t="shared" si="0"/>
        <v>0</v>
      </c>
      <c r="H28" s="206">
        <f t="shared" si="1"/>
        <v>14.91</v>
      </c>
      <c r="I28" s="207">
        <f t="shared" si="2"/>
        <v>0</v>
      </c>
      <c r="J28" s="204">
        <f>单SKU总广告监控表!E34</f>
        <v>0</v>
      </c>
      <c r="K28" s="211" t="e">
        <f t="shared" si="3"/>
        <v>#DIV/0!</v>
      </c>
      <c r="L28" s="212">
        <f t="shared" si="4"/>
        <v>0</v>
      </c>
      <c r="M28" s="204">
        <f>销售日报表!F25</f>
        <v>0</v>
      </c>
      <c r="N28" s="207">
        <f t="shared" si="5"/>
        <v>0</v>
      </c>
    </row>
    <row r="29" spans="3:14">
      <c r="C29" s="203">
        <v>44159</v>
      </c>
      <c r="D29" s="204">
        <f>销售日报表!B26</f>
        <v>0</v>
      </c>
      <c r="E29" s="204">
        <f>销售日报表!L26</f>
        <v>0</v>
      </c>
      <c r="F29" s="205">
        <f>销售日报表!J26</f>
        <v>0</v>
      </c>
      <c r="G29" s="206">
        <f t="shared" si="0"/>
        <v>0</v>
      </c>
      <c r="H29" s="206">
        <f t="shared" si="1"/>
        <v>14.91</v>
      </c>
      <c r="I29" s="207">
        <f t="shared" si="2"/>
        <v>0</v>
      </c>
      <c r="J29" s="204">
        <f>单SKU总广告监控表!E35</f>
        <v>0</v>
      </c>
      <c r="K29" s="211" t="e">
        <f t="shared" si="3"/>
        <v>#DIV/0!</v>
      </c>
      <c r="L29" s="212">
        <f t="shared" si="4"/>
        <v>0</v>
      </c>
      <c r="M29" s="204">
        <f>销售日报表!F26</f>
        <v>0</v>
      </c>
      <c r="N29" s="207">
        <f t="shared" si="5"/>
        <v>0</v>
      </c>
    </row>
    <row r="30" spans="3:14">
      <c r="C30" s="203">
        <v>44160</v>
      </c>
      <c r="D30" s="204">
        <f>销售日报表!B27</f>
        <v>0</v>
      </c>
      <c r="E30" s="204">
        <f>销售日报表!L27</f>
        <v>0</v>
      </c>
      <c r="F30" s="205">
        <f>销售日报表!J27</f>
        <v>0</v>
      </c>
      <c r="G30" s="206">
        <f t="shared" si="0"/>
        <v>0</v>
      </c>
      <c r="H30" s="206">
        <f t="shared" si="1"/>
        <v>14.91</v>
      </c>
      <c r="I30" s="207">
        <f t="shared" si="2"/>
        <v>0</v>
      </c>
      <c r="J30" s="204">
        <f>单SKU总广告监控表!E36</f>
        <v>0</v>
      </c>
      <c r="K30" s="211" t="e">
        <f t="shared" si="3"/>
        <v>#DIV/0!</v>
      </c>
      <c r="L30" s="212">
        <f t="shared" si="4"/>
        <v>0</v>
      </c>
      <c r="M30" s="204">
        <f>销售日报表!F27</f>
        <v>0</v>
      </c>
      <c r="N30" s="207">
        <f t="shared" si="5"/>
        <v>0</v>
      </c>
    </row>
    <row r="31" spans="3:14">
      <c r="C31" s="203">
        <v>44161</v>
      </c>
      <c r="D31" s="204">
        <f>销售日报表!B28</f>
        <v>0</v>
      </c>
      <c r="E31" s="204">
        <f>销售日报表!L28</f>
        <v>0</v>
      </c>
      <c r="F31" s="205">
        <f>销售日报表!J28</f>
        <v>0</v>
      </c>
      <c r="G31" s="206">
        <f t="shared" si="0"/>
        <v>0</v>
      </c>
      <c r="H31" s="206">
        <f t="shared" si="1"/>
        <v>14.91</v>
      </c>
      <c r="I31" s="207">
        <f t="shared" si="2"/>
        <v>0</v>
      </c>
      <c r="J31" s="204">
        <f>单SKU总广告监控表!E37</f>
        <v>0</v>
      </c>
      <c r="K31" s="211" t="e">
        <f t="shared" si="3"/>
        <v>#DIV/0!</v>
      </c>
      <c r="L31" s="212">
        <f t="shared" si="4"/>
        <v>0</v>
      </c>
      <c r="M31" s="204">
        <f>销售日报表!F28</f>
        <v>0</v>
      </c>
      <c r="N31" s="207">
        <f t="shared" si="5"/>
        <v>0</v>
      </c>
    </row>
    <row r="32" spans="3:14">
      <c r="C32" s="203">
        <v>44162</v>
      </c>
      <c r="D32" s="204">
        <f>销售日报表!B29</f>
        <v>0</v>
      </c>
      <c r="E32" s="204">
        <f>销售日报表!L29</f>
        <v>0</v>
      </c>
      <c r="F32" s="205">
        <f>销售日报表!J29</f>
        <v>0</v>
      </c>
      <c r="G32" s="206">
        <f t="shared" si="0"/>
        <v>0</v>
      </c>
      <c r="H32" s="206">
        <f t="shared" si="1"/>
        <v>14.91</v>
      </c>
      <c r="I32" s="207">
        <f t="shared" si="2"/>
        <v>0</v>
      </c>
      <c r="J32" s="204">
        <f>单SKU总广告监控表!E38</f>
        <v>0</v>
      </c>
      <c r="K32" s="211" t="e">
        <f t="shared" si="3"/>
        <v>#DIV/0!</v>
      </c>
      <c r="L32" s="212">
        <f t="shared" si="4"/>
        <v>0</v>
      </c>
      <c r="M32" s="204">
        <f>销售日报表!F29</f>
        <v>0</v>
      </c>
      <c r="N32" s="207">
        <f t="shared" si="5"/>
        <v>0</v>
      </c>
    </row>
    <row r="33" spans="3:14">
      <c r="C33" s="203">
        <v>44163</v>
      </c>
      <c r="D33" s="204">
        <f>销售日报表!B30</f>
        <v>0</v>
      </c>
      <c r="E33" s="204">
        <f>销售日报表!L30</f>
        <v>0</v>
      </c>
      <c r="F33" s="205">
        <f>销售日报表!J30</f>
        <v>0</v>
      </c>
      <c r="G33" s="206">
        <f t="shared" si="0"/>
        <v>0</v>
      </c>
      <c r="H33" s="206">
        <f t="shared" si="1"/>
        <v>14.91</v>
      </c>
      <c r="I33" s="207">
        <f t="shared" si="2"/>
        <v>0</v>
      </c>
      <c r="J33" s="204">
        <f>单SKU总广告监控表!E39</f>
        <v>0</v>
      </c>
      <c r="K33" s="211" t="e">
        <f t="shared" si="3"/>
        <v>#DIV/0!</v>
      </c>
      <c r="L33" s="212">
        <f t="shared" si="4"/>
        <v>0</v>
      </c>
      <c r="M33" s="204">
        <f>销售日报表!F30</f>
        <v>0</v>
      </c>
      <c r="N33" s="207">
        <f t="shared" si="5"/>
        <v>0</v>
      </c>
    </row>
    <row r="34" spans="3:14">
      <c r="C34" s="203">
        <v>44164</v>
      </c>
      <c r="D34" s="204">
        <f>销售日报表!B31</f>
        <v>0</v>
      </c>
      <c r="E34" s="204">
        <f>销售日报表!L31</f>
        <v>0</v>
      </c>
      <c r="F34" s="205">
        <f>销售日报表!J31</f>
        <v>0</v>
      </c>
      <c r="G34" s="206">
        <f t="shared" si="0"/>
        <v>0</v>
      </c>
      <c r="H34" s="206">
        <f t="shared" si="1"/>
        <v>14.91</v>
      </c>
      <c r="I34" s="207">
        <f t="shared" si="2"/>
        <v>0</v>
      </c>
      <c r="J34" s="204">
        <f>单SKU总广告监控表!E40</f>
        <v>0</v>
      </c>
      <c r="K34" s="211" t="e">
        <f t="shared" si="3"/>
        <v>#DIV/0!</v>
      </c>
      <c r="L34" s="212">
        <f t="shared" si="4"/>
        <v>0</v>
      </c>
      <c r="M34" s="204">
        <f>销售日报表!F31</f>
        <v>0</v>
      </c>
      <c r="N34" s="207">
        <f t="shared" si="5"/>
        <v>0</v>
      </c>
    </row>
    <row r="35" spans="3:14">
      <c r="C35" s="203">
        <v>44165</v>
      </c>
      <c r="D35" s="204">
        <f>销售日报表!B32</f>
        <v>0</v>
      </c>
      <c r="E35" s="204">
        <f>销售日报表!L32</f>
        <v>0</v>
      </c>
      <c r="F35" s="205">
        <f>销售日报表!J32</f>
        <v>0</v>
      </c>
      <c r="G35" s="206">
        <f t="shared" si="0"/>
        <v>0</v>
      </c>
      <c r="H35" s="206">
        <f t="shared" si="1"/>
        <v>14.91</v>
      </c>
      <c r="I35" s="207">
        <f t="shared" si="2"/>
        <v>0</v>
      </c>
      <c r="J35" s="204">
        <f>单SKU总广告监控表!E41</f>
        <v>0</v>
      </c>
      <c r="K35" s="211" t="e">
        <f t="shared" si="3"/>
        <v>#DIV/0!</v>
      </c>
      <c r="L35" s="212">
        <f t="shared" si="4"/>
        <v>0</v>
      </c>
      <c r="M35" s="204">
        <f>销售日报表!F32</f>
        <v>0</v>
      </c>
      <c r="N35" s="207">
        <f t="shared" si="5"/>
        <v>0</v>
      </c>
    </row>
    <row r="36" spans="3:14">
      <c r="C36" s="203" t="s">
        <v>13</v>
      </c>
      <c r="D36" s="204"/>
      <c r="E36" s="204">
        <f>SUM(E6:E35)</f>
        <v>0</v>
      </c>
      <c r="F36" s="207">
        <f t="shared" ref="F36:N36" si="6">SUM(F6:F35)</f>
        <v>0</v>
      </c>
      <c r="G36" s="207"/>
      <c r="H36" s="207">
        <f t="shared" si="6"/>
        <v>447.3</v>
      </c>
      <c r="I36" s="207">
        <f t="shared" si="6"/>
        <v>0</v>
      </c>
      <c r="J36" s="207">
        <f t="shared" si="6"/>
        <v>0</v>
      </c>
      <c r="K36" s="204"/>
      <c r="L36" s="204"/>
      <c r="M36" s="204">
        <f t="shared" si="6"/>
        <v>0</v>
      </c>
      <c r="N36" s="204">
        <f t="shared" si="6"/>
        <v>0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pane ySplit="3" topLeftCell="A4" activePane="bottomLeft" state="frozen"/>
      <selection/>
      <selection pane="bottomLeft" activeCell="I14" sqref="I14"/>
    </sheetView>
  </sheetViews>
  <sheetFormatPr defaultColWidth="9" defaultRowHeight="15.6"/>
  <cols>
    <col min="1" max="1" width="8.75" style="190"/>
    <col min="2" max="3" width="16.25" style="190" customWidth="1"/>
    <col min="4" max="6" width="8.75" style="190"/>
    <col min="7" max="7" width="17.75" style="190" customWidth="1"/>
    <col min="8" max="8" width="12.125" style="190" customWidth="1"/>
    <col min="9" max="9" width="17.75" style="190" customWidth="1"/>
    <col min="10" max="16384" width="8.75" style="190"/>
  </cols>
  <sheetData>
    <row r="1" ht="30.6" spans="1:9">
      <c r="A1" s="178" t="s">
        <v>71</v>
      </c>
      <c r="B1" s="178"/>
      <c r="C1" s="178"/>
      <c r="D1" s="178"/>
      <c r="E1" s="178"/>
      <c r="F1" s="178"/>
      <c r="G1" s="178"/>
      <c r="H1" s="178"/>
      <c r="I1" s="178"/>
    </row>
    <row r="2" spans="1:9">
      <c r="A2" s="179" t="s">
        <v>1</v>
      </c>
      <c r="B2" s="179" t="s">
        <v>72</v>
      </c>
      <c r="C2" s="183" t="s">
        <v>73</v>
      </c>
      <c r="D2" s="179" t="s">
        <v>74</v>
      </c>
      <c r="E2" s="179" t="s">
        <v>75</v>
      </c>
      <c r="F2" s="179" t="s">
        <v>76</v>
      </c>
      <c r="G2" s="179" t="s">
        <v>50</v>
      </c>
      <c r="H2" s="179"/>
      <c r="I2" s="179"/>
    </row>
    <row r="3" spans="1:9">
      <c r="A3" s="179"/>
      <c r="B3" s="179"/>
      <c r="C3" s="183"/>
      <c r="D3" s="179"/>
      <c r="E3" s="179"/>
      <c r="F3" s="179"/>
      <c r="G3" s="179" t="s">
        <v>77</v>
      </c>
      <c r="H3" s="179" t="s">
        <v>78</v>
      </c>
      <c r="I3" s="179" t="s">
        <v>79</v>
      </c>
    </row>
    <row r="4" spans="1:9">
      <c r="A4" s="191">
        <v>44136</v>
      </c>
      <c r="B4" s="191"/>
      <c r="C4" s="192"/>
      <c r="D4" s="192"/>
      <c r="E4" s="192"/>
      <c r="F4" s="193">
        <f>销售日报表!E3</f>
        <v>0</v>
      </c>
      <c r="G4" s="194"/>
      <c r="H4" s="193">
        <f>销售日报表!F3</f>
        <v>0</v>
      </c>
      <c r="I4" s="193"/>
    </row>
    <row r="5" spans="1:9">
      <c r="A5" s="191">
        <v>44137</v>
      </c>
      <c r="B5" s="191"/>
      <c r="C5" s="192"/>
      <c r="D5" s="192"/>
      <c r="E5" s="192"/>
      <c r="F5" s="193">
        <f>销售日报表!E4</f>
        <v>0</v>
      </c>
      <c r="G5" s="194"/>
      <c r="H5" s="193">
        <f>销售日报表!F4</f>
        <v>0</v>
      </c>
      <c r="I5" s="193"/>
    </row>
    <row r="6" spans="1:9">
      <c r="A6" s="191">
        <v>44138</v>
      </c>
      <c r="B6" s="191"/>
      <c r="C6" s="192"/>
      <c r="D6" s="192"/>
      <c r="E6" s="192"/>
      <c r="F6" s="193">
        <f>销售日报表!E5</f>
        <v>0</v>
      </c>
      <c r="G6" s="194"/>
      <c r="H6" s="193">
        <f>销售日报表!F5</f>
        <v>0</v>
      </c>
      <c r="I6" s="193"/>
    </row>
    <row r="7" spans="1:9">
      <c r="A7" s="191">
        <v>44139</v>
      </c>
      <c r="B7" s="191"/>
      <c r="C7" s="192"/>
      <c r="D7" s="192"/>
      <c r="E7" s="192"/>
      <c r="F7" s="193">
        <f>销售日报表!E6</f>
        <v>0</v>
      </c>
      <c r="G7" s="194"/>
      <c r="H7" s="193">
        <f>销售日报表!F6</f>
        <v>0</v>
      </c>
      <c r="I7" s="193"/>
    </row>
    <row r="8" spans="1:9">
      <c r="A8" s="191">
        <v>44140</v>
      </c>
      <c r="B8" s="191"/>
      <c r="C8" s="192"/>
      <c r="D8" s="192"/>
      <c r="E8" s="192"/>
      <c r="F8" s="193">
        <f>销售日报表!E7</f>
        <v>0</v>
      </c>
      <c r="G8" s="194"/>
      <c r="H8" s="193">
        <f>销售日报表!F7</f>
        <v>0</v>
      </c>
      <c r="I8" s="193"/>
    </row>
    <row r="9" spans="1:9">
      <c r="A9" s="191">
        <v>44141</v>
      </c>
      <c r="B9" s="191"/>
      <c r="C9" s="192"/>
      <c r="D9" s="192"/>
      <c r="E9" s="192"/>
      <c r="F9" s="193">
        <f>销售日报表!E8</f>
        <v>0</v>
      </c>
      <c r="G9" s="194"/>
      <c r="H9" s="193">
        <f>销售日报表!F8</f>
        <v>0</v>
      </c>
      <c r="I9" s="193"/>
    </row>
    <row r="10" spans="1:9">
      <c r="A10" s="191">
        <v>44142</v>
      </c>
      <c r="B10" s="191"/>
      <c r="C10" s="192"/>
      <c r="D10" s="192"/>
      <c r="E10" s="192"/>
      <c r="F10" s="193">
        <f>销售日报表!E9</f>
        <v>0</v>
      </c>
      <c r="G10" s="194"/>
      <c r="H10" s="193">
        <f>销售日报表!F9</f>
        <v>0</v>
      </c>
      <c r="I10" s="193"/>
    </row>
    <row r="11" spans="1:9">
      <c r="A11" s="191">
        <v>44143</v>
      </c>
      <c r="B11" s="191"/>
      <c r="C11" s="192"/>
      <c r="D11" s="192"/>
      <c r="E11" s="192"/>
      <c r="F11" s="193">
        <f>销售日报表!E10</f>
        <v>0</v>
      </c>
      <c r="G11" s="194"/>
      <c r="H11" s="193">
        <f>销售日报表!F10</f>
        <v>0</v>
      </c>
      <c r="I11" s="193"/>
    </row>
    <row r="12" spans="1:9">
      <c r="A12" s="191">
        <v>44144</v>
      </c>
      <c r="B12" s="191"/>
      <c r="C12" s="192"/>
      <c r="D12" s="192"/>
      <c r="E12" s="192"/>
      <c r="F12" s="193">
        <f>销售日报表!E11</f>
        <v>0</v>
      </c>
      <c r="G12" s="194"/>
      <c r="H12" s="193">
        <f>销售日报表!F11</f>
        <v>0</v>
      </c>
      <c r="I12" s="193"/>
    </row>
    <row r="13" spans="1:9">
      <c r="A13" s="191">
        <v>44145</v>
      </c>
      <c r="B13" s="191"/>
      <c r="C13" s="192"/>
      <c r="D13" s="192"/>
      <c r="E13" s="192"/>
      <c r="F13" s="193">
        <f>销售日报表!E12</f>
        <v>0</v>
      </c>
      <c r="G13" s="194"/>
      <c r="H13" s="193">
        <f>销售日报表!F12</f>
        <v>0</v>
      </c>
      <c r="I13" s="193"/>
    </row>
    <row r="14" spans="1:9">
      <c r="A14" s="191">
        <v>44146</v>
      </c>
      <c r="B14" s="191"/>
      <c r="C14" s="192"/>
      <c r="D14" s="192"/>
      <c r="E14" s="192"/>
      <c r="F14" s="193">
        <f>销售日报表!E13</f>
        <v>0</v>
      </c>
      <c r="G14" s="194"/>
      <c r="H14" s="193">
        <f>销售日报表!F13</f>
        <v>0</v>
      </c>
      <c r="I14" s="193"/>
    </row>
    <row r="15" spans="1:9">
      <c r="A15" s="191">
        <v>44147</v>
      </c>
      <c r="B15" s="191"/>
      <c r="C15" s="192"/>
      <c r="D15" s="192"/>
      <c r="E15" s="192"/>
      <c r="F15" s="193">
        <f>销售日报表!E14</f>
        <v>0</v>
      </c>
      <c r="G15" s="194"/>
      <c r="H15" s="193">
        <f>销售日报表!F14</f>
        <v>0</v>
      </c>
      <c r="I15" s="193"/>
    </row>
    <row r="16" spans="1:9">
      <c r="A16" s="191">
        <v>44148</v>
      </c>
      <c r="B16" s="191"/>
      <c r="C16" s="192"/>
      <c r="D16" s="192"/>
      <c r="E16" s="192"/>
      <c r="F16" s="193">
        <f>销售日报表!E15</f>
        <v>0</v>
      </c>
      <c r="G16" s="194"/>
      <c r="H16" s="193">
        <f>销售日报表!F15</f>
        <v>0</v>
      </c>
      <c r="I16" s="193"/>
    </row>
    <row r="17" spans="1:9">
      <c r="A17" s="191">
        <v>44149</v>
      </c>
      <c r="B17" s="191"/>
      <c r="C17" s="192"/>
      <c r="D17" s="192"/>
      <c r="E17" s="192"/>
      <c r="F17" s="193">
        <f>销售日报表!E16</f>
        <v>0</v>
      </c>
      <c r="G17" s="194"/>
      <c r="H17" s="193">
        <f>销售日报表!F16</f>
        <v>0</v>
      </c>
      <c r="I17" s="193"/>
    </row>
    <row r="18" spans="1:9">
      <c r="A18" s="191">
        <v>44150</v>
      </c>
      <c r="B18" s="191"/>
      <c r="C18" s="192"/>
      <c r="D18" s="192"/>
      <c r="E18" s="192"/>
      <c r="F18" s="193">
        <f>销售日报表!E17</f>
        <v>0</v>
      </c>
      <c r="G18" s="194"/>
      <c r="H18" s="193">
        <f>销售日报表!F17</f>
        <v>0</v>
      </c>
      <c r="I18" s="193"/>
    </row>
    <row r="19" spans="1:9">
      <c r="A19" s="191">
        <v>44151</v>
      </c>
      <c r="B19" s="191"/>
      <c r="C19" s="192"/>
      <c r="D19" s="192"/>
      <c r="E19" s="192"/>
      <c r="F19" s="193">
        <f>销售日报表!E18</f>
        <v>0</v>
      </c>
      <c r="G19" s="194"/>
      <c r="H19" s="193">
        <f>销售日报表!F18</f>
        <v>0</v>
      </c>
      <c r="I19" s="193"/>
    </row>
    <row r="20" spans="1:9">
      <c r="A20" s="191">
        <v>44152</v>
      </c>
      <c r="B20" s="191"/>
      <c r="C20" s="192"/>
      <c r="D20" s="192"/>
      <c r="E20" s="192"/>
      <c r="F20" s="193">
        <f>销售日报表!E19</f>
        <v>0</v>
      </c>
      <c r="G20" s="194"/>
      <c r="H20" s="193">
        <f>销售日报表!F19</f>
        <v>0</v>
      </c>
      <c r="I20" s="193"/>
    </row>
    <row r="21" spans="1:9">
      <c r="A21" s="191">
        <v>44153</v>
      </c>
      <c r="B21" s="191"/>
      <c r="C21" s="192"/>
      <c r="D21" s="192"/>
      <c r="E21" s="192"/>
      <c r="F21" s="193">
        <f>销售日报表!E20</f>
        <v>0</v>
      </c>
      <c r="G21" s="194"/>
      <c r="H21" s="193">
        <f>销售日报表!F20</f>
        <v>0</v>
      </c>
      <c r="I21" s="193"/>
    </row>
    <row r="22" spans="1:9">
      <c r="A22" s="191">
        <v>44154</v>
      </c>
      <c r="B22" s="191"/>
      <c r="C22" s="192"/>
      <c r="D22" s="192"/>
      <c r="E22" s="192"/>
      <c r="F22" s="193">
        <f>销售日报表!E21</f>
        <v>0</v>
      </c>
      <c r="G22" s="194"/>
      <c r="H22" s="193">
        <f>销售日报表!F21</f>
        <v>0</v>
      </c>
      <c r="I22" s="193"/>
    </row>
    <row r="23" spans="1:9">
      <c r="A23" s="191">
        <v>44155</v>
      </c>
      <c r="B23" s="191"/>
      <c r="C23" s="192"/>
      <c r="D23" s="192"/>
      <c r="E23" s="192"/>
      <c r="F23" s="193">
        <f>销售日报表!E22</f>
        <v>0</v>
      </c>
      <c r="G23" s="194"/>
      <c r="H23" s="193">
        <f>销售日报表!F22</f>
        <v>0</v>
      </c>
      <c r="I23" s="193"/>
    </row>
    <row r="24" spans="1:9">
      <c r="A24" s="191">
        <v>44156</v>
      </c>
      <c r="B24" s="191"/>
      <c r="C24" s="192"/>
      <c r="D24" s="192"/>
      <c r="E24" s="192"/>
      <c r="F24" s="193">
        <f>销售日报表!E23</f>
        <v>0</v>
      </c>
      <c r="G24" s="194"/>
      <c r="H24" s="193">
        <f>销售日报表!F23</f>
        <v>0</v>
      </c>
      <c r="I24" s="193"/>
    </row>
    <row r="25" spans="1:9">
      <c r="A25" s="191">
        <v>44157</v>
      </c>
      <c r="B25" s="191"/>
      <c r="C25" s="192"/>
      <c r="D25" s="192"/>
      <c r="E25" s="192"/>
      <c r="F25" s="193">
        <f>销售日报表!E24</f>
        <v>0</v>
      </c>
      <c r="G25" s="194"/>
      <c r="H25" s="193">
        <f>销售日报表!F24</f>
        <v>0</v>
      </c>
      <c r="I25" s="193"/>
    </row>
    <row r="26" spans="1:9">
      <c r="A26" s="191">
        <v>44158</v>
      </c>
      <c r="B26" s="191"/>
      <c r="C26" s="192"/>
      <c r="D26" s="192"/>
      <c r="E26" s="192"/>
      <c r="F26" s="193">
        <f>销售日报表!E25</f>
        <v>0</v>
      </c>
      <c r="G26" s="194"/>
      <c r="H26" s="193">
        <f>销售日报表!F25</f>
        <v>0</v>
      </c>
      <c r="I26" s="193"/>
    </row>
    <row r="27" spans="1:9">
      <c r="A27" s="191">
        <v>44159</v>
      </c>
      <c r="B27" s="191"/>
      <c r="C27" s="192"/>
      <c r="D27" s="192"/>
      <c r="E27" s="192"/>
      <c r="F27" s="193">
        <f>销售日报表!E26</f>
        <v>0</v>
      </c>
      <c r="G27" s="194"/>
      <c r="H27" s="193">
        <f>销售日报表!F26</f>
        <v>0</v>
      </c>
      <c r="I27" s="193"/>
    </row>
    <row r="28" spans="1:9">
      <c r="A28" s="191">
        <v>44160</v>
      </c>
      <c r="B28" s="191"/>
      <c r="C28" s="192"/>
      <c r="D28" s="192"/>
      <c r="E28" s="192"/>
      <c r="F28" s="193">
        <f>销售日报表!E27</f>
        <v>0</v>
      </c>
      <c r="G28" s="194"/>
      <c r="H28" s="193">
        <f>销售日报表!F27</f>
        <v>0</v>
      </c>
      <c r="I28" s="193"/>
    </row>
    <row r="29" spans="1:9">
      <c r="A29" s="191">
        <v>44161</v>
      </c>
      <c r="B29" s="191"/>
      <c r="C29" s="192"/>
      <c r="D29" s="192"/>
      <c r="E29" s="192"/>
      <c r="F29" s="193">
        <f>销售日报表!E28</f>
        <v>0</v>
      </c>
      <c r="G29" s="194"/>
      <c r="H29" s="193">
        <f>销售日报表!F28</f>
        <v>0</v>
      </c>
      <c r="I29" s="193"/>
    </row>
    <row r="30" spans="1:9">
      <c r="A30" s="191">
        <v>44162</v>
      </c>
      <c r="B30" s="191"/>
      <c r="C30" s="192"/>
      <c r="D30" s="192"/>
      <c r="E30" s="192"/>
      <c r="F30" s="193">
        <f>销售日报表!E29</f>
        <v>0</v>
      </c>
      <c r="G30" s="194"/>
      <c r="H30" s="193">
        <f>销售日报表!F29</f>
        <v>0</v>
      </c>
      <c r="I30" s="193"/>
    </row>
    <row r="31" spans="1:9">
      <c r="A31" s="191">
        <v>44163</v>
      </c>
      <c r="B31" s="191"/>
      <c r="C31" s="192"/>
      <c r="D31" s="192"/>
      <c r="E31" s="192"/>
      <c r="F31" s="193">
        <f>销售日报表!E30</f>
        <v>0</v>
      </c>
      <c r="G31" s="194"/>
      <c r="H31" s="193">
        <f>销售日报表!F30</f>
        <v>0</v>
      </c>
      <c r="I31" s="193"/>
    </row>
    <row r="32" spans="1:9">
      <c r="A32" s="191">
        <v>44164</v>
      </c>
      <c r="B32" s="191"/>
      <c r="C32" s="192"/>
      <c r="D32" s="192"/>
      <c r="E32" s="192"/>
      <c r="F32" s="193">
        <f>销售日报表!E31</f>
        <v>0</v>
      </c>
      <c r="G32" s="194"/>
      <c r="H32" s="193">
        <f>销售日报表!F31</f>
        <v>0</v>
      </c>
      <c r="I32" s="193"/>
    </row>
    <row r="33" spans="1:9">
      <c r="A33" s="191">
        <v>44165</v>
      </c>
      <c r="B33" s="191"/>
      <c r="C33" s="192"/>
      <c r="D33" s="192"/>
      <c r="E33" s="192"/>
      <c r="F33" s="193">
        <f>销售日报表!E32</f>
        <v>0</v>
      </c>
      <c r="G33" s="194"/>
      <c r="H33" s="193">
        <f>销售日报表!F32</f>
        <v>0</v>
      </c>
      <c r="I33" s="193"/>
    </row>
  </sheetData>
  <sheetProtection formatCells="0" insertHyperlinks="0" autoFilter="0"/>
  <mergeCells count="8">
    <mergeCell ref="A1:I1"/>
    <mergeCell ref="G2:I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pageSetup paperSize="9" scale="6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85" zoomScaleNormal="85" workbookViewId="0">
      <pane ySplit="3" topLeftCell="A4" activePane="bottomLeft" state="frozen"/>
      <selection/>
      <selection pane="bottomLeft" activeCell="A31" sqref="A31"/>
    </sheetView>
  </sheetViews>
  <sheetFormatPr defaultColWidth="9" defaultRowHeight="15.6"/>
  <cols>
    <col min="1" max="1" width="9.375"/>
    <col min="2" max="11" width="14.875" customWidth="1"/>
  </cols>
  <sheetData>
    <row r="1" ht="30.95" customHeight="1" spans="1:11">
      <c r="A1" s="178" t="s">
        <v>80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>
      <c r="A2" s="186" t="s">
        <v>1</v>
      </c>
      <c r="B2" s="186" t="s">
        <v>81</v>
      </c>
      <c r="C2" s="186"/>
      <c r="D2" s="186"/>
      <c r="E2" s="186"/>
      <c r="F2" s="186"/>
      <c r="G2" s="186" t="s">
        <v>82</v>
      </c>
      <c r="H2" s="186"/>
      <c r="I2" s="186"/>
      <c r="J2" s="186"/>
      <c r="K2" s="186"/>
    </row>
    <row r="3" ht="33.95" customHeight="1" spans="1:11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</row>
    <row r="4" spans="1:11">
      <c r="A4" s="188">
        <v>44105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</row>
    <row r="5" spans="1:11">
      <c r="A5" s="188">
        <v>44106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</row>
    <row r="6" spans="1:11">
      <c r="A6" s="188">
        <v>44107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</row>
    <row r="7" spans="1:11">
      <c r="A7" s="188">
        <v>44108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</row>
    <row r="8" spans="1:11">
      <c r="A8" s="188">
        <v>44109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</row>
    <row r="9" spans="1:11">
      <c r="A9" s="188">
        <v>44110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</row>
    <row r="10" spans="1:11">
      <c r="A10" s="188">
        <v>44111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</row>
    <row r="11" spans="1:11">
      <c r="A11" s="188">
        <v>44112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</row>
    <row r="12" spans="1:11">
      <c r="A12" s="188">
        <v>44113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</row>
    <row r="13" spans="1:11">
      <c r="A13" s="188">
        <v>44114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</row>
    <row r="14" spans="1:11">
      <c r="A14" s="188">
        <v>44115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</row>
    <row r="15" spans="1:11">
      <c r="A15" s="188">
        <v>44116</v>
      </c>
      <c r="B15" s="189"/>
      <c r="C15" s="189"/>
      <c r="D15" s="189"/>
      <c r="E15" s="189"/>
      <c r="F15" s="189"/>
      <c r="G15" s="189"/>
      <c r="H15" s="189"/>
      <c r="I15" s="189"/>
      <c r="J15" s="189"/>
      <c r="K15" s="189"/>
    </row>
    <row r="16" spans="1:11">
      <c r="A16" s="188">
        <v>44117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</row>
    <row r="17" spans="1:11">
      <c r="A17" s="188">
        <v>44118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</row>
    <row r="18" spans="1:11">
      <c r="A18" s="188">
        <v>44119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</row>
    <row r="19" spans="1:11">
      <c r="A19" s="188">
        <v>44120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</row>
    <row r="20" spans="1:11">
      <c r="A20" s="188">
        <v>44121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</row>
    <row r="21" spans="1:11">
      <c r="A21" s="188">
        <v>44122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</row>
    <row r="22" spans="1:11">
      <c r="A22" s="188">
        <v>44123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</row>
    <row r="23" spans="1:11">
      <c r="A23" s="188">
        <v>44124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</row>
    <row r="24" spans="1:11">
      <c r="A24" s="188">
        <v>44125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</row>
    <row r="25" spans="1:11">
      <c r="A25" s="188">
        <v>44126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</row>
    <row r="26" spans="1:11">
      <c r="A26" s="188">
        <v>44127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</row>
    <row r="27" spans="1:11">
      <c r="A27" s="188">
        <v>44128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</row>
    <row r="28" spans="1:11">
      <c r="A28" s="188">
        <v>44129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</row>
    <row r="29" spans="1:11">
      <c r="A29" s="188">
        <v>44130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</row>
    <row r="30" spans="1:11">
      <c r="A30" s="188">
        <v>44131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</row>
    <row r="31" spans="1:11">
      <c r="A31" s="188">
        <v>44132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</row>
    <row r="32" spans="1:11">
      <c r="A32" s="188">
        <v>44133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</row>
    <row r="33" spans="1:11">
      <c r="A33" s="188">
        <v>44134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</row>
    <row r="34" spans="1:11">
      <c r="A34" s="188">
        <v>44135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</row>
  </sheetData>
  <sheetProtection formatCells="0" insertHyperlinks="0" autoFilter="0"/>
  <mergeCells count="4">
    <mergeCell ref="A1:K1"/>
    <mergeCell ref="B2:F2"/>
    <mergeCell ref="G2:K2"/>
    <mergeCell ref="A2:A3"/>
  </mergeCells>
  <pageMargins left="0.75" right="0.75" top="1" bottom="1" header="0.5" footer="0.5"/>
  <pageSetup paperSize="9" scale="7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zoomScale="85" zoomScaleNormal="85" workbookViewId="0">
      <pane ySplit="3" topLeftCell="A7" activePane="bottomLeft" state="frozen"/>
      <selection/>
      <selection pane="bottomLeft" activeCell="A23" sqref="A23"/>
    </sheetView>
  </sheetViews>
  <sheetFormatPr defaultColWidth="9" defaultRowHeight="15.6"/>
  <cols>
    <col min="1" max="1" width="9.375"/>
    <col min="2" max="2" width="6.125" customWidth="1"/>
    <col min="3" max="3" width="6.625" customWidth="1"/>
    <col min="4" max="4" width="4.625" customWidth="1"/>
    <col min="5" max="6" width="8.625" customWidth="1"/>
    <col min="7" max="7" width="4.625" customWidth="1"/>
    <col min="8" max="8" width="6.625" customWidth="1"/>
    <col min="9" max="9" width="4.625" customWidth="1"/>
    <col min="10" max="11" width="8.625" customWidth="1"/>
    <col min="12" max="12" width="4.625" customWidth="1"/>
    <col min="13" max="13" width="6.625" customWidth="1"/>
    <col min="14" max="14" width="4.625" customWidth="1"/>
    <col min="15" max="16" width="8.625" customWidth="1"/>
  </cols>
  <sheetData>
    <row r="1" ht="30.95" customHeight="1" spans="1:16">
      <c r="A1" s="178" t="s">
        <v>83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1</v>
      </c>
      <c r="B2" s="180"/>
      <c r="C2" s="181"/>
      <c r="D2" s="181"/>
      <c r="E2" s="181"/>
      <c r="F2" s="182"/>
      <c r="G2" s="180"/>
      <c r="H2" s="181"/>
      <c r="I2" s="181"/>
      <c r="J2" s="181"/>
      <c r="K2" s="182"/>
      <c r="L2" s="180"/>
      <c r="M2" s="181"/>
      <c r="N2" s="181"/>
      <c r="O2" s="181"/>
      <c r="P2" s="182"/>
    </row>
    <row r="3" spans="1:16">
      <c r="A3" s="179"/>
      <c r="B3" s="183" t="s">
        <v>84</v>
      </c>
      <c r="C3" s="183" t="s">
        <v>85</v>
      </c>
      <c r="D3" s="183" t="s">
        <v>75</v>
      </c>
      <c r="E3" s="183" t="s">
        <v>86</v>
      </c>
      <c r="F3" s="183" t="s">
        <v>87</v>
      </c>
      <c r="G3" s="183" t="s">
        <v>84</v>
      </c>
      <c r="H3" s="183" t="s">
        <v>85</v>
      </c>
      <c r="I3" s="183" t="s">
        <v>75</v>
      </c>
      <c r="J3" s="183" t="s">
        <v>86</v>
      </c>
      <c r="K3" s="183" t="s">
        <v>87</v>
      </c>
      <c r="L3" s="183" t="s">
        <v>84</v>
      </c>
      <c r="M3" s="183" t="s">
        <v>85</v>
      </c>
      <c r="N3" s="183" t="s">
        <v>75</v>
      </c>
      <c r="O3" s="183" t="s">
        <v>86</v>
      </c>
      <c r="P3" s="183" t="s">
        <v>87</v>
      </c>
    </row>
    <row r="4" spans="1:16">
      <c r="A4" s="184">
        <v>44105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spans="1:16">
      <c r="A5" s="184">
        <v>44106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184">
        <v>44107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</row>
    <row r="7" spans="1:16">
      <c r="A7" s="184">
        <v>44108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>
      <c r="A8" s="184">
        <v>44109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>
      <c r="A9" s="184">
        <v>44110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</row>
    <row r="10" spans="1:16">
      <c r="A10" s="184">
        <v>44111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>
      <c r="A11" s="184">
        <v>44112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>
      <c r="A12" s="184">
        <v>44113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</row>
    <row r="13" spans="1:16">
      <c r="A13" s="184">
        <v>44114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184">
        <v>44115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>
      <c r="A15" s="184">
        <v>44116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</row>
    <row r="16" spans="1:16">
      <c r="A16" s="184">
        <v>44117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>
      <c r="A17" s="184">
        <v>44118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  <row r="18" spans="1:16">
      <c r="A18" s="184">
        <v>44119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 spans="1:16">
      <c r="A19" s="184">
        <v>44120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</row>
    <row r="20" spans="1:16">
      <c r="A20" s="184">
        <v>44121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</row>
    <row r="21" spans="1:16">
      <c r="A21" s="184">
        <v>44122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</row>
    <row r="22" spans="1:16">
      <c r="A22" s="184">
        <v>44123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</row>
    <row r="23" spans="1:16">
      <c r="A23" s="184">
        <v>44124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</row>
    <row r="24" spans="1:16">
      <c r="A24" s="184">
        <v>44125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</row>
    <row r="25" spans="1:16">
      <c r="A25" s="184">
        <v>44126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</row>
    <row r="26" spans="1:16">
      <c r="A26" s="184">
        <v>44127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</row>
    <row r="27" spans="1:16">
      <c r="A27" s="184">
        <v>44128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</row>
    <row r="28" spans="1:16">
      <c r="A28" s="184">
        <v>44129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</row>
    <row r="29" spans="1:16">
      <c r="A29" s="184">
        <v>44130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</row>
    <row r="30" spans="1:16">
      <c r="A30" s="184">
        <v>44131</v>
      </c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</row>
    <row r="31" spans="1:16">
      <c r="A31" s="184">
        <v>44132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</row>
    <row r="32" spans="1:16">
      <c r="A32" s="184">
        <v>44133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</row>
    <row r="33" spans="1:16">
      <c r="A33" s="184">
        <v>44134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</row>
    <row r="34" spans="1:16">
      <c r="A34" s="184">
        <v>44135</v>
      </c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</row>
    <row r="35" spans="1:16">
      <c r="A35" s="184">
        <v>44136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</row>
    <row r="36" spans="1:16">
      <c r="A36" s="184">
        <v>44137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</row>
    <row r="37" spans="1:16">
      <c r="A37" s="184">
        <v>44138</v>
      </c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</row>
    <row r="38" spans="1:16">
      <c r="A38" s="184">
        <v>44139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</row>
    <row r="39" spans="1:16">
      <c r="A39" s="184">
        <v>44140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</row>
    <row r="40" spans="1:16">
      <c r="A40" s="184">
        <v>44141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</row>
    <row r="41" spans="1:16">
      <c r="A41" s="184">
        <v>44142</v>
      </c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</row>
    <row r="42" spans="1:16">
      <c r="A42" s="184">
        <v>44143</v>
      </c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</row>
    <row r="43" spans="1:16">
      <c r="A43" s="184">
        <v>44144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</row>
    <row r="44" spans="1:16">
      <c r="A44" s="184">
        <v>44145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</row>
    <row r="45" spans="1:16">
      <c r="A45" s="184">
        <v>44146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</row>
    <row r="46" spans="1:16">
      <c r="A46" s="184">
        <v>44147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</row>
    <row r="47" spans="1:16">
      <c r="A47" s="184">
        <v>44148</v>
      </c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</row>
    <row r="48" spans="1:16">
      <c r="A48" s="184">
        <v>44149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</row>
    <row r="49" spans="1:16">
      <c r="A49" s="184">
        <v>44150</v>
      </c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</row>
    <row r="50" spans="1:16">
      <c r="A50" s="184">
        <v>44151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</row>
    <row r="51" spans="1:16">
      <c r="A51" s="184">
        <v>44152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</row>
    <row r="52" spans="1:16">
      <c r="A52" s="184">
        <v>44153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</row>
    <row r="53" spans="1:16">
      <c r="A53" s="184">
        <v>44154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</row>
    <row r="54" spans="1:16">
      <c r="A54" s="184">
        <v>44155</v>
      </c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</row>
    <row r="55" spans="1:16">
      <c r="A55" s="184">
        <v>44156</v>
      </c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</row>
    <row r="56" spans="1:16">
      <c r="A56" s="184">
        <v>44157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</row>
    <row r="57" spans="1:16">
      <c r="A57" s="184">
        <v>44158</v>
      </c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</row>
    <row r="58" spans="1:16">
      <c r="A58" s="184">
        <v>44159</v>
      </c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</row>
    <row r="59" spans="1:16">
      <c r="A59" s="184">
        <v>44160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</row>
    <row r="60" spans="1:16">
      <c r="A60" s="184">
        <v>44161</v>
      </c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</row>
    <row r="61" spans="1:16">
      <c r="A61" s="184">
        <v>44162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</row>
    <row r="62" spans="1:16">
      <c r="A62" s="184">
        <v>44163</v>
      </c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</row>
    <row r="63" spans="1:16">
      <c r="A63" s="184">
        <v>44164</v>
      </c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</row>
    <row r="64" spans="1:16">
      <c r="A64" s="184">
        <v>44165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</row>
  </sheetData>
  <sheetProtection formatCells="0" insertHyperlinks="0" autoFilter="0"/>
  <mergeCells count="5">
    <mergeCell ref="A1:P1"/>
    <mergeCell ref="B2:F2"/>
    <mergeCell ref="G2:K2"/>
    <mergeCell ref="L2:P2"/>
    <mergeCell ref="A2:A3"/>
  </mergeCells>
  <pageMargins left="0.75" right="0.75" top="1" bottom="1" header="0.5" footer="0.5"/>
  <pageSetup paperSize="9" scale="7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ySplit="1" topLeftCell="A2" activePane="bottomLeft" state="frozen"/>
      <selection/>
      <selection pane="bottomLeft" activeCell="F30" sqref="F30"/>
    </sheetView>
  </sheetViews>
  <sheetFormatPr defaultColWidth="9" defaultRowHeight="15"/>
  <cols>
    <col min="1" max="1" width="9" style="173"/>
    <col min="2" max="2" width="15.875" style="173" customWidth="1"/>
    <col min="3" max="3" width="21.5" style="173" customWidth="1"/>
    <col min="4" max="4" width="12.625" style="173" customWidth="1"/>
    <col min="5" max="6" width="9" style="173"/>
    <col min="7" max="7" width="30.375" style="173" customWidth="1"/>
    <col min="8" max="8" width="12" style="173" customWidth="1"/>
    <col min="9" max="9" width="18.5" style="173" customWidth="1"/>
    <col min="10" max="10" width="11.625" style="173" customWidth="1"/>
    <col min="11" max="11" width="9" style="173"/>
    <col min="12" max="12" width="13.625" style="174"/>
    <col min="13" max="13" width="20" style="174"/>
    <col min="14" max="16384" width="9" style="174"/>
  </cols>
  <sheetData>
    <row r="1" spans="1:10">
      <c r="A1" s="173" t="s">
        <v>88</v>
      </c>
      <c r="B1" s="175" t="s">
        <v>89</v>
      </c>
      <c r="C1" s="176" t="s">
        <v>90</v>
      </c>
      <c r="D1" s="176" t="s">
        <v>91</v>
      </c>
      <c r="E1" s="176" t="s">
        <v>92</v>
      </c>
      <c r="F1" s="176" t="s">
        <v>84</v>
      </c>
      <c r="G1" s="176" t="s">
        <v>93</v>
      </c>
      <c r="H1" s="173" t="s">
        <v>94</v>
      </c>
      <c r="I1" s="173" t="s">
        <v>95</v>
      </c>
      <c r="J1" s="173" t="s">
        <v>96</v>
      </c>
    </row>
    <row r="2" spans="1:7">
      <c r="A2" s="173" t="s">
        <v>97</v>
      </c>
      <c r="B2" s="177"/>
      <c r="C2" s="176"/>
      <c r="D2" s="176"/>
      <c r="E2" s="176"/>
      <c r="F2" s="176"/>
      <c r="G2" s="176"/>
    </row>
    <row r="3" spans="1:7">
      <c r="A3" s="173" t="s">
        <v>98</v>
      </c>
      <c r="B3" s="177"/>
      <c r="G3" s="177"/>
    </row>
    <row r="4" spans="1:7">
      <c r="A4" s="173" t="s">
        <v>98</v>
      </c>
      <c r="B4" s="177"/>
      <c r="G4" s="177"/>
    </row>
    <row r="5" spans="1:2">
      <c r="A5" s="173" t="s">
        <v>98</v>
      </c>
      <c r="B5" s="177"/>
    </row>
    <row r="6" spans="1:10">
      <c r="A6" s="173" t="s">
        <v>98</v>
      </c>
      <c r="B6" s="177"/>
      <c r="J6" s="177"/>
    </row>
    <row r="7" spans="1:10">
      <c r="A7" s="173" t="s">
        <v>85</v>
      </c>
      <c r="B7" s="177"/>
      <c r="G7" s="177"/>
      <c r="J7" s="177"/>
    </row>
    <row r="8" spans="1:7">
      <c r="A8" s="173" t="s">
        <v>85</v>
      </c>
      <c r="B8" s="177"/>
      <c r="G8" s="177"/>
    </row>
    <row r="9" spans="1:1">
      <c r="A9" s="173" t="s">
        <v>85</v>
      </c>
    </row>
    <row r="10" spans="1:1">
      <c r="A10" s="173" t="s">
        <v>85</v>
      </c>
    </row>
    <row r="11" spans="1:1">
      <c r="A11" s="173" t="s">
        <v>85</v>
      </c>
    </row>
    <row r="12" spans="1:1">
      <c r="A12" s="173" t="s">
        <v>85</v>
      </c>
    </row>
    <row r="13" spans="1:1">
      <c r="A13" s="173" t="s">
        <v>85</v>
      </c>
    </row>
    <row r="14" spans="1:1">
      <c r="A14" s="173" t="s">
        <v>85</v>
      </c>
    </row>
  </sheetData>
  <sheetProtection formatCells="0" insertHyperlinks="0" autoFilter="0"/>
  <conditionalFormatting sqref="C1:C65536">
    <cfRule type="duplicateValues" dxfId="0" priority="8"/>
  </conditionalFormatting>
  <dataValidations count="1">
    <dataValidation type="list" allowBlank="1" showInputMessage="1" showErrorMessage="1" sqref="A2:A14">
      <formula1>"测评,放量,rating"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7"/>
  <sheetViews>
    <sheetView workbookViewId="0">
      <selection activeCell="G16" sqref="G16:G17"/>
    </sheetView>
  </sheetViews>
  <sheetFormatPr defaultColWidth="9" defaultRowHeight="17.4" outlineLevelRow="6"/>
  <cols>
    <col min="1" max="1" width="9" style="170"/>
    <col min="2" max="2" width="14" style="170" customWidth="1"/>
    <col min="3" max="16384" width="9" style="170"/>
  </cols>
  <sheetData>
    <row r="2" spans="2:10">
      <c r="B2" s="171" t="s">
        <v>99</v>
      </c>
      <c r="C2" s="172"/>
      <c r="D2" s="172"/>
      <c r="E2" s="172"/>
      <c r="F2" s="172"/>
      <c r="G2" s="172"/>
      <c r="H2" s="172"/>
      <c r="I2" s="172"/>
      <c r="J2" s="172"/>
    </row>
    <row r="3" spans="2:10">
      <c r="B3" s="171" t="s">
        <v>100</v>
      </c>
      <c r="C3" s="172"/>
      <c r="D3" s="172"/>
      <c r="E3" s="172"/>
      <c r="F3" s="172"/>
      <c r="G3" s="172"/>
      <c r="H3" s="172"/>
      <c r="I3" s="172"/>
      <c r="J3" s="172"/>
    </row>
    <row r="4" spans="2:10">
      <c r="B4" s="171" t="s">
        <v>101</v>
      </c>
      <c r="C4" s="172"/>
      <c r="D4" s="172"/>
      <c r="E4" s="172"/>
      <c r="F4" s="172"/>
      <c r="G4" s="172"/>
      <c r="H4" s="172"/>
      <c r="I4" s="172"/>
      <c r="J4" s="172"/>
    </row>
    <row r="5" spans="2:10">
      <c r="B5" s="171" t="s">
        <v>28</v>
      </c>
      <c r="C5" s="172"/>
      <c r="D5" s="172"/>
      <c r="E5" s="172"/>
      <c r="F5" s="172"/>
      <c r="G5" s="172"/>
      <c r="H5" s="172"/>
      <c r="I5" s="172"/>
      <c r="J5" s="172"/>
    </row>
    <row r="6" spans="2:10">
      <c r="B6" s="171" t="s">
        <v>102</v>
      </c>
      <c r="C6" s="172"/>
      <c r="D6" s="172"/>
      <c r="E6" s="172"/>
      <c r="F6" s="172"/>
      <c r="G6" s="172"/>
      <c r="H6" s="172"/>
      <c r="I6" s="172"/>
      <c r="J6" s="172"/>
    </row>
    <row r="7" spans="2:10">
      <c r="B7" s="171" t="s">
        <v>103</v>
      </c>
      <c r="C7" s="172"/>
      <c r="D7" s="172"/>
      <c r="E7" s="172"/>
      <c r="F7" s="172"/>
      <c r="G7" s="172"/>
      <c r="H7" s="172"/>
      <c r="I7" s="172"/>
      <c r="J7" s="172"/>
    </row>
  </sheetData>
  <sheetProtection formatCells="0" insertHyperlinks="0" autoFilter="0"/>
  <mergeCells count="6">
    <mergeCell ref="C2:J2"/>
    <mergeCell ref="C3:J3"/>
    <mergeCell ref="C4:J4"/>
    <mergeCell ref="C5:J5"/>
    <mergeCell ref="C6:J6"/>
    <mergeCell ref="C7:J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03"/>
  <sheetViews>
    <sheetView zoomScale="85" zoomScaleNormal="85" workbookViewId="0">
      <pane xSplit="7" ySplit="2" topLeftCell="L3" activePane="bottomRight" state="frozen"/>
      <selection/>
      <selection pane="topRight"/>
      <selection pane="bottomLeft"/>
      <selection pane="bottomRight" activeCell="G64" sqref="G58:G64"/>
    </sheetView>
  </sheetViews>
  <sheetFormatPr defaultColWidth="9" defaultRowHeight="15.6"/>
  <cols>
    <col min="1" max="1" width="9" style="24" hidden="1" customWidth="1"/>
    <col min="2" max="2" width="10.375" style="24" hidden="1" customWidth="1"/>
    <col min="3" max="3" width="9" style="24" hidden="1" customWidth="1"/>
    <col min="4" max="4" width="15.5" style="24" hidden="1" customWidth="1"/>
    <col min="5" max="6" width="14.375" style="24" customWidth="1"/>
    <col min="7" max="7" width="25" style="24" customWidth="1"/>
    <col min="8" max="8" width="22.5" style="25" customWidth="1"/>
    <col min="9" max="10" width="22.5" style="24" customWidth="1"/>
    <col min="11" max="12" width="22.5" style="26" customWidth="1"/>
    <col min="13" max="16" width="22.5" style="24" customWidth="1"/>
    <col min="17" max="17" width="22.5" style="27" customWidth="1"/>
    <col min="18" max="16384" width="8.75" style="24"/>
  </cols>
  <sheetData>
    <row r="2" s="1" customFormat="1" ht="14.1" customHeight="1" spans="1:17">
      <c r="A2" s="28" t="s">
        <v>104</v>
      </c>
      <c r="B2" s="29" t="s">
        <v>105</v>
      </c>
      <c r="C2" s="29"/>
      <c r="D2" s="28"/>
      <c r="E2" s="30" t="s">
        <v>106</v>
      </c>
      <c r="F2" s="31" t="s">
        <v>1</v>
      </c>
      <c r="G2" s="31"/>
      <c r="H2" s="28">
        <v>44095</v>
      </c>
      <c r="I2" s="28">
        <v>44096</v>
      </c>
      <c r="J2" s="28">
        <v>44097</v>
      </c>
      <c r="K2" s="28">
        <v>44098</v>
      </c>
      <c r="L2" s="28">
        <v>44099</v>
      </c>
      <c r="M2" s="28">
        <v>44100</v>
      </c>
      <c r="N2" s="28">
        <v>44101</v>
      </c>
      <c r="O2" s="28">
        <v>44102</v>
      </c>
      <c r="P2" s="28">
        <v>44103</v>
      </c>
      <c r="Q2" s="28">
        <v>44104</v>
      </c>
    </row>
    <row r="3" s="2" customFormat="1" ht="18.95" customHeight="1" spans="1:17">
      <c r="A3" s="32"/>
      <c r="B3" s="33">
        <v>43158</v>
      </c>
      <c r="C3" s="34"/>
      <c r="D3" s="34"/>
      <c r="E3" s="35" t="s">
        <v>107</v>
      </c>
      <c r="F3" s="36" t="s">
        <v>2</v>
      </c>
      <c r="G3" s="37"/>
      <c r="H3" s="38"/>
      <c r="I3" s="38"/>
      <c r="J3" s="38">
        <v>16.99</v>
      </c>
      <c r="K3" s="38">
        <v>16.99</v>
      </c>
      <c r="L3" s="38"/>
      <c r="M3" s="38"/>
      <c r="N3" s="38"/>
      <c r="O3" s="38"/>
      <c r="P3" s="38"/>
      <c r="Q3" s="38"/>
    </row>
    <row r="4" s="2" customFormat="1" ht="14.1" customHeight="1" spans="1:17">
      <c r="A4" s="32"/>
      <c r="B4" s="33"/>
      <c r="C4" s="34"/>
      <c r="D4" s="34"/>
      <c r="E4" s="39" t="s">
        <v>108</v>
      </c>
      <c r="F4" s="40" t="s">
        <v>109</v>
      </c>
      <c r="G4" s="36"/>
      <c r="H4" s="38"/>
      <c r="I4" s="38"/>
      <c r="J4" s="38" t="s">
        <v>110</v>
      </c>
      <c r="K4" s="38" t="s">
        <v>110</v>
      </c>
      <c r="L4" s="38"/>
      <c r="M4" s="38"/>
      <c r="N4" s="38"/>
      <c r="O4" s="38"/>
      <c r="P4" s="38"/>
      <c r="Q4" s="38"/>
    </row>
    <row r="5" s="2" customFormat="1" ht="14.1" customHeight="1" spans="1:17">
      <c r="A5" s="32"/>
      <c r="B5" s="32"/>
      <c r="C5" s="32"/>
      <c r="D5" s="32"/>
      <c r="E5" s="41">
        <f>SUM(H5:Q5)</f>
        <v>8</v>
      </c>
      <c r="F5" s="42" t="s">
        <v>3</v>
      </c>
      <c r="G5" s="43"/>
      <c r="H5" s="44"/>
      <c r="I5" s="44"/>
      <c r="J5" s="44"/>
      <c r="K5" s="44">
        <v>8</v>
      </c>
      <c r="L5" s="44"/>
      <c r="M5" s="44"/>
      <c r="N5" s="44"/>
      <c r="O5" s="44"/>
      <c r="P5" s="44"/>
      <c r="Q5" s="44"/>
    </row>
    <row r="6" s="2" customFormat="1" ht="14.1" customHeight="1" spans="1:17">
      <c r="A6" s="32"/>
      <c r="B6" s="32"/>
      <c r="C6" s="32"/>
      <c r="D6" s="32"/>
      <c r="E6" s="41"/>
      <c r="F6" s="45" t="s">
        <v>111</v>
      </c>
      <c r="G6" s="42"/>
      <c r="H6" s="44"/>
      <c r="I6" s="44"/>
      <c r="J6" s="44"/>
      <c r="K6" s="44">
        <v>5</v>
      </c>
      <c r="L6" s="44"/>
      <c r="M6" s="44"/>
      <c r="N6" s="44"/>
      <c r="O6" s="44"/>
      <c r="P6" s="44"/>
      <c r="Q6" s="44"/>
    </row>
    <row r="7" s="2" customFormat="1" ht="14.1" customHeight="1" spans="1:17">
      <c r="A7" s="46"/>
      <c r="B7" s="32"/>
      <c r="C7" s="46"/>
      <c r="D7" s="32"/>
      <c r="E7" s="41">
        <f>SUM(H7:Q7)</f>
        <v>0</v>
      </c>
      <c r="F7" s="42" t="s">
        <v>6</v>
      </c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="2" customFormat="1" ht="14.1" customHeight="1" spans="1:17">
      <c r="A8" s="46"/>
      <c r="B8" s="32"/>
      <c r="C8" s="46"/>
      <c r="D8" s="32"/>
      <c r="E8" s="47"/>
      <c r="F8" s="42" t="s">
        <v>112</v>
      </c>
      <c r="G8" s="43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="2" customFormat="1" ht="14.1" customHeight="1" spans="1:17">
      <c r="A9" s="46"/>
      <c r="B9" s="32"/>
      <c r="C9" s="46"/>
      <c r="D9" s="32"/>
      <c r="E9" s="47"/>
      <c r="F9" s="45" t="s">
        <v>4</v>
      </c>
      <c r="G9" s="42"/>
      <c r="H9" s="44"/>
      <c r="I9" s="44"/>
      <c r="J9" s="44"/>
      <c r="K9" s="44">
        <v>11</v>
      </c>
      <c r="L9" s="44"/>
      <c r="M9" s="44"/>
      <c r="N9" s="44"/>
      <c r="O9" s="44"/>
      <c r="P9" s="44"/>
      <c r="Q9" s="44"/>
    </row>
    <row r="10" s="2" customFormat="1" ht="14.1" customHeight="1" spans="1:17">
      <c r="A10" s="46"/>
      <c r="B10" s="32"/>
      <c r="C10" s="46"/>
      <c r="D10" s="32"/>
      <c r="E10" s="41">
        <f>SUM(H10:Q10)</f>
        <v>19</v>
      </c>
      <c r="F10" s="45" t="s">
        <v>5</v>
      </c>
      <c r="G10" s="42"/>
      <c r="H10" s="44">
        <f t="shared" ref="H10:Q10" si="0">H5+H7</f>
        <v>0</v>
      </c>
      <c r="I10" s="44">
        <f t="shared" si="0"/>
        <v>0</v>
      </c>
      <c r="J10" s="44">
        <f t="shared" si="0"/>
        <v>0</v>
      </c>
      <c r="K10" s="44">
        <v>19</v>
      </c>
      <c r="L10" s="44">
        <f t="shared" si="0"/>
        <v>0</v>
      </c>
      <c r="M10" s="44">
        <f t="shared" si="0"/>
        <v>0</v>
      </c>
      <c r="N10" s="44">
        <f t="shared" si="0"/>
        <v>0</v>
      </c>
      <c r="O10" s="44">
        <f t="shared" si="0"/>
        <v>0</v>
      </c>
      <c r="P10" s="44">
        <f t="shared" si="0"/>
        <v>0</v>
      </c>
      <c r="Q10" s="44">
        <f t="shared" si="0"/>
        <v>0</v>
      </c>
    </row>
    <row r="11" s="2" customFormat="1" ht="14.1" customHeight="1" spans="1:17">
      <c r="A11" s="46"/>
      <c r="B11" s="32"/>
      <c r="C11" s="46"/>
      <c r="D11" s="32"/>
      <c r="E11" s="41">
        <f>SUM(H11:Q11)</f>
        <v>0</v>
      </c>
      <c r="F11" s="45" t="s">
        <v>113</v>
      </c>
      <c r="G11" s="42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="2" customFormat="1" ht="14.1" customHeight="1" spans="1:17">
      <c r="A12" s="46"/>
      <c r="B12" s="48" t="s">
        <v>114</v>
      </c>
      <c r="C12" s="49"/>
      <c r="D12" s="46"/>
      <c r="E12" s="50" t="s">
        <v>115</v>
      </c>
      <c r="F12" s="36" t="s">
        <v>116</v>
      </c>
      <c r="G12" s="37"/>
      <c r="H12" s="51"/>
      <c r="I12" s="51"/>
      <c r="J12" s="51">
        <v>12</v>
      </c>
      <c r="K12" s="51">
        <v>12</v>
      </c>
      <c r="L12" s="51"/>
      <c r="M12" s="51"/>
      <c r="N12" s="51"/>
      <c r="O12" s="51"/>
      <c r="P12" s="51"/>
      <c r="Q12" s="51"/>
    </row>
    <row r="13" s="2" customFormat="1" ht="14.1" customHeight="1" spans="1:17">
      <c r="A13" s="46"/>
      <c r="B13" s="48"/>
      <c r="C13" s="49"/>
      <c r="D13" s="46"/>
      <c r="E13" s="50"/>
      <c r="F13" s="52" t="s">
        <v>117</v>
      </c>
      <c r="G13" s="36"/>
      <c r="H13" s="53"/>
      <c r="I13" s="53"/>
      <c r="J13" s="53">
        <v>0</v>
      </c>
      <c r="K13" s="53">
        <v>0</v>
      </c>
      <c r="L13" s="53"/>
      <c r="M13" s="53"/>
      <c r="N13" s="53"/>
      <c r="O13" s="53"/>
      <c r="P13" s="53"/>
      <c r="Q13" s="53"/>
    </row>
    <row r="14" s="2" customFormat="1" ht="14.1" customHeight="1" spans="1:17">
      <c r="A14" s="46"/>
      <c r="B14" s="49"/>
      <c r="C14" s="49"/>
      <c r="D14" s="46"/>
      <c r="E14" s="50"/>
      <c r="F14" s="36" t="s">
        <v>118</v>
      </c>
      <c r="G14" s="37"/>
      <c r="H14" s="51"/>
      <c r="I14" s="51"/>
      <c r="J14" s="51">
        <v>0</v>
      </c>
      <c r="K14" s="51">
        <v>0</v>
      </c>
      <c r="L14" s="51"/>
      <c r="M14" s="51"/>
      <c r="N14" s="51"/>
      <c r="O14" s="51"/>
      <c r="P14" s="51"/>
      <c r="Q14" s="51"/>
    </row>
    <row r="15" s="3" customFormat="1" ht="14.1" customHeight="1" spans="2:17">
      <c r="B15" s="54" t="s">
        <v>119</v>
      </c>
      <c r="C15" s="54"/>
      <c r="E15" s="55" t="s">
        <v>120</v>
      </c>
      <c r="F15" s="56" t="s">
        <v>121</v>
      </c>
      <c r="G15" s="57"/>
      <c r="H15" s="58"/>
      <c r="I15" s="58"/>
      <c r="J15" s="58"/>
      <c r="K15" s="58">
        <v>2</v>
      </c>
      <c r="L15" s="58"/>
      <c r="M15" s="58"/>
      <c r="N15" s="58"/>
      <c r="O15" s="58"/>
      <c r="P15" s="58"/>
      <c r="Q15" s="58"/>
    </row>
    <row r="16" s="4" customFormat="1" ht="14.1" customHeight="1" spans="2:17">
      <c r="B16" s="59"/>
      <c r="C16" s="59"/>
      <c r="D16" s="60"/>
      <c r="E16" s="61"/>
      <c r="F16" s="62" t="s">
        <v>122</v>
      </c>
      <c r="G16" s="63"/>
      <c r="H16" s="64"/>
      <c r="I16" s="64"/>
      <c r="J16" s="64"/>
      <c r="K16" s="64">
        <v>0</v>
      </c>
      <c r="L16" s="64"/>
      <c r="M16" s="64"/>
      <c r="N16" s="64"/>
      <c r="O16" s="64"/>
      <c r="P16" s="64"/>
      <c r="Q16" s="64"/>
    </row>
    <row r="17" s="4" customFormat="1" ht="14.1" customHeight="1" spans="2:17">
      <c r="B17" s="59"/>
      <c r="C17" s="59"/>
      <c r="D17" s="60"/>
      <c r="E17" s="61"/>
      <c r="F17" s="62" t="s">
        <v>123</v>
      </c>
      <c r="G17" s="63"/>
      <c r="H17" s="58"/>
      <c r="I17" s="58"/>
      <c r="J17" s="58"/>
      <c r="K17" s="58">
        <v>0</v>
      </c>
      <c r="L17" s="58"/>
      <c r="M17" s="58"/>
      <c r="N17" s="58"/>
      <c r="O17" s="58"/>
      <c r="P17" s="58"/>
      <c r="Q17" s="58"/>
    </row>
    <row r="18" s="4" customFormat="1" ht="14.1" customHeight="1" spans="2:17">
      <c r="B18" s="59"/>
      <c r="C18" s="59"/>
      <c r="D18" s="60"/>
      <c r="E18" s="65" t="s">
        <v>124</v>
      </c>
      <c r="F18" s="66" t="s">
        <v>125</v>
      </c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="5" customFormat="1" ht="14.1" customHeight="1" spans="2:17">
      <c r="B19" s="69"/>
      <c r="C19" s="69"/>
      <c r="E19" s="70"/>
      <c r="F19" s="66" t="s">
        <v>126</v>
      </c>
      <c r="G19" s="67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="6" customFormat="1" ht="16.5" customHeight="1" spans="5:17">
      <c r="E20" s="72">
        <f>SUM(H20:Q20)</f>
        <v>27.18</v>
      </c>
      <c r="F20" s="73" t="s">
        <v>79</v>
      </c>
      <c r="G20" s="74" t="s">
        <v>41</v>
      </c>
      <c r="H20" s="74"/>
      <c r="I20" s="74"/>
      <c r="J20" s="74"/>
      <c r="K20" s="74">
        <v>27.18</v>
      </c>
      <c r="L20" s="74"/>
      <c r="M20" s="74"/>
      <c r="N20" s="74"/>
      <c r="O20" s="74"/>
      <c r="P20" s="74"/>
      <c r="Q20" s="74"/>
    </row>
    <row r="21" s="6" customFormat="1" ht="16.5" customHeight="1" spans="5:17">
      <c r="E21" s="72"/>
      <c r="F21" s="73"/>
      <c r="G21" s="74" t="s">
        <v>127</v>
      </c>
      <c r="H21" s="74"/>
      <c r="I21" s="74"/>
      <c r="J21" s="74"/>
      <c r="K21" s="74">
        <v>65</v>
      </c>
      <c r="L21" s="74"/>
      <c r="M21" s="74"/>
      <c r="N21" s="74"/>
      <c r="O21" s="74"/>
      <c r="P21" s="74"/>
      <c r="Q21" s="74"/>
    </row>
    <row r="22" s="7" customFormat="1" ht="16.5" customHeight="1" spans="1:12">
      <c r="A22" s="7" t="s">
        <v>128</v>
      </c>
      <c r="E22" s="75">
        <f>SUM(H22:Q22)</f>
        <v>14386</v>
      </c>
      <c r="F22" s="76"/>
      <c r="G22" s="77" t="s">
        <v>129</v>
      </c>
      <c r="J22" s="138"/>
      <c r="K22" s="138">
        <v>14386</v>
      </c>
      <c r="L22" s="138"/>
    </row>
    <row r="23" s="7" customFormat="1" ht="16.5" customHeight="1" spans="5:11">
      <c r="E23" s="75">
        <f>SUM(H23:Q23)</f>
        <v>29</v>
      </c>
      <c r="F23" s="76"/>
      <c r="G23" s="77" t="s">
        <v>39</v>
      </c>
      <c r="J23" s="138"/>
      <c r="K23" s="7">
        <v>29</v>
      </c>
    </row>
    <row r="24" s="6" customFormat="1" ht="16.5" customHeight="1" spans="5:17">
      <c r="E24" s="72"/>
      <c r="F24" s="73"/>
      <c r="G24" s="74" t="s">
        <v>130</v>
      </c>
      <c r="H24" s="74"/>
      <c r="I24" s="74"/>
      <c r="J24" s="74"/>
      <c r="K24" s="74">
        <v>0.77</v>
      </c>
      <c r="L24" s="74"/>
      <c r="M24" s="74"/>
      <c r="N24" s="74"/>
      <c r="O24" s="74"/>
      <c r="P24" s="74"/>
      <c r="Q24" s="74"/>
    </row>
    <row r="25" s="8" customFormat="1" ht="16.5" customHeight="1" spans="5:17">
      <c r="E25" s="78"/>
      <c r="F25" s="79"/>
      <c r="G25" s="80" t="s">
        <v>40</v>
      </c>
      <c r="H25" s="80"/>
      <c r="I25" s="80"/>
      <c r="J25" s="80"/>
      <c r="K25" s="80">
        <v>0.002</v>
      </c>
      <c r="L25" s="80"/>
      <c r="M25" s="80"/>
      <c r="N25" s="80"/>
      <c r="O25" s="80"/>
      <c r="P25" s="80"/>
      <c r="Q25" s="80"/>
    </row>
    <row r="26" s="8" customFormat="1" ht="16.5" customHeight="1" spans="5:17">
      <c r="E26" s="78"/>
      <c r="F26" s="79"/>
      <c r="G26" s="80" t="s">
        <v>126</v>
      </c>
      <c r="H26" s="80"/>
      <c r="I26" s="80"/>
      <c r="J26" s="80"/>
      <c r="K26" s="80">
        <v>0.3793</v>
      </c>
      <c r="L26" s="80"/>
      <c r="M26" s="80"/>
      <c r="N26" s="80"/>
      <c r="O26" s="80"/>
      <c r="P26" s="80"/>
      <c r="Q26" s="80"/>
    </row>
    <row r="27" s="6" customFormat="1" ht="16.5" customHeight="1" spans="5:17">
      <c r="E27" s="72"/>
      <c r="F27" s="73"/>
      <c r="G27" s="74" t="s">
        <v>131</v>
      </c>
      <c r="H27" s="74"/>
      <c r="I27" s="74"/>
      <c r="J27" s="74"/>
      <c r="K27" s="74">
        <v>1.1</v>
      </c>
      <c r="L27" s="74"/>
      <c r="M27" s="74"/>
      <c r="N27" s="74"/>
      <c r="O27" s="74"/>
      <c r="P27" s="74"/>
      <c r="Q27" s="74"/>
    </row>
    <row r="28" s="9" customFormat="1" ht="16.5" customHeight="1" spans="5:17">
      <c r="E28" s="75">
        <f>SUM(H28:Q28)</f>
        <v>11</v>
      </c>
      <c r="F28" s="81"/>
      <c r="G28" s="82" t="s">
        <v>132</v>
      </c>
      <c r="K28" s="9">
        <v>11</v>
      </c>
      <c r="Q28" s="82"/>
    </row>
    <row r="29" s="10" customFormat="1" ht="17.1" customHeight="1" spans="1:17">
      <c r="A29" s="83"/>
      <c r="B29" s="83"/>
      <c r="C29" s="83"/>
      <c r="D29" s="83"/>
      <c r="E29" s="84"/>
      <c r="F29" s="85"/>
      <c r="G29" s="86" t="s">
        <v>133</v>
      </c>
      <c r="H29" s="87"/>
      <c r="I29" s="87"/>
      <c r="J29" s="139"/>
      <c r="K29" s="87" t="s">
        <v>134</v>
      </c>
      <c r="L29" s="87"/>
      <c r="M29" s="87"/>
      <c r="N29" s="87"/>
      <c r="O29" s="87"/>
      <c r="P29" s="87"/>
      <c r="Q29" s="87"/>
    </row>
    <row r="30" s="11" customFormat="1" ht="16.5" hidden="1" customHeight="1" spans="1:17">
      <c r="A30" s="88"/>
      <c r="B30" s="88"/>
      <c r="C30" s="88"/>
      <c r="D30" s="88"/>
      <c r="E30" s="89"/>
      <c r="F30" s="90" t="s">
        <v>135</v>
      </c>
      <c r="G30" s="91" t="s">
        <v>41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="11" customFormat="1" ht="16.5" hidden="1" customHeight="1" spans="1:17">
      <c r="A31" s="88"/>
      <c r="B31" s="88"/>
      <c r="C31" s="88"/>
      <c r="D31" s="88"/>
      <c r="E31" s="89"/>
      <c r="F31" s="90"/>
      <c r="G31" s="91" t="s">
        <v>127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</row>
    <row r="32" s="12" customFormat="1" ht="16.5" hidden="1" customHeight="1" spans="1:17">
      <c r="A32" s="46"/>
      <c r="B32" s="46"/>
      <c r="C32" s="46"/>
      <c r="D32" s="46"/>
      <c r="E32" s="50"/>
      <c r="F32" s="93"/>
      <c r="G32" s="94" t="s">
        <v>129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</row>
    <row r="33" s="13" customFormat="1" ht="16.5" hidden="1" customHeight="1" spans="1:17">
      <c r="A33" s="96"/>
      <c r="B33" s="96"/>
      <c r="C33" s="96"/>
      <c r="D33" s="96"/>
      <c r="E33" s="97"/>
      <c r="F33" s="98"/>
      <c r="G33" s="99" t="s">
        <v>136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</row>
    <row r="34" s="11" customFormat="1" ht="16.5" hidden="1" customHeight="1" spans="1:17">
      <c r="A34" s="88"/>
      <c r="B34" s="88"/>
      <c r="C34" s="88"/>
      <c r="D34" s="88"/>
      <c r="E34" s="101"/>
      <c r="F34" s="90"/>
      <c r="G34" s="91" t="s">
        <v>130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</row>
    <row r="35" s="11" customFormat="1" ht="16.5" hidden="1" customHeight="1" spans="1:17">
      <c r="A35" s="88"/>
      <c r="B35" s="88"/>
      <c r="C35" s="88"/>
      <c r="D35" s="88"/>
      <c r="E35" s="101"/>
      <c r="F35" s="90"/>
      <c r="G35" s="91" t="s">
        <v>137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</row>
    <row r="36" s="13" customFormat="1" ht="16.5" hidden="1" customHeight="1" spans="1:17">
      <c r="A36" s="96"/>
      <c r="B36" s="96"/>
      <c r="C36" s="96"/>
      <c r="D36" s="96"/>
      <c r="E36" s="97"/>
      <c r="F36" s="98"/>
      <c r="G36" s="99" t="s">
        <v>138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</row>
    <row r="37" s="14" customFormat="1" ht="17.1" hidden="1" customHeight="1" spans="1:17">
      <c r="A37" s="102"/>
      <c r="B37" s="102"/>
      <c r="C37" s="102"/>
      <c r="D37" s="102"/>
      <c r="E37" s="103"/>
      <c r="F37" s="104"/>
      <c r="G37" s="105" t="s">
        <v>133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</row>
    <row r="38" customFormat="1" ht="16.5" hidden="1" customHeight="1" spans="1:17">
      <c r="A38" s="107"/>
      <c r="B38" s="107"/>
      <c r="C38" s="107"/>
      <c r="D38" s="107"/>
      <c r="E38" s="108"/>
      <c r="F38" s="109"/>
      <c r="G38" s="110" t="s">
        <v>41</v>
      </c>
      <c r="H38" s="95"/>
      <c r="I38" s="95"/>
      <c r="J38" s="95"/>
      <c r="K38" s="95"/>
      <c r="L38" s="95"/>
      <c r="M38" s="95"/>
      <c r="N38" s="95"/>
      <c r="O38" s="95"/>
      <c r="P38" s="95"/>
      <c r="Q38" s="95"/>
    </row>
    <row r="39" customFormat="1" ht="16.5" hidden="1" customHeight="1" spans="1:17">
      <c r="A39" s="107"/>
      <c r="B39" s="107"/>
      <c r="C39" s="107"/>
      <c r="D39" s="107"/>
      <c r="E39" s="108"/>
      <c r="F39" s="109"/>
      <c r="G39" s="110" t="s">
        <v>127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</row>
    <row r="40" s="12" customFormat="1" ht="16.5" hidden="1" customHeight="1" spans="1:17">
      <c r="A40" s="46"/>
      <c r="B40" s="46"/>
      <c r="C40" s="46"/>
      <c r="D40" s="46"/>
      <c r="E40" s="50"/>
      <c r="F40" s="93"/>
      <c r="G40" s="94" t="s">
        <v>129</v>
      </c>
      <c r="H40" s="95"/>
      <c r="I40" s="95"/>
      <c r="J40" s="95"/>
      <c r="K40" s="95"/>
      <c r="L40" s="95"/>
      <c r="M40" s="95"/>
      <c r="N40" s="95"/>
      <c r="O40" s="95"/>
      <c r="P40" s="95"/>
      <c r="Q40" s="95"/>
    </row>
    <row r="41" s="12" customFormat="1" ht="16.5" hidden="1" customHeight="1" spans="1:17">
      <c r="A41" s="46"/>
      <c r="B41" s="46"/>
      <c r="C41" s="46"/>
      <c r="D41" s="46"/>
      <c r="E41" s="50"/>
      <c r="F41" s="93"/>
      <c r="G41" s="94" t="s">
        <v>136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</row>
    <row r="42" s="12" customFormat="1" ht="16.5" hidden="1" customHeight="1" spans="1:17">
      <c r="A42" s="46"/>
      <c r="B42" s="46"/>
      <c r="C42" s="46"/>
      <c r="D42" s="46"/>
      <c r="E42" s="97"/>
      <c r="F42" s="93"/>
      <c r="G42" s="94" t="s">
        <v>130</v>
      </c>
      <c r="H42" s="111"/>
      <c r="I42" s="111"/>
      <c r="J42" s="111"/>
      <c r="K42" s="111"/>
      <c r="L42" s="111"/>
      <c r="M42" s="111"/>
      <c r="N42" s="111"/>
      <c r="O42" s="111"/>
      <c r="P42" s="111"/>
      <c r="Q42" s="111"/>
    </row>
    <row r="43" s="12" customFormat="1" ht="16.5" hidden="1" customHeight="1" spans="1:17">
      <c r="A43" s="46"/>
      <c r="B43" s="46"/>
      <c r="C43" s="46"/>
      <c r="D43" s="46"/>
      <c r="E43" s="97"/>
      <c r="F43" s="93"/>
      <c r="G43" s="94" t="s">
        <v>137</v>
      </c>
      <c r="H43" s="111"/>
      <c r="I43" s="111"/>
      <c r="J43" s="111"/>
      <c r="K43" s="111"/>
      <c r="L43" s="111"/>
      <c r="M43" s="111"/>
      <c r="N43" s="111"/>
      <c r="O43" s="111"/>
      <c r="P43" s="111"/>
      <c r="Q43" s="145"/>
    </row>
    <row r="44" s="15" customFormat="1" ht="17.1" hidden="1" customHeight="1" spans="1:17">
      <c r="A44" s="46"/>
      <c r="B44" s="46"/>
      <c r="C44" s="46"/>
      <c r="D44" s="46"/>
      <c r="E44" s="97"/>
      <c r="F44" s="112"/>
      <c r="G44" s="113" t="s">
        <v>133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</row>
    <row r="45" customFormat="1" ht="16.5" hidden="1" customHeight="1" spans="1:17">
      <c r="A45" s="107"/>
      <c r="B45" s="107"/>
      <c r="C45" s="107"/>
      <c r="D45" s="107"/>
      <c r="E45" s="108"/>
      <c r="F45" s="109"/>
      <c r="G45" s="110" t="s">
        <v>41</v>
      </c>
      <c r="H45" s="114"/>
      <c r="I45" s="140"/>
      <c r="J45" s="140"/>
      <c r="K45" s="140"/>
      <c r="L45" s="140"/>
      <c r="M45" s="141"/>
      <c r="N45" s="141"/>
      <c r="O45" s="141"/>
      <c r="P45" s="141"/>
      <c r="Q45" s="95"/>
    </row>
    <row r="46" customFormat="1" ht="16.5" hidden="1" customHeight="1" spans="1:17">
      <c r="A46" s="107"/>
      <c r="B46" s="107"/>
      <c r="C46" s="107"/>
      <c r="D46" s="107"/>
      <c r="E46" s="108"/>
      <c r="F46" s="109"/>
      <c r="G46" s="110" t="s">
        <v>127</v>
      </c>
      <c r="H46" s="114"/>
      <c r="I46" s="140"/>
      <c r="J46" s="140"/>
      <c r="K46" s="140"/>
      <c r="L46" s="140"/>
      <c r="M46" s="141"/>
      <c r="N46" s="141"/>
      <c r="O46" s="141"/>
      <c r="P46" s="141"/>
      <c r="Q46" s="95"/>
    </row>
    <row r="47" s="12" customFormat="1" ht="16.5" hidden="1" customHeight="1" spans="1:17">
      <c r="A47" s="46"/>
      <c r="B47" s="46"/>
      <c r="C47" s="46"/>
      <c r="D47" s="46"/>
      <c r="E47" s="50"/>
      <c r="F47" s="93"/>
      <c r="G47" s="94" t="s">
        <v>129</v>
      </c>
      <c r="H47" s="95"/>
      <c r="I47" s="95"/>
      <c r="J47" s="95"/>
      <c r="K47" s="95"/>
      <c r="L47" s="95"/>
      <c r="M47" s="95"/>
      <c r="N47" s="95"/>
      <c r="O47" s="95"/>
      <c r="P47" s="95"/>
      <c r="Q47" s="111"/>
    </row>
    <row r="48" s="12" customFormat="1" ht="16.5" hidden="1" customHeight="1" spans="1:17">
      <c r="A48" s="46"/>
      <c r="B48" s="46"/>
      <c r="C48" s="46"/>
      <c r="D48" s="46"/>
      <c r="E48" s="50"/>
      <c r="F48" s="93"/>
      <c r="G48" s="94" t="s">
        <v>39</v>
      </c>
      <c r="H48" s="95"/>
      <c r="I48" s="95"/>
      <c r="J48" s="95"/>
      <c r="K48" s="95"/>
      <c r="L48" s="95"/>
      <c r="M48" s="95"/>
      <c r="N48" s="95"/>
      <c r="O48" s="95"/>
      <c r="P48" s="95"/>
      <c r="Q48" s="111"/>
    </row>
    <row r="49" s="12" customFormat="1" ht="16.5" hidden="1" customHeight="1" spans="1:17">
      <c r="A49" s="46"/>
      <c r="B49" s="46"/>
      <c r="C49" s="46"/>
      <c r="D49" s="46"/>
      <c r="E49" s="97"/>
      <c r="F49" s="93"/>
      <c r="G49" s="94" t="s">
        <v>130</v>
      </c>
      <c r="H49" s="111"/>
      <c r="I49" s="111"/>
      <c r="J49" s="111"/>
      <c r="K49" s="111"/>
      <c r="L49" s="111"/>
      <c r="M49" s="111"/>
      <c r="N49" s="111"/>
      <c r="O49" s="111"/>
      <c r="P49" s="111"/>
      <c r="Q49" s="111"/>
    </row>
    <row r="50" s="12" customFormat="1" ht="16.5" hidden="1" customHeight="1" spans="1:17">
      <c r="A50" s="46"/>
      <c r="B50" s="46"/>
      <c r="C50" s="46"/>
      <c r="D50" s="46"/>
      <c r="E50" s="97"/>
      <c r="F50" s="93"/>
      <c r="G50" s="94" t="s">
        <v>137</v>
      </c>
      <c r="H50" s="111"/>
      <c r="I50" s="111"/>
      <c r="J50" s="111"/>
      <c r="K50" s="111"/>
      <c r="L50" s="111"/>
      <c r="M50" s="111"/>
      <c r="N50" s="111"/>
      <c r="O50" s="111"/>
      <c r="P50" s="111"/>
      <c r="Q50" s="111"/>
    </row>
    <row r="51" s="15" customFormat="1" ht="17.1" hidden="1" customHeight="1" spans="1:17">
      <c r="A51" s="46"/>
      <c r="B51" s="46"/>
      <c r="C51" s="46"/>
      <c r="D51" s="46"/>
      <c r="E51" s="97"/>
      <c r="F51" s="112"/>
      <c r="G51" s="113" t="s">
        <v>133</v>
      </c>
      <c r="H51" s="115"/>
      <c r="I51" s="44"/>
      <c r="J51" s="44"/>
      <c r="K51" s="44"/>
      <c r="L51" s="44"/>
      <c r="M51" s="44"/>
      <c r="N51" s="44"/>
      <c r="O51" s="44"/>
      <c r="P51" s="44"/>
      <c r="Q51" s="44"/>
    </row>
    <row r="52" s="16" customFormat="1" ht="22.5" hidden="1" customHeight="1" spans="1:17">
      <c r="A52" s="116"/>
      <c r="B52" s="46"/>
      <c r="C52" s="46"/>
      <c r="D52" s="46"/>
      <c r="E52" s="97"/>
      <c r="F52" s="117"/>
      <c r="G52" s="118" t="s">
        <v>139</v>
      </c>
      <c r="H52" s="119"/>
      <c r="I52" s="142"/>
      <c r="J52" s="142"/>
      <c r="K52" s="143"/>
      <c r="L52" s="142"/>
      <c r="M52" s="142"/>
      <c r="N52" s="142"/>
      <c r="O52" s="142"/>
      <c r="P52" s="144"/>
      <c r="Q52" s="144"/>
    </row>
    <row r="53" s="17" customFormat="1" ht="18.75" hidden="1" customHeight="1" spans="1:17">
      <c r="A53" s="120"/>
      <c r="B53" s="120"/>
      <c r="C53" s="120"/>
      <c r="D53" s="120"/>
      <c r="E53" s="121"/>
      <c r="F53" s="122" t="s">
        <v>140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</row>
    <row r="54" s="18" customFormat="1" ht="18.75" hidden="1" customHeight="1" spans="1:8">
      <c r="A54" s="96"/>
      <c r="B54" s="96"/>
      <c r="C54" s="96"/>
      <c r="D54" s="96"/>
      <c r="E54" s="124"/>
      <c r="F54" s="125" t="s">
        <v>141</v>
      </c>
      <c r="G54" s="126"/>
      <c r="H54" s="127"/>
    </row>
    <row r="55" s="19" customFormat="1" ht="22.5" customHeight="1" spans="1:17">
      <c r="A55" s="116"/>
      <c r="B55" s="46"/>
      <c r="C55" s="46"/>
      <c r="D55" s="46"/>
      <c r="E55" s="128" t="s">
        <v>142</v>
      </c>
      <c r="F55" s="129" t="s">
        <v>143</v>
      </c>
      <c r="G55" s="130"/>
      <c r="H55" s="127"/>
      <c r="I55" s="127"/>
      <c r="J55" s="127">
        <v>5304</v>
      </c>
      <c r="K55" s="127">
        <v>3224</v>
      </c>
      <c r="L55" s="127"/>
      <c r="M55" s="127"/>
      <c r="N55" s="127"/>
      <c r="O55" s="127"/>
      <c r="P55" s="127"/>
      <c r="Q55" s="127"/>
    </row>
    <row r="56" s="19" customFormat="1" ht="39.75" customHeight="1" spans="1:17">
      <c r="A56" s="116"/>
      <c r="B56" s="46"/>
      <c r="C56" s="46"/>
      <c r="D56" s="46"/>
      <c r="E56" s="131"/>
      <c r="F56" s="129" t="s">
        <v>144</v>
      </c>
      <c r="G56" s="130"/>
      <c r="H56" s="127"/>
      <c r="I56" s="127"/>
      <c r="J56" s="127">
        <v>7</v>
      </c>
      <c r="K56" s="127">
        <v>4</v>
      </c>
      <c r="L56" s="127"/>
      <c r="M56" s="127"/>
      <c r="N56" s="127"/>
      <c r="O56" s="127"/>
      <c r="P56" s="127"/>
      <c r="Q56" s="127"/>
    </row>
    <row r="57" s="19" customFormat="1" ht="39.95" customHeight="1" spans="1:17">
      <c r="A57" s="116"/>
      <c r="B57" s="46"/>
      <c r="C57" s="46"/>
      <c r="D57" s="46"/>
      <c r="E57" s="132"/>
      <c r="F57" s="129" t="s">
        <v>145</v>
      </c>
      <c r="G57" s="130"/>
      <c r="H57" s="127"/>
      <c r="I57" s="127"/>
      <c r="J57" s="127">
        <v>16</v>
      </c>
      <c r="K57" s="127">
        <v>9</v>
      </c>
      <c r="L57" s="127"/>
      <c r="M57" s="127"/>
      <c r="N57" s="127"/>
      <c r="O57" s="127"/>
      <c r="P57" s="127"/>
      <c r="Q57" s="127"/>
    </row>
    <row r="58" s="20" customFormat="1" ht="21.75" customHeight="1" spans="1:8">
      <c r="A58" s="116"/>
      <c r="B58" s="46"/>
      <c r="C58" s="46"/>
      <c r="D58" s="46"/>
      <c r="E58" s="128" t="s">
        <v>146</v>
      </c>
      <c r="F58" s="133" t="s">
        <v>81</v>
      </c>
      <c r="G58" s="134"/>
      <c r="H58" s="135"/>
    </row>
    <row r="59" s="20" customFormat="1" ht="21.75" customHeight="1" spans="1:9">
      <c r="A59" s="116"/>
      <c r="B59" s="46"/>
      <c r="C59" s="46"/>
      <c r="D59" s="46"/>
      <c r="E59" s="131"/>
      <c r="F59" s="136"/>
      <c r="G59" s="134"/>
      <c r="H59" s="135"/>
      <c r="I59" s="134"/>
    </row>
    <row r="60" s="20" customFormat="1" ht="21.75" customHeight="1" spans="1:9">
      <c r="A60" s="116"/>
      <c r="B60" s="46"/>
      <c r="C60" s="46"/>
      <c r="D60" s="46"/>
      <c r="E60" s="131"/>
      <c r="F60" s="136"/>
      <c r="G60" s="134"/>
      <c r="H60" s="135"/>
      <c r="I60" s="134"/>
    </row>
    <row r="61" s="20" customFormat="1" ht="21.75" customHeight="1" spans="1:9">
      <c r="A61" s="116"/>
      <c r="B61" s="46"/>
      <c r="C61" s="46"/>
      <c r="D61" s="46"/>
      <c r="E61" s="131"/>
      <c r="F61" s="136"/>
      <c r="G61" s="134"/>
      <c r="H61" s="135"/>
      <c r="I61" s="134"/>
    </row>
    <row r="62" s="20" customFormat="1" ht="21.75" customHeight="1" spans="1:9">
      <c r="A62" s="116"/>
      <c r="B62" s="46"/>
      <c r="C62" s="46"/>
      <c r="D62" s="46"/>
      <c r="E62" s="131"/>
      <c r="F62" s="136"/>
      <c r="G62" s="134"/>
      <c r="H62" s="135"/>
      <c r="I62" s="134"/>
    </row>
    <row r="63" s="20" customFormat="1" ht="21.75" customHeight="1" spans="1:9">
      <c r="A63" s="116"/>
      <c r="B63" s="46"/>
      <c r="C63" s="46"/>
      <c r="D63" s="46"/>
      <c r="E63" s="131"/>
      <c r="F63" s="136"/>
      <c r="G63" s="134"/>
      <c r="H63" s="135"/>
      <c r="I63" s="134"/>
    </row>
    <row r="64" s="20" customFormat="1" ht="21.75" customHeight="1" spans="1:9">
      <c r="A64" s="116"/>
      <c r="B64" s="46"/>
      <c r="C64" s="46"/>
      <c r="D64" s="46"/>
      <c r="E64" s="131"/>
      <c r="F64" s="137"/>
      <c r="G64" s="134"/>
      <c r="H64" s="135"/>
      <c r="I64" s="134"/>
    </row>
    <row r="65" s="20" customFormat="1" ht="21.75" customHeight="1" spans="1:8">
      <c r="A65" s="116"/>
      <c r="B65" s="46"/>
      <c r="C65" s="46"/>
      <c r="D65" s="46"/>
      <c r="E65" s="131"/>
      <c r="F65" s="133" t="s">
        <v>147</v>
      </c>
      <c r="G65" s="134"/>
      <c r="H65" s="135"/>
    </row>
    <row r="66" s="20" customFormat="1" ht="21.75" customHeight="1" spans="1:9">
      <c r="A66" s="116"/>
      <c r="B66" s="46"/>
      <c r="C66" s="46"/>
      <c r="D66" s="46"/>
      <c r="E66" s="131"/>
      <c r="F66" s="136"/>
      <c r="G66" s="134"/>
      <c r="H66" s="135"/>
      <c r="I66" s="134"/>
    </row>
    <row r="67" s="20" customFormat="1" ht="21.75" customHeight="1" spans="1:8">
      <c r="A67" s="116"/>
      <c r="B67" s="46"/>
      <c r="C67" s="46"/>
      <c r="D67" s="46"/>
      <c r="E67" s="131"/>
      <c r="F67" s="136"/>
      <c r="G67" s="134"/>
      <c r="H67" s="135"/>
    </row>
    <row r="68" s="20" customFormat="1" ht="21.75" customHeight="1" spans="1:17">
      <c r="A68" s="116"/>
      <c r="B68" s="46"/>
      <c r="C68" s="46"/>
      <c r="D68" s="46"/>
      <c r="E68" s="131"/>
      <c r="F68" s="136"/>
      <c r="G68" s="134"/>
      <c r="H68" s="135"/>
      <c r="I68" s="134"/>
      <c r="Q68" s="135"/>
    </row>
    <row r="69" s="20" customFormat="1" ht="21.75" customHeight="1" spans="1:17">
      <c r="A69" s="116"/>
      <c r="B69" s="46"/>
      <c r="C69" s="46"/>
      <c r="D69" s="46"/>
      <c r="E69" s="131"/>
      <c r="F69" s="136"/>
      <c r="G69" s="134"/>
      <c r="H69" s="135"/>
      <c r="I69" s="134"/>
      <c r="Q69" s="135"/>
    </row>
    <row r="70" s="20" customFormat="1" ht="21.75" customHeight="1" spans="1:9">
      <c r="A70" s="116"/>
      <c r="B70" s="46"/>
      <c r="C70" s="46"/>
      <c r="D70" s="46"/>
      <c r="E70" s="131"/>
      <c r="F70" s="136"/>
      <c r="G70" s="134"/>
      <c r="H70" s="135"/>
      <c r="I70" s="134"/>
    </row>
    <row r="71" s="20" customFormat="1" ht="21.75" customHeight="1" spans="1:8">
      <c r="A71" s="116"/>
      <c r="B71" s="46"/>
      <c r="C71" s="46"/>
      <c r="D71" s="46"/>
      <c r="E71" s="132"/>
      <c r="F71" s="137"/>
      <c r="G71" s="134"/>
      <c r="H71" s="135"/>
    </row>
    <row r="72" s="21" customFormat="1" ht="21" customHeight="1" spans="1:10">
      <c r="A72" s="116"/>
      <c r="B72" s="46"/>
      <c r="C72" s="46"/>
      <c r="D72" s="46"/>
      <c r="E72" s="146" t="s">
        <v>148</v>
      </c>
      <c r="F72" s="147" t="s">
        <v>149</v>
      </c>
      <c r="G72" s="148"/>
      <c r="H72" s="148"/>
      <c r="I72" s="165"/>
      <c r="J72" s="165"/>
    </row>
    <row r="73" s="21" customFormat="1" ht="21" customHeight="1" spans="1:17">
      <c r="A73" s="116"/>
      <c r="B73" s="46"/>
      <c r="C73" s="46"/>
      <c r="D73" s="46"/>
      <c r="E73" s="149"/>
      <c r="F73" s="147" t="s">
        <v>150</v>
      </c>
      <c r="G73" s="148"/>
      <c r="H73" s="150"/>
      <c r="I73" s="150"/>
      <c r="J73" s="150"/>
      <c r="K73" s="150"/>
      <c r="L73" s="150"/>
      <c r="M73" s="150"/>
      <c r="N73" s="150"/>
      <c r="O73" s="150"/>
      <c r="P73" s="150"/>
      <c r="Q73" s="150"/>
    </row>
    <row r="74" s="22" customFormat="1" ht="21" customHeight="1" spans="1:17">
      <c r="A74" s="151"/>
      <c r="B74" s="152"/>
      <c r="C74" s="152"/>
      <c r="D74" s="152"/>
      <c r="E74" s="146" t="s">
        <v>151</v>
      </c>
      <c r="F74" s="147" t="s">
        <v>149</v>
      </c>
      <c r="G74" s="148"/>
      <c r="H74" s="150"/>
      <c r="I74" s="150"/>
      <c r="J74" s="150"/>
      <c r="K74" s="150"/>
      <c r="L74" s="150"/>
      <c r="M74" s="150"/>
      <c r="N74" s="150"/>
      <c r="O74" s="150"/>
      <c r="P74" s="150"/>
      <c r="Q74" s="150"/>
    </row>
    <row r="75" s="22" customFormat="1" ht="21" customHeight="1" spans="1:17">
      <c r="A75" s="151"/>
      <c r="B75" s="152"/>
      <c r="C75" s="152"/>
      <c r="D75" s="152"/>
      <c r="E75" s="149"/>
      <c r="F75" s="147" t="s">
        <v>150</v>
      </c>
      <c r="G75" s="148"/>
      <c r="H75" s="150"/>
      <c r="I75" s="150"/>
      <c r="J75" s="150"/>
      <c r="K75" s="150"/>
      <c r="L75" s="150"/>
      <c r="M75" s="150"/>
      <c r="N75" s="150"/>
      <c r="O75" s="150"/>
      <c r="P75" s="150"/>
      <c r="Q75" s="150"/>
    </row>
    <row r="76" s="22" customFormat="1" ht="21" customHeight="1" spans="1:17">
      <c r="A76" s="151"/>
      <c r="B76" s="152"/>
      <c r="C76" s="152"/>
      <c r="D76" s="152"/>
      <c r="E76" s="146" t="s">
        <v>152</v>
      </c>
      <c r="F76" s="147" t="s">
        <v>149</v>
      </c>
      <c r="G76" s="148"/>
      <c r="H76" s="148"/>
      <c r="I76" s="165"/>
      <c r="J76" s="165"/>
      <c r="K76" s="21"/>
      <c r="L76" s="21"/>
      <c r="M76" s="21"/>
      <c r="N76" s="21"/>
      <c r="O76" s="21"/>
      <c r="P76" s="21"/>
      <c r="Q76" s="21"/>
    </row>
    <row r="77" s="22" customFormat="1" ht="21" customHeight="1" spans="1:17">
      <c r="A77" s="151"/>
      <c r="B77" s="152"/>
      <c r="C77" s="152"/>
      <c r="D77" s="152"/>
      <c r="E77" s="149"/>
      <c r="F77" s="147" t="s">
        <v>150</v>
      </c>
      <c r="G77" s="148"/>
      <c r="H77" s="150"/>
      <c r="I77" s="150"/>
      <c r="J77" s="150"/>
      <c r="K77" s="150"/>
      <c r="L77" s="150"/>
      <c r="M77" s="150"/>
      <c r="N77" s="150"/>
      <c r="O77" s="150"/>
      <c r="P77" s="150"/>
      <c r="Q77" s="150"/>
    </row>
    <row r="78" s="23" customFormat="1" ht="21" customHeight="1" spans="2:17">
      <c r="B78" s="153"/>
      <c r="C78" s="153"/>
      <c r="D78" s="153"/>
      <c r="E78" s="146" t="s">
        <v>50</v>
      </c>
      <c r="F78" s="154" t="s">
        <v>77</v>
      </c>
      <c r="G78" s="155"/>
      <c r="H78" s="156"/>
      <c r="I78" s="156"/>
      <c r="J78" s="156"/>
      <c r="K78" s="156"/>
      <c r="L78" s="156"/>
      <c r="M78" s="156"/>
      <c r="N78" s="156"/>
      <c r="O78" s="156"/>
      <c r="P78" s="156"/>
      <c r="Q78" s="156"/>
    </row>
    <row r="79" s="23" customFormat="1" ht="21" customHeight="1" spans="2:17">
      <c r="B79" s="153"/>
      <c r="C79" s="153"/>
      <c r="D79" s="153"/>
      <c r="E79" s="157"/>
      <c r="F79" s="158" t="s">
        <v>79</v>
      </c>
      <c r="G79" s="159"/>
      <c r="H79" s="160"/>
      <c r="I79" s="160"/>
      <c r="J79" s="160"/>
      <c r="K79" s="160"/>
      <c r="L79" s="160"/>
      <c r="M79" s="160"/>
      <c r="N79" s="160"/>
      <c r="O79" s="160"/>
      <c r="P79" s="160"/>
      <c r="Q79" s="160"/>
    </row>
    <row r="80" s="23" customFormat="1" ht="21" customHeight="1" spans="2:17">
      <c r="B80" s="153"/>
      <c r="C80" s="153"/>
      <c r="D80" s="153"/>
      <c r="E80" s="149"/>
      <c r="F80" s="158" t="s">
        <v>78</v>
      </c>
      <c r="G80" s="159"/>
      <c r="H80" s="160"/>
      <c r="I80" s="160"/>
      <c r="J80" s="160"/>
      <c r="K80" s="160"/>
      <c r="L80" s="160"/>
      <c r="M80" s="160"/>
      <c r="N80" s="160"/>
      <c r="O80" s="160"/>
      <c r="P80" s="160"/>
      <c r="Q80" s="160"/>
    </row>
    <row r="81" spans="9:17">
      <c r="I81" s="24" t="s">
        <v>153</v>
      </c>
      <c r="J81" s="24" t="s">
        <v>154</v>
      </c>
      <c r="K81" s="26" t="s">
        <v>155</v>
      </c>
      <c r="O81" s="26"/>
      <c r="P81" s="166"/>
      <c r="Q81" s="168"/>
    </row>
    <row r="82" spans="7:17">
      <c r="G82" s="161" t="s">
        <v>156</v>
      </c>
      <c r="H82" s="28">
        <v>44095</v>
      </c>
      <c r="I82" s="161"/>
      <c r="J82" s="167"/>
      <c r="K82" s="161"/>
      <c r="O82" s="26"/>
      <c r="P82" s="166"/>
      <c r="Q82" s="168"/>
    </row>
    <row r="83" ht="18.95" customHeight="1" spans="7:17">
      <c r="G83" s="162" t="s">
        <v>157</v>
      </c>
      <c r="H83" s="28"/>
      <c r="I83" s="161"/>
      <c r="J83" s="167"/>
      <c r="K83" s="161"/>
      <c r="O83" s="26"/>
      <c r="P83" s="168"/>
      <c r="Q83" s="168"/>
    </row>
    <row r="84" ht="21.95" customHeight="1" spans="7:17">
      <c r="G84" s="163"/>
      <c r="H84" s="28"/>
      <c r="I84" s="161"/>
      <c r="J84" s="167"/>
      <c r="K84" s="161"/>
      <c r="M84" s="24" t="s">
        <v>158</v>
      </c>
      <c r="N84" s="24" t="s">
        <v>159</v>
      </c>
      <c r="O84" s="26"/>
      <c r="P84" s="168"/>
      <c r="Q84" s="168"/>
    </row>
    <row r="85" ht="20.1" customHeight="1" spans="7:17">
      <c r="G85" s="163"/>
      <c r="H85" s="28"/>
      <c r="I85" s="161"/>
      <c r="J85" s="167"/>
      <c r="K85" s="161"/>
      <c r="N85" s="24" t="s">
        <v>160</v>
      </c>
      <c r="O85" s="26"/>
      <c r="P85" s="26"/>
      <c r="Q85" s="168"/>
    </row>
    <row r="86" ht="24" customHeight="1" spans="7:17">
      <c r="G86" s="163"/>
      <c r="H86" s="28"/>
      <c r="I86" s="161"/>
      <c r="J86" s="167"/>
      <c r="K86" s="161"/>
      <c r="N86" s="24" t="s">
        <v>161</v>
      </c>
      <c r="O86" s="26"/>
      <c r="P86" s="26"/>
      <c r="Q86" s="168"/>
    </row>
    <row r="87" ht="18.95" customHeight="1" spans="7:17">
      <c r="G87" s="163"/>
      <c r="H87" s="28"/>
      <c r="I87" s="161"/>
      <c r="J87" s="167"/>
      <c r="K87" s="161"/>
      <c r="N87" s="24" t="s">
        <v>162</v>
      </c>
      <c r="O87" s="26"/>
      <c r="P87" s="26"/>
      <c r="Q87" s="168"/>
    </row>
    <row r="88" ht="18.95" customHeight="1" spans="7:17">
      <c r="G88" s="163"/>
      <c r="H88" s="28"/>
      <c r="I88" s="161"/>
      <c r="J88" s="167"/>
      <c r="K88" s="161"/>
      <c r="N88" t="s">
        <v>163</v>
      </c>
      <c r="O88" s="26"/>
      <c r="P88" s="26"/>
      <c r="Q88" s="168"/>
    </row>
    <row r="89" ht="18.95" customHeight="1" spans="7:17">
      <c r="G89" s="163"/>
      <c r="H89" s="28"/>
      <c r="I89" s="161"/>
      <c r="J89" s="167"/>
      <c r="K89" s="161"/>
      <c r="N89" s="24" t="s">
        <v>164</v>
      </c>
      <c r="O89" s="26"/>
      <c r="P89" s="26"/>
      <c r="Q89" s="168"/>
    </row>
    <row r="90" ht="18.95" customHeight="1" spans="7:17">
      <c r="G90" s="163"/>
      <c r="H90" s="28"/>
      <c r="I90" s="161"/>
      <c r="J90" s="167"/>
      <c r="K90" s="161"/>
      <c r="N90" s="24" t="s">
        <v>165</v>
      </c>
      <c r="O90" s="26"/>
      <c r="P90" s="26"/>
      <c r="Q90" s="168"/>
    </row>
    <row r="91" ht="18.95" customHeight="1" spans="7:17">
      <c r="G91" s="163"/>
      <c r="H91" s="28"/>
      <c r="I91" s="161"/>
      <c r="J91" s="167"/>
      <c r="K91" s="161"/>
      <c r="N91" s="24" t="s">
        <v>166</v>
      </c>
      <c r="O91" s="26"/>
      <c r="P91" s="26"/>
      <c r="Q91" s="168"/>
    </row>
    <row r="92" ht="18.95" customHeight="1" spans="7:17">
      <c r="G92" s="163"/>
      <c r="H92" s="28"/>
      <c r="I92" s="161"/>
      <c r="J92" s="167"/>
      <c r="K92" s="161"/>
      <c r="N92" s="24" t="s">
        <v>167</v>
      </c>
      <c r="O92" s="26"/>
      <c r="P92" s="26"/>
      <c r="Q92" s="168"/>
    </row>
    <row r="93" ht="18.95" customHeight="1" spans="7:17">
      <c r="G93" s="163"/>
      <c r="H93" s="28"/>
      <c r="I93" s="161"/>
      <c r="J93" s="167"/>
      <c r="K93" s="161"/>
      <c r="O93" s="26"/>
      <c r="P93" s="26"/>
      <c r="Q93" s="168"/>
    </row>
    <row r="94" ht="18.95" customHeight="1" spans="7:17">
      <c r="G94" s="163"/>
      <c r="H94" s="28"/>
      <c r="I94" s="161"/>
      <c r="J94" s="167"/>
      <c r="K94" s="161"/>
      <c r="O94" s="26"/>
      <c r="P94" s="26"/>
      <c r="Q94" s="168"/>
    </row>
    <row r="95" ht="18.95" customHeight="1" spans="7:17">
      <c r="G95" s="163"/>
      <c r="H95" s="28"/>
      <c r="I95" s="161"/>
      <c r="J95" s="167"/>
      <c r="K95" s="161"/>
      <c r="N95" s="24" t="s">
        <v>168</v>
      </c>
      <c r="O95" s="26" t="s">
        <v>169</v>
      </c>
      <c r="P95" s="26" t="s">
        <v>170</v>
      </c>
      <c r="Q95" s="168" t="s">
        <v>171</v>
      </c>
    </row>
    <row r="96" ht="18.95" customHeight="1" spans="7:17">
      <c r="G96" s="164"/>
      <c r="H96" s="28"/>
      <c r="I96" s="161"/>
      <c r="J96" s="167"/>
      <c r="K96" s="161"/>
      <c r="N96" s="24">
        <v>16.99</v>
      </c>
      <c r="O96" s="26">
        <v>41.2</v>
      </c>
      <c r="P96" s="26">
        <v>4.96</v>
      </c>
      <c r="Q96" s="168">
        <v>28</v>
      </c>
    </row>
    <row r="103" spans="12:12">
      <c r="L103" s="169"/>
    </row>
  </sheetData>
  <sheetProtection formatCells="0" insertHyperlinks="0" autoFilter="0"/>
  <mergeCells count="43">
    <mergeCell ref="B2:C2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53:G53"/>
    <mergeCell ref="F54:G54"/>
    <mergeCell ref="F55:G55"/>
    <mergeCell ref="F56:G56"/>
    <mergeCell ref="F57:G57"/>
    <mergeCell ref="E12:E14"/>
    <mergeCell ref="E15:E17"/>
    <mergeCell ref="E18:E19"/>
    <mergeCell ref="E55:E57"/>
    <mergeCell ref="E58:E71"/>
    <mergeCell ref="E72:E73"/>
    <mergeCell ref="E74:E75"/>
    <mergeCell ref="E76:E77"/>
    <mergeCell ref="E78:E80"/>
    <mergeCell ref="F20:F29"/>
    <mergeCell ref="F30:F37"/>
    <mergeCell ref="F38:F44"/>
    <mergeCell ref="F45:F51"/>
    <mergeCell ref="F58:F64"/>
    <mergeCell ref="F65:F71"/>
    <mergeCell ref="G72:G73"/>
    <mergeCell ref="G74:G75"/>
    <mergeCell ref="G76:G77"/>
    <mergeCell ref="G83:G96"/>
  </mergeCells>
  <pageMargins left="0.75" right="0.75" top="1" bottom="1" header="0.51" footer="0.51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��lQ_lQ_lQ_lQ_lQ_lQ_lQ_lQ_lQ_^JT/e�Q/�.U���.U��/^JT/e�QlQ_lQ_6eeQ//e�QlQ_lQ_
</file>

<file path=customXml/item6.xml>��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9F91F69C-6E8C-4246-BC25-297BFDC75D90}">
  <ds:schemaRefs/>
</ds:datastoreItem>
</file>

<file path=customXml/itemProps3.xml><?xml version="1.0" encoding="utf-8"?>
<ds:datastoreItem xmlns:ds="http://schemas.openxmlformats.org/officeDocument/2006/customXml" ds:itemID="{DC3875BF-13D6-4817-9B69-0B22B651B2C7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06A0048C-2381-489B-AA07-9611017176EA}">
  <ds:schemaRefs/>
</ds:datastoreItem>
</file>

<file path=customXml/itemProps6.xml><?xml version="1.0" encoding="utf-8"?>
<ds:datastoreItem xmlns:ds="http://schemas.openxmlformats.org/officeDocument/2006/customXml" ds:itemID="{3F8FC9E7-9E3E-4D00-BC07-C2C84DFACB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销售日报表</vt:lpstr>
      <vt:lpstr>业务报告</vt:lpstr>
      <vt:lpstr>单SKU总广告监控表</vt:lpstr>
      <vt:lpstr>利润明细</vt:lpstr>
      <vt:lpstr>排名追踪</vt:lpstr>
      <vt:lpstr>关键词排名</vt:lpstr>
      <vt:lpstr>竞品追踪</vt:lpstr>
      <vt:lpstr>测评订单记录</vt:lpstr>
      <vt:lpstr>客户跟踪</vt:lpstr>
      <vt:lpstr>库存监控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夏天的风</cp:lastModifiedBy>
  <dcterms:created xsi:type="dcterms:W3CDTF">2018-01-02T16:06:00Z</dcterms:created>
  <dcterms:modified xsi:type="dcterms:W3CDTF">2021-10-13T14:40:11Z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6294647C744F44B983274D6719944012</vt:lpwstr>
  </property>
</Properties>
</file>