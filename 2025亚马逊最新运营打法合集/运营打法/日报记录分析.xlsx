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分析" sheetId="6" r:id="rId1"/>
    <sheet name="每日记录" sheetId="4" r:id="rId2"/>
    <sheet name="跟进查询" sheetId="2" r:id="rId3"/>
    <sheet name="SKU信息" sheetId="3" r:id="rId4"/>
    <sheet name="源数据" sheetId="8" r:id="rId5"/>
    <sheet name="使用说明" sheetId="5" r:id="rId6"/>
  </sheets>
  <definedNames>
    <definedName name="切片器_SKU名称">#N/A</definedName>
    <definedName name="客户名称">OFFSET(SKU信息!$B$2,1,0,COUNTA(SKU信息!$B:$B)-1,1)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86138</author>
  </authors>
  <commentList>
    <comment ref="B1" authorId="0">
      <text>
        <r>
          <rPr>
            <b/>
            <sz val="9"/>
            <rFont val="宋体"/>
            <charset val="134"/>
          </rPr>
          <t>86138:</t>
        </r>
        <r>
          <rPr>
            <sz val="9"/>
            <rFont val="宋体"/>
            <charset val="134"/>
          </rPr>
          <t xml:space="preserve">
起始粘贴列</t>
        </r>
      </text>
    </comment>
  </commentList>
</comments>
</file>

<file path=xl/sharedStrings.xml><?xml version="1.0" encoding="utf-8"?>
<sst xmlns="http://schemas.openxmlformats.org/spreadsheetml/2006/main" count="479" uniqueCount="104">
  <si>
    <t>SKU名称</t>
  </si>
  <si>
    <t>日期</t>
  </si>
  <si>
    <t>每日记录</t>
  </si>
  <si>
    <t>求和项:销量</t>
  </si>
  <si>
    <t>SKU1</t>
  </si>
  <si>
    <t>做了什么？（促销，优化，测评，站外）</t>
  </si>
  <si>
    <t>秒杀</t>
  </si>
  <si>
    <t>站外</t>
  </si>
  <si>
    <t>总计</t>
  </si>
  <si>
    <t>备注</t>
  </si>
  <si>
    <t>销量</t>
  </si>
  <si>
    <t>DATESKU</t>
  </si>
  <si>
    <t>SKU2</t>
  </si>
  <si>
    <t>跟进查询</t>
  </si>
  <si>
    <t>产品名称</t>
  </si>
  <si>
    <t>负责人</t>
  </si>
  <si>
    <t>ASIN</t>
  </si>
  <si>
    <t>站  点</t>
  </si>
  <si>
    <t>货物类型</t>
  </si>
  <si>
    <r>
      <rPr>
        <sz val="10"/>
        <rFont val="宋体"/>
        <charset val="134"/>
      </rPr>
      <t xml:space="preserve">备 </t>
    </r>
    <r>
      <rPr>
        <sz val="10"/>
        <rFont val="宋体"/>
        <charset val="134"/>
      </rPr>
      <t xml:space="preserve">   </t>
    </r>
    <r>
      <rPr>
        <sz val="10"/>
        <rFont val="宋体"/>
        <charset val="134"/>
      </rPr>
      <t>注</t>
    </r>
  </si>
  <si>
    <t>最近一次更新</t>
  </si>
  <si>
    <t>跟 进 日 期</t>
  </si>
  <si>
    <t>跟 进 情 况</t>
  </si>
  <si>
    <t>备       注</t>
  </si>
  <si>
    <t>站点</t>
  </si>
  <si>
    <t>XXX1</t>
  </si>
  <si>
    <t>Cecilia</t>
  </si>
  <si>
    <t>Bxxxx1</t>
  </si>
  <si>
    <t>US</t>
  </si>
  <si>
    <t>普货</t>
  </si>
  <si>
    <t>XXX2</t>
  </si>
  <si>
    <t>Bxxxx2</t>
  </si>
  <si>
    <t>SKU3</t>
  </si>
  <si>
    <t>XXX3</t>
  </si>
  <si>
    <t>Kris</t>
  </si>
  <si>
    <t>Bxxxx3</t>
  </si>
  <si>
    <t>轻小货</t>
  </si>
  <si>
    <t>SKU4</t>
  </si>
  <si>
    <t>XXX4</t>
  </si>
  <si>
    <t>Bxxxx4</t>
  </si>
  <si>
    <t>UK</t>
  </si>
  <si>
    <t>SKU5</t>
  </si>
  <si>
    <t>XXX5</t>
  </si>
  <si>
    <t>Bxxxx5</t>
  </si>
  <si>
    <t>SKU6</t>
  </si>
  <si>
    <t>XXX6</t>
  </si>
  <si>
    <t>Jessica</t>
  </si>
  <si>
    <t>Bxxxx6</t>
  </si>
  <si>
    <t>带电</t>
  </si>
  <si>
    <t>SKU7</t>
  </si>
  <si>
    <t>XXX7</t>
  </si>
  <si>
    <t>Bxxxx7</t>
  </si>
  <si>
    <t>DE</t>
  </si>
  <si>
    <t>SKU8</t>
  </si>
  <si>
    <t>XXX8</t>
  </si>
  <si>
    <t>Bxxxx8</t>
  </si>
  <si>
    <t>SKU9</t>
  </si>
  <si>
    <t>XXX9</t>
  </si>
  <si>
    <t>Lucas</t>
  </si>
  <si>
    <t>Bxxxx9</t>
  </si>
  <si>
    <t>大件</t>
  </si>
  <si>
    <t>SKU10</t>
  </si>
  <si>
    <t>XXX10</t>
  </si>
  <si>
    <t>Bxxxx10</t>
  </si>
  <si>
    <t>SKU11</t>
  </si>
  <si>
    <t>XXX11</t>
  </si>
  <si>
    <t>Bxxxx11</t>
  </si>
  <si>
    <t>SKU12</t>
  </si>
  <si>
    <t>XXX12</t>
  </si>
  <si>
    <t>Daniel</t>
  </si>
  <si>
    <t>Bxxxx12</t>
  </si>
  <si>
    <t>SKU13</t>
  </si>
  <si>
    <t>XXX13</t>
  </si>
  <si>
    <t>Bxxxx13</t>
  </si>
  <si>
    <t>Same Data</t>
  </si>
  <si>
    <t>Date</t>
  </si>
  <si>
    <t>(Parent) ASIN</t>
  </si>
  <si>
    <t>(Child) ASIN</t>
  </si>
  <si>
    <t>Title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</si>
  <si>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</si>
  <si>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</si>
  <si>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</si>
  <si>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</si>
  <si>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</si>
  <si>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</si>
  <si>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Units Ordered - B2B</t>
  </si>
  <si>
    <t>Unit Session Percentage</t>
  </si>
  <si>
    <t>Unit Session Percentage - B2B</t>
  </si>
  <si>
    <t>Ordered Product Sales</t>
  </si>
  <si>
    <t>Ordered Product Sales - B2B</t>
  </si>
  <si>
    <t>Total Order Items</t>
  </si>
  <si>
    <t>Total Order Items - B2B</t>
  </si>
  <si>
    <t>SKU</t>
  </si>
  <si>
    <t>A1</t>
  </si>
  <si>
    <t>A2</t>
  </si>
  <si>
    <t xml:space="preserve"> 使用说明：</t>
  </si>
  <si>
    <t>1、</t>
  </si>
  <si>
    <t>SKU信息&gt;&gt;录入产品相关信息。</t>
  </si>
  <si>
    <t>2、</t>
  </si>
  <si>
    <t>每日记录&gt;&gt;SKU名称下拉选择，其他项目手动录入，清除数据，可选中区域点击del，切勿直接删行。</t>
  </si>
  <si>
    <t>3、</t>
  </si>
  <si>
    <t>跟进查询&gt;&gt;下拉选择SKU名称，自动显示明细记录。</t>
  </si>
  <si>
    <t>4、</t>
  </si>
  <si>
    <t>凡有公式的地方都可以自动统计，无须改动，公式可以直接拖拉填充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</si>
</sst>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name val="宋体"/>
      <charset val="134"/>
      <scheme val="minor"/>
    </font>
    <font>
      <sz val="16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阿里巴巴普惠体"/>
      <charset val="134"/>
    </font>
    <font>
      <sz val="12"/>
      <name val="宋体"/>
      <charset val="134"/>
    </font>
    <font>
      <b/>
      <sz val="12"/>
      <color theme="0"/>
      <name val="微软雅黑"/>
      <charset val="134"/>
    </font>
    <font>
      <sz val="12"/>
      <color indexed="12"/>
      <name val="宋体"/>
      <charset val="134"/>
    </font>
    <font>
      <b/>
      <sz val="18"/>
      <name val="宋体"/>
      <charset val="134"/>
    </font>
    <font>
      <b/>
      <sz val="18"/>
      <name val="Arial Narrow"/>
      <charset val="134"/>
    </font>
    <font>
      <sz val="10"/>
      <name val="宋体"/>
      <charset val="134"/>
    </font>
    <font>
      <b/>
      <sz val="10"/>
      <color theme="0"/>
      <name val="宋体"/>
      <charset val="134"/>
    </font>
    <font>
      <sz val="9"/>
      <name val="宋体"/>
      <charset val="134"/>
    </font>
    <font>
      <sz val="11"/>
      <name val="阿里巴巴普惠体"/>
      <charset val="134"/>
    </font>
    <font>
      <b/>
      <sz val="11"/>
      <color theme="0"/>
      <name val="阿里巴巴普惠体"/>
      <charset val="134"/>
    </font>
    <font>
      <sz val="12"/>
      <name val="阿里巴巴普惠体"/>
      <charset val="134"/>
    </font>
    <font>
      <sz val="12"/>
      <color indexed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4" tint="0.399945066682943"/>
      </left>
      <right style="thin">
        <color theme="4" tint="0.399945066682943"/>
      </right>
      <top style="thin">
        <color theme="4" tint="0.399945066682943"/>
      </top>
      <bottom style="thin">
        <color theme="4" tint="0.39994506668294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7" borderId="18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8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7" fillId="0" borderId="0"/>
    <xf numFmtId="0" fontId="37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vertical="center"/>
    </xf>
    <xf numFmtId="0" fontId="2" fillId="0" borderId="0" xfId="50" applyFont="1" applyFill="1" applyAlignment="1">
      <alignment vertical="center"/>
    </xf>
    <xf numFmtId="0" fontId="3" fillId="0" borderId="0" xfId="50" applyFont="1" applyFill="1" applyAlignment="1">
      <alignment vertical="center"/>
    </xf>
    <xf numFmtId="0" fontId="4" fillId="0" borderId="1" xfId="49" applyNumberFormat="1" applyFont="1" applyFill="1" applyBorder="1" applyAlignment="1">
      <alignment horizontal="left" vertical="center"/>
    </xf>
    <xf numFmtId="0" fontId="4" fillId="0" borderId="2" xfId="49" applyNumberFormat="1" applyFont="1" applyFill="1" applyBorder="1" applyAlignment="1">
      <alignment horizontal="left" vertical="center"/>
    </xf>
    <xf numFmtId="0" fontId="2" fillId="0" borderId="3" xfId="50" applyFont="1" applyFill="1" applyBorder="1" applyAlignment="1">
      <alignment vertical="center"/>
    </xf>
    <xf numFmtId="0" fontId="2" fillId="0" borderId="4" xfId="50" applyFont="1" applyFill="1" applyBorder="1" applyAlignment="1">
      <alignment vertical="center"/>
    </xf>
    <xf numFmtId="0" fontId="2" fillId="0" borderId="5" xfId="50" applyFont="1" applyFill="1" applyBorder="1" applyAlignment="1">
      <alignment vertical="center"/>
    </xf>
    <xf numFmtId="0" fontId="2" fillId="0" borderId="6" xfId="50" applyNumberFormat="1" applyFont="1" applyFill="1" applyBorder="1" applyAlignment="1">
      <alignment vertical="center"/>
    </xf>
    <xf numFmtId="0" fontId="5" fillId="2" borderId="0" xfId="0" applyFont="1" applyFill="1">
      <alignment vertical="center"/>
    </xf>
    <xf numFmtId="14" fontId="0" fillId="0" borderId="0" xfId="0" applyNumberFormat="1" applyBorder="1">
      <alignment vertical="center"/>
    </xf>
    <xf numFmtId="0" fontId="0" fillId="0" borderId="0" xfId="0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center" vertical="center" shrinkToFit="1"/>
      <protection locked="0"/>
    </xf>
    <xf numFmtId="0" fontId="8" fillId="3" borderId="7" xfId="0" applyFont="1" applyFill="1" applyBorder="1" applyAlignment="1" applyProtection="1">
      <alignment horizontal="left" vertical="center" shrinkToFit="1"/>
      <protection locked="0"/>
    </xf>
    <xf numFmtId="0" fontId="8" fillId="3" borderId="7" xfId="0" applyFont="1" applyFill="1" applyBorder="1" applyAlignment="1" applyProtection="1">
      <alignment horizontal="center" vertical="center" shrinkToFit="1"/>
      <protection locked="0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 applyProtection="1">
      <alignment horizontal="center" vertical="center" shrinkToFit="1"/>
      <protection locked="0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left" vertical="center"/>
    </xf>
    <xf numFmtId="0" fontId="11" fillId="3" borderId="12" xfId="0" applyFont="1" applyFill="1" applyBorder="1" applyAlignment="1">
      <alignment horizontal="left" vertical="center"/>
    </xf>
    <xf numFmtId="14" fontId="11" fillId="3" borderId="11" xfId="0" applyNumberFormat="1" applyFont="1" applyFill="1" applyBorder="1" applyAlignment="1">
      <alignment horizontal="left" vertical="center"/>
    </xf>
    <xf numFmtId="14" fontId="11" fillId="3" borderId="12" xfId="0" applyNumberFormat="1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center" vertical="center"/>
    </xf>
    <xf numFmtId="176" fontId="13" fillId="4" borderId="10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left" vertical="center"/>
    </xf>
    <xf numFmtId="0" fontId="11" fillId="3" borderId="9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14" fontId="11" fillId="3" borderId="8" xfId="0" applyNumberFormat="1" applyFont="1" applyFill="1" applyBorder="1" applyAlignment="1">
      <alignment horizontal="left" vertical="center"/>
    </xf>
    <xf numFmtId="0" fontId="14" fillId="3" borderId="0" xfId="0" applyFont="1" applyFill="1">
      <alignment vertical="center"/>
    </xf>
    <xf numFmtId="0" fontId="15" fillId="2" borderId="9" xfId="0" applyFont="1" applyFill="1" applyBorder="1" applyAlignment="1" applyProtection="1">
      <alignment horizontal="center" vertical="center"/>
      <protection locked="0"/>
    </xf>
    <xf numFmtId="14" fontId="16" fillId="3" borderId="13" xfId="0" applyNumberFormat="1" applyFont="1" applyFill="1" applyBorder="1" applyAlignment="1" applyProtection="1">
      <alignment horizontal="left" shrinkToFit="1"/>
      <protection locked="0"/>
    </xf>
    <xf numFmtId="0" fontId="16" fillId="3" borderId="13" xfId="0" applyFont="1" applyFill="1" applyBorder="1" applyAlignment="1" applyProtection="1">
      <alignment horizontal="left" shrinkToFit="1"/>
      <protection locked="0"/>
    </xf>
    <xf numFmtId="0" fontId="15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4" borderId="13" xfId="0" applyFont="1" applyFill="1" applyBorder="1" applyAlignment="1" applyProtection="1">
      <alignment horizontal="left" shrinkToFit="1"/>
      <protection locked="0"/>
    </xf>
    <xf numFmtId="0" fontId="17" fillId="4" borderId="13" xfId="0" applyFont="1" applyFill="1" applyBorder="1" applyAlignment="1" applyProtection="1">
      <alignment horizontal="center" shrinkToFit="1"/>
      <protection locked="0"/>
    </xf>
    <xf numFmtId="14" fontId="0" fillId="0" borderId="0" xfId="0" applyNumberForma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標準 2 2 2" xfId="50"/>
  </cellStyles>
  <dxfs count="1">
    <dxf>
      <fill>
        <patternFill patternType="solid">
          <bgColor indexed="41"/>
        </patternFill>
      </fill>
    </dxf>
  </dxfs>
  <tableStyles count="0" defaultTableStyle="TableStyleMedium2" defaultPivotStyle="PivotStyleLight16"/>
  <colors>
    <mruColors>
      <color rgb="00FF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769">
    <open main="135" threadCnt="1"/>
    <sheetInfos>
      <sheetInfo cellCmpFml="0" sheetStid="6">
        <open main="5" threadCnt="1"/>
      </sheetInfo>
      <sheetInfo cellCmpFml="2011" sheetStid="4">
        <open main="40" threadCnt="1"/>
      </sheetInfo>
      <sheetInfo cellCmpFml="694" sheetStid="2">
        <open main="12" threadCnt="1"/>
      </sheetInfo>
      <sheetInfo cellCmpFml="0" sheetStid="3">
        <open main="1" threadCnt="1"/>
      </sheetInfo>
      <sheetInfo cellCmpFml="64" sheetStid="8">
        <open main="3" threadCnt="1"/>
      </sheetInfo>
      <sheetInfo cellCmpFml="0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www.wps.cn/officeDocument/2023/relationships/customStorage" Target="customStorage/customStorage.xml"/><Relationship Id="rId15" Type="http://schemas.openxmlformats.org/officeDocument/2006/relationships/styles" Target="styles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[日报记录分析.xlsx]数据分析!数据透视表2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+mn-cs"/>
              </a:defRPr>
            </a:pPr>
            <a:r>
              <a:t>销量变化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数据分析!$F$3</c:f>
              <c:strCache>
                <c:ptCount val="1"/>
                <c:pt idx="0">
                  <c:v>汇总</c:v>
                </c:pt>
              </c:strCache>
            </c:strRef>
          </c:tx>
          <c:spPr>
            <a:ln w="12700" cap="rnd">
              <a:solidFill>
                <a:srgbClr val="3EF8E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3EF8E6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multiLvlStrRef>
              <c:f>数据分析!$C$4:$E$67</c:f>
              <c:multiLvlStrCache>
                <c:ptCount val="31"/>
                <c:lvl>
                  <c:pt idx="0">
                    <c:v>做了什么？（促销，优化，测评，站外）</c:v>
                  </c:pt>
                  <c:pt idx="1">
                    <c:v>做了什么？（促销，优化，测评，站外）</c:v>
                  </c:pt>
                  <c:pt idx="2">
                    <c:v>做了什么？（促销，优化，测评，站外）</c:v>
                  </c:pt>
                  <c:pt idx="3">
                    <c:v>做了什么？（促销，优化，测评，站外）</c:v>
                  </c:pt>
                  <c:pt idx="4">
                    <c:v>做了什么？（促销，优化，测评，站外）</c:v>
                  </c:pt>
                  <c:pt idx="5">
                    <c:v>做了什么？（促销，优化，测评，站外）</c:v>
                  </c:pt>
                  <c:pt idx="6">
                    <c:v>做了什么？（促销，优化，测评，站外）</c:v>
                  </c:pt>
                  <c:pt idx="7">
                    <c:v>做了什么？（促销，优化，测评，站外）</c:v>
                  </c:pt>
                  <c:pt idx="8">
                    <c:v>做了什么？（促销，优化，测评，站外）</c:v>
                  </c:pt>
                  <c:pt idx="9">
                    <c:v>做了什么？（促销，优化，测评，站外）</c:v>
                  </c:pt>
                  <c:pt idx="10">
                    <c:v>做了什么？（促销，优化，测评，站外）</c:v>
                  </c:pt>
                  <c:pt idx="11">
                    <c:v>秒杀</c:v>
                  </c:pt>
                  <c:pt idx="12">
                    <c:v>做了什么？（促销，优化，测评，站外）</c:v>
                  </c:pt>
                  <c:pt idx="13">
                    <c:v>做了什么？（促销，优化，测评，站外）</c:v>
                  </c:pt>
                  <c:pt idx="14">
                    <c:v>做了什么？（促销，优化，测评，站外）</c:v>
                  </c:pt>
                  <c:pt idx="15">
                    <c:v>做了什么？（促销，优化，测评，站外）</c:v>
                  </c:pt>
                  <c:pt idx="16">
                    <c:v>做了什么？（促销，优化，测评，站外）</c:v>
                  </c:pt>
                  <c:pt idx="17">
                    <c:v>做了什么？（促销，优化，测评，站外）</c:v>
                  </c:pt>
                  <c:pt idx="18">
                    <c:v>做了什么？（促销，优化，测评，站外）</c:v>
                  </c:pt>
                  <c:pt idx="19">
                    <c:v>做了什么？（促销，优化，测评，站外）</c:v>
                  </c:pt>
                  <c:pt idx="20">
                    <c:v>站外</c:v>
                  </c:pt>
                  <c:pt idx="21">
                    <c:v>做了什么？（促销，优化，测评，站外）</c:v>
                  </c:pt>
                  <c:pt idx="22">
                    <c:v>做了什么？（促销，优化，测评，站外）</c:v>
                  </c:pt>
                  <c:pt idx="23">
                    <c:v>做了什么？（促销，优化，测评，站外）</c:v>
                  </c:pt>
                  <c:pt idx="24">
                    <c:v>做了什么？（促销，优化，测评，站外）</c:v>
                  </c:pt>
                  <c:pt idx="25">
                    <c:v>做了什么？（促销，优化，测评，站外）</c:v>
                  </c:pt>
                  <c:pt idx="26">
                    <c:v>做了什么？（促销，优化，测评，站外）</c:v>
                  </c:pt>
                  <c:pt idx="27">
                    <c:v>做了什么？（促销，优化，测评，站外）</c:v>
                  </c:pt>
                  <c:pt idx="28">
                    <c:v>做了什么？（促销，优化，测评，站外）</c:v>
                  </c:pt>
                  <c:pt idx="29">
                    <c:v>做了什么？（促销，优化，测评，站外）</c:v>
                  </c:pt>
                  <c:pt idx="30">
                    <c:v>做了什么？（促销，优化，测评，站外）</c:v>
                  </c:pt>
                </c:lvl>
                <c:lvl>
                  <c:pt idx="0">
                    <c:v>2022/3/1</c:v>
                  </c:pt>
                  <c:pt idx="1">
                    <c:v>2022/3/2</c:v>
                  </c:pt>
                  <c:pt idx="2">
                    <c:v>2022/3/3</c:v>
                  </c:pt>
                  <c:pt idx="3">
                    <c:v>2022/3/4</c:v>
                  </c:pt>
                  <c:pt idx="4">
                    <c:v>2022/3/5</c:v>
                  </c:pt>
                  <c:pt idx="5">
                    <c:v>2022/3/6</c:v>
                  </c:pt>
                  <c:pt idx="6">
                    <c:v>2022/3/7</c:v>
                  </c:pt>
                  <c:pt idx="7">
                    <c:v>2022/3/8</c:v>
                  </c:pt>
                  <c:pt idx="8">
                    <c:v>2022/3/9</c:v>
                  </c:pt>
                  <c:pt idx="9">
                    <c:v>2022/3/10</c:v>
                  </c:pt>
                  <c:pt idx="10">
                    <c:v>2022/3/11</c:v>
                  </c:pt>
                  <c:pt idx="11">
                    <c:v>2022/3/12</c:v>
                  </c:pt>
                  <c:pt idx="12">
                    <c:v>2022/3/13</c:v>
                  </c:pt>
                  <c:pt idx="13">
                    <c:v>2022/3/14</c:v>
                  </c:pt>
                  <c:pt idx="14">
                    <c:v>2022/3/15</c:v>
                  </c:pt>
                  <c:pt idx="15">
                    <c:v>2022/3/16</c:v>
                  </c:pt>
                  <c:pt idx="16">
                    <c:v>2022/3/17</c:v>
                  </c:pt>
                  <c:pt idx="17">
                    <c:v>2022/3/18</c:v>
                  </c:pt>
                  <c:pt idx="18">
                    <c:v>2022/3/19</c:v>
                  </c:pt>
                  <c:pt idx="19">
                    <c:v>2022/3/20</c:v>
                  </c:pt>
                  <c:pt idx="20">
                    <c:v>2022/3/21</c:v>
                  </c:pt>
                  <c:pt idx="21">
                    <c:v>2022/3/22</c:v>
                  </c:pt>
                  <c:pt idx="22">
                    <c:v>2022/3/23</c:v>
                  </c:pt>
                  <c:pt idx="23">
                    <c:v>2022/3/24</c:v>
                  </c:pt>
                  <c:pt idx="24">
                    <c:v>2022/3/25</c:v>
                  </c:pt>
                  <c:pt idx="25">
                    <c:v>2022/3/26</c:v>
                  </c:pt>
                  <c:pt idx="26">
                    <c:v>2022/3/27</c:v>
                  </c:pt>
                  <c:pt idx="27">
                    <c:v>2022/3/28</c:v>
                  </c:pt>
                  <c:pt idx="28">
                    <c:v>2022/3/29</c:v>
                  </c:pt>
                  <c:pt idx="29">
                    <c:v>2022/3/30</c:v>
                  </c:pt>
                  <c:pt idx="30">
                    <c:v>2022/3/31</c:v>
                  </c:pt>
                </c:lvl>
                <c:lvl>
                  <c:pt idx="0">
                    <c:v>SKU1</c:v>
                  </c:pt>
                </c:lvl>
              </c:multiLvlStrCache>
            </c:multiLvlStrRef>
          </c:cat>
          <c:val>
            <c:numRef>
              <c:f>数据分析!$F$4:$F$67</c:f>
              <c:numCache>
                <c:formatCode>General</c:formatCode>
                <c:ptCount val="31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120</c:v>
                </c:pt>
                <c:pt idx="12">
                  <c:v>110</c:v>
                </c:pt>
                <c:pt idx="13">
                  <c:v>100</c:v>
                </c:pt>
                <c:pt idx="14">
                  <c:v>80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130</c:v>
                </c:pt>
                <c:pt idx="21">
                  <c:v>120</c:v>
                </c:pt>
                <c:pt idx="22">
                  <c:v>110</c:v>
                </c:pt>
                <c:pt idx="23">
                  <c:v>90</c:v>
                </c:pt>
                <c:pt idx="24">
                  <c:v>85</c:v>
                </c:pt>
                <c:pt idx="25">
                  <c:v>86</c:v>
                </c:pt>
                <c:pt idx="26">
                  <c:v>87</c:v>
                </c:pt>
                <c:pt idx="27">
                  <c:v>88</c:v>
                </c:pt>
                <c:pt idx="28">
                  <c:v>89</c:v>
                </c:pt>
                <c:pt idx="29">
                  <c:v>90</c:v>
                </c:pt>
                <c:pt idx="30">
                  <c:v>91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42600203"/>
        <c:axId val="920797100"/>
      </c:lineChart>
      <c:catAx>
        <c:axId val="426002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920797100"/>
        <c:crosses val="autoZero"/>
        <c:auto val="1"/>
        <c:lblAlgn val="ctr"/>
        <c:lblOffset val="100"/>
        <c:noMultiLvlLbl val="0"/>
      </c:catAx>
      <c:valAx>
        <c:axId val="920797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F5E82">
                  <a:alpha val="5000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426002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d210d6b-03fd-410c-86ff-463d8423b0f1}"/>
      </c:ext>
    </c:extLst>
  </c:chart>
  <c:spPr>
    <a:solidFill>
      <a:srgbClr val="01002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027;&#30028;&#38754;!A1"/><Relationship Id="rId2" Type="http://schemas.openxmlformats.org/officeDocument/2006/relationships/image" Target="../media/image1.png"/><Relationship Id="rId1" Type="http://schemas.openxmlformats.org/officeDocument/2006/relationships/hyperlink" Target="#&#39318;&#39029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759460</xdr:colOff>
      <xdr:row>1</xdr:row>
      <xdr:rowOff>28575</xdr:rowOff>
    </xdr:from>
    <xdr:to>
      <xdr:col>6</xdr:col>
      <xdr:colOff>1253490</xdr:colOff>
      <xdr:row>28</xdr:row>
      <xdr:rowOff>4445</xdr:rowOff>
    </xdr:to>
    <xdr:graphicFrame>
      <xdr:nvGraphicFramePr>
        <xdr:cNvPr id="5" name="图表 4"/>
        <xdr:cNvGraphicFramePr/>
      </xdr:nvGraphicFramePr>
      <xdr:xfrm>
        <a:off x="6085205" y="200025"/>
        <a:ext cx="7484110" cy="4605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1924685</xdr:colOff>
      <xdr:row>5</xdr:row>
      <xdr:rowOff>147320</xdr:rowOff>
    </xdr:from>
    <xdr:to>
      <xdr:col>7</xdr:col>
      <xdr:colOff>774065</xdr:colOff>
      <xdr:row>18</xdr:row>
      <xdr:rowOff>144780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KU名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名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40510" y="1004570"/>
              <a:ext cx="2159635" cy="2226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8524875</xdr:colOff>
      <xdr:row>0</xdr:row>
      <xdr:rowOff>0</xdr:rowOff>
    </xdr:from>
    <xdr:to>
      <xdr:col>16383</xdr:col>
      <xdr:colOff>295275</xdr:colOff>
      <xdr:row>1</xdr:row>
      <xdr:rowOff>104775</xdr:rowOff>
    </xdr:to>
    <xdr:pic>
      <xdr:nvPicPr>
        <xdr:cNvPr id="2" name="图片 1" descr="home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10625" y="0"/>
          <a:ext cx="91440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8524875</xdr:colOff>
      <xdr:row>0</xdr:row>
      <xdr:rowOff>0</xdr:rowOff>
    </xdr:from>
    <xdr:to>
      <xdr:col>16383</xdr:col>
      <xdr:colOff>295275</xdr:colOff>
      <xdr:row>1</xdr:row>
      <xdr:rowOff>104775</xdr:rowOff>
    </xdr:to>
    <xdr:pic>
      <xdr:nvPicPr>
        <xdr:cNvPr id="3" name="图片 2" descr="home.pn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10625" y="0"/>
          <a:ext cx="914400" cy="55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180975</xdr:colOff>
      <xdr:row>0</xdr:row>
      <xdr:rowOff>47625</xdr:rowOff>
    </xdr:from>
    <xdr:to>
      <xdr:col>0</xdr:col>
      <xdr:colOff>180975</xdr:colOff>
      <xdr:row>1</xdr:row>
      <xdr:rowOff>105410</xdr:rowOff>
    </xdr:to>
    <xdr:pic>
      <xdr:nvPicPr>
        <xdr:cNvPr id="4" name="图片 1" descr="home.png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0975" y="47625"/>
          <a:ext cx="0" cy="505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721.4033912037" refreshedBy="Administrator" recordCount="998">
  <cacheSource type="worksheet">
    <worksheetSource ref="B1:F1048576" sheet="每日记录"/>
  </cacheSource>
  <cacheFields count="5">
    <cacheField name="日期" numFmtId="0">
      <sharedItems containsString="0" containsBlank="1" containsNonDate="0" containsDate="1" minDate="2021-03-01T00:00:00" maxDate="2022-03-31T00:00:00" count="63"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m/>
        <d v="2021-03-01T00:00:00" u="1"/>
        <d v="2021-03-02T00:00:00" u="1"/>
        <d v="2021-03-03T00:00:00" u="1"/>
        <d v="2021-03-04T00:00:00" u="1"/>
        <d v="2021-03-05T00:00:00" u="1"/>
        <d v="2021-03-06T00:00:00" u="1"/>
        <d v="2021-03-07T00:00:00" u="1"/>
        <d v="2021-03-08T00:00:00" u="1"/>
        <d v="2021-03-09T00:00:00" u="1"/>
        <d v="2021-03-10T00:00:00" u="1"/>
        <d v="2021-03-11T00:00:00" u="1"/>
        <d v="2021-03-12T00:00:00" u="1"/>
        <d v="2021-03-13T00:00:00" u="1"/>
        <d v="2021-03-14T00:00:00" u="1"/>
        <d v="2021-03-15T00:00:00" u="1"/>
        <d v="2021-03-16T00:00:00" u="1"/>
        <d v="2021-03-17T00:00:00" u="1"/>
        <d v="2021-03-18T00:00:00" u="1"/>
        <d v="2021-03-19T00:00:00" u="1"/>
        <d v="2021-03-20T00:00:00" u="1"/>
        <d v="2021-03-21T00:00:00" u="1"/>
        <d v="2021-03-22T00:00:00" u="1"/>
        <d v="2021-03-23T00:00:00" u="1"/>
        <d v="2021-03-24T00:00:00" u="1"/>
        <d v="2021-03-25T00:00:00" u="1"/>
        <d v="2021-03-26T00:00:00" u="1"/>
        <d v="2021-03-27T00:00:00" u="1"/>
        <d v="2021-03-28T00:00:00" u="1"/>
        <d v="2021-03-29T00:00:00" u="1"/>
        <d v="2021-03-30T00:00:00" u="1"/>
        <d v="2021-03-31T00:00:00" u="1"/>
      </sharedItems>
    </cacheField>
    <cacheField name="SKU名称" numFmtId="0">
      <sharedItems containsBlank="1" count="3">
        <s v="SKU1"/>
        <s v="SKU2"/>
        <m/>
      </sharedItems>
    </cacheField>
    <cacheField name="每日记录" numFmtId="0">
      <sharedItems containsBlank="1" count="4">
        <s v="做了什么？（促销，优化，测评，站外）"/>
        <s v="秒杀"/>
        <s v="站外"/>
        <m/>
      </sharedItems>
    </cacheField>
    <cacheField name="备注" numFmtId="0">
      <sharedItems containsString="0" containsBlank="1" containsNonDate="0" count="1">
        <m/>
      </sharedItems>
    </cacheField>
    <cacheField name="销量" numFmtId="0">
      <sharedItems containsBlank="1" containsNumber="1" containsInteger="1" containsMixedTypes="1" count="33">
        <n v="60"/>
        <n v="120"/>
        <n v="110"/>
        <n v="100"/>
        <n v="80"/>
        <n v="75"/>
        <n v="76"/>
        <n v="77"/>
        <n v="78"/>
        <n v="79"/>
        <n v="130"/>
        <n v="90"/>
        <n v="85"/>
        <n v="86"/>
        <n v="87"/>
        <n v="88"/>
        <n v="89"/>
        <n v="91"/>
        <n v="40"/>
        <n v="55"/>
        <n v="56"/>
        <n v="57"/>
        <n v="58"/>
        <n v="59"/>
        <n v="70"/>
        <n v="65"/>
        <n v="66"/>
        <n v="67"/>
        <n v="68"/>
        <n v="69"/>
        <n v="71"/>
        <e v="#N/A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8">
  <r>
    <x v="0"/>
    <x v="0"/>
    <x v="0"/>
    <x v="0"/>
    <x v="0"/>
  </r>
  <r>
    <x v="1"/>
    <x v="0"/>
    <x v="0"/>
    <x v="0"/>
    <x v="0"/>
  </r>
  <r>
    <x v="2"/>
    <x v="0"/>
    <x v="0"/>
    <x v="0"/>
    <x v="0"/>
  </r>
  <r>
    <x v="3"/>
    <x v="0"/>
    <x v="0"/>
    <x v="0"/>
    <x v="0"/>
  </r>
  <r>
    <x v="4"/>
    <x v="0"/>
    <x v="0"/>
    <x v="0"/>
    <x v="0"/>
  </r>
  <r>
    <x v="5"/>
    <x v="0"/>
    <x v="0"/>
    <x v="0"/>
    <x v="0"/>
  </r>
  <r>
    <x v="6"/>
    <x v="0"/>
    <x v="0"/>
    <x v="0"/>
    <x v="0"/>
  </r>
  <r>
    <x v="7"/>
    <x v="0"/>
    <x v="0"/>
    <x v="0"/>
    <x v="0"/>
  </r>
  <r>
    <x v="8"/>
    <x v="0"/>
    <x v="0"/>
    <x v="0"/>
    <x v="0"/>
  </r>
  <r>
    <x v="9"/>
    <x v="0"/>
    <x v="0"/>
    <x v="0"/>
    <x v="0"/>
  </r>
  <r>
    <x v="10"/>
    <x v="0"/>
    <x v="0"/>
    <x v="0"/>
    <x v="0"/>
  </r>
  <r>
    <x v="11"/>
    <x v="0"/>
    <x v="1"/>
    <x v="0"/>
    <x v="1"/>
  </r>
  <r>
    <x v="12"/>
    <x v="0"/>
    <x v="0"/>
    <x v="0"/>
    <x v="2"/>
  </r>
  <r>
    <x v="13"/>
    <x v="0"/>
    <x v="0"/>
    <x v="0"/>
    <x v="3"/>
  </r>
  <r>
    <x v="14"/>
    <x v="0"/>
    <x v="0"/>
    <x v="0"/>
    <x v="4"/>
  </r>
  <r>
    <x v="15"/>
    <x v="0"/>
    <x v="0"/>
    <x v="0"/>
    <x v="5"/>
  </r>
  <r>
    <x v="16"/>
    <x v="0"/>
    <x v="0"/>
    <x v="0"/>
    <x v="6"/>
  </r>
  <r>
    <x v="17"/>
    <x v="0"/>
    <x v="0"/>
    <x v="0"/>
    <x v="7"/>
  </r>
  <r>
    <x v="18"/>
    <x v="0"/>
    <x v="0"/>
    <x v="0"/>
    <x v="8"/>
  </r>
  <r>
    <x v="19"/>
    <x v="0"/>
    <x v="0"/>
    <x v="0"/>
    <x v="9"/>
  </r>
  <r>
    <x v="20"/>
    <x v="0"/>
    <x v="2"/>
    <x v="0"/>
    <x v="10"/>
  </r>
  <r>
    <x v="21"/>
    <x v="0"/>
    <x v="0"/>
    <x v="0"/>
    <x v="1"/>
  </r>
  <r>
    <x v="22"/>
    <x v="0"/>
    <x v="0"/>
    <x v="0"/>
    <x v="2"/>
  </r>
  <r>
    <x v="23"/>
    <x v="0"/>
    <x v="0"/>
    <x v="0"/>
    <x v="11"/>
  </r>
  <r>
    <x v="24"/>
    <x v="0"/>
    <x v="0"/>
    <x v="0"/>
    <x v="12"/>
  </r>
  <r>
    <x v="25"/>
    <x v="0"/>
    <x v="0"/>
    <x v="0"/>
    <x v="13"/>
  </r>
  <r>
    <x v="26"/>
    <x v="0"/>
    <x v="0"/>
    <x v="0"/>
    <x v="14"/>
  </r>
  <r>
    <x v="27"/>
    <x v="0"/>
    <x v="0"/>
    <x v="0"/>
    <x v="15"/>
  </r>
  <r>
    <x v="28"/>
    <x v="0"/>
    <x v="0"/>
    <x v="0"/>
    <x v="16"/>
  </r>
  <r>
    <x v="29"/>
    <x v="0"/>
    <x v="0"/>
    <x v="0"/>
    <x v="11"/>
  </r>
  <r>
    <x v="30"/>
    <x v="0"/>
    <x v="0"/>
    <x v="0"/>
    <x v="17"/>
  </r>
  <r>
    <x v="0"/>
    <x v="1"/>
    <x v="0"/>
    <x v="0"/>
    <x v="18"/>
  </r>
  <r>
    <x v="1"/>
    <x v="1"/>
    <x v="0"/>
    <x v="0"/>
    <x v="18"/>
  </r>
  <r>
    <x v="2"/>
    <x v="1"/>
    <x v="0"/>
    <x v="0"/>
    <x v="18"/>
  </r>
  <r>
    <x v="3"/>
    <x v="1"/>
    <x v="0"/>
    <x v="0"/>
    <x v="18"/>
  </r>
  <r>
    <x v="4"/>
    <x v="1"/>
    <x v="0"/>
    <x v="0"/>
    <x v="18"/>
  </r>
  <r>
    <x v="5"/>
    <x v="1"/>
    <x v="0"/>
    <x v="0"/>
    <x v="18"/>
  </r>
  <r>
    <x v="6"/>
    <x v="1"/>
    <x v="0"/>
    <x v="0"/>
    <x v="18"/>
  </r>
  <r>
    <x v="7"/>
    <x v="1"/>
    <x v="0"/>
    <x v="0"/>
    <x v="18"/>
  </r>
  <r>
    <x v="8"/>
    <x v="1"/>
    <x v="0"/>
    <x v="0"/>
    <x v="18"/>
  </r>
  <r>
    <x v="9"/>
    <x v="1"/>
    <x v="0"/>
    <x v="0"/>
    <x v="18"/>
  </r>
  <r>
    <x v="10"/>
    <x v="1"/>
    <x v="0"/>
    <x v="0"/>
    <x v="18"/>
  </r>
  <r>
    <x v="11"/>
    <x v="1"/>
    <x v="1"/>
    <x v="0"/>
    <x v="3"/>
  </r>
  <r>
    <x v="12"/>
    <x v="1"/>
    <x v="0"/>
    <x v="0"/>
    <x v="11"/>
  </r>
  <r>
    <x v="13"/>
    <x v="1"/>
    <x v="0"/>
    <x v="0"/>
    <x v="4"/>
  </r>
  <r>
    <x v="14"/>
    <x v="1"/>
    <x v="0"/>
    <x v="0"/>
    <x v="0"/>
  </r>
  <r>
    <x v="15"/>
    <x v="1"/>
    <x v="0"/>
    <x v="0"/>
    <x v="19"/>
  </r>
  <r>
    <x v="16"/>
    <x v="1"/>
    <x v="0"/>
    <x v="0"/>
    <x v="20"/>
  </r>
  <r>
    <x v="17"/>
    <x v="1"/>
    <x v="0"/>
    <x v="0"/>
    <x v="21"/>
  </r>
  <r>
    <x v="18"/>
    <x v="1"/>
    <x v="0"/>
    <x v="0"/>
    <x v="22"/>
  </r>
  <r>
    <x v="19"/>
    <x v="1"/>
    <x v="0"/>
    <x v="0"/>
    <x v="23"/>
  </r>
  <r>
    <x v="20"/>
    <x v="1"/>
    <x v="2"/>
    <x v="0"/>
    <x v="2"/>
  </r>
  <r>
    <x v="21"/>
    <x v="1"/>
    <x v="0"/>
    <x v="0"/>
    <x v="3"/>
  </r>
  <r>
    <x v="22"/>
    <x v="1"/>
    <x v="0"/>
    <x v="0"/>
    <x v="11"/>
  </r>
  <r>
    <x v="23"/>
    <x v="1"/>
    <x v="0"/>
    <x v="0"/>
    <x v="24"/>
  </r>
  <r>
    <x v="24"/>
    <x v="1"/>
    <x v="0"/>
    <x v="0"/>
    <x v="25"/>
  </r>
  <r>
    <x v="25"/>
    <x v="1"/>
    <x v="0"/>
    <x v="0"/>
    <x v="26"/>
  </r>
  <r>
    <x v="26"/>
    <x v="1"/>
    <x v="0"/>
    <x v="0"/>
    <x v="27"/>
  </r>
  <r>
    <x v="27"/>
    <x v="1"/>
    <x v="0"/>
    <x v="0"/>
    <x v="28"/>
  </r>
  <r>
    <x v="28"/>
    <x v="1"/>
    <x v="0"/>
    <x v="0"/>
    <x v="29"/>
  </r>
  <r>
    <x v="29"/>
    <x v="1"/>
    <x v="0"/>
    <x v="0"/>
    <x v="24"/>
  </r>
  <r>
    <x v="30"/>
    <x v="1"/>
    <x v="0"/>
    <x v="0"/>
    <x v="30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1"/>
  </r>
  <r>
    <x v="31"/>
    <x v="2"/>
    <x v="3"/>
    <x v="0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C3:F67" firstHeaderRow="1" firstDataRow="1" firstDataCol="3"/>
  <pivotFields count="5">
    <pivotField axis="axisRow" compact="0" showAll="0">
      <items count="64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0" multipleItemSelectionAllowed="1" showAll="0">
      <items count="4">
        <item x="0"/>
        <item h="1" x="2"/>
        <item h="1" x="1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34">
        <item x="0"/>
        <item x="3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31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</pivotFields>
  <rowFields count="3">
    <field x="1"/>
    <field x="0"/>
    <field x="2"/>
  </rowFields>
  <rowItems count="64">
    <i>
      <x/>
    </i>
    <i r="1">
      <x v="32"/>
    </i>
    <i r="2">
      <x/>
    </i>
    <i r="1">
      <x v="33"/>
    </i>
    <i r="2">
      <x/>
    </i>
    <i r="1">
      <x v="34"/>
    </i>
    <i r="2">
      <x/>
    </i>
    <i r="1">
      <x v="35"/>
    </i>
    <i r="2">
      <x/>
    </i>
    <i r="1">
      <x v="36"/>
    </i>
    <i r="2">
      <x/>
    </i>
    <i r="1">
      <x v="37"/>
    </i>
    <i r="2">
      <x/>
    </i>
    <i r="1">
      <x v="38"/>
    </i>
    <i r="2">
      <x/>
    </i>
    <i r="1">
      <x v="39"/>
    </i>
    <i r="2">
      <x/>
    </i>
    <i r="1">
      <x v="40"/>
    </i>
    <i r="2">
      <x/>
    </i>
    <i r="1">
      <x v="41"/>
    </i>
    <i r="2">
      <x/>
    </i>
    <i r="1">
      <x v="42"/>
    </i>
    <i r="2">
      <x/>
    </i>
    <i r="1">
      <x v="43"/>
    </i>
    <i r="2">
      <x v="2"/>
    </i>
    <i r="1">
      <x v="44"/>
    </i>
    <i r="2">
      <x/>
    </i>
    <i r="1">
      <x v="45"/>
    </i>
    <i r="2">
      <x/>
    </i>
    <i r="1">
      <x v="46"/>
    </i>
    <i r="2">
      <x/>
    </i>
    <i r="1">
      <x v="47"/>
    </i>
    <i r="2">
      <x/>
    </i>
    <i r="1">
      <x v="48"/>
    </i>
    <i r="2">
      <x/>
    </i>
    <i r="1">
      <x v="49"/>
    </i>
    <i r="2">
      <x/>
    </i>
    <i r="1">
      <x v="50"/>
    </i>
    <i r="2">
      <x/>
    </i>
    <i r="1">
      <x v="51"/>
    </i>
    <i r="2">
      <x/>
    </i>
    <i r="1">
      <x v="52"/>
    </i>
    <i r="2">
      <x v="3"/>
    </i>
    <i r="1">
      <x v="53"/>
    </i>
    <i r="2">
      <x/>
    </i>
    <i r="1">
      <x v="54"/>
    </i>
    <i r="2">
      <x/>
    </i>
    <i r="1">
      <x v="55"/>
    </i>
    <i r="2">
      <x/>
    </i>
    <i r="1">
      <x v="56"/>
    </i>
    <i r="2">
      <x/>
    </i>
    <i r="1">
      <x v="57"/>
    </i>
    <i r="2">
      <x/>
    </i>
    <i r="1">
      <x v="58"/>
    </i>
    <i r="2">
      <x/>
    </i>
    <i r="1">
      <x v="59"/>
    </i>
    <i r="2">
      <x/>
    </i>
    <i r="1">
      <x v="60"/>
    </i>
    <i r="2">
      <x/>
    </i>
    <i r="1">
      <x v="61"/>
    </i>
    <i r="2">
      <x/>
    </i>
    <i r="1">
      <x v="62"/>
    </i>
    <i r="2">
      <x/>
    </i>
    <i t="grand">
      <x/>
    </i>
  </rowItems>
  <colItems count="1">
    <i/>
  </colItems>
  <dataFields count="1">
    <dataField name="求和项:销量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SKU名称" sourceName="SKU名称">
  <pivotTables>
    <pivotTable tabId="6" name="数据透视表2"/>
  </pivotTables>
  <data>
    <tabular pivotCacheId="1">
      <items count="3">
        <i x="0" s="1"/>
        <i x="1" s="0"/>
        <i x="2" s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KU名称" cache="切片器_SKU名称" caption="SKU名称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square" rtlCol="0" anchor="ctr" anchorCtr="0"/>
      <a:lstStyle>
        <a:defPPr algn="ctr">
          <a:defRPr sz="2400">
            <a:solidFill>
              <a:srgbClr val="002060"/>
            </a:solidFill>
            <a:latin typeface="微软雅黑" panose="020B0503020204020204" charset="-122"/>
            <a:ea typeface="微软雅黑" panose="020B0503020204020204" charset="-122"/>
          </a:defRPr>
        </a:defPPr>
      </a:lstStyle>
      <a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a:style>
    </a:spDef>
  </a:objectDefaults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7"/>
  <sheetViews>
    <sheetView tabSelected="1" topLeftCell="C1" workbookViewId="0">
      <selection activeCell="D28" sqref="D28"/>
    </sheetView>
  </sheetViews>
  <sheetFormatPr defaultColWidth="8.89166666666667" defaultRowHeight="13.5" outlineLevelCol="5"/>
  <cols>
    <col min="1" max="1" width="13.775"/>
    <col min="2" max="2" width="43.4416666666667"/>
    <col min="3" max="3" width="12.675"/>
    <col min="4" max="4" width="41.1083333333333"/>
    <col min="5" max="5" width="37.875"/>
    <col min="6" max="6" width="12.75"/>
    <col min="7" max="17" width="43.4416666666667"/>
    <col min="18" max="18" width="5.66666666666667"/>
    <col min="19" max="34" width="11.6666666666667"/>
    <col min="35" max="35" width="5.66666666666667"/>
  </cols>
  <sheetData>
    <row r="3" spans="3:6">
      <c r="C3" t="s">
        <v>0</v>
      </c>
      <c r="D3" t="s">
        <v>1</v>
      </c>
      <c r="E3" t="s">
        <v>2</v>
      </c>
      <c r="F3" t="s">
        <v>3</v>
      </c>
    </row>
    <row r="4" spans="3:6">
      <c r="C4" t="s">
        <v>4</v>
      </c>
      <c r="F4">
        <v>2521</v>
      </c>
    </row>
    <row r="5" spans="4:6">
      <c r="D5" s="45">
        <v>44621</v>
      </c>
      <c r="F5">
        <v>60</v>
      </c>
    </row>
    <row r="6" spans="5:6">
      <c r="E6" t="s">
        <v>5</v>
      </c>
      <c r="F6">
        <v>60</v>
      </c>
    </row>
    <row r="7" spans="4:6">
      <c r="D7" s="45">
        <v>44622</v>
      </c>
      <c r="F7">
        <v>60</v>
      </c>
    </row>
    <row r="8" spans="5:6">
      <c r="E8" t="s">
        <v>5</v>
      </c>
      <c r="F8">
        <v>60</v>
      </c>
    </row>
    <row r="9" spans="4:6">
      <c r="D9" s="45">
        <v>44623</v>
      </c>
      <c r="F9">
        <v>60</v>
      </c>
    </row>
    <row r="10" spans="5:6">
      <c r="E10" t="s">
        <v>5</v>
      </c>
      <c r="F10">
        <v>60</v>
      </c>
    </row>
    <row r="11" spans="4:6">
      <c r="D11" s="45">
        <v>44624</v>
      </c>
      <c r="F11">
        <v>60</v>
      </c>
    </row>
    <row r="12" spans="5:6">
      <c r="E12" t="s">
        <v>5</v>
      </c>
      <c r="F12">
        <v>60</v>
      </c>
    </row>
    <row r="13" spans="4:6">
      <c r="D13" s="45">
        <v>44625</v>
      </c>
      <c r="F13">
        <v>60</v>
      </c>
    </row>
    <row r="14" spans="5:6">
      <c r="E14" t="s">
        <v>5</v>
      </c>
      <c r="F14">
        <v>60</v>
      </c>
    </row>
    <row r="15" spans="4:6">
      <c r="D15" s="45">
        <v>44626</v>
      </c>
      <c r="F15">
        <v>60</v>
      </c>
    </row>
    <row r="16" spans="5:6">
      <c r="E16" t="s">
        <v>5</v>
      </c>
      <c r="F16">
        <v>60</v>
      </c>
    </row>
    <row r="17" spans="4:6">
      <c r="D17" s="45">
        <v>44627</v>
      </c>
      <c r="F17">
        <v>60</v>
      </c>
    </row>
    <row r="18" spans="5:6">
      <c r="E18" t="s">
        <v>5</v>
      </c>
      <c r="F18">
        <v>60</v>
      </c>
    </row>
    <row r="19" spans="4:6">
      <c r="D19" s="45">
        <v>44628</v>
      </c>
      <c r="F19">
        <v>60</v>
      </c>
    </row>
    <row r="20" spans="5:6">
      <c r="E20" t="s">
        <v>5</v>
      </c>
      <c r="F20">
        <v>60</v>
      </c>
    </row>
    <row r="21" spans="4:6">
      <c r="D21" s="45">
        <v>44629</v>
      </c>
      <c r="F21">
        <v>60</v>
      </c>
    </row>
    <row r="22" spans="5:6">
      <c r="E22" t="s">
        <v>5</v>
      </c>
      <c r="F22">
        <v>60</v>
      </c>
    </row>
    <row r="23" spans="4:6">
      <c r="D23" s="45">
        <v>44630</v>
      </c>
      <c r="F23">
        <v>60</v>
      </c>
    </row>
    <row r="24" spans="5:6">
      <c r="E24" t="s">
        <v>5</v>
      </c>
      <c r="F24">
        <v>60</v>
      </c>
    </row>
    <row r="25" spans="4:6">
      <c r="D25" s="45">
        <v>44631</v>
      </c>
      <c r="F25">
        <v>60</v>
      </c>
    </row>
    <row r="26" spans="5:6">
      <c r="E26" t="s">
        <v>5</v>
      </c>
      <c r="F26">
        <v>60</v>
      </c>
    </row>
    <row r="27" spans="4:6">
      <c r="D27" s="45">
        <v>44632</v>
      </c>
      <c r="F27">
        <v>120</v>
      </c>
    </row>
    <row r="28" spans="5:6">
      <c r="E28" t="s">
        <v>6</v>
      </c>
      <c r="F28">
        <v>120</v>
      </c>
    </row>
    <row r="29" spans="4:6">
      <c r="D29" s="45">
        <v>44633</v>
      </c>
      <c r="F29">
        <v>110</v>
      </c>
    </row>
    <row r="30" spans="5:6">
      <c r="E30" t="s">
        <v>5</v>
      </c>
      <c r="F30">
        <v>110</v>
      </c>
    </row>
    <row r="31" spans="4:6">
      <c r="D31" s="45">
        <v>44634</v>
      </c>
      <c r="F31">
        <v>100</v>
      </c>
    </row>
    <row r="32" spans="5:6">
      <c r="E32" t="s">
        <v>5</v>
      </c>
      <c r="F32">
        <v>100</v>
      </c>
    </row>
    <row r="33" spans="4:6">
      <c r="D33" s="45">
        <v>44635</v>
      </c>
      <c r="F33">
        <v>80</v>
      </c>
    </row>
    <row r="34" spans="5:6">
      <c r="E34" t="s">
        <v>5</v>
      </c>
      <c r="F34">
        <v>80</v>
      </c>
    </row>
    <row r="35" spans="4:6">
      <c r="D35" s="45">
        <v>44636</v>
      </c>
      <c r="F35">
        <v>75</v>
      </c>
    </row>
    <row r="36" spans="5:6">
      <c r="E36" t="s">
        <v>5</v>
      </c>
      <c r="F36">
        <v>75</v>
      </c>
    </row>
    <row r="37" spans="4:6">
      <c r="D37" s="45">
        <v>44637</v>
      </c>
      <c r="F37">
        <v>76</v>
      </c>
    </row>
    <row r="38" spans="5:6">
      <c r="E38" t="s">
        <v>5</v>
      </c>
      <c r="F38">
        <v>76</v>
      </c>
    </row>
    <row r="39" spans="4:6">
      <c r="D39" s="45">
        <v>44638</v>
      </c>
      <c r="F39">
        <v>77</v>
      </c>
    </row>
    <row r="40" spans="5:6">
      <c r="E40" t="s">
        <v>5</v>
      </c>
      <c r="F40">
        <v>77</v>
      </c>
    </row>
    <row r="41" spans="4:6">
      <c r="D41" s="45">
        <v>44639</v>
      </c>
      <c r="F41">
        <v>78</v>
      </c>
    </row>
    <row r="42" spans="5:6">
      <c r="E42" t="s">
        <v>5</v>
      </c>
      <c r="F42">
        <v>78</v>
      </c>
    </row>
    <row r="43" spans="4:6">
      <c r="D43" s="45">
        <v>44640</v>
      </c>
      <c r="F43">
        <v>79</v>
      </c>
    </row>
    <row r="44" spans="5:6">
      <c r="E44" t="s">
        <v>5</v>
      </c>
      <c r="F44">
        <v>79</v>
      </c>
    </row>
    <row r="45" spans="4:6">
      <c r="D45" s="45">
        <v>44641</v>
      </c>
      <c r="F45">
        <v>130</v>
      </c>
    </row>
    <row r="46" spans="5:6">
      <c r="E46" t="s">
        <v>7</v>
      </c>
      <c r="F46">
        <v>130</v>
      </c>
    </row>
    <row r="47" spans="4:6">
      <c r="D47" s="45">
        <v>44642</v>
      </c>
      <c r="F47">
        <v>120</v>
      </c>
    </row>
    <row r="48" spans="5:6">
      <c r="E48" t="s">
        <v>5</v>
      </c>
      <c r="F48">
        <v>120</v>
      </c>
    </row>
    <row r="49" spans="4:6">
      <c r="D49" s="45">
        <v>44643</v>
      </c>
      <c r="F49">
        <v>110</v>
      </c>
    </row>
    <row r="50" spans="5:6">
      <c r="E50" t="s">
        <v>5</v>
      </c>
      <c r="F50">
        <v>110</v>
      </c>
    </row>
    <row r="51" spans="4:6">
      <c r="D51" s="45">
        <v>44644</v>
      </c>
      <c r="F51">
        <v>90</v>
      </c>
    </row>
    <row r="52" spans="5:6">
      <c r="E52" t="s">
        <v>5</v>
      </c>
      <c r="F52">
        <v>90</v>
      </c>
    </row>
    <row r="53" spans="4:6">
      <c r="D53" s="45">
        <v>44645</v>
      </c>
      <c r="F53">
        <v>85</v>
      </c>
    </row>
    <row r="54" spans="5:6">
      <c r="E54" t="s">
        <v>5</v>
      </c>
      <c r="F54">
        <v>85</v>
      </c>
    </row>
    <row r="55" spans="4:6">
      <c r="D55" s="45">
        <v>44646</v>
      </c>
      <c r="F55">
        <v>86</v>
      </c>
    </row>
    <row r="56" spans="5:6">
      <c r="E56" t="s">
        <v>5</v>
      </c>
      <c r="F56">
        <v>86</v>
      </c>
    </row>
    <row r="57" spans="4:6">
      <c r="D57" s="45">
        <v>44647</v>
      </c>
      <c r="F57">
        <v>87</v>
      </c>
    </row>
    <row r="58" spans="5:6">
      <c r="E58" t="s">
        <v>5</v>
      </c>
      <c r="F58">
        <v>87</v>
      </c>
    </row>
    <row r="59" spans="4:6">
      <c r="D59" s="45">
        <v>44648</v>
      </c>
      <c r="F59">
        <v>88</v>
      </c>
    </row>
    <row r="60" spans="5:6">
      <c r="E60" t="s">
        <v>5</v>
      </c>
      <c r="F60">
        <v>88</v>
      </c>
    </row>
    <row r="61" spans="4:6">
      <c r="D61" s="45">
        <v>44649</v>
      </c>
      <c r="F61">
        <v>89</v>
      </c>
    </row>
    <row r="62" spans="5:6">
      <c r="E62" t="s">
        <v>5</v>
      </c>
      <c r="F62">
        <v>89</v>
      </c>
    </row>
    <row r="63" spans="4:6">
      <c r="D63" s="45">
        <v>44650</v>
      </c>
      <c r="F63">
        <v>90</v>
      </c>
    </row>
    <row r="64" spans="5:6">
      <c r="E64" t="s">
        <v>5</v>
      </c>
      <c r="F64">
        <v>90</v>
      </c>
    </row>
    <row r="65" spans="4:6">
      <c r="D65" s="45">
        <v>44651</v>
      </c>
      <c r="F65">
        <v>91</v>
      </c>
    </row>
    <row r="66" spans="5:6">
      <c r="E66" t="s">
        <v>5</v>
      </c>
      <c r="F66">
        <v>91</v>
      </c>
    </row>
    <row r="67" spans="3:6">
      <c r="C67" t="s">
        <v>8</v>
      </c>
      <c r="F67">
        <v>2521</v>
      </c>
    </row>
  </sheetData>
  <sheetProtection formatCells="0" insertHyperlinks="0" autoFilter="0"/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8"/>
  <sheetViews>
    <sheetView showGridLines="0" workbookViewId="0">
      <pane ySplit="1" topLeftCell="A2" activePane="bottomLeft" state="frozen"/>
      <selection/>
      <selection pane="bottomLeft" activeCell="B2" sqref="B2"/>
    </sheetView>
  </sheetViews>
  <sheetFormatPr defaultColWidth="9" defaultRowHeight="14.25" outlineLevelCol="6"/>
  <cols>
    <col min="1" max="1" width="9" hidden="1" customWidth="1"/>
    <col min="2" max="2" width="15.6333333333333" style="14" customWidth="1"/>
    <col min="3" max="3" width="10" style="14" customWidth="1"/>
    <col min="4" max="4" width="43.6666666666667" style="14" customWidth="1"/>
    <col min="5" max="5" width="16.8916666666667" style="14" customWidth="1"/>
    <col min="6" max="6" width="7.89166666666667" style="14" customWidth="1"/>
    <col min="7" max="7" width="18.8916666666667" style="14" customWidth="1"/>
    <col min="9" max="9" width="12.4416666666667" customWidth="1"/>
  </cols>
  <sheetData>
    <row r="1" ht="25" customHeight="1" spans="1:7">
      <c r="A1" s="36"/>
      <c r="B1" s="37" t="s">
        <v>1</v>
      </c>
      <c r="C1" s="37" t="s">
        <v>0</v>
      </c>
      <c r="D1" s="37" t="s">
        <v>2</v>
      </c>
      <c r="E1" s="37" t="s">
        <v>9</v>
      </c>
      <c r="F1" s="40" t="s">
        <v>10</v>
      </c>
      <c r="G1" s="40" t="s">
        <v>11</v>
      </c>
    </row>
    <row r="2" ht="15" spans="1:7">
      <c r="A2" s="36">
        <f>IF(C2="","",IF(C2=跟进查询!$B$2,1+A1,A1))</f>
        <v>1</v>
      </c>
      <c r="B2" s="38">
        <v>44621</v>
      </c>
      <c r="C2" s="39" t="s">
        <v>4</v>
      </c>
      <c r="D2" s="39" t="s">
        <v>5</v>
      </c>
      <c r="E2" s="39"/>
      <c r="F2" s="41">
        <f>VLOOKUP(G2,源数据!A:K,11,FALSE)</f>
        <v>60</v>
      </c>
      <c r="G2" s="42" t="str">
        <f>B2&amp;C2</f>
        <v>44621SKU1</v>
      </c>
    </row>
    <row r="3" ht="15" spans="1:7">
      <c r="A3" s="36">
        <f>IF(C3="","",IF(C3=跟进查询!$B$2,1+A2,A2))</f>
        <v>2</v>
      </c>
      <c r="B3" s="38">
        <v>44622</v>
      </c>
      <c r="C3" s="39" t="s">
        <v>4</v>
      </c>
      <c r="D3" s="39" t="s">
        <v>5</v>
      </c>
      <c r="E3" s="39"/>
      <c r="F3" s="41">
        <f>VLOOKUP(G3,源数据!A:K,11,FALSE)</f>
        <v>60</v>
      </c>
      <c r="G3" s="42" t="str">
        <f>B3&amp;C3</f>
        <v>44622SKU1</v>
      </c>
    </row>
    <row r="4" ht="15" spans="1:7">
      <c r="A4" s="36">
        <f>IF(C4="","",IF(C4=跟进查询!$B$2,1+A3,A3))</f>
        <v>3</v>
      </c>
      <c r="B4" s="38">
        <v>44623</v>
      </c>
      <c r="C4" s="39" t="s">
        <v>4</v>
      </c>
      <c r="D4" s="39" t="s">
        <v>5</v>
      </c>
      <c r="E4" s="39"/>
      <c r="F4" s="41">
        <f>VLOOKUP(G4,源数据!A:K,11,FALSE)</f>
        <v>60</v>
      </c>
      <c r="G4" s="42" t="str">
        <f t="shared" ref="G4:G67" si="0">B4&amp;C4</f>
        <v>44623SKU1</v>
      </c>
    </row>
    <row r="5" ht="15" spans="1:7">
      <c r="A5" s="36">
        <f>IF(C5="","",IF(C5=跟进查询!$B$2,1+A4,A4))</f>
        <v>4</v>
      </c>
      <c r="B5" s="38">
        <v>44624</v>
      </c>
      <c r="C5" s="39" t="s">
        <v>4</v>
      </c>
      <c r="D5" s="39" t="s">
        <v>5</v>
      </c>
      <c r="E5" s="39"/>
      <c r="F5" s="41">
        <f>VLOOKUP(G5,源数据!A:K,11,FALSE)</f>
        <v>60</v>
      </c>
      <c r="G5" s="42" t="str">
        <f t="shared" si="0"/>
        <v>44624SKU1</v>
      </c>
    </row>
    <row r="6" ht="15" spans="1:7">
      <c r="A6" s="36">
        <f>IF(C6="","",IF(C6=跟进查询!$B$2,1+A5,A5))</f>
        <v>5</v>
      </c>
      <c r="B6" s="38">
        <v>44625</v>
      </c>
      <c r="C6" s="39" t="s">
        <v>4</v>
      </c>
      <c r="D6" s="39" t="s">
        <v>5</v>
      </c>
      <c r="E6" s="39"/>
      <c r="F6" s="41">
        <f>VLOOKUP(G6,源数据!A:K,11,FALSE)</f>
        <v>60</v>
      </c>
      <c r="G6" s="42" t="str">
        <f t="shared" si="0"/>
        <v>44625SKU1</v>
      </c>
    </row>
    <row r="7" ht="15" spans="1:7">
      <c r="A7" s="36">
        <f>IF(C7="","",IF(C7=跟进查询!$B$2,1+A6,A6))</f>
        <v>6</v>
      </c>
      <c r="B7" s="38">
        <v>44626</v>
      </c>
      <c r="C7" s="39" t="s">
        <v>4</v>
      </c>
      <c r="D7" s="39" t="s">
        <v>5</v>
      </c>
      <c r="E7" s="39"/>
      <c r="F7" s="41">
        <f>VLOOKUP(G7,源数据!A:K,11,FALSE)</f>
        <v>60</v>
      </c>
      <c r="G7" s="42" t="str">
        <f t="shared" si="0"/>
        <v>44626SKU1</v>
      </c>
    </row>
    <row r="8" ht="15" spans="1:7">
      <c r="A8" s="36">
        <f>IF(C8="","",IF(C8=跟进查询!$B$2,1+A7,A7))</f>
        <v>7</v>
      </c>
      <c r="B8" s="38">
        <v>44627</v>
      </c>
      <c r="C8" s="39" t="s">
        <v>4</v>
      </c>
      <c r="D8" s="39" t="s">
        <v>5</v>
      </c>
      <c r="E8" s="39"/>
      <c r="F8" s="41">
        <f>VLOOKUP(G8,源数据!A:K,11,FALSE)</f>
        <v>60</v>
      </c>
      <c r="G8" s="42" t="str">
        <f t="shared" si="0"/>
        <v>44627SKU1</v>
      </c>
    </row>
    <row r="9" ht="15" spans="1:7">
      <c r="A9" s="36">
        <f>IF(C9="","",IF(C9=跟进查询!$B$2,1+A8,A8))</f>
        <v>8</v>
      </c>
      <c r="B9" s="38">
        <v>44628</v>
      </c>
      <c r="C9" s="39" t="s">
        <v>4</v>
      </c>
      <c r="D9" s="39" t="s">
        <v>5</v>
      </c>
      <c r="E9" s="39"/>
      <c r="F9" s="41">
        <f>VLOOKUP(G9,源数据!A:K,11,FALSE)</f>
        <v>60</v>
      </c>
      <c r="G9" s="42" t="str">
        <f t="shared" si="0"/>
        <v>44628SKU1</v>
      </c>
    </row>
    <row r="10" ht="15" spans="1:7">
      <c r="A10" s="36">
        <f>IF(C10="","",IF(C10=跟进查询!$B$2,1+A9,A9))</f>
        <v>9</v>
      </c>
      <c r="B10" s="38">
        <v>44629</v>
      </c>
      <c r="C10" s="39" t="s">
        <v>4</v>
      </c>
      <c r="D10" s="39" t="s">
        <v>5</v>
      </c>
      <c r="E10" s="39"/>
      <c r="F10" s="41">
        <f>VLOOKUP(G10,源数据!A:K,11,FALSE)</f>
        <v>60</v>
      </c>
      <c r="G10" s="42" t="str">
        <f t="shared" si="0"/>
        <v>44629SKU1</v>
      </c>
    </row>
    <row r="11" ht="15" spans="1:7">
      <c r="A11" s="36">
        <f>IF(C11="","",IF(C11=跟进查询!$B$2,1+A10,A10))</f>
        <v>10</v>
      </c>
      <c r="B11" s="38">
        <v>44630</v>
      </c>
      <c r="C11" s="39" t="s">
        <v>4</v>
      </c>
      <c r="D11" s="39" t="s">
        <v>5</v>
      </c>
      <c r="E11" s="39"/>
      <c r="F11" s="41">
        <f>VLOOKUP(G11,源数据!A:K,11,FALSE)</f>
        <v>60</v>
      </c>
      <c r="G11" s="42" t="str">
        <f t="shared" si="0"/>
        <v>44630SKU1</v>
      </c>
    </row>
    <row r="12" ht="15" spans="1:7">
      <c r="A12" s="36">
        <f>IF(C12="","",IF(C12=跟进查询!$B$2,1+A11,A11))</f>
        <v>11</v>
      </c>
      <c r="B12" s="38">
        <v>44631</v>
      </c>
      <c r="C12" s="39" t="s">
        <v>4</v>
      </c>
      <c r="D12" s="39" t="s">
        <v>5</v>
      </c>
      <c r="E12" s="39"/>
      <c r="F12" s="41">
        <f>VLOOKUP(G12,源数据!A:K,11,FALSE)</f>
        <v>60</v>
      </c>
      <c r="G12" s="42" t="str">
        <f t="shared" si="0"/>
        <v>44631SKU1</v>
      </c>
    </row>
    <row r="13" ht="15" spans="1:7">
      <c r="A13" s="36">
        <f>IF(C13="","",IF(C13=跟进查询!$B$2,1+A12,A12))</f>
        <v>12</v>
      </c>
      <c r="B13" s="38">
        <v>44632</v>
      </c>
      <c r="C13" s="39" t="s">
        <v>4</v>
      </c>
      <c r="D13" s="39" t="s">
        <v>6</v>
      </c>
      <c r="E13" s="39"/>
      <c r="F13" s="41">
        <f>VLOOKUP(G13,源数据!A:K,11,FALSE)</f>
        <v>120</v>
      </c>
      <c r="G13" s="42" t="str">
        <f t="shared" si="0"/>
        <v>44632SKU1</v>
      </c>
    </row>
    <row r="14" ht="15" spans="1:7">
      <c r="A14" s="36">
        <f>IF(C14="","",IF(C14=跟进查询!$B$2,1+A13,A13))</f>
        <v>13</v>
      </c>
      <c r="B14" s="38">
        <v>44633</v>
      </c>
      <c r="C14" s="39" t="s">
        <v>4</v>
      </c>
      <c r="D14" s="39" t="s">
        <v>5</v>
      </c>
      <c r="E14" s="39"/>
      <c r="F14" s="41">
        <f>VLOOKUP(G14,源数据!A:K,11,FALSE)</f>
        <v>110</v>
      </c>
      <c r="G14" s="42" t="str">
        <f t="shared" si="0"/>
        <v>44633SKU1</v>
      </c>
    </row>
    <row r="15" ht="15" spans="1:7">
      <c r="A15" s="36">
        <f>IF(C15="","",IF(C15=跟进查询!$B$2,1+A14,A14))</f>
        <v>14</v>
      </c>
      <c r="B15" s="38">
        <v>44634</v>
      </c>
      <c r="C15" s="39" t="s">
        <v>4</v>
      </c>
      <c r="D15" s="39" t="s">
        <v>5</v>
      </c>
      <c r="E15" s="39"/>
      <c r="F15" s="41">
        <f>VLOOKUP(G15,源数据!A:K,11,FALSE)</f>
        <v>100</v>
      </c>
      <c r="G15" s="42" t="str">
        <f t="shared" si="0"/>
        <v>44634SKU1</v>
      </c>
    </row>
    <row r="16" ht="15" spans="1:7">
      <c r="A16" s="36">
        <f>IF(C16="","",IF(C16=跟进查询!$B$2,1+A15,A15))</f>
        <v>15</v>
      </c>
      <c r="B16" s="38">
        <v>44635</v>
      </c>
      <c r="C16" s="39" t="s">
        <v>4</v>
      </c>
      <c r="D16" s="39" t="s">
        <v>5</v>
      </c>
      <c r="E16" s="39"/>
      <c r="F16" s="41">
        <f>VLOOKUP(G16,源数据!A:K,11,FALSE)</f>
        <v>80</v>
      </c>
      <c r="G16" s="42" t="str">
        <f t="shared" si="0"/>
        <v>44635SKU1</v>
      </c>
    </row>
    <row r="17" ht="15" spans="1:7">
      <c r="A17" s="36" t="e">
        <f>IF(C17="","",IF(C17=跟进查询!$B$2,1+#REF!,#REF!))</f>
        <v>#REF!</v>
      </c>
      <c r="B17" s="38">
        <v>44636</v>
      </c>
      <c r="C17" s="39" t="s">
        <v>4</v>
      </c>
      <c r="D17" s="39" t="s">
        <v>5</v>
      </c>
      <c r="E17" s="39"/>
      <c r="F17" s="41">
        <f>VLOOKUP(G17,源数据!A:K,11,FALSE)</f>
        <v>75</v>
      </c>
      <c r="G17" s="42" t="str">
        <f t="shared" si="0"/>
        <v>44636SKU1</v>
      </c>
    </row>
    <row r="18" ht="15" spans="1:7">
      <c r="A18" s="36" t="e">
        <f>IF(C18="","",IF(C18=跟进查询!$B$2,1+A17,A17))</f>
        <v>#REF!</v>
      </c>
      <c r="B18" s="38">
        <v>44637</v>
      </c>
      <c r="C18" s="39" t="s">
        <v>4</v>
      </c>
      <c r="D18" s="39" t="s">
        <v>5</v>
      </c>
      <c r="E18" s="39"/>
      <c r="F18" s="41">
        <f>VLOOKUP(G18,源数据!A:K,11,FALSE)</f>
        <v>76</v>
      </c>
      <c r="G18" s="42" t="str">
        <f t="shared" si="0"/>
        <v>44637SKU1</v>
      </c>
    </row>
    <row r="19" ht="15" spans="1:7">
      <c r="A19" s="36" t="e">
        <f>IF(C19="","",IF(C19=跟进查询!$B$2,1+A18,A18))</f>
        <v>#REF!</v>
      </c>
      <c r="B19" s="38">
        <v>44638</v>
      </c>
      <c r="C19" s="39" t="s">
        <v>4</v>
      </c>
      <c r="D19" s="39" t="s">
        <v>5</v>
      </c>
      <c r="E19" s="39"/>
      <c r="F19" s="41">
        <f>VLOOKUP(G19,源数据!A:K,11,FALSE)</f>
        <v>77</v>
      </c>
      <c r="G19" s="42" t="str">
        <f t="shared" si="0"/>
        <v>44638SKU1</v>
      </c>
    </row>
    <row r="20" ht="15" spans="1:7">
      <c r="A20" s="36" t="e">
        <f>IF(C20="","",IF(C20=跟进查询!$B$2,1+A19,A19))</f>
        <v>#REF!</v>
      </c>
      <c r="B20" s="38">
        <v>44639</v>
      </c>
      <c r="C20" s="39" t="s">
        <v>4</v>
      </c>
      <c r="D20" s="39" t="s">
        <v>5</v>
      </c>
      <c r="E20" s="39"/>
      <c r="F20" s="41">
        <f>VLOOKUP(G20,源数据!A:K,11,FALSE)</f>
        <v>78</v>
      </c>
      <c r="G20" s="42" t="str">
        <f t="shared" si="0"/>
        <v>44639SKU1</v>
      </c>
    </row>
    <row r="21" ht="15" spans="1:7">
      <c r="A21" s="36" t="e">
        <f>IF(C21="","",IF(C21=跟进查询!$B$2,1+A20,A20))</f>
        <v>#REF!</v>
      </c>
      <c r="B21" s="38">
        <v>44640</v>
      </c>
      <c r="C21" s="39" t="s">
        <v>4</v>
      </c>
      <c r="D21" s="39" t="s">
        <v>5</v>
      </c>
      <c r="E21" s="39"/>
      <c r="F21" s="41">
        <f>VLOOKUP(G21,源数据!A:K,11,FALSE)</f>
        <v>79</v>
      </c>
      <c r="G21" s="42" t="str">
        <f t="shared" si="0"/>
        <v>44640SKU1</v>
      </c>
    </row>
    <row r="22" ht="15" spans="1:7">
      <c r="A22" s="36" t="e">
        <f>IF(C22="","",IF(C22=跟进查询!$B$2,1+A21,A21))</f>
        <v>#REF!</v>
      </c>
      <c r="B22" s="38">
        <v>44641</v>
      </c>
      <c r="C22" s="39" t="s">
        <v>4</v>
      </c>
      <c r="D22" s="39" t="s">
        <v>7</v>
      </c>
      <c r="E22" s="39"/>
      <c r="F22" s="41">
        <f>VLOOKUP(G22,源数据!A:K,11,FALSE)</f>
        <v>130</v>
      </c>
      <c r="G22" s="42" t="str">
        <f t="shared" si="0"/>
        <v>44641SKU1</v>
      </c>
    </row>
    <row r="23" ht="15" spans="1:7">
      <c r="A23" s="36" t="e">
        <f>IF(C23="","",IF(C23=跟进查询!$B$2,1+A22,A22))</f>
        <v>#REF!</v>
      </c>
      <c r="B23" s="38">
        <v>44642</v>
      </c>
      <c r="C23" s="39" t="s">
        <v>4</v>
      </c>
      <c r="D23" s="39" t="s">
        <v>5</v>
      </c>
      <c r="E23" s="39"/>
      <c r="F23" s="41">
        <f>VLOOKUP(G23,源数据!A:K,11,FALSE)</f>
        <v>120</v>
      </c>
      <c r="G23" s="42" t="str">
        <f t="shared" si="0"/>
        <v>44642SKU1</v>
      </c>
    </row>
    <row r="24" ht="15" spans="1:7">
      <c r="A24" s="36" t="e">
        <f>IF(C24="","",IF(C24=跟进查询!$B$2,1+A23,A23))</f>
        <v>#REF!</v>
      </c>
      <c r="B24" s="38">
        <v>44643</v>
      </c>
      <c r="C24" s="39" t="s">
        <v>4</v>
      </c>
      <c r="D24" s="39" t="s">
        <v>5</v>
      </c>
      <c r="E24" s="39"/>
      <c r="F24" s="41">
        <f>VLOOKUP(G24,源数据!A:K,11,FALSE)</f>
        <v>110</v>
      </c>
      <c r="G24" s="42" t="str">
        <f t="shared" si="0"/>
        <v>44643SKU1</v>
      </c>
    </row>
    <row r="25" ht="15" spans="1:7">
      <c r="A25" s="36" t="e">
        <f>IF(C25="","",IF(C25=跟进查询!$B$2,1+A24,A24))</f>
        <v>#REF!</v>
      </c>
      <c r="B25" s="38">
        <v>44644</v>
      </c>
      <c r="C25" s="39" t="s">
        <v>4</v>
      </c>
      <c r="D25" s="39" t="s">
        <v>5</v>
      </c>
      <c r="E25" s="39"/>
      <c r="F25" s="41">
        <f>VLOOKUP(G25,源数据!A:K,11,FALSE)</f>
        <v>90</v>
      </c>
      <c r="G25" s="42" t="str">
        <f t="shared" si="0"/>
        <v>44644SKU1</v>
      </c>
    </row>
    <row r="26" ht="15" spans="1:7">
      <c r="A26" s="36" t="e">
        <f>IF(C26="","",IF(C26=跟进查询!$B$2,1+A25,A25))</f>
        <v>#REF!</v>
      </c>
      <c r="B26" s="38">
        <v>44645</v>
      </c>
      <c r="C26" s="39" t="s">
        <v>4</v>
      </c>
      <c r="D26" s="39" t="s">
        <v>5</v>
      </c>
      <c r="E26" s="39"/>
      <c r="F26" s="41">
        <f>VLOOKUP(G26,源数据!A:K,11,FALSE)</f>
        <v>85</v>
      </c>
      <c r="G26" s="42" t="str">
        <f t="shared" si="0"/>
        <v>44645SKU1</v>
      </c>
    </row>
    <row r="27" ht="15" spans="1:7">
      <c r="A27" s="36" t="e">
        <f>IF(C27="","",IF(C27=跟进查询!$B$2,1+A26,A26))</f>
        <v>#REF!</v>
      </c>
      <c r="B27" s="38">
        <v>44646</v>
      </c>
      <c r="C27" s="39" t="s">
        <v>4</v>
      </c>
      <c r="D27" s="39" t="s">
        <v>5</v>
      </c>
      <c r="E27" s="39"/>
      <c r="F27" s="41">
        <f>VLOOKUP(G27,源数据!A:K,11,FALSE)</f>
        <v>86</v>
      </c>
      <c r="G27" s="42" t="str">
        <f t="shared" si="0"/>
        <v>44646SKU1</v>
      </c>
    </row>
    <row r="28" ht="15" spans="1:7">
      <c r="A28" s="36" t="e">
        <f>IF(C28="","",IF(C28=跟进查询!$B$2,1+A27,A27))</f>
        <v>#REF!</v>
      </c>
      <c r="B28" s="38">
        <v>44647</v>
      </c>
      <c r="C28" s="39" t="s">
        <v>4</v>
      </c>
      <c r="D28" s="39" t="s">
        <v>5</v>
      </c>
      <c r="E28" s="39"/>
      <c r="F28" s="41">
        <f>VLOOKUP(G28,源数据!A:K,11,FALSE)</f>
        <v>87</v>
      </c>
      <c r="G28" s="42" t="str">
        <f t="shared" si="0"/>
        <v>44647SKU1</v>
      </c>
    </row>
    <row r="29" ht="15" spans="1:7">
      <c r="A29" s="36" t="e">
        <f>IF(C29="","",IF(C29=跟进查询!$B$2,1+A28,A28))</f>
        <v>#REF!</v>
      </c>
      <c r="B29" s="38">
        <v>44648</v>
      </c>
      <c r="C29" s="39" t="s">
        <v>4</v>
      </c>
      <c r="D29" s="39" t="s">
        <v>5</v>
      </c>
      <c r="E29" s="39"/>
      <c r="F29" s="41">
        <f>VLOOKUP(G29,源数据!A:K,11,FALSE)</f>
        <v>88</v>
      </c>
      <c r="G29" s="42" t="str">
        <f t="shared" si="0"/>
        <v>44648SKU1</v>
      </c>
    </row>
    <row r="30" ht="15" spans="1:7">
      <c r="A30" s="36" t="e">
        <f>IF(C30="","",IF(C30=跟进查询!$B$2,1+A29,A29))</f>
        <v>#REF!</v>
      </c>
      <c r="B30" s="38">
        <v>44649</v>
      </c>
      <c r="C30" s="39" t="s">
        <v>4</v>
      </c>
      <c r="D30" s="39" t="s">
        <v>5</v>
      </c>
      <c r="E30" s="39"/>
      <c r="F30" s="41">
        <f>VLOOKUP(G30,源数据!A:K,11,FALSE)</f>
        <v>89</v>
      </c>
      <c r="G30" s="42" t="str">
        <f t="shared" si="0"/>
        <v>44649SKU1</v>
      </c>
    </row>
    <row r="31" ht="15" spans="1:7">
      <c r="A31" s="36" t="e">
        <f>IF(C31="","",IF(C31=跟进查询!$B$2,1+A30,A30))</f>
        <v>#REF!</v>
      </c>
      <c r="B31" s="38">
        <v>44650</v>
      </c>
      <c r="C31" s="39" t="s">
        <v>4</v>
      </c>
      <c r="D31" s="39" t="s">
        <v>5</v>
      </c>
      <c r="E31" s="39"/>
      <c r="F31" s="41">
        <f>VLOOKUP(G31,源数据!A:K,11,FALSE)</f>
        <v>90</v>
      </c>
      <c r="G31" s="42" t="str">
        <f t="shared" si="0"/>
        <v>44650SKU1</v>
      </c>
    </row>
    <row r="32" ht="15" spans="1:7">
      <c r="A32" s="36" t="e">
        <f>IF(C32="","",IF(C32=跟进查询!$B$2,1+A31,A31))</f>
        <v>#REF!</v>
      </c>
      <c r="B32" s="38">
        <v>44651</v>
      </c>
      <c r="C32" s="39" t="s">
        <v>4</v>
      </c>
      <c r="D32" s="39" t="s">
        <v>5</v>
      </c>
      <c r="E32" s="39"/>
      <c r="F32" s="41">
        <f>VLOOKUP(G32,源数据!A:K,11,FALSE)</f>
        <v>91</v>
      </c>
      <c r="G32" s="42" t="str">
        <f t="shared" si="0"/>
        <v>44651SKU1</v>
      </c>
    </row>
    <row r="33" ht="15" spans="1:7">
      <c r="A33" s="36" t="e">
        <f>IF(C33="","",IF(C33=跟进查询!$B$2,1+A32,A32))</f>
        <v>#REF!</v>
      </c>
      <c r="B33" s="38">
        <v>44621</v>
      </c>
      <c r="C33" s="39" t="s">
        <v>12</v>
      </c>
      <c r="D33" s="39" t="s">
        <v>5</v>
      </c>
      <c r="E33" s="39"/>
      <c r="F33" s="41">
        <f>VLOOKUP(G33,源数据!A:K,11,FALSE)</f>
        <v>40</v>
      </c>
      <c r="G33" s="42" t="str">
        <f t="shared" si="0"/>
        <v>44621SKU2</v>
      </c>
    </row>
    <row r="34" ht="15" spans="1:7">
      <c r="A34" s="36" t="e">
        <f>IF(C34="","",IF(C34=跟进查询!$B$2,1+A33,A33))</f>
        <v>#REF!</v>
      </c>
      <c r="B34" s="38">
        <v>44622</v>
      </c>
      <c r="C34" s="39" t="s">
        <v>12</v>
      </c>
      <c r="D34" s="39" t="s">
        <v>5</v>
      </c>
      <c r="E34" s="39"/>
      <c r="F34" s="41">
        <f>VLOOKUP(G34,源数据!A:K,11,FALSE)</f>
        <v>40</v>
      </c>
      <c r="G34" s="42" t="str">
        <f t="shared" si="0"/>
        <v>44622SKU2</v>
      </c>
    </row>
    <row r="35" ht="15" spans="1:7">
      <c r="A35" s="36" t="e">
        <f>IF(C35="","",IF(C35=跟进查询!$B$2,1+A34,A34))</f>
        <v>#REF!</v>
      </c>
      <c r="B35" s="38">
        <v>44623</v>
      </c>
      <c r="C35" s="39" t="s">
        <v>12</v>
      </c>
      <c r="D35" s="39" t="s">
        <v>5</v>
      </c>
      <c r="E35" s="39"/>
      <c r="F35" s="41">
        <f>VLOOKUP(G35,源数据!A:K,11,FALSE)</f>
        <v>40</v>
      </c>
      <c r="G35" s="42" t="str">
        <f t="shared" si="0"/>
        <v>44623SKU2</v>
      </c>
    </row>
    <row r="36" ht="15" spans="1:7">
      <c r="A36" s="36" t="e">
        <f>IF(C36="","",IF(C36=跟进查询!$B$2,1+A35,A35))</f>
        <v>#REF!</v>
      </c>
      <c r="B36" s="38">
        <v>44624</v>
      </c>
      <c r="C36" s="39" t="s">
        <v>12</v>
      </c>
      <c r="D36" s="39" t="s">
        <v>5</v>
      </c>
      <c r="E36" s="39"/>
      <c r="F36" s="41">
        <f>VLOOKUP(G36,源数据!A:K,11,FALSE)</f>
        <v>40</v>
      </c>
      <c r="G36" s="42" t="str">
        <f t="shared" si="0"/>
        <v>44624SKU2</v>
      </c>
    </row>
    <row r="37" ht="15" spans="1:7">
      <c r="A37" s="36" t="e">
        <f>IF(C37="","",IF(C37=跟进查询!$B$2,1+A36,A36))</f>
        <v>#REF!</v>
      </c>
      <c r="B37" s="38">
        <v>44625</v>
      </c>
      <c r="C37" s="39" t="s">
        <v>12</v>
      </c>
      <c r="D37" s="39" t="s">
        <v>5</v>
      </c>
      <c r="E37" s="39"/>
      <c r="F37" s="41">
        <f>VLOOKUP(G37,源数据!A:K,11,FALSE)</f>
        <v>40</v>
      </c>
      <c r="G37" s="42" t="str">
        <f t="shared" si="0"/>
        <v>44625SKU2</v>
      </c>
    </row>
    <row r="38" ht="15" spans="1:7">
      <c r="A38" s="36" t="e">
        <f>IF(C38="","",IF(C38=跟进查询!$B$2,1+A37,A37))</f>
        <v>#REF!</v>
      </c>
      <c r="B38" s="38">
        <v>44626</v>
      </c>
      <c r="C38" s="39" t="s">
        <v>12</v>
      </c>
      <c r="D38" s="39" t="s">
        <v>5</v>
      </c>
      <c r="E38" s="39"/>
      <c r="F38" s="41">
        <f>VLOOKUP(G38,源数据!A:K,11,FALSE)</f>
        <v>40</v>
      </c>
      <c r="G38" s="42" t="str">
        <f t="shared" si="0"/>
        <v>44626SKU2</v>
      </c>
    </row>
    <row r="39" ht="15" spans="1:7">
      <c r="A39" s="36" t="e">
        <f>IF(C39="","",IF(C39=跟进查询!$B$2,1+A38,A38))</f>
        <v>#REF!</v>
      </c>
      <c r="B39" s="38">
        <v>44627</v>
      </c>
      <c r="C39" s="39" t="s">
        <v>12</v>
      </c>
      <c r="D39" s="39" t="s">
        <v>5</v>
      </c>
      <c r="E39" s="39"/>
      <c r="F39" s="41">
        <f>VLOOKUP(G39,源数据!A:K,11,FALSE)</f>
        <v>40</v>
      </c>
      <c r="G39" s="42" t="str">
        <f t="shared" si="0"/>
        <v>44627SKU2</v>
      </c>
    </row>
    <row r="40" ht="15" spans="1:7">
      <c r="A40" s="36" t="e">
        <f>IF(C40="","",IF(C40=跟进查询!$B$2,1+A39,A39))</f>
        <v>#REF!</v>
      </c>
      <c r="B40" s="38">
        <v>44628</v>
      </c>
      <c r="C40" s="39" t="s">
        <v>12</v>
      </c>
      <c r="D40" s="39" t="s">
        <v>5</v>
      </c>
      <c r="E40" s="39"/>
      <c r="F40" s="41">
        <f>VLOOKUP(G40,源数据!A:K,11,FALSE)</f>
        <v>40</v>
      </c>
      <c r="G40" s="42" t="str">
        <f t="shared" si="0"/>
        <v>44628SKU2</v>
      </c>
    </row>
    <row r="41" ht="15" spans="1:7">
      <c r="A41" s="36" t="e">
        <f>IF(C41="","",IF(C41=跟进查询!$B$2,1+A40,A40))</f>
        <v>#REF!</v>
      </c>
      <c r="B41" s="38">
        <v>44629</v>
      </c>
      <c r="C41" s="39" t="s">
        <v>12</v>
      </c>
      <c r="D41" s="39" t="s">
        <v>5</v>
      </c>
      <c r="E41" s="39"/>
      <c r="F41" s="41">
        <f>VLOOKUP(G41,源数据!A:K,11,FALSE)</f>
        <v>40</v>
      </c>
      <c r="G41" s="42" t="str">
        <f t="shared" si="0"/>
        <v>44629SKU2</v>
      </c>
    </row>
    <row r="42" ht="15" spans="1:7">
      <c r="A42" s="36" t="e">
        <f>IF(C42="","",IF(C42=跟进查询!$B$2,1+A41,A41))</f>
        <v>#REF!</v>
      </c>
      <c r="B42" s="38">
        <v>44630</v>
      </c>
      <c r="C42" s="39" t="s">
        <v>12</v>
      </c>
      <c r="D42" s="39" t="s">
        <v>5</v>
      </c>
      <c r="E42" s="39"/>
      <c r="F42" s="41">
        <f>VLOOKUP(G42,源数据!A:K,11,FALSE)</f>
        <v>40</v>
      </c>
      <c r="G42" s="42" t="str">
        <f t="shared" si="0"/>
        <v>44630SKU2</v>
      </c>
    </row>
    <row r="43" ht="15" spans="1:7">
      <c r="A43" s="36" t="e">
        <f>IF(C43="","",IF(C43=跟进查询!$B$2,1+A42,A42))</f>
        <v>#REF!</v>
      </c>
      <c r="B43" s="38">
        <v>44631</v>
      </c>
      <c r="C43" s="39" t="s">
        <v>12</v>
      </c>
      <c r="D43" s="39" t="s">
        <v>5</v>
      </c>
      <c r="E43" s="39"/>
      <c r="F43" s="41">
        <f>VLOOKUP(G43,源数据!A:K,11,FALSE)</f>
        <v>40</v>
      </c>
      <c r="G43" s="42" t="str">
        <f t="shared" si="0"/>
        <v>44631SKU2</v>
      </c>
    </row>
    <row r="44" ht="15" spans="1:7">
      <c r="A44" s="36" t="e">
        <f>IF(C44="","",IF(C44=跟进查询!$B$2,1+A43,A43))</f>
        <v>#REF!</v>
      </c>
      <c r="B44" s="38">
        <v>44632</v>
      </c>
      <c r="C44" s="39" t="s">
        <v>12</v>
      </c>
      <c r="D44" s="39" t="s">
        <v>6</v>
      </c>
      <c r="E44" s="39"/>
      <c r="F44" s="41">
        <f>VLOOKUP(G44,源数据!A:K,11,FALSE)</f>
        <v>100</v>
      </c>
      <c r="G44" s="42" t="str">
        <f t="shared" si="0"/>
        <v>44632SKU2</v>
      </c>
    </row>
    <row r="45" ht="15" spans="1:7">
      <c r="A45" s="36" t="e">
        <f>IF(C45="","",IF(C45=跟进查询!$B$2,1+A44,A44))</f>
        <v>#REF!</v>
      </c>
      <c r="B45" s="38">
        <v>44633</v>
      </c>
      <c r="C45" s="39" t="s">
        <v>12</v>
      </c>
      <c r="D45" s="39" t="s">
        <v>5</v>
      </c>
      <c r="E45" s="39"/>
      <c r="F45" s="41">
        <f>VLOOKUP(G45,源数据!A:K,11,FALSE)</f>
        <v>90</v>
      </c>
      <c r="G45" s="42" t="str">
        <f t="shared" si="0"/>
        <v>44633SKU2</v>
      </c>
    </row>
    <row r="46" ht="15" spans="1:7">
      <c r="A46" s="36" t="e">
        <f>IF(C46="","",IF(C46=跟进查询!$B$2,1+A45,A45))</f>
        <v>#REF!</v>
      </c>
      <c r="B46" s="38">
        <v>44634</v>
      </c>
      <c r="C46" s="39" t="s">
        <v>12</v>
      </c>
      <c r="D46" s="39" t="s">
        <v>5</v>
      </c>
      <c r="E46" s="39"/>
      <c r="F46" s="41">
        <f>VLOOKUP(G46,源数据!A:K,11,FALSE)</f>
        <v>80</v>
      </c>
      <c r="G46" s="42" t="str">
        <f t="shared" si="0"/>
        <v>44634SKU2</v>
      </c>
    </row>
    <row r="47" ht="15" spans="1:7">
      <c r="A47" s="36" t="e">
        <f>IF(C47="","",IF(C47=跟进查询!$B$2,1+A46,A46))</f>
        <v>#REF!</v>
      </c>
      <c r="B47" s="38">
        <v>44635</v>
      </c>
      <c r="C47" s="39" t="s">
        <v>12</v>
      </c>
      <c r="D47" s="39" t="s">
        <v>5</v>
      </c>
      <c r="E47" s="39"/>
      <c r="F47" s="41">
        <f>VLOOKUP(G47,源数据!A:K,11,FALSE)</f>
        <v>60</v>
      </c>
      <c r="G47" s="42" t="str">
        <f t="shared" si="0"/>
        <v>44635SKU2</v>
      </c>
    </row>
    <row r="48" ht="15" spans="1:7">
      <c r="A48" s="36" t="e">
        <f>IF(C48="","",IF(C48=跟进查询!$B$2,1+A47,A47))</f>
        <v>#REF!</v>
      </c>
      <c r="B48" s="38">
        <v>44636</v>
      </c>
      <c r="C48" s="39" t="s">
        <v>12</v>
      </c>
      <c r="D48" s="39" t="s">
        <v>5</v>
      </c>
      <c r="E48" s="39"/>
      <c r="F48" s="41">
        <f>VLOOKUP(G48,源数据!A:K,11,FALSE)</f>
        <v>55</v>
      </c>
      <c r="G48" s="42" t="str">
        <f t="shared" si="0"/>
        <v>44636SKU2</v>
      </c>
    </row>
    <row r="49" ht="15" spans="1:7">
      <c r="A49" s="36" t="e">
        <f>IF(C49="","",IF(C49=跟进查询!$B$2,1+A48,A48))</f>
        <v>#REF!</v>
      </c>
      <c r="B49" s="38">
        <v>44637</v>
      </c>
      <c r="C49" s="39" t="s">
        <v>12</v>
      </c>
      <c r="D49" s="39" t="s">
        <v>5</v>
      </c>
      <c r="E49" s="39"/>
      <c r="F49" s="41">
        <f>VLOOKUP(G49,源数据!A:K,11,FALSE)</f>
        <v>56</v>
      </c>
      <c r="G49" s="42" t="str">
        <f t="shared" si="0"/>
        <v>44637SKU2</v>
      </c>
    </row>
    <row r="50" ht="15" spans="1:7">
      <c r="A50" s="36" t="e">
        <f>IF(C50="","",IF(C50=跟进查询!$B$2,1+A49,A49))</f>
        <v>#REF!</v>
      </c>
      <c r="B50" s="38">
        <v>44638</v>
      </c>
      <c r="C50" s="39" t="s">
        <v>12</v>
      </c>
      <c r="D50" s="39" t="s">
        <v>5</v>
      </c>
      <c r="E50" s="39"/>
      <c r="F50" s="41">
        <f>VLOOKUP(G50,源数据!A:K,11,FALSE)</f>
        <v>57</v>
      </c>
      <c r="G50" s="42" t="str">
        <f t="shared" si="0"/>
        <v>44638SKU2</v>
      </c>
    </row>
    <row r="51" ht="15" spans="1:7">
      <c r="A51" s="36" t="e">
        <f>IF(C51="","",IF(C51=跟进查询!$B$2,1+A50,A50))</f>
        <v>#REF!</v>
      </c>
      <c r="B51" s="38">
        <v>44639</v>
      </c>
      <c r="C51" s="39" t="s">
        <v>12</v>
      </c>
      <c r="D51" s="39" t="s">
        <v>5</v>
      </c>
      <c r="E51" s="39"/>
      <c r="F51" s="41">
        <f>VLOOKUP(G51,源数据!A:K,11,FALSE)</f>
        <v>58</v>
      </c>
      <c r="G51" s="42" t="str">
        <f t="shared" si="0"/>
        <v>44639SKU2</v>
      </c>
    </row>
    <row r="52" ht="15" spans="1:7">
      <c r="A52" s="36" t="e">
        <f>IF(C52="","",IF(C52=跟进查询!$B$2,1+A51,A51))</f>
        <v>#REF!</v>
      </c>
      <c r="B52" s="38">
        <v>44640</v>
      </c>
      <c r="C52" s="39" t="s">
        <v>12</v>
      </c>
      <c r="D52" s="39" t="s">
        <v>5</v>
      </c>
      <c r="E52" s="39"/>
      <c r="F52" s="41">
        <f>VLOOKUP(G52,源数据!A:K,11,FALSE)</f>
        <v>59</v>
      </c>
      <c r="G52" s="42" t="str">
        <f t="shared" si="0"/>
        <v>44640SKU2</v>
      </c>
    </row>
    <row r="53" ht="15" spans="1:7">
      <c r="A53" s="36" t="e">
        <f>IF(C53="","",IF(C53=跟进查询!$B$2,1+A52,A52))</f>
        <v>#REF!</v>
      </c>
      <c r="B53" s="38">
        <v>44641</v>
      </c>
      <c r="C53" s="39" t="s">
        <v>12</v>
      </c>
      <c r="D53" s="39" t="s">
        <v>7</v>
      </c>
      <c r="E53" s="39"/>
      <c r="F53" s="41">
        <f>VLOOKUP(G53,源数据!A:K,11,FALSE)</f>
        <v>110</v>
      </c>
      <c r="G53" s="42" t="str">
        <f t="shared" si="0"/>
        <v>44641SKU2</v>
      </c>
    </row>
    <row r="54" ht="15" spans="1:7">
      <c r="A54" s="36" t="e">
        <f>IF(C54="","",IF(C54=跟进查询!$B$2,1+A53,A53))</f>
        <v>#REF!</v>
      </c>
      <c r="B54" s="38">
        <v>44642</v>
      </c>
      <c r="C54" s="39" t="s">
        <v>12</v>
      </c>
      <c r="D54" s="39" t="s">
        <v>5</v>
      </c>
      <c r="E54" s="39"/>
      <c r="F54" s="41">
        <f>VLOOKUP(G54,源数据!A:K,11,FALSE)</f>
        <v>100</v>
      </c>
      <c r="G54" s="42" t="str">
        <f t="shared" si="0"/>
        <v>44642SKU2</v>
      </c>
    </row>
    <row r="55" ht="15" spans="1:7">
      <c r="A55" s="36" t="e">
        <f>IF(C55="","",IF(C55=跟进查询!$B$2,1+A54,A54))</f>
        <v>#REF!</v>
      </c>
      <c r="B55" s="38">
        <v>44643</v>
      </c>
      <c r="C55" s="39" t="s">
        <v>12</v>
      </c>
      <c r="D55" s="39" t="s">
        <v>5</v>
      </c>
      <c r="E55" s="39"/>
      <c r="F55" s="41">
        <f>VLOOKUP(G55,源数据!A:K,11,FALSE)</f>
        <v>90</v>
      </c>
      <c r="G55" s="42" t="str">
        <f t="shared" si="0"/>
        <v>44643SKU2</v>
      </c>
    </row>
    <row r="56" ht="15" spans="1:7">
      <c r="A56" s="36" t="e">
        <f>IF(C56="","",IF(C56=跟进查询!$B$2,1+A55,A55))</f>
        <v>#REF!</v>
      </c>
      <c r="B56" s="38">
        <v>44644</v>
      </c>
      <c r="C56" s="39" t="s">
        <v>12</v>
      </c>
      <c r="D56" s="39" t="s">
        <v>5</v>
      </c>
      <c r="E56" s="39"/>
      <c r="F56" s="41">
        <f>VLOOKUP(G56,源数据!A:K,11,FALSE)</f>
        <v>70</v>
      </c>
      <c r="G56" s="42" t="str">
        <f t="shared" si="0"/>
        <v>44644SKU2</v>
      </c>
    </row>
    <row r="57" ht="15" spans="1:7">
      <c r="A57" s="36" t="e">
        <f>IF(C57="","",IF(C57=跟进查询!$B$2,1+A56,A56))</f>
        <v>#REF!</v>
      </c>
      <c r="B57" s="38">
        <v>44645</v>
      </c>
      <c r="C57" s="39" t="s">
        <v>12</v>
      </c>
      <c r="D57" s="39" t="s">
        <v>5</v>
      </c>
      <c r="E57" s="39"/>
      <c r="F57" s="41">
        <f>VLOOKUP(G57,源数据!A:K,11,FALSE)</f>
        <v>65</v>
      </c>
      <c r="G57" s="42" t="str">
        <f t="shared" si="0"/>
        <v>44645SKU2</v>
      </c>
    </row>
    <row r="58" ht="15" spans="1:7">
      <c r="A58" s="36" t="e">
        <f>IF(C58="","",IF(C58=跟进查询!$B$2,1+A57,A57))</f>
        <v>#REF!</v>
      </c>
      <c r="B58" s="38">
        <v>44646</v>
      </c>
      <c r="C58" s="39" t="s">
        <v>12</v>
      </c>
      <c r="D58" s="39" t="s">
        <v>5</v>
      </c>
      <c r="E58" s="39"/>
      <c r="F58" s="41">
        <f>VLOOKUP(G58,源数据!A:K,11,FALSE)</f>
        <v>66</v>
      </c>
      <c r="G58" s="42" t="str">
        <f t="shared" si="0"/>
        <v>44646SKU2</v>
      </c>
    </row>
    <row r="59" ht="15" spans="1:7">
      <c r="A59" s="36" t="e">
        <f>IF(C59="","",IF(C59=跟进查询!$B$2,1+A58,A58))</f>
        <v>#REF!</v>
      </c>
      <c r="B59" s="38">
        <v>44647</v>
      </c>
      <c r="C59" s="39" t="s">
        <v>12</v>
      </c>
      <c r="D59" s="39" t="s">
        <v>5</v>
      </c>
      <c r="E59" s="39"/>
      <c r="F59" s="41">
        <f>VLOOKUP(G59,源数据!A:K,11,FALSE)</f>
        <v>67</v>
      </c>
      <c r="G59" s="42" t="str">
        <f t="shared" si="0"/>
        <v>44647SKU2</v>
      </c>
    </row>
    <row r="60" ht="15" spans="1:7">
      <c r="A60" s="36" t="e">
        <f>IF(C60="","",IF(C60=跟进查询!$B$2,1+A59,A59))</f>
        <v>#REF!</v>
      </c>
      <c r="B60" s="38">
        <v>44648</v>
      </c>
      <c r="C60" s="39" t="s">
        <v>12</v>
      </c>
      <c r="D60" s="39" t="s">
        <v>5</v>
      </c>
      <c r="E60" s="39"/>
      <c r="F60" s="41">
        <f>VLOOKUP(G60,源数据!A:K,11,FALSE)</f>
        <v>68</v>
      </c>
      <c r="G60" s="42" t="str">
        <f t="shared" si="0"/>
        <v>44648SKU2</v>
      </c>
    </row>
    <row r="61" ht="15" spans="1:7">
      <c r="A61" s="36" t="e">
        <f>IF(C61="","",IF(C61=跟进查询!$B$2,1+A60,A60))</f>
        <v>#REF!</v>
      </c>
      <c r="B61" s="38">
        <v>44649</v>
      </c>
      <c r="C61" s="39" t="s">
        <v>12</v>
      </c>
      <c r="D61" s="39" t="s">
        <v>5</v>
      </c>
      <c r="E61" s="39"/>
      <c r="F61" s="41">
        <f>VLOOKUP(G61,源数据!A:K,11,FALSE)</f>
        <v>69</v>
      </c>
      <c r="G61" s="42" t="str">
        <f t="shared" si="0"/>
        <v>44649SKU2</v>
      </c>
    </row>
    <row r="62" ht="15" spans="1:7">
      <c r="A62" s="36" t="e">
        <f>IF(C62="","",IF(C62=跟进查询!$B$2,1+A61,A61))</f>
        <v>#REF!</v>
      </c>
      <c r="B62" s="38">
        <v>44650</v>
      </c>
      <c r="C62" s="39" t="s">
        <v>12</v>
      </c>
      <c r="D62" s="39" t="s">
        <v>5</v>
      </c>
      <c r="E62" s="39"/>
      <c r="F62" s="41">
        <f>VLOOKUP(G62,源数据!A:K,11,FALSE)</f>
        <v>70</v>
      </c>
      <c r="G62" s="42" t="str">
        <f t="shared" si="0"/>
        <v>44650SKU2</v>
      </c>
    </row>
    <row r="63" ht="15" spans="1:7">
      <c r="A63" s="36" t="e">
        <f>IF(C63="","",IF(C63=跟进查询!$B$2,1+A62,A62))</f>
        <v>#REF!</v>
      </c>
      <c r="B63" s="38">
        <v>44651</v>
      </c>
      <c r="C63" s="39" t="s">
        <v>12</v>
      </c>
      <c r="D63" s="39" t="s">
        <v>5</v>
      </c>
      <c r="E63" s="39"/>
      <c r="F63" s="41">
        <f>VLOOKUP(G63,源数据!A:K,11,FALSE)</f>
        <v>71</v>
      </c>
      <c r="G63" s="42" t="str">
        <f t="shared" si="0"/>
        <v>44651SKU2</v>
      </c>
    </row>
    <row r="64" ht="15" spans="1:7">
      <c r="A64" s="36" t="str">
        <f>IF(C64="","",IF(C64=跟进查询!$B$2,1+A63,A63))</f>
        <v/>
      </c>
      <c r="B64" s="39"/>
      <c r="C64" s="39"/>
      <c r="D64" s="39"/>
      <c r="E64" s="39"/>
      <c r="F64" s="41" t="e">
        <f>VLOOKUP(G64,源数据!A:K,11,FALSE)</f>
        <v>#N/A</v>
      </c>
      <c r="G64" s="42" t="str">
        <f t="shared" si="0"/>
        <v/>
      </c>
    </row>
    <row r="65" ht="15" spans="1:7">
      <c r="A65" s="36" t="str">
        <f>IF(C65="","",IF(C65=跟进查询!$B$2,1+A64,A64))</f>
        <v/>
      </c>
      <c r="B65" s="39"/>
      <c r="C65" s="39"/>
      <c r="D65" s="39"/>
      <c r="E65" s="39"/>
      <c r="F65" s="41" t="e">
        <f>VLOOKUP(G65,源数据!A:K,11,FALSE)</f>
        <v>#N/A</v>
      </c>
      <c r="G65" s="42" t="str">
        <f t="shared" si="0"/>
        <v/>
      </c>
    </row>
    <row r="66" ht="15" spans="1:7">
      <c r="A66" s="36" t="str">
        <f>IF(C66="","",IF(C66=跟进查询!$B$2,1+A65,A65))</f>
        <v/>
      </c>
      <c r="B66" s="39"/>
      <c r="C66" s="39"/>
      <c r="D66" s="39"/>
      <c r="E66" s="39"/>
      <c r="F66" s="41" t="e">
        <f>VLOOKUP(G66,源数据!A:K,11,FALSE)</f>
        <v>#N/A</v>
      </c>
      <c r="G66" s="42" t="str">
        <f t="shared" si="0"/>
        <v/>
      </c>
    </row>
    <row r="67" ht="15" spans="1:7">
      <c r="A67" s="36" t="str">
        <f>IF(C67="","",IF(C67=跟进查询!$B$2,1+A66,A66))</f>
        <v/>
      </c>
      <c r="B67" s="39"/>
      <c r="C67" s="39"/>
      <c r="D67" s="39"/>
      <c r="E67" s="39"/>
      <c r="F67" s="41" t="e">
        <f>VLOOKUP(G67,源数据!A:K,11,FALSE)</f>
        <v>#N/A</v>
      </c>
      <c r="G67" s="42" t="str">
        <f t="shared" si="0"/>
        <v/>
      </c>
    </row>
    <row r="68" ht="15" spans="1:7">
      <c r="A68" s="36" t="str">
        <f>IF(C68="","",IF(C68=跟进查询!$B$2,1+A67,A67))</f>
        <v/>
      </c>
      <c r="B68" s="39"/>
      <c r="C68" s="39"/>
      <c r="D68" s="39"/>
      <c r="E68" s="39"/>
      <c r="F68" s="41" t="e">
        <f>VLOOKUP(G68,源数据!A:K,11,FALSE)</f>
        <v>#N/A</v>
      </c>
      <c r="G68" s="42" t="str">
        <f t="shared" ref="G68:G131" si="1">B68&amp;C68</f>
        <v/>
      </c>
    </row>
    <row r="69" ht="15" spans="1:7">
      <c r="A69" s="36" t="str">
        <f>IF(C69="","",IF(C69=跟进查询!$B$2,1+A68,A68))</f>
        <v/>
      </c>
      <c r="B69" s="39"/>
      <c r="C69" s="39"/>
      <c r="D69" s="39"/>
      <c r="E69" s="39"/>
      <c r="F69" s="41" t="e">
        <f>VLOOKUP(G69,源数据!A:K,11,FALSE)</f>
        <v>#N/A</v>
      </c>
      <c r="G69" s="42" t="str">
        <f t="shared" si="1"/>
        <v/>
      </c>
    </row>
    <row r="70" ht="15" spans="1:7">
      <c r="A70" s="36" t="str">
        <f>IF(C70="","",IF(C70=跟进查询!$B$2,1+A69,A69))</f>
        <v/>
      </c>
      <c r="B70" s="39"/>
      <c r="C70" s="39"/>
      <c r="D70" s="39"/>
      <c r="E70" s="39"/>
      <c r="F70" s="41" t="e">
        <f>VLOOKUP(G70,源数据!A:K,11,FALSE)</f>
        <v>#N/A</v>
      </c>
      <c r="G70" s="42" t="str">
        <f t="shared" si="1"/>
        <v/>
      </c>
    </row>
    <row r="71" ht="15" spans="1:7">
      <c r="A71" s="36" t="str">
        <f>IF(C71="","",IF(C71=跟进查询!$B$2,1+A70,A70))</f>
        <v/>
      </c>
      <c r="B71" s="39"/>
      <c r="C71" s="39"/>
      <c r="D71" s="39"/>
      <c r="E71" s="39"/>
      <c r="F71" s="41" t="e">
        <f>VLOOKUP(G71,源数据!A:K,11,FALSE)</f>
        <v>#N/A</v>
      </c>
      <c r="G71" s="42" t="str">
        <f t="shared" si="1"/>
        <v/>
      </c>
    </row>
    <row r="72" ht="15" spans="1:7">
      <c r="A72" s="36" t="str">
        <f>IF(C72="","",IF(C72=跟进查询!$B$2,1+A71,A71))</f>
        <v/>
      </c>
      <c r="B72" s="39"/>
      <c r="C72" s="39"/>
      <c r="D72" s="39"/>
      <c r="E72" s="39"/>
      <c r="F72" s="41" t="e">
        <f>VLOOKUP(G72,源数据!A:K,11,FALSE)</f>
        <v>#N/A</v>
      </c>
      <c r="G72" s="42" t="str">
        <f t="shared" si="1"/>
        <v/>
      </c>
    </row>
    <row r="73" ht="15" spans="1:7">
      <c r="A73" s="36" t="str">
        <f>IF(C73="","",IF(C73=跟进查询!$B$2,1+A72,A72))</f>
        <v/>
      </c>
      <c r="B73" s="39"/>
      <c r="C73" s="39"/>
      <c r="D73" s="39"/>
      <c r="E73" s="39"/>
      <c r="F73" s="41" t="e">
        <f>VLOOKUP(G73,源数据!A:K,11,FALSE)</f>
        <v>#N/A</v>
      </c>
      <c r="G73" s="42" t="str">
        <f t="shared" si="1"/>
        <v/>
      </c>
    </row>
    <row r="74" ht="15" spans="1:7">
      <c r="A74" s="36" t="str">
        <f>IF(C74="","",IF(C74=跟进查询!$B$2,1+A73,A73))</f>
        <v/>
      </c>
      <c r="B74" s="39"/>
      <c r="C74" s="39"/>
      <c r="D74" s="39"/>
      <c r="E74" s="39"/>
      <c r="F74" s="41" t="e">
        <f>VLOOKUP(G74,源数据!A:K,11,FALSE)</f>
        <v>#N/A</v>
      </c>
      <c r="G74" s="42" t="str">
        <f t="shared" si="1"/>
        <v/>
      </c>
    </row>
    <row r="75" ht="15" spans="1:7">
      <c r="A75" s="36" t="str">
        <f>IF(C75="","",IF(C75=跟进查询!$B$2,1+A74,A74))</f>
        <v/>
      </c>
      <c r="B75" s="39"/>
      <c r="C75" s="39"/>
      <c r="D75" s="39"/>
      <c r="E75" s="39"/>
      <c r="F75" s="41" t="e">
        <f>VLOOKUP(G75,源数据!A:K,11,FALSE)</f>
        <v>#N/A</v>
      </c>
      <c r="G75" s="42" t="str">
        <f t="shared" si="1"/>
        <v/>
      </c>
    </row>
    <row r="76" ht="15" spans="1:7">
      <c r="A76" s="36" t="str">
        <f>IF(C76="","",IF(C76=跟进查询!$B$2,1+A75,A75))</f>
        <v/>
      </c>
      <c r="B76" s="39"/>
      <c r="C76" s="39"/>
      <c r="D76" s="39"/>
      <c r="E76" s="39"/>
      <c r="F76" s="41" t="e">
        <f>VLOOKUP(G76,源数据!A:K,11,FALSE)</f>
        <v>#N/A</v>
      </c>
      <c r="G76" s="42" t="str">
        <f t="shared" si="1"/>
        <v/>
      </c>
    </row>
    <row r="77" ht="15" spans="1:7">
      <c r="A77" s="36" t="str">
        <f>IF(C77="","",IF(C77=跟进查询!$B$2,1+A76,A76))</f>
        <v/>
      </c>
      <c r="B77" s="39"/>
      <c r="C77" s="39"/>
      <c r="D77" s="39"/>
      <c r="E77" s="39"/>
      <c r="F77" s="41" t="e">
        <f>VLOOKUP(G77,源数据!A:K,11,FALSE)</f>
        <v>#N/A</v>
      </c>
      <c r="G77" s="42" t="str">
        <f t="shared" si="1"/>
        <v/>
      </c>
    </row>
    <row r="78" ht="15" spans="1:7">
      <c r="A78" s="36" t="str">
        <f>IF(C78="","",IF(C78=跟进查询!$B$2,1+A77,A77))</f>
        <v/>
      </c>
      <c r="B78" s="39"/>
      <c r="C78" s="39"/>
      <c r="D78" s="39"/>
      <c r="E78" s="39"/>
      <c r="F78" s="41" t="e">
        <f>VLOOKUP(G78,源数据!A:K,11,FALSE)</f>
        <v>#N/A</v>
      </c>
      <c r="G78" s="42" t="str">
        <f t="shared" si="1"/>
        <v/>
      </c>
    </row>
    <row r="79" ht="15" spans="1:7">
      <c r="A79" s="36" t="str">
        <f>IF(C79="","",IF(C79=跟进查询!$B$2,1+A78,A78))</f>
        <v/>
      </c>
      <c r="B79" s="39"/>
      <c r="C79" s="39"/>
      <c r="D79" s="39"/>
      <c r="E79" s="39"/>
      <c r="F79" s="41" t="e">
        <f>VLOOKUP(G79,源数据!A:K,11,FALSE)</f>
        <v>#N/A</v>
      </c>
      <c r="G79" s="42" t="str">
        <f t="shared" si="1"/>
        <v/>
      </c>
    </row>
    <row r="80" ht="15" spans="1:7">
      <c r="A80" s="36" t="str">
        <f>IF(C80="","",IF(C80=跟进查询!$B$2,1+A79,A79))</f>
        <v/>
      </c>
      <c r="B80" s="39"/>
      <c r="C80" s="39"/>
      <c r="D80" s="39"/>
      <c r="E80" s="39"/>
      <c r="F80" s="41" t="e">
        <f>VLOOKUP(G80,源数据!A:K,11,FALSE)</f>
        <v>#N/A</v>
      </c>
      <c r="G80" s="42" t="str">
        <f t="shared" si="1"/>
        <v/>
      </c>
    </row>
    <row r="81" ht="15" spans="1:7">
      <c r="A81" s="36" t="str">
        <f>IF(C81="","",IF(C81=跟进查询!$B$2,1+A80,A80))</f>
        <v/>
      </c>
      <c r="B81" s="39"/>
      <c r="C81" s="39"/>
      <c r="D81" s="39"/>
      <c r="E81" s="39"/>
      <c r="F81" s="41" t="e">
        <f>VLOOKUP(G81,源数据!A:K,11,FALSE)</f>
        <v>#N/A</v>
      </c>
      <c r="G81" s="42" t="str">
        <f t="shared" si="1"/>
        <v/>
      </c>
    </row>
    <row r="82" ht="15" spans="1:7">
      <c r="A82" s="36" t="str">
        <f>IF(C82="","",IF(C82=跟进查询!$B$2,1+A81,A81))</f>
        <v/>
      </c>
      <c r="B82" s="39"/>
      <c r="C82" s="39"/>
      <c r="D82" s="39"/>
      <c r="E82" s="39"/>
      <c r="F82" s="41" t="e">
        <f>VLOOKUP(G82,源数据!A:K,11,FALSE)</f>
        <v>#N/A</v>
      </c>
      <c r="G82" s="42" t="str">
        <f t="shared" si="1"/>
        <v/>
      </c>
    </row>
    <row r="83" ht="15" spans="1:7">
      <c r="A83" s="36" t="str">
        <f>IF(C83="","",IF(C83=跟进查询!$B$2,1+A82,A82))</f>
        <v/>
      </c>
      <c r="B83" s="39"/>
      <c r="C83" s="39"/>
      <c r="D83" s="39"/>
      <c r="E83" s="39"/>
      <c r="F83" s="41" t="e">
        <f>VLOOKUP(G83,源数据!A:K,11,FALSE)</f>
        <v>#N/A</v>
      </c>
      <c r="G83" s="42" t="str">
        <f t="shared" si="1"/>
        <v/>
      </c>
    </row>
    <row r="84" ht="15" spans="1:7">
      <c r="A84" s="36" t="str">
        <f>IF(C84="","",IF(C84=跟进查询!$B$2,1+A83,A83))</f>
        <v/>
      </c>
      <c r="B84" s="39"/>
      <c r="C84" s="39"/>
      <c r="D84" s="39"/>
      <c r="E84" s="39"/>
      <c r="F84" s="41" t="e">
        <f>VLOOKUP(G84,源数据!A:K,11,FALSE)</f>
        <v>#N/A</v>
      </c>
      <c r="G84" s="42" t="str">
        <f t="shared" si="1"/>
        <v/>
      </c>
    </row>
    <row r="85" ht="15" spans="1:7">
      <c r="A85" s="36" t="str">
        <f>IF(C85="","",IF(C85=跟进查询!$B$2,1+A84,A84))</f>
        <v/>
      </c>
      <c r="B85" s="39"/>
      <c r="C85" s="39"/>
      <c r="D85" s="39"/>
      <c r="E85" s="39"/>
      <c r="F85" s="41" t="e">
        <f>VLOOKUP(G85,源数据!A:K,11,FALSE)</f>
        <v>#N/A</v>
      </c>
      <c r="G85" s="42" t="str">
        <f t="shared" si="1"/>
        <v/>
      </c>
    </row>
    <row r="86" ht="15" spans="1:7">
      <c r="A86" s="36" t="str">
        <f>IF(C86="","",IF(C86=跟进查询!$B$2,1+A85,A85))</f>
        <v/>
      </c>
      <c r="B86" s="39"/>
      <c r="C86" s="39"/>
      <c r="D86" s="39"/>
      <c r="E86" s="39"/>
      <c r="F86" s="41" t="e">
        <f>VLOOKUP(G86,源数据!A:K,11,FALSE)</f>
        <v>#N/A</v>
      </c>
      <c r="G86" s="42" t="str">
        <f t="shared" si="1"/>
        <v/>
      </c>
    </row>
    <row r="87" ht="15" spans="1:7">
      <c r="A87" s="36" t="str">
        <f>IF(C87="","",IF(C87=跟进查询!$B$2,1+A86,A86))</f>
        <v/>
      </c>
      <c r="B87" s="39"/>
      <c r="C87" s="39"/>
      <c r="D87" s="39"/>
      <c r="E87" s="39"/>
      <c r="F87" s="41" t="e">
        <f>VLOOKUP(G87,源数据!A:K,11,FALSE)</f>
        <v>#N/A</v>
      </c>
      <c r="G87" s="42" t="str">
        <f t="shared" si="1"/>
        <v/>
      </c>
    </row>
    <row r="88" ht="15" spans="1:7">
      <c r="A88" s="36" t="str">
        <f>IF(C88="","",IF(C88=跟进查询!$B$2,1+A87,A87))</f>
        <v/>
      </c>
      <c r="B88" s="39"/>
      <c r="C88" s="39"/>
      <c r="D88" s="39"/>
      <c r="E88" s="39"/>
      <c r="F88" s="41" t="e">
        <f>VLOOKUP(G88,源数据!A:K,11,FALSE)</f>
        <v>#N/A</v>
      </c>
      <c r="G88" s="42" t="str">
        <f t="shared" si="1"/>
        <v/>
      </c>
    </row>
    <row r="89" ht="15" spans="1:7">
      <c r="A89" s="36" t="str">
        <f>IF(C89="","",IF(C89=跟进查询!$B$2,1+A88,A88))</f>
        <v/>
      </c>
      <c r="B89" s="39"/>
      <c r="C89" s="39"/>
      <c r="D89" s="39"/>
      <c r="E89" s="39"/>
      <c r="F89" s="41" t="e">
        <f>VLOOKUP(G89,源数据!A:K,11,FALSE)</f>
        <v>#N/A</v>
      </c>
      <c r="G89" s="42" t="str">
        <f t="shared" si="1"/>
        <v/>
      </c>
    </row>
    <row r="90" ht="15" spans="1:7">
      <c r="A90" s="36" t="str">
        <f>IF(C90="","",IF(C90=跟进查询!$B$2,1+A89,A89))</f>
        <v/>
      </c>
      <c r="B90" s="39"/>
      <c r="C90" s="39"/>
      <c r="D90" s="39"/>
      <c r="E90" s="39"/>
      <c r="F90" s="41" t="e">
        <f>VLOOKUP(G90,源数据!A:K,11,FALSE)</f>
        <v>#N/A</v>
      </c>
      <c r="G90" s="42" t="str">
        <f t="shared" si="1"/>
        <v/>
      </c>
    </row>
    <row r="91" ht="15" spans="1:7">
      <c r="A91" s="36" t="str">
        <f>IF(C91="","",IF(C91=跟进查询!$B$2,1+A90,A90))</f>
        <v/>
      </c>
      <c r="B91" s="39"/>
      <c r="C91" s="39"/>
      <c r="D91" s="39"/>
      <c r="E91" s="39"/>
      <c r="F91" s="41" t="e">
        <f>VLOOKUP(G91,源数据!A:K,11,FALSE)</f>
        <v>#N/A</v>
      </c>
      <c r="G91" s="42" t="str">
        <f t="shared" si="1"/>
        <v/>
      </c>
    </row>
    <row r="92" ht="15" spans="1:7">
      <c r="A92" s="36" t="str">
        <f>IF(C92="","",IF(C92=跟进查询!$B$2,1+A91,A91))</f>
        <v/>
      </c>
      <c r="B92" s="39"/>
      <c r="C92" s="39"/>
      <c r="D92" s="39"/>
      <c r="E92" s="39"/>
      <c r="F92" s="41" t="e">
        <f>VLOOKUP(G92,源数据!A:K,11,FALSE)</f>
        <v>#N/A</v>
      </c>
      <c r="G92" s="42" t="str">
        <f t="shared" si="1"/>
        <v/>
      </c>
    </row>
    <row r="93" ht="15" spans="1:7">
      <c r="A93" s="36" t="str">
        <f>IF(C93="","",IF(C93=跟进查询!$B$2,1+A92,A92))</f>
        <v/>
      </c>
      <c r="B93" s="39"/>
      <c r="C93" s="39"/>
      <c r="D93" s="39"/>
      <c r="E93" s="39"/>
      <c r="F93" s="41" t="e">
        <f>VLOOKUP(G93,源数据!A:K,11,FALSE)</f>
        <v>#N/A</v>
      </c>
      <c r="G93" s="42" t="str">
        <f t="shared" si="1"/>
        <v/>
      </c>
    </row>
    <row r="94" ht="15" spans="1:7">
      <c r="A94" s="36" t="str">
        <f>IF(C94="","",IF(C94=跟进查询!$B$2,1+A93,A93))</f>
        <v/>
      </c>
      <c r="B94" s="39"/>
      <c r="C94" s="39"/>
      <c r="D94" s="39"/>
      <c r="E94" s="39"/>
      <c r="F94" s="41" t="e">
        <f>VLOOKUP(G94,源数据!A:K,11,FALSE)</f>
        <v>#N/A</v>
      </c>
      <c r="G94" s="42" t="str">
        <f t="shared" si="1"/>
        <v/>
      </c>
    </row>
    <row r="95" ht="15" spans="1:7">
      <c r="A95" s="36" t="str">
        <f>IF(C95="","",IF(C95=跟进查询!$B$2,1+A94,A94))</f>
        <v/>
      </c>
      <c r="B95" s="39"/>
      <c r="C95" s="39"/>
      <c r="D95" s="39"/>
      <c r="E95" s="39"/>
      <c r="F95" s="41" t="e">
        <f>VLOOKUP(G95,源数据!A:K,11,FALSE)</f>
        <v>#N/A</v>
      </c>
      <c r="G95" s="42" t="str">
        <f t="shared" si="1"/>
        <v/>
      </c>
    </row>
    <row r="96" ht="15" spans="1:7">
      <c r="A96" s="36" t="str">
        <f>IF(C96="","",IF(C96=跟进查询!$B$2,1+A95,A95))</f>
        <v/>
      </c>
      <c r="B96" s="39"/>
      <c r="C96" s="39"/>
      <c r="D96" s="39"/>
      <c r="E96" s="39"/>
      <c r="F96" s="41" t="e">
        <f>VLOOKUP(G96,源数据!A:K,11,FALSE)</f>
        <v>#N/A</v>
      </c>
      <c r="G96" s="42" t="str">
        <f t="shared" si="1"/>
        <v/>
      </c>
    </row>
    <row r="97" ht="15" spans="1:7">
      <c r="A97" s="36" t="str">
        <f>IF(C97="","",IF(C97=跟进查询!$B$2,1+A96,A96))</f>
        <v/>
      </c>
      <c r="B97" s="39"/>
      <c r="C97" s="39"/>
      <c r="D97" s="39"/>
      <c r="E97" s="39"/>
      <c r="F97" s="41" t="e">
        <f>VLOOKUP(G97,源数据!A:K,11,FALSE)</f>
        <v>#N/A</v>
      </c>
      <c r="G97" s="42" t="str">
        <f t="shared" si="1"/>
        <v/>
      </c>
    </row>
    <row r="98" ht="15" spans="1:7">
      <c r="A98" s="36" t="str">
        <f>IF(C98="","",IF(C98=跟进查询!$B$2,1+A97,A97))</f>
        <v/>
      </c>
      <c r="B98" s="39"/>
      <c r="C98" s="39"/>
      <c r="D98" s="39"/>
      <c r="E98" s="39"/>
      <c r="F98" s="41" t="e">
        <f>VLOOKUP(G98,源数据!A:K,11,FALSE)</f>
        <v>#N/A</v>
      </c>
      <c r="G98" s="42" t="str">
        <f t="shared" si="1"/>
        <v/>
      </c>
    </row>
    <row r="99" ht="15" spans="1:7">
      <c r="A99" s="36" t="str">
        <f>IF(C99="","",IF(C99=跟进查询!$B$2,1+A98,A98))</f>
        <v/>
      </c>
      <c r="B99" s="39"/>
      <c r="C99" s="39"/>
      <c r="D99" s="39"/>
      <c r="E99" s="39"/>
      <c r="F99" s="41" t="e">
        <f>VLOOKUP(G99,源数据!A:K,11,FALSE)</f>
        <v>#N/A</v>
      </c>
      <c r="G99" s="42" t="str">
        <f t="shared" si="1"/>
        <v/>
      </c>
    </row>
    <row r="100" ht="15" spans="1:7">
      <c r="A100" s="36" t="str">
        <f>IF(C100="","",IF(C100=跟进查询!$B$2,1+A99,A99))</f>
        <v/>
      </c>
      <c r="B100" s="39"/>
      <c r="C100" s="39"/>
      <c r="D100" s="39"/>
      <c r="E100" s="39"/>
      <c r="F100" s="41" t="e">
        <f>VLOOKUP(G100,源数据!A:K,11,FALSE)</f>
        <v>#N/A</v>
      </c>
      <c r="G100" s="42" t="str">
        <f t="shared" si="1"/>
        <v/>
      </c>
    </row>
    <row r="101" ht="15" spans="1:7">
      <c r="A101" s="36" t="str">
        <f>IF(C101="","",IF(C101=跟进查询!$B$2,1+A100,A100))</f>
        <v/>
      </c>
      <c r="B101" s="39"/>
      <c r="C101" s="39"/>
      <c r="D101" s="39"/>
      <c r="E101" s="39"/>
      <c r="F101" s="41" t="e">
        <f>VLOOKUP(G101,源数据!A:K,11,FALSE)</f>
        <v>#N/A</v>
      </c>
      <c r="G101" s="42" t="str">
        <f t="shared" si="1"/>
        <v/>
      </c>
    </row>
    <row r="102" ht="15" spans="1:7">
      <c r="A102" s="36" t="str">
        <f>IF(C102="","",IF(C102=跟进查询!$B$2,1+A101,A101))</f>
        <v/>
      </c>
      <c r="B102" s="39"/>
      <c r="C102" s="39"/>
      <c r="D102" s="39"/>
      <c r="E102" s="39"/>
      <c r="F102" s="41" t="e">
        <f>VLOOKUP(G102,源数据!A:K,11,FALSE)</f>
        <v>#N/A</v>
      </c>
      <c r="G102" s="42" t="str">
        <f t="shared" si="1"/>
        <v/>
      </c>
    </row>
    <row r="103" ht="15" spans="1:7">
      <c r="A103" s="36" t="str">
        <f>IF(C103="","",IF(C103=跟进查询!$B$2,1+A102,A102))</f>
        <v/>
      </c>
      <c r="B103" s="39"/>
      <c r="C103" s="39"/>
      <c r="D103" s="39"/>
      <c r="E103" s="39"/>
      <c r="F103" s="41" t="e">
        <f>VLOOKUP(G103,源数据!A:K,11,FALSE)</f>
        <v>#N/A</v>
      </c>
      <c r="G103" s="42" t="str">
        <f t="shared" si="1"/>
        <v/>
      </c>
    </row>
    <row r="104" ht="15" spans="1:7">
      <c r="A104" s="36" t="str">
        <f>IF(C104="","",IF(C104=跟进查询!$B$2,1+A103,A103))</f>
        <v/>
      </c>
      <c r="B104" s="39"/>
      <c r="C104" s="39"/>
      <c r="D104" s="39"/>
      <c r="E104" s="39"/>
      <c r="F104" s="41" t="e">
        <f>VLOOKUP(G104,源数据!A:K,11,FALSE)</f>
        <v>#N/A</v>
      </c>
      <c r="G104" s="42" t="str">
        <f t="shared" si="1"/>
        <v/>
      </c>
    </row>
    <row r="105" ht="15" spans="1:7">
      <c r="A105" s="36" t="str">
        <f>IF(C105="","",IF(C105=跟进查询!$B$2,1+A104,A104))</f>
        <v/>
      </c>
      <c r="B105" s="39"/>
      <c r="C105" s="39"/>
      <c r="D105" s="39"/>
      <c r="E105" s="39"/>
      <c r="F105" s="41" t="e">
        <f>VLOOKUP(G105,源数据!A:K,11,FALSE)</f>
        <v>#N/A</v>
      </c>
      <c r="G105" s="42" t="str">
        <f t="shared" si="1"/>
        <v/>
      </c>
    </row>
    <row r="106" ht="15" spans="1:7">
      <c r="A106" s="36" t="str">
        <f>IF(C106="","",IF(C106=跟进查询!$B$2,1+A105,A105))</f>
        <v/>
      </c>
      <c r="B106" s="39"/>
      <c r="C106" s="39"/>
      <c r="D106" s="39"/>
      <c r="E106" s="39"/>
      <c r="F106" s="41" t="e">
        <f>VLOOKUP(G106,源数据!A:K,11,FALSE)</f>
        <v>#N/A</v>
      </c>
      <c r="G106" s="42" t="str">
        <f t="shared" si="1"/>
        <v/>
      </c>
    </row>
    <row r="107" ht="15" spans="1:7">
      <c r="A107" s="36" t="str">
        <f>IF(C107="","",IF(C107=跟进查询!$B$2,1+A106,A106))</f>
        <v/>
      </c>
      <c r="B107" s="39"/>
      <c r="C107" s="39"/>
      <c r="D107" s="39"/>
      <c r="E107" s="39"/>
      <c r="F107" s="41" t="e">
        <f>VLOOKUP(G107,源数据!A:K,11,FALSE)</f>
        <v>#N/A</v>
      </c>
      <c r="G107" s="42" t="str">
        <f t="shared" si="1"/>
        <v/>
      </c>
    </row>
    <row r="108" ht="15" spans="1:7">
      <c r="A108" s="36" t="str">
        <f>IF(C108="","",IF(C108=跟进查询!$B$2,1+A107,A107))</f>
        <v/>
      </c>
      <c r="B108" s="39"/>
      <c r="C108" s="39"/>
      <c r="D108" s="39"/>
      <c r="E108" s="39"/>
      <c r="F108" s="41" t="e">
        <f>VLOOKUP(G108,源数据!A:K,11,FALSE)</f>
        <v>#N/A</v>
      </c>
      <c r="G108" s="42" t="str">
        <f t="shared" si="1"/>
        <v/>
      </c>
    </row>
    <row r="109" ht="15" spans="1:7">
      <c r="A109" s="36" t="str">
        <f>IF(C109="","",IF(C109=跟进查询!$B$2,1+A108,A108))</f>
        <v/>
      </c>
      <c r="B109" s="39"/>
      <c r="C109" s="39"/>
      <c r="D109" s="39"/>
      <c r="E109" s="39"/>
      <c r="F109" s="41" t="e">
        <f>VLOOKUP(G109,源数据!A:K,11,FALSE)</f>
        <v>#N/A</v>
      </c>
      <c r="G109" s="42" t="str">
        <f t="shared" si="1"/>
        <v/>
      </c>
    </row>
    <row r="110" ht="15" spans="1:7">
      <c r="A110" s="36" t="str">
        <f>IF(C110="","",IF(C110=跟进查询!$B$2,1+A109,A109))</f>
        <v/>
      </c>
      <c r="B110" s="39"/>
      <c r="C110" s="39"/>
      <c r="D110" s="39"/>
      <c r="E110" s="39"/>
      <c r="F110" s="41" t="e">
        <f>VLOOKUP(G110,源数据!A:K,11,FALSE)</f>
        <v>#N/A</v>
      </c>
      <c r="G110" s="42" t="str">
        <f t="shared" si="1"/>
        <v/>
      </c>
    </row>
    <row r="111" ht="15" spans="1:7">
      <c r="A111" s="36" t="str">
        <f>IF(C111="","",IF(C111=跟进查询!$B$2,1+A110,A110))</f>
        <v/>
      </c>
      <c r="B111" s="39"/>
      <c r="C111" s="39"/>
      <c r="D111" s="39"/>
      <c r="E111" s="39"/>
      <c r="F111" s="41" t="e">
        <f>VLOOKUP(G111,源数据!A:K,11,FALSE)</f>
        <v>#N/A</v>
      </c>
      <c r="G111" s="42" t="str">
        <f t="shared" si="1"/>
        <v/>
      </c>
    </row>
    <row r="112" ht="15" spans="1:7">
      <c r="A112" s="36" t="str">
        <f>IF(C112="","",IF(C112=跟进查询!$B$2,1+A111,A111))</f>
        <v/>
      </c>
      <c r="B112" s="39"/>
      <c r="C112" s="39"/>
      <c r="D112" s="39"/>
      <c r="E112" s="39"/>
      <c r="F112" s="41" t="e">
        <f>VLOOKUP(G112,源数据!A:K,11,FALSE)</f>
        <v>#N/A</v>
      </c>
      <c r="G112" s="42" t="str">
        <f t="shared" si="1"/>
        <v/>
      </c>
    </row>
    <row r="113" ht="15" spans="1:7">
      <c r="A113" s="36" t="str">
        <f>IF(C113="","",IF(C113=跟进查询!$B$2,1+A112,A112))</f>
        <v/>
      </c>
      <c r="B113" s="39"/>
      <c r="C113" s="39"/>
      <c r="D113" s="39"/>
      <c r="E113" s="39"/>
      <c r="F113" s="41" t="e">
        <f>VLOOKUP(G113,源数据!A:K,11,FALSE)</f>
        <v>#N/A</v>
      </c>
      <c r="G113" s="42" t="str">
        <f t="shared" si="1"/>
        <v/>
      </c>
    </row>
    <row r="114" ht="15" spans="1:7">
      <c r="A114" s="36" t="str">
        <f>IF(C114="","",IF(C114=跟进查询!$B$2,1+A113,A113))</f>
        <v/>
      </c>
      <c r="B114" s="39"/>
      <c r="C114" s="39"/>
      <c r="D114" s="39"/>
      <c r="E114" s="39"/>
      <c r="F114" s="41" t="e">
        <f>VLOOKUP(G114,源数据!A:K,11,FALSE)</f>
        <v>#N/A</v>
      </c>
      <c r="G114" s="42" t="str">
        <f t="shared" si="1"/>
        <v/>
      </c>
    </row>
    <row r="115" ht="15" spans="1:7">
      <c r="A115" s="36" t="str">
        <f>IF(C115="","",IF(C115=跟进查询!$B$2,1+A114,A114))</f>
        <v/>
      </c>
      <c r="B115" s="39"/>
      <c r="C115" s="39"/>
      <c r="D115" s="39"/>
      <c r="E115" s="39"/>
      <c r="F115" s="41" t="e">
        <f>VLOOKUP(G115,源数据!A:K,11,FALSE)</f>
        <v>#N/A</v>
      </c>
      <c r="G115" s="42" t="str">
        <f t="shared" si="1"/>
        <v/>
      </c>
    </row>
    <row r="116" ht="15" spans="1:7">
      <c r="A116" s="36" t="str">
        <f>IF(C116="","",IF(C116=跟进查询!$B$2,1+A115,A115))</f>
        <v/>
      </c>
      <c r="B116" s="39"/>
      <c r="C116" s="39"/>
      <c r="D116" s="39"/>
      <c r="E116" s="39"/>
      <c r="F116" s="41" t="e">
        <f>VLOOKUP(G116,源数据!A:K,11,FALSE)</f>
        <v>#N/A</v>
      </c>
      <c r="G116" s="42" t="str">
        <f t="shared" si="1"/>
        <v/>
      </c>
    </row>
    <row r="117" ht="15" spans="1:7">
      <c r="A117" s="36" t="str">
        <f>IF(C117="","",IF(C117=跟进查询!$B$2,1+A116,A116))</f>
        <v/>
      </c>
      <c r="B117" s="39"/>
      <c r="C117" s="39"/>
      <c r="D117" s="39"/>
      <c r="E117" s="39"/>
      <c r="F117" s="41" t="e">
        <f>VLOOKUP(G117,源数据!A:K,11,FALSE)</f>
        <v>#N/A</v>
      </c>
      <c r="G117" s="42" t="str">
        <f t="shared" si="1"/>
        <v/>
      </c>
    </row>
    <row r="118" ht="15" spans="1:7">
      <c r="A118" s="36" t="str">
        <f>IF(C118="","",IF(C118=跟进查询!$B$2,1+A117,A117))</f>
        <v/>
      </c>
      <c r="B118" s="39"/>
      <c r="C118" s="39"/>
      <c r="D118" s="39"/>
      <c r="E118" s="39"/>
      <c r="F118" s="41" t="e">
        <f>VLOOKUP(G118,源数据!A:K,11,FALSE)</f>
        <v>#N/A</v>
      </c>
      <c r="G118" s="42" t="str">
        <f t="shared" si="1"/>
        <v/>
      </c>
    </row>
    <row r="119" ht="15" spans="1:7">
      <c r="A119" s="36" t="str">
        <f>IF(C119="","",IF(C119=跟进查询!$B$2,1+A118,A118))</f>
        <v/>
      </c>
      <c r="B119" s="39"/>
      <c r="C119" s="39"/>
      <c r="D119" s="39"/>
      <c r="E119" s="39"/>
      <c r="F119" s="41" t="e">
        <f>VLOOKUP(G119,源数据!A:K,11,FALSE)</f>
        <v>#N/A</v>
      </c>
      <c r="G119" s="42" t="str">
        <f t="shared" si="1"/>
        <v/>
      </c>
    </row>
    <row r="120" ht="15" spans="1:7">
      <c r="A120" s="36" t="str">
        <f>IF(C120="","",IF(C120=跟进查询!$B$2,1+A119,A119))</f>
        <v/>
      </c>
      <c r="B120" s="39"/>
      <c r="C120" s="39"/>
      <c r="D120" s="39"/>
      <c r="E120" s="39"/>
      <c r="F120" s="41" t="e">
        <f>VLOOKUP(G120,源数据!A:K,11,FALSE)</f>
        <v>#N/A</v>
      </c>
      <c r="G120" s="42" t="str">
        <f t="shared" si="1"/>
        <v/>
      </c>
    </row>
    <row r="121" ht="15" spans="1:7">
      <c r="A121" s="36" t="str">
        <f>IF(C121="","",IF(C121=跟进查询!$B$2,1+A120,A120))</f>
        <v/>
      </c>
      <c r="B121" s="39"/>
      <c r="C121" s="39"/>
      <c r="D121" s="39"/>
      <c r="E121" s="39"/>
      <c r="F121" s="41" t="e">
        <f>VLOOKUP(G121,源数据!A:K,11,FALSE)</f>
        <v>#N/A</v>
      </c>
      <c r="G121" s="42" t="str">
        <f t="shared" si="1"/>
        <v/>
      </c>
    </row>
    <row r="122" ht="15" spans="1:7">
      <c r="A122" s="36" t="str">
        <f>IF(C122="","",IF(C122=跟进查询!$B$2,1+A121,A121))</f>
        <v/>
      </c>
      <c r="B122" s="39"/>
      <c r="C122" s="39"/>
      <c r="D122" s="39"/>
      <c r="E122" s="39"/>
      <c r="F122" s="41" t="e">
        <f>VLOOKUP(G122,源数据!A:K,11,FALSE)</f>
        <v>#N/A</v>
      </c>
      <c r="G122" s="42" t="str">
        <f t="shared" si="1"/>
        <v/>
      </c>
    </row>
    <row r="123" ht="15" spans="1:7">
      <c r="A123" s="36" t="str">
        <f>IF(C123="","",IF(C123=跟进查询!$B$2,1+A122,A122))</f>
        <v/>
      </c>
      <c r="B123" s="39"/>
      <c r="C123" s="39"/>
      <c r="D123" s="39"/>
      <c r="E123" s="39"/>
      <c r="F123" s="41" t="e">
        <f>VLOOKUP(G123,源数据!A:K,11,FALSE)</f>
        <v>#N/A</v>
      </c>
      <c r="G123" s="42" t="str">
        <f t="shared" si="1"/>
        <v/>
      </c>
    </row>
    <row r="124" ht="15" spans="1:7">
      <c r="A124" s="36" t="str">
        <f>IF(C124="","",IF(C124=跟进查询!$B$2,1+A123,A123))</f>
        <v/>
      </c>
      <c r="B124" s="39"/>
      <c r="C124" s="39"/>
      <c r="D124" s="39"/>
      <c r="E124" s="39"/>
      <c r="F124" s="41" t="e">
        <f>VLOOKUP(G124,源数据!A:K,11,FALSE)</f>
        <v>#N/A</v>
      </c>
      <c r="G124" s="42" t="str">
        <f t="shared" si="1"/>
        <v/>
      </c>
    </row>
    <row r="125" ht="15" spans="1:7">
      <c r="A125" s="36" t="str">
        <f>IF(C125="","",IF(C125=跟进查询!$B$2,1+A124,A124))</f>
        <v/>
      </c>
      <c r="B125" s="39"/>
      <c r="C125" s="39"/>
      <c r="D125" s="39"/>
      <c r="E125" s="39"/>
      <c r="F125" s="41" t="e">
        <f>VLOOKUP(G125,源数据!A:K,11,FALSE)</f>
        <v>#N/A</v>
      </c>
      <c r="G125" s="42" t="str">
        <f t="shared" si="1"/>
        <v/>
      </c>
    </row>
    <row r="126" ht="15" spans="1:7">
      <c r="A126" s="36" t="str">
        <f>IF(C126="","",IF(C126=跟进查询!$B$2,1+A125,A125))</f>
        <v/>
      </c>
      <c r="B126" s="39"/>
      <c r="C126" s="39"/>
      <c r="D126" s="39"/>
      <c r="E126" s="39"/>
      <c r="F126" s="41" t="e">
        <f>VLOOKUP(G126,源数据!A:K,11,FALSE)</f>
        <v>#N/A</v>
      </c>
      <c r="G126" s="42" t="str">
        <f t="shared" si="1"/>
        <v/>
      </c>
    </row>
    <row r="127" ht="15" spans="1:7">
      <c r="A127" s="36" t="str">
        <f>IF(C127="","",IF(C127=跟进查询!$B$2,1+A126,A126))</f>
        <v/>
      </c>
      <c r="B127" s="39"/>
      <c r="C127" s="39"/>
      <c r="D127" s="39"/>
      <c r="E127" s="39"/>
      <c r="F127" s="41" t="e">
        <f>VLOOKUP(G127,源数据!A:K,11,FALSE)</f>
        <v>#N/A</v>
      </c>
      <c r="G127" s="42" t="str">
        <f t="shared" si="1"/>
        <v/>
      </c>
    </row>
    <row r="128" ht="15" spans="1:7">
      <c r="A128" s="36" t="str">
        <f>IF(C128="","",IF(C128=跟进查询!$B$2,1+A127,A127))</f>
        <v/>
      </c>
      <c r="B128" s="39"/>
      <c r="C128" s="39"/>
      <c r="D128" s="39"/>
      <c r="E128" s="39"/>
      <c r="F128" s="41" t="e">
        <f>VLOOKUP(G128,源数据!A:K,11,FALSE)</f>
        <v>#N/A</v>
      </c>
      <c r="G128" s="42" t="str">
        <f t="shared" si="1"/>
        <v/>
      </c>
    </row>
    <row r="129" ht="15" spans="1:7">
      <c r="A129" s="36" t="str">
        <f>IF(C129="","",IF(C129=跟进查询!$B$2,1+A128,A128))</f>
        <v/>
      </c>
      <c r="B129" s="39"/>
      <c r="C129" s="39"/>
      <c r="D129" s="39"/>
      <c r="E129" s="39"/>
      <c r="F129" s="41" t="e">
        <f>VLOOKUP(G129,源数据!A:K,11,FALSE)</f>
        <v>#N/A</v>
      </c>
      <c r="G129" s="42" t="str">
        <f t="shared" si="1"/>
        <v/>
      </c>
    </row>
    <row r="130" ht="15" spans="1:7">
      <c r="A130" s="36" t="str">
        <f>IF(C130="","",IF(C130=跟进查询!$B$2,1+A129,A129))</f>
        <v/>
      </c>
      <c r="B130" s="39"/>
      <c r="C130" s="39"/>
      <c r="D130" s="39"/>
      <c r="E130" s="39"/>
      <c r="F130" s="41" t="e">
        <f>VLOOKUP(G130,源数据!A:K,11,FALSE)</f>
        <v>#N/A</v>
      </c>
      <c r="G130" s="42" t="str">
        <f t="shared" si="1"/>
        <v/>
      </c>
    </row>
    <row r="131" ht="15" spans="1:7">
      <c r="A131" s="36" t="str">
        <f>IF(C131="","",IF(C131=跟进查询!$B$2,1+A130,A130))</f>
        <v/>
      </c>
      <c r="B131" s="39"/>
      <c r="C131" s="39"/>
      <c r="D131" s="39"/>
      <c r="E131" s="39"/>
      <c r="F131" s="41" t="e">
        <f>VLOOKUP(G131,源数据!A:K,11,FALSE)</f>
        <v>#N/A</v>
      </c>
      <c r="G131" s="42" t="str">
        <f t="shared" si="1"/>
        <v/>
      </c>
    </row>
    <row r="132" ht="15" spans="1:7">
      <c r="A132" s="36" t="str">
        <f>IF(C132="","",IF(C132=跟进查询!$B$2,1+A131,A131))</f>
        <v/>
      </c>
      <c r="B132" s="39"/>
      <c r="C132" s="39"/>
      <c r="D132" s="39"/>
      <c r="E132" s="39"/>
      <c r="F132" s="41" t="e">
        <f>VLOOKUP(G132,源数据!A:K,11,FALSE)</f>
        <v>#N/A</v>
      </c>
      <c r="G132" s="42" t="str">
        <f t="shared" ref="G132:G195" si="2">B132&amp;C132</f>
        <v/>
      </c>
    </row>
    <row r="133" ht="15" spans="1:7">
      <c r="A133" s="36" t="str">
        <f>IF(C133="","",IF(C133=跟进查询!$B$2,1+A132,A132))</f>
        <v/>
      </c>
      <c r="B133" s="39"/>
      <c r="C133" s="39"/>
      <c r="D133" s="39"/>
      <c r="E133" s="39"/>
      <c r="F133" s="41" t="e">
        <f>VLOOKUP(G133,源数据!A:K,11,FALSE)</f>
        <v>#N/A</v>
      </c>
      <c r="G133" s="42" t="str">
        <f t="shared" si="2"/>
        <v/>
      </c>
    </row>
    <row r="134" ht="15" spans="1:7">
      <c r="A134" s="36" t="str">
        <f>IF(C134="","",IF(C134=跟进查询!$B$2,1+A133,A133))</f>
        <v/>
      </c>
      <c r="B134" s="39"/>
      <c r="C134" s="39"/>
      <c r="D134" s="39"/>
      <c r="E134" s="39"/>
      <c r="F134" s="41" t="e">
        <f>VLOOKUP(G134,源数据!A:K,11,FALSE)</f>
        <v>#N/A</v>
      </c>
      <c r="G134" s="42" t="str">
        <f t="shared" si="2"/>
        <v/>
      </c>
    </row>
    <row r="135" ht="15" spans="1:7">
      <c r="A135" s="36" t="str">
        <f>IF(C135="","",IF(C135=跟进查询!$B$2,1+A134,A134))</f>
        <v/>
      </c>
      <c r="B135" s="39"/>
      <c r="C135" s="39"/>
      <c r="D135" s="39"/>
      <c r="E135" s="39"/>
      <c r="F135" s="41" t="e">
        <f>VLOOKUP(G135,源数据!A:K,11,FALSE)</f>
        <v>#N/A</v>
      </c>
      <c r="G135" s="42" t="str">
        <f t="shared" si="2"/>
        <v/>
      </c>
    </row>
    <row r="136" ht="15" spans="1:7">
      <c r="A136" s="36" t="str">
        <f>IF(C136="","",IF(C136=跟进查询!$B$2,1+A135,A135))</f>
        <v/>
      </c>
      <c r="B136" s="39"/>
      <c r="C136" s="39"/>
      <c r="D136" s="39"/>
      <c r="E136" s="39"/>
      <c r="F136" s="41" t="e">
        <f>VLOOKUP(G136,源数据!A:K,11,FALSE)</f>
        <v>#N/A</v>
      </c>
      <c r="G136" s="42" t="str">
        <f t="shared" si="2"/>
        <v/>
      </c>
    </row>
    <row r="137" ht="15" spans="1:7">
      <c r="A137" s="36" t="str">
        <f>IF(C137="","",IF(C137=跟进查询!$B$2,1+A136,A136))</f>
        <v/>
      </c>
      <c r="B137" s="39"/>
      <c r="C137" s="39"/>
      <c r="D137" s="39"/>
      <c r="E137" s="39"/>
      <c r="F137" s="41" t="e">
        <f>VLOOKUP(G137,源数据!A:K,11,FALSE)</f>
        <v>#N/A</v>
      </c>
      <c r="G137" s="42" t="str">
        <f t="shared" si="2"/>
        <v/>
      </c>
    </row>
    <row r="138" ht="15" spans="1:7">
      <c r="A138" s="36" t="str">
        <f>IF(C138="","",IF(C138=跟进查询!$B$2,1+A137,A137))</f>
        <v/>
      </c>
      <c r="B138" s="39"/>
      <c r="C138" s="39"/>
      <c r="D138" s="39"/>
      <c r="E138" s="39"/>
      <c r="F138" s="41" t="e">
        <f>VLOOKUP(G138,源数据!A:K,11,FALSE)</f>
        <v>#N/A</v>
      </c>
      <c r="G138" s="42" t="str">
        <f t="shared" si="2"/>
        <v/>
      </c>
    </row>
    <row r="139" ht="15" spans="1:7">
      <c r="A139" s="36" t="str">
        <f>IF(C139="","",IF(C139=跟进查询!$B$2,1+A138,A138))</f>
        <v/>
      </c>
      <c r="B139" s="39"/>
      <c r="C139" s="39"/>
      <c r="D139" s="39"/>
      <c r="E139" s="39"/>
      <c r="F139" s="41" t="e">
        <f>VLOOKUP(G139,源数据!A:K,11,FALSE)</f>
        <v>#N/A</v>
      </c>
      <c r="G139" s="42" t="str">
        <f t="shared" si="2"/>
        <v/>
      </c>
    </row>
    <row r="140" ht="15" spans="1:7">
      <c r="A140" s="36" t="str">
        <f>IF(C140="","",IF(C140=跟进查询!$B$2,1+A139,A139))</f>
        <v/>
      </c>
      <c r="B140" s="39"/>
      <c r="C140" s="39"/>
      <c r="D140" s="39"/>
      <c r="E140" s="39"/>
      <c r="F140" s="41" t="e">
        <f>VLOOKUP(G140,源数据!A:K,11,FALSE)</f>
        <v>#N/A</v>
      </c>
      <c r="G140" s="42" t="str">
        <f t="shared" si="2"/>
        <v/>
      </c>
    </row>
    <row r="141" ht="15" spans="1:7">
      <c r="A141" s="36" t="str">
        <f>IF(C141="","",IF(C141=跟进查询!$B$2,1+A140,A140))</f>
        <v/>
      </c>
      <c r="B141" s="39"/>
      <c r="C141" s="39"/>
      <c r="D141" s="39"/>
      <c r="E141" s="39"/>
      <c r="F141" s="41" t="e">
        <f>VLOOKUP(G141,源数据!A:K,11,FALSE)</f>
        <v>#N/A</v>
      </c>
      <c r="G141" s="42" t="str">
        <f t="shared" si="2"/>
        <v/>
      </c>
    </row>
    <row r="142" ht="15" spans="1:7">
      <c r="A142" s="36" t="str">
        <f>IF(C142="","",IF(C142=跟进查询!$B$2,1+A141,A141))</f>
        <v/>
      </c>
      <c r="B142" s="39"/>
      <c r="C142" s="39"/>
      <c r="D142" s="39"/>
      <c r="E142" s="39"/>
      <c r="F142" s="41" t="e">
        <f>VLOOKUP(G142,源数据!A:K,11,FALSE)</f>
        <v>#N/A</v>
      </c>
      <c r="G142" s="42" t="str">
        <f t="shared" si="2"/>
        <v/>
      </c>
    </row>
    <row r="143" ht="15" spans="1:7">
      <c r="A143" s="36" t="str">
        <f>IF(C143="","",IF(C143=跟进查询!$B$2,1+A142,A142))</f>
        <v/>
      </c>
      <c r="B143" s="39"/>
      <c r="C143" s="39"/>
      <c r="D143" s="39"/>
      <c r="E143" s="39"/>
      <c r="F143" s="41" t="e">
        <f>VLOOKUP(G143,源数据!A:K,11,FALSE)</f>
        <v>#N/A</v>
      </c>
      <c r="G143" s="42" t="str">
        <f t="shared" si="2"/>
        <v/>
      </c>
    </row>
    <row r="144" ht="15" spans="1:7">
      <c r="A144" s="36" t="str">
        <f>IF(C144="","",IF(C144=跟进查询!$B$2,1+A143,A143))</f>
        <v/>
      </c>
      <c r="B144" s="39"/>
      <c r="C144" s="39"/>
      <c r="D144" s="39"/>
      <c r="E144" s="39"/>
      <c r="F144" s="41" t="e">
        <f>VLOOKUP(G144,源数据!A:K,11,FALSE)</f>
        <v>#N/A</v>
      </c>
      <c r="G144" s="42" t="str">
        <f t="shared" si="2"/>
        <v/>
      </c>
    </row>
    <row r="145" ht="15" spans="1:7">
      <c r="A145" s="36" t="str">
        <f>IF(C145="","",IF(C145=跟进查询!$B$2,1+A144,A144))</f>
        <v/>
      </c>
      <c r="B145" s="39"/>
      <c r="C145" s="39"/>
      <c r="D145" s="39"/>
      <c r="E145" s="39"/>
      <c r="F145" s="41" t="e">
        <f>VLOOKUP(G145,源数据!A:K,11,FALSE)</f>
        <v>#N/A</v>
      </c>
      <c r="G145" s="42" t="str">
        <f t="shared" si="2"/>
        <v/>
      </c>
    </row>
    <row r="146" ht="15" spans="1:7">
      <c r="A146" s="36" t="str">
        <f>IF(C146="","",IF(C146=跟进查询!$B$2,1+A145,A145))</f>
        <v/>
      </c>
      <c r="B146" s="39"/>
      <c r="C146" s="39"/>
      <c r="D146" s="39"/>
      <c r="E146" s="39"/>
      <c r="F146" s="41" t="e">
        <f>VLOOKUP(G146,源数据!A:K,11,FALSE)</f>
        <v>#N/A</v>
      </c>
      <c r="G146" s="42" t="str">
        <f t="shared" si="2"/>
        <v/>
      </c>
    </row>
    <row r="147" ht="15" spans="1:7">
      <c r="A147" s="36" t="str">
        <f>IF(C147="","",IF(C147=跟进查询!$B$2,1+A146,A146))</f>
        <v/>
      </c>
      <c r="B147" s="39"/>
      <c r="C147" s="39"/>
      <c r="D147" s="39"/>
      <c r="E147" s="39"/>
      <c r="F147" s="41" t="e">
        <f>VLOOKUP(G147,源数据!A:K,11,FALSE)</f>
        <v>#N/A</v>
      </c>
      <c r="G147" s="42" t="str">
        <f t="shared" si="2"/>
        <v/>
      </c>
    </row>
    <row r="148" ht="15" spans="1:7">
      <c r="A148" s="36" t="str">
        <f>IF(C148="","",IF(C148=跟进查询!$B$2,1+A147,A147))</f>
        <v/>
      </c>
      <c r="B148" s="39"/>
      <c r="C148" s="39"/>
      <c r="D148" s="39"/>
      <c r="E148" s="39"/>
      <c r="F148" s="41" t="e">
        <f>VLOOKUP(G148,源数据!A:K,11,FALSE)</f>
        <v>#N/A</v>
      </c>
      <c r="G148" s="42" t="str">
        <f t="shared" si="2"/>
        <v/>
      </c>
    </row>
    <row r="149" ht="15" spans="1:7">
      <c r="A149" s="36" t="str">
        <f>IF(C149="","",IF(C149=跟进查询!$B$2,1+A148,A148))</f>
        <v/>
      </c>
      <c r="B149" s="39"/>
      <c r="C149" s="39"/>
      <c r="D149" s="39"/>
      <c r="E149" s="39"/>
      <c r="F149" s="41" t="e">
        <f>VLOOKUP(G149,源数据!A:K,11,FALSE)</f>
        <v>#N/A</v>
      </c>
      <c r="G149" s="42" t="str">
        <f t="shared" si="2"/>
        <v/>
      </c>
    </row>
    <row r="150" ht="15" spans="1:7">
      <c r="A150" s="36" t="str">
        <f>IF(C150="","",IF(C150=跟进查询!$B$2,1+A149,A149))</f>
        <v/>
      </c>
      <c r="B150" s="39"/>
      <c r="C150" s="39"/>
      <c r="D150" s="39"/>
      <c r="E150" s="39"/>
      <c r="F150" s="41" t="e">
        <f>VLOOKUP(G150,源数据!A:K,11,FALSE)</f>
        <v>#N/A</v>
      </c>
      <c r="G150" s="42" t="str">
        <f t="shared" si="2"/>
        <v/>
      </c>
    </row>
    <row r="151" ht="15" spans="1:7">
      <c r="A151" s="36" t="str">
        <f>IF(C151="","",IF(C151=跟进查询!$B$2,1+A150,A150))</f>
        <v/>
      </c>
      <c r="B151" s="39"/>
      <c r="C151" s="39"/>
      <c r="D151" s="39"/>
      <c r="E151" s="39"/>
      <c r="F151" s="41" t="e">
        <f>VLOOKUP(G151,源数据!A:K,11,FALSE)</f>
        <v>#N/A</v>
      </c>
      <c r="G151" s="42" t="str">
        <f t="shared" si="2"/>
        <v/>
      </c>
    </row>
    <row r="152" ht="15" spans="1:7">
      <c r="A152" s="36" t="str">
        <f>IF(C152="","",IF(C152=跟进查询!$B$2,1+A151,A151))</f>
        <v/>
      </c>
      <c r="B152" s="39"/>
      <c r="C152" s="39"/>
      <c r="D152" s="39"/>
      <c r="E152" s="39"/>
      <c r="F152" s="41" t="e">
        <f>VLOOKUP(G152,源数据!A:K,11,FALSE)</f>
        <v>#N/A</v>
      </c>
      <c r="G152" s="42" t="str">
        <f t="shared" si="2"/>
        <v/>
      </c>
    </row>
    <row r="153" ht="15" spans="1:7">
      <c r="A153" s="36" t="str">
        <f>IF(C153="","",IF(C153=跟进查询!$B$2,1+A152,A152))</f>
        <v/>
      </c>
      <c r="B153" s="39"/>
      <c r="C153" s="39"/>
      <c r="D153" s="39"/>
      <c r="E153" s="39"/>
      <c r="F153" s="41" t="e">
        <f>VLOOKUP(G153,源数据!A:K,11,FALSE)</f>
        <v>#N/A</v>
      </c>
      <c r="G153" s="42" t="str">
        <f t="shared" si="2"/>
        <v/>
      </c>
    </row>
    <row r="154" ht="15" spans="1:7">
      <c r="A154" s="36" t="str">
        <f>IF(C154="","",IF(C154=跟进查询!$B$2,1+A153,A153))</f>
        <v/>
      </c>
      <c r="B154" s="39"/>
      <c r="C154" s="39"/>
      <c r="D154" s="39"/>
      <c r="E154" s="39"/>
      <c r="F154" s="41" t="e">
        <f>VLOOKUP(G154,源数据!A:K,11,FALSE)</f>
        <v>#N/A</v>
      </c>
      <c r="G154" s="42" t="str">
        <f t="shared" si="2"/>
        <v/>
      </c>
    </row>
    <row r="155" ht="15" spans="1:7">
      <c r="A155" s="36" t="str">
        <f>IF(C155="","",IF(C155=跟进查询!$B$2,1+A154,A154))</f>
        <v/>
      </c>
      <c r="B155" s="39"/>
      <c r="C155" s="39"/>
      <c r="D155" s="39"/>
      <c r="E155" s="39"/>
      <c r="F155" s="41" t="e">
        <f>VLOOKUP(G155,源数据!A:K,11,FALSE)</f>
        <v>#N/A</v>
      </c>
      <c r="G155" s="42" t="str">
        <f t="shared" si="2"/>
        <v/>
      </c>
    </row>
    <row r="156" ht="15" spans="1:7">
      <c r="A156" s="36" t="str">
        <f>IF(C156="","",IF(C156=跟进查询!$B$2,1+A155,A155))</f>
        <v/>
      </c>
      <c r="B156" s="39"/>
      <c r="C156" s="39"/>
      <c r="D156" s="39"/>
      <c r="E156" s="39"/>
      <c r="F156" s="41" t="e">
        <f>VLOOKUP(G156,源数据!A:K,11,FALSE)</f>
        <v>#N/A</v>
      </c>
      <c r="G156" s="42" t="str">
        <f t="shared" si="2"/>
        <v/>
      </c>
    </row>
    <row r="157" ht="15" spans="1:7">
      <c r="A157" s="36" t="str">
        <f>IF(C157="","",IF(C157=跟进查询!$B$2,1+A156,A156))</f>
        <v/>
      </c>
      <c r="B157" s="39"/>
      <c r="C157" s="39"/>
      <c r="D157" s="39"/>
      <c r="E157" s="39"/>
      <c r="F157" s="41" t="e">
        <f>VLOOKUP(G157,源数据!A:K,11,FALSE)</f>
        <v>#N/A</v>
      </c>
      <c r="G157" s="42" t="str">
        <f t="shared" si="2"/>
        <v/>
      </c>
    </row>
    <row r="158" ht="15" spans="1:7">
      <c r="A158" s="36" t="str">
        <f>IF(C158="","",IF(C158=跟进查询!$B$2,1+A157,A157))</f>
        <v/>
      </c>
      <c r="B158" s="39"/>
      <c r="C158" s="39"/>
      <c r="D158" s="39"/>
      <c r="E158" s="39"/>
      <c r="F158" s="41" t="e">
        <f>VLOOKUP(G158,源数据!A:K,11,FALSE)</f>
        <v>#N/A</v>
      </c>
      <c r="G158" s="42" t="str">
        <f t="shared" si="2"/>
        <v/>
      </c>
    </row>
    <row r="159" ht="15" spans="1:7">
      <c r="A159" s="36" t="str">
        <f>IF(C159="","",IF(C159=跟进查询!$B$2,1+A158,A158))</f>
        <v/>
      </c>
      <c r="B159" s="39"/>
      <c r="C159" s="39"/>
      <c r="D159" s="39"/>
      <c r="E159" s="39"/>
      <c r="F159" s="41" t="e">
        <f>VLOOKUP(G159,源数据!A:K,11,FALSE)</f>
        <v>#N/A</v>
      </c>
      <c r="G159" s="42" t="str">
        <f t="shared" si="2"/>
        <v/>
      </c>
    </row>
    <row r="160" ht="15" spans="1:7">
      <c r="A160" s="36" t="str">
        <f>IF(C160="","",IF(C160=跟进查询!$B$2,1+A159,A159))</f>
        <v/>
      </c>
      <c r="B160" s="39"/>
      <c r="C160" s="39"/>
      <c r="D160" s="39"/>
      <c r="E160" s="39"/>
      <c r="F160" s="41" t="e">
        <f>VLOOKUP(G160,源数据!A:K,11,FALSE)</f>
        <v>#N/A</v>
      </c>
      <c r="G160" s="42" t="str">
        <f t="shared" si="2"/>
        <v/>
      </c>
    </row>
    <row r="161" ht="15" spans="1:7">
      <c r="A161" s="36" t="str">
        <f>IF(C161="","",IF(C161=跟进查询!$B$2,1+A160,A160))</f>
        <v/>
      </c>
      <c r="B161" s="39"/>
      <c r="C161" s="39"/>
      <c r="D161" s="39"/>
      <c r="E161" s="39"/>
      <c r="F161" s="41" t="e">
        <f>VLOOKUP(G161,源数据!A:K,11,FALSE)</f>
        <v>#N/A</v>
      </c>
      <c r="G161" s="42" t="str">
        <f t="shared" si="2"/>
        <v/>
      </c>
    </row>
    <row r="162" ht="15" spans="1:7">
      <c r="A162" s="36" t="str">
        <f>IF(C162="","",IF(C162=跟进查询!$B$2,1+A161,A161))</f>
        <v/>
      </c>
      <c r="B162" s="39"/>
      <c r="C162" s="39"/>
      <c r="D162" s="39"/>
      <c r="E162" s="39"/>
      <c r="F162" s="41" t="e">
        <f>VLOOKUP(G162,源数据!A:K,11,FALSE)</f>
        <v>#N/A</v>
      </c>
      <c r="G162" s="42" t="str">
        <f t="shared" si="2"/>
        <v/>
      </c>
    </row>
    <row r="163" ht="15" spans="1:7">
      <c r="A163" s="36" t="str">
        <f>IF(C163="","",IF(C163=跟进查询!$B$2,1+A162,A162))</f>
        <v/>
      </c>
      <c r="B163" s="39"/>
      <c r="C163" s="39"/>
      <c r="D163" s="39"/>
      <c r="E163" s="39"/>
      <c r="F163" s="41" t="e">
        <f>VLOOKUP(G163,源数据!A:K,11,FALSE)</f>
        <v>#N/A</v>
      </c>
      <c r="G163" s="42" t="str">
        <f t="shared" si="2"/>
        <v/>
      </c>
    </row>
    <row r="164" ht="15" spans="1:7">
      <c r="A164" s="36" t="str">
        <f>IF(C164="","",IF(C164=跟进查询!$B$2,1+A163,A163))</f>
        <v/>
      </c>
      <c r="B164" s="39"/>
      <c r="C164" s="39"/>
      <c r="D164" s="39"/>
      <c r="E164" s="39"/>
      <c r="F164" s="41" t="e">
        <f>VLOOKUP(G164,源数据!A:K,11,FALSE)</f>
        <v>#N/A</v>
      </c>
      <c r="G164" s="42" t="str">
        <f t="shared" si="2"/>
        <v/>
      </c>
    </row>
    <row r="165" ht="15" spans="1:7">
      <c r="A165" s="36" t="str">
        <f>IF(C165="","",IF(C165=跟进查询!$B$2,1+A164,A164))</f>
        <v/>
      </c>
      <c r="B165" s="39"/>
      <c r="C165" s="39"/>
      <c r="D165" s="39"/>
      <c r="E165" s="39"/>
      <c r="F165" s="41" t="e">
        <f>VLOOKUP(G165,源数据!A:K,11,FALSE)</f>
        <v>#N/A</v>
      </c>
      <c r="G165" s="42" t="str">
        <f t="shared" si="2"/>
        <v/>
      </c>
    </row>
    <row r="166" ht="15" spans="1:7">
      <c r="A166" s="36" t="str">
        <f>IF(C166="","",IF(C166=跟进查询!$B$2,1+A165,A165))</f>
        <v/>
      </c>
      <c r="B166" s="39"/>
      <c r="C166" s="39"/>
      <c r="D166" s="39"/>
      <c r="E166" s="39"/>
      <c r="F166" s="41" t="e">
        <f>VLOOKUP(G166,源数据!A:K,11,FALSE)</f>
        <v>#N/A</v>
      </c>
      <c r="G166" s="42" t="str">
        <f t="shared" si="2"/>
        <v/>
      </c>
    </row>
    <row r="167" ht="15" spans="1:7">
      <c r="A167" s="36" t="str">
        <f>IF(C167="","",IF(C167=跟进查询!$B$2,1+A166,A166))</f>
        <v/>
      </c>
      <c r="B167" s="39"/>
      <c r="C167" s="39"/>
      <c r="D167" s="39"/>
      <c r="E167" s="39"/>
      <c r="F167" s="41" t="e">
        <f>VLOOKUP(G167,源数据!A:K,11,FALSE)</f>
        <v>#N/A</v>
      </c>
      <c r="G167" s="42" t="str">
        <f t="shared" si="2"/>
        <v/>
      </c>
    </row>
    <row r="168" ht="15" spans="1:7">
      <c r="A168" s="36" t="str">
        <f>IF(C168="","",IF(C168=跟进查询!$B$2,1+A167,A167))</f>
        <v/>
      </c>
      <c r="B168" s="39"/>
      <c r="C168" s="39"/>
      <c r="D168" s="39"/>
      <c r="E168" s="39"/>
      <c r="F168" s="41" t="e">
        <f>VLOOKUP(G168,源数据!A:K,11,FALSE)</f>
        <v>#N/A</v>
      </c>
      <c r="G168" s="42" t="str">
        <f t="shared" si="2"/>
        <v/>
      </c>
    </row>
    <row r="169" ht="15" spans="1:7">
      <c r="A169" s="36" t="str">
        <f>IF(C169="","",IF(C169=跟进查询!$B$2,1+A168,A168))</f>
        <v/>
      </c>
      <c r="B169" s="39"/>
      <c r="C169" s="39"/>
      <c r="D169" s="39"/>
      <c r="E169" s="39"/>
      <c r="F169" s="41" t="e">
        <f>VLOOKUP(G169,源数据!A:K,11,FALSE)</f>
        <v>#N/A</v>
      </c>
      <c r="G169" s="42" t="str">
        <f t="shared" si="2"/>
        <v/>
      </c>
    </row>
    <row r="170" ht="15" spans="1:7">
      <c r="A170" s="36" t="str">
        <f>IF(C170="","",IF(C170=跟进查询!$B$2,1+A169,A169))</f>
        <v/>
      </c>
      <c r="B170" s="39"/>
      <c r="C170" s="39"/>
      <c r="D170" s="39"/>
      <c r="E170" s="39"/>
      <c r="F170" s="41" t="e">
        <f>VLOOKUP(G170,源数据!A:K,11,FALSE)</f>
        <v>#N/A</v>
      </c>
      <c r="G170" s="42" t="str">
        <f t="shared" si="2"/>
        <v/>
      </c>
    </row>
    <row r="171" ht="15" spans="1:7">
      <c r="A171" s="36" t="str">
        <f>IF(C171="","",IF(C171=跟进查询!$B$2,1+A170,A170))</f>
        <v/>
      </c>
      <c r="B171" s="39"/>
      <c r="C171" s="39"/>
      <c r="D171" s="39"/>
      <c r="E171" s="39"/>
      <c r="F171" s="41" t="e">
        <f>VLOOKUP(G171,源数据!A:K,11,FALSE)</f>
        <v>#N/A</v>
      </c>
      <c r="G171" s="42" t="str">
        <f t="shared" si="2"/>
        <v/>
      </c>
    </row>
    <row r="172" ht="15" spans="1:7">
      <c r="A172" s="36" t="str">
        <f>IF(C172="","",IF(C172=跟进查询!$B$2,1+A171,A171))</f>
        <v/>
      </c>
      <c r="B172" s="39"/>
      <c r="C172" s="39"/>
      <c r="D172" s="39"/>
      <c r="E172" s="39"/>
      <c r="F172" s="41" t="e">
        <f>VLOOKUP(G172,源数据!A:K,11,FALSE)</f>
        <v>#N/A</v>
      </c>
      <c r="G172" s="42" t="str">
        <f t="shared" si="2"/>
        <v/>
      </c>
    </row>
    <row r="173" ht="15" spans="1:7">
      <c r="A173" s="36" t="str">
        <f>IF(C173="","",IF(C173=跟进查询!$B$2,1+A172,A172))</f>
        <v/>
      </c>
      <c r="B173" s="39"/>
      <c r="C173" s="39"/>
      <c r="D173" s="39"/>
      <c r="E173" s="39"/>
      <c r="F173" s="41" t="e">
        <f>VLOOKUP(G173,源数据!A:K,11,FALSE)</f>
        <v>#N/A</v>
      </c>
      <c r="G173" s="42" t="str">
        <f t="shared" si="2"/>
        <v/>
      </c>
    </row>
    <row r="174" ht="15" spans="1:7">
      <c r="A174" s="36" t="str">
        <f>IF(C174="","",IF(C174=跟进查询!$B$2,1+A173,A173))</f>
        <v/>
      </c>
      <c r="B174" s="39"/>
      <c r="C174" s="39"/>
      <c r="D174" s="39"/>
      <c r="E174" s="39"/>
      <c r="F174" s="41" t="e">
        <f>VLOOKUP(G174,源数据!A:K,11,FALSE)</f>
        <v>#N/A</v>
      </c>
      <c r="G174" s="42" t="str">
        <f t="shared" si="2"/>
        <v/>
      </c>
    </row>
    <row r="175" ht="15" spans="1:7">
      <c r="A175" s="36" t="str">
        <f>IF(C175="","",IF(C175=跟进查询!$B$2,1+A174,A174))</f>
        <v/>
      </c>
      <c r="B175" s="39"/>
      <c r="C175" s="39"/>
      <c r="D175" s="39"/>
      <c r="E175" s="39"/>
      <c r="F175" s="41" t="e">
        <f>VLOOKUP(G175,源数据!A:K,11,FALSE)</f>
        <v>#N/A</v>
      </c>
      <c r="G175" s="42" t="str">
        <f t="shared" si="2"/>
        <v/>
      </c>
    </row>
    <row r="176" ht="15" spans="1:7">
      <c r="A176" s="36" t="str">
        <f>IF(C176="","",IF(C176=跟进查询!$B$2,1+A175,A175))</f>
        <v/>
      </c>
      <c r="B176" s="39"/>
      <c r="C176" s="39"/>
      <c r="D176" s="39"/>
      <c r="E176" s="39"/>
      <c r="F176" s="41" t="e">
        <f>VLOOKUP(G176,源数据!A:K,11,FALSE)</f>
        <v>#N/A</v>
      </c>
      <c r="G176" s="42" t="str">
        <f t="shared" si="2"/>
        <v/>
      </c>
    </row>
    <row r="177" ht="15" spans="1:7">
      <c r="A177" s="36" t="str">
        <f>IF(C177="","",IF(C177=跟进查询!$B$2,1+A176,A176))</f>
        <v/>
      </c>
      <c r="B177" s="39"/>
      <c r="C177" s="39"/>
      <c r="D177" s="39"/>
      <c r="E177" s="39"/>
      <c r="F177" s="41" t="e">
        <f>VLOOKUP(G177,源数据!A:K,11,FALSE)</f>
        <v>#N/A</v>
      </c>
      <c r="G177" s="42" t="str">
        <f t="shared" si="2"/>
        <v/>
      </c>
    </row>
    <row r="178" ht="15" spans="1:7">
      <c r="A178" s="36" t="str">
        <f>IF(C178="","",IF(C178=跟进查询!$B$2,1+A177,A177))</f>
        <v/>
      </c>
      <c r="B178" s="39"/>
      <c r="C178" s="39"/>
      <c r="D178" s="39"/>
      <c r="E178" s="39"/>
      <c r="F178" s="41" t="e">
        <f>VLOOKUP(G178,源数据!A:K,11,FALSE)</f>
        <v>#N/A</v>
      </c>
      <c r="G178" s="42" t="str">
        <f t="shared" si="2"/>
        <v/>
      </c>
    </row>
    <row r="179" ht="15" spans="1:7">
      <c r="A179" s="36" t="str">
        <f>IF(C179="","",IF(C179=跟进查询!$B$2,1+A178,A178))</f>
        <v/>
      </c>
      <c r="B179" s="39"/>
      <c r="C179" s="39"/>
      <c r="D179" s="39"/>
      <c r="E179" s="39"/>
      <c r="F179" s="41" t="e">
        <f>VLOOKUP(G179,源数据!A:K,11,FALSE)</f>
        <v>#N/A</v>
      </c>
      <c r="G179" s="42" t="str">
        <f t="shared" si="2"/>
        <v/>
      </c>
    </row>
    <row r="180" ht="15" spans="1:7">
      <c r="A180" s="36" t="str">
        <f>IF(C180="","",IF(C180=跟进查询!$B$2,1+A179,A179))</f>
        <v/>
      </c>
      <c r="B180" s="39"/>
      <c r="C180" s="39"/>
      <c r="D180" s="39"/>
      <c r="E180" s="39"/>
      <c r="F180" s="41" t="e">
        <f>VLOOKUP(G180,源数据!A:K,11,FALSE)</f>
        <v>#N/A</v>
      </c>
      <c r="G180" s="42" t="str">
        <f t="shared" si="2"/>
        <v/>
      </c>
    </row>
    <row r="181" ht="15" spans="1:7">
      <c r="A181" s="36" t="str">
        <f>IF(C181="","",IF(C181=跟进查询!$B$2,1+A180,A180))</f>
        <v/>
      </c>
      <c r="B181" s="39"/>
      <c r="C181" s="39"/>
      <c r="D181" s="39"/>
      <c r="E181" s="39"/>
      <c r="F181" s="41" t="e">
        <f>VLOOKUP(G181,源数据!A:K,11,FALSE)</f>
        <v>#N/A</v>
      </c>
      <c r="G181" s="42" t="str">
        <f t="shared" si="2"/>
        <v/>
      </c>
    </row>
    <row r="182" ht="15" spans="1:7">
      <c r="A182" s="36" t="str">
        <f>IF(C182="","",IF(C182=跟进查询!$B$2,1+A181,A181))</f>
        <v/>
      </c>
      <c r="B182" s="39"/>
      <c r="C182" s="39"/>
      <c r="D182" s="39"/>
      <c r="E182" s="39"/>
      <c r="F182" s="41" t="e">
        <f>VLOOKUP(G182,源数据!A:K,11,FALSE)</f>
        <v>#N/A</v>
      </c>
      <c r="G182" s="42" t="str">
        <f t="shared" si="2"/>
        <v/>
      </c>
    </row>
    <row r="183" ht="15" spans="1:7">
      <c r="A183" s="36" t="str">
        <f>IF(C183="","",IF(C183=跟进查询!$B$2,1+A182,A182))</f>
        <v/>
      </c>
      <c r="B183" s="39"/>
      <c r="C183" s="39"/>
      <c r="D183" s="39"/>
      <c r="E183" s="39"/>
      <c r="F183" s="41" t="e">
        <f>VLOOKUP(G183,源数据!A:K,11,FALSE)</f>
        <v>#N/A</v>
      </c>
      <c r="G183" s="42" t="str">
        <f t="shared" si="2"/>
        <v/>
      </c>
    </row>
    <row r="184" ht="15" spans="1:7">
      <c r="A184" s="36" t="str">
        <f>IF(C184="","",IF(C184=跟进查询!$B$2,1+A183,A183))</f>
        <v/>
      </c>
      <c r="B184" s="39"/>
      <c r="C184" s="39"/>
      <c r="D184" s="39"/>
      <c r="E184" s="39"/>
      <c r="F184" s="41" t="e">
        <f>VLOOKUP(G184,源数据!A:K,11,FALSE)</f>
        <v>#N/A</v>
      </c>
      <c r="G184" s="42" t="str">
        <f t="shared" si="2"/>
        <v/>
      </c>
    </row>
    <row r="185" ht="15" spans="1:7">
      <c r="A185" s="36" t="str">
        <f>IF(C185="","",IF(C185=跟进查询!$B$2,1+A184,A184))</f>
        <v/>
      </c>
      <c r="B185" s="39"/>
      <c r="C185" s="39"/>
      <c r="D185" s="39"/>
      <c r="E185" s="39"/>
      <c r="F185" s="41" t="e">
        <f>VLOOKUP(G185,源数据!A:K,11,FALSE)</f>
        <v>#N/A</v>
      </c>
      <c r="G185" s="42" t="str">
        <f t="shared" si="2"/>
        <v/>
      </c>
    </row>
    <row r="186" ht="15" spans="1:7">
      <c r="A186" s="36" t="str">
        <f>IF(C186="","",IF(C186=跟进查询!$B$2,1+A185,A185))</f>
        <v/>
      </c>
      <c r="B186" s="39"/>
      <c r="C186" s="39"/>
      <c r="D186" s="39"/>
      <c r="E186" s="39"/>
      <c r="F186" s="41" t="e">
        <f>VLOOKUP(G186,源数据!A:K,11,FALSE)</f>
        <v>#N/A</v>
      </c>
      <c r="G186" s="42" t="str">
        <f t="shared" si="2"/>
        <v/>
      </c>
    </row>
    <row r="187" ht="15" spans="1:7">
      <c r="A187" s="36" t="str">
        <f>IF(C187="","",IF(C187=跟进查询!$B$2,1+A186,A186))</f>
        <v/>
      </c>
      <c r="B187" s="39"/>
      <c r="C187" s="39"/>
      <c r="D187" s="39"/>
      <c r="E187" s="39"/>
      <c r="F187" s="41" t="e">
        <f>VLOOKUP(G187,源数据!A:K,11,FALSE)</f>
        <v>#N/A</v>
      </c>
      <c r="G187" s="42" t="str">
        <f t="shared" si="2"/>
        <v/>
      </c>
    </row>
    <row r="188" ht="15" spans="1:7">
      <c r="A188" s="36" t="str">
        <f>IF(C188="","",IF(C188=跟进查询!$B$2,1+A187,A187))</f>
        <v/>
      </c>
      <c r="B188" s="39"/>
      <c r="C188" s="39"/>
      <c r="D188" s="39"/>
      <c r="E188" s="39"/>
      <c r="F188" s="41" t="e">
        <f>VLOOKUP(G188,源数据!A:K,11,FALSE)</f>
        <v>#N/A</v>
      </c>
      <c r="G188" s="42" t="str">
        <f t="shared" si="2"/>
        <v/>
      </c>
    </row>
    <row r="189" ht="15" spans="1:7">
      <c r="A189" s="36" t="str">
        <f>IF(C189="","",IF(C189=跟进查询!$B$2,1+A188,A188))</f>
        <v/>
      </c>
      <c r="B189" s="39"/>
      <c r="C189" s="39"/>
      <c r="D189" s="39"/>
      <c r="E189" s="39"/>
      <c r="F189" s="41" t="e">
        <f>VLOOKUP(G189,源数据!A:K,11,FALSE)</f>
        <v>#N/A</v>
      </c>
      <c r="G189" s="42" t="str">
        <f t="shared" si="2"/>
        <v/>
      </c>
    </row>
    <row r="190" ht="15" spans="1:7">
      <c r="A190" s="36" t="str">
        <f>IF(C190="","",IF(C190=跟进查询!$B$2,1+A189,A189))</f>
        <v/>
      </c>
      <c r="B190" s="39"/>
      <c r="C190" s="39"/>
      <c r="D190" s="39"/>
      <c r="E190" s="39"/>
      <c r="F190" s="41" t="e">
        <f>VLOOKUP(G190,源数据!A:K,11,FALSE)</f>
        <v>#N/A</v>
      </c>
      <c r="G190" s="42" t="str">
        <f t="shared" si="2"/>
        <v/>
      </c>
    </row>
    <row r="191" ht="15" spans="1:7">
      <c r="A191" s="36" t="str">
        <f>IF(C191="","",IF(C191=跟进查询!$B$2,1+A190,A190))</f>
        <v/>
      </c>
      <c r="B191" s="39"/>
      <c r="C191" s="39"/>
      <c r="D191" s="39"/>
      <c r="E191" s="39"/>
      <c r="F191" s="41" t="e">
        <f>VLOOKUP(G191,源数据!A:K,11,FALSE)</f>
        <v>#N/A</v>
      </c>
      <c r="G191" s="42" t="str">
        <f t="shared" si="2"/>
        <v/>
      </c>
    </row>
    <row r="192" ht="15" spans="1:7">
      <c r="A192" s="36" t="str">
        <f>IF(C192="","",IF(C192=跟进查询!$B$2,1+A191,A191))</f>
        <v/>
      </c>
      <c r="B192" s="39"/>
      <c r="C192" s="39"/>
      <c r="D192" s="39"/>
      <c r="E192" s="39"/>
      <c r="F192" s="41" t="e">
        <f>VLOOKUP(G192,源数据!A:K,11,FALSE)</f>
        <v>#N/A</v>
      </c>
      <c r="G192" s="42" t="str">
        <f t="shared" si="2"/>
        <v/>
      </c>
    </row>
    <row r="193" ht="15" spans="1:7">
      <c r="A193" s="36" t="str">
        <f>IF(C193="","",IF(C193=跟进查询!$B$2,1+A192,A192))</f>
        <v/>
      </c>
      <c r="B193" s="39"/>
      <c r="C193" s="39"/>
      <c r="D193" s="39"/>
      <c r="E193" s="39"/>
      <c r="F193" s="41" t="e">
        <f>VLOOKUP(G193,源数据!A:K,11,FALSE)</f>
        <v>#N/A</v>
      </c>
      <c r="G193" s="42" t="str">
        <f t="shared" si="2"/>
        <v/>
      </c>
    </row>
    <row r="194" ht="15" spans="1:7">
      <c r="A194" s="36" t="str">
        <f>IF(C194="","",IF(C194=跟进查询!$B$2,1+A193,A193))</f>
        <v/>
      </c>
      <c r="B194" s="39"/>
      <c r="C194" s="39"/>
      <c r="D194" s="39"/>
      <c r="E194" s="39"/>
      <c r="F194" s="41" t="e">
        <f>VLOOKUP(G194,源数据!A:K,11,FALSE)</f>
        <v>#N/A</v>
      </c>
      <c r="G194" s="42" t="str">
        <f t="shared" si="2"/>
        <v/>
      </c>
    </row>
    <row r="195" ht="15" spans="1:7">
      <c r="A195" s="36" t="str">
        <f>IF(C195="","",IF(C195=跟进查询!$B$2,1+A194,A194))</f>
        <v/>
      </c>
      <c r="B195" s="39"/>
      <c r="C195" s="39"/>
      <c r="D195" s="39"/>
      <c r="E195" s="39"/>
      <c r="F195" s="41" t="e">
        <f>VLOOKUP(G195,源数据!A:K,11,FALSE)</f>
        <v>#N/A</v>
      </c>
      <c r="G195" s="42" t="str">
        <f t="shared" si="2"/>
        <v/>
      </c>
    </row>
    <row r="196" ht="15" spans="1:7">
      <c r="A196" s="36" t="str">
        <f>IF(C196="","",IF(C196=跟进查询!$B$2,1+A195,A195))</f>
        <v/>
      </c>
      <c r="B196" s="39"/>
      <c r="C196" s="39"/>
      <c r="D196" s="39"/>
      <c r="E196" s="39"/>
      <c r="F196" s="41" t="e">
        <f>VLOOKUP(G196,源数据!A:K,11,FALSE)</f>
        <v>#N/A</v>
      </c>
      <c r="G196" s="42" t="str">
        <f t="shared" ref="G196:G259" si="3">B196&amp;C196</f>
        <v/>
      </c>
    </row>
    <row r="197" ht="15" spans="1:7">
      <c r="A197" s="36" t="str">
        <f>IF(C197="","",IF(C197=跟进查询!$B$2,1+A196,A196))</f>
        <v/>
      </c>
      <c r="B197" s="39"/>
      <c r="C197" s="39"/>
      <c r="D197" s="39"/>
      <c r="E197" s="39"/>
      <c r="F197" s="41" t="e">
        <f>VLOOKUP(G197,源数据!A:K,11,FALSE)</f>
        <v>#N/A</v>
      </c>
      <c r="G197" s="42" t="str">
        <f t="shared" si="3"/>
        <v/>
      </c>
    </row>
    <row r="198" ht="15" spans="1:7">
      <c r="A198" s="36" t="str">
        <f>IF(C198="","",IF(C198=跟进查询!$B$2,1+A197,A197))</f>
        <v/>
      </c>
      <c r="B198" s="39"/>
      <c r="C198" s="39"/>
      <c r="D198" s="39"/>
      <c r="E198" s="39"/>
      <c r="F198" s="41" t="e">
        <f>VLOOKUP(G198,源数据!A:K,11,FALSE)</f>
        <v>#N/A</v>
      </c>
      <c r="G198" s="42" t="str">
        <f t="shared" si="3"/>
        <v/>
      </c>
    </row>
    <row r="199" ht="15" spans="1:7">
      <c r="A199" s="36" t="str">
        <f>IF(C199="","",IF(C199=跟进查询!$B$2,1+A198,A198))</f>
        <v/>
      </c>
      <c r="B199" s="39"/>
      <c r="C199" s="39"/>
      <c r="D199" s="39"/>
      <c r="E199" s="39"/>
      <c r="F199" s="41" t="e">
        <f>VLOOKUP(G199,源数据!A:K,11,FALSE)</f>
        <v>#N/A</v>
      </c>
      <c r="G199" s="42" t="str">
        <f t="shared" si="3"/>
        <v/>
      </c>
    </row>
    <row r="200" ht="15" spans="1:7">
      <c r="A200" s="36" t="str">
        <f>IF(C200="","",IF(C200=跟进查询!$B$2,1+A199,A199))</f>
        <v/>
      </c>
      <c r="B200" s="39"/>
      <c r="C200" s="39"/>
      <c r="D200" s="39"/>
      <c r="E200" s="39"/>
      <c r="F200" s="41" t="e">
        <f>VLOOKUP(G200,源数据!A:K,11,FALSE)</f>
        <v>#N/A</v>
      </c>
      <c r="G200" s="42" t="str">
        <f t="shared" si="3"/>
        <v/>
      </c>
    </row>
    <row r="201" ht="15" spans="1:7">
      <c r="A201" s="36" t="str">
        <f>IF(C201="","",IF(C201=跟进查询!$B$2,1+A200,A200))</f>
        <v/>
      </c>
      <c r="B201" s="39"/>
      <c r="C201" s="39"/>
      <c r="D201" s="39"/>
      <c r="E201" s="39"/>
      <c r="F201" s="41" t="e">
        <f>VLOOKUP(G201,源数据!A:K,11,FALSE)</f>
        <v>#N/A</v>
      </c>
      <c r="G201" s="42" t="str">
        <f t="shared" si="3"/>
        <v/>
      </c>
    </row>
    <row r="202" ht="15" spans="1:7">
      <c r="A202" s="36" t="str">
        <f>IF(C202="","",IF(C202=跟进查询!$B$2,1+A201,A201))</f>
        <v/>
      </c>
      <c r="B202" s="39"/>
      <c r="C202" s="39"/>
      <c r="D202" s="39"/>
      <c r="E202" s="39"/>
      <c r="F202" s="41" t="e">
        <f>VLOOKUP(G202,源数据!A:K,11,FALSE)</f>
        <v>#N/A</v>
      </c>
      <c r="G202" s="42" t="str">
        <f t="shared" si="3"/>
        <v/>
      </c>
    </row>
    <row r="203" ht="15" spans="1:7">
      <c r="A203" s="36" t="str">
        <f>IF(C203="","",IF(C203=跟进查询!$B$2,1+A202,A202))</f>
        <v/>
      </c>
      <c r="B203" s="39"/>
      <c r="C203" s="39"/>
      <c r="D203" s="39"/>
      <c r="E203" s="39"/>
      <c r="F203" s="41" t="e">
        <f>VLOOKUP(G203,源数据!A:K,11,FALSE)</f>
        <v>#N/A</v>
      </c>
      <c r="G203" s="42" t="str">
        <f t="shared" si="3"/>
        <v/>
      </c>
    </row>
    <row r="204" ht="15" spans="1:7">
      <c r="A204" s="36" t="str">
        <f>IF(C204="","",IF(C204=跟进查询!$B$2,1+A203,A203))</f>
        <v/>
      </c>
      <c r="B204" s="39"/>
      <c r="C204" s="39"/>
      <c r="D204" s="39"/>
      <c r="E204" s="39"/>
      <c r="F204" s="41" t="e">
        <f>VLOOKUP(G204,源数据!A:K,11,FALSE)</f>
        <v>#N/A</v>
      </c>
      <c r="G204" s="42" t="str">
        <f t="shared" si="3"/>
        <v/>
      </c>
    </row>
    <row r="205" ht="15" spans="1:7">
      <c r="A205" s="36" t="str">
        <f>IF(C205="","",IF(C205=跟进查询!$B$2,1+A204,A204))</f>
        <v/>
      </c>
      <c r="B205" s="39"/>
      <c r="C205" s="39"/>
      <c r="D205" s="39"/>
      <c r="E205" s="39"/>
      <c r="F205" s="41" t="e">
        <f>VLOOKUP(G205,源数据!A:K,11,FALSE)</f>
        <v>#N/A</v>
      </c>
      <c r="G205" s="42" t="str">
        <f t="shared" si="3"/>
        <v/>
      </c>
    </row>
    <row r="206" ht="15" spans="1:7">
      <c r="A206" s="36" t="str">
        <f>IF(C206="","",IF(C206=跟进查询!$B$2,1+A205,A205))</f>
        <v/>
      </c>
      <c r="B206" s="39"/>
      <c r="C206" s="39"/>
      <c r="D206" s="39"/>
      <c r="E206" s="39"/>
      <c r="F206" s="41" t="e">
        <f>VLOOKUP(G206,源数据!A:K,11,FALSE)</f>
        <v>#N/A</v>
      </c>
      <c r="G206" s="42" t="str">
        <f t="shared" si="3"/>
        <v/>
      </c>
    </row>
    <row r="207" ht="15" spans="1:7">
      <c r="A207" s="36" t="str">
        <f>IF(C207="","",IF(C207=跟进查询!$B$2,1+A206,A206))</f>
        <v/>
      </c>
      <c r="B207" s="39"/>
      <c r="C207" s="39"/>
      <c r="D207" s="39"/>
      <c r="E207" s="39"/>
      <c r="F207" s="41" t="e">
        <f>VLOOKUP(G207,源数据!A:K,11,FALSE)</f>
        <v>#N/A</v>
      </c>
      <c r="G207" s="42" t="str">
        <f t="shared" si="3"/>
        <v/>
      </c>
    </row>
    <row r="208" ht="15" spans="1:7">
      <c r="A208" s="36" t="str">
        <f>IF(C208="","",IF(C208=跟进查询!$B$2,1+A207,A207))</f>
        <v/>
      </c>
      <c r="B208" s="39"/>
      <c r="C208" s="39"/>
      <c r="D208" s="39"/>
      <c r="E208" s="39"/>
      <c r="F208" s="41" t="e">
        <f>VLOOKUP(G208,源数据!A:K,11,FALSE)</f>
        <v>#N/A</v>
      </c>
      <c r="G208" s="42" t="str">
        <f t="shared" si="3"/>
        <v/>
      </c>
    </row>
    <row r="209" ht="15" spans="1:7">
      <c r="A209" s="36" t="str">
        <f>IF(C209="","",IF(C209=跟进查询!$B$2,1+A208,A208))</f>
        <v/>
      </c>
      <c r="B209" s="39"/>
      <c r="C209" s="39"/>
      <c r="D209" s="39"/>
      <c r="E209" s="39"/>
      <c r="F209" s="41" t="e">
        <f>VLOOKUP(G209,源数据!A:K,11,FALSE)</f>
        <v>#N/A</v>
      </c>
      <c r="G209" s="42" t="str">
        <f t="shared" si="3"/>
        <v/>
      </c>
    </row>
    <row r="210" ht="15" spans="1:7">
      <c r="A210" s="36" t="str">
        <f>IF(C210="","",IF(C210=跟进查询!$B$2,1+A209,A209))</f>
        <v/>
      </c>
      <c r="B210" s="39"/>
      <c r="C210" s="39"/>
      <c r="D210" s="39"/>
      <c r="E210" s="39"/>
      <c r="F210" s="41" t="e">
        <f>VLOOKUP(G210,源数据!A:K,11,FALSE)</f>
        <v>#N/A</v>
      </c>
      <c r="G210" s="42" t="str">
        <f t="shared" si="3"/>
        <v/>
      </c>
    </row>
    <row r="211" ht="15" spans="1:7">
      <c r="A211" s="36" t="str">
        <f>IF(C211="","",IF(C211=跟进查询!$B$2,1+A210,A210))</f>
        <v/>
      </c>
      <c r="B211" s="39"/>
      <c r="C211" s="39"/>
      <c r="D211" s="39"/>
      <c r="E211" s="39"/>
      <c r="F211" s="41" t="e">
        <f>VLOOKUP(G211,源数据!A:K,11,FALSE)</f>
        <v>#N/A</v>
      </c>
      <c r="G211" s="42" t="str">
        <f t="shared" si="3"/>
        <v/>
      </c>
    </row>
    <row r="212" ht="15" spans="1:7">
      <c r="A212" s="36" t="str">
        <f>IF(C212="","",IF(C212=跟进查询!$B$2,1+A211,A211))</f>
        <v/>
      </c>
      <c r="B212" s="39"/>
      <c r="C212" s="39"/>
      <c r="D212" s="39"/>
      <c r="E212" s="39"/>
      <c r="F212" s="41" t="e">
        <f>VLOOKUP(G212,源数据!A:K,11,FALSE)</f>
        <v>#N/A</v>
      </c>
      <c r="G212" s="42" t="str">
        <f t="shared" si="3"/>
        <v/>
      </c>
    </row>
    <row r="213" ht="15" spans="1:7">
      <c r="A213" s="36" t="str">
        <f>IF(C213="","",IF(C213=跟进查询!$B$2,1+A212,A212))</f>
        <v/>
      </c>
      <c r="B213" s="39"/>
      <c r="C213" s="39"/>
      <c r="D213" s="39"/>
      <c r="E213" s="39"/>
      <c r="F213" s="41" t="e">
        <f>VLOOKUP(G213,源数据!A:K,11,FALSE)</f>
        <v>#N/A</v>
      </c>
      <c r="G213" s="42" t="str">
        <f t="shared" si="3"/>
        <v/>
      </c>
    </row>
    <row r="214" ht="15" spans="1:7">
      <c r="A214" s="36" t="str">
        <f>IF(C214="","",IF(C214=跟进查询!$B$2,1+A213,A213))</f>
        <v/>
      </c>
      <c r="B214" s="39"/>
      <c r="C214" s="39"/>
      <c r="D214" s="39"/>
      <c r="E214" s="39"/>
      <c r="F214" s="41" t="e">
        <f>VLOOKUP(G214,源数据!A:K,11,FALSE)</f>
        <v>#N/A</v>
      </c>
      <c r="G214" s="42" t="str">
        <f t="shared" si="3"/>
        <v/>
      </c>
    </row>
    <row r="215" ht="15" spans="1:7">
      <c r="A215" s="36" t="str">
        <f>IF(C215="","",IF(C215=跟进查询!$B$2,1+A214,A214))</f>
        <v/>
      </c>
      <c r="B215" s="39"/>
      <c r="C215" s="39"/>
      <c r="D215" s="39"/>
      <c r="E215" s="39"/>
      <c r="F215" s="41" t="e">
        <f>VLOOKUP(G215,源数据!A:K,11,FALSE)</f>
        <v>#N/A</v>
      </c>
      <c r="G215" s="42" t="str">
        <f t="shared" si="3"/>
        <v/>
      </c>
    </row>
    <row r="216" ht="15" spans="1:7">
      <c r="A216" s="36" t="str">
        <f>IF(C216="","",IF(C216=跟进查询!$B$2,1+A215,A215))</f>
        <v/>
      </c>
      <c r="B216" s="39"/>
      <c r="C216" s="39"/>
      <c r="D216" s="39"/>
      <c r="E216" s="39"/>
      <c r="F216" s="41" t="e">
        <f>VLOOKUP(G216,源数据!A:K,11,FALSE)</f>
        <v>#N/A</v>
      </c>
      <c r="G216" s="42" t="str">
        <f t="shared" si="3"/>
        <v/>
      </c>
    </row>
    <row r="217" ht="15" spans="1:7">
      <c r="A217" s="36" t="str">
        <f>IF(C217="","",IF(C217=跟进查询!$B$2,1+A216,A216))</f>
        <v/>
      </c>
      <c r="B217" s="39"/>
      <c r="C217" s="39"/>
      <c r="D217" s="39"/>
      <c r="E217" s="39"/>
      <c r="F217" s="41" t="e">
        <f>VLOOKUP(G217,源数据!A:K,11,FALSE)</f>
        <v>#N/A</v>
      </c>
      <c r="G217" s="42" t="str">
        <f t="shared" si="3"/>
        <v/>
      </c>
    </row>
    <row r="218" ht="15" spans="1:7">
      <c r="A218" s="36" t="str">
        <f>IF(C218="","",IF(C218=跟进查询!$B$2,1+A217,A217))</f>
        <v/>
      </c>
      <c r="B218" s="39"/>
      <c r="C218" s="39"/>
      <c r="D218" s="39"/>
      <c r="E218" s="39"/>
      <c r="F218" s="41" t="e">
        <f>VLOOKUP(G218,源数据!A:K,11,FALSE)</f>
        <v>#N/A</v>
      </c>
      <c r="G218" s="42" t="str">
        <f t="shared" si="3"/>
        <v/>
      </c>
    </row>
    <row r="219" ht="15" spans="1:7">
      <c r="A219" s="36" t="str">
        <f>IF(C219="","",IF(C219=跟进查询!$B$2,1+A218,A218))</f>
        <v/>
      </c>
      <c r="B219" s="39"/>
      <c r="C219" s="39"/>
      <c r="D219" s="39"/>
      <c r="E219" s="39"/>
      <c r="F219" s="41" t="e">
        <f>VLOOKUP(G219,源数据!A:K,11,FALSE)</f>
        <v>#N/A</v>
      </c>
      <c r="G219" s="42" t="str">
        <f t="shared" si="3"/>
        <v/>
      </c>
    </row>
    <row r="220" ht="15" spans="1:7">
      <c r="A220" s="36" t="str">
        <f>IF(C220="","",IF(C220=跟进查询!$B$2,1+A219,A219))</f>
        <v/>
      </c>
      <c r="B220" s="39"/>
      <c r="C220" s="39"/>
      <c r="D220" s="39"/>
      <c r="E220" s="39"/>
      <c r="F220" s="41" t="e">
        <f>VLOOKUP(G220,源数据!A:K,11,FALSE)</f>
        <v>#N/A</v>
      </c>
      <c r="G220" s="42" t="str">
        <f t="shared" si="3"/>
        <v/>
      </c>
    </row>
    <row r="221" ht="15" spans="1:7">
      <c r="A221" s="36" t="str">
        <f>IF(C221="","",IF(C221=跟进查询!$B$2,1+A220,A220))</f>
        <v/>
      </c>
      <c r="B221" s="39"/>
      <c r="C221" s="39"/>
      <c r="D221" s="39"/>
      <c r="E221" s="39"/>
      <c r="F221" s="41" t="e">
        <f>VLOOKUP(G221,源数据!A:K,11,FALSE)</f>
        <v>#N/A</v>
      </c>
      <c r="G221" s="42" t="str">
        <f t="shared" si="3"/>
        <v/>
      </c>
    </row>
    <row r="222" ht="15" spans="1:7">
      <c r="A222" s="36" t="str">
        <f>IF(C222="","",IF(C222=跟进查询!$B$2,1+A221,A221))</f>
        <v/>
      </c>
      <c r="B222" s="39"/>
      <c r="C222" s="39"/>
      <c r="D222" s="39"/>
      <c r="E222" s="39"/>
      <c r="F222" s="41" t="e">
        <f>VLOOKUP(G222,源数据!A:K,11,FALSE)</f>
        <v>#N/A</v>
      </c>
      <c r="G222" s="42" t="str">
        <f t="shared" si="3"/>
        <v/>
      </c>
    </row>
    <row r="223" ht="15" spans="1:7">
      <c r="A223" s="36" t="str">
        <f>IF(C223="","",IF(C223=跟进查询!$B$2,1+A222,A222))</f>
        <v/>
      </c>
      <c r="B223" s="39"/>
      <c r="C223" s="39"/>
      <c r="D223" s="39"/>
      <c r="E223" s="39"/>
      <c r="F223" s="41" t="e">
        <f>VLOOKUP(G223,源数据!A:K,11,FALSE)</f>
        <v>#N/A</v>
      </c>
      <c r="G223" s="42" t="str">
        <f t="shared" si="3"/>
        <v/>
      </c>
    </row>
    <row r="224" ht="15" spans="1:7">
      <c r="A224" s="36" t="str">
        <f>IF(C224="","",IF(C224=跟进查询!$B$2,1+A223,A223))</f>
        <v/>
      </c>
      <c r="B224" s="39"/>
      <c r="C224" s="39"/>
      <c r="D224" s="39"/>
      <c r="E224" s="39"/>
      <c r="F224" s="41" t="e">
        <f>VLOOKUP(G224,源数据!A:K,11,FALSE)</f>
        <v>#N/A</v>
      </c>
      <c r="G224" s="42" t="str">
        <f t="shared" si="3"/>
        <v/>
      </c>
    </row>
    <row r="225" ht="15" spans="1:7">
      <c r="A225" s="36" t="str">
        <f>IF(C225="","",IF(C225=跟进查询!$B$2,1+A224,A224))</f>
        <v/>
      </c>
      <c r="B225" s="39"/>
      <c r="C225" s="39"/>
      <c r="D225" s="39"/>
      <c r="E225" s="39"/>
      <c r="F225" s="41" t="e">
        <f>VLOOKUP(G225,源数据!A:K,11,FALSE)</f>
        <v>#N/A</v>
      </c>
      <c r="G225" s="42" t="str">
        <f t="shared" si="3"/>
        <v/>
      </c>
    </row>
    <row r="226" ht="15" spans="1:7">
      <c r="A226" s="36" t="str">
        <f>IF(C226="","",IF(C226=跟进查询!$B$2,1+A225,A225))</f>
        <v/>
      </c>
      <c r="B226" s="39"/>
      <c r="C226" s="39"/>
      <c r="D226" s="39"/>
      <c r="E226" s="39"/>
      <c r="F226" s="41" t="e">
        <f>VLOOKUP(G226,源数据!A:K,11,FALSE)</f>
        <v>#N/A</v>
      </c>
      <c r="G226" s="42" t="str">
        <f t="shared" si="3"/>
        <v/>
      </c>
    </row>
    <row r="227" ht="15" spans="1:7">
      <c r="A227" s="36" t="str">
        <f>IF(C227="","",IF(C227=跟进查询!$B$2,1+A226,A226))</f>
        <v/>
      </c>
      <c r="B227" s="39"/>
      <c r="C227" s="39"/>
      <c r="D227" s="39"/>
      <c r="E227" s="39"/>
      <c r="F227" s="41" t="e">
        <f>VLOOKUP(G227,源数据!A:K,11,FALSE)</f>
        <v>#N/A</v>
      </c>
      <c r="G227" s="42" t="str">
        <f t="shared" si="3"/>
        <v/>
      </c>
    </row>
    <row r="228" ht="15" spans="1:7">
      <c r="A228" s="36" t="str">
        <f>IF(C228="","",IF(C228=跟进查询!$B$2,1+A227,A227))</f>
        <v/>
      </c>
      <c r="B228" s="39"/>
      <c r="C228" s="39"/>
      <c r="D228" s="39"/>
      <c r="E228" s="39"/>
      <c r="F228" s="41" t="e">
        <f>VLOOKUP(G228,源数据!A:K,11,FALSE)</f>
        <v>#N/A</v>
      </c>
      <c r="G228" s="42" t="str">
        <f t="shared" si="3"/>
        <v/>
      </c>
    </row>
    <row r="229" ht="15" spans="1:7">
      <c r="A229" s="36" t="str">
        <f>IF(C229="","",IF(C229=跟进查询!$B$2,1+A228,A228))</f>
        <v/>
      </c>
      <c r="B229" s="39"/>
      <c r="C229" s="39"/>
      <c r="D229" s="39"/>
      <c r="E229" s="39"/>
      <c r="F229" s="41" t="e">
        <f>VLOOKUP(G229,源数据!A:K,11,FALSE)</f>
        <v>#N/A</v>
      </c>
      <c r="G229" s="42" t="str">
        <f t="shared" si="3"/>
        <v/>
      </c>
    </row>
    <row r="230" ht="15" spans="1:7">
      <c r="A230" s="36" t="str">
        <f>IF(C230="","",IF(C230=跟进查询!$B$2,1+A229,A229))</f>
        <v/>
      </c>
      <c r="B230" s="39"/>
      <c r="C230" s="39"/>
      <c r="D230" s="39"/>
      <c r="E230" s="39"/>
      <c r="F230" s="41" t="e">
        <f>VLOOKUP(G230,源数据!A:K,11,FALSE)</f>
        <v>#N/A</v>
      </c>
      <c r="G230" s="42" t="str">
        <f t="shared" si="3"/>
        <v/>
      </c>
    </row>
    <row r="231" ht="15" spans="1:7">
      <c r="A231" s="36" t="str">
        <f>IF(C231="","",IF(C231=跟进查询!$B$2,1+A230,A230))</f>
        <v/>
      </c>
      <c r="B231" s="39"/>
      <c r="C231" s="39"/>
      <c r="D231" s="39"/>
      <c r="E231" s="39"/>
      <c r="F231" s="41" t="e">
        <f>VLOOKUP(G231,源数据!A:K,11,FALSE)</f>
        <v>#N/A</v>
      </c>
      <c r="G231" s="42" t="str">
        <f t="shared" si="3"/>
        <v/>
      </c>
    </row>
    <row r="232" ht="15" spans="1:7">
      <c r="A232" s="36" t="str">
        <f>IF(C232="","",IF(C232=跟进查询!$B$2,1+A231,A231))</f>
        <v/>
      </c>
      <c r="B232" s="39"/>
      <c r="C232" s="39"/>
      <c r="D232" s="39"/>
      <c r="E232" s="39"/>
      <c r="F232" s="41" t="e">
        <f>VLOOKUP(G232,源数据!A:K,11,FALSE)</f>
        <v>#N/A</v>
      </c>
      <c r="G232" s="42" t="str">
        <f t="shared" si="3"/>
        <v/>
      </c>
    </row>
    <row r="233" ht="15" spans="1:7">
      <c r="A233" s="36" t="str">
        <f>IF(C233="","",IF(C233=跟进查询!$B$2,1+A232,A232))</f>
        <v/>
      </c>
      <c r="B233" s="39"/>
      <c r="C233" s="39"/>
      <c r="D233" s="39"/>
      <c r="E233" s="39"/>
      <c r="F233" s="41" t="e">
        <f>VLOOKUP(G233,源数据!A:K,11,FALSE)</f>
        <v>#N/A</v>
      </c>
      <c r="G233" s="42" t="str">
        <f t="shared" si="3"/>
        <v/>
      </c>
    </row>
    <row r="234" ht="15" spans="1:7">
      <c r="A234" s="36" t="str">
        <f>IF(C234="","",IF(C234=跟进查询!$B$2,1+A233,A233))</f>
        <v/>
      </c>
      <c r="B234" s="39"/>
      <c r="C234" s="39"/>
      <c r="D234" s="39"/>
      <c r="E234" s="39"/>
      <c r="F234" s="41" t="e">
        <f>VLOOKUP(G234,源数据!A:K,11,FALSE)</f>
        <v>#N/A</v>
      </c>
      <c r="G234" s="42" t="str">
        <f t="shared" si="3"/>
        <v/>
      </c>
    </row>
    <row r="235" ht="15" spans="1:7">
      <c r="A235" s="36" t="str">
        <f>IF(C235="","",IF(C235=跟进查询!$B$2,1+A234,A234))</f>
        <v/>
      </c>
      <c r="B235" s="39"/>
      <c r="C235" s="39"/>
      <c r="D235" s="39"/>
      <c r="E235" s="39"/>
      <c r="F235" s="41" t="e">
        <f>VLOOKUP(G235,源数据!A:K,11,FALSE)</f>
        <v>#N/A</v>
      </c>
      <c r="G235" s="42" t="str">
        <f t="shared" si="3"/>
        <v/>
      </c>
    </row>
    <row r="236" ht="15" spans="1:7">
      <c r="A236" s="36" t="str">
        <f>IF(C236="","",IF(C236=跟进查询!$B$2,1+A235,A235))</f>
        <v/>
      </c>
      <c r="B236" s="39"/>
      <c r="C236" s="39"/>
      <c r="D236" s="39"/>
      <c r="E236" s="39"/>
      <c r="F236" s="41" t="e">
        <f>VLOOKUP(G236,源数据!A:K,11,FALSE)</f>
        <v>#N/A</v>
      </c>
      <c r="G236" s="42" t="str">
        <f t="shared" si="3"/>
        <v/>
      </c>
    </row>
    <row r="237" ht="15" spans="1:7">
      <c r="A237" s="36" t="str">
        <f>IF(C237="","",IF(C237=跟进查询!$B$2,1+A236,A236))</f>
        <v/>
      </c>
      <c r="B237" s="39"/>
      <c r="C237" s="39"/>
      <c r="D237" s="39"/>
      <c r="E237" s="39"/>
      <c r="F237" s="41" t="e">
        <f>VLOOKUP(G237,源数据!A:K,11,FALSE)</f>
        <v>#N/A</v>
      </c>
      <c r="G237" s="42" t="str">
        <f t="shared" si="3"/>
        <v/>
      </c>
    </row>
    <row r="238" ht="15" spans="1:7">
      <c r="A238" s="36" t="str">
        <f>IF(C238="","",IF(C238=跟进查询!$B$2,1+A237,A237))</f>
        <v/>
      </c>
      <c r="B238" s="39"/>
      <c r="C238" s="39"/>
      <c r="D238" s="39"/>
      <c r="E238" s="39"/>
      <c r="F238" s="41" t="e">
        <f>VLOOKUP(G238,源数据!A:K,11,FALSE)</f>
        <v>#N/A</v>
      </c>
      <c r="G238" s="42" t="str">
        <f t="shared" si="3"/>
        <v/>
      </c>
    </row>
    <row r="239" ht="15" spans="1:7">
      <c r="A239" s="36" t="str">
        <f>IF(C239="","",IF(C239=跟进查询!$B$2,1+A238,A238))</f>
        <v/>
      </c>
      <c r="B239" s="39"/>
      <c r="C239" s="39"/>
      <c r="D239" s="39"/>
      <c r="E239" s="39"/>
      <c r="F239" s="41" t="e">
        <f>VLOOKUP(G239,源数据!A:K,11,FALSE)</f>
        <v>#N/A</v>
      </c>
      <c r="G239" s="42" t="str">
        <f t="shared" si="3"/>
        <v/>
      </c>
    </row>
    <row r="240" ht="15" spans="1:7">
      <c r="A240" s="36" t="str">
        <f>IF(C240="","",IF(C240=跟进查询!$B$2,1+A239,A239))</f>
        <v/>
      </c>
      <c r="B240" s="39"/>
      <c r="C240" s="39"/>
      <c r="D240" s="39"/>
      <c r="E240" s="39"/>
      <c r="F240" s="41" t="e">
        <f>VLOOKUP(G240,源数据!A:K,11,FALSE)</f>
        <v>#N/A</v>
      </c>
      <c r="G240" s="42" t="str">
        <f t="shared" si="3"/>
        <v/>
      </c>
    </row>
    <row r="241" ht="15" spans="1:7">
      <c r="A241" s="36" t="str">
        <f>IF(C241="","",IF(C241=跟进查询!$B$2,1+A240,A240))</f>
        <v/>
      </c>
      <c r="B241" s="39"/>
      <c r="C241" s="39"/>
      <c r="D241" s="39"/>
      <c r="E241" s="39"/>
      <c r="F241" s="41" t="e">
        <f>VLOOKUP(G241,源数据!A:K,11,FALSE)</f>
        <v>#N/A</v>
      </c>
      <c r="G241" s="42" t="str">
        <f t="shared" si="3"/>
        <v/>
      </c>
    </row>
    <row r="242" ht="15" spans="1:7">
      <c r="A242" s="36" t="str">
        <f>IF(C242="","",IF(C242=跟进查询!$B$2,1+A241,A241))</f>
        <v/>
      </c>
      <c r="B242" s="39"/>
      <c r="C242" s="39"/>
      <c r="D242" s="39"/>
      <c r="E242" s="39"/>
      <c r="F242" s="41" t="e">
        <f>VLOOKUP(G242,源数据!A:K,11,FALSE)</f>
        <v>#N/A</v>
      </c>
      <c r="G242" s="42" t="str">
        <f t="shared" si="3"/>
        <v/>
      </c>
    </row>
    <row r="243" ht="15" spans="1:7">
      <c r="A243" s="36" t="str">
        <f>IF(C243="","",IF(C243=跟进查询!$B$2,1+A242,A242))</f>
        <v/>
      </c>
      <c r="B243" s="39"/>
      <c r="C243" s="39"/>
      <c r="D243" s="39"/>
      <c r="E243" s="39"/>
      <c r="F243" s="41" t="e">
        <f>VLOOKUP(G243,源数据!A:K,11,FALSE)</f>
        <v>#N/A</v>
      </c>
      <c r="G243" s="42" t="str">
        <f t="shared" si="3"/>
        <v/>
      </c>
    </row>
    <row r="244" ht="15" spans="1:7">
      <c r="A244" s="36" t="str">
        <f>IF(C244="","",IF(C244=跟进查询!$B$2,1+A243,A243))</f>
        <v/>
      </c>
      <c r="B244" s="39"/>
      <c r="C244" s="39"/>
      <c r="D244" s="39"/>
      <c r="E244" s="39"/>
      <c r="F244" s="41" t="e">
        <f>VLOOKUP(G244,源数据!A:K,11,FALSE)</f>
        <v>#N/A</v>
      </c>
      <c r="G244" s="42" t="str">
        <f t="shared" si="3"/>
        <v/>
      </c>
    </row>
    <row r="245" ht="15" spans="1:7">
      <c r="A245" s="36" t="str">
        <f>IF(C245="","",IF(C245=跟进查询!$B$2,1+A244,A244))</f>
        <v/>
      </c>
      <c r="B245" s="39"/>
      <c r="C245" s="39"/>
      <c r="D245" s="39"/>
      <c r="E245" s="39"/>
      <c r="F245" s="41" t="e">
        <f>VLOOKUP(G245,源数据!A:K,11,FALSE)</f>
        <v>#N/A</v>
      </c>
      <c r="G245" s="42" t="str">
        <f t="shared" si="3"/>
        <v/>
      </c>
    </row>
    <row r="246" ht="15" spans="1:7">
      <c r="A246" s="36" t="str">
        <f>IF(C246="","",IF(C246=跟进查询!$B$2,1+A245,A245))</f>
        <v/>
      </c>
      <c r="B246" s="39"/>
      <c r="C246" s="39"/>
      <c r="D246" s="39"/>
      <c r="E246" s="39"/>
      <c r="F246" s="41" t="e">
        <f>VLOOKUP(G246,源数据!A:K,11,FALSE)</f>
        <v>#N/A</v>
      </c>
      <c r="G246" s="42" t="str">
        <f t="shared" si="3"/>
        <v/>
      </c>
    </row>
    <row r="247" ht="15" spans="1:7">
      <c r="A247" s="36" t="str">
        <f>IF(C247="","",IF(C247=跟进查询!$B$2,1+A246,A246))</f>
        <v/>
      </c>
      <c r="B247" s="39"/>
      <c r="C247" s="39"/>
      <c r="D247" s="39"/>
      <c r="E247" s="39"/>
      <c r="F247" s="41" t="e">
        <f>VLOOKUP(G247,源数据!A:K,11,FALSE)</f>
        <v>#N/A</v>
      </c>
      <c r="G247" s="42" t="str">
        <f t="shared" si="3"/>
        <v/>
      </c>
    </row>
    <row r="248" ht="15" spans="1:7">
      <c r="A248" s="36" t="str">
        <f>IF(C248="","",IF(C248=跟进查询!$B$2,1+A247,A247))</f>
        <v/>
      </c>
      <c r="B248" s="39"/>
      <c r="C248" s="39"/>
      <c r="D248" s="39"/>
      <c r="E248" s="39"/>
      <c r="F248" s="41" t="e">
        <f>VLOOKUP(G248,源数据!A:K,11,FALSE)</f>
        <v>#N/A</v>
      </c>
      <c r="G248" s="42" t="str">
        <f t="shared" si="3"/>
        <v/>
      </c>
    </row>
    <row r="249" ht="15" spans="1:7">
      <c r="A249" s="36" t="str">
        <f>IF(C249="","",IF(C249=跟进查询!$B$2,1+A248,A248))</f>
        <v/>
      </c>
      <c r="B249" s="39"/>
      <c r="C249" s="39"/>
      <c r="D249" s="39"/>
      <c r="E249" s="39"/>
      <c r="F249" s="41" t="e">
        <f>VLOOKUP(G249,源数据!A:K,11,FALSE)</f>
        <v>#N/A</v>
      </c>
      <c r="G249" s="42" t="str">
        <f t="shared" si="3"/>
        <v/>
      </c>
    </row>
    <row r="250" ht="15" spans="1:7">
      <c r="A250" s="36" t="str">
        <f>IF(C250="","",IF(C250=跟进查询!$B$2,1+A249,A249))</f>
        <v/>
      </c>
      <c r="B250" s="39"/>
      <c r="C250" s="39"/>
      <c r="D250" s="39"/>
      <c r="E250" s="39"/>
      <c r="F250" s="41" t="e">
        <f>VLOOKUP(G250,源数据!A:K,11,FALSE)</f>
        <v>#N/A</v>
      </c>
      <c r="G250" s="42" t="str">
        <f t="shared" si="3"/>
        <v/>
      </c>
    </row>
    <row r="251" ht="15" spans="1:7">
      <c r="A251" s="36" t="str">
        <f>IF(C251="","",IF(C251=跟进查询!$B$2,1+A250,A250))</f>
        <v/>
      </c>
      <c r="B251" s="39"/>
      <c r="C251" s="39"/>
      <c r="D251" s="39"/>
      <c r="E251" s="39"/>
      <c r="F251" s="41" t="e">
        <f>VLOOKUP(G251,源数据!A:K,11,FALSE)</f>
        <v>#N/A</v>
      </c>
      <c r="G251" s="42" t="str">
        <f t="shared" si="3"/>
        <v/>
      </c>
    </row>
    <row r="252" ht="15" spans="1:7">
      <c r="A252" s="36" t="str">
        <f>IF(C252="","",IF(C252=跟进查询!$B$2,1+A251,A251))</f>
        <v/>
      </c>
      <c r="B252" s="39"/>
      <c r="C252" s="39"/>
      <c r="D252" s="39"/>
      <c r="E252" s="39"/>
      <c r="F252" s="41" t="e">
        <f>VLOOKUP(G252,源数据!A:K,11,FALSE)</f>
        <v>#N/A</v>
      </c>
      <c r="G252" s="42" t="str">
        <f t="shared" si="3"/>
        <v/>
      </c>
    </row>
    <row r="253" ht="15" spans="1:7">
      <c r="A253" s="36" t="str">
        <f>IF(C253="","",IF(C253=跟进查询!$B$2,1+A252,A252))</f>
        <v/>
      </c>
      <c r="B253" s="39"/>
      <c r="C253" s="39"/>
      <c r="D253" s="39"/>
      <c r="E253" s="39"/>
      <c r="F253" s="41" t="e">
        <f>VLOOKUP(G253,源数据!A:K,11,FALSE)</f>
        <v>#N/A</v>
      </c>
      <c r="G253" s="42" t="str">
        <f t="shared" si="3"/>
        <v/>
      </c>
    </row>
    <row r="254" ht="15" spans="1:7">
      <c r="A254" s="36" t="str">
        <f>IF(C254="","",IF(C254=跟进查询!$B$2,1+A253,A253))</f>
        <v/>
      </c>
      <c r="B254" s="39"/>
      <c r="C254" s="39"/>
      <c r="D254" s="39"/>
      <c r="E254" s="39"/>
      <c r="F254" s="41" t="e">
        <f>VLOOKUP(G254,源数据!A:K,11,FALSE)</f>
        <v>#N/A</v>
      </c>
      <c r="G254" s="42" t="str">
        <f t="shared" si="3"/>
        <v/>
      </c>
    </row>
    <row r="255" ht="15" spans="1:7">
      <c r="A255" s="36" t="str">
        <f>IF(C255="","",IF(C255=跟进查询!$B$2,1+A254,A254))</f>
        <v/>
      </c>
      <c r="B255" s="39"/>
      <c r="C255" s="39"/>
      <c r="D255" s="39"/>
      <c r="E255" s="39"/>
      <c r="F255" s="41" t="e">
        <f>VLOOKUP(G255,源数据!A:K,11,FALSE)</f>
        <v>#N/A</v>
      </c>
      <c r="G255" s="42" t="str">
        <f t="shared" si="3"/>
        <v/>
      </c>
    </row>
    <row r="256" ht="15" spans="1:7">
      <c r="A256" s="36" t="str">
        <f>IF(C256="","",IF(C256=跟进查询!$B$2,1+A255,A255))</f>
        <v/>
      </c>
      <c r="B256" s="39"/>
      <c r="C256" s="39"/>
      <c r="D256" s="39"/>
      <c r="E256" s="39"/>
      <c r="F256" s="41" t="e">
        <f>VLOOKUP(G256,源数据!A:K,11,FALSE)</f>
        <v>#N/A</v>
      </c>
      <c r="G256" s="42" t="str">
        <f t="shared" si="3"/>
        <v/>
      </c>
    </row>
    <row r="257" ht="15" spans="1:7">
      <c r="A257" s="36" t="str">
        <f>IF(C257="","",IF(C257=跟进查询!$B$2,1+A256,A256))</f>
        <v/>
      </c>
      <c r="B257" s="39"/>
      <c r="C257" s="39"/>
      <c r="D257" s="39"/>
      <c r="E257" s="39"/>
      <c r="F257" s="41" t="e">
        <f>VLOOKUP(G257,源数据!A:K,11,FALSE)</f>
        <v>#N/A</v>
      </c>
      <c r="G257" s="42" t="str">
        <f t="shared" si="3"/>
        <v/>
      </c>
    </row>
    <row r="258" ht="15" spans="1:7">
      <c r="A258" s="36" t="str">
        <f>IF(C258="","",IF(C258=跟进查询!$B$2,1+A257,A257))</f>
        <v/>
      </c>
      <c r="B258" s="39"/>
      <c r="C258" s="39"/>
      <c r="D258" s="39"/>
      <c r="E258" s="39"/>
      <c r="F258" s="41" t="e">
        <f>VLOOKUP(G258,源数据!A:K,11,FALSE)</f>
        <v>#N/A</v>
      </c>
      <c r="G258" s="42" t="str">
        <f t="shared" si="3"/>
        <v/>
      </c>
    </row>
    <row r="259" ht="15" spans="1:7">
      <c r="A259" s="36" t="str">
        <f>IF(C259="","",IF(C259=跟进查询!$B$2,1+A258,A258))</f>
        <v/>
      </c>
      <c r="B259" s="39"/>
      <c r="C259" s="39"/>
      <c r="D259" s="39"/>
      <c r="E259" s="39"/>
      <c r="F259" s="41" t="e">
        <f>VLOOKUP(G259,源数据!A:K,11,FALSE)</f>
        <v>#N/A</v>
      </c>
      <c r="G259" s="42" t="str">
        <f t="shared" si="3"/>
        <v/>
      </c>
    </row>
    <row r="260" ht="15" spans="1:7">
      <c r="A260" s="36" t="str">
        <f>IF(C260="","",IF(C260=跟进查询!$B$2,1+A259,A259))</f>
        <v/>
      </c>
      <c r="B260" s="39"/>
      <c r="C260" s="39"/>
      <c r="D260" s="39"/>
      <c r="E260" s="39"/>
      <c r="F260" s="41" t="e">
        <f>VLOOKUP(G260,源数据!A:K,11,FALSE)</f>
        <v>#N/A</v>
      </c>
      <c r="G260" s="42" t="str">
        <f t="shared" ref="G260:G323" si="4">B260&amp;C260</f>
        <v/>
      </c>
    </row>
    <row r="261" ht="15" spans="1:7">
      <c r="A261" s="36" t="str">
        <f>IF(C261="","",IF(C261=跟进查询!$B$2,1+A260,A260))</f>
        <v/>
      </c>
      <c r="B261" s="39"/>
      <c r="C261" s="39"/>
      <c r="D261" s="39"/>
      <c r="E261" s="39"/>
      <c r="F261" s="41" t="e">
        <f>VLOOKUP(G261,源数据!A:K,11,FALSE)</f>
        <v>#N/A</v>
      </c>
      <c r="G261" s="42" t="str">
        <f t="shared" si="4"/>
        <v/>
      </c>
    </row>
    <row r="262" ht="15" spans="1:7">
      <c r="A262" s="36" t="str">
        <f>IF(C262="","",IF(C262=跟进查询!$B$2,1+A261,A261))</f>
        <v/>
      </c>
      <c r="B262" s="39"/>
      <c r="C262" s="39"/>
      <c r="D262" s="39"/>
      <c r="E262" s="39"/>
      <c r="F262" s="41" t="e">
        <f>VLOOKUP(G262,源数据!A:K,11,FALSE)</f>
        <v>#N/A</v>
      </c>
      <c r="G262" s="42" t="str">
        <f t="shared" si="4"/>
        <v/>
      </c>
    </row>
    <row r="263" ht="15" spans="1:7">
      <c r="A263" s="36" t="str">
        <f>IF(C263="","",IF(C263=跟进查询!$B$2,1+A262,A262))</f>
        <v/>
      </c>
      <c r="B263" s="39"/>
      <c r="C263" s="39"/>
      <c r="D263" s="39"/>
      <c r="E263" s="39"/>
      <c r="F263" s="41" t="e">
        <f>VLOOKUP(G263,源数据!A:K,11,FALSE)</f>
        <v>#N/A</v>
      </c>
      <c r="G263" s="42" t="str">
        <f t="shared" si="4"/>
        <v/>
      </c>
    </row>
    <row r="264" ht="15" spans="1:7">
      <c r="A264" s="36" t="str">
        <f>IF(C264="","",IF(C264=跟进查询!$B$2,1+A263,A263))</f>
        <v/>
      </c>
      <c r="B264" s="39"/>
      <c r="C264" s="39"/>
      <c r="D264" s="39"/>
      <c r="E264" s="39"/>
      <c r="F264" s="41" t="e">
        <f>VLOOKUP(G264,源数据!A:K,11,FALSE)</f>
        <v>#N/A</v>
      </c>
      <c r="G264" s="42" t="str">
        <f t="shared" si="4"/>
        <v/>
      </c>
    </row>
    <row r="265" ht="15" spans="1:7">
      <c r="A265" s="36" t="str">
        <f>IF(C265="","",IF(C265=跟进查询!$B$2,1+A264,A264))</f>
        <v/>
      </c>
      <c r="B265" s="39"/>
      <c r="C265" s="39"/>
      <c r="D265" s="39"/>
      <c r="E265" s="39"/>
      <c r="F265" s="41" t="e">
        <f>VLOOKUP(G265,源数据!A:K,11,FALSE)</f>
        <v>#N/A</v>
      </c>
      <c r="G265" s="42" t="str">
        <f t="shared" si="4"/>
        <v/>
      </c>
    </row>
    <row r="266" ht="15" spans="1:7">
      <c r="A266" s="36" t="str">
        <f>IF(C266="","",IF(C266=跟进查询!$B$2,1+A265,A265))</f>
        <v/>
      </c>
      <c r="B266" s="39"/>
      <c r="C266" s="39"/>
      <c r="D266" s="39"/>
      <c r="E266" s="39"/>
      <c r="F266" s="41" t="e">
        <f>VLOOKUP(G266,源数据!A:K,11,FALSE)</f>
        <v>#N/A</v>
      </c>
      <c r="G266" s="42" t="str">
        <f t="shared" si="4"/>
        <v/>
      </c>
    </row>
    <row r="267" ht="15" spans="1:7">
      <c r="A267" s="36" t="str">
        <f>IF(C267="","",IF(C267=跟进查询!$B$2,1+A266,A266))</f>
        <v/>
      </c>
      <c r="B267" s="39"/>
      <c r="C267" s="39"/>
      <c r="D267" s="39"/>
      <c r="E267" s="39"/>
      <c r="F267" s="41" t="e">
        <f>VLOOKUP(G267,源数据!A:K,11,FALSE)</f>
        <v>#N/A</v>
      </c>
      <c r="G267" s="42" t="str">
        <f t="shared" si="4"/>
        <v/>
      </c>
    </row>
    <row r="268" ht="15" spans="1:7">
      <c r="A268" s="36" t="str">
        <f>IF(C268="","",IF(C268=跟进查询!$B$2,1+A267,A267))</f>
        <v/>
      </c>
      <c r="B268" s="39"/>
      <c r="C268" s="39"/>
      <c r="D268" s="39"/>
      <c r="E268" s="39"/>
      <c r="F268" s="41" t="e">
        <f>VLOOKUP(G268,源数据!A:K,11,FALSE)</f>
        <v>#N/A</v>
      </c>
      <c r="G268" s="42" t="str">
        <f t="shared" si="4"/>
        <v/>
      </c>
    </row>
    <row r="269" ht="15" spans="1:7">
      <c r="A269" s="36" t="str">
        <f>IF(C269="","",IF(C269=跟进查询!$B$2,1+A268,A268))</f>
        <v/>
      </c>
      <c r="B269" s="39"/>
      <c r="C269" s="39"/>
      <c r="D269" s="39"/>
      <c r="E269" s="39"/>
      <c r="F269" s="41" t="e">
        <f>VLOOKUP(G269,源数据!A:K,11,FALSE)</f>
        <v>#N/A</v>
      </c>
      <c r="G269" s="42" t="str">
        <f t="shared" si="4"/>
        <v/>
      </c>
    </row>
    <row r="270" ht="15" spans="1:7">
      <c r="A270" s="36" t="str">
        <f>IF(C270="","",IF(C270=跟进查询!$B$2,1+A269,A269))</f>
        <v/>
      </c>
      <c r="B270" s="39"/>
      <c r="C270" s="39"/>
      <c r="D270" s="39"/>
      <c r="E270" s="39"/>
      <c r="F270" s="41" t="e">
        <f>VLOOKUP(G270,源数据!A:K,11,FALSE)</f>
        <v>#N/A</v>
      </c>
      <c r="G270" s="42" t="str">
        <f t="shared" si="4"/>
        <v/>
      </c>
    </row>
    <row r="271" ht="15" spans="1:7">
      <c r="A271" s="36" t="str">
        <f>IF(C271="","",IF(C271=跟进查询!$B$2,1+A270,A270))</f>
        <v/>
      </c>
      <c r="B271" s="39"/>
      <c r="C271" s="39"/>
      <c r="D271" s="39"/>
      <c r="E271" s="39"/>
      <c r="F271" s="41" t="e">
        <f>VLOOKUP(G271,源数据!A:K,11,FALSE)</f>
        <v>#N/A</v>
      </c>
      <c r="G271" s="42" t="str">
        <f t="shared" si="4"/>
        <v/>
      </c>
    </row>
    <row r="272" ht="15" spans="1:7">
      <c r="A272" s="36" t="str">
        <f>IF(C272="","",IF(C272=跟进查询!$B$2,1+A271,A271))</f>
        <v/>
      </c>
      <c r="B272" s="39"/>
      <c r="C272" s="39"/>
      <c r="D272" s="39"/>
      <c r="E272" s="39"/>
      <c r="F272" s="41" t="e">
        <f>VLOOKUP(G272,源数据!A:K,11,FALSE)</f>
        <v>#N/A</v>
      </c>
      <c r="G272" s="42" t="str">
        <f t="shared" si="4"/>
        <v/>
      </c>
    </row>
    <row r="273" ht="15" spans="1:7">
      <c r="A273" s="36" t="str">
        <f>IF(C273="","",IF(C273=跟进查询!$B$2,1+A272,A272))</f>
        <v/>
      </c>
      <c r="B273" s="39"/>
      <c r="C273" s="39"/>
      <c r="D273" s="39"/>
      <c r="E273" s="39"/>
      <c r="F273" s="41" t="e">
        <f>VLOOKUP(G273,源数据!A:K,11,FALSE)</f>
        <v>#N/A</v>
      </c>
      <c r="G273" s="42" t="str">
        <f t="shared" si="4"/>
        <v/>
      </c>
    </row>
    <row r="274" ht="15" spans="1:7">
      <c r="A274" s="36" t="str">
        <f>IF(C274="","",IF(C274=跟进查询!$B$2,1+A273,A273))</f>
        <v/>
      </c>
      <c r="B274" s="39"/>
      <c r="C274" s="39"/>
      <c r="D274" s="39"/>
      <c r="E274" s="39"/>
      <c r="F274" s="41" t="e">
        <f>VLOOKUP(G274,源数据!A:K,11,FALSE)</f>
        <v>#N/A</v>
      </c>
      <c r="G274" s="42" t="str">
        <f t="shared" si="4"/>
        <v/>
      </c>
    </row>
    <row r="275" ht="15" spans="1:7">
      <c r="A275" s="36" t="str">
        <f>IF(C275="","",IF(C275=跟进查询!$B$2,1+A274,A274))</f>
        <v/>
      </c>
      <c r="B275" s="39"/>
      <c r="C275" s="39"/>
      <c r="D275" s="39"/>
      <c r="E275" s="39"/>
      <c r="F275" s="41" t="e">
        <f>VLOOKUP(G275,源数据!A:K,11,FALSE)</f>
        <v>#N/A</v>
      </c>
      <c r="G275" s="42" t="str">
        <f t="shared" si="4"/>
        <v/>
      </c>
    </row>
    <row r="276" ht="15" spans="1:7">
      <c r="A276" s="36" t="str">
        <f>IF(C276="","",IF(C276=跟进查询!$B$2,1+A275,A275))</f>
        <v/>
      </c>
      <c r="B276" s="39"/>
      <c r="C276" s="39"/>
      <c r="D276" s="39"/>
      <c r="E276" s="39"/>
      <c r="F276" s="41" t="e">
        <f>VLOOKUP(G276,源数据!A:K,11,FALSE)</f>
        <v>#N/A</v>
      </c>
      <c r="G276" s="42" t="str">
        <f t="shared" si="4"/>
        <v/>
      </c>
    </row>
    <row r="277" ht="15" spans="1:7">
      <c r="A277" s="36" t="str">
        <f>IF(C277="","",IF(C277=跟进查询!$B$2,1+A276,A276))</f>
        <v/>
      </c>
      <c r="B277" s="39"/>
      <c r="C277" s="39"/>
      <c r="D277" s="39"/>
      <c r="E277" s="39"/>
      <c r="F277" s="41" t="e">
        <f>VLOOKUP(G277,源数据!A:K,11,FALSE)</f>
        <v>#N/A</v>
      </c>
      <c r="G277" s="42" t="str">
        <f t="shared" si="4"/>
        <v/>
      </c>
    </row>
    <row r="278" ht="15" spans="1:7">
      <c r="A278" s="36" t="str">
        <f>IF(C278="","",IF(C278=跟进查询!$B$2,1+A277,A277))</f>
        <v/>
      </c>
      <c r="B278" s="39"/>
      <c r="C278" s="39"/>
      <c r="D278" s="39"/>
      <c r="E278" s="39"/>
      <c r="F278" s="41" t="e">
        <f>VLOOKUP(G278,源数据!A:K,11,FALSE)</f>
        <v>#N/A</v>
      </c>
      <c r="G278" s="42" t="str">
        <f t="shared" si="4"/>
        <v/>
      </c>
    </row>
    <row r="279" ht="15" spans="1:7">
      <c r="A279" s="36" t="str">
        <f>IF(C279="","",IF(C279=跟进查询!$B$2,1+A278,A278))</f>
        <v/>
      </c>
      <c r="B279" s="39"/>
      <c r="C279" s="39"/>
      <c r="D279" s="39"/>
      <c r="E279" s="39"/>
      <c r="F279" s="41" t="e">
        <f>VLOOKUP(G279,源数据!A:K,11,FALSE)</f>
        <v>#N/A</v>
      </c>
      <c r="G279" s="42" t="str">
        <f t="shared" si="4"/>
        <v/>
      </c>
    </row>
    <row r="280" ht="15" spans="1:7">
      <c r="A280" s="36" t="str">
        <f>IF(C280="","",IF(C280=跟进查询!$B$2,1+A279,A279))</f>
        <v/>
      </c>
      <c r="B280" s="39"/>
      <c r="C280" s="39"/>
      <c r="D280" s="39"/>
      <c r="E280" s="39"/>
      <c r="F280" s="41" t="e">
        <f>VLOOKUP(G280,源数据!A:K,11,FALSE)</f>
        <v>#N/A</v>
      </c>
      <c r="G280" s="42" t="str">
        <f t="shared" si="4"/>
        <v/>
      </c>
    </row>
    <row r="281" ht="15" spans="1:7">
      <c r="A281" s="36" t="str">
        <f>IF(C281="","",IF(C281=跟进查询!$B$2,1+A280,A280))</f>
        <v/>
      </c>
      <c r="B281" s="39"/>
      <c r="C281" s="39"/>
      <c r="D281" s="39"/>
      <c r="E281" s="39"/>
      <c r="F281" s="41" t="e">
        <f>VLOOKUP(G281,源数据!A:K,11,FALSE)</f>
        <v>#N/A</v>
      </c>
      <c r="G281" s="42" t="str">
        <f t="shared" si="4"/>
        <v/>
      </c>
    </row>
    <row r="282" ht="15" spans="1:7">
      <c r="A282" s="36" t="str">
        <f>IF(C282="","",IF(C282=跟进查询!$B$2,1+A281,A281))</f>
        <v/>
      </c>
      <c r="B282" s="39"/>
      <c r="C282" s="39"/>
      <c r="D282" s="39"/>
      <c r="E282" s="39"/>
      <c r="F282" s="41" t="e">
        <f>VLOOKUP(G282,源数据!A:K,11,FALSE)</f>
        <v>#N/A</v>
      </c>
      <c r="G282" s="42" t="str">
        <f t="shared" si="4"/>
        <v/>
      </c>
    </row>
    <row r="283" ht="15" spans="1:7">
      <c r="A283" s="36" t="str">
        <f>IF(C283="","",IF(C283=跟进查询!$B$2,1+A282,A282))</f>
        <v/>
      </c>
      <c r="B283" s="39"/>
      <c r="C283" s="39"/>
      <c r="D283" s="39"/>
      <c r="E283" s="39"/>
      <c r="F283" s="41" t="e">
        <f>VLOOKUP(G283,源数据!A:K,11,FALSE)</f>
        <v>#N/A</v>
      </c>
      <c r="G283" s="42" t="str">
        <f t="shared" si="4"/>
        <v/>
      </c>
    </row>
    <row r="284" ht="15" spans="1:7">
      <c r="A284" s="36" t="str">
        <f>IF(C284="","",IF(C284=跟进查询!$B$2,1+A283,A283))</f>
        <v/>
      </c>
      <c r="B284" s="39"/>
      <c r="C284" s="39"/>
      <c r="D284" s="39"/>
      <c r="E284" s="39"/>
      <c r="F284" s="41" t="e">
        <f>VLOOKUP(G284,源数据!A:K,11,FALSE)</f>
        <v>#N/A</v>
      </c>
      <c r="G284" s="42" t="str">
        <f t="shared" si="4"/>
        <v/>
      </c>
    </row>
    <row r="285" ht="15" spans="1:7">
      <c r="A285" s="36" t="str">
        <f>IF(C285="","",IF(C285=跟进查询!$B$2,1+A284,A284))</f>
        <v/>
      </c>
      <c r="B285" s="39"/>
      <c r="C285" s="39"/>
      <c r="D285" s="39"/>
      <c r="E285" s="39"/>
      <c r="F285" s="41" t="e">
        <f>VLOOKUP(G285,源数据!A:K,11,FALSE)</f>
        <v>#N/A</v>
      </c>
      <c r="G285" s="42" t="str">
        <f t="shared" si="4"/>
        <v/>
      </c>
    </row>
    <row r="286" ht="15" spans="1:7">
      <c r="A286" s="36" t="str">
        <f>IF(C286="","",IF(C286=跟进查询!$B$2,1+A285,A285))</f>
        <v/>
      </c>
      <c r="B286" s="39"/>
      <c r="C286" s="39"/>
      <c r="D286" s="39"/>
      <c r="E286" s="39"/>
      <c r="F286" s="41" t="e">
        <f>VLOOKUP(G286,源数据!A:K,11,FALSE)</f>
        <v>#N/A</v>
      </c>
      <c r="G286" s="42" t="str">
        <f t="shared" si="4"/>
        <v/>
      </c>
    </row>
    <row r="287" ht="15" spans="1:7">
      <c r="A287" s="36" t="str">
        <f>IF(C287="","",IF(C287=跟进查询!$B$2,1+A286,A286))</f>
        <v/>
      </c>
      <c r="B287" s="39"/>
      <c r="C287" s="39"/>
      <c r="D287" s="39"/>
      <c r="E287" s="39"/>
      <c r="F287" s="41" t="e">
        <f>VLOOKUP(G287,源数据!A:K,11,FALSE)</f>
        <v>#N/A</v>
      </c>
      <c r="G287" s="42" t="str">
        <f t="shared" si="4"/>
        <v/>
      </c>
    </row>
    <row r="288" ht="15" spans="1:7">
      <c r="A288" s="36" t="str">
        <f>IF(C288="","",IF(C288=跟进查询!$B$2,1+A287,A287))</f>
        <v/>
      </c>
      <c r="B288" s="39"/>
      <c r="C288" s="39"/>
      <c r="D288" s="39"/>
      <c r="E288" s="39"/>
      <c r="F288" s="41" t="e">
        <f>VLOOKUP(G288,源数据!A:K,11,FALSE)</f>
        <v>#N/A</v>
      </c>
      <c r="G288" s="42" t="str">
        <f t="shared" si="4"/>
        <v/>
      </c>
    </row>
    <row r="289" ht="15" spans="1:7">
      <c r="A289" s="36" t="str">
        <f>IF(C289="","",IF(C289=跟进查询!$B$2,1+A288,A288))</f>
        <v/>
      </c>
      <c r="B289" s="39"/>
      <c r="C289" s="39"/>
      <c r="D289" s="39"/>
      <c r="E289" s="39"/>
      <c r="F289" s="41" t="e">
        <f>VLOOKUP(G289,源数据!A:K,11,FALSE)</f>
        <v>#N/A</v>
      </c>
      <c r="G289" s="42" t="str">
        <f t="shared" si="4"/>
        <v/>
      </c>
    </row>
    <row r="290" ht="15" spans="1:7">
      <c r="A290" s="36" t="str">
        <f>IF(C290="","",IF(C290=跟进查询!$B$2,1+A289,A289))</f>
        <v/>
      </c>
      <c r="B290" s="39"/>
      <c r="C290" s="39"/>
      <c r="D290" s="39"/>
      <c r="E290" s="39"/>
      <c r="F290" s="41" t="e">
        <f>VLOOKUP(G290,源数据!A:K,11,FALSE)</f>
        <v>#N/A</v>
      </c>
      <c r="G290" s="42" t="str">
        <f t="shared" si="4"/>
        <v/>
      </c>
    </row>
    <row r="291" ht="15" spans="1:7">
      <c r="A291" s="36" t="str">
        <f>IF(C291="","",IF(C291=跟进查询!$B$2,1+A290,A290))</f>
        <v/>
      </c>
      <c r="B291" s="39"/>
      <c r="C291" s="39"/>
      <c r="D291" s="39"/>
      <c r="E291" s="39"/>
      <c r="F291" s="41" t="e">
        <f>VLOOKUP(G291,源数据!A:K,11,FALSE)</f>
        <v>#N/A</v>
      </c>
      <c r="G291" s="42" t="str">
        <f t="shared" si="4"/>
        <v/>
      </c>
    </row>
    <row r="292" ht="15" spans="1:7">
      <c r="A292" s="36" t="str">
        <f>IF(C292="","",IF(C292=跟进查询!$B$2,1+A291,A291))</f>
        <v/>
      </c>
      <c r="B292" s="39"/>
      <c r="C292" s="39"/>
      <c r="D292" s="39"/>
      <c r="E292" s="39"/>
      <c r="F292" s="41" t="e">
        <f>VLOOKUP(G292,源数据!A:K,11,FALSE)</f>
        <v>#N/A</v>
      </c>
      <c r="G292" s="42" t="str">
        <f t="shared" si="4"/>
        <v/>
      </c>
    </row>
    <row r="293" ht="15" spans="1:7">
      <c r="A293" s="36" t="str">
        <f>IF(C293="","",IF(C293=跟进查询!$B$2,1+A292,A292))</f>
        <v/>
      </c>
      <c r="B293" s="39"/>
      <c r="C293" s="39"/>
      <c r="D293" s="39"/>
      <c r="E293" s="39"/>
      <c r="F293" s="41" t="e">
        <f>VLOOKUP(G293,源数据!A:K,11,FALSE)</f>
        <v>#N/A</v>
      </c>
      <c r="G293" s="42" t="str">
        <f t="shared" si="4"/>
        <v/>
      </c>
    </row>
    <row r="294" ht="15" spans="1:7">
      <c r="A294" s="36" t="str">
        <f>IF(C294="","",IF(C294=跟进查询!$B$2,1+A293,A293))</f>
        <v/>
      </c>
      <c r="B294" s="39"/>
      <c r="C294" s="39"/>
      <c r="D294" s="39"/>
      <c r="E294" s="39"/>
      <c r="F294" s="41" t="e">
        <f>VLOOKUP(G294,源数据!A:K,11,FALSE)</f>
        <v>#N/A</v>
      </c>
      <c r="G294" s="42" t="str">
        <f t="shared" si="4"/>
        <v/>
      </c>
    </row>
    <row r="295" ht="15" spans="1:7">
      <c r="A295" s="36" t="str">
        <f>IF(C295="","",IF(C295=跟进查询!$B$2,1+A294,A294))</f>
        <v/>
      </c>
      <c r="B295" s="39"/>
      <c r="C295" s="39"/>
      <c r="D295" s="39"/>
      <c r="E295" s="39"/>
      <c r="F295" s="41" t="e">
        <f>VLOOKUP(G295,源数据!A:K,11,FALSE)</f>
        <v>#N/A</v>
      </c>
      <c r="G295" s="42" t="str">
        <f t="shared" si="4"/>
        <v/>
      </c>
    </row>
    <row r="296" ht="15" spans="1:7">
      <c r="A296" s="36" t="str">
        <f>IF(C296="","",IF(C296=跟进查询!$B$2,1+A295,A295))</f>
        <v/>
      </c>
      <c r="B296" s="39"/>
      <c r="C296" s="39"/>
      <c r="D296" s="39"/>
      <c r="E296" s="39"/>
      <c r="F296" s="41" t="e">
        <f>VLOOKUP(G296,源数据!A:K,11,FALSE)</f>
        <v>#N/A</v>
      </c>
      <c r="G296" s="42" t="str">
        <f t="shared" si="4"/>
        <v/>
      </c>
    </row>
    <row r="297" ht="15" spans="1:7">
      <c r="A297" s="36" t="str">
        <f>IF(C297="","",IF(C297=跟进查询!$B$2,1+A296,A296))</f>
        <v/>
      </c>
      <c r="B297" s="39"/>
      <c r="C297" s="39"/>
      <c r="D297" s="39"/>
      <c r="E297" s="39"/>
      <c r="F297" s="41" t="e">
        <f>VLOOKUP(G297,源数据!A:K,11,FALSE)</f>
        <v>#N/A</v>
      </c>
      <c r="G297" s="42" t="str">
        <f t="shared" si="4"/>
        <v/>
      </c>
    </row>
    <row r="298" ht="15" spans="1:7">
      <c r="A298" s="36" t="str">
        <f>IF(C298="","",IF(C298=跟进查询!$B$2,1+A297,A297))</f>
        <v/>
      </c>
      <c r="B298" s="39"/>
      <c r="C298" s="39"/>
      <c r="D298" s="39"/>
      <c r="E298" s="39"/>
      <c r="F298" s="41" t="e">
        <f>VLOOKUP(G298,源数据!A:K,11,FALSE)</f>
        <v>#N/A</v>
      </c>
      <c r="G298" s="42" t="str">
        <f t="shared" si="4"/>
        <v/>
      </c>
    </row>
    <row r="299" ht="15" spans="1:7">
      <c r="A299" s="36" t="str">
        <f>IF(C299="","",IF(C299=跟进查询!$B$2,1+A298,A298))</f>
        <v/>
      </c>
      <c r="B299" s="39"/>
      <c r="C299" s="39"/>
      <c r="D299" s="39"/>
      <c r="E299" s="39"/>
      <c r="F299" s="41" t="e">
        <f>VLOOKUP(G299,源数据!A:K,11,FALSE)</f>
        <v>#N/A</v>
      </c>
      <c r="G299" s="42" t="str">
        <f t="shared" si="4"/>
        <v/>
      </c>
    </row>
    <row r="300" ht="15" spans="1:7">
      <c r="A300" s="36" t="str">
        <f>IF(C300="","",IF(C300=跟进查询!$B$2,1+A299,A299))</f>
        <v/>
      </c>
      <c r="B300" s="39"/>
      <c r="C300" s="39"/>
      <c r="D300" s="39"/>
      <c r="E300" s="39"/>
      <c r="F300" s="41" t="e">
        <f>VLOOKUP(G300,源数据!A:K,11,FALSE)</f>
        <v>#N/A</v>
      </c>
      <c r="G300" s="42" t="str">
        <f t="shared" si="4"/>
        <v/>
      </c>
    </row>
    <row r="301" ht="15" spans="1:7">
      <c r="A301" s="36" t="str">
        <f>IF(C301="","",IF(C301=跟进查询!$B$2,1+A300,A300))</f>
        <v/>
      </c>
      <c r="B301" s="39"/>
      <c r="C301" s="39"/>
      <c r="D301" s="39"/>
      <c r="E301" s="39"/>
      <c r="F301" s="41" t="e">
        <f>VLOOKUP(G301,源数据!A:K,11,FALSE)</f>
        <v>#N/A</v>
      </c>
      <c r="G301" s="42" t="str">
        <f t="shared" si="4"/>
        <v/>
      </c>
    </row>
    <row r="302" ht="15" spans="1:7">
      <c r="A302" s="36" t="str">
        <f>IF(C302="","",IF(C302=跟进查询!$B$2,1+A301,A301))</f>
        <v/>
      </c>
      <c r="B302" s="39"/>
      <c r="C302" s="39"/>
      <c r="D302" s="39"/>
      <c r="E302" s="39"/>
      <c r="F302" s="41" t="e">
        <f>VLOOKUP(G302,源数据!A:K,11,FALSE)</f>
        <v>#N/A</v>
      </c>
      <c r="G302" s="42" t="str">
        <f t="shared" si="4"/>
        <v/>
      </c>
    </row>
    <row r="303" ht="15" spans="1:7">
      <c r="A303" s="36" t="str">
        <f>IF(C303="","",IF(C303=跟进查询!$B$2,1+A302,A302))</f>
        <v/>
      </c>
      <c r="B303" s="39"/>
      <c r="C303" s="39"/>
      <c r="D303" s="39"/>
      <c r="E303" s="39"/>
      <c r="F303" s="41" t="e">
        <f>VLOOKUP(G303,源数据!A:K,11,FALSE)</f>
        <v>#N/A</v>
      </c>
      <c r="G303" s="42" t="str">
        <f t="shared" si="4"/>
        <v/>
      </c>
    </row>
    <row r="304" ht="15" spans="1:7">
      <c r="A304" s="36" t="str">
        <f>IF(C304="","",IF(C304=跟进查询!$B$2,1+A303,A303))</f>
        <v/>
      </c>
      <c r="B304" s="39"/>
      <c r="C304" s="39"/>
      <c r="D304" s="39"/>
      <c r="E304" s="39"/>
      <c r="F304" s="41" t="e">
        <f>VLOOKUP(G304,源数据!A:K,11,FALSE)</f>
        <v>#N/A</v>
      </c>
      <c r="G304" s="42" t="str">
        <f t="shared" si="4"/>
        <v/>
      </c>
    </row>
    <row r="305" ht="15" spans="1:7">
      <c r="A305" s="36" t="str">
        <f>IF(C305="","",IF(C305=跟进查询!$B$2,1+A304,A304))</f>
        <v/>
      </c>
      <c r="B305" s="39"/>
      <c r="C305" s="39"/>
      <c r="D305" s="39"/>
      <c r="E305" s="39"/>
      <c r="F305" s="41" t="e">
        <f>VLOOKUP(G305,源数据!A:K,11,FALSE)</f>
        <v>#N/A</v>
      </c>
      <c r="G305" s="42" t="str">
        <f t="shared" si="4"/>
        <v/>
      </c>
    </row>
    <row r="306" ht="15" spans="1:7">
      <c r="A306" s="36" t="str">
        <f>IF(C306="","",IF(C306=跟进查询!$B$2,1+A305,A305))</f>
        <v/>
      </c>
      <c r="B306" s="39"/>
      <c r="C306" s="39"/>
      <c r="D306" s="39"/>
      <c r="E306" s="39"/>
      <c r="F306" s="41" t="e">
        <f>VLOOKUP(G306,源数据!A:K,11,FALSE)</f>
        <v>#N/A</v>
      </c>
      <c r="G306" s="42" t="str">
        <f t="shared" si="4"/>
        <v/>
      </c>
    </row>
    <row r="307" ht="15" spans="1:7">
      <c r="A307" s="36" t="str">
        <f>IF(C307="","",IF(C307=跟进查询!$B$2,1+A306,A306))</f>
        <v/>
      </c>
      <c r="B307" s="39"/>
      <c r="C307" s="39"/>
      <c r="D307" s="39"/>
      <c r="E307" s="39"/>
      <c r="F307" s="41" t="e">
        <f>VLOOKUP(G307,源数据!A:K,11,FALSE)</f>
        <v>#N/A</v>
      </c>
      <c r="G307" s="42" t="str">
        <f t="shared" si="4"/>
        <v/>
      </c>
    </row>
    <row r="308" ht="15" spans="1:7">
      <c r="A308" s="36" t="str">
        <f>IF(C308="","",IF(C308=跟进查询!$B$2,1+A307,A307))</f>
        <v/>
      </c>
      <c r="B308" s="39"/>
      <c r="C308" s="39"/>
      <c r="D308" s="39"/>
      <c r="E308" s="39"/>
      <c r="F308" s="41" t="e">
        <f>VLOOKUP(G308,源数据!A:K,11,FALSE)</f>
        <v>#N/A</v>
      </c>
      <c r="G308" s="42" t="str">
        <f t="shared" si="4"/>
        <v/>
      </c>
    </row>
    <row r="309" ht="15" spans="1:7">
      <c r="A309" s="36" t="str">
        <f>IF(C309="","",IF(C309=跟进查询!$B$2,1+A308,A308))</f>
        <v/>
      </c>
      <c r="B309" s="39"/>
      <c r="C309" s="39"/>
      <c r="D309" s="39"/>
      <c r="E309" s="39"/>
      <c r="F309" s="41" t="e">
        <f>VLOOKUP(G309,源数据!A:K,11,FALSE)</f>
        <v>#N/A</v>
      </c>
      <c r="G309" s="42" t="str">
        <f t="shared" si="4"/>
        <v/>
      </c>
    </row>
    <row r="310" ht="15" spans="1:7">
      <c r="A310" s="36" t="str">
        <f>IF(C310="","",IF(C310=跟进查询!$B$2,1+A309,A309))</f>
        <v/>
      </c>
      <c r="B310" s="39"/>
      <c r="C310" s="39"/>
      <c r="D310" s="39"/>
      <c r="E310" s="39"/>
      <c r="F310" s="41" t="e">
        <f>VLOOKUP(G310,源数据!A:K,11,FALSE)</f>
        <v>#N/A</v>
      </c>
      <c r="G310" s="42" t="str">
        <f t="shared" si="4"/>
        <v/>
      </c>
    </row>
    <row r="311" ht="15" spans="1:7">
      <c r="A311" s="36" t="str">
        <f>IF(C311="","",IF(C311=跟进查询!$B$2,1+A310,A310))</f>
        <v/>
      </c>
      <c r="B311" s="39"/>
      <c r="C311" s="39"/>
      <c r="D311" s="39"/>
      <c r="E311" s="39"/>
      <c r="F311" s="41" t="e">
        <f>VLOOKUP(G311,源数据!A:K,11,FALSE)</f>
        <v>#N/A</v>
      </c>
      <c r="G311" s="42" t="str">
        <f t="shared" si="4"/>
        <v/>
      </c>
    </row>
    <row r="312" ht="15" spans="1:7">
      <c r="A312" s="36" t="str">
        <f>IF(C312="","",IF(C312=跟进查询!$B$2,1+A311,A311))</f>
        <v/>
      </c>
      <c r="B312" s="39"/>
      <c r="C312" s="39"/>
      <c r="D312" s="39"/>
      <c r="E312" s="39"/>
      <c r="F312" s="41" t="e">
        <f>VLOOKUP(G312,源数据!A:K,11,FALSE)</f>
        <v>#N/A</v>
      </c>
      <c r="G312" s="42" t="str">
        <f t="shared" si="4"/>
        <v/>
      </c>
    </row>
    <row r="313" ht="15" spans="1:7">
      <c r="A313" s="36" t="str">
        <f>IF(C313="","",IF(C313=跟进查询!$B$2,1+A312,A312))</f>
        <v/>
      </c>
      <c r="B313" s="39"/>
      <c r="C313" s="39"/>
      <c r="D313" s="39"/>
      <c r="E313" s="39"/>
      <c r="F313" s="41" t="e">
        <f>VLOOKUP(G313,源数据!A:K,11,FALSE)</f>
        <v>#N/A</v>
      </c>
      <c r="G313" s="42" t="str">
        <f t="shared" si="4"/>
        <v/>
      </c>
    </row>
    <row r="314" ht="15" spans="1:7">
      <c r="A314" s="36" t="str">
        <f>IF(C314="","",IF(C314=跟进查询!$B$2,1+A313,A313))</f>
        <v/>
      </c>
      <c r="B314" s="39"/>
      <c r="C314" s="39"/>
      <c r="D314" s="39"/>
      <c r="E314" s="39"/>
      <c r="F314" s="41" t="e">
        <f>VLOOKUP(G314,源数据!A:K,11,FALSE)</f>
        <v>#N/A</v>
      </c>
      <c r="G314" s="42" t="str">
        <f t="shared" si="4"/>
        <v/>
      </c>
    </row>
    <row r="315" ht="15" spans="1:7">
      <c r="A315" s="36" t="str">
        <f>IF(C315="","",IF(C315=跟进查询!$B$2,1+A314,A314))</f>
        <v/>
      </c>
      <c r="B315" s="39"/>
      <c r="C315" s="39"/>
      <c r="D315" s="39"/>
      <c r="E315" s="39"/>
      <c r="F315" s="41" t="e">
        <f>VLOOKUP(G315,源数据!A:K,11,FALSE)</f>
        <v>#N/A</v>
      </c>
      <c r="G315" s="42" t="str">
        <f t="shared" si="4"/>
        <v/>
      </c>
    </row>
    <row r="316" ht="15" spans="1:7">
      <c r="A316" s="36" t="str">
        <f>IF(C316="","",IF(C316=跟进查询!$B$2,1+A315,A315))</f>
        <v/>
      </c>
      <c r="B316" s="39"/>
      <c r="C316" s="39"/>
      <c r="D316" s="39"/>
      <c r="E316" s="39"/>
      <c r="F316" s="41" t="e">
        <f>VLOOKUP(G316,源数据!A:K,11,FALSE)</f>
        <v>#N/A</v>
      </c>
      <c r="G316" s="42" t="str">
        <f t="shared" si="4"/>
        <v/>
      </c>
    </row>
    <row r="317" ht="15" spans="1:7">
      <c r="A317" s="36" t="str">
        <f>IF(C317="","",IF(C317=跟进查询!$B$2,1+A316,A316))</f>
        <v/>
      </c>
      <c r="B317" s="39"/>
      <c r="C317" s="39"/>
      <c r="D317" s="39"/>
      <c r="E317" s="39"/>
      <c r="F317" s="41" t="e">
        <f>VLOOKUP(G317,源数据!A:K,11,FALSE)</f>
        <v>#N/A</v>
      </c>
      <c r="G317" s="42" t="str">
        <f t="shared" si="4"/>
        <v/>
      </c>
    </row>
    <row r="318" ht="15" spans="1:7">
      <c r="A318" s="36" t="str">
        <f>IF(C318="","",IF(C318=跟进查询!$B$2,1+A317,A317))</f>
        <v/>
      </c>
      <c r="B318" s="39"/>
      <c r="C318" s="39"/>
      <c r="D318" s="39"/>
      <c r="E318" s="39"/>
      <c r="F318" s="41" t="e">
        <f>VLOOKUP(G318,源数据!A:K,11,FALSE)</f>
        <v>#N/A</v>
      </c>
      <c r="G318" s="42" t="str">
        <f t="shared" si="4"/>
        <v/>
      </c>
    </row>
    <row r="319" ht="15" spans="1:7">
      <c r="A319" s="36" t="str">
        <f>IF(C319="","",IF(C319=跟进查询!$B$2,1+A318,A318))</f>
        <v/>
      </c>
      <c r="B319" s="39"/>
      <c r="C319" s="39"/>
      <c r="D319" s="39"/>
      <c r="E319" s="39"/>
      <c r="F319" s="41" t="e">
        <f>VLOOKUP(G319,源数据!A:K,11,FALSE)</f>
        <v>#N/A</v>
      </c>
      <c r="G319" s="42" t="str">
        <f t="shared" si="4"/>
        <v/>
      </c>
    </row>
    <row r="320" ht="15" spans="1:7">
      <c r="A320" s="36" t="str">
        <f>IF(C320="","",IF(C320=跟进查询!$B$2,1+A319,A319))</f>
        <v/>
      </c>
      <c r="B320" s="39"/>
      <c r="C320" s="39"/>
      <c r="D320" s="39"/>
      <c r="E320" s="39"/>
      <c r="F320" s="41" t="e">
        <f>VLOOKUP(G320,源数据!A:K,11,FALSE)</f>
        <v>#N/A</v>
      </c>
      <c r="G320" s="42" t="str">
        <f t="shared" si="4"/>
        <v/>
      </c>
    </row>
    <row r="321" ht="15" spans="1:7">
      <c r="A321" s="36" t="str">
        <f>IF(C321="","",IF(C321=跟进查询!$B$2,1+A320,A320))</f>
        <v/>
      </c>
      <c r="B321" s="39"/>
      <c r="C321" s="39"/>
      <c r="D321" s="39"/>
      <c r="E321" s="39"/>
      <c r="F321" s="41" t="e">
        <f>VLOOKUP(G321,源数据!A:K,11,FALSE)</f>
        <v>#N/A</v>
      </c>
      <c r="G321" s="42" t="str">
        <f t="shared" si="4"/>
        <v/>
      </c>
    </row>
    <row r="322" ht="15" spans="1:7">
      <c r="A322" s="36" t="str">
        <f>IF(C322="","",IF(C322=跟进查询!$B$2,1+A321,A321))</f>
        <v/>
      </c>
      <c r="B322" s="39"/>
      <c r="C322" s="39"/>
      <c r="D322" s="39"/>
      <c r="E322" s="39"/>
      <c r="F322" s="41" t="e">
        <f>VLOOKUP(G322,源数据!A:K,11,FALSE)</f>
        <v>#N/A</v>
      </c>
      <c r="G322" s="42" t="str">
        <f t="shared" si="4"/>
        <v/>
      </c>
    </row>
    <row r="323" ht="15" spans="1:7">
      <c r="A323" s="36" t="str">
        <f>IF(C323="","",IF(C323=跟进查询!$B$2,1+A322,A322))</f>
        <v/>
      </c>
      <c r="B323" s="39"/>
      <c r="C323" s="39"/>
      <c r="D323" s="39"/>
      <c r="E323" s="39"/>
      <c r="F323" s="41" t="e">
        <f>VLOOKUP(G323,源数据!A:K,11,FALSE)</f>
        <v>#N/A</v>
      </c>
      <c r="G323" s="42" t="str">
        <f t="shared" si="4"/>
        <v/>
      </c>
    </row>
    <row r="324" ht="15" spans="1:7">
      <c r="A324" s="36" t="str">
        <f>IF(C324="","",IF(C324=跟进查询!$B$2,1+A323,A323))</f>
        <v/>
      </c>
      <c r="B324" s="39"/>
      <c r="C324" s="39"/>
      <c r="D324" s="39"/>
      <c r="E324" s="39"/>
      <c r="F324" s="41" t="e">
        <f>VLOOKUP(G324,源数据!A:K,11,FALSE)</f>
        <v>#N/A</v>
      </c>
      <c r="G324" s="42" t="str">
        <f t="shared" ref="G324:G387" si="5">B324&amp;C324</f>
        <v/>
      </c>
    </row>
    <row r="325" ht="15" spans="1:7">
      <c r="A325" s="36" t="str">
        <f>IF(C325="","",IF(C325=跟进查询!$B$2,1+A324,A324))</f>
        <v/>
      </c>
      <c r="B325" s="39"/>
      <c r="C325" s="39"/>
      <c r="D325" s="39"/>
      <c r="E325" s="39"/>
      <c r="F325" s="41" t="e">
        <f>VLOOKUP(G325,源数据!A:K,11,FALSE)</f>
        <v>#N/A</v>
      </c>
      <c r="G325" s="42" t="str">
        <f t="shared" si="5"/>
        <v/>
      </c>
    </row>
    <row r="326" ht="15" spans="1:7">
      <c r="A326" s="36" t="str">
        <f>IF(C326="","",IF(C326=跟进查询!$B$2,1+A325,A325))</f>
        <v/>
      </c>
      <c r="B326" s="39"/>
      <c r="C326" s="39"/>
      <c r="D326" s="39"/>
      <c r="E326" s="39"/>
      <c r="F326" s="41" t="e">
        <f>VLOOKUP(G326,源数据!A:K,11,FALSE)</f>
        <v>#N/A</v>
      </c>
      <c r="G326" s="42" t="str">
        <f t="shared" si="5"/>
        <v/>
      </c>
    </row>
    <row r="327" ht="15" spans="1:7">
      <c r="A327" s="36" t="str">
        <f>IF(C327="","",IF(C327=跟进查询!$B$2,1+A326,A326))</f>
        <v/>
      </c>
      <c r="B327" s="39"/>
      <c r="C327" s="39"/>
      <c r="D327" s="39"/>
      <c r="E327" s="39"/>
      <c r="F327" s="41" t="e">
        <f>VLOOKUP(G327,源数据!A:K,11,FALSE)</f>
        <v>#N/A</v>
      </c>
      <c r="G327" s="42" t="str">
        <f t="shared" si="5"/>
        <v/>
      </c>
    </row>
    <row r="328" ht="15" spans="1:7">
      <c r="A328" s="36" t="str">
        <f>IF(C328="","",IF(C328=跟进查询!$B$2,1+A327,A327))</f>
        <v/>
      </c>
      <c r="B328" s="39"/>
      <c r="C328" s="39"/>
      <c r="D328" s="39"/>
      <c r="E328" s="39"/>
      <c r="F328" s="41" t="e">
        <f>VLOOKUP(G328,源数据!A:K,11,FALSE)</f>
        <v>#N/A</v>
      </c>
      <c r="G328" s="42" t="str">
        <f t="shared" si="5"/>
        <v/>
      </c>
    </row>
    <row r="329" ht="15" spans="1:7">
      <c r="A329" s="36" t="str">
        <f>IF(C329="","",IF(C329=跟进查询!$B$2,1+A328,A328))</f>
        <v/>
      </c>
      <c r="B329" s="39"/>
      <c r="C329" s="39"/>
      <c r="D329" s="39"/>
      <c r="E329" s="39"/>
      <c r="F329" s="41" t="e">
        <f>VLOOKUP(G329,源数据!A:K,11,FALSE)</f>
        <v>#N/A</v>
      </c>
      <c r="G329" s="42" t="str">
        <f t="shared" si="5"/>
        <v/>
      </c>
    </row>
    <row r="330" ht="15" spans="1:7">
      <c r="A330" s="36" t="str">
        <f>IF(C330="","",IF(C330=跟进查询!$B$2,1+A329,A329))</f>
        <v/>
      </c>
      <c r="B330" s="39"/>
      <c r="C330" s="39"/>
      <c r="D330" s="39"/>
      <c r="E330" s="39"/>
      <c r="F330" s="41" t="e">
        <f>VLOOKUP(G330,源数据!A:K,11,FALSE)</f>
        <v>#N/A</v>
      </c>
      <c r="G330" s="42" t="str">
        <f t="shared" si="5"/>
        <v/>
      </c>
    </row>
    <row r="331" ht="15" spans="1:7">
      <c r="A331" s="36" t="str">
        <f>IF(C331="","",IF(C331=跟进查询!$B$2,1+A330,A330))</f>
        <v/>
      </c>
      <c r="B331" s="39"/>
      <c r="C331" s="39"/>
      <c r="D331" s="39"/>
      <c r="E331" s="39"/>
      <c r="F331" s="41" t="e">
        <f>VLOOKUP(G331,源数据!A:K,11,FALSE)</f>
        <v>#N/A</v>
      </c>
      <c r="G331" s="42" t="str">
        <f t="shared" si="5"/>
        <v/>
      </c>
    </row>
    <row r="332" ht="15" spans="1:7">
      <c r="A332" s="36" t="str">
        <f>IF(C332="","",IF(C332=跟进查询!$B$2,1+A331,A331))</f>
        <v/>
      </c>
      <c r="B332" s="39"/>
      <c r="C332" s="39"/>
      <c r="D332" s="39"/>
      <c r="E332" s="39"/>
      <c r="F332" s="41" t="e">
        <f>VLOOKUP(G332,源数据!A:K,11,FALSE)</f>
        <v>#N/A</v>
      </c>
      <c r="G332" s="42" t="str">
        <f t="shared" si="5"/>
        <v/>
      </c>
    </row>
    <row r="333" ht="15" spans="1:7">
      <c r="A333" s="36" t="str">
        <f>IF(C333="","",IF(C333=跟进查询!$B$2,1+A332,A332))</f>
        <v/>
      </c>
      <c r="B333" s="39"/>
      <c r="C333" s="39"/>
      <c r="D333" s="39"/>
      <c r="E333" s="39"/>
      <c r="F333" s="41" t="e">
        <f>VLOOKUP(G333,源数据!A:K,11,FALSE)</f>
        <v>#N/A</v>
      </c>
      <c r="G333" s="42" t="str">
        <f t="shared" si="5"/>
        <v/>
      </c>
    </row>
    <row r="334" ht="15" spans="1:7">
      <c r="A334" s="36" t="str">
        <f>IF(C334="","",IF(C334=跟进查询!$B$2,1+A333,A333))</f>
        <v/>
      </c>
      <c r="B334" s="39"/>
      <c r="C334" s="39"/>
      <c r="D334" s="39"/>
      <c r="E334" s="39"/>
      <c r="F334" s="41" t="e">
        <f>VLOOKUP(G334,源数据!A:K,11,FALSE)</f>
        <v>#N/A</v>
      </c>
      <c r="G334" s="42" t="str">
        <f t="shared" si="5"/>
        <v/>
      </c>
    </row>
    <row r="335" ht="15" spans="1:7">
      <c r="A335" s="36" t="str">
        <f>IF(C335="","",IF(C335=跟进查询!$B$2,1+A334,A334))</f>
        <v/>
      </c>
      <c r="B335" s="39"/>
      <c r="C335" s="39"/>
      <c r="D335" s="39"/>
      <c r="E335" s="39"/>
      <c r="F335" s="41" t="e">
        <f>VLOOKUP(G335,源数据!A:K,11,FALSE)</f>
        <v>#N/A</v>
      </c>
      <c r="G335" s="42" t="str">
        <f t="shared" si="5"/>
        <v/>
      </c>
    </row>
    <row r="336" ht="15" spans="1:7">
      <c r="A336" s="36" t="str">
        <f>IF(C336="","",IF(C336=跟进查询!$B$2,1+A335,A335))</f>
        <v/>
      </c>
      <c r="B336" s="39"/>
      <c r="C336" s="39"/>
      <c r="D336" s="39"/>
      <c r="E336" s="39"/>
      <c r="F336" s="41" t="e">
        <f>VLOOKUP(G336,源数据!A:K,11,FALSE)</f>
        <v>#N/A</v>
      </c>
      <c r="G336" s="42" t="str">
        <f t="shared" si="5"/>
        <v/>
      </c>
    </row>
    <row r="337" ht="15" spans="1:7">
      <c r="A337" s="36" t="str">
        <f>IF(C337="","",IF(C337=跟进查询!$B$2,1+A336,A336))</f>
        <v/>
      </c>
      <c r="B337" s="39"/>
      <c r="C337" s="39"/>
      <c r="D337" s="39"/>
      <c r="E337" s="39"/>
      <c r="F337" s="41" t="e">
        <f>VLOOKUP(G337,源数据!A:K,11,FALSE)</f>
        <v>#N/A</v>
      </c>
      <c r="G337" s="42" t="str">
        <f t="shared" si="5"/>
        <v/>
      </c>
    </row>
    <row r="338" ht="15" spans="1:7">
      <c r="A338" s="36" t="str">
        <f>IF(C338="","",IF(C338=跟进查询!$B$2,1+A337,A337))</f>
        <v/>
      </c>
      <c r="B338" s="39"/>
      <c r="C338" s="39"/>
      <c r="D338" s="39"/>
      <c r="E338" s="39"/>
      <c r="F338" s="41" t="e">
        <f>VLOOKUP(G338,源数据!A:K,11,FALSE)</f>
        <v>#N/A</v>
      </c>
      <c r="G338" s="42" t="str">
        <f t="shared" si="5"/>
        <v/>
      </c>
    </row>
    <row r="339" ht="15" spans="1:7">
      <c r="A339" s="36" t="str">
        <f>IF(C339="","",IF(C339=跟进查询!$B$2,1+A338,A338))</f>
        <v/>
      </c>
      <c r="B339" s="39"/>
      <c r="C339" s="39"/>
      <c r="D339" s="39"/>
      <c r="E339" s="39"/>
      <c r="F339" s="41" t="e">
        <f>VLOOKUP(G339,源数据!A:K,11,FALSE)</f>
        <v>#N/A</v>
      </c>
      <c r="G339" s="42" t="str">
        <f t="shared" si="5"/>
        <v/>
      </c>
    </row>
    <row r="340" ht="15" spans="1:7">
      <c r="A340" s="36" t="str">
        <f>IF(C340="","",IF(C340=跟进查询!$B$2,1+A339,A339))</f>
        <v/>
      </c>
      <c r="B340" s="39"/>
      <c r="C340" s="39"/>
      <c r="D340" s="39"/>
      <c r="E340" s="39"/>
      <c r="F340" s="41" t="e">
        <f>VLOOKUP(G340,源数据!A:K,11,FALSE)</f>
        <v>#N/A</v>
      </c>
      <c r="G340" s="42" t="str">
        <f t="shared" si="5"/>
        <v/>
      </c>
    </row>
    <row r="341" ht="15" spans="1:7">
      <c r="A341" s="36" t="str">
        <f>IF(C341="","",IF(C341=跟进查询!$B$2,1+A340,A340))</f>
        <v/>
      </c>
      <c r="B341" s="39"/>
      <c r="C341" s="39"/>
      <c r="D341" s="39"/>
      <c r="E341" s="39"/>
      <c r="F341" s="41" t="e">
        <f>VLOOKUP(G341,源数据!A:K,11,FALSE)</f>
        <v>#N/A</v>
      </c>
      <c r="G341" s="42" t="str">
        <f t="shared" si="5"/>
        <v/>
      </c>
    </row>
    <row r="342" ht="15" spans="1:7">
      <c r="A342" s="36" t="str">
        <f>IF(C342="","",IF(C342=跟进查询!$B$2,1+A341,A341))</f>
        <v/>
      </c>
      <c r="B342" s="39"/>
      <c r="C342" s="39"/>
      <c r="D342" s="39"/>
      <c r="E342" s="39"/>
      <c r="F342" s="41" t="e">
        <f>VLOOKUP(G342,源数据!A:K,11,FALSE)</f>
        <v>#N/A</v>
      </c>
      <c r="G342" s="42" t="str">
        <f t="shared" si="5"/>
        <v/>
      </c>
    </row>
    <row r="343" ht="15" spans="1:7">
      <c r="A343" s="36" t="str">
        <f>IF(C343="","",IF(C343=跟进查询!$B$2,1+A342,A342))</f>
        <v/>
      </c>
      <c r="B343" s="39"/>
      <c r="C343" s="39"/>
      <c r="D343" s="39"/>
      <c r="E343" s="39"/>
      <c r="F343" s="41" t="e">
        <f>VLOOKUP(G343,源数据!A:K,11,FALSE)</f>
        <v>#N/A</v>
      </c>
      <c r="G343" s="42" t="str">
        <f t="shared" si="5"/>
        <v/>
      </c>
    </row>
    <row r="344" ht="15" spans="1:7">
      <c r="A344" s="36" t="str">
        <f>IF(C344="","",IF(C344=跟进查询!$B$2,1+A343,A343))</f>
        <v/>
      </c>
      <c r="B344" s="39"/>
      <c r="C344" s="39"/>
      <c r="D344" s="39"/>
      <c r="E344" s="39"/>
      <c r="F344" s="41" t="e">
        <f>VLOOKUP(G344,源数据!A:K,11,FALSE)</f>
        <v>#N/A</v>
      </c>
      <c r="G344" s="42" t="str">
        <f t="shared" si="5"/>
        <v/>
      </c>
    </row>
    <row r="345" ht="15" spans="1:7">
      <c r="A345" s="36" t="str">
        <f>IF(C345="","",IF(C345=跟进查询!$B$2,1+A344,A344))</f>
        <v/>
      </c>
      <c r="B345" s="39"/>
      <c r="C345" s="39"/>
      <c r="D345" s="39"/>
      <c r="E345" s="39"/>
      <c r="F345" s="41" t="e">
        <f>VLOOKUP(G345,源数据!A:K,11,FALSE)</f>
        <v>#N/A</v>
      </c>
      <c r="G345" s="42" t="str">
        <f t="shared" si="5"/>
        <v/>
      </c>
    </row>
    <row r="346" ht="15" spans="1:7">
      <c r="A346" s="36" t="str">
        <f>IF(C346="","",IF(C346=跟进查询!$B$2,1+A345,A345))</f>
        <v/>
      </c>
      <c r="B346" s="39"/>
      <c r="C346" s="39"/>
      <c r="D346" s="39"/>
      <c r="E346" s="39"/>
      <c r="F346" s="41" t="e">
        <f>VLOOKUP(G346,源数据!A:K,11,FALSE)</f>
        <v>#N/A</v>
      </c>
      <c r="G346" s="42" t="str">
        <f t="shared" si="5"/>
        <v/>
      </c>
    </row>
    <row r="347" ht="15" spans="1:7">
      <c r="A347" s="36" t="str">
        <f>IF(C347="","",IF(C347=跟进查询!$B$2,1+A346,A346))</f>
        <v/>
      </c>
      <c r="B347" s="39"/>
      <c r="C347" s="39"/>
      <c r="D347" s="39"/>
      <c r="E347" s="39"/>
      <c r="F347" s="41" t="e">
        <f>VLOOKUP(G347,源数据!A:K,11,FALSE)</f>
        <v>#N/A</v>
      </c>
      <c r="G347" s="42" t="str">
        <f t="shared" si="5"/>
        <v/>
      </c>
    </row>
    <row r="348" ht="15" spans="1:7">
      <c r="A348" s="36" t="str">
        <f>IF(C348="","",IF(C348=跟进查询!$B$2,1+A347,A347))</f>
        <v/>
      </c>
      <c r="B348" s="39"/>
      <c r="C348" s="39"/>
      <c r="D348" s="39"/>
      <c r="E348" s="39"/>
      <c r="F348" s="41" t="e">
        <f>VLOOKUP(G348,源数据!A:K,11,FALSE)</f>
        <v>#N/A</v>
      </c>
      <c r="G348" s="42" t="str">
        <f t="shared" si="5"/>
        <v/>
      </c>
    </row>
    <row r="349" ht="15" spans="1:7">
      <c r="A349" s="36" t="str">
        <f>IF(C349="","",IF(C349=跟进查询!$B$2,1+A348,A348))</f>
        <v/>
      </c>
      <c r="B349" s="39"/>
      <c r="C349" s="39"/>
      <c r="D349" s="39"/>
      <c r="E349" s="39"/>
      <c r="F349" s="41" t="e">
        <f>VLOOKUP(G349,源数据!A:K,11,FALSE)</f>
        <v>#N/A</v>
      </c>
      <c r="G349" s="42" t="str">
        <f t="shared" si="5"/>
        <v/>
      </c>
    </row>
    <row r="350" ht="15" spans="1:7">
      <c r="A350" s="36" t="str">
        <f>IF(C350="","",IF(C350=跟进查询!$B$2,1+A349,A349))</f>
        <v/>
      </c>
      <c r="B350" s="39"/>
      <c r="C350" s="39"/>
      <c r="D350" s="39"/>
      <c r="E350" s="39"/>
      <c r="F350" s="41" t="e">
        <f>VLOOKUP(G350,源数据!A:K,11,FALSE)</f>
        <v>#N/A</v>
      </c>
      <c r="G350" s="42" t="str">
        <f t="shared" si="5"/>
        <v/>
      </c>
    </row>
    <row r="351" ht="15" spans="1:7">
      <c r="A351" s="36" t="str">
        <f>IF(C351="","",IF(C351=跟进查询!$B$2,1+A350,A350))</f>
        <v/>
      </c>
      <c r="B351" s="39"/>
      <c r="C351" s="39"/>
      <c r="D351" s="39"/>
      <c r="E351" s="39"/>
      <c r="F351" s="41" t="e">
        <f>VLOOKUP(G351,源数据!A:K,11,FALSE)</f>
        <v>#N/A</v>
      </c>
      <c r="G351" s="42" t="str">
        <f t="shared" si="5"/>
        <v/>
      </c>
    </row>
    <row r="352" ht="15" spans="1:7">
      <c r="A352" s="36" t="str">
        <f>IF(C352="","",IF(C352=跟进查询!$B$2,1+A351,A351))</f>
        <v/>
      </c>
      <c r="B352" s="39"/>
      <c r="C352" s="39"/>
      <c r="D352" s="39"/>
      <c r="E352" s="39"/>
      <c r="F352" s="41" t="e">
        <f>VLOOKUP(G352,源数据!A:K,11,FALSE)</f>
        <v>#N/A</v>
      </c>
      <c r="G352" s="42" t="str">
        <f t="shared" si="5"/>
        <v/>
      </c>
    </row>
    <row r="353" ht="15" spans="1:7">
      <c r="A353" s="36" t="str">
        <f>IF(C353="","",IF(C353=跟进查询!$B$2,1+A352,A352))</f>
        <v/>
      </c>
      <c r="B353" s="39"/>
      <c r="C353" s="39"/>
      <c r="D353" s="39"/>
      <c r="E353" s="39"/>
      <c r="F353" s="41" t="e">
        <f>VLOOKUP(G353,源数据!A:K,11,FALSE)</f>
        <v>#N/A</v>
      </c>
      <c r="G353" s="42" t="str">
        <f t="shared" si="5"/>
        <v/>
      </c>
    </row>
    <row r="354" ht="15" spans="1:7">
      <c r="A354" s="36" t="str">
        <f>IF(C354="","",IF(C354=跟进查询!$B$2,1+A353,A353))</f>
        <v/>
      </c>
      <c r="B354" s="39"/>
      <c r="C354" s="39"/>
      <c r="D354" s="39"/>
      <c r="E354" s="39"/>
      <c r="F354" s="41" t="e">
        <f>VLOOKUP(G354,源数据!A:K,11,FALSE)</f>
        <v>#N/A</v>
      </c>
      <c r="G354" s="42" t="str">
        <f t="shared" si="5"/>
        <v/>
      </c>
    </row>
    <row r="355" ht="15" spans="1:7">
      <c r="A355" s="36" t="str">
        <f>IF(C355="","",IF(C355=跟进查询!$B$2,1+A354,A354))</f>
        <v/>
      </c>
      <c r="B355" s="39"/>
      <c r="C355" s="39"/>
      <c r="D355" s="39"/>
      <c r="E355" s="39"/>
      <c r="F355" s="41" t="e">
        <f>VLOOKUP(G355,源数据!A:K,11,FALSE)</f>
        <v>#N/A</v>
      </c>
      <c r="G355" s="42" t="str">
        <f t="shared" si="5"/>
        <v/>
      </c>
    </row>
    <row r="356" ht="15" spans="1:7">
      <c r="A356" s="36" t="str">
        <f>IF(C356="","",IF(C356=跟进查询!$B$2,1+A355,A355))</f>
        <v/>
      </c>
      <c r="B356" s="39"/>
      <c r="C356" s="39"/>
      <c r="D356" s="39"/>
      <c r="E356" s="39"/>
      <c r="F356" s="41" t="e">
        <f>VLOOKUP(G356,源数据!A:K,11,FALSE)</f>
        <v>#N/A</v>
      </c>
      <c r="G356" s="42" t="str">
        <f t="shared" si="5"/>
        <v/>
      </c>
    </row>
    <row r="357" ht="15" spans="1:7">
      <c r="A357" s="36" t="str">
        <f>IF(C357="","",IF(C357=跟进查询!$B$2,1+A356,A356))</f>
        <v/>
      </c>
      <c r="B357" s="39"/>
      <c r="C357" s="39"/>
      <c r="D357" s="39"/>
      <c r="E357" s="39"/>
      <c r="F357" s="41" t="e">
        <f>VLOOKUP(G357,源数据!A:K,11,FALSE)</f>
        <v>#N/A</v>
      </c>
      <c r="G357" s="42" t="str">
        <f t="shared" si="5"/>
        <v/>
      </c>
    </row>
    <row r="358" ht="15" spans="1:7">
      <c r="A358" s="36" t="str">
        <f>IF(C358="","",IF(C358=跟进查询!$B$2,1+A357,A357))</f>
        <v/>
      </c>
      <c r="B358" s="39"/>
      <c r="C358" s="39"/>
      <c r="D358" s="39"/>
      <c r="E358" s="39"/>
      <c r="F358" s="41" t="e">
        <f>VLOOKUP(G358,源数据!A:K,11,FALSE)</f>
        <v>#N/A</v>
      </c>
      <c r="G358" s="42" t="str">
        <f t="shared" si="5"/>
        <v/>
      </c>
    </row>
    <row r="359" ht="15" spans="1:7">
      <c r="A359" s="36" t="str">
        <f>IF(C359="","",IF(C359=跟进查询!$B$2,1+A358,A358))</f>
        <v/>
      </c>
      <c r="B359" s="39"/>
      <c r="C359" s="39"/>
      <c r="D359" s="39"/>
      <c r="E359" s="39"/>
      <c r="F359" s="41" t="e">
        <f>VLOOKUP(G359,源数据!A:K,11,FALSE)</f>
        <v>#N/A</v>
      </c>
      <c r="G359" s="42" t="str">
        <f t="shared" si="5"/>
        <v/>
      </c>
    </row>
    <row r="360" ht="15" spans="1:7">
      <c r="A360" s="36" t="str">
        <f>IF(C360="","",IF(C360=跟进查询!$B$2,1+A359,A359))</f>
        <v/>
      </c>
      <c r="B360" s="39"/>
      <c r="C360" s="39"/>
      <c r="D360" s="39"/>
      <c r="E360" s="39"/>
      <c r="F360" s="41" t="e">
        <f>VLOOKUP(G360,源数据!A:K,11,FALSE)</f>
        <v>#N/A</v>
      </c>
      <c r="G360" s="42" t="str">
        <f t="shared" si="5"/>
        <v/>
      </c>
    </row>
    <row r="361" ht="15" spans="1:7">
      <c r="A361" s="36" t="str">
        <f>IF(C361="","",IF(C361=跟进查询!$B$2,1+A360,A360))</f>
        <v/>
      </c>
      <c r="B361" s="39"/>
      <c r="C361" s="39"/>
      <c r="D361" s="39"/>
      <c r="E361" s="39"/>
      <c r="F361" s="41" t="e">
        <f>VLOOKUP(G361,源数据!A:K,11,FALSE)</f>
        <v>#N/A</v>
      </c>
      <c r="G361" s="42" t="str">
        <f t="shared" si="5"/>
        <v/>
      </c>
    </row>
    <row r="362" ht="15" spans="1:7">
      <c r="A362" s="36" t="str">
        <f>IF(C362="","",IF(C362=跟进查询!$B$2,1+A361,A361))</f>
        <v/>
      </c>
      <c r="B362" s="39"/>
      <c r="C362" s="39"/>
      <c r="D362" s="39"/>
      <c r="E362" s="39"/>
      <c r="F362" s="41" t="e">
        <f>VLOOKUP(G362,源数据!A:K,11,FALSE)</f>
        <v>#N/A</v>
      </c>
      <c r="G362" s="42" t="str">
        <f t="shared" si="5"/>
        <v/>
      </c>
    </row>
    <row r="363" ht="15" spans="1:7">
      <c r="A363" s="36" t="str">
        <f>IF(C363="","",IF(C363=跟进查询!$B$2,1+A362,A362))</f>
        <v/>
      </c>
      <c r="B363" s="39"/>
      <c r="C363" s="39"/>
      <c r="D363" s="39"/>
      <c r="E363" s="39"/>
      <c r="F363" s="41" t="e">
        <f>VLOOKUP(G363,源数据!A:K,11,FALSE)</f>
        <v>#N/A</v>
      </c>
      <c r="G363" s="42" t="str">
        <f t="shared" si="5"/>
        <v/>
      </c>
    </row>
    <row r="364" ht="15" spans="1:7">
      <c r="A364" s="36" t="str">
        <f>IF(C364="","",IF(C364=跟进查询!$B$2,1+A363,A363))</f>
        <v/>
      </c>
      <c r="B364" s="39"/>
      <c r="C364" s="39"/>
      <c r="D364" s="39"/>
      <c r="E364" s="39"/>
      <c r="F364" s="41" t="e">
        <f>VLOOKUP(G364,源数据!A:K,11,FALSE)</f>
        <v>#N/A</v>
      </c>
      <c r="G364" s="42" t="str">
        <f t="shared" si="5"/>
        <v/>
      </c>
    </row>
    <row r="365" ht="15" spans="1:7">
      <c r="A365" s="36" t="str">
        <f>IF(C365="","",IF(C365=跟进查询!$B$2,1+A364,A364))</f>
        <v/>
      </c>
      <c r="B365" s="39"/>
      <c r="C365" s="39"/>
      <c r="D365" s="39"/>
      <c r="E365" s="39"/>
      <c r="F365" s="41" t="e">
        <f>VLOOKUP(G365,源数据!A:K,11,FALSE)</f>
        <v>#N/A</v>
      </c>
      <c r="G365" s="42" t="str">
        <f t="shared" si="5"/>
        <v/>
      </c>
    </row>
    <row r="366" ht="15" spans="1:7">
      <c r="A366" s="36" t="str">
        <f>IF(C366="","",IF(C366=跟进查询!$B$2,1+A365,A365))</f>
        <v/>
      </c>
      <c r="B366" s="39"/>
      <c r="C366" s="39"/>
      <c r="D366" s="39"/>
      <c r="E366" s="39"/>
      <c r="F366" s="41" t="e">
        <f>VLOOKUP(G366,源数据!A:K,11,FALSE)</f>
        <v>#N/A</v>
      </c>
      <c r="G366" s="42" t="str">
        <f t="shared" si="5"/>
        <v/>
      </c>
    </row>
    <row r="367" ht="15" spans="1:7">
      <c r="A367" s="36" t="str">
        <f>IF(C367="","",IF(C367=跟进查询!$B$2,1+A366,A366))</f>
        <v/>
      </c>
      <c r="B367" s="39"/>
      <c r="C367" s="39"/>
      <c r="D367" s="39"/>
      <c r="E367" s="39"/>
      <c r="F367" s="41" t="e">
        <f>VLOOKUP(G367,源数据!A:K,11,FALSE)</f>
        <v>#N/A</v>
      </c>
      <c r="G367" s="42" t="str">
        <f t="shared" si="5"/>
        <v/>
      </c>
    </row>
    <row r="368" ht="15" spans="1:7">
      <c r="A368" s="36" t="str">
        <f>IF(C368="","",IF(C368=跟进查询!$B$2,1+A367,A367))</f>
        <v/>
      </c>
      <c r="B368" s="39"/>
      <c r="C368" s="39"/>
      <c r="D368" s="39"/>
      <c r="E368" s="39"/>
      <c r="F368" s="41" t="e">
        <f>VLOOKUP(G368,源数据!A:K,11,FALSE)</f>
        <v>#N/A</v>
      </c>
      <c r="G368" s="42" t="str">
        <f t="shared" si="5"/>
        <v/>
      </c>
    </row>
    <row r="369" ht="15" spans="1:7">
      <c r="A369" s="36" t="str">
        <f>IF(C369="","",IF(C369=跟进查询!$B$2,1+A368,A368))</f>
        <v/>
      </c>
      <c r="B369" s="39"/>
      <c r="C369" s="39"/>
      <c r="D369" s="39"/>
      <c r="E369" s="39"/>
      <c r="F369" s="41" t="e">
        <f>VLOOKUP(G369,源数据!A:K,11,FALSE)</f>
        <v>#N/A</v>
      </c>
      <c r="G369" s="42" t="str">
        <f t="shared" si="5"/>
        <v/>
      </c>
    </row>
    <row r="370" ht="15" spans="1:7">
      <c r="A370" s="36" t="str">
        <f>IF(C370="","",IF(C370=跟进查询!$B$2,1+A369,A369))</f>
        <v/>
      </c>
      <c r="B370" s="39"/>
      <c r="C370" s="39"/>
      <c r="D370" s="39"/>
      <c r="E370" s="39"/>
      <c r="F370" s="41" t="e">
        <f>VLOOKUP(G370,源数据!A:K,11,FALSE)</f>
        <v>#N/A</v>
      </c>
      <c r="G370" s="42" t="str">
        <f t="shared" si="5"/>
        <v/>
      </c>
    </row>
    <row r="371" ht="15" spans="1:7">
      <c r="A371" s="36" t="str">
        <f>IF(C371="","",IF(C371=跟进查询!$B$2,1+A370,A370))</f>
        <v/>
      </c>
      <c r="B371" s="39"/>
      <c r="C371" s="39"/>
      <c r="D371" s="39"/>
      <c r="E371" s="39"/>
      <c r="F371" s="41" t="e">
        <f>VLOOKUP(G371,源数据!A:K,11,FALSE)</f>
        <v>#N/A</v>
      </c>
      <c r="G371" s="42" t="str">
        <f t="shared" si="5"/>
        <v/>
      </c>
    </row>
    <row r="372" ht="15" spans="1:7">
      <c r="A372" s="36" t="str">
        <f>IF(C372="","",IF(C372=跟进查询!$B$2,1+A371,A371))</f>
        <v/>
      </c>
      <c r="B372" s="39"/>
      <c r="C372" s="39"/>
      <c r="D372" s="39"/>
      <c r="E372" s="39"/>
      <c r="F372" s="41" t="e">
        <f>VLOOKUP(G372,源数据!A:K,11,FALSE)</f>
        <v>#N/A</v>
      </c>
      <c r="G372" s="42" t="str">
        <f t="shared" si="5"/>
        <v/>
      </c>
    </row>
    <row r="373" ht="15" spans="1:7">
      <c r="A373" s="36" t="str">
        <f>IF(C373="","",IF(C373=跟进查询!$B$2,1+A372,A372))</f>
        <v/>
      </c>
      <c r="B373" s="39"/>
      <c r="C373" s="39"/>
      <c r="D373" s="39"/>
      <c r="E373" s="39"/>
      <c r="F373" s="41" t="e">
        <f>VLOOKUP(G373,源数据!A:K,11,FALSE)</f>
        <v>#N/A</v>
      </c>
      <c r="G373" s="42" t="str">
        <f t="shared" si="5"/>
        <v/>
      </c>
    </row>
    <row r="374" ht="15" spans="1:7">
      <c r="A374" s="36" t="str">
        <f>IF(C374="","",IF(C374=跟进查询!$B$2,1+A373,A373))</f>
        <v/>
      </c>
      <c r="B374" s="39"/>
      <c r="C374" s="39"/>
      <c r="D374" s="39"/>
      <c r="E374" s="39"/>
      <c r="F374" s="41" t="e">
        <f>VLOOKUP(G374,源数据!A:K,11,FALSE)</f>
        <v>#N/A</v>
      </c>
      <c r="G374" s="42" t="str">
        <f t="shared" si="5"/>
        <v/>
      </c>
    </row>
    <row r="375" ht="15" spans="1:7">
      <c r="A375" s="36" t="str">
        <f>IF(C375="","",IF(C375=跟进查询!$B$2,1+A374,A374))</f>
        <v/>
      </c>
      <c r="B375" s="39"/>
      <c r="C375" s="39"/>
      <c r="D375" s="39"/>
      <c r="E375" s="39"/>
      <c r="F375" s="41" t="e">
        <f>VLOOKUP(G375,源数据!A:K,11,FALSE)</f>
        <v>#N/A</v>
      </c>
      <c r="G375" s="42" t="str">
        <f t="shared" si="5"/>
        <v/>
      </c>
    </row>
    <row r="376" ht="15" spans="1:7">
      <c r="A376" s="36" t="str">
        <f>IF(C376="","",IF(C376=跟进查询!$B$2,1+A375,A375))</f>
        <v/>
      </c>
      <c r="B376" s="39"/>
      <c r="C376" s="39"/>
      <c r="D376" s="39"/>
      <c r="E376" s="39"/>
      <c r="F376" s="41" t="e">
        <f>VLOOKUP(G376,源数据!A:K,11,FALSE)</f>
        <v>#N/A</v>
      </c>
      <c r="G376" s="42" t="str">
        <f t="shared" si="5"/>
        <v/>
      </c>
    </row>
    <row r="377" ht="15" spans="1:7">
      <c r="A377" s="36" t="str">
        <f>IF(C377="","",IF(C377=跟进查询!$B$2,1+A376,A376))</f>
        <v/>
      </c>
      <c r="B377" s="39"/>
      <c r="C377" s="39"/>
      <c r="D377" s="39"/>
      <c r="E377" s="39"/>
      <c r="F377" s="41" t="e">
        <f>VLOOKUP(G377,源数据!A:K,11,FALSE)</f>
        <v>#N/A</v>
      </c>
      <c r="G377" s="42" t="str">
        <f t="shared" si="5"/>
        <v/>
      </c>
    </row>
    <row r="378" ht="15" spans="1:7">
      <c r="A378" s="36" t="str">
        <f>IF(C378="","",IF(C378=跟进查询!$B$2,1+A377,A377))</f>
        <v/>
      </c>
      <c r="B378" s="39"/>
      <c r="C378" s="39"/>
      <c r="D378" s="39"/>
      <c r="E378" s="39"/>
      <c r="F378" s="41" t="e">
        <f>VLOOKUP(G378,源数据!A:K,11,FALSE)</f>
        <v>#N/A</v>
      </c>
      <c r="G378" s="42" t="str">
        <f t="shared" si="5"/>
        <v/>
      </c>
    </row>
    <row r="379" ht="15" spans="1:7">
      <c r="A379" s="36" t="str">
        <f>IF(C379="","",IF(C379=跟进查询!$B$2,1+A378,A378))</f>
        <v/>
      </c>
      <c r="B379" s="39"/>
      <c r="C379" s="39"/>
      <c r="D379" s="39"/>
      <c r="E379" s="39"/>
      <c r="F379" s="41" t="e">
        <f>VLOOKUP(G379,源数据!A:K,11,FALSE)</f>
        <v>#N/A</v>
      </c>
      <c r="G379" s="42" t="str">
        <f t="shared" si="5"/>
        <v/>
      </c>
    </row>
    <row r="380" ht="15" spans="1:7">
      <c r="A380" s="36" t="str">
        <f>IF(C380="","",IF(C380=跟进查询!$B$2,1+A379,A379))</f>
        <v/>
      </c>
      <c r="B380" s="39"/>
      <c r="C380" s="39"/>
      <c r="D380" s="39"/>
      <c r="E380" s="39"/>
      <c r="F380" s="41" t="e">
        <f>VLOOKUP(G380,源数据!A:K,11,FALSE)</f>
        <v>#N/A</v>
      </c>
      <c r="G380" s="42" t="str">
        <f t="shared" si="5"/>
        <v/>
      </c>
    </row>
    <row r="381" ht="15" spans="1:7">
      <c r="A381" s="36" t="str">
        <f>IF(C381="","",IF(C381=跟进查询!$B$2,1+A380,A380))</f>
        <v/>
      </c>
      <c r="B381" s="39"/>
      <c r="C381" s="39"/>
      <c r="D381" s="39"/>
      <c r="E381" s="39"/>
      <c r="F381" s="41" t="e">
        <f>VLOOKUP(G381,源数据!A:K,11,FALSE)</f>
        <v>#N/A</v>
      </c>
      <c r="G381" s="42" t="str">
        <f t="shared" si="5"/>
        <v/>
      </c>
    </row>
    <row r="382" ht="15" spans="1:7">
      <c r="A382" s="36" t="str">
        <f>IF(C382="","",IF(C382=跟进查询!$B$2,1+A381,A381))</f>
        <v/>
      </c>
      <c r="B382" s="39"/>
      <c r="C382" s="39"/>
      <c r="D382" s="39"/>
      <c r="E382" s="39"/>
      <c r="F382" s="41" t="e">
        <f>VLOOKUP(G382,源数据!A:K,11,FALSE)</f>
        <v>#N/A</v>
      </c>
      <c r="G382" s="42" t="str">
        <f t="shared" si="5"/>
        <v/>
      </c>
    </row>
    <row r="383" ht="15" spans="1:7">
      <c r="A383" s="36" t="str">
        <f>IF(C383="","",IF(C383=跟进查询!$B$2,1+A382,A382))</f>
        <v/>
      </c>
      <c r="B383" s="39"/>
      <c r="C383" s="39"/>
      <c r="D383" s="39"/>
      <c r="E383" s="39"/>
      <c r="F383" s="41" t="e">
        <f>VLOOKUP(G383,源数据!A:K,11,FALSE)</f>
        <v>#N/A</v>
      </c>
      <c r="G383" s="42" t="str">
        <f t="shared" si="5"/>
        <v/>
      </c>
    </row>
    <row r="384" ht="15" spans="1:7">
      <c r="A384" s="36" t="str">
        <f>IF(C384="","",IF(C384=跟进查询!$B$2,1+A383,A383))</f>
        <v/>
      </c>
      <c r="B384" s="39"/>
      <c r="C384" s="39"/>
      <c r="D384" s="39"/>
      <c r="E384" s="39"/>
      <c r="F384" s="41" t="e">
        <f>VLOOKUP(G384,源数据!A:K,11,FALSE)</f>
        <v>#N/A</v>
      </c>
      <c r="G384" s="42" t="str">
        <f t="shared" si="5"/>
        <v/>
      </c>
    </row>
    <row r="385" ht="15" spans="1:7">
      <c r="A385" s="36" t="str">
        <f>IF(C385="","",IF(C385=跟进查询!$B$2,1+A384,A384))</f>
        <v/>
      </c>
      <c r="B385" s="39"/>
      <c r="C385" s="39"/>
      <c r="D385" s="39"/>
      <c r="E385" s="39"/>
      <c r="F385" s="41" t="e">
        <f>VLOOKUP(G385,源数据!A:K,11,FALSE)</f>
        <v>#N/A</v>
      </c>
      <c r="G385" s="42" t="str">
        <f t="shared" si="5"/>
        <v/>
      </c>
    </row>
    <row r="386" ht="15" spans="1:7">
      <c r="A386" s="36" t="str">
        <f>IF(C386="","",IF(C386=跟进查询!$B$2,1+A385,A385))</f>
        <v/>
      </c>
      <c r="B386" s="39"/>
      <c r="C386" s="39"/>
      <c r="D386" s="39"/>
      <c r="E386" s="39"/>
      <c r="F386" s="41" t="e">
        <f>VLOOKUP(G386,源数据!A:K,11,FALSE)</f>
        <v>#N/A</v>
      </c>
      <c r="G386" s="42" t="str">
        <f t="shared" si="5"/>
        <v/>
      </c>
    </row>
    <row r="387" ht="15" spans="1:7">
      <c r="A387" s="36" t="str">
        <f>IF(C387="","",IF(C387=跟进查询!$B$2,1+A386,A386))</f>
        <v/>
      </c>
      <c r="B387" s="39"/>
      <c r="C387" s="39"/>
      <c r="D387" s="39"/>
      <c r="E387" s="39"/>
      <c r="F387" s="41" t="e">
        <f>VLOOKUP(G387,源数据!A:K,11,FALSE)</f>
        <v>#N/A</v>
      </c>
      <c r="G387" s="42" t="str">
        <f t="shared" si="5"/>
        <v/>
      </c>
    </row>
    <row r="388" ht="15" spans="1:7">
      <c r="A388" s="36" t="str">
        <f>IF(C388="","",IF(C388=跟进查询!$B$2,1+A387,A387))</f>
        <v/>
      </c>
      <c r="B388" s="39"/>
      <c r="C388" s="39"/>
      <c r="D388" s="39"/>
      <c r="E388" s="39"/>
      <c r="F388" s="41" t="e">
        <f>VLOOKUP(G388,源数据!A:K,11,FALSE)</f>
        <v>#N/A</v>
      </c>
      <c r="G388" s="42" t="str">
        <f t="shared" ref="G388:G451" si="6">B388&amp;C388</f>
        <v/>
      </c>
    </row>
    <row r="389" ht="15" spans="1:7">
      <c r="A389" s="36" t="str">
        <f>IF(C389="","",IF(C389=跟进查询!$B$2,1+A388,A388))</f>
        <v/>
      </c>
      <c r="B389" s="39"/>
      <c r="C389" s="39"/>
      <c r="D389" s="39"/>
      <c r="E389" s="39"/>
      <c r="F389" s="41" t="e">
        <f>VLOOKUP(G389,源数据!A:K,11,FALSE)</f>
        <v>#N/A</v>
      </c>
      <c r="G389" s="42" t="str">
        <f t="shared" si="6"/>
        <v/>
      </c>
    </row>
    <row r="390" ht="15" spans="1:7">
      <c r="A390" s="36" t="str">
        <f>IF(C390="","",IF(C390=跟进查询!$B$2,1+A389,A389))</f>
        <v/>
      </c>
      <c r="B390" s="39"/>
      <c r="C390" s="39"/>
      <c r="D390" s="39"/>
      <c r="E390" s="39"/>
      <c r="F390" s="41" t="e">
        <f>VLOOKUP(G390,源数据!A:K,11,FALSE)</f>
        <v>#N/A</v>
      </c>
      <c r="G390" s="42" t="str">
        <f t="shared" si="6"/>
        <v/>
      </c>
    </row>
    <row r="391" ht="15" spans="1:7">
      <c r="A391" s="36" t="str">
        <f>IF(C391="","",IF(C391=跟进查询!$B$2,1+A390,A390))</f>
        <v/>
      </c>
      <c r="B391" s="39"/>
      <c r="C391" s="39"/>
      <c r="D391" s="39"/>
      <c r="E391" s="39"/>
      <c r="F391" s="41" t="e">
        <f>VLOOKUP(G391,源数据!A:K,11,FALSE)</f>
        <v>#N/A</v>
      </c>
      <c r="G391" s="42" t="str">
        <f t="shared" si="6"/>
        <v/>
      </c>
    </row>
    <row r="392" ht="15" spans="1:7">
      <c r="A392" s="36" t="str">
        <f>IF(C392="","",IF(C392=跟进查询!$B$2,1+A391,A391))</f>
        <v/>
      </c>
      <c r="B392" s="39"/>
      <c r="C392" s="39"/>
      <c r="D392" s="39"/>
      <c r="E392" s="39"/>
      <c r="F392" s="41" t="e">
        <f>VLOOKUP(G392,源数据!A:K,11,FALSE)</f>
        <v>#N/A</v>
      </c>
      <c r="G392" s="42" t="str">
        <f t="shared" si="6"/>
        <v/>
      </c>
    </row>
    <row r="393" ht="15" spans="1:7">
      <c r="A393" s="36" t="str">
        <f>IF(C393="","",IF(C393=跟进查询!$B$2,1+A392,A392))</f>
        <v/>
      </c>
      <c r="B393" s="39"/>
      <c r="C393" s="39"/>
      <c r="D393" s="39"/>
      <c r="E393" s="39"/>
      <c r="F393" s="41" t="e">
        <f>VLOOKUP(G393,源数据!A:K,11,FALSE)</f>
        <v>#N/A</v>
      </c>
      <c r="G393" s="42" t="str">
        <f t="shared" si="6"/>
        <v/>
      </c>
    </row>
    <row r="394" ht="15" spans="1:7">
      <c r="A394" s="36" t="str">
        <f>IF(C394="","",IF(C394=跟进查询!$B$2,1+A393,A393))</f>
        <v/>
      </c>
      <c r="B394" s="39"/>
      <c r="C394" s="39"/>
      <c r="D394" s="39"/>
      <c r="E394" s="39"/>
      <c r="F394" s="41" t="e">
        <f>VLOOKUP(G394,源数据!A:K,11,FALSE)</f>
        <v>#N/A</v>
      </c>
      <c r="G394" s="42" t="str">
        <f t="shared" si="6"/>
        <v/>
      </c>
    </row>
    <row r="395" ht="15" spans="1:7">
      <c r="A395" s="36" t="str">
        <f>IF(C395="","",IF(C395=跟进查询!$B$2,1+A394,A394))</f>
        <v/>
      </c>
      <c r="B395" s="39"/>
      <c r="C395" s="39"/>
      <c r="D395" s="39"/>
      <c r="E395" s="39"/>
      <c r="F395" s="41" t="e">
        <f>VLOOKUP(G395,源数据!A:K,11,FALSE)</f>
        <v>#N/A</v>
      </c>
      <c r="G395" s="42" t="str">
        <f t="shared" si="6"/>
        <v/>
      </c>
    </row>
    <row r="396" ht="15" spans="1:7">
      <c r="A396" s="36" t="str">
        <f>IF(C396="","",IF(C396=跟进查询!$B$2,1+A395,A395))</f>
        <v/>
      </c>
      <c r="B396" s="39"/>
      <c r="C396" s="39"/>
      <c r="D396" s="39"/>
      <c r="E396" s="39"/>
      <c r="F396" s="41" t="e">
        <f>VLOOKUP(G396,源数据!A:K,11,FALSE)</f>
        <v>#N/A</v>
      </c>
      <c r="G396" s="42" t="str">
        <f t="shared" si="6"/>
        <v/>
      </c>
    </row>
    <row r="397" ht="15" spans="1:7">
      <c r="A397" s="36" t="str">
        <f>IF(C397="","",IF(C397=跟进查询!$B$2,1+A396,A396))</f>
        <v/>
      </c>
      <c r="B397" s="39"/>
      <c r="C397" s="39"/>
      <c r="D397" s="39"/>
      <c r="E397" s="39"/>
      <c r="F397" s="41" t="e">
        <f>VLOOKUP(G397,源数据!A:K,11,FALSE)</f>
        <v>#N/A</v>
      </c>
      <c r="G397" s="42" t="str">
        <f t="shared" si="6"/>
        <v/>
      </c>
    </row>
    <row r="398" ht="15" spans="1:7">
      <c r="A398" s="36" t="str">
        <f>IF(C398="","",IF(C398=跟进查询!$B$2,1+A397,A397))</f>
        <v/>
      </c>
      <c r="B398" s="39"/>
      <c r="C398" s="39"/>
      <c r="D398" s="39"/>
      <c r="E398" s="39"/>
      <c r="F398" s="41" t="e">
        <f>VLOOKUP(G398,源数据!A:K,11,FALSE)</f>
        <v>#N/A</v>
      </c>
      <c r="G398" s="42" t="str">
        <f t="shared" si="6"/>
        <v/>
      </c>
    </row>
    <row r="399" ht="15" spans="1:7">
      <c r="A399" s="36" t="str">
        <f>IF(C399="","",IF(C399=跟进查询!$B$2,1+A398,A398))</f>
        <v/>
      </c>
      <c r="B399" s="39"/>
      <c r="C399" s="39"/>
      <c r="D399" s="39"/>
      <c r="E399" s="39"/>
      <c r="F399" s="41" t="e">
        <f>VLOOKUP(G399,源数据!A:K,11,FALSE)</f>
        <v>#N/A</v>
      </c>
      <c r="G399" s="42" t="str">
        <f t="shared" si="6"/>
        <v/>
      </c>
    </row>
    <row r="400" ht="15" spans="1:7">
      <c r="A400" s="36" t="str">
        <f>IF(C400="","",IF(C400=跟进查询!$B$2,1+A399,A399))</f>
        <v/>
      </c>
      <c r="B400" s="39"/>
      <c r="C400" s="39"/>
      <c r="D400" s="39"/>
      <c r="E400" s="39"/>
      <c r="F400" s="41" t="e">
        <f>VLOOKUP(G400,源数据!A:K,11,FALSE)</f>
        <v>#N/A</v>
      </c>
      <c r="G400" s="42" t="str">
        <f t="shared" si="6"/>
        <v/>
      </c>
    </row>
    <row r="401" ht="15" spans="1:7">
      <c r="A401" s="36" t="str">
        <f>IF(C401="","",IF(C401=跟进查询!$B$2,1+A400,A400))</f>
        <v/>
      </c>
      <c r="B401" s="39"/>
      <c r="C401" s="39"/>
      <c r="D401" s="39"/>
      <c r="E401" s="39"/>
      <c r="F401" s="41" t="e">
        <f>VLOOKUP(G401,源数据!A:K,11,FALSE)</f>
        <v>#N/A</v>
      </c>
      <c r="G401" s="42" t="str">
        <f t="shared" si="6"/>
        <v/>
      </c>
    </row>
    <row r="402" ht="15" spans="1:7">
      <c r="A402" s="36" t="str">
        <f>IF(C402="","",IF(C402=跟进查询!$B$2,1+A401,A401))</f>
        <v/>
      </c>
      <c r="B402" s="39"/>
      <c r="C402" s="39"/>
      <c r="D402" s="39"/>
      <c r="E402" s="39"/>
      <c r="F402" s="41" t="e">
        <f>VLOOKUP(G402,源数据!A:K,11,FALSE)</f>
        <v>#N/A</v>
      </c>
      <c r="G402" s="42" t="str">
        <f t="shared" si="6"/>
        <v/>
      </c>
    </row>
    <row r="403" ht="15" spans="1:7">
      <c r="A403" s="36" t="str">
        <f>IF(C403="","",IF(C403=跟进查询!$B$2,1+A402,A402))</f>
        <v/>
      </c>
      <c r="B403" s="39"/>
      <c r="C403" s="39"/>
      <c r="D403" s="39"/>
      <c r="E403" s="39"/>
      <c r="F403" s="41" t="e">
        <f>VLOOKUP(G403,源数据!A:K,11,FALSE)</f>
        <v>#N/A</v>
      </c>
      <c r="G403" s="42" t="str">
        <f t="shared" si="6"/>
        <v/>
      </c>
    </row>
    <row r="404" ht="15" spans="1:7">
      <c r="A404" s="36" t="str">
        <f>IF(C404="","",IF(C404=跟进查询!$B$2,1+A403,A403))</f>
        <v/>
      </c>
      <c r="B404" s="39"/>
      <c r="C404" s="39"/>
      <c r="D404" s="39"/>
      <c r="E404" s="39"/>
      <c r="F404" s="41" t="e">
        <f>VLOOKUP(G404,源数据!A:K,11,FALSE)</f>
        <v>#N/A</v>
      </c>
      <c r="G404" s="42" t="str">
        <f t="shared" si="6"/>
        <v/>
      </c>
    </row>
    <row r="405" ht="15" spans="1:7">
      <c r="A405" s="36" t="str">
        <f>IF(C405="","",IF(C405=跟进查询!$B$2,1+A404,A404))</f>
        <v/>
      </c>
      <c r="B405" s="39"/>
      <c r="C405" s="39"/>
      <c r="D405" s="39"/>
      <c r="E405" s="39"/>
      <c r="F405" s="41" t="e">
        <f>VLOOKUP(G405,源数据!A:K,11,FALSE)</f>
        <v>#N/A</v>
      </c>
      <c r="G405" s="42" t="str">
        <f t="shared" si="6"/>
        <v/>
      </c>
    </row>
    <row r="406" ht="15" spans="1:7">
      <c r="A406" s="36" t="str">
        <f>IF(C406="","",IF(C406=跟进查询!$B$2,1+A405,A405))</f>
        <v/>
      </c>
      <c r="B406" s="39"/>
      <c r="C406" s="39"/>
      <c r="D406" s="39"/>
      <c r="E406" s="39"/>
      <c r="F406" s="41" t="e">
        <f>VLOOKUP(G406,源数据!A:K,11,FALSE)</f>
        <v>#N/A</v>
      </c>
      <c r="G406" s="42" t="str">
        <f t="shared" si="6"/>
        <v/>
      </c>
    </row>
    <row r="407" ht="15" spans="1:7">
      <c r="A407" s="36" t="str">
        <f>IF(C407="","",IF(C407=跟进查询!$B$2,1+A406,A406))</f>
        <v/>
      </c>
      <c r="B407" s="39"/>
      <c r="C407" s="39"/>
      <c r="D407" s="39"/>
      <c r="E407" s="39"/>
      <c r="F407" s="41" t="e">
        <f>VLOOKUP(G407,源数据!A:K,11,FALSE)</f>
        <v>#N/A</v>
      </c>
      <c r="G407" s="42" t="str">
        <f t="shared" si="6"/>
        <v/>
      </c>
    </row>
    <row r="408" ht="15" spans="1:7">
      <c r="A408" s="36" t="str">
        <f>IF(C408="","",IF(C408=跟进查询!$B$2,1+A407,A407))</f>
        <v/>
      </c>
      <c r="B408" s="39"/>
      <c r="C408" s="39"/>
      <c r="D408" s="39"/>
      <c r="E408" s="39"/>
      <c r="F408" s="41" t="e">
        <f>VLOOKUP(G408,源数据!A:K,11,FALSE)</f>
        <v>#N/A</v>
      </c>
      <c r="G408" s="42" t="str">
        <f t="shared" si="6"/>
        <v/>
      </c>
    </row>
    <row r="409" ht="15" spans="1:7">
      <c r="A409" s="36" t="str">
        <f>IF(C409="","",IF(C409=跟进查询!$B$2,1+A408,A408))</f>
        <v/>
      </c>
      <c r="B409" s="39"/>
      <c r="C409" s="39"/>
      <c r="D409" s="39"/>
      <c r="E409" s="39"/>
      <c r="F409" s="41" t="e">
        <f>VLOOKUP(G409,源数据!A:K,11,FALSE)</f>
        <v>#N/A</v>
      </c>
      <c r="G409" s="42" t="str">
        <f t="shared" si="6"/>
        <v/>
      </c>
    </row>
    <row r="410" ht="15" spans="1:7">
      <c r="A410" s="36" t="str">
        <f>IF(C410="","",IF(C410=跟进查询!$B$2,1+A409,A409))</f>
        <v/>
      </c>
      <c r="B410" s="39"/>
      <c r="C410" s="39"/>
      <c r="D410" s="39"/>
      <c r="E410" s="39"/>
      <c r="F410" s="41" t="e">
        <f>VLOOKUP(G410,源数据!A:K,11,FALSE)</f>
        <v>#N/A</v>
      </c>
      <c r="G410" s="42" t="str">
        <f t="shared" si="6"/>
        <v/>
      </c>
    </row>
    <row r="411" ht="15" spans="1:7">
      <c r="A411" s="36" t="str">
        <f>IF(C411="","",IF(C411=跟进查询!$B$2,1+A410,A410))</f>
        <v/>
      </c>
      <c r="B411" s="39"/>
      <c r="C411" s="39"/>
      <c r="D411" s="39"/>
      <c r="E411" s="39"/>
      <c r="F411" s="41" t="e">
        <f>VLOOKUP(G411,源数据!A:K,11,FALSE)</f>
        <v>#N/A</v>
      </c>
      <c r="G411" s="42" t="str">
        <f t="shared" si="6"/>
        <v/>
      </c>
    </row>
    <row r="412" ht="15" spans="1:7">
      <c r="A412" s="36" t="str">
        <f>IF(C412="","",IF(C412=跟进查询!$B$2,1+A411,A411))</f>
        <v/>
      </c>
      <c r="B412" s="39"/>
      <c r="C412" s="39"/>
      <c r="D412" s="39"/>
      <c r="E412" s="39"/>
      <c r="F412" s="41" t="e">
        <f>VLOOKUP(G412,源数据!A:K,11,FALSE)</f>
        <v>#N/A</v>
      </c>
      <c r="G412" s="42" t="str">
        <f t="shared" si="6"/>
        <v/>
      </c>
    </row>
    <row r="413" ht="15" spans="1:7">
      <c r="A413" s="36" t="str">
        <f>IF(C413="","",IF(C413=跟进查询!$B$2,1+A412,A412))</f>
        <v/>
      </c>
      <c r="B413" s="39"/>
      <c r="C413" s="39"/>
      <c r="D413" s="39"/>
      <c r="E413" s="39"/>
      <c r="F413" s="41" t="e">
        <f>VLOOKUP(G413,源数据!A:K,11,FALSE)</f>
        <v>#N/A</v>
      </c>
      <c r="G413" s="42" t="str">
        <f t="shared" si="6"/>
        <v/>
      </c>
    </row>
    <row r="414" ht="15" spans="1:7">
      <c r="A414" s="36" t="str">
        <f>IF(C414="","",IF(C414=跟进查询!$B$2,1+A413,A413))</f>
        <v/>
      </c>
      <c r="B414" s="39"/>
      <c r="C414" s="39"/>
      <c r="D414" s="39"/>
      <c r="E414" s="39"/>
      <c r="F414" s="41" t="e">
        <f>VLOOKUP(G414,源数据!A:K,11,FALSE)</f>
        <v>#N/A</v>
      </c>
      <c r="G414" s="42" t="str">
        <f t="shared" si="6"/>
        <v/>
      </c>
    </row>
    <row r="415" ht="15" spans="1:7">
      <c r="A415" s="36" t="str">
        <f>IF(C415="","",IF(C415=跟进查询!$B$2,1+A414,A414))</f>
        <v/>
      </c>
      <c r="B415" s="39"/>
      <c r="C415" s="39"/>
      <c r="D415" s="39"/>
      <c r="E415" s="39"/>
      <c r="F415" s="41" t="e">
        <f>VLOOKUP(G415,源数据!A:K,11,FALSE)</f>
        <v>#N/A</v>
      </c>
      <c r="G415" s="42" t="str">
        <f t="shared" si="6"/>
        <v/>
      </c>
    </row>
    <row r="416" ht="15" spans="1:7">
      <c r="A416" s="36" t="str">
        <f>IF(C416="","",IF(C416=跟进查询!$B$2,1+A415,A415))</f>
        <v/>
      </c>
      <c r="B416" s="39"/>
      <c r="C416" s="39"/>
      <c r="D416" s="39"/>
      <c r="E416" s="39"/>
      <c r="F416" s="41" t="e">
        <f>VLOOKUP(G416,源数据!A:K,11,FALSE)</f>
        <v>#N/A</v>
      </c>
      <c r="G416" s="42" t="str">
        <f t="shared" si="6"/>
        <v/>
      </c>
    </row>
    <row r="417" ht="15" spans="1:7">
      <c r="A417" s="36" t="str">
        <f>IF(C417="","",IF(C417=跟进查询!$B$2,1+A416,A416))</f>
        <v/>
      </c>
      <c r="B417" s="39"/>
      <c r="C417" s="39"/>
      <c r="D417" s="39"/>
      <c r="E417" s="39"/>
      <c r="F417" s="41" t="e">
        <f>VLOOKUP(G417,源数据!A:K,11,FALSE)</f>
        <v>#N/A</v>
      </c>
      <c r="G417" s="42" t="str">
        <f t="shared" si="6"/>
        <v/>
      </c>
    </row>
    <row r="418" ht="15" spans="1:7">
      <c r="A418" s="36" t="str">
        <f>IF(C418="","",IF(C418=跟进查询!$B$2,1+A417,A417))</f>
        <v/>
      </c>
      <c r="B418" s="39"/>
      <c r="C418" s="39"/>
      <c r="D418" s="39"/>
      <c r="E418" s="39"/>
      <c r="F418" s="41" t="e">
        <f>VLOOKUP(G418,源数据!A:K,11,FALSE)</f>
        <v>#N/A</v>
      </c>
      <c r="G418" s="42" t="str">
        <f t="shared" si="6"/>
        <v/>
      </c>
    </row>
    <row r="419" ht="15" spans="1:7">
      <c r="A419" s="36" t="str">
        <f>IF(C419="","",IF(C419=跟进查询!$B$2,1+A418,A418))</f>
        <v/>
      </c>
      <c r="B419" s="39"/>
      <c r="C419" s="39"/>
      <c r="D419" s="39"/>
      <c r="E419" s="39"/>
      <c r="F419" s="41" t="e">
        <f>VLOOKUP(G419,源数据!A:K,11,FALSE)</f>
        <v>#N/A</v>
      </c>
      <c r="G419" s="42" t="str">
        <f t="shared" si="6"/>
        <v/>
      </c>
    </row>
    <row r="420" ht="15" spans="1:7">
      <c r="A420" s="36" t="str">
        <f>IF(C420="","",IF(C420=跟进查询!$B$2,1+A419,A419))</f>
        <v/>
      </c>
      <c r="B420" s="39"/>
      <c r="C420" s="39"/>
      <c r="D420" s="39"/>
      <c r="E420" s="39"/>
      <c r="F420" s="41" t="e">
        <f>VLOOKUP(G420,源数据!A:K,11,FALSE)</f>
        <v>#N/A</v>
      </c>
      <c r="G420" s="42" t="str">
        <f t="shared" si="6"/>
        <v/>
      </c>
    </row>
    <row r="421" ht="15" spans="1:7">
      <c r="A421" s="36" t="str">
        <f>IF(C421="","",IF(C421=跟进查询!$B$2,1+A420,A420))</f>
        <v/>
      </c>
      <c r="B421" s="39"/>
      <c r="C421" s="39"/>
      <c r="D421" s="39"/>
      <c r="E421" s="39"/>
      <c r="F421" s="41" t="e">
        <f>VLOOKUP(G421,源数据!A:K,11,FALSE)</f>
        <v>#N/A</v>
      </c>
      <c r="G421" s="42" t="str">
        <f t="shared" si="6"/>
        <v/>
      </c>
    </row>
    <row r="422" ht="15" spans="1:7">
      <c r="A422" s="36" t="str">
        <f>IF(C422="","",IF(C422=跟进查询!$B$2,1+A421,A421))</f>
        <v/>
      </c>
      <c r="B422" s="39"/>
      <c r="C422" s="39"/>
      <c r="D422" s="39"/>
      <c r="E422" s="39"/>
      <c r="F422" s="41" t="e">
        <f>VLOOKUP(G422,源数据!A:K,11,FALSE)</f>
        <v>#N/A</v>
      </c>
      <c r="G422" s="42" t="str">
        <f t="shared" si="6"/>
        <v/>
      </c>
    </row>
    <row r="423" ht="15" spans="1:7">
      <c r="A423" s="36" t="str">
        <f>IF(C423="","",IF(C423=跟进查询!$B$2,1+A422,A422))</f>
        <v/>
      </c>
      <c r="B423" s="39"/>
      <c r="C423" s="39"/>
      <c r="D423" s="39"/>
      <c r="E423" s="39"/>
      <c r="F423" s="41" t="e">
        <f>VLOOKUP(G423,源数据!A:K,11,FALSE)</f>
        <v>#N/A</v>
      </c>
      <c r="G423" s="42" t="str">
        <f t="shared" si="6"/>
        <v/>
      </c>
    </row>
    <row r="424" ht="15" spans="1:7">
      <c r="A424" s="36" t="str">
        <f>IF(C424="","",IF(C424=跟进查询!$B$2,1+A423,A423))</f>
        <v/>
      </c>
      <c r="B424" s="39"/>
      <c r="C424" s="39"/>
      <c r="D424" s="39"/>
      <c r="E424" s="39"/>
      <c r="F424" s="41" t="e">
        <f>VLOOKUP(G424,源数据!A:K,11,FALSE)</f>
        <v>#N/A</v>
      </c>
      <c r="G424" s="42" t="str">
        <f t="shared" si="6"/>
        <v/>
      </c>
    </row>
    <row r="425" ht="15" spans="1:7">
      <c r="A425" s="36" t="str">
        <f>IF(C425="","",IF(C425=跟进查询!$B$2,1+A424,A424))</f>
        <v/>
      </c>
      <c r="B425" s="39"/>
      <c r="C425" s="39"/>
      <c r="D425" s="39"/>
      <c r="E425" s="39"/>
      <c r="F425" s="41" t="e">
        <f>VLOOKUP(G425,源数据!A:K,11,FALSE)</f>
        <v>#N/A</v>
      </c>
      <c r="G425" s="42" t="str">
        <f t="shared" si="6"/>
        <v/>
      </c>
    </row>
    <row r="426" ht="15" spans="1:7">
      <c r="A426" s="36" t="str">
        <f>IF(C426="","",IF(C426=跟进查询!$B$2,1+A425,A425))</f>
        <v/>
      </c>
      <c r="B426" s="39"/>
      <c r="C426" s="39"/>
      <c r="D426" s="39"/>
      <c r="E426" s="39"/>
      <c r="F426" s="41" t="e">
        <f>VLOOKUP(G426,源数据!A:K,11,FALSE)</f>
        <v>#N/A</v>
      </c>
      <c r="G426" s="42" t="str">
        <f t="shared" si="6"/>
        <v/>
      </c>
    </row>
    <row r="427" ht="15" spans="1:7">
      <c r="A427" s="36" t="str">
        <f>IF(C427="","",IF(C427=跟进查询!$B$2,1+A426,A426))</f>
        <v/>
      </c>
      <c r="B427" s="39"/>
      <c r="C427" s="39"/>
      <c r="D427" s="39"/>
      <c r="E427" s="39"/>
      <c r="F427" s="41" t="e">
        <f>VLOOKUP(G427,源数据!A:K,11,FALSE)</f>
        <v>#N/A</v>
      </c>
      <c r="G427" s="42" t="str">
        <f t="shared" si="6"/>
        <v/>
      </c>
    </row>
    <row r="428" ht="15" spans="1:7">
      <c r="A428" s="36" t="str">
        <f>IF(C428="","",IF(C428=跟进查询!$B$2,1+A427,A427))</f>
        <v/>
      </c>
      <c r="B428" s="39"/>
      <c r="C428" s="39"/>
      <c r="D428" s="39"/>
      <c r="E428" s="39"/>
      <c r="F428" s="41" t="e">
        <f>VLOOKUP(G428,源数据!A:K,11,FALSE)</f>
        <v>#N/A</v>
      </c>
      <c r="G428" s="42" t="str">
        <f t="shared" si="6"/>
        <v/>
      </c>
    </row>
    <row r="429" ht="15" spans="1:7">
      <c r="A429" s="36" t="str">
        <f>IF(C429="","",IF(C429=跟进查询!$B$2,1+A428,A428))</f>
        <v/>
      </c>
      <c r="B429" s="39"/>
      <c r="C429" s="39"/>
      <c r="D429" s="39"/>
      <c r="E429" s="39"/>
      <c r="F429" s="41" t="e">
        <f>VLOOKUP(G429,源数据!A:K,11,FALSE)</f>
        <v>#N/A</v>
      </c>
      <c r="G429" s="42" t="str">
        <f t="shared" si="6"/>
        <v/>
      </c>
    </row>
    <row r="430" ht="15" spans="1:7">
      <c r="A430" s="36" t="str">
        <f>IF(C430="","",IF(C430=跟进查询!$B$2,1+A429,A429))</f>
        <v/>
      </c>
      <c r="B430" s="39"/>
      <c r="C430" s="39"/>
      <c r="D430" s="39"/>
      <c r="E430" s="39"/>
      <c r="F430" s="41" t="e">
        <f>VLOOKUP(G430,源数据!A:K,11,FALSE)</f>
        <v>#N/A</v>
      </c>
      <c r="G430" s="42" t="str">
        <f t="shared" si="6"/>
        <v/>
      </c>
    </row>
    <row r="431" ht="15" spans="1:7">
      <c r="A431" s="36" t="str">
        <f>IF(C431="","",IF(C431=跟进查询!$B$2,1+A430,A430))</f>
        <v/>
      </c>
      <c r="B431" s="39"/>
      <c r="C431" s="39"/>
      <c r="D431" s="39"/>
      <c r="E431" s="39"/>
      <c r="F431" s="41" t="e">
        <f>VLOOKUP(G431,源数据!A:K,11,FALSE)</f>
        <v>#N/A</v>
      </c>
      <c r="G431" s="42" t="str">
        <f t="shared" si="6"/>
        <v/>
      </c>
    </row>
    <row r="432" ht="15" spans="1:7">
      <c r="A432" s="36" t="str">
        <f>IF(C432="","",IF(C432=跟进查询!$B$2,1+A431,A431))</f>
        <v/>
      </c>
      <c r="B432" s="39"/>
      <c r="C432" s="39"/>
      <c r="D432" s="39"/>
      <c r="E432" s="39"/>
      <c r="F432" s="41" t="e">
        <f>VLOOKUP(G432,源数据!A:K,11,FALSE)</f>
        <v>#N/A</v>
      </c>
      <c r="G432" s="42" t="str">
        <f t="shared" si="6"/>
        <v/>
      </c>
    </row>
    <row r="433" ht="15" spans="1:7">
      <c r="A433" s="36" t="str">
        <f>IF(C433="","",IF(C433=跟进查询!$B$2,1+A432,A432))</f>
        <v/>
      </c>
      <c r="B433" s="39"/>
      <c r="C433" s="39"/>
      <c r="D433" s="39"/>
      <c r="E433" s="39"/>
      <c r="F433" s="41" t="e">
        <f>VLOOKUP(G433,源数据!A:K,11,FALSE)</f>
        <v>#N/A</v>
      </c>
      <c r="G433" s="42" t="str">
        <f t="shared" si="6"/>
        <v/>
      </c>
    </row>
    <row r="434" ht="15" spans="1:7">
      <c r="A434" s="36" t="str">
        <f>IF(C434="","",IF(C434=跟进查询!$B$2,1+A433,A433))</f>
        <v/>
      </c>
      <c r="B434" s="39"/>
      <c r="C434" s="39"/>
      <c r="D434" s="39"/>
      <c r="E434" s="39"/>
      <c r="F434" s="41" t="e">
        <f>VLOOKUP(G434,源数据!A:K,11,FALSE)</f>
        <v>#N/A</v>
      </c>
      <c r="G434" s="42" t="str">
        <f t="shared" si="6"/>
        <v/>
      </c>
    </row>
    <row r="435" ht="15" spans="1:7">
      <c r="A435" s="36" t="str">
        <f>IF(C435="","",IF(C435=跟进查询!$B$2,1+A434,A434))</f>
        <v/>
      </c>
      <c r="B435" s="39"/>
      <c r="C435" s="39"/>
      <c r="D435" s="39"/>
      <c r="E435" s="39"/>
      <c r="F435" s="41" t="e">
        <f>VLOOKUP(G435,源数据!A:K,11,FALSE)</f>
        <v>#N/A</v>
      </c>
      <c r="G435" s="42" t="str">
        <f t="shared" si="6"/>
        <v/>
      </c>
    </row>
    <row r="436" ht="15" spans="1:7">
      <c r="A436" s="36" t="str">
        <f>IF(C436="","",IF(C436=跟进查询!$B$2,1+A435,A435))</f>
        <v/>
      </c>
      <c r="B436" s="39"/>
      <c r="C436" s="39"/>
      <c r="D436" s="39"/>
      <c r="E436" s="39"/>
      <c r="F436" s="41" t="e">
        <f>VLOOKUP(G436,源数据!A:K,11,FALSE)</f>
        <v>#N/A</v>
      </c>
      <c r="G436" s="42" t="str">
        <f t="shared" si="6"/>
        <v/>
      </c>
    </row>
    <row r="437" ht="15" spans="1:7">
      <c r="A437" s="36" t="str">
        <f>IF(C437="","",IF(C437=跟进查询!$B$2,1+A436,A436))</f>
        <v/>
      </c>
      <c r="B437" s="39"/>
      <c r="C437" s="39"/>
      <c r="D437" s="39"/>
      <c r="E437" s="39"/>
      <c r="F437" s="41" t="e">
        <f>VLOOKUP(G437,源数据!A:K,11,FALSE)</f>
        <v>#N/A</v>
      </c>
      <c r="G437" s="42" t="str">
        <f t="shared" si="6"/>
        <v/>
      </c>
    </row>
    <row r="438" ht="15" spans="1:7">
      <c r="A438" s="36" t="str">
        <f>IF(C438="","",IF(C438=跟进查询!$B$2,1+A437,A437))</f>
        <v/>
      </c>
      <c r="B438" s="39"/>
      <c r="C438" s="39"/>
      <c r="D438" s="39"/>
      <c r="E438" s="39"/>
      <c r="F438" s="41" t="e">
        <f>VLOOKUP(G438,源数据!A:K,11,FALSE)</f>
        <v>#N/A</v>
      </c>
      <c r="G438" s="42" t="str">
        <f t="shared" si="6"/>
        <v/>
      </c>
    </row>
    <row r="439" ht="15" spans="1:7">
      <c r="A439" s="36" t="str">
        <f>IF(C439="","",IF(C439=跟进查询!$B$2,1+A438,A438))</f>
        <v/>
      </c>
      <c r="B439" s="39"/>
      <c r="C439" s="39"/>
      <c r="D439" s="39"/>
      <c r="E439" s="39"/>
      <c r="F439" s="41" t="e">
        <f>VLOOKUP(G439,源数据!A:K,11,FALSE)</f>
        <v>#N/A</v>
      </c>
      <c r="G439" s="42" t="str">
        <f t="shared" si="6"/>
        <v/>
      </c>
    </row>
    <row r="440" ht="15" spans="1:7">
      <c r="A440" s="36" t="str">
        <f>IF(C440="","",IF(C440=跟进查询!$B$2,1+A439,A439))</f>
        <v/>
      </c>
      <c r="B440" s="39"/>
      <c r="C440" s="39"/>
      <c r="D440" s="39"/>
      <c r="E440" s="39"/>
      <c r="F440" s="41" t="e">
        <f>VLOOKUP(G440,源数据!A:K,11,FALSE)</f>
        <v>#N/A</v>
      </c>
      <c r="G440" s="42" t="str">
        <f t="shared" si="6"/>
        <v/>
      </c>
    </row>
    <row r="441" ht="15" spans="1:7">
      <c r="A441" s="36" t="str">
        <f>IF(C441="","",IF(C441=跟进查询!$B$2,1+A440,A440))</f>
        <v/>
      </c>
      <c r="B441" s="39"/>
      <c r="C441" s="39"/>
      <c r="D441" s="39"/>
      <c r="E441" s="39"/>
      <c r="F441" s="41" t="e">
        <f>VLOOKUP(G441,源数据!A:K,11,FALSE)</f>
        <v>#N/A</v>
      </c>
      <c r="G441" s="42" t="str">
        <f t="shared" si="6"/>
        <v/>
      </c>
    </row>
    <row r="442" ht="15" spans="1:7">
      <c r="A442" s="36" t="str">
        <f>IF(C442="","",IF(C442=跟进查询!$B$2,1+A441,A441))</f>
        <v/>
      </c>
      <c r="B442" s="39"/>
      <c r="C442" s="39"/>
      <c r="D442" s="39"/>
      <c r="E442" s="39"/>
      <c r="F442" s="41" t="e">
        <f>VLOOKUP(G442,源数据!A:K,11,FALSE)</f>
        <v>#N/A</v>
      </c>
      <c r="G442" s="42" t="str">
        <f t="shared" si="6"/>
        <v/>
      </c>
    </row>
    <row r="443" ht="15" spans="1:7">
      <c r="A443" s="36" t="str">
        <f>IF(C443="","",IF(C443=跟进查询!$B$2,1+A442,A442))</f>
        <v/>
      </c>
      <c r="B443" s="39"/>
      <c r="C443" s="39"/>
      <c r="D443" s="39"/>
      <c r="E443" s="39"/>
      <c r="F443" s="41" t="e">
        <f>VLOOKUP(G443,源数据!A:K,11,FALSE)</f>
        <v>#N/A</v>
      </c>
      <c r="G443" s="42" t="str">
        <f t="shared" si="6"/>
        <v/>
      </c>
    </row>
    <row r="444" ht="15" spans="1:7">
      <c r="A444" s="36" t="str">
        <f>IF(C444="","",IF(C444=跟进查询!$B$2,1+A443,A443))</f>
        <v/>
      </c>
      <c r="B444" s="39"/>
      <c r="C444" s="39"/>
      <c r="D444" s="39"/>
      <c r="E444" s="39"/>
      <c r="F444" s="41" t="e">
        <f>VLOOKUP(G444,源数据!A:K,11,FALSE)</f>
        <v>#N/A</v>
      </c>
      <c r="G444" s="42" t="str">
        <f t="shared" si="6"/>
        <v/>
      </c>
    </row>
    <row r="445" ht="15" spans="1:7">
      <c r="A445" s="36" t="str">
        <f>IF(C445="","",IF(C445=跟进查询!$B$2,1+A444,A444))</f>
        <v/>
      </c>
      <c r="B445" s="39"/>
      <c r="C445" s="39"/>
      <c r="D445" s="39"/>
      <c r="E445" s="39"/>
      <c r="F445" s="41" t="e">
        <f>VLOOKUP(G445,源数据!A:K,11,FALSE)</f>
        <v>#N/A</v>
      </c>
      <c r="G445" s="42" t="str">
        <f t="shared" si="6"/>
        <v/>
      </c>
    </row>
    <row r="446" ht="15" spans="1:7">
      <c r="A446" s="36" t="str">
        <f>IF(C446="","",IF(C446=跟进查询!$B$2,1+A445,A445))</f>
        <v/>
      </c>
      <c r="B446" s="39"/>
      <c r="C446" s="39"/>
      <c r="D446" s="39"/>
      <c r="E446" s="39"/>
      <c r="F446" s="41" t="e">
        <f>VLOOKUP(G446,源数据!A:K,11,FALSE)</f>
        <v>#N/A</v>
      </c>
      <c r="G446" s="42" t="str">
        <f t="shared" si="6"/>
        <v/>
      </c>
    </row>
    <row r="447" ht="15" spans="1:7">
      <c r="A447" s="36" t="str">
        <f>IF(C447="","",IF(C447=跟进查询!$B$2,1+A446,A446))</f>
        <v/>
      </c>
      <c r="B447" s="39"/>
      <c r="C447" s="39"/>
      <c r="D447" s="39"/>
      <c r="E447" s="39"/>
      <c r="F447" s="41" t="e">
        <f>VLOOKUP(G447,源数据!A:K,11,FALSE)</f>
        <v>#N/A</v>
      </c>
      <c r="G447" s="42" t="str">
        <f t="shared" si="6"/>
        <v/>
      </c>
    </row>
    <row r="448" ht="15" spans="1:7">
      <c r="A448" s="36" t="str">
        <f>IF(C448="","",IF(C448=跟进查询!$B$2,1+A447,A447))</f>
        <v/>
      </c>
      <c r="B448" s="39"/>
      <c r="C448" s="39"/>
      <c r="D448" s="39"/>
      <c r="E448" s="39"/>
      <c r="F448" s="41" t="e">
        <f>VLOOKUP(G448,源数据!A:K,11,FALSE)</f>
        <v>#N/A</v>
      </c>
      <c r="G448" s="42" t="str">
        <f t="shared" si="6"/>
        <v/>
      </c>
    </row>
    <row r="449" ht="15" spans="1:7">
      <c r="A449" s="36" t="str">
        <f>IF(C449="","",IF(C449=跟进查询!$B$2,1+A448,A448))</f>
        <v/>
      </c>
      <c r="B449" s="39"/>
      <c r="C449" s="39"/>
      <c r="D449" s="39"/>
      <c r="E449" s="39"/>
      <c r="F449" s="41" t="e">
        <f>VLOOKUP(G449,源数据!A:K,11,FALSE)</f>
        <v>#N/A</v>
      </c>
      <c r="G449" s="42" t="str">
        <f t="shared" si="6"/>
        <v/>
      </c>
    </row>
    <row r="450" ht="15" spans="1:7">
      <c r="A450" s="36" t="str">
        <f>IF(C450="","",IF(C450=跟进查询!$B$2,1+A449,A449))</f>
        <v/>
      </c>
      <c r="B450" s="39"/>
      <c r="C450" s="39"/>
      <c r="D450" s="39"/>
      <c r="E450" s="39"/>
      <c r="F450" s="41" t="e">
        <f>VLOOKUP(G450,源数据!A:K,11,FALSE)</f>
        <v>#N/A</v>
      </c>
      <c r="G450" s="42" t="str">
        <f t="shared" si="6"/>
        <v/>
      </c>
    </row>
    <row r="451" ht="15" spans="1:7">
      <c r="A451" s="36" t="str">
        <f>IF(C451="","",IF(C451=跟进查询!$B$2,1+A450,A450))</f>
        <v/>
      </c>
      <c r="B451" s="39"/>
      <c r="C451" s="39"/>
      <c r="D451" s="39"/>
      <c r="E451" s="39"/>
      <c r="F451" s="41" t="e">
        <f>VLOOKUP(G451,源数据!A:K,11,FALSE)</f>
        <v>#N/A</v>
      </c>
      <c r="G451" s="42" t="str">
        <f t="shared" si="6"/>
        <v/>
      </c>
    </row>
    <row r="452" ht="15" spans="1:7">
      <c r="A452" s="36" t="str">
        <f>IF(C452="","",IF(C452=跟进查询!$B$2,1+A451,A451))</f>
        <v/>
      </c>
      <c r="B452" s="39"/>
      <c r="C452" s="39"/>
      <c r="D452" s="39"/>
      <c r="E452" s="39"/>
      <c r="F452" s="41" t="e">
        <f>VLOOKUP(G452,源数据!A:K,11,FALSE)</f>
        <v>#N/A</v>
      </c>
      <c r="G452" s="42" t="str">
        <f t="shared" ref="G452:G515" si="7">B452&amp;C452</f>
        <v/>
      </c>
    </row>
    <row r="453" ht="15" spans="1:7">
      <c r="A453" s="36" t="str">
        <f>IF(C453="","",IF(C453=跟进查询!$B$2,1+A452,A452))</f>
        <v/>
      </c>
      <c r="B453" s="39"/>
      <c r="C453" s="39"/>
      <c r="D453" s="39"/>
      <c r="E453" s="39"/>
      <c r="F453" s="41" t="e">
        <f>VLOOKUP(G453,源数据!A:K,11,FALSE)</f>
        <v>#N/A</v>
      </c>
      <c r="G453" s="42" t="str">
        <f t="shared" si="7"/>
        <v/>
      </c>
    </row>
    <row r="454" ht="15" spans="1:7">
      <c r="A454" s="36" t="str">
        <f>IF(C454="","",IF(C454=跟进查询!$B$2,1+A453,A453))</f>
        <v/>
      </c>
      <c r="B454" s="39"/>
      <c r="C454" s="39"/>
      <c r="D454" s="39"/>
      <c r="E454" s="39"/>
      <c r="F454" s="41" t="e">
        <f>VLOOKUP(G454,源数据!A:K,11,FALSE)</f>
        <v>#N/A</v>
      </c>
      <c r="G454" s="42" t="str">
        <f t="shared" si="7"/>
        <v/>
      </c>
    </row>
    <row r="455" ht="15" spans="1:7">
      <c r="A455" s="36" t="str">
        <f>IF(C455="","",IF(C455=跟进查询!$B$2,1+A454,A454))</f>
        <v/>
      </c>
      <c r="B455" s="39"/>
      <c r="C455" s="39"/>
      <c r="D455" s="39"/>
      <c r="E455" s="39"/>
      <c r="F455" s="41" t="e">
        <f>VLOOKUP(G455,源数据!A:K,11,FALSE)</f>
        <v>#N/A</v>
      </c>
      <c r="G455" s="42" t="str">
        <f t="shared" si="7"/>
        <v/>
      </c>
    </row>
    <row r="456" ht="15" spans="1:7">
      <c r="A456" s="36" t="str">
        <f>IF(C456="","",IF(C456=跟进查询!$B$2,1+A455,A455))</f>
        <v/>
      </c>
      <c r="B456" s="39"/>
      <c r="C456" s="39"/>
      <c r="D456" s="39"/>
      <c r="E456" s="39"/>
      <c r="F456" s="41" t="e">
        <f>VLOOKUP(G456,源数据!A:K,11,FALSE)</f>
        <v>#N/A</v>
      </c>
      <c r="G456" s="42" t="str">
        <f t="shared" si="7"/>
        <v/>
      </c>
    </row>
    <row r="457" ht="15" spans="1:7">
      <c r="A457" s="36" t="str">
        <f>IF(C457="","",IF(C457=跟进查询!$B$2,1+A456,A456))</f>
        <v/>
      </c>
      <c r="B457" s="39"/>
      <c r="C457" s="39"/>
      <c r="D457" s="39"/>
      <c r="E457" s="39"/>
      <c r="F457" s="41" t="e">
        <f>VLOOKUP(G457,源数据!A:K,11,FALSE)</f>
        <v>#N/A</v>
      </c>
      <c r="G457" s="42" t="str">
        <f t="shared" si="7"/>
        <v/>
      </c>
    </row>
    <row r="458" ht="15" spans="1:7">
      <c r="A458" s="36" t="str">
        <f>IF(C458="","",IF(C458=跟进查询!$B$2,1+A457,A457))</f>
        <v/>
      </c>
      <c r="B458" s="39"/>
      <c r="C458" s="39"/>
      <c r="D458" s="39"/>
      <c r="E458" s="39"/>
      <c r="F458" s="41" t="e">
        <f>VLOOKUP(G458,源数据!A:K,11,FALSE)</f>
        <v>#N/A</v>
      </c>
      <c r="G458" s="42" t="str">
        <f t="shared" si="7"/>
        <v/>
      </c>
    </row>
    <row r="459" ht="15" spans="1:7">
      <c r="A459" s="36" t="str">
        <f>IF(C459="","",IF(C459=跟进查询!$B$2,1+A458,A458))</f>
        <v/>
      </c>
      <c r="B459" s="39"/>
      <c r="C459" s="39"/>
      <c r="D459" s="39"/>
      <c r="E459" s="39"/>
      <c r="F459" s="41" t="e">
        <f>VLOOKUP(G459,源数据!A:K,11,FALSE)</f>
        <v>#N/A</v>
      </c>
      <c r="G459" s="42" t="str">
        <f t="shared" si="7"/>
        <v/>
      </c>
    </row>
    <row r="460" ht="15" spans="1:7">
      <c r="A460" s="36" t="str">
        <f>IF(C460="","",IF(C460=跟进查询!$B$2,1+A459,A459))</f>
        <v/>
      </c>
      <c r="B460" s="39"/>
      <c r="C460" s="39"/>
      <c r="D460" s="39"/>
      <c r="E460" s="39"/>
      <c r="F460" s="41" t="e">
        <f>VLOOKUP(G460,源数据!A:K,11,FALSE)</f>
        <v>#N/A</v>
      </c>
      <c r="G460" s="42" t="str">
        <f t="shared" si="7"/>
        <v/>
      </c>
    </row>
    <row r="461" ht="15" spans="1:7">
      <c r="A461" s="36" t="str">
        <f>IF(C461="","",IF(C461=跟进查询!$B$2,1+A460,A460))</f>
        <v/>
      </c>
      <c r="B461" s="39"/>
      <c r="C461" s="39"/>
      <c r="D461" s="39"/>
      <c r="E461" s="39"/>
      <c r="F461" s="41" t="e">
        <f>VLOOKUP(G461,源数据!A:K,11,FALSE)</f>
        <v>#N/A</v>
      </c>
      <c r="G461" s="42" t="str">
        <f t="shared" si="7"/>
        <v/>
      </c>
    </row>
    <row r="462" ht="15" spans="1:7">
      <c r="A462" s="36" t="str">
        <f>IF(C462="","",IF(C462=跟进查询!$B$2,1+A461,A461))</f>
        <v/>
      </c>
      <c r="B462" s="39"/>
      <c r="C462" s="39"/>
      <c r="D462" s="39"/>
      <c r="E462" s="39"/>
      <c r="F462" s="41" t="e">
        <f>VLOOKUP(G462,源数据!A:K,11,FALSE)</f>
        <v>#N/A</v>
      </c>
      <c r="G462" s="42" t="str">
        <f t="shared" si="7"/>
        <v/>
      </c>
    </row>
    <row r="463" ht="15" spans="1:7">
      <c r="A463" s="36" t="str">
        <f>IF(C463="","",IF(C463=跟进查询!$B$2,1+A462,A462))</f>
        <v/>
      </c>
      <c r="B463" s="39"/>
      <c r="C463" s="39"/>
      <c r="D463" s="39"/>
      <c r="E463" s="39"/>
      <c r="F463" s="41" t="e">
        <f>VLOOKUP(G463,源数据!A:K,11,FALSE)</f>
        <v>#N/A</v>
      </c>
      <c r="G463" s="42" t="str">
        <f t="shared" si="7"/>
        <v/>
      </c>
    </row>
    <row r="464" ht="15" spans="1:7">
      <c r="A464" s="36" t="str">
        <f>IF(C464="","",IF(C464=跟进查询!$B$2,1+A463,A463))</f>
        <v/>
      </c>
      <c r="B464" s="39"/>
      <c r="C464" s="39"/>
      <c r="D464" s="39"/>
      <c r="E464" s="39"/>
      <c r="F464" s="41" t="e">
        <f>VLOOKUP(G464,源数据!A:K,11,FALSE)</f>
        <v>#N/A</v>
      </c>
      <c r="G464" s="42" t="str">
        <f t="shared" si="7"/>
        <v/>
      </c>
    </row>
    <row r="465" ht="15" spans="1:7">
      <c r="A465" s="36" t="str">
        <f>IF(C465="","",IF(C465=跟进查询!$B$2,1+A464,A464))</f>
        <v/>
      </c>
      <c r="B465" s="39"/>
      <c r="C465" s="39"/>
      <c r="D465" s="39"/>
      <c r="E465" s="39"/>
      <c r="F465" s="41" t="e">
        <f>VLOOKUP(G465,源数据!A:K,11,FALSE)</f>
        <v>#N/A</v>
      </c>
      <c r="G465" s="42" t="str">
        <f t="shared" si="7"/>
        <v/>
      </c>
    </row>
    <row r="466" ht="15" spans="1:7">
      <c r="A466" s="36" t="str">
        <f>IF(C466="","",IF(C466=跟进查询!$B$2,1+A465,A465))</f>
        <v/>
      </c>
      <c r="B466" s="39"/>
      <c r="C466" s="39"/>
      <c r="D466" s="39"/>
      <c r="E466" s="39"/>
      <c r="F466" s="41" t="e">
        <f>VLOOKUP(G466,源数据!A:K,11,FALSE)</f>
        <v>#N/A</v>
      </c>
      <c r="G466" s="42" t="str">
        <f t="shared" si="7"/>
        <v/>
      </c>
    </row>
    <row r="467" ht="15" spans="1:7">
      <c r="A467" s="36" t="str">
        <f>IF(C467="","",IF(C467=跟进查询!$B$2,1+A466,A466))</f>
        <v/>
      </c>
      <c r="B467" s="39"/>
      <c r="C467" s="39"/>
      <c r="D467" s="39"/>
      <c r="E467" s="39"/>
      <c r="F467" s="41" t="e">
        <f>VLOOKUP(G467,源数据!A:K,11,FALSE)</f>
        <v>#N/A</v>
      </c>
      <c r="G467" s="42" t="str">
        <f t="shared" si="7"/>
        <v/>
      </c>
    </row>
    <row r="468" ht="15" spans="1:7">
      <c r="A468" s="36" t="str">
        <f>IF(C468="","",IF(C468=跟进查询!$B$2,1+A467,A467))</f>
        <v/>
      </c>
      <c r="B468" s="39"/>
      <c r="C468" s="39"/>
      <c r="D468" s="39"/>
      <c r="E468" s="39"/>
      <c r="F468" s="41" t="e">
        <f>VLOOKUP(G468,源数据!A:K,11,FALSE)</f>
        <v>#N/A</v>
      </c>
      <c r="G468" s="42" t="str">
        <f t="shared" si="7"/>
        <v/>
      </c>
    </row>
    <row r="469" ht="15" spans="1:7">
      <c r="A469" s="36" t="str">
        <f>IF(C469="","",IF(C469=跟进查询!$B$2,1+A468,A468))</f>
        <v/>
      </c>
      <c r="B469" s="39"/>
      <c r="C469" s="39"/>
      <c r="D469" s="39"/>
      <c r="E469" s="39"/>
      <c r="F469" s="41" t="e">
        <f>VLOOKUP(G469,源数据!A:K,11,FALSE)</f>
        <v>#N/A</v>
      </c>
      <c r="G469" s="42" t="str">
        <f t="shared" si="7"/>
        <v/>
      </c>
    </row>
    <row r="470" ht="15" spans="1:7">
      <c r="A470" s="36" t="str">
        <f>IF(C470="","",IF(C470=跟进查询!$B$2,1+A469,A469))</f>
        <v/>
      </c>
      <c r="B470" s="39"/>
      <c r="C470" s="39"/>
      <c r="D470" s="39"/>
      <c r="E470" s="39"/>
      <c r="F470" s="41" t="e">
        <f>VLOOKUP(G470,源数据!A:K,11,FALSE)</f>
        <v>#N/A</v>
      </c>
      <c r="G470" s="42" t="str">
        <f t="shared" si="7"/>
        <v/>
      </c>
    </row>
    <row r="471" ht="15" spans="1:7">
      <c r="A471" s="36" t="str">
        <f>IF(C471="","",IF(C471=跟进查询!$B$2,1+A470,A470))</f>
        <v/>
      </c>
      <c r="B471" s="39"/>
      <c r="C471" s="39"/>
      <c r="D471" s="39"/>
      <c r="E471" s="39"/>
      <c r="F471" s="41" t="e">
        <f>VLOOKUP(G471,源数据!A:K,11,FALSE)</f>
        <v>#N/A</v>
      </c>
      <c r="G471" s="42" t="str">
        <f t="shared" si="7"/>
        <v/>
      </c>
    </row>
    <row r="472" ht="15" spans="1:7">
      <c r="A472" s="36" t="str">
        <f>IF(C472="","",IF(C472=跟进查询!$B$2,1+A471,A471))</f>
        <v/>
      </c>
      <c r="B472" s="39"/>
      <c r="C472" s="39"/>
      <c r="D472" s="39"/>
      <c r="E472" s="39"/>
      <c r="F472" s="41" t="e">
        <f>VLOOKUP(G472,源数据!A:K,11,FALSE)</f>
        <v>#N/A</v>
      </c>
      <c r="G472" s="42" t="str">
        <f t="shared" si="7"/>
        <v/>
      </c>
    </row>
    <row r="473" ht="15" spans="1:7">
      <c r="A473" s="36" t="str">
        <f>IF(C473="","",IF(C473=跟进查询!$B$2,1+A472,A472))</f>
        <v/>
      </c>
      <c r="B473" s="39"/>
      <c r="C473" s="39"/>
      <c r="D473" s="39"/>
      <c r="E473" s="39"/>
      <c r="F473" s="41" t="e">
        <f>VLOOKUP(G473,源数据!A:K,11,FALSE)</f>
        <v>#N/A</v>
      </c>
      <c r="G473" s="42" t="str">
        <f t="shared" si="7"/>
        <v/>
      </c>
    </row>
    <row r="474" ht="15" spans="1:7">
      <c r="A474" s="36" t="str">
        <f>IF(C474="","",IF(C474=跟进查询!$B$2,1+A473,A473))</f>
        <v/>
      </c>
      <c r="B474" s="39"/>
      <c r="C474" s="39"/>
      <c r="D474" s="39"/>
      <c r="E474" s="39"/>
      <c r="F474" s="41" t="e">
        <f>VLOOKUP(G474,源数据!A:K,11,FALSE)</f>
        <v>#N/A</v>
      </c>
      <c r="G474" s="42" t="str">
        <f t="shared" si="7"/>
        <v/>
      </c>
    </row>
    <row r="475" ht="15" spans="1:7">
      <c r="A475" s="36" t="str">
        <f>IF(C475="","",IF(C475=跟进查询!$B$2,1+A474,A474))</f>
        <v/>
      </c>
      <c r="B475" s="39"/>
      <c r="C475" s="39"/>
      <c r="D475" s="39"/>
      <c r="E475" s="39"/>
      <c r="F475" s="41" t="e">
        <f>VLOOKUP(G475,源数据!A:K,11,FALSE)</f>
        <v>#N/A</v>
      </c>
      <c r="G475" s="42" t="str">
        <f t="shared" si="7"/>
        <v/>
      </c>
    </row>
    <row r="476" ht="15" spans="1:7">
      <c r="A476" s="36" t="str">
        <f>IF(C476="","",IF(C476=跟进查询!$B$2,1+A475,A475))</f>
        <v/>
      </c>
      <c r="B476" s="39"/>
      <c r="C476" s="39"/>
      <c r="D476" s="39"/>
      <c r="E476" s="39"/>
      <c r="F476" s="41" t="e">
        <f>VLOOKUP(G476,源数据!A:K,11,FALSE)</f>
        <v>#N/A</v>
      </c>
      <c r="G476" s="42" t="str">
        <f t="shared" si="7"/>
        <v/>
      </c>
    </row>
    <row r="477" ht="15" spans="1:7">
      <c r="A477" s="36" t="str">
        <f>IF(C477="","",IF(C477=跟进查询!$B$2,1+A476,A476))</f>
        <v/>
      </c>
      <c r="B477" s="39"/>
      <c r="C477" s="39"/>
      <c r="D477" s="39"/>
      <c r="E477" s="39"/>
      <c r="F477" s="41" t="e">
        <f>VLOOKUP(G477,源数据!A:K,11,FALSE)</f>
        <v>#N/A</v>
      </c>
      <c r="G477" s="42" t="str">
        <f t="shared" si="7"/>
        <v/>
      </c>
    </row>
    <row r="478" ht="15" spans="1:7">
      <c r="A478" s="36" t="str">
        <f>IF(C478="","",IF(C478=跟进查询!$B$2,1+A477,A477))</f>
        <v/>
      </c>
      <c r="B478" s="39"/>
      <c r="C478" s="39"/>
      <c r="D478" s="39"/>
      <c r="E478" s="39"/>
      <c r="F478" s="41" t="e">
        <f>VLOOKUP(G478,源数据!A:K,11,FALSE)</f>
        <v>#N/A</v>
      </c>
      <c r="G478" s="42" t="str">
        <f t="shared" si="7"/>
        <v/>
      </c>
    </row>
    <row r="479" ht="15" spans="1:7">
      <c r="A479" s="36" t="str">
        <f>IF(C479="","",IF(C479=跟进查询!$B$2,1+A478,A478))</f>
        <v/>
      </c>
      <c r="B479" s="39"/>
      <c r="C479" s="39"/>
      <c r="D479" s="39"/>
      <c r="E479" s="39"/>
      <c r="F479" s="41" t="e">
        <f>VLOOKUP(G479,源数据!A:K,11,FALSE)</f>
        <v>#N/A</v>
      </c>
      <c r="G479" s="42" t="str">
        <f t="shared" si="7"/>
        <v/>
      </c>
    </row>
    <row r="480" ht="15" spans="1:7">
      <c r="A480" s="36" t="str">
        <f>IF(C480="","",IF(C480=跟进查询!$B$2,1+A479,A479))</f>
        <v/>
      </c>
      <c r="B480" s="39"/>
      <c r="C480" s="39"/>
      <c r="D480" s="39"/>
      <c r="E480" s="39"/>
      <c r="F480" s="41" t="e">
        <f>VLOOKUP(G480,源数据!A:K,11,FALSE)</f>
        <v>#N/A</v>
      </c>
      <c r="G480" s="42" t="str">
        <f t="shared" si="7"/>
        <v/>
      </c>
    </row>
    <row r="481" ht="15" spans="1:7">
      <c r="A481" s="36" t="str">
        <f>IF(C481="","",IF(C481=跟进查询!$B$2,1+A480,A480))</f>
        <v/>
      </c>
      <c r="B481" s="39"/>
      <c r="C481" s="39"/>
      <c r="D481" s="39"/>
      <c r="E481" s="39"/>
      <c r="F481" s="41" t="e">
        <f>VLOOKUP(G481,源数据!A:K,11,FALSE)</f>
        <v>#N/A</v>
      </c>
      <c r="G481" s="42" t="str">
        <f t="shared" si="7"/>
        <v/>
      </c>
    </row>
    <row r="482" ht="15" spans="1:7">
      <c r="A482" s="36" t="str">
        <f>IF(C482="","",IF(C482=跟进查询!$B$2,1+A481,A481))</f>
        <v/>
      </c>
      <c r="B482" s="39"/>
      <c r="C482" s="39"/>
      <c r="D482" s="39"/>
      <c r="E482" s="39"/>
      <c r="F482" s="41" t="e">
        <f>VLOOKUP(G482,源数据!A:K,11,FALSE)</f>
        <v>#N/A</v>
      </c>
      <c r="G482" s="42" t="str">
        <f t="shared" si="7"/>
        <v/>
      </c>
    </row>
    <row r="483" ht="15" spans="1:7">
      <c r="A483" s="36" t="str">
        <f>IF(C483="","",IF(C483=跟进查询!$B$2,1+A482,A482))</f>
        <v/>
      </c>
      <c r="B483" s="39"/>
      <c r="C483" s="39"/>
      <c r="D483" s="39"/>
      <c r="E483" s="39"/>
      <c r="F483" s="41" t="e">
        <f>VLOOKUP(G483,源数据!A:K,11,FALSE)</f>
        <v>#N/A</v>
      </c>
      <c r="G483" s="42" t="str">
        <f t="shared" si="7"/>
        <v/>
      </c>
    </row>
    <row r="484" ht="15" spans="1:7">
      <c r="A484" s="36" t="str">
        <f>IF(C484="","",IF(C484=跟进查询!$B$2,1+A483,A483))</f>
        <v/>
      </c>
      <c r="B484" s="39"/>
      <c r="C484" s="39"/>
      <c r="D484" s="39"/>
      <c r="E484" s="39"/>
      <c r="F484" s="41" t="e">
        <f>VLOOKUP(G484,源数据!A:K,11,FALSE)</f>
        <v>#N/A</v>
      </c>
      <c r="G484" s="42" t="str">
        <f t="shared" si="7"/>
        <v/>
      </c>
    </row>
    <row r="485" ht="15" spans="1:7">
      <c r="A485" s="36" t="str">
        <f>IF(C485="","",IF(C485=跟进查询!$B$2,1+A484,A484))</f>
        <v/>
      </c>
      <c r="B485" s="39"/>
      <c r="C485" s="39"/>
      <c r="D485" s="39"/>
      <c r="E485" s="39"/>
      <c r="F485" s="41" t="e">
        <f>VLOOKUP(G485,源数据!A:K,11,FALSE)</f>
        <v>#N/A</v>
      </c>
      <c r="G485" s="42" t="str">
        <f t="shared" si="7"/>
        <v/>
      </c>
    </row>
    <row r="486" ht="15" spans="1:7">
      <c r="A486" s="36" t="str">
        <f>IF(C486="","",IF(C486=跟进查询!$B$2,1+A485,A485))</f>
        <v/>
      </c>
      <c r="B486" s="39"/>
      <c r="C486" s="39"/>
      <c r="D486" s="39"/>
      <c r="E486" s="39"/>
      <c r="F486" s="41" t="e">
        <f>VLOOKUP(G486,源数据!A:K,11,FALSE)</f>
        <v>#N/A</v>
      </c>
      <c r="G486" s="42" t="str">
        <f t="shared" si="7"/>
        <v/>
      </c>
    </row>
    <row r="487" ht="15" spans="1:7">
      <c r="A487" s="36" t="str">
        <f>IF(C487="","",IF(C487=跟进查询!$B$2,1+A486,A486))</f>
        <v/>
      </c>
      <c r="B487" s="39"/>
      <c r="C487" s="39"/>
      <c r="D487" s="39"/>
      <c r="E487" s="39"/>
      <c r="F487" s="41" t="e">
        <f>VLOOKUP(G487,源数据!A:K,11,FALSE)</f>
        <v>#N/A</v>
      </c>
      <c r="G487" s="42" t="str">
        <f t="shared" si="7"/>
        <v/>
      </c>
    </row>
    <row r="488" ht="15" spans="1:7">
      <c r="A488" s="36" t="str">
        <f>IF(C488="","",IF(C488=跟进查询!$B$2,1+A487,A487))</f>
        <v/>
      </c>
      <c r="B488" s="39"/>
      <c r="C488" s="39"/>
      <c r="D488" s="39"/>
      <c r="E488" s="39"/>
      <c r="F488" s="41" t="e">
        <f>VLOOKUP(G488,源数据!A:K,11,FALSE)</f>
        <v>#N/A</v>
      </c>
      <c r="G488" s="42" t="str">
        <f t="shared" si="7"/>
        <v/>
      </c>
    </row>
    <row r="489" ht="15" spans="1:7">
      <c r="A489" s="36" t="str">
        <f>IF(C489="","",IF(C489=跟进查询!$B$2,1+A488,A488))</f>
        <v/>
      </c>
      <c r="B489" s="39"/>
      <c r="C489" s="39"/>
      <c r="D489" s="39"/>
      <c r="E489" s="39"/>
      <c r="F489" s="41" t="e">
        <f>VLOOKUP(G489,源数据!A:K,11,FALSE)</f>
        <v>#N/A</v>
      </c>
      <c r="G489" s="42" t="str">
        <f t="shared" si="7"/>
        <v/>
      </c>
    </row>
    <row r="490" ht="15" spans="1:7">
      <c r="A490" s="36" t="str">
        <f>IF(C490="","",IF(C490=跟进查询!$B$2,1+A489,A489))</f>
        <v/>
      </c>
      <c r="B490" s="39"/>
      <c r="C490" s="39"/>
      <c r="D490" s="39"/>
      <c r="E490" s="39"/>
      <c r="F490" s="41" t="e">
        <f>VLOOKUP(G490,源数据!A:K,11,FALSE)</f>
        <v>#N/A</v>
      </c>
      <c r="G490" s="42" t="str">
        <f t="shared" si="7"/>
        <v/>
      </c>
    </row>
    <row r="491" ht="15" spans="1:7">
      <c r="A491" s="36" t="str">
        <f>IF(C491="","",IF(C491=跟进查询!$B$2,1+A490,A490))</f>
        <v/>
      </c>
      <c r="B491" s="39"/>
      <c r="C491" s="39"/>
      <c r="D491" s="39"/>
      <c r="E491" s="39"/>
      <c r="F491" s="41" t="e">
        <f>VLOOKUP(G491,源数据!A:K,11,FALSE)</f>
        <v>#N/A</v>
      </c>
      <c r="G491" s="42" t="str">
        <f t="shared" si="7"/>
        <v/>
      </c>
    </row>
    <row r="492" ht="15" spans="1:7">
      <c r="A492" s="36" t="str">
        <f>IF(C492="","",IF(C492=跟进查询!$B$2,1+A491,A491))</f>
        <v/>
      </c>
      <c r="B492" s="39"/>
      <c r="C492" s="39"/>
      <c r="D492" s="39"/>
      <c r="E492" s="39"/>
      <c r="F492" s="41" t="e">
        <f>VLOOKUP(G492,源数据!A:K,11,FALSE)</f>
        <v>#N/A</v>
      </c>
      <c r="G492" s="42" t="str">
        <f t="shared" si="7"/>
        <v/>
      </c>
    </row>
    <row r="493" ht="15" spans="1:7">
      <c r="A493" s="36" t="str">
        <f>IF(C493="","",IF(C493=跟进查询!$B$2,1+A492,A492))</f>
        <v/>
      </c>
      <c r="B493" s="39"/>
      <c r="C493" s="39"/>
      <c r="D493" s="39"/>
      <c r="E493" s="39"/>
      <c r="F493" s="41" t="e">
        <f>VLOOKUP(G493,源数据!A:K,11,FALSE)</f>
        <v>#N/A</v>
      </c>
      <c r="G493" s="42" t="str">
        <f t="shared" si="7"/>
        <v/>
      </c>
    </row>
    <row r="494" ht="15" spans="1:7">
      <c r="A494" s="36" t="str">
        <f>IF(C494="","",IF(C494=跟进查询!$B$2,1+A493,A493))</f>
        <v/>
      </c>
      <c r="B494" s="39"/>
      <c r="C494" s="39"/>
      <c r="D494" s="39"/>
      <c r="E494" s="39"/>
      <c r="F494" s="41" t="e">
        <f>VLOOKUP(G494,源数据!A:K,11,FALSE)</f>
        <v>#N/A</v>
      </c>
      <c r="G494" s="42" t="str">
        <f t="shared" si="7"/>
        <v/>
      </c>
    </row>
    <row r="495" ht="15" spans="1:7">
      <c r="A495" s="36" t="str">
        <f>IF(C495="","",IF(C495=跟进查询!$B$2,1+A494,A494))</f>
        <v/>
      </c>
      <c r="B495" s="39"/>
      <c r="C495" s="39"/>
      <c r="D495" s="39"/>
      <c r="E495" s="39"/>
      <c r="F495" s="41" t="e">
        <f>VLOOKUP(G495,源数据!A:K,11,FALSE)</f>
        <v>#N/A</v>
      </c>
      <c r="G495" s="42" t="str">
        <f t="shared" si="7"/>
        <v/>
      </c>
    </row>
    <row r="496" ht="15" spans="1:7">
      <c r="A496" s="36" t="str">
        <f>IF(C496="","",IF(C496=跟进查询!$B$2,1+A495,A495))</f>
        <v/>
      </c>
      <c r="B496" s="39"/>
      <c r="C496" s="39"/>
      <c r="D496" s="39"/>
      <c r="E496" s="39"/>
      <c r="F496" s="41" t="e">
        <f>VLOOKUP(G496,源数据!A:K,11,FALSE)</f>
        <v>#N/A</v>
      </c>
      <c r="G496" s="42" t="str">
        <f t="shared" si="7"/>
        <v/>
      </c>
    </row>
    <row r="497" ht="15" spans="1:7">
      <c r="A497" s="36" t="str">
        <f>IF(C497="","",IF(C497=跟进查询!$B$2,1+A496,A496))</f>
        <v/>
      </c>
      <c r="B497" s="39"/>
      <c r="C497" s="39"/>
      <c r="D497" s="39"/>
      <c r="E497" s="39"/>
      <c r="F497" s="41" t="e">
        <f>VLOOKUP(G497,源数据!A:K,11,FALSE)</f>
        <v>#N/A</v>
      </c>
      <c r="G497" s="42" t="str">
        <f t="shared" si="7"/>
        <v/>
      </c>
    </row>
    <row r="498" ht="15" spans="1:7">
      <c r="A498" s="36" t="str">
        <f>IF(C498="","",IF(C498=跟进查询!$B$2,1+A497,A497))</f>
        <v/>
      </c>
      <c r="B498" s="39"/>
      <c r="C498" s="39"/>
      <c r="D498" s="39"/>
      <c r="E498" s="39"/>
      <c r="F498" s="41" t="e">
        <f>VLOOKUP(G498,源数据!A:K,11,FALSE)</f>
        <v>#N/A</v>
      </c>
      <c r="G498" s="42" t="str">
        <f t="shared" si="7"/>
        <v/>
      </c>
    </row>
    <row r="499" ht="15" spans="1:7">
      <c r="A499" s="36" t="str">
        <f>IF(C499="","",IF(C499=跟进查询!$B$2,1+A498,A498))</f>
        <v/>
      </c>
      <c r="B499" s="39"/>
      <c r="C499" s="39"/>
      <c r="D499" s="39"/>
      <c r="E499" s="39"/>
      <c r="F499" s="41" t="e">
        <f>VLOOKUP(G499,源数据!A:K,11,FALSE)</f>
        <v>#N/A</v>
      </c>
      <c r="G499" s="42" t="str">
        <f t="shared" si="7"/>
        <v/>
      </c>
    </row>
    <row r="500" ht="15" spans="1:7">
      <c r="A500" s="36" t="str">
        <f>IF(C500="","",IF(C500=跟进查询!$B$2,1+A499,A499))</f>
        <v/>
      </c>
      <c r="B500" s="39"/>
      <c r="C500" s="39"/>
      <c r="D500" s="39"/>
      <c r="E500" s="39"/>
      <c r="F500" s="41" t="e">
        <f>VLOOKUP(G500,源数据!A:K,11,FALSE)</f>
        <v>#N/A</v>
      </c>
      <c r="G500" s="42" t="str">
        <f t="shared" si="7"/>
        <v/>
      </c>
    </row>
    <row r="501" ht="15" spans="1:7">
      <c r="A501" s="36" t="str">
        <f>IF(C501="","",IF(C501=跟进查询!$B$2,1+A500,A500))</f>
        <v/>
      </c>
      <c r="B501" s="39"/>
      <c r="C501" s="39"/>
      <c r="D501" s="39"/>
      <c r="E501" s="39"/>
      <c r="F501" s="41" t="e">
        <f>VLOOKUP(G501,源数据!A:K,11,FALSE)</f>
        <v>#N/A</v>
      </c>
      <c r="G501" s="42" t="str">
        <f t="shared" si="7"/>
        <v/>
      </c>
    </row>
    <row r="502" ht="15" spans="1:7">
      <c r="A502" s="36" t="str">
        <f>IF(C502="","",IF(C502=跟进查询!$B$2,1+A501,A501))</f>
        <v/>
      </c>
      <c r="B502" s="39"/>
      <c r="C502" s="39"/>
      <c r="D502" s="39"/>
      <c r="E502" s="39"/>
      <c r="F502" s="41" t="e">
        <f>VLOOKUP(G502,源数据!A:K,11,FALSE)</f>
        <v>#N/A</v>
      </c>
      <c r="G502" s="42" t="str">
        <f t="shared" si="7"/>
        <v/>
      </c>
    </row>
    <row r="503" ht="15" spans="1:7">
      <c r="A503" s="36" t="str">
        <f>IF(C503="","",IF(C503=跟进查询!$B$2,1+A502,A502))</f>
        <v/>
      </c>
      <c r="B503" s="39"/>
      <c r="C503" s="39"/>
      <c r="D503" s="39"/>
      <c r="E503" s="39"/>
      <c r="F503" s="41" t="e">
        <f>VLOOKUP(G503,源数据!A:K,11,FALSE)</f>
        <v>#N/A</v>
      </c>
      <c r="G503" s="42" t="str">
        <f t="shared" si="7"/>
        <v/>
      </c>
    </row>
    <row r="504" ht="15" spans="1:7">
      <c r="A504" s="36" t="str">
        <f>IF(C504="","",IF(C504=跟进查询!$B$2,1+A503,A503))</f>
        <v/>
      </c>
      <c r="B504" s="39"/>
      <c r="C504" s="39"/>
      <c r="D504" s="39"/>
      <c r="E504" s="39"/>
      <c r="F504" s="41" t="e">
        <f>VLOOKUP(G504,源数据!A:K,11,FALSE)</f>
        <v>#N/A</v>
      </c>
      <c r="G504" s="42" t="str">
        <f t="shared" si="7"/>
        <v/>
      </c>
    </row>
    <row r="505" ht="15" spans="1:7">
      <c r="A505" s="36" t="str">
        <f>IF(C505="","",IF(C505=跟进查询!$B$2,1+A504,A504))</f>
        <v/>
      </c>
      <c r="B505" s="39"/>
      <c r="C505" s="39"/>
      <c r="D505" s="39"/>
      <c r="E505" s="39"/>
      <c r="F505" s="41" t="e">
        <f>VLOOKUP(G505,源数据!A:K,11,FALSE)</f>
        <v>#N/A</v>
      </c>
      <c r="G505" s="42" t="str">
        <f t="shared" si="7"/>
        <v/>
      </c>
    </row>
    <row r="506" ht="15" spans="1:7">
      <c r="A506" s="36" t="str">
        <f>IF(C506="","",IF(C506=跟进查询!$B$2,1+A505,A505))</f>
        <v/>
      </c>
      <c r="B506" s="39"/>
      <c r="C506" s="39"/>
      <c r="D506" s="39"/>
      <c r="E506" s="39"/>
      <c r="F506" s="41" t="e">
        <f>VLOOKUP(G506,源数据!A:K,11,FALSE)</f>
        <v>#N/A</v>
      </c>
      <c r="G506" s="42" t="str">
        <f t="shared" si="7"/>
        <v/>
      </c>
    </row>
    <row r="507" ht="15" spans="1:7">
      <c r="A507" s="36" t="str">
        <f>IF(C507="","",IF(C507=跟进查询!$B$2,1+A506,A506))</f>
        <v/>
      </c>
      <c r="B507" s="39"/>
      <c r="C507" s="39"/>
      <c r="D507" s="39"/>
      <c r="E507" s="39"/>
      <c r="F507" s="41" t="e">
        <f>VLOOKUP(G507,源数据!A:K,11,FALSE)</f>
        <v>#N/A</v>
      </c>
      <c r="G507" s="42" t="str">
        <f t="shared" si="7"/>
        <v/>
      </c>
    </row>
    <row r="508" ht="15" spans="1:7">
      <c r="A508" s="36" t="str">
        <f>IF(C508="","",IF(C508=跟进查询!$B$2,1+A507,A507))</f>
        <v/>
      </c>
      <c r="B508" s="39"/>
      <c r="C508" s="39"/>
      <c r="D508" s="39"/>
      <c r="E508" s="39"/>
      <c r="F508" s="41" t="e">
        <f>VLOOKUP(G508,源数据!A:K,11,FALSE)</f>
        <v>#N/A</v>
      </c>
      <c r="G508" s="42" t="str">
        <f t="shared" si="7"/>
        <v/>
      </c>
    </row>
    <row r="509" ht="15" spans="1:7">
      <c r="A509" s="36" t="str">
        <f>IF(C509="","",IF(C509=跟进查询!$B$2,1+A508,A508))</f>
        <v/>
      </c>
      <c r="B509" s="39"/>
      <c r="C509" s="39"/>
      <c r="D509" s="39"/>
      <c r="E509" s="39"/>
      <c r="F509" s="41" t="e">
        <f>VLOOKUP(G509,源数据!A:K,11,FALSE)</f>
        <v>#N/A</v>
      </c>
      <c r="G509" s="42" t="str">
        <f t="shared" si="7"/>
        <v/>
      </c>
    </row>
    <row r="510" ht="15" spans="1:7">
      <c r="A510" s="36" t="str">
        <f>IF(C510="","",IF(C510=跟进查询!$B$2,1+A509,A509))</f>
        <v/>
      </c>
      <c r="B510" s="39"/>
      <c r="C510" s="39"/>
      <c r="D510" s="39"/>
      <c r="E510" s="39"/>
      <c r="F510" s="41" t="e">
        <f>VLOOKUP(G510,源数据!A:K,11,FALSE)</f>
        <v>#N/A</v>
      </c>
      <c r="G510" s="42" t="str">
        <f t="shared" si="7"/>
        <v/>
      </c>
    </row>
    <row r="511" ht="15" spans="1:7">
      <c r="A511" s="36" t="str">
        <f>IF(C511="","",IF(C511=跟进查询!$B$2,1+A510,A510))</f>
        <v/>
      </c>
      <c r="B511" s="39"/>
      <c r="C511" s="39"/>
      <c r="D511" s="39"/>
      <c r="E511" s="39"/>
      <c r="F511" s="41" t="e">
        <f>VLOOKUP(G511,源数据!A:K,11,FALSE)</f>
        <v>#N/A</v>
      </c>
      <c r="G511" s="42" t="str">
        <f t="shared" si="7"/>
        <v/>
      </c>
    </row>
    <row r="512" ht="15" spans="1:7">
      <c r="A512" s="36" t="str">
        <f>IF(C512="","",IF(C512=跟进查询!$B$2,1+A511,A511))</f>
        <v/>
      </c>
      <c r="B512" s="39"/>
      <c r="C512" s="39"/>
      <c r="D512" s="39"/>
      <c r="E512" s="39"/>
      <c r="F512" s="41" t="e">
        <f>VLOOKUP(G512,源数据!A:K,11,FALSE)</f>
        <v>#N/A</v>
      </c>
      <c r="G512" s="42" t="str">
        <f t="shared" si="7"/>
        <v/>
      </c>
    </row>
    <row r="513" ht="15" spans="1:7">
      <c r="A513" s="36" t="str">
        <f>IF(C513="","",IF(C513=跟进查询!$B$2,1+A512,A512))</f>
        <v/>
      </c>
      <c r="B513" s="39"/>
      <c r="C513" s="39"/>
      <c r="D513" s="39"/>
      <c r="E513" s="39"/>
      <c r="F513" s="41" t="e">
        <f>VLOOKUP(G513,源数据!A:K,11,FALSE)</f>
        <v>#N/A</v>
      </c>
      <c r="G513" s="42" t="str">
        <f t="shared" si="7"/>
        <v/>
      </c>
    </row>
    <row r="514" ht="15" spans="1:7">
      <c r="A514" s="36" t="str">
        <f>IF(C514="","",IF(C514=跟进查询!$B$2,1+A513,A513))</f>
        <v/>
      </c>
      <c r="B514" s="39"/>
      <c r="C514" s="39"/>
      <c r="D514" s="39"/>
      <c r="E514" s="39"/>
      <c r="F514" s="41" t="e">
        <f>VLOOKUP(G514,源数据!A:K,11,FALSE)</f>
        <v>#N/A</v>
      </c>
      <c r="G514" s="42" t="str">
        <f t="shared" si="7"/>
        <v/>
      </c>
    </row>
    <row r="515" ht="15" spans="1:7">
      <c r="A515" s="36" t="str">
        <f>IF(C515="","",IF(C515=跟进查询!$B$2,1+A514,A514))</f>
        <v/>
      </c>
      <c r="B515" s="39"/>
      <c r="C515" s="39"/>
      <c r="D515" s="39"/>
      <c r="E515" s="39"/>
      <c r="F515" s="41" t="e">
        <f>VLOOKUP(G515,源数据!A:K,11,FALSE)</f>
        <v>#N/A</v>
      </c>
      <c r="G515" s="42" t="str">
        <f t="shared" si="7"/>
        <v/>
      </c>
    </row>
    <row r="516" ht="15" spans="1:7">
      <c r="A516" s="36" t="str">
        <f>IF(C516="","",IF(C516=跟进查询!$B$2,1+A515,A515))</f>
        <v/>
      </c>
      <c r="B516" s="39"/>
      <c r="C516" s="39"/>
      <c r="D516" s="39"/>
      <c r="E516" s="39"/>
      <c r="F516" s="41" t="e">
        <f>VLOOKUP(G516,源数据!A:K,11,FALSE)</f>
        <v>#N/A</v>
      </c>
      <c r="G516" s="42" t="str">
        <f t="shared" ref="G516:G579" si="8">B516&amp;C516</f>
        <v/>
      </c>
    </row>
    <row r="517" ht="15" spans="1:7">
      <c r="A517" s="36" t="str">
        <f>IF(C517="","",IF(C517=跟进查询!$B$2,1+A516,A516))</f>
        <v/>
      </c>
      <c r="B517" s="39"/>
      <c r="C517" s="39"/>
      <c r="D517" s="39"/>
      <c r="E517" s="39"/>
      <c r="F517" s="41" t="e">
        <f>VLOOKUP(G517,源数据!A:K,11,FALSE)</f>
        <v>#N/A</v>
      </c>
      <c r="G517" s="42" t="str">
        <f t="shared" si="8"/>
        <v/>
      </c>
    </row>
    <row r="518" ht="15" spans="1:7">
      <c r="A518" s="36" t="str">
        <f>IF(C518="","",IF(C518=跟进查询!$B$2,1+A517,A517))</f>
        <v/>
      </c>
      <c r="B518" s="39"/>
      <c r="C518" s="39"/>
      <c r="D518" s="39"/>
      <c r="E518" s="39"/>
      <c r="F518" s="41" t="e">
        <f>VLOOKUP(G518,源数据!A:K,11,FALSE)</f>
        <v>#N/A</v>
      </c>
      <c r="G518" s="42" t="str">
        <f t="shared" si="8"/>
        <v/>
      </c>
    </row>
    <row r="519" ht="15" spans="1:7">
      <c r="A519" s="36" t="str">
        <f>IF(C519="","",IF(C519=跟进查询!$B$2,1+A518,A518))</f>
        <v/>
      </c>
      <c r="B519" s="39"/>
      <c r="C519" s="39"/>
      <c r="D519" s="39"/>
      <c r="E519" s="39"/>
      <c r="F519" s="41" t="e">
        <f>VLOOKUP(G519,源数据!A:K,11,FALSE)</f>
        <v>#N/A</v>
      </c>
      <c r="G519" s="42" t="str">
        <f t="shared" si="8"/>
        <v/>
      </c>
    </row>
    <row r="520" ht="15" spans="1:7">
      <c r="A520" s="36" t="str">
        <f>IF(C520="","",IF(C520=跟进查询!$B$2,1+A519,A519))</f>
        <v/>
      </c>
      <c r="B520" s="39"/>
      <c r="C520" s="39"/>
      <c r="D520" s="39"/>
      <c r="E520" s="39"/>
      <c r="F520" s="41" t="e">
        <f>VLOOKUP(G520,源数据!A:K,11,FALSE)</f>
        <v>#N/A</v>
      </c>
      <c r="G520" s="42" t="str">
        <f t="shared" si="8"/>
        <v/>
      </c>
    </row>
    <row r="521" ht="15" spans="1:7">
      <c r="A521" s="36" t="str">
        <f>IF(C521="","",IF(C521=跟进查询!$B$2,1+A520,A520))</f>
        <v/>
      </c>
      <c r="B521" s="39"/>
      <c r="C521" s="39"/>
      <c r="D521" s="39"/>
      <c r="E521" s="39"/>
      <c r="F521" s="41" t="e">
        <f>VLOOKUP(G521,源数据!A:K,11,FALSE)</f>
        <v>#N/A</v>
      </c>
      <c r="G521" s="42" t="str">
        <f t="shared" si="8"/>
        <v/>
      </c>
    </row>
    <row r="522" ht="15" spans="1:7">
      <c r="A522" s="36" t="str">
        <f>IF(C522="","",IF(C522=跟进查询!$B$2,1+A521,A521))</f>
        <v/>
      </c>
      <c r="B522" s="39"/>
      <c r="C522" s="39"/>
      <c r="D522" s="39"/>
      <c r="E522" s="39"/>
      <c r="F522" s="41" t="e">
        <f>VLOOKUP(G522,源数据!A:K,11,FALSE)</f>
        <v>#N/A</v>
      </c>
      <c r="G522" s="42" t="str">
        <f t="shared" si="8"/>
        <v/>
      </c>
    </row>
    <row r="523" ht="15" spans="1:7">
      <c r="A523" s="36" t="str">
        <f>IF(C523="","",IF(C523=跟进查询!$B$2,1+A522,A522))</f>
        <v/>
      </c>
      <c r="B523" s="39"/>
      <c r="C523" s="39"/>
      <c r="D523" s="39"/>
      <c r="E523" s="39"/>
      <c r="F523" s="41" t="e">
        <f>VLOOKUP(G523,源数据!A:K,11,FALSE)</f>
        <v>#N/A</v>
      </c>
      <c r="G523" s="42" t="str">
        <f t="shared" si="8"/>
        <v/>
      </c>
    </row>
    <row r="524" ht="15" spans="1:7">
      <c r="A524" s="36" t="str">
        <f>IF(C524="","",IF(C524=跟进查询!$B$2,1+A523,A523))</f>
        <v/>
      </c>
      <c r="B524" s="39"/>
      <c r="C524" s="39"/>
      <c r="D524" s="39"/>
      <c r="E524" s="39"/>
      <c r="F524" s="41" t="e">
        <f>VLOOKUP(G524,源数据!A:K,11,FALSE)</f>
        <v>#N/A</v>
      </c>
      <c r="G524" s="42" t="str">
        <f t="shared" si="8"/>
        <v/>
      </c>
    </row>
    <row r="525" ht="15" spans="1:7">
      <c r="A525" s="36" t="str">
        <f>IF(C525="","",IF(C525=跟进查询!$B$2,1+A524,A524))</f>
        <v/>
      </c>
      <c r="B525" s="39"/>
      <c r="C525" s="39"/>
      <c r="D525" s="39"/>
      <c r="E525" s="39"/>
      <c r="F525" s="41" t="e">
        <f>VLOOKUP(G525,源数据!A:K,11,FALSE)</f>
        <v>#N/A</v>
      </c>
      <c r="G525" s="42" t="str">
        <f t="shared" si="8"/>
        <v/>
      </c>
    </row>
    <row r="526" ht="15" spans="1:7">
      <c r="A526" s="36" t="str">
        <f>IF(C526="","",IF(C526=跟进查询!$B$2,1+A525,A525))</f>
        <v/>
      </c>
      <c r="B526" s="39"/>
      <c r="C526" s="39"/>
      <c r="D526" s="39"/>
      <c r="E526" s="39"/>
      <c r="F526" s="41" t="e">
        <f>VLOOKUP(G526,源数据!A:K,11,FALSE)</f>
        <v>#N/A</v>
      </c>
      <c r="G526" s="42" t="str">
        <f t="shared" si="8"/>
        <v/>
      </c>
    </row>
    <row r="527" ht="15" spans="1:7">
      <c r="A527" s="36" t="str">
        <f>IF(C527="","",IF(C527=跟进查询!$B$2,1+A526,A526))</f>
        <v/>
      </c>
      <c r="B527" s="39"/>
      <c r="C527" s="39"/>
      <c r="D527" s="39"/>
      <c r="E527" s="39"/>
      <c r="F527" s="41" t="e">
        <f>VLOOKUP(G527,源数据!A:K,11,FALSE)</f>
        <v>#N/A</v>
      </c>
      <c r="G527" s="42" t="str">
        <f t="shared" si="8"/>
        <v/>
      </c>
    </row>
    <row r="528" ht="15" spans="1:7">
      <c r="A528" s="36" t="str">
        <f>IF(C528="","",IF(C528=跟进查询!$B$2,1+A527,A527))</f>
        <v/>
      </c>
      <c r="B528" s="39"/>
      <c r="C528" s="39"/>
      <c r="D528" s="39"/>
      <c r="E528" s="39"/>
      <c r="F528" s="41" t="e">
        <f>VLOOKUP(G528,源数据!A:K,11,FALSE)</f>
        <v>#N/A</v>
      </c>
      <c r="G528" s="42" t="str">
        <f t="shared" si="8"/>
        <v/>
      </c>
    </row>
    <row r="529" ht="15" spans="1:7">
      <c r="A529" s="36" t="str">
        <f>IF(C529="","",IF(C529=跟进查询!$B$2,1+A528,A528))</f>
        <v/>
      </c>
      <c r="B529" s="39"/>
      <c r="C529" s="39"/>
      <c r="D529" s="39"/>
      <c r="E529" s="39"/>
      <c r="F529" s="41" t="e">
        <f>VLOOKUP(G529,源数据!A:K,11,FALSE)</f>
        <v>#N/A</v>
      </c>
      <c r="G529" s="42" t="str">
        <f t="shared" si="8"/>
        <v/>
      </c>
    </row>
    <row r="530" ht="15" spans="1:7">
      <c r="A530" s="36" t="str">
        <f>IF(C530="","",IF(C530=跟进查询!$B$2,1+A529,A529))</f>
        <v/>
      </c>
      <c r="B530" s="39"/>
      <c r="C530" s="39"/>
      <c r="D530" s="39"/>
      <c r="E530" s="39"/>
      <c r="F530" s="41" t="e">
        <f>VLOOKUP(G530,源数据!A:K,11,FALSE)</f>
        <v>#N/A</v>
      </c>
      <c r="G530" s="42" t="str">
        <f t="shared" si="8"/>
        <v/>
      </c>
    </row>
    <row r="531" ht="15" spans="1:7">
      <c r="A531" s="36" t="str">
        <f>IF(C531="","",IF(C531=跟进查询!$B$2,1+A530,A530))</f>
        <v/>
      </c>
      <c r="B531" s="39"/>
      <c r="C531" s="39"/>
      <c r="D531" s="39"/>
      <c r="E531" s="39"/>
      <c r="F531" s="41" t="e">
        <f>VLOOKUP(G531,源数据!A:K,11,FALSE)</f>
        <v>#N/A</v>
      </c>
      <c r="G531" s="42" t="str">
        <f t="shared" si="8"/>
        <v/>
      </c>
    </row>
    <row r="532" ht="15" spans="1:7">
      <c r="A532" s="36" t="str">
        <f>IF(C532="","",IF(C532=跟进查询!$B$2,1+A531,A531))</f>
        <v/>
      </c>
      <c r="B532" s="39"/>
      <c r="C532" s="39"/>
      <c r="D532" s="39"/>
      <c r="E532" s="39"/>
      <c r="F532" s="41" t="e">
        <f>VLOOKUP(G532,源数据!A:K,11,FALSE)</f>
        <v>#N/A</v>
      </c>
      <c r="G532" s="42" t="str">
        <f t="shared" si="8"/>
        <v/>
      </c>
    </row>
    <row r="533" ht="15" spans="1:7">
      <c r="A533" s="36" t="str">
        <f>IF(C533="","",IF(C533=跟进查询!$B$2,1+A532,A532))</f>
        <v/>
      </c>
      <c r="B533" s="39"/>
      <c r="C533" s="39"/>
      <c r="D533" s="39"/>
      <c r="E533" s="39"/>
      <c r="F533" s="41" t="e">
        <f>VLOOKUP(G533,源数据!A:K,11,FALSE)</f>
        <v>#N/A</v>
      </c>
      <c r="G533" s="42" t="str">
        <f t="shared" si="8"/>
        <v/>
      </c>
    </row>
    <row r="534" ht="15" spans="1:7">
      <c r="A534" s="36" t="str">
        <f>IF(C534="","",IF(C534=跟进查询!$B$2,1+A533,A533))</f>
        <v/>
      </c>
      <c r="B534" s="39"/>
      <c r="C534" s="39"/>
      <c r="D534" s="39"/>
      <c r="E534" s="39"/>
      <c r="F534" s="41" t="e">
        <f>VLOOKUP(G534,源数据!A:K,11,FALSE)</f>
        <v>#N/A</v>
      </c>
      <c r="G534" s="42" t="str">
        <f t="shared" si="8"/>
        <v/>
      </c>
    </row>
    <row r="535" ht="15" spans="1:7">
      <c r="A535" s="36" t="str">
        <f>IF(C535="","",IF(C535=跟进查询!$B$2,1+A534,A534))</f>
        <v/>
      </c>
      <c r="B535" s="39"/>
      <c r="C535" s="39"/>
      <c r="D535" s="39"/>
      <c r="E535" s="39"/>
      <c r="F535" s="41" t="e">
        <f>VLOOKUP(G535,源数据!A:K,11,FALSE)</f>
        <v>#N/A</v>
      </c>
      <c r="G535" s="42" t="str">
        <f t="shared" si="8"/>
        <v/>
      </c>
    </row>
    <row r="536" ht="15" spans="1:7">
      <c r="A536" s="36" t="str">
        <f>IF(C536="","",IF(C536=跟进查询!$B$2,1+A535,A535))</f>
        <v/>
      </c>
      <c r="B536" s="39"/>
      <c r="C536" s="39"/>
      <c r="D536" s="39"/>
      <c r="E536" s="39"/>
      <c r="F536" s="41" t="e">
        <f>VLOOKUP(G536,源数据!A:K,11,FALSE)</f>
        <v>#N/A</v>
      </c>
      <c r="G536" s="42" t="str">
        <f t="shared" si="8"/>
        <v/>
      </c>
    </row>
    <row r="537" ht="15" spans="1:7">
      <c r="A537" s="36" t="str">
        <f>IF(C537="","",IF(C537=跟进查询!$B$2,1+A536,A536))</f>
        <v/>
      </c>
      <c r="B537" s="39"/>
      <c r="C537" s="39"/>
      <c r="D537" s="39"/>
      <c r="E537" s="39"/>
      <c r="F537" s="41" t="e">
        <f>VLOOKUP(G537,源数据!A:K,11,FALSE)</f>
        <v>#N/A</v>
      </c>
      <c r="G537" s="42" t="str">
        <f t="shared" si="8"/>
        <v/>
      </c>
    </row>
    <row r="538" ht="15" spans="1:7">
      <c r="A538" s="36" t="str">
        <f>IF(C538="","",IF(C538=跟进查询!$B$2,1+A537,A537))</f>
        <v/>
      </c>
      <c r="B538" s="39"/>
      <c r="C538" s="39"/>
      <c r="D538" s="39"/>
      <c r="E538" s="39"/>
      <c r="F538" s="41" t="e">
        <f>VLOOKUP(G538,源数据!A:K,11,FALSE)</f>
        <v>#N/A</v>
      </c>
      <c r="G538" s="42" t="str">
        <f t="shared" si="8"/>
        <v/>
      </c>
    </row>
    <row r="539" ht="15" spans="1:7">
      <c r="A539" s="36" t="str">
        <f>IF(C539="","",IF(C539=跟进查询!$B$2,1+A538,A538))</f>
        <v/>
      </c>
      <c r="B539" s="39"/>
      <c r="C539" s="39"/>
      <c r="D539" s="39"/>
      <c r="E539" s="39"/>
      <c r="F539" s="41" t="e">
        <f>VLOOKUP(G539,源数据!A:K,11,FALSE)</f>
        <v>#N/A</v>
      </c>
      <c r="G539" s="42" t="str">
        <f t="shared" si="8"/>
        <v/>
      </c>
    </row>
    <row r="540" ht="15" spans="1:7">
      <c r="A540" s="36" t="str">
        <f>IF(C540="","",IF(C540=跟进查询!$B$2,1+A539,A539))</f>
        <v/>
      </c>
      <c r="B540" s="39"/>
      <c r="C540" s="39"/>
      <c r="D540" s="39"/>
      <c r="E540" s="39"/>
      <c r="F540" s="41" t="e">
        <f>VLOOKUP(G540,源数据!A:K,11,FALSE)</f>
        <v>#N/A</v>
      </c>
      <c r="G540" s="42" t="str">
        <f t="shared" si="8"/>
        <v/>
      </c>
    </row>
    <row r="541" ht="15" spans="1:7">
      <c r="A541" s="36" t="str">
        <f>IF(C541="","",IF(C541=跟进查询!$B$2,1+A540,A540))</f>
        <v/>
      </c>
      <c r="B541" s="39"/>
      <c r="C541" s="39"/>
      <c r="D541" s="39"/>
      <c r="E541" s="39"/>
      <c r="F541" s="41" t="e">
        <f>VLOOKUP(G541,源数据!A:K,11,FALSE)</f>
        <v>#N/A</v>
      </c>
      <c r="G541" s="42" t="str">
        <f t="shared" si="8"/>
        <v/>
      </c>
    </row>
    <row r="542" ht="15" spans="1:7">
      <c r="A542" s="36" t="str">
        <f>IF(C542="","",IF(C542=跟进查询!$B$2,1+A541,A541))</f>
        <v/>
      </c>
      <c r="B542" s="39"/>
      <c r="C542" s="39"/>
      <c r="D542" s="39"/>
      <c r="E542" s="39"/>
      <c r="F542" s="41" t="e">
        <f>VLOOKUP(G542,源数据!A:K,11,FALSE)</f>
        <v>#N/A</v>
      </c>
      <c r="G542" s="42" t="str">
        <f t="shared" si="8"/>
        <v/>
      </c>
    </row>
    <row r="543" ht="15" spans="1:7">
      <c r="A543" s="36" t="str">
        <f>IF(C543="","",IF(C543=跟进查询!$B$2,1+A542,A542))</f>
        <v/>
      </c>
      <c r="B543" s="39"/>
      <c r="C543" s="39"/>
      <c r="D543" s="39"/>
      <c r="E543" s="39"/>
      <c r="F543" s="41" t="e">
        <f>VLOOKUP(G543,源数据!A:K,11,FALSE)</f>
        <v>#N/A</v>
      </c>
      <c r="G543" s="42" t="str">
        <f t="shared" si="8"/>
        <v/>
      </c>
    </row>
    <row r="544" ht="15" spans="1:7">
      <c r="A544" s="36" t="str">
        <f>IF(C544="","",IF(C544=跟进查询!$B$2,1+A543,A543))</f>
        <v/>
      </c>
      <c r="B544" s="39"/>
      <c r="C544" s="39"/>
      <c r="D544" s="39"/>
      <c r="E544" s="39"/>
      <c r="F544" s="41" t="e">
        <f>VLOOKUP(G544,源数据!A:K,11,FALSE)</f>
        <v>#N/A</v>
      </c>
      <c r="G544" s="42" t="str">
        <f t="shared" si="8"/>
        <v/>
      </c>
    </row>
    <row r="545" ht="15" spans="1:7">
      <c r="A545" s="36" t="str">
        <f>IF(C545="","",IF(C545=跟进查询!$B$2,1+A544,A544))</f>
        <v/>
      </c>
      <c r="B545" s="39"/>
      <c r="C545" s="39"/>
      <c r="D545" s="39"/>
      <c r="E545" s="39"/>
      <c r="F545" s="41" t="e">
        <f>VLOOKUP(G545,源数据!A:K,11,FALSE)</f>
        <v>#N/A</v>
      </c>
      <c r="G545" s="42" t="str">
        <f t="shared" si="8"/>
        <v/>
      </c>
    </row>
    <row r="546" ht="15" spans="1:7">
      <c r="A546" s="36" t="str">
        <f>IF(C546="","",IF(C546=跟进查询!$B$2,1+A545,A545))</f>
        <v/>
      </c>
      <c r="B546" s="39"/>
      <c r="C546" s="39"/>
      <c r="D546" s="39"/>
      <c r="E546" s="39"/>
      <c r="F546" s="41" t="e">
        <f>VLOOKUP(G546,源数据!A:K,11,FALSE)</f>
        <v>#N/A</v>
      </c>
      <c r="G546" s="42" t="str">
        <f t="shared" si="8"/>
        <v/>
      </c>
    </row>
    <row r="547" ht="15" spans="1:7">
      <c r="A547" s="36" t="str">
        <f>IF(C547="","",IF(C547=跟进查询!$B$2,1+A546,A546))</f>
        <v/>
      </c>
      <c r="B547" s="39"/>
      <c r="C547" s="39"/>
      <c r="D547" s="39"/>
      <c r="E547" s="39"/>
      <c r="F547" s="41" t="e">
        <f>VLOOKUP(G547,源数据!A:K,11,FALSE)</f>
        <v>#N/A</v>
      </c>
      <c r="G547" s="42" t="str">
        <f t="shared" si="8"/>
        <v/>
      </c>
    </row>
    <row r="548" ht="15" spans="1:7">
      <c r="A548" s="36" t="str">
        <f>IF(C548="","",IF(C548=跟进查询!$B$2,1+A547,A547))</f>
        <v/>
      </c>
      <c r="B548" s="39"/>
      <c r="C548" s="39"/>
      <c r="D548" s="39"/>
      <c r="E548" s="39"/>
      <c r="F548" s="41" t="e">
        <f>VLOOKUP(G548,源数据!A:K,11,FALSE)</f>
        <v>#N/A</v>
      </c>
      <c r="G548" s="42" t="str">
        <f t="shared" si="8"/>
        <v/>
      </c>
    </row>
    <row r="549" ht="15" spans="1:7">
      <c r="A549" s="36" t="str">
        <f>IF(C549="","",IF(C549=跟进查询!$B$2,1+A548,A548))</f>
        <v/>
      </c>
      <c r="B549" s="39"/>
      <c r="C549" s="39"/>
      <c r="D549" s="39"/>
      <c r="E549" s="39"/>
      <c r="F549" s="41" t="e">
        <f>VLOOKUP(G549,源数据!A:K,11,FALSE)</f>
        <v>#N/A</v>
      </c>
      <c r="G549" s="42" t="str">
        <f t="shared" si="8"/>
        <v/>
      </c>
    </row>
    <row r="550" ht="15" spans="1:7">
      <c r="A550" s="36" t="str">
        <f>IF(C550="","",IF(C550=跟进查询!$B$2,1+A549,A549))</f>
        <v/>
      </c>
      <c r="B550" s="39"/>
      <c r="C550" s="39"/>
      <c r="D550" s="39"/>
      <c r="E550" s="39"/>
      <c r="F550" s="41" t="e">
        <f>VLOOKUP(G550,源数据!A:K,11,FALSE)</f>
        <v>#N/A</v>
      </c>
      <c r="G550" s="42" t="str">
        <f t="shared" si="8"/>
        <v/>
      </c>
    </row>
    <row r="551" ht="15" spans="1:7">
      <c r="A551" s="36" t="str">
        <f>IF(C551="","",IF(C551=跟进查询!$B$2,1+A550,A550))</f>
        <v/>
      </c>
      <c r="B551" s="39"/>
      <c r="C551" s="39"/>
      <c r="D551" s="39"/>
      <c r="E551" s="39"/>
      <c r="F551" s="41" t="e">
        <f>VLOOKUP(G551,源数据!A:K,11,FALSE)</f>
        <v>#N/A</v>
      </c>
      <c r="G551" s="42" t="str">
        <f t="shared" si="8"/>
        <v/>
      </c>
    </row>
    <row r="552" ht="15" spans="1:7">
      <c r="A552" s="36" t="str">
        <f>IF(C552="","",IF(C552=跟进查询!$B$2,1+A551,A551))</f>
        <v/>
      </c>
      <c r="B552" s="39"/>
      <c r="C552" s="39"/>
      <c r="D552" s="39"/>
      <c r="E552" s="39"/>
      <c r="F552" s="41" t="e">
        <f>VLOOKUP(G552,源数据!A:K,11,FALSE)</f>
        <v>#N/A</v>
      </c>
      <c r="G552" s="42" t="str">
        <f t="shared" si="8"/>
        <v/>
      </c>
    </row>
    <row r="553" ht="15" spans="1:7">
      <c r="A553" s="36" t="str">
        <f>IF(C553="","",IF(C553=跟进查询!$B$2,1+A552,A552))</f>
        <v/>
      </c>
      <c r="B553" s="39"/>
      <c r="C553" s="39"/>
      <c r="D553" s="39"/>
      <c r="E553" s="39"/>
      <c r="F553" s="41" t="e">
        <f>VLOOKUP(G553,源数据!A:K,11,FALSE)</f>
        <v>#N/A</v>
      </c>
      <c r="G553" s="42" t="str">
        <f t="shared" si="8"/>
        <v/>
      </c>
    </row>
    <row r="554" ht="15" spans="1:7">
      <c r="A554" s="36" t="str">
        <f>IF(C554="","",IF(C554=跟进查询!$B$2,1+A553,A553))</f>
        <v/>
      </c>
      <c r="B554" s="39"/>
      <c r="C554" s="39"/>
      <c r="D554" s="39"/>
      <c r="E554" s="39"/>
      <c r="F554" s="41" t="e">
        <f>VLOOKUP(G554,源数据!A:K,11,FALSE)</f>
        <v>#N/A</v>
      </c>
      <c r="G554" s="42" t="str">
        <f t="shared" si="8"/>
        <v/>
      </c>
    </row>
    <row r="555" ht="15" spans="1:7">
      <c r="A555" s="36" t="str">
        <f>IF(C555="","",IF(C555=跟进查询!$B$2,1+A554,A554))</f>
        <v/>
      </c>
      <c r="B555" s="39"/>
      <c r="C555" s="39"/>
      <c r="D555" s="39"/>
      <c r="E555" s="39"/>
      <c r="F555" s="41" t="e">
        <f>VLOOKUP(G555,源数据!A:K,11,FALSE)</f>
        <v>#N/A</v>
      </c>
      <c r="G555" s="42" t="str">
        <f t="shared" si="8"/>
        <v/>
      </c>
    </row>
    <row r="556" ht="15" spans="1:7">
      <c r="A556" s="36" t="str">
        <f>IF(C556="","",IF(C556=跟进查询!$B$2,1+A555,A555))</f>
        <v/>
      </c>
      <c r="B556" s="39"/>
      <c r="C556" s="39"/>
      <c r="D556" s="39"/>
      <c r="E556" s="39"/>
      <c r="F556" s="41" t="e">
        <f>VLOOKUP(G556,源数据!A:K,11,FALSE)</f>
        <v>#N/A</v>
      </c>
      <c r="G556" s="42" t="str">
        <f t="shared" si="8"/>
        <v/>
      </c>
    </row>
    <row r="557" ht="15" spans="1:7">
      <c r="A557" s="36" t="str">
        <f>IF(C557="","",IF(C557=跟进查询!$B$2,1+A556,A556))</f>
        <v/>
      </c>
      <c r="B557" s="39"/>
      <c r="C557" s="39"/>
      <c r="D557" s="39"/>
      <c r="E557" s="39"/>
      <c r="F557" s="41" t="e">
        <f>VLOOKUP(G557,源数据!A:K,11,FALSE)</f>
        <v>#N/A</v>
      </c>
      <c r="G557" s="42" t="str">
        <f t="shared" si="8"/>
        <v/>
      </c>
    </row>
    <row r="558" ht="15" spans="1:7">
      <c r="A558" s="36" t="str">
        <f>IF(C558="","",IF(C558=跟进查询!$B$2,1+A557,A557))</f>
        <v/>
      </c>
      <c r="B558" s="39"/>
      <c r="C558" s="39"/>
      <c r="D558" s="39"/>
      <c r="E558" s="39"/>
      <c r="F558" s="41" t="e">
        <f>VLOOKUP(G558,源数据!A:K,11,FALSE)</f>
        <v>#N/A</v>
      </c>
      <c r="G558" s="42" t="str">
        <f t="shared" si="8"/>
        <v/>
      </c>
    </row>
    <row r="559" ht="15" spans="1:7">
      <c r="A559" s="36" t="str">
        <f>IF(C559="","",IF(C559=跟进查询!$B$2,1+A558,A558))</f>
        <v/>
      </c>
      <c r="B559" s="39"/>
      <c r="C559" s="39"/>
      <c r="D559" s="39"/>
      <c r="E559" s="39"/>
      <c r="F559" s="41" t="e">
        <f>VLOOKUP(G559,源数据!A:K,11,FALSE)</f>
        <v>#N/A</v>
      </c>
      <c r="G559" s="42" t="str">
        <f t="shared" si="8"/>
        <v/>
      </c>
    </row>
    <row r="560" ht="15" spans="1:7">
      <c r="A560" s="36" t="str">
        <f>IF(C560="","",IF(C560=跟进查询!$B$2,1+A559,A559))</f>
        <v/>
      </c>
      <c r="B560" s="39"/>
      <c r="C560" s="39"/>
      <c r="D560" s="39"/>
      <c r="E560" s="39"/>
      <c r="F560" s="41" t="e">
        <f>VLOOKUP(G560,源数据!A:K,11,FALSE)</f>
        <v>#N/A</v>
      </c>
      <c r="G560" s="42" t="str">
        <f t="shared" si="8"/>
        <v/>
      </c>
    </row>
    <row r="561" ht="15" spans="1:7">
      <c r="A561" s="36" t="str">
        <f>IF(C561="","",IF(C561=跟进查询!$B$2,1+A560,A560))</f>
        <v/>
      </c>
      <c r="B561" s="39"/>
      <c r="C561" s="39"/>
      <c r="D561" s="39"/>
      <c r="E561" s="39"/>
      <c r="F561" s="41" t="e">
        <f>VLOOKUP(G561,源数据!A:K,11,FALSE)</f>
        <v>#N/A</v>
      </c>
      <c r="G561" s="42" t="str">
        <f t="shared" si="8"/>
        <v/>
      </c>
    </row>
    <row r="562" ht="15" spans="1:7">
      <c r="A562" s="36" t="str">
        <f>IF(C562="","",IF(C562=跟进查询!$B$2,1+A561,A561))</f>
        <v/>
      </c>
      <c r="B562" s="39"/>
      <c r="C562" s="39"/>
      <c r="D562" s="39"/>
      <c r="E562" s="39"/>
      <c r="F562" s="41" t="e">
        <f>VLOOKUP(G562,源数据!A:K,11,FALSE)</f>
        <v>#N/A</v>
      </c>
      <c r="G562" s="42" t="str">
        <f t="shared" si="8"/>
        <v/>
      </c>
    </row>
    <row r="563" ht="15" spans="1:7">
      <c r="A563" s="36" t="str">
        <f>IF(C563="","",IF(C563=跟进查询!$B$2,1+A562,A562))</f>
        <v/>
      </c>
      <c r="B563" s="39"/>
      <c r="C563" s="39"/>
      <c r="D563" s="39"/>
      <c r="E563" s="39"/>
      <c r="F563" s="41" t="e">
        <f>VLOOKUP(G563,源数据!A:K,11,FALSE)</f>
        <v>#N/A</v>
      </c>
      <c r="G563" s="42" t="str">
        <f t="shared" si="8"/>
        <v/>
      </c>
    </row>
    <row r="564" ht="15" spans="1:7">
      <c r="A564" s="36" t="str">
        <f>IF(C564="","",IF(C564=跟进查询!$B$2,1+A563,A563))</f>
        <v/>
      </c>
      <c r="B564" s="39"/>
      <c r="C564" s="39"/>
      <c r="D564" s="39"/>
      <c r="E564" s="39"/>
      <c r="F564" s="41" t="e">
        <f>VLOOKUP(G564,源数据!A:K,11,FALSE)</f>
        <v>#N/A</v>
      </c>
      <c r="G564" s="42" t="str">
        <f t="shared" si="8"/>
        <v/>
      </c>
    </row>
    <row r="565" ht="15" spans="1:7">
      <c r="A565" s="36" t="str">
        <f>IF(C565="","",IF(C565=跟进查询!$B$2,1+A564,A564))</f>
        <v/>
      </c>
      <c r="B565" s="39"/>
      <c r="C565" s="39"/>
      <c r="D565" s="39"/>
      <c r="E565" s="39"/>
      <c r="F565" s="41" t="e">
        <f>VLOOKUP(G565,源数据!A:K,11,FALSE)</f>
        <v>#N/A</v>
      </c>
      <c r="G565" s="42" t="str">
        <f t="shared" si="8"/>
        <v/>
      </c>
    </row>
    <row r="566" ht="15" spans="1:7">
      <c r="A566" s="36" t="str">
        <f>IF(C566="","",IF(C566=跟进查询!$B$2,1+A565,A565))</f>
        <v/>
      </c>
      <c r="B566" s="39"/>
      <c r="C566" s="39"/>
      <c r="D566" s="39"/>
      <c r="E566" s="39"/>
      <c r="F566" s="41" t="e">
        <f>VLOOKUP(G566,源数据!A:K,11,FALSE)</f>
        <v>#N/A</v>
      </c>
      <c r="G566" s="42" t="str">
        <f t="shared" si="8"/>
        <v/>
      </c>
    </row>
    <row r="567" ht="15" spans="1:7">
      <c r="A567" s="36" t="str">
        <f>IF(C567="","",IF(C567=跟进查询!$B$2,1+A566,A566))</f>
        <v/>
      </c>
      <c r="B567" s="39"/>
      <c r="C567" s="39"/>
      <c r="D567" s="39"/>
      <c r="E567" s="39"/>
      <c r="F567" s="41" t="e">
        <f>VLOOKUP(G567,源数据!A:K,11,FALSE)</f>
        <v>#N/A</v>
      </c>
      <c r="G567" s="42" t="str">
        <f t="shared" si="8"/>
        <v/>
      </c>
    </row>
    <row r="568" ht="15" spans="1:7">
      <c r="A568" s="36" t="str">
        <f>IF(C568="","",IF(C568=跟进查询!$B$2,1+A567,A567))</f>
        <v/>
      </c>
      <c r="B568" s="39"/>
      <c r="C568" s="39"/>
      <c r="D568" s="39"/>
      <c r="E568" s="39"/>
      <c r="F568" s="41" t="e">
        <f>VLOOKUP(G568,源数据!A:K,11,FALSE)</f>
        <v>#N/A</v>
      </c>
      <c r="G568" s="42" t="str">
        <f t="shared" si="8"/>
        <v/>
      </c>
    </row>
    <row r="569" ht="15" spans="1:7">
      <c r="A569" s="36" t="str">
        <f>IF(C569="","",IF(C569=跟进查询!$B$2,1+A568,A568))</f>
        <v/>
      </c>
      <c r="B569" s="39"/>
      <c r="C569" s="39"/>
      <c r="D569" s="39"/>
      <c r="E569" s="39"/>
      <c r="F569" s="41" t="e">
        <f>VLOOKUP(G569,源数据!A:K,11,FALSE)</f>
        <v>#N/A</v>
      </c>
      <c r="G569" s="42" t="str">
        <f t="shared" si="8"/>
        <v/>
      </c>
    </row>
    <row r="570" ht="15" spans="1:7">
      <c r="A570" s="36" t="str">
        <f>IF(C570="","",IF(C570=跟进查询!$B$2,1+A569,A569))</f>
        <v/>
      </c>
      <c r="B570" s="39"/>
      <c r="C570" s="39"/>
      <c r="D570" s="39"/>
      <c r="E570" s="39"/>
      <c r="F570" s="41" t="e">
        <f>VLOOKUP(G570,源数据!A:K,11,FALSE)</f>
        <v>#N/A</v>
      </c>
      <c r="G570" s="42" t="str">
        <f t="shared" si="8"/>
        <v/>
      </c>
    </row>
    <row r="571" ht="15" spans="1:7">
      <c r="A571" s="36" t="str">
        <f>IF(C571="","",IF(C571=跟进查询!$B$2,1+A570,A570))</f>
        <v/>
      </c>
      <c r="B571" s="39"/>
      <c r="C571" s="39"/>
      <c r="D571" s="39"/>
      <c r="E571" s="39"/>
      <c r="F571" s="41" t="e">
        <f>VLOOKUP(G571,源数据!A:K,11,FALSE)</f>
        <v>#N/A</v>
      </c>
      <c r="G571" s="42" t="str">
        <f t="shared" si="8"/>
        <v/>
      </c>
    </row>
    <row r="572" ht="15" spans="1:7">
      <c r="A572" s="36" t="str">
        <f>IF(C572="","",IF(C572=跟进查询!$B$2,1+A571,A571))</f>
        <v/>
      </c>
      <c r="B572" s="39"/>
      <c r="C572" s="39"/>
      <c r="D572" s="39"/>
      <c r="E572" s="39"/>
      <c r="F572" s="41" t="e">
        <f>VLOOKUP(G572,源数据!A:K,11,FALSE)</f>
        <v>#N/A</v>
      </c>
      <c r="G572" s="42" t="str">
        <f t="shared" si="8"/>
        <v/>
      </c>
    </row>
    <row r="573" ht="15" spans="1:7">
      <c r="A573" s="36" t="str">
        <f>IF(C573="","",IF(C573=跟进查询!$B$2,1+A572,A572))</f>
        <v/>
      </c>
      <c r="B573" s="39"/>
      <c r="C573" s="39"/>
      <c r="D573" s="39"/>
      <c r="E573" s="39"/>
      <c r="F573" s="41" t="e">
        <f>VLOOKUP(G573,源数据!A:K,11,FALSE)</f>
        <v>#N/A</v>
      </c>
      <c r="G573" s="42" t="str">
        <f t="shared" si="8"/>
        <v/>
      </c>
    </row>
    <row r="574" ht="15" spans="1:7">
      <c r="A574" s="36" t="str">
        <f>IF(C574="","",IF(C574=跟进查询!$B$2,1+A573,A573))</f>
        <v/>
      </c>
      <c r="B574" s="39"/>
      <c r="C574" s="39"/>
      <c r="D574" s="39"/>
      <c r="E574" s="39"/>
      <c r="F574" s="41" t="e">
        <f>VLOOKUP(G574,源数据!A:K,11,FALSE)</f>
        <v>#N/A</v>
      </c>
      <c r="G574" s="42" t="str">
        <f t="shared" si="8"/>
        <v/>
      </c>
    </row>
    <row r="575" ht="15" spans="1:7">
      <c r="A575" s="36" t="str">
        <f>IF(C575="","",IF(C575=跟进查询!$B$2,1+A574,A574))</f>
        <v/>
      </c>
      <c r="B575" s="39"/>
      <c r="C575" s="39"/>
      <c r="D575" s="39"/>
      <c r="E575" s="39"/>
      <c r="F575" s="41" t="e">
        <f>VLOOKUP(G575,源数据!A:K,11,FALSE)</f>
        <v>#N/A</v>
      </c>
      <c r="G575" s="42" t="str">
        <f t="shared" si="8"/>
        <v/>
      </c>
    </row>
    <row r="576" ht="15" spans="1:7">
      <c r="A576" s="36" t="str">
        <f>IF(C576="","",IF(C576=跟进查询!$B$2,1+A575,A575))</f>
        <v/>
      </c>
      <c r="B576" s="39"/>
      <c r="C576" s="39"/>
      <c r="D576" s="39"/>
      <c r="E576" s="39"/>
      <c r="F576" s="41" t="e">
        <f>VLOOKUP(G576,源数据!A:K,11,FALSE)</f>
        <v>#N/A</v>
      </c>
      <c r="G576" s="42" t="str">
        <f t="shared" si="8"/>
        <v/>
      </c>
    </row>
    <row r="577" ht="15" spans="1:7">
      <c r="A577" s="36" t="str">
        <f>IF(C577="","",IF(C577=跟进查询!$B$2,1+A576,A576))</f>
        <v/>
      </c>
      <c r="B577" s="39"/>
      <c r="C577" s="39"/>
      <c r="D577" s="39"/>
      <c r="E577" s="39"/>
      <c r="F577" s="41" t="e">
        <f>VLOOKUP(G577,源数据!A:K,11,FALSE)</f>
        <v>#N/A</v>
      </c>
      <c r="G577" s="42" t="str">
        <f t="shared" si="8"/>
        <v/>
      </c>
    </row>
    <row r="578" ht="15" spans="1:7">
      <c r="A578" s="36" t="str">
        <f>IF(C578="","",IF(C578=跟进查询!$B$2,1+A577,A577))</f>
        <v/>
      </c>
      <c r="B578" s="39"/>
      <c r="C578" s="39"/>
      <c r="D578" s="39"/>
      <c r="E578" s="39"/>
      <c r="F578" s="41" t="e">
        <f>VLOOKUP(G578,源数据!A:K,11,FALSE)</f>
        <v>#N/A</v>
      </c>
      <c r="G578" s="42" t="str">
        <f t="shared" si="8"/>
        <v/>
      </c>
    </row>
    <row r="579" ht="15" spans="1:7">
      <c r="A579" s="36" t="str">
        <f>IF(C579="","",IF(C579=跟进查询!$B$2,1+A578,A578))</f>
        <v/>
      </c>
      <c r="B579" s="39"/>
      <c r="C579" s="39"/>
      <c r="D579" s="39"/>
      <c r="E579" s="39"/>
      <c r="F579" s="41" t="e">
        <f>VLOOKUP(G579,源数据!A:K,11,FALSE)</f>
        <v>#N/A</v>
      </c>
      <c r="G579" s="42" t="str">
        <f t="shared" si="8"/>
        <v/>
      </c>
    </row>
    <row r="580" ht="15" spans="1:7">
      <c r="A580" s="36" t="str">
        <f>IF(C580="","",IF(C580=跟进查询!$B$2,1+A579,A579))</f>
        <v/>
      </c>
      <c r="B580" s="39"/>
      <c r="C580" s="39"/>
      <c r="D580" s="39"/>
      <c r="E580" s="39"/>
      <c r="F580" s="41" t="e">
        <f>VLOOKUP(G580,源数据!A:K,11,FALSE)</f>
        <v>#N/A</v>
      </c>
      <c r="G580" s="42" t="str">
        <f t="shared" ref="G580:G643" si="9">B580&amp;C580</f>
        <v/>
      </c>
    </row>
    <row r="581" ht="15" spans="1:7">
      <c r="A581" s="36" t="str">
        <f>IF(C581="","",IF(C581=跟进查询!$B$2,1+A580,A580))</f>
        <v/>
      </c>
      <c r="B581" s="39"/>
      <c r="C581" s="39"/>
      <c r="D581" s="39"/>
      <c r="E581" s="39"/>
      <c r="F581" s="41" t="e">
        <f>VLOOKUP(G581,源数据!A:K,11,FALSE)</f>
        <v>#N/A</v>
      </c>
      <c r="G581" s="42" t="str">
        <f t="shared" si="9"/>
        <v/>
      </c>
    </row>
    <row r="582" ht="15" spans="1:7">
      <c r="A582" s="36" t="str">
        <f>IF(C582="","",IF(C582=跟进查询!$B$2,1+A581,A581))</f>
        <v/>
      </c>
      <c r="B582" s="39"/>
      <c r="C582" s="39"/>
      <c r="D582" s="39"/>
      <c r="E582" s="39"/>
      <c r="F582" s="41" t="e">
        <f>VLOOKUP(G582,源数据!A:K,11,FALSE)</f>
        <v>#N/A</v>
      </c>
      <c r="G582" s="42" t="str">
        <f t="shared" si="9"/>
        <v/>
      </c>
    </row>
    <row r="583" ht="15" spans="1:7">
      <c r="A583" s="36" t="str">
        <f>IF(C583="","",IF(C583=跟进查询!$B$2,1+A582,A582))</f>
        <v/>
      </c>
      <c r="B583" s="39"/>
      <c r="C583" s="39"/>
      <c r="D583" s="39"/>
      <c r="E583" s="39"/>
      <c r="F583" s="41" t="e">
        <f>VLOOKUP(G583,源数据!A:K,11,FALSE)</f>
        <v>#N/A</v>
      </c>
      <c r="G583" s="42" t="str">
        <f t="shared" si="9"/>
        <v/>
      </c>
    </row>
    <row r="584" ht="15" spans="1:7">
      <c r="A584" s="36" t="str">
        <f>IF(C584="","",IF(C584=跟进查询!$B$2,1+A583,A583))</f>
        <v/>
      </c>
      <c r="B584" s="39"/>
      <c r="C584" s="39"/>
      <c r="D584" s="39"/>
      <c r="E584" s="39"/>
      <c r="F584" s="41" t="e">
        <f>VLOOKUP(G584,源数据!A:K,11,FALSE)</f>
        <v>#N/A</v>
      </c>
      <c r="G584" s="42" t="str">
        <f t="shared" si="9"/>
        <v/>
      </c>
    </row>
    <row r="585" ht="15" spans="1:7">
      <c r="A585" s="36" t="str">
        <f>IF(C585="","",IF(C585=跟进查询!$B$2,1+A584,A584))</f>
        <v/>
      </c>
      <c r="B585" s="39"/>
      <c r="C585" s="39"/>
      <c r="D585" s="39"/>
      <c r="E585" s="39"/>
      <c r="F585" s="41" t="e">
        <f>VLOOKUP(G585,源数据!A:K,11,FALSE)</f>
        <v>#N/A</v>
      </c>
      <c r="G585" s="42" t="str">
        <f t="shared" si="9"/>
        <v/>
      </c>
    </row>
    <row r="586" ht="15" spans="1:7">
      <c r="A586" s="36" t="str">
        <f>IF(C586="","",IF(C586=跟进查询!$B$2,1+A585,A585))</f>
        <v/>
      </c>
      <c r="B586" s="39"/>
      <c r="C586" s="39"/>
      <c r="D586" s="39"/>
      <c r="E586" s="39"/>
      <c r="F586" s="41" t="e">
        <f>VLOOKUP(G586,源数据!A:K,11,FALSE)</f>
        <v>#N/A</v>
      </c>
      <c r="G586" s="42" t="str">
        <f t="shared" si="9"/>
        <v/>
      </c>
    </row>
    <row r="587" ht="15" spans="1:7">
      <c r="A587" s="36" t="str">
        <f>IF(C587="","",IF(C587=跟进查询!$B$2,1+A586,A586))</f>
        <v/>
      </c>
      <c r="B587" s="39"/>
      <c r="C587" s="39"/>
      <c r="D587" s="39"/>
      <c r="E587" s="39"/>
      <c r="F587" s="41" t="e">
        <f>VLOOKUP(G587,源数据!A:K,11,FALSE)</f>
        <v>#N/A</v>
      </c>
      <c r="G587" s="42" t="str">
        <f t="shared" si="9"/>
        <v/>
      </c>
    </row>
    <row r="588" ht="15" spans="1:7">
      <c r="A588" s="36" t="str">
        <f>IF(C588="","",IF(C588=跟进查询!$B$2,1+A587,A587))</f>
        <v/>
      </c>
      <c r="B588" s="39"/>
      <c r="C588" s="39"/>
      <c r="D588" s="39"/>
      <c r="E588" s="39"/>
      <c r="F588" s="41" t="e">
        <f>VLOOKUP(G588,源数据!A:K,11,FALSE)</f>
        <v>#N/A</v>
      </c>
      <c r="G588" s="42" t="str">
        <f t="shared" si="9"/>
        <v/>
      </c>
    </row>
    <row r="589" ht="15" spans="1:7">
      <c r="A589" s="36" t="str">
        <f>IF(C589="","",IF(C589=跟进查询!$B$2,1+A588,A588))</f>
        <v/>
      </c>
      <c r="B589" s="39"/>
      <c r="C589" s="39"/>
      <c r="D589" s="39"/>
      <c r="E589" s="39"/>
      <c r="F589" s="41" t="e">
        <f>VLOOKUP(G589,源数据!A:K,11,FALSE)</f>
        <v>#N/A</v>
      </c>
      <c r="G589" s="42" t="str">
        <f t="shared" si="9"/>
        <v/>
      </c>
    </row>
    <row r="590" ht="15" spans="1:7">
      <c r="A590" s="36" t="str">
        <f>IF(C590="","",IF(C590=跟进查询!$B$2,1+A589,A589))</f>
        <v/>
      </c>
      <c r="B590" s="39"/>
      <c r="C590" s="39"/>
      <c r="D590" s="39"/>
      <c r="E590" s="39"/>
      <c r="F590" s="41" t="e">
        <f>VLOOKUP(G590,源数据!A:K,11,FALSE)</f>
        <v>#N/A</v>
      </c>
      <c r="G590" s="42" t="str">
        <f t="shared" si="9"/>
        <v/>
      </c>
    </row>
    <row r="591" ht="15" spans="1:7">
      <c r="A591" s="36" t="str">
        <f>IF(C591="","",IF(C591=跟进查询!$B$2,1+A590,A590))</f>
        <v/>
      </c>
      <c r="B591" s="39"/>
      <c r="C591" s="39"/>
      <c r="D591" s="39"/>
      <c r="E591" s="39"/>
      <c r="F591" s="41" t="e">
        <f>VLOOKUP(G591,源数据!A:K,11,FALSE)</f>
        <v>#N/A</v>
      </c>
      <c r="G591" s="42" t="str">
        <f t="shared" si="9"/>
        <v/>
      </c>
    </row>
    <row r="592" ht="15" spans="1:7">
      <c r="A592" s="36" t="str">
        <f>IF(C592="","",IF(C592=跟进查询!$B$2,1+A591,A591))</f>
        <v/>
      </c>
      <c r="B592" s="39"/>
      <c r="C592" s="39"/>
      <c r="D592" s="39"/>
      <c r="E592" s="39"/>
      <c r="F592" s="41" t="e">
        <f>VLOOKUP(G592,源数据!A:K,11,FALSE)</f>
        <v>#N/A</v>
      </c>
      <c r="G592" s="42" t="str">
        <f t="shared" si="9"/>
        <v/>
      </c>
    </row>
    <row r="593" ht="15" spans="1:7">
      <c r="A593" s="36" t="str">
        <f>IF(C593="","",IF(C593=跟进查询!$B$2,1+A592,A592))</f>
        <v/>
      </c>
      <c r="B593" s="39"/>
      <c r="C593" s="39"/>
      <c r="D593" s="39"/>
      <c r="E593" s="39"/>
      <c r="F593" s="41" t="e">
        <f>VLOOKUP(G593,源数据!A:K,11,FALSE)</f>
        <v>#N/A</v>
      </c>
      <c r="G593" s="42" t="str">
        <f t="shared" si="9"/>
        <v/>
      </c>
    </row>
    <row r="594" ht="15" spans="1:7">
      <c r="A594" s="36" t="str">
        <f>IF(C594="","",IF(C594=跟进查询!$B$2,1+A593,A593))</f>
        <v/>
      </c>
      <c r="B594" s="39"/>
      <c r="C594" s="39"/>
      <c r="D594" s="39"/>
      <c r="E594" s="39"/>
      <c r="F594" s="41" t="e">
        <f>VLOOKUP(G594,源数据!A:K,11,FALSE)</f>
        <v>#N/A</v>
      </c>
      <c r="G594" s="42" t="str">
        <f t="shared" si="9"/>
        <v/>
      </c>
    </row>
    <row r="595" ht="15" spans="1:7">
      <c r="A595" s="36" t="str">
        <f>IF(C595="","",IF(C595=跟进查询!$B$2,1+A594,A594))</f>
        <v/>
      </c>
      <c r="B595" s="39"/>
      <c r="C595" s="39"/>
      <c r="D595" s="39"/>
      <c r="E595" s="39"/>
      <c r="F595" s="41" t="e">
        <f>VLOOKUP(G595,源数据!A:K,11,FALSE)</f>
        <v>#N/A</v>
      </c>
      <c r="G595" s="42" t="str">
        <f t="shared" si="9"/>
        <v/>
      </c>
    </row>
    <row r="596" ht="15" spans="1:7">
      <c r="A596" s="36" t="str">
        <f>IF(C596="","",IF(C596=跟进查询!$B$2,1+A595,A595))</f>
        <v/>
      </c>
      <c r="B596" s="39"/>
      <c r="C596" s="39"/>
      <c r="D596" s="39"/>
      <c r="E596" s="39"/>
      <c r="F596" s="41" t="e">
        <f>VLOOKUP(G596,源数据!A:K,11,FALSE)</f>
        <v>#N/A</v>
      </c>
      <c r="G596" s="42" t="str">
        <f t="shared" si="9"/>
        <v/>
      </c>
    </row>
    <row r="597" ht="15" spans="1:7">
      <c r="A597" s="36" t="str">
        <f>IF(C597="","",IF(C597=跟进查询!$B$2,1+A596,A596))</f>
        <v/>
      </c>
      <c r="B597" s="39"/>
      <c r="C597" s="39"/>
      <c r="D597" s="39"/>
      <c r="E597" s="39"/>
      <c r="F597" s="41" t="e">
        <f>VLOOKUP(G597,源数据!A:K,11,FALSE)</f>
        <v>#N/A</v>
      </c>
      <c r="G597" s="42" t="str">
        <f t="shared" si="9"/>
        <v/>
      </c>
    </row>
    <row r="598" ht="15" spans="1:7">
      <c r="A598" s="36" t="str">
        <f>IF(C598="","",IF(C598=跟进查询!$B$2,1+A597,A597))</f>
        <v/>
      </c>
      <c r="B598" s="39"/>
      <c r="C598" s="39"/>
      <c r="D598" s="39"/>
      <c r="E598" s="39"/>
      <c r="F598" s="41" t="e">
        <f>VLOOKUP(G598,源数据!A:K,11,FALSE)</f>
        <v>#N/A</v>
      </c>
      <c r="G598" s="42" t="str">
        <f t="shared" si="9"/>
        <v/>
      </c>
    </row>
    <row r="599" ht="15" spans="1:7">
      <c r="A599" s="36" t="str">
        <f>IF(C599="","",IF(C599=跟进查询!$B$2,1+A598,A598))</f>
        <v/>
      </c>
      <c r="B599" s="39"/>
      <c r="C599" s="39"/>
      <c r="D599" s="39"/>
      <c r="E599" s="39"/>
      <c r="F599" s="41" t="e">
        <f>VLOOKUP(G599,源数据!A:K,11,FALSE)</f>
        <v>#N/A</v>
      </c>
      <c r="G599" s="42" t="str">
        <f t="shared" si="9"/>
        <v/>
      </c>
    </row>
    <row r="600" ht="15" spans="1:7">
      <c r="A600" s="36" t="str">
        <f>IF(C600="","",IF(C600=跟进查询!$B$2,1+A599,A599))</f>
        <v/>
      </c>
      <c r="B600" s="39"/>
      <c r="C600" s="39"/>
      <c r="D600" s="39"/>
      <c r="E600" s="39"/>
      <c r="F600" s="41" t="e">
        <f>VLOOKUP(G600,源数据!A:K,11,FALSE)</f>
        <v>#N/A</v>
      </c>
      <c r="G600" s="42" t="str">
        <f t="shared" si="9"/>
        <v/>
      </c>
    </row>
    <row r="601" ht="15" spans="1:7">
      <c r="A601" s="36" t="str">
        <f>IF(C601="","",IF(C601=跟进查询!$B$2,1+A600,A600))</f>
        <v/>
      </c>
      <c r="B601" s="39"/>
      <c r="C601" s="39"/>
      <c r="D601" s="39"/>
      <c r="E601" s="39"/>
      <c r="F601" s="41" t="e">
        <f>VLOOKUP(G601,源数据!A:K,11,FALSE)</f>
        <v>#N/A</v>
      </c>
      <c r="G601" s="42" t="str">
        <f t="shared" si="9"/>
        <v/>
      </c>
    </row>
    <row r="602" ht="15" spans="1:7">
      <c r="A602" s="36" t="str">
        <f>IF(C602="","",IF(C602=跟进查询!$B$2,1+A601,A601))</f>
        <v/>
      </c>
      <c r="B602" s="39"/>
      <c r="C602" s="39"/>
      <c r="D602" s="39"/>
      <c r="E602" s="39"/>
      <c r="F602" s="41" t="e">
        <f>VLOOKUP(G602,源数据!A:K,11,FALSE)</f>
        <v>#N/A</v>
      </c>
      <c r="G602" s="42" t="str">
        <f t="shared" si="9"/>
        <v/>
      </c>
    </row>
    <row r="603" ht="15" spans="1:7">
      <c r="A603" s="36" t="str">
        <f>IF(C603="","",IF(C603=跟进查询!$B$2,1+A602,A602))</f>
        <v/>
      </c>
      <c r="B603" s="39"/>
      <c r="C603" s="39"/>
      <c r="D603" s="39"/>
      <c r="E603" s="39"/>
      <c r="F603" s="41" t="e">
        <f>VLOOKUP(G603,源数据!A:K,11,FALSE)</f>
        <v>#N/A</v>
      </c>
      <c r="G603" s="42" t="str">
        <f t="shared" si="9"/>
        <v/>
      </c>
    </row>
    <row r="604" ht="15" spans="1:7">
      <c r="A604" s="36" t="str">
        <f>IF(C604="","",IF(C604=跟进查询!$B$2,1+A603,A603))</f>
        <v/>
      </c>
      <c r="B604" s="39"/>
      <c r="C604" s="39"/>
      <c r="D604" s="39"/>
      <c r="E604" s="39"/>
      <c r="F604" s="41" t="e">
        <f>VLOOKUP(G604,源数据!A:K,11,FALSE)</f>
        <v>#N/A</v>
      </c>
      <c r="G604" s="42" t="str">
        <f t="shared" si="9"/>
        <v/>
      </c>
    </row>
    <row r="605" ht="15" spans="1:7">
      <c r="A605" s="36" t="str">
        <f>IF(C605="","",IF(C605=跟进查询!$B$2,1+A604,A604))</f>
        <v/>
      </c>
      <c r="B605" s="39"/>
      <c r="C605" s="39"/>
      <c r="D605" s="39"/>
      <c r="E605" s="39"/>
      <c r="F605" s="41" t="e">
        <f>VLOOKUP(G605,源数据!A:K,11,FALSE)</f>
        <v>#N/A</v>
      </c>
      <c r="G605" s="42" t="str">
        <f t="shared" si="9"/>
        <v/>
      </c>
    </row>
    <row r="606" ht="15" spans="1:7">
      <c r="A606" s="36" t="str">
        <f>IF(C606="","",IF(C606=跟进查询!$B$2,1+A605,A605))</f>
        <v/>
      </c>
      <c r="B606" s="39"/>
      <c r="C606" s="39"/>
      <c r="D606" s="39"/>
      <c r="E606" s="39"/>
      <c r="F606" s="41" t="e">
        <f>VLOOKUP(G606,源数据!A:K,11,FALSE)</f>
        <v>#N/A</v>
      </c>
      <c r="G606" s="42" t="str">
        <f t="shared" si="9"/>
        <v/>
      </c>
    </row>
    <row r="607" ht="15" spans="1:7">
      <c r="A607" s="36" t="str">
        <f>IF(C607="","",IF(C607=跟进查询!$B$2,1+A606,A606))</f>
        <v/>
      </c>
      <c r="B607" s="39"/>
      <c r="C607" s="39"/>
      <c r="D607" s="39"/>
      <c r="E607" s="39"/>
      <c r="F607" s="41" t="e">
        <f>VLOOKUP(G607,源数据!A:K,11,FALSE)</f>
        <v>#N/A</v>
      </c>
      <c r="G607" s="42" t="str">
        <f t="shared" si="9"/>
        <v/>
      </c>
    </row>
    <row r="608" ht="15" spans="1:7">
      <c r="A608" s="36" t="str">
        <f>IF(C608="","",IF(C608=跟进查询!$B$2,1+A607,A607))</f>
        <v/>
      </c>
      <c r="B608" s="39"/>
      <c r="C608" s="39"/>
      <c r="D608" s="39"/>
      <c r="E608" s="39"/>
      <c r="F608" s="41" t="e">
        <f>VLOOKUP(G608,源数据!A:K,11,FALSE)</f>
        <v>#N/A</v>
      </c>
      <c r="G608" s="42" t="str">
        <f t="shared" si="9"/>
        <v/>
      </c>
    </row>
    <row r="609" ht="15" spans="1:7">
      <c r="A609" s="36" t="str">
        <f>IF(C609="","",IF(C609=跟进查询!$B$2,1+A608,A608))</f>
        <v/>
      </c>
      <c r="B609" s="39"/>
      <c r="C609" s="39"/>
      <c r="D609" s="39"/>
      <c r="E609" s="39"/>
      <c r="F609" s="41" t="e">
        <f>VLOOKUP(G609,源数据!A:K,11,FALSE)</f>
        <v>#N/A</v>
      </c>
      <c r="G609" s="42" t="str">
        <f t="shared" si="9"/>
        <v/>
      </c>
    </row>
    <row r="610" ht="15" spans="1:7">
      <c r="A610" s="36" t="str">
        <f>IF(C610="","",IF(C610=跟进查询!$B$2,1+A609,A609))</f>
        <v/>
      </c>
      <c r="B610" s="39"/>
      <c r="C610" s="39"/>
      <c r="D610" s="39"/>
      <c r="E610" s="39"/>
      <c r="F610" s="41" t="e">
        <f>VLOOKUP(G610,源数据!A:K,11,FALSE)</f>
        <v>#N/A</v>
      </c>
      <c r="G610" s="42" t="str">
        <f t="shared" si="9"/>
        <v/>
      </c>
    </row>
    <row r="611" ht="15" spans="1:7">
      <c r="A611" s="36" t="str">
        <f>IF(C611="","",IF(C611=跟进查询!$B$2,1+A610,A610))</f>
        <v/>
      </c>
      <c r="B611" s="39"/>
      <c r="C611" s="39"/>
      <c r="D611" s="39"/>
      <c r="E611" s="39"/>
      <c r="F611" s="41" t="e">
        <f>VLOOKUP(G611,源数据!A:K,11,FALSE)</f>
        <v>#N/A</v>
      </c>
      <c r="G611" s="42" t="str">
        <f t="shared" si="9"/>
        <v/>
      </c>
    </row>
    <row r="612" ht="15" spans="1:7">
      <c r="A612" s="36" t="str">
        <f>IF(C612="","",IF(C612=跟进查询!$B$2,1+A611,A611))</f>
        <v/>
      </c>
      <c r="B612" s="39"/>
      <c r="C612" s="39"/>
      <c r="D612" s="39"/>
      <c r="E612" s="39"/>
      <c r="F612" s="41" t="e">
        <f>VLOOKUP(G612,源数据!A:K,11,FALSE)</f>
        <v>#N/A</v>
      </c>
      <c r="G612" s="42" t="str">
        <f t="shared" si="9"/>
        <v/>
      </c>
    </row>
    <row r="613" ht="15" spans="1:7">
      <c r="A613" s="36" t="str">
        <f>IF(C613="","",IF(C613=跟进查询!$B$2,1+A612,A612))</f>
        <v/>
      </c>
      <c r="B613" s="39"/>
      <c r="C613" s="39"/>
      <c r="D613" s="39"/>
      <c r="E613" s="39"/>
      <c r="F613" s="41" t="e">
        <f>VLOOKUP(G613,源数据!A:K,11,FALSE)</f>
        <v>#N/A</v>
      </c>
      <c r="G613" s="42" t="str">
        <f t="shared" si="9"/>
        <v/>
      </c>
    </row>
    <row r="614" ht="15" spans="1:7">
      <c r="A614" s="36" t="str">
        <f>IF(C614="","",IF(C614=跟进查询!$B$2,1+A613,A613))</f>
        <v/>
      </c>
      <c r="B614" s="39"/>
      <c r="C614" s="39"/>
      <c r="D614" s="39"/>
      <c r="E614" s="39"/>
      <c r="F614" s="41" t="e">
        <f>VLOOKUP(G614,源数据!A:K,11,FALSE)</f>
        <v>#N/A</v>
      </c>
      <c r="G614" s="42" t="str">
        <f t="shared" si="9"/>
        <v/>
      </c>
    </row>
    <row r="615" ht="15" spans="1:7">
      <c r="A615" s="36" t="str">
        <f>IF(C615="","",IF(C615=跟进查询!$B$2,1+A614,A614))</f>
        <v/>
      </c>
      <c r="B615" s="39"/>
      <c r="C615" s="39"/>
      <c r="D615" s="39"/>
      <c r="E615" s="39"/>
      <c r="F615" s="41" t="e">
        <f>VLOOKUP(G615,源数据!A:K,11,FALSE)</f>
        <v>#N/A</v>
      </c>
      <c r="G615" s="42" t="str">
        <f t="shared" si="9"/>
        <v/>
      </c>
    </row>
    <row r="616" ht="15" spans="1:7">
      <c r="A616" s="36" t="str">
        <f>IF(C616="","",IF(C616=跟进查询!$B$2,1+A615,A615))</f>
        <v/>
      </c>
      <c r="B616" s="39"/>
      <c r="C616" s="39"/>
      <c r="D616" s="39"/>
      <c r="E616" s="39"/>
      <c r="F616" s="41" t="e">
        <f>VLOOKUP(G616,源数据!A:K,11,FALSE)</f>
        <v>#N/A</v>
      </c>
      <c r="G616" s="42" t="str">
        <f t="shared" si="9"/>
        <v/>
      </c>
    </row>
    <row r="617" ht="15" spans="1:7">
      <c r="A617" s="36" t="str">
        <f>IF(C617="","",IF(C617=跟进查询!$B$2,1+A616,A616))</f>
        <v/>
      </c>
      <c r="B617" s="39"/>
      <c r="C617" s="39"/>
      <c r="D617" s="39"/>
      <c r="E617" s="39"/>
      <c r="F617" s="41" t="e">
        <f>VLOOKUP(G617,源数据!A:K,11,FALSE)</f>
        <v>#N/A</v>
      </c>
      <c r="G617" s="42" t="str">
        <f t="shared" si="9"/>
        <v/>
      </c>
    </row>
    <row r="618" ht="15" spans="1:7">
      <c r="A618" s="36" t="str">
        <f>IF(C618="","",IF(C618=跟进查询!$B$2,1+A617,A617))</f>
        <v/>
      </c>
      <c r="B618" s="39"/>
      <c r="C618" s="39"/>
      <c r="D618" s="39"/>
      <c r="E618" s="39"/>
      <c r="F618" s="41" t="e">
        <f>VLOOKUP(G618,源数据!A:K,11,FALSE)</f>
        <v>#N/A</v>
      </c>
      <c r="G618" s="42" t="str">
        <f t="shared" si="9"/>
        <v/>
      </c>
    </row>
    <row r="619" ht="15" spans="1:7">
      <c r="A619" s="36" t="str">
        <f>IF(C619="","",IF(C619=跟进查询!$B$2,1+A618,A618))</f>
        <v/>
      </c>
      <c r="B619" s="39"/>
      <c r="C619" s="39"/>
      <c r="D619" s="39"/>
      <c r="E619" s="39"/>
      <c r="F619" s="41" t="e">
        <f>VLOOKUP(G619,源数据!A:K,11,FALSE)</f>
        <v>#N/A</v>
      </c>
      <c r="G619" s="42" t="str">
        <f t="shared" si="9"/>
        <v/>
      </c>
    </row>
    <row r="620" ht="15" spans="1:7">
      <c r="A620" s="36" t="str">
        <f>IF(C620="","",IF(C620=跟进查询!$B$2,1+A619,A619))</f>
        <v/>
      </c>
      <c r="B620" s="39"/>
      <c r="C620" s="39"/>
      <c r="D620" s="39"/>
      <c r="E620" s="39"/>
      <c r="F620" s="41" t="e">
        <f>VLOOKUP(G620,源数据!A:K,11,FALSE)</f>
        <v>#N/A</v>
      </c>
      <c r="G620" s="42" t="str">
        <f t="shared" si="9"/>
        <v/>
      </c>
    </row>
    <row r="621" ht="15" spans="1:7">
      <c r="A621" s="36" t="str">
        <f>IF(C621="","",IF(C621=跟进查询!$B$2,1+A620,A620))</f>
        <v/>
      </c>
      <c r="B621" s="39"/>
      <c r="C621" s="39"/>
      <c r="D621" s="39"/>
      <c r="E621" s="39"/>
      <c r="F621" s="41" t="e">
        <f>VLOOKUP(G621,源数据!A:K,11,FALSE)</f>
        <v>#N/A</v>
      </c>
      <c r="G621" s="42" t="str">
        <f t="shared" si="9"/>
        <v/>
      </c>
    </row>
    <row r="622" ht="15" spans="1:7">
      <c r="A622" s="36" t="str">
        <f>IF(C622="","",IF(C622=跟进查询!$B$2,1+A621,A621))</f>
        <v/>
      </c>
      <c r="B622" s="39"/>
      <c r="C622" s="39"/>
      <c r="D622" s="39"/>
      <c r="E622" s="39"/>
      <c r="F622" s="41" t="e">
        <f>VLOOKUP(G622,源数据!A:K,11,FALSE)</f>
        <v>#N/A</v>
      </c>
      <c r="G622" s="42" t="str">
        <f t="shared" si="9"/>
        <v/>
      </c>
    </row>
    <row r="623" ht="15" spans="1:7">
      <c r="A623" s="36" t="str">
        <f>IF(C623="","",IF(C623=跟进查询!$B$2,1+A622,A622))</f>
        <v/>
      </c>
      <c r="B623" s="39"/>
      <c r="C623" s="39"/>
      <c r="D623" s="39"/>
      <c r="E623" s="39"/>
      <c r="F623" s="41" t="e">
        <f>VLOOKUP(G623,源数据!A:K,11,FALSE)</f>
        <v>#N/A</v>
      </c>
      <c r="G623" s="42" t="str">
        <f t="shared" si="9"/>
        <v/>
      </c>
    </row>
    <row r="624" ht="15" spans="1:7">
      <c r="A624" s="36" t="str">
        <f>IF(C624="","",IF(C624=跟进查询!$B$2,1+A623,A623))</f>
        <v/>
      </c>
      <c r="B624" s="39"/>
      <c r="C624" s="39"/>
      <c r="D624" s="39"/>
      <c r="E624" s="39"/>
      <c r="F624" s="41" t="e">
        <f>VLOOKUP(G624,源数据!A:K,11,FALSE)</f>
        <v>#N/A</v>
      </c>
      <c r="G624" s="42" t="str">
        <f t="shared" si="9"/>
        <v/>
      </c>
    </row>
    <row r="625" ht="15" spans="1:7">
      <c r="A625" s="36" t="str">
        <f>IF(C625="","",IF(C625=跟进查询!$B$2,1+A624,A624))</f>
        <v/>
      </c>
      <c r="B625" s="39"/>
      <c r="C625" s="39"/>
      <c r="D625" s="39"/>
      <c r="E625" s="39"/>
      <c r="F625" s="41" t="e">
        <f>VLOOKUP(G625,源数据!A:K,11,FALSE)</f>
        <v>#N/A</v>
      </c>
      <c r="G625" s="42" t="str">
        <f t="shared" si="9"/>
        <v/>
      </c>
    </row>
    <row r="626" ht="15" spans="1:7">
      <c r="A626" s="36" t="str">
        <f>IF(C626="","",IF(C626=跟进查询!$B$2,1+A625,A625))</f>
        <v/>
      </c>
      <c r="B626" s="39"/>
      <c r="C626" s="39"/>
      <c r="D626" s="39"/>
      <c r="E626" s="39"/>
      <c r="F626" s="41" t="e">
        <f>VLOOKUP(G626,源数据!A:K,11,FALSE)</f>
        <v>#N/A</v>
      </c>
      <c r="G626" s="42" t="str">
        <f t="shared" si="9"/>
        <v/>
      </c>
    </row>
    <row r="627" ht="15" spans="1:7">
      <c r="A627" s="36" t="str">
        <f>IF(C627="","",IF(C627=跟进查询!$B$2,1+A626,A626))</f>
        <v/>
      </c>
      <c r="B627" s="39"/>
      <c r="C627" s="39"/>
      <c r="D627" s="39"/>
      <c r="E627" s="39"/>
      <c r="F627" s="41" t="e">
        <f>VLOOKUP(G627,源数据!A:K,11,FALSE)</f>
        <v>#N/A</v>
      </c>
      <c r="G627" s="42" t="str">
        <f t="shared" si="9"/>
        <v/>
      </c>
    </row>
    <row r="628" ht="15" spans="1:7">
      <c r="A628" s="36" t="str">
        <f>IF(C628="","",IF(C628=跟进查询!$B$2,1+A627,A627))</f>
        <v/>
      </c>
      <c r="B628" s="39"/>
      <c r="C628" s="39"/>
      <c r="D628" s="39"/>
      <c r="E628" s="39"/>
      <c r="F628" s="41" t="e">
        <f>VLOOKUP(G628,源数据!A:K,11,FALSE)</f>
        <v>#N/A</v>
      </c>
      <c r="G628" s="42" t="str">
        <f t="shared" si="9"/>
        <v/>
      </c>
    </row>
    <row r="629" ht="15" spans="1:7">
      <c r="A629" s="36" t="str">
        <f>IF(C629="","",IF(C629=跟进查询!$B$2,1+A628,A628))</f>
        <v/>
      </c>
      <c r="B629" s="39"/>
      <c r="C629" s="39"/>
      <c r="D629" s="39"/>
      <c r="E629" s="39"/>
      <c r="F629" s="41" t="e">
        <f>VLOOKUP(G629,源数据!A:K,11,FALSE)</f>
        <v>#N/A</v>
      </c>
      <c r="G629" s="42" t="str">
        <f t="shared" si="9"/>
        <v/>
      </c>
    </row>
    <row r="630" ht="15" spans="1:7">
      <c r="A630" s="36" t="str">
        <f>IF(C630="","",IF(C630=跟进查询!$B$2,1+A629,A629))</f>
        <v/>
      </c>
      <c r="B630" s="39"/>
      <c r="C630" s="39"/>
      <c r="D630" s="39"/>
      <c r="E630" s="39"/>
      <c r="F630" s="41" t="e">
        <f>VLOOKUP(G630,源数据!A:K,11,FALSE)</f>
        <v>#N/A</v>
      </c>
      <c r="G630" s="42" t="str">
        <f t="shared" si="9"/>
        <v/>
      </c>
    </row>
    <row r="631" ht="15" spans="1:7">
      <c r="A631" s="36" t="str">
        <f>IF(C631="","",IF(C631=跟进查询!$B$2,1+A630,A630))</f>
        <v/>
      </c>
      <c r="B631" s="39"/>
      <c r="C631" s="39"/>
      <c r="D631" s="39"/>
      <c r="E631" s="39"/>
      <c r="F631" s="41" t="e">
        <f>VLOOKUP(G631,源数据!A:K,11,FALSE)</f>
        <v>#N/A</v>
      </c>
      <c r="G631" s="42" t="str">
        <f t="shared" si="9"/>
        <v/>
      </c>
    </row>
    <row r="632" ht="15" spans="1:7">
      <c r="A632" s="36" t="str">
        <f>IF(C632="","",IF(C632=跟进查询!$B$2,1+A631,A631))</f>
        <v/>
      </c>
      <c r="B632" s="39"/>
      <c r="C632" s="39"/>
      <c r="D632" s="39"/>
      <c r="E632" s="39"/>
      <c r="F632" s="41" t="e">
        <f>VLOOKUP(G632,源数据!A:K,11,FALSE)</f>
        <v>#N/A</v>
      </c>
      <c r="G632" s="42" t="str">
        <f t="shared" si="9"/>
        <v/>
      </c>
    </row>
    <row r="633" ht="15" spans="1:7">
      <c r="A633" s="36" t="str">
        <f>IF(C633="","",IF(C633=跟进查询!$B$2,1+A632,A632))</f>
        <v/>
      </c>
      <c r="B633" s="39"/>
      <c r="C633" s="39"/>
      <c r="D633" s="39"/>
      <c r="E633" s="39"/>
      <c r="F633" s="41" t="e">
        <f>VLOOKUP(G633,源数据!A:K,11,FALSE)</f>
        <v>#N/A</v>
      </c>
      <c r="G633" s="42" t="str">
        <f t="shared" si="9"/>
        <v/>
      </c>
    </row>
    <row r="634" ht="15" spans="1:7">
      <c r="A634" s="36" t="str">
        <f>IF(C634="","",IF(C634=跟进查询!$B$2,1+A633,A633))</f>
        <v/>
      </c>
      <c r="B634" s="39"/>
      <c r="C634" s="39"/>
      <c r="D634" s="39"/>
      <c r="E634" s="39"/>
      <c r="F634" s="41" t="e">
        <f>VLOOKUP(G634,源数据!A:K,11,FALSE)</f>
        <v>#N/A</v>
      </c>
      <c r="G634" s="42" t="str">
        <f t="shared" si="9"/>
        <v/>
      </c>
    </row>
    <row r="635" ht="15" spans="1:7">
      <c r="A635" s="36" t="str">
        <f>IF(C635="","",IF(C635=跟进查询!$B$2,1+A634,A634))</f>
        <v/>
      </c>
      <c r="B635" s="39"/>
      <c r="C635" s="39"/>
      <c r="D635" s="39"/>
      <c r="E635" s="39"/>
      <c r="F635" s="41" t="e">
        <f>VLOOKUP(G635,源数据!A:K,11,FALSE)</f>
        <v>#N/A</v>
      </c>
      <c r="G635" s="42" t="str">
        <f t="shared" si="9"/>
        <v/>
      </c>
    </row>
    <row r="636" ht="15" spans="1:7">
      <c r="A636" s="36" t="str">
        <f>IF(C636="","",IF(C636=跟进查询!$B$2,1+A635,A635))</f>
        <v/>
      </c>
      <c r="B636" s="39"/>
      <c r="C636" s="39"/>
      <c r="D636" s="39"/>
      <c r="E636" s="39"/>
      <c r="F636" s="41" t="e">
        <f>VLOOKUP(G636,源数据!A:K,11,FALSE)</f>
        <v>#N/A</v>
      </c>
      <c r="G636" s="42" t="str">
        <f t="shared" si="9"/>
        <v/>
      </c>
    </row>
    <row r="637" ht="15" spans="1:7">
      <c r="A637" s="36" t="str">
        <f>IF(C637="","",IF(C637=跟进查询!$B$2,1+A636,A636))</f>
        <v/>
      </c>
      <c r="B637" s="39"/>
      <c r="C637" s="39"/>
      <c r="D637" s="39"/>
      <c r="E637" s="39"/>
      <c r="F637" s="41" t="e">
        <f>VLOOKUP(G637,源数据!A:K,11,FALSE)</f>
        <v>#N/A</v>
      </c>
      <c r="G637" s="42" t="str">
        <f t="shared" si="9"/>
        <v/>
      </c>
    </row>
    <row r="638" ht="15" spans="1:7">
      <c r="A638" s="36" t="str">
        <f>IF(C638="","",IF(C638=跟进查询!$B$2,1+A637,A637))</f>
        <v/>
      </c>
      <c r="B638" s="39"/>
      <c r="C638" s="39"/>
      <c r="D638" s="39"/>
      <c r="E638" s="39"/>
      <c r="F638" s="41" t="e">
        <f>VLOOKUP(G638,源数据!A:K,11,FALSE)</f>
        <v>#N/A</v>
      </c>
      <c r="G638" s="42" t="str">
        <f t="shared" si="9"/>
        <v/>
      </c>
    </row>
    <row r="639" ht="15" spans="1:7">
      <c r="A639" s="36" t="str">
        <f>IF(C639="","",IF(C639=跟进查询!$B$2,1+A638,A638))</f>
        <v/>
      </c>
      <c r="B639" s="39"/>
      <c r="C639" s="39"/>
      <c r="D639" s="39"/>
      <c r="E639" s="39"/>
      <c r="F639" s="41" t="e">
        <f>VLOOKUP(G639,源数据!A:K,11,FALSE)</f>
        <v>#N/A</v>
      </c>
      <c r="G639" s="42" t="str">
        <f t="shared" si="9"/>
        <v/>
      </c>
    </row>
    <row r="640" ht="15" spans="1:7">
      <c r="A640" s="36" t="str">
        <f>IF(C640="","",IF(C640=跟进查询!$B$2,1+A639,A639))</f>
        <v/>
      </c>
      <c r="B640" s="39"/>
      <c r="C640" s="39"/>
      <c r="D640" s="39"/>
      <c r="E640" s="39"/>
      <c r="F640" s="41" t="e">
        <f>VLOOKUP(G640,源数据!A:K,11,FALSE)</f>
        <v>#N/A</v>
      </c>
      <c r="G640" s="42" t="str">
        <f t="shared" si="9"/>
        <v/>
      </c>
    </row>
    <row r="641" ht="15" spans="1:7">
      <c r="A641" s="36" t="str">
        <f>IF(C641="","",IF(C641=跟进查询!$B$2,1+A640,A640))</f>
        <v/>
      </c>
      <c r="B641" s="39"/>
      <c r="C641" s="39"/>
      <c r="D641" s="39"/>
      <c r="E641" s="39"/>
      <c r="F641" s="41" t="e">
        <f>VLOOKUP(G641,源数据!A:K,11,FALSE)</f>
        <v>#N/A</v>
      </c>
      <c r="G641" s="42" t="str">
        <f t="shared" si="9"/>
        <v/>
      </c>
    </row>
    <row r="642" ht="15" spans="1:7">
      <c r="A642" s="36" t="str">
        <f>IF(C642="","",IF(C642=跟进查询!$B$2,1+A641,A641))</f>
        <v/>
      </c>
      <c r="B642" s="39"/>
      <c r="C642" s="39"/>
      <c r="D642" s="39"/>
      <c r="E642" s="39"/>
      <c r="F642" s="41" t="e">
        <f>VLOOKUP(G642,源数据!A:K,11,FALSE)</f>
        <v>#N/A</v>
      </c>
      <c r="G642" s="42" t="str">
        <f t="shared" si="9"/>
        <v/>
      </c>
    </row>
    <row r="643" ht="15" spans="1:7">
      <c r="A643" s="36" t="str">
        <f>IF(C643="","",IF(C643=跟进查询!$B$2,1+A642,A642))</f>
        <v/>
      </c>
      <c r="B643" s="39"/>
      <c r="C643" s="39"/>
      <c r="D643" s="39"/>
      <c r="E643" s="39"/>
      <c r="F643" s="41" t="e">
        <f>VLOOKUP(G643,源数据!A:K,11,FALSE)</f>
        <v>#N/A</v>
      </c>
      <c r="G643" s="42" t="str">
        <f t="shared" si="9"/>
        <v/>
      </c>
    </row>
    <row r="644" ht="15" spans="1:7">
      <c r="A644" s="36" t="str">
        <f>IF(C644="","",IF(C644=跟进查询!$B$2,1+A643,A643))</f>
        <v/>
      </c>
      <c r="B644" s="39"/>
      <c r="C644" s="39"/>
      <c r="D644" s="39"/>
      <c r="E644" s="39"/>
      <c r="F644" s="41" t="e">
        <f>VLOOKUP(G644,源数据!A:K,11,FALSE)</f>
        <v>#N/A</v>
      </c>
      <c r="G644" s="42" t="str">
        <f t="shared" ref="G644:G707" si="10">B644&amp;C644</f>
        <v/>
      </c>
    </row>
    <row r="645" ht="15" spans="1:7">
      <c r="A645" s="36" t="str">
        <f>IF(C645="","",IF(C645=跟进查询!$B$2,1+A644,A644))</f>
        <v/>
      </c>
      <c r="B645" s="39"/>
      <c r="C645" s="39"/>
      <c r="D645" s="39"/>
      <c r="E645" s="39"/>
      <c r="F645" s="41" t="e">
        <f>VLOOKUP(G645,源数据!A:K,11,FALSE)</f>
        <v>#N/A</v>
      </c>
      <c r="G645" s="42" t="str">
        <f t="shared" si="10"/>
        <v/>
      </c>
    </row>
    <row r="646" ht="15" spans="1:7">
      <c r="A646" s="36" t="str">
        <f>IF(C646="","",IF(C646=跟进查询!$B$2,1+A645,A645))</f>
        <v/>
      </c>
      <c r="B646" s="39"/>
      <c r="C646" s="39"/>
      <c r="D646" s="39"/>
      <c r="E646" s="39"/>
      <c r="F646" s="41" t="e">
        <f>VLOOKUP(G646,源数据!A:K,11,FALSE)</f>
        <v>#N/A</v>
      </c>
      <c r="G646" s="42" t="str">
        <f t="shared" si="10"/>
        <v/>
      </c>
    </row>
    <row r="647" ht="15" spans="1:7">
      <c r="A647" s="36" t="str">
        <f>IF(C647="","",IF(C647=跟进查询!$B$2,1+A646,A646))</f>
        <v/>
      </c>
      <c r="B647" s="39"/>
      <c r="C647" s="39"/>
      <c r="D647" s="39"/>
      <c r="E647" s="39"/>
      <c r="F647" s="41" t="e">
        <f>VLOOKUP(G647,源数据!A:K,11,FALSE)</f>
        <v>#N/A</v>
      </c>
      <c r="G647" s="42" t="str">
        <f t="shared" si="10"/>
        <v/>
      </c>
    </row>
    <row r="648" ht="15" spans="1:7">
      <c r="A648" s="36" t="str">
        <f>IF(C648="","",IF(C648=跟进查询!$B$2,1+A647,A647))</f>
        <v/>
      </c>
      <c r="B648" s="39"/>
      <c r="C648" s="39"/>
      <c r="D648" s="39"/>
      <c r="E648" s="39"/>
      <c r="F648" s="41" t="e">
        <f>VLOOKUP(G648,源数据!A:K,11,FALSE)</f>
        <v>#N/A</v>
      </c>
      <c r="G648" s="42" t="str">
        <f t="shared" si="10"/>
        <v/>
      </c>
    </row>
    <row r="649" ht="15" spans="1:7">
      <c r="A649" s="36" t="str">
        <f>IF(C649="","",IF(C649=跟进查询!$B$2,1+A648,A648))</f>
        <v/>
      </c>
      <c r="B649" s="39"/>
      <c r="C649" s="39"/>
      <c r="D649" s="39"/>
      <c r="E649" s="39"/>
      <c r="F649" s="41" t="e">
        <f>VLOOKUP(G649,源数据!A:K,11,FALSE)</f>
        <v>#N/A</v>
      </c>
      <c r="G649" s="42" t="str">
        <f t="shared" si="10"/>
        <v/>
      </c>
    </row>
    <row r="650" ht="15" spans="1:7">
      <c r="A650" s="36" t="str">
        <f>IF(C650="","",IF(C650=跟进查询!$B$2,1+A649,A649))</f>
        <v/>
      </c>
      <c r="B650" s="39"/>
      <c r="C650" s="39"/>
      <c r="D650" s="39"/>
      <c r="E650" s="39"/>
      <c r="F650" s="41" t="e">
        <f>VLOOKUP(G650,源数据!A:K,11,FALSE)</f>
        <v>#N/A</v>
      </c>
      <c r="G650" s="42" t="str">
        <f t="shared" si="10"/>
        <v/>
      </c>
    </row>
    <row r="651" ht="15" spans="1:7">
      <c r="A651" s="36" t="str">
        <f>IF(C651="","",IF(C651=跟进查询!$B$2,1+A650,A650))</f>
        <v/>
      </c>
      <c r="B651" s="39"/>
      <c r="C651" s="39"/>
      <c r="D651" s="39"/>
      <c r="E651" s="39"/>
      <c r="F651" s="41" t="e">
        <f>VLOOKUP(G651,源数据!A:K,11,FALSE)</f>
        <v>#N/A</v>
      </c>
      <c r="G651" s="42" t="str">
        <f t="shared" si="10"/>
        <v/>
      </c>
    </row>
    <row r="652" ht="15" spans="1:7">
      <c r="A652" s="36" t="str">
        <f>IF(C652="","",IF(C652=跟进查询!$B$2,1+A651,A651))</f>
        <v/>
      </c>
      <c r="B652" s="39"/>
      <c r="C652" s="39"/>
      <c r="D652" s="39"/>
      <c r="E652" s="39"/>
      <c r="F652" s="41" t="e">
        <f>VLOOKUP(G652,源数据!A:K,11,FALSE)</f>
        <v>#N/A</v>
      </c>
      <c r="G652" s="42" t="str">
        <f t="shared" si="10"/>
        <v/>
      </c>
    </row>
    <row r="653" ht="15" spans="1:7">
      <c r="A653" s="36" t="str">
        <f>IF(C653="","",IF(C653=跟进查询!$B$2,1+A652,A652))</f>
        <v/>
      </c>
      <c r="B653" s="39"/>
      <c r="C653" s="39"/>
      <c r="D653" s="39"/>
      <c r="E653" s="39"/>
      <c r="F653" s="41" t="e">
        <f>VLOOKUP(G653,源数据!A:K,11,FALSE)</f>
        <v>#N/A</v>
      </c>
      <c r="G653" s="42" t="str">
        <f t="shared" si="10"/>
        <v/>
      </c>
    </row>
    <row r="654" ht="15" spans="1:7">
      <c r="A654" s="36" t="str">
        <f>IF(C654="","",IF(C654=跟进查询!$B$2,1+A653,A653))</f>
        <v/>
      </c>
      <c r="B654" s="39"/>
      <c r="C654" s="39"/>
      <c r="D654" s="39"/>
      <c r="E654" s="39"/>
      <c r="F654" s="41" t="e">
        <f>VLOOKUP(G654,源数据!A:K,11,FALSE)</f>
        <v>#N/A</v>
      </c>
      <c r="G654" s="42" t="str">
        <f t="shared" si="10"/>
        <v/>
      </c>
    </row>
    <row r="655" ht="15" spans="1:7">
      <c r="A655" s="36" t="str">
        <f>IF(C655="","",IF(C655=跟进查询!$B$2,1+A654,A654))</f>
        <v/>
      </c>
      <c r="B655" s="39"/>
      <c r="C655" s="39"/>
      <c r="D655" s="39"/>
      <c r="E655" s="39"/>
      <c r="F655" s="41" t="e">
        <f>VLOOKUP(G655,源数据!A:K,11,FALSE)</f>
        <v>#N/A</v>
      </c>
      <c r="G655" s="42" t="str">
        <f t="shared" si="10"/>
        <v/>
      </c>
    </row>
    <row r="656" ht="15" spans="1:7">
      <c r="A656" s="36" t="str">
        <f>IF(C656="","",IF(C656=跟进查询!$B$2,1+A655,A655))</f>
        <v/>
      </c>
      <c r="B656" s="39"/>
      <c r="C656" s="39"/>
      <c r="D656" s="39"/>
      <c r="E656" s="39"/>
      <c r="F656" s="41" t="e">
        <f>VLOOKUP(G656,源数据!A:K,11,FALSE)</f>
        <v>#N/A</v>
      </c>
      <c r="G656" s="42" t="str">
        <f t="shared" si="10"/>
        <v/>
      </c>
    </row>
    <row r="657" ht="15" spans="1:7">
      <c r="A657" s="36" t="str">
        <f>IF(C657="","",IF(C657=跟进查询!$B$2,1+A656,A656))</f>
        <v/>
      </c>
      <c r="B657" s="39"/>
      <c r="C657" s="39"/>
      <c r="D657" s="39"/>
      <c r="E657" s="39"/>
      <c r="F657" s="41" t="e">
        <f>VLOOKUP(G657,源数据!A:K,11,FALSE)</f>
        <v>#N/A</v>
      </c>
      <c r="G657" s="42" t="str">
        <f t="shared" si="10"/>
        <v/>
      </c>
    </row>
    <row r="658" ht="15" spans="1:7">
      <c r="A658" s="36" t="str">
        <f>IF(C658="","",IF(C658=跟进查询!$B$2,1+A657,A657))</f>
        <v/>
      </c>
      <c r="B658" s="39"/>
      <c r="C658" s="39"/>
      <c r="D658" s="39"/>
      <c r="E658" s="39"/>
      <c r="F658" s="41" t="e">
        <f>VLOOKUP(G658,源数据!A:K,11,FALSE)</f>
        <v>#N/A</v>
      </c>
      <c r="G658" s="42" t="str">
        <f t="shared" si="10"/>
        <v/>
      </c>
    </row>
    <row r="659" ht="15" spans="1:7">
      <c r="A659" s="36" t="str">
        <f>IF(C659="","",IF(C659=跟进查询!$B$2,1+A658,A658))</f>
        <v/>
      </c>
      <c r="B659" s="39"/>
      <c r="C659" s="39"/>
      <c r="D659" s="39"/>
      <c r="E659" s="39"/>
      <c r="F659" s="41" t="e">
        <f>VLOOKUP(G659,源数据!A:K,11,FALSE)</f>
        <v>#N/A</v>
      </c>
      <c r="G659" s="42" t="str">
        <f t="shared" si="10"/>
        <v/>
      </c>
    </row>
    <row r="660" ht="15" spans="1:7">
      <c r="A660" s="36" t="str">
        <f>IF(C660="","",IF(C660=跟进查询!$B$2,1+A659,A659))</f>
        <v/>
      </c>
      <c r="B660" s="39"/>
      <c r="C660" s="39"/>
      <c r="D660" s="39"/>
      <c r="E660" s="39"/>
      <c r="F660" s="41" t="e">
        <f>VLOOKUP(G660,源数据!A:K,11,FALSE)</f>
        <v>#N/A</v>
      </c>
      <c r="G660" s="42" t="str">
        <f t="shared" si="10"/>
        <v/>
      </c>
    </row>
    <row r="661" ht="15" spans="1:7">
      <c r="A661" s="36" t="str">
        <f>IF(C661="","",IF(C661=跟进查询!$B$2,1+A660,A660))</f>
        <v/>
      </c>
      <c r="B661" s="39"/>
      <c r="C661" s="39"/>
      <c r="D661" s="39"/>
      <c r="E661" s="39"/>
      <c r="F661" s="41" t="e">
        <f>VLOOKUP(G661,源数据!A:K,11,FALSE)</f>
        <v>#N/A</v>
      </c>
      <c r="G661" s="42" t="str">
        <f t="shared" si="10"/>
        <v/>
      </c>
    </row>
    <row r="662" ht="15" spans="1:7">
      <c r="A662" s="36" t="str">
        <f>IF(C662="","",IF(C662=跟进查询!$B$2,1+A661,A661))</f>
        <v/>
      </c>
      <c r="B662" s="39"/>
      <c r="C662" s="39"/>
      <c r="D662" s="39"/>
      <c r="E662" s="39"/>
      <c r="F662" s="41" t="e">
        <f>VLOOKUP(G662,源数据!A:K,11,FALSE)</f>
        <v>#N/A</v>
      </c>
      <c r="G662" s="42" t="str">
        <f t="shared" si="10"/>
        <v/>
      </c>
    </row>
    <row r="663" ht="15" spans="1:7">
      <c r="A663" s="36" t="str">
        <f>IF(C663="","",IF(C663=跟进查询!$B$2,1+A662,A662))</f>
        <v/>
      </c>
      <c r="B663" s="39"/>
      <c r="C663" s="39"/>
      <c r="D663" s="39"/>
      <c r="E663" s="39"/>
      <c r="F663" s="41" t="e">
        <f>VLOOKUP(G663,源数据!A:K,11,FALSE)</f>
        <v>#N/A</v>
      </c>
      <c r="G663" s="42" t="str">
        <f t="shared" si="10"/>
        <v/>
      </c>
    </row>
    <row r="664" ht="15" spans="1:7">
      <c r="A664" s="36" t="str">
        <f>IF(C664="","",IF(C664=跟进查询!$B$2,1+A663,A663))</f>
        <v/>
      </c>
      <c r="B664" s="39"/>
      <c r="C664" s="39"/>
      <c r="D664" s="39"/>
      <c r="E664" s="39"/>
      <c r="F664" s="41" t="e">
        <f>VLOOKUP(G664,源数据!A:K,11,FALSE)</f>
        <v>#N/A</v>
      </c>
      <c r="G664" s="42" t="str">
        <f t="shared" si="10"/>
        <v/>
      </c>
    </row>
    <row r="665" ht="15" spans="1:7">
      <c r="A665" s="36" t="str">
        <f>IF(C665="","",IF(C665=跟进查询!$B$2,1+A664,A664))</f>
        <v/>
      </c>
      <c r="B665" s="39"/>
      <c r="C665" s="39"/>
      <c r="D665" s="39"/>
      <c r="E665" s="39"/>
      <c r="F665" s="41" t="e">
        <f>VLOOKUP(G665,源数据!A:K,11,FALSE)</f>
        <v>#N/A</v>
      </c>
      <c r="G665" s="42" t="str">
        <f t="shared" si="10"/>
        <v/>
      </c>
    </row>
    <row r="666" ht="15" spans="1:7">
      <c r="A666" s="36" t="str">
        <f>IF(C666="","",IF(C666=跟进查询!$B$2,1+A665,A665))</f>
        <v/>
      </c>
      <c r="B666" s="39"/>
      <c r="C666" s="39"/>
      <c r="D666" s="39"/>
      <c r="E666" s="39"/>
      <c r="F666" s="41" t="e">
        <f>VLOOKUP(G666,源数据!A:K,11,FALSE)</f>
        <v>#N/A</v>
      </c>
      <c r="G666" s="42" t="str">
        <f t="shared" si="10"/>
        <v/>
      </c>
    </row>
    <row r="667" ht="15" spans="1:7">
      <c r="A667" s="36" t="str">
        <f>IF(C667="","",IF(C667=跟进查询!$B$2,1+A666,A666))</f>
        <v/>
      </c>
      <c r="B667" s="39"/>
      <c r="C667" s="39"/>
      <c r="D667" s="39"/>
      <c r="E667" s="39"/>
      <c r="F667" s="41" t="e">
        <f>VLOOKUP(G667,源数据!A:K,11,FALSE)</f>
        <v>#N/A</v>
      </c>
      <c r="G667" s="42" t="str">
        <f t="shared" si="10"/>
        <v/>
      </c>
    </row>
    <row r="668" ht="15" spans="1:7">
      <c r="A668" s="36" t="str">
        <f>IF(C668="","",IF(C668=跟进查询!$B$2,1+A667,A667))</f>
        <v/>
      </c>
      <c r="B668" s="39"/>
      <c r="C668" s="39"/>
      <c r="D668" s="39"/>
      <c r="E668" s="39"/>
      <c r="F668" s="41" t="e">
        <f>VLOOKUP(G668,源数据!A:K,11,FALSE)</f>
        <v>#N/A</v>
      </c>
      <c r="G668" s="42" t="str">
        <f t="shared" si="10"/>
        <v/>
      </c>
    </row>
    <row r="669" ht="15" spans="1:7">
      <c r="A669" s="36" t="str">
        <f>IF(C669="","",IF(C669=跟进查询!$B$2,1+A668,A668))</f>
        <v/>
      </c>
      <c r="B669" s="39"/>
      <c r="C669" s="39"/>
      <c r="D669" s="39"/>
      <c r="E669" s="39"/>
      <c r="F669" s="41" t="e">
        <f>VLOOKUP(G669,源数据!A:K,11,FALSE)</f>
        <v>#N/A</v>
      </c>
      <c r="G669" s="42" t="str">
        <f t="shared" si="10"/>
        <v/>
      </c>
    </row>
    <row r="670" ht="15" spans="1:7">
      <c r="A670" s="36" t="str">
        <f>IF(C670="","",IF(C670=跟进查询!$B$2,1+A669,A669))</f>
        <v/>
      </c>
      <c r="B670" s="39"/>
      <c r="C670" s="39"/>
      <c r="D670" s="39"/>
      <c r="E670" s="39"/>
      <c r="F670" s="41" t="e">
        <f>VLOOKUP(G670,源数据!A:K,11,FALSE)</f>
        <v>#N/A</v>
      </c>
      <c r="G670" s="42" t="str">
        <f t="shared" si="10"/>
        <v/>
      </c>
    </row>
    <row r="671" ht="15" spans="1:7">
      <c r="A671" s="36" t="str">
        <f>IF(C671="","",IF(C671=跟进查询!$B$2,1+A670,A670))</f>
        <v/>
      </c>
      <c r="B671" s="39"/>
      <c r="C671" s="39"/>
      <c r="D671" s="39"/>
      <c r="E671" s="39"/>
      <c r="F671" s="41" t="e">
        <f>VLOOKUP(G671,源数据!A:K,11,FALSE)</f>
        <v>#N/A</v>
      </c>
      <c r="G671" s="42" t="str">
        <f t="shared" si="10"/>
        <v/>
      </c>
    </row>
    <row r="672" ht="15" spans="1:7">
      <c r="A672" s="36" t="str">
        <f>IF(C672="","",IF(C672=跟进查询!$B$2,1+A671,A671))</f>
        <v/>
      </c>
      <c r="B672" s="39"/>
      <c r="C672" s="39"/>
      <c r="D672" s="39"/>
      <c r="E672" s="39"/>
      <c r="F672" s="41" t="e">
        <f>VLOOKUP(G672,源数据!A:K,11,FALSE)</f>
        <v>#N/A</v>
      </c>
      <c r="G672" s="42" t="str">
        <f t="shared" si="10"/>
        <v/>
      </c>
    </row>
    <row r="673" ht="15" spans="1:7">
      <c r="A673" s="36" t="str">
        <f>IF(C673="","",IF(C673=跟进查询!$B$2,1+A672,A672))</f>
        <v/>
      </c>
      <c r="B673" s="39"/>
      <c r="C673" s="39"/>
      <c r="D673" s="39"/>
      <c r="E673" s="39"/>
      <c r="F673" s="41" t="e">
        <f>VLOOKUP(G673,源数据!A:K,11,FALSE)</f>
        <v>#N/A</v>
      </c>
      <c r="G673" s="42" t="str">
        <f t="shared" si="10"/>
        <v/>
      </c>
    </row>
    <row r="674" ht="15" spans="1:7">
      <c r="A674" s="36" t="str">
        <f>IF(C674="","",IF(C674=跟进查询!$B$2,1+A673,A673))</f>
        <v/>
      </c>
      <c r="B674" s="39"/>
      <c r="C674" s="39"/>
      <c r="D674" s="39"/>
      <c r="E674" s="39"/>
      <c r="F674" s="41" t="e">
        <f>VLOOKUP(G674,源数据!A:K,11,FALSE)</f>
        <v>#N/A</v>
      </c>
      <c r="G674" s="42" t="str">
        <f t="shared" si="10"/>
        <v/>
      </c>
    </row>
    <row r="675" ht="15" spans="1:7">
      <c r="A675" s="36" t="str">
        <f>IF(C675="","",IF(C675=跟进查询!$B$2,1+A674,A674))</f>
        <v/>
      </c>
      <c r="B675" s="39"/>
      <c r="C675" s="39"/>
      <c r="D675" s="39"/>
      <c r="E675" s="39"/>
      <c r="F675" s="41" t="e">
        <f>VLOOKUP(G675,源数据!A:K,11,FALSE)</f>
        <v>#N/A</v>
      </c>
      <c r="G675" s="42" t="str">
        <f t="shared" si="10"/>
        <v/>
      </c>
    </row>
    <row r="676" ht="15" spans="1:7">
      <c r="A676" s="36" t="str">
        <f>IF(C676="","",IF(C676=跟进查询!$B$2,1+A675,A675))</f>
        <v/>
      </c>
      <c r="B676" s="39"/>
      <c r="C676" s="39"/>
      <c r="D676" s="39"/>
      <c r="E676" s="39"/>
      <c r="F676" s="41" t="e">
        <f>VLOOKUP(G676,源数据!A:K,11,FALSE)</f>
        <v>#N/A</v>
      </c>
      <c r="G676" s="42" t="str">
        <f t="shared" si="10"/>
        <v/>
      </c>
    </row>
    <row r="677" ht="15" spans="1:7">
      <c r="A677" s="36" t="str">
        <f>IF(C677="","",IF(C677=跟进查询!$B$2,1+A676,A676))</f>
        <v/>
      </c>
      <c r="B677" s="39"/>
      <c r="C677" s="39"/>
      <c r="D677" s="39"/>
      <c r="E677" s="39"/>
      <c r="F677" s="41" t="e">
        <f>VLOOKUP(G677,源数据!A:K,11,FALSE)</f>
        <v>#N/A</v>
      </c>
      <c r="G677" s="42" t="str">
        <f t="shared" si="10"/>
        <v/>
      </c>
    </row>
    <row r="678" ht="15" spans="1:7">
      <c r="A678" s="36" t="str">
        <f>IF(C678="","",IF(C678=跟进查询!$B$2,1+A677,A677))</f>
        <v/>
      </c>
      <c r="B678" s="39"/>
      <c r="C678" s="39"/>
      <c r="D678" s="39"/>
      <c r="E678" s="39"/>
      <c r="F678" s="41" t="e">
        <f>VLOOKUP(G678,源数据!A:K,11,FALSE)</f>
        <v>#N/A</v>
      </c>
      <c r="G678" s="42" t="str">
        <f t="shared" si="10"/>
        <v/>
      </c>
    </row>
    <row r="679" ht="15" spans="1:7">
      <c r="A679" s="36" t="str">
        <f>IF(C679="","",IF(C679=跟进查询!$B$2,1+A678,A678))</f>
        <v/>
      </c>
      <c r="B679" s="39"/>
      <c r="C679" s="39"/>
      <c r="D679" s="39"/>
      <c r="E679" s="39"/>
      <c r="F679" s="41" t="e">
        <f>VLOOKUP(G679,源数据!A:K,11,FALSE)</f>
        <v>#N/A</v>
      </c>
      <c r="G679" s="42" t="str">
        <f t="shared" si="10"/>
        <v/>
      </c>
    </row>
    <row r="680" ht="15" spans="1:7">
      <c r="A680" s="36" t="str">
        <f>IF(C680="","",IF(C680=跟进查询!$B$2,1+A679,A679))</f>
        <v/>
      </c>
      <c r="B680" s="39"/>
      <c r="C680" s="39"/>
      <c r="D680" s="39"/>
      <c r="E680" s="39"/>
      <c r="F680" s="41" t="e">
        <f>VLOOKUP(G680,源数据!A:K,11,FALSE)</f>
        <v>#N/A</v>
      </c>
      <c r="G680" s="42" t="str">
        <f t="shared" si="10"/>
        <v/>
      </c>
    </row>
    <row r="681" ht="15" spans="1:7">
      <c r="A681" s="36" t="str">
        <f>IF(C681="","",IF(C681=跟进查询!$B$2,1+A680,A680))</f>
        <v/>
      </c>
      <c r="B681" s="39"/>
      <c r="C681" s="39"/>
      <c r="D681" s="39"/>
      <c r="E681" s="39"/>
      <c r="F681" s="41" t="e">
        <f>VLOOKUP(G681,源数据!A:K,11,FALSE)</f>
        <v>#N/A</v>
      </c>
      <c r="G681" s="42" t="str">
        <f t="shared" si="10"/>
        <v/>
      </c>
    </row>
    <row r="682" ht="15" spans="1:7">
      <c r="A682" s="36" t="str">
        <f>IF(C682="","",IF(C682=跟进查询!$B$2,1+A681,A681))</f>
        <v/>
      </c>
      <c r="B682" s="39"/>
      <c r="C682" s="39"/>
      <c r="D682" s="39"/>
      <c r="E682" s="39"/>
      <c r="F682" s="41" t="e">
        <f>VLOOKUP(G682,源数据!A:K,11,FALSE)</f>
        <v>#N/A</v>
      </c>
      <c r="G682" s="42" t="str">
        <f t="shared" si="10"/>
        <v/>
      </c>
    </row>
    <row r="683" ht="15" spans="1:7">
      <c r="A683" s="36" t="str">
        <f>IF(C683="","",IF(C683=跟进查询!$B$2,1+A682,A682))</f>
        <v/>
      </c>
      <c r="B683" s="39"/>
      <c r="C683" s="39"/>
      <c r="D683" s="39"/>
      <c r="E683" s="39"/>
      <c r="F683" s="41" t="e">
        <f>VLOOKUP(G683,源数据!A:K,11,FALSE)</f>
        <v>#N/A</v>
      </c>
      <c r="G683" s="42" t="str">
        <f t="shared" si="10"/>
        <v/>
      </c>
    </row>
    <row r="684" ht="15" spans="1:7">
      <c r="A684" s="36" t="str">
        <f>IF(C684="","",IF(C684=跟进查询!$B$2,1+A683,A683))</f>
        <v/>
      </c>
      <c r="B684" s="39"/>
      <c r="C684" s="39"/>
      <c r="D684" s="39"/>
      <c r="E684" s="39"/>
      <c r="F684" s="41" t="e">
        <f>VLOOKUP(G684,源数据!A:K,11,FALSE)</f>
        <v>#N/A</v>
      </c>
      <c r="G684" s="42" t="str">
        <f t="shared" si="10"/>
        <v/>
      </c>
    </row>
    <row r="685" ht="15" spans="1:7">
      <c r="A685" s="36" t="str">
        <f>IF(C685="","",IF(C685=跟进查询!$B$2,1+A684,A684))</f>
        <v/>
      </c>
      <c r="B685" s="39"/>
      <c r="C685" s="39"/>
      <c r="D685" s="39"/>
      <c r="E685" s="39"/>
      <c r="F685" s="41" t="e">
        <f>VLOOKUP(G685,源数据!A:K,11,FALSE)</f>
        <v>#N/A</v>
      </c>
      <c r="G685" s="42" t="str">
        <f t="shared" si="10"/>
        <v/>
      </c>
    </row>
    <row r="686" ht="15" spans="1:7">
      <c r="A686" s="36" t="str">
        <f>IF(C686="","",IF(C686=跟进查询!$B$2,1+A685,A685))</f>
        <v/>
      </c>
      <c r="B686" s="39"/>
      <c r="C686" s="39"/>
      <c r="D686" s="39"/>
      <c r="E686" s="39"/>
      <c r="F686" s="41" t="e">
        <f>VLOOKUP(G686,源数据!A:K,11,FALSE)</f>
        <v>#N/A</v>
      </c>
      <c r="G686" s="42" t="str">
        <f t="shared" si="10"/>
        <v/>
      </c>
    </row>
    <row r="687" ht="15" spans="1:7">
      <c r="A687" s="36" t="str">
        <f>IF(C687="","",IF(C687=跟进查询!$B$2,1+A686,A686))</f>
        <v/>
      </c>
      <c r="B687" s="39"/>
      <c r="C687" s="39"/>
      <c r="D687" s="39"/>
      <c r="E687" s="39"/>
      <c r="F687" s="41" t="e">
        <f>VLOOKUP(G687,源数据!A:K,11,FALSE)</f>
        <v>#N/A</v>
      </c>
      <c r="G687" s="42" t="str">
        <f t="shared" si="10"/>
        <v/>
      </c>
    </row>
    <row r="688" ht="15" spans="1:7">
      <c r="A688" s="36" t="str">
        <f>IF(C688="","",IF(C688=跟进查询!$B$2,1+A687,A687))</f>
        <v/>
      </c>
      <c r="B688" s="39"/>
      <c r="C688" s="39"/>
      <c r="D688" s="39"/>
      <c r="E688" s="39"/>
      <c r="F688" s="41" t="e">
        <f>VLOOKUP(G688,源数据!A:K,11,FALSE)</f>
        <v>#N/A</v>
      </c>
      <c r="G688" s="42" t="str">
        <f t="shared" si="10"/>
        <v/>
      </c>
    </row>
    <row r="689" ht="15" spans="1:7">
      <c r="A689" s="36" t="str">
        <f>IF(C689="","",IF(C689=跟进查询!$B$2,1+A688,A688))</f>
        <v/>
      </c>
      <c r="B689" s="39"/>
      <c r="C689" s="39"/>
      <c r="D689" s="39"/>
      <c r="E689" s="39"/>
      <c r="F689" s="41" t="e">
        <f>VLOOKUP(G689,源数据!A:K,11,FALSE)</f>
        <v>#N/A</v>
      </c>
      <c r="G689" s="42" t="str">
        <f t="shared" si="10"/>
        <v/>
      </c>
    </row>
    <row r="690" ht="15" spans="1:7">
      <c r="A690" s="36" t="str">
        <f>IF(C690="","",IF(C690=跟进查询!$B$2,1+A689,A689))</f>
        <v/>
      </c>
      <c r="B690" s="39"/>
      <c r="C690" s="39"/>
      <c r="D690" s="39"/>
      <c r="E690" s="39"/>
      <c r="F690" s="41" t="e">
        <f>VLOOKUP(G690,源数据!A:K,11,FALSE)</f>
        <v>#N/A</v>
      </c>
      <c r="G690" s="42" t="str">
        <f t="shared" si="10"/>
        <v/>
      </c>
    </row>
    <row r="691" ht="15" spans="1:7">
      <c r="A691" s="36" t="str">
        <f>IF(C691="","",IF(C691=跟进查询!$B$2,1+A690,A690))</f>
        <v/>
      </c>
      <c r="B691" s="39"/>
      <c r="C691" s="39"/>
      <c r="D691" s="39"/>
      <c r="E691" s="39"/>
      <c r="F691" s="41" t="e">
        <f>VLOOKUP(G691,源数据!A:K,11,FALSE)</f>
        <v>#N/A</v>
      </c>
      <c r="G691" s="42" t="str">
        <f t="shared" si="10"/>
        <v/>
      </c>
    </row>
    <row r="692" ht="15" spans="1:7">
      <c r="A692" s="36" t="str">
        <f>IF(C692="","",IF(C692=跟进查询!$B$2,1+A691,A691))</f>
        <v/>
      </c>
      <c r="B692" s="39"/>
      <c r="C692" s="39"/>
      <c r="D692" s="39"/>
      <c r="E692" s="39"/>
      <c r="F692" s="41" t="e">
        <f>VLOOKUP(G692,源数据!A:K,11,FALSE)</f>
        <v>#N/A</v>
      </c>
      <c r="G692" s="42" t="str">
        <f t="shared" si="10"/>
        <v/>
      </c>
    </row>
    <row r="693" ht="15" spans="1:7">
      <c r="A693" s="36" t="str">
        <f>IF(C693="","",IF(C693=跟进查询!$B$2,1+A692,A692))</f>
        <v/>
      </c>
      <c r="B693" s="39"/>
      <c r="C693" s="39"/>
      <c r="D693" s="39"/>
      <c r="E693" s="39"/>
      <c r="F693" s="41" t="e">
        <f>VLOOKUP(G693,源数据!A:K,11,FALSE)</f>
        <v>#N/A</v>
      </c>
      <c r="G693" s="42" t="str">
        <f t="shared" si="10"/>
        <v/>
      </c>
    </row>
    <row r="694" ht="15" spans="1:7">
      <c r="A694" s="36" t="str">
        <f>IF(C694="","",IF(C694=跟进查询!$B$2,1+A693,A693))</f>
        <v/>
      </c>
      <c r="B694" s="39"/>
      <c r="C694" s="39"/>
      <c r="D694" s="39"/>
      <c r="E694" s="39"/>
      <c r="F694" s="41" t="e">
        <f>VLOOKUP(G694,源数据!A:K,11,FALSE)</f>
        <v>#N/A</v>
      </c>
      <c r="G694" s="42" t="str">
        <f t="shared" si="10"/>
        <v/>
      </c>
    </row>
    <row r="695" ht="15" spans="1:7">
      <c r="A695" s="36" t="str">
        <f>IF(C695="","",IF(C695=跟进查询!$B$2,1+A694,A694))</f>
        <v/>
      </c>
      <c r="B695" s="39"/>
      <c r="C695" s="39"/>
      <c r="D695" s="39"/>
      <c r="E695" s="39"/>
      <c r="F695" s="41" t="e">
        <f>VLOOKUP(G695,源数据!A:K,11,FALSE)</f>
        <v>#N/A</v>
      </c>
      <c r="G695" s="42" t="str">
        <f t="shared" si="10"/>
        <v/>
      </c>
    </row>
    <row r="696" ht="15" spans="1:7">
      <c r="A696" s="36" t="str">
        <f>IF(C696="","",IF(C696=跟进查询!$B$2,1+A695,A695))</f>
        <v/>
      </c>
      <c r="B696" s="39"/>
      <c r="C696" s="39"/>
      <c r="D696" s="39"/>
      <c r="E696" s="39"/>
      <c r="F696" s="41" t="e">
        <f>VLOOKUP(G696,源数据!A:K,11,FALSE)</f>
        <v>#N/A</v>
      </c>
      <c r="G696" s="42" t="str">
        <f t="shared" si="10"/>
        <v/>
      </c>
    </row>
    <row r="697" ht="15" spans="1:7">
      <c r="A697" s="36" t="str">
        <f>IF(C697="","",IF(C697=跟进查询!$B$2,1+A696,A696))</f>
        <v/>
      </c>
      <c r="B697" s="39"/>
      <c r="C697" s="39"/>
      <c r="D697" s="39"/>
      <c r="E697" s="39"/>
      <c r="F697" s="41" t="e">
        <f>VLOOKUP(G697,源数据!A:K,11,FALSE)</f>
        <v>#N/A</v>
      </c>
      <c r="G697" s="42" t="str">
        <f t="shared" si="10"/>
        <v/>
      </c>
    </row>
    <row r="698" ht="15" spans="1:7">
      <c r="A698" s="36" t="str">
        <f>IF(C698="","",IF(C698=跟进查询!$B$2,1+A697,A697))</f>
        <v/>
      </c>
      <c r="B698" s="39"/>
      <c r="C698" s="39"/>
      <c r="D698" s="39"/>
      <c r="E698" s="39"/>
      <c r="F698" s="41" t="e">
        <f>VLOOKUP(G698,源数据!A:K,11,FALSE)</f>
        <v>#N/A</v>
      </c>
      <c r="G698" s="42" t="str">
        <f t="shared" si="10"/>
        <v/>
      </c>
    </row>
    <row r="699" ht="15" spans="1:7">
      <c r="A699" s="36" t="str">
        <f>IF(C699="","",IF(C699=跟进查询!$B$2,1+A698,A698))</f>
        <v/>
      </c>
      <c r="B699" s="39"/>
      <c r="C699" s="39"/>
      <c r="D699" s="39"/>
      <c r="E699" s="39"/>
      <c r="F699" s="41" t="e">
        <f>VLOOKUP(G699,源数据!A:K,11,FALSE)</f>
        <v>#N/A</v>
      </c>
      <c r="G699" s="42" t="str">
        <f t="shared" si="10"/>
        <v/>
      </c>
    </row>
    <row r="700" ht="15" spans="1:7">
      <c r="A700" s="36" t="str">
        <f>IF(C700="","",IF(C700=跟进查询!$B$2,1+A699,A699))</f>
        <v/>
      </c>
      <c r="B700" s="39"/>
      <c r="C700" s="39"/>
      <c r="D700" s="39"/>
      <c r="E700" s="39"/>
      <c r="F700" s="41" t="e">
        <f>VLOOKUP(G700,源数据!A:K,11,FALSE)</f>
        <v>#N/A</v>
      </c>
      <c r="G700" s="42" t="str">
        <f t="shared" si="10"/>
        <v/>
      </c>
    </row>
    <row r="701" ht="15" spans="1:7">
      <c r="A701" s="36" t="str">
        <f>IF(C701="","",IF(C701=跟进查询!$B$2,1+A700,A700))</f>
        <v/>
      </c>
      <c r="B701" s="39"/>
      <c r="C701" s="39"/>
      <c r="D701" s="39"/>
      <c r="E701" s="39"/>
      <c r="F701" s="41" t="e">
        <f>VLOOKUP(G701,源数据!A:K,11,FALSE)</f>
        <v>#N/A</v>
      </c>
      <c r="G701" s="42" t="str">
        <f t="shared" si="10"/>
        <v/>
      </c>
    </row>
    <row r="702" ht="15" spans="1:7">
      <c r="A702" s="36" t="str">
        <f>IF(C702="","",IF(C702=跟进查询!$B$2,1+A701,A701))</f>
        <v/>
      </c>
      <c r="B702" s="39"/>
      <c r="C702" s="39"/>
      <c r="D702" s="39"/>
      <c r="E702" s="39"/>
      <c r="F702" s="41" t="e">
        <f>VLOOKUP(G702,源数据!A:K,11,FALSE)</f>
        <v>#N/A</v>
      </c>
      <c r="G702" s="42" t="str">
        <f t="shared" si="10"/>
        <v/>
      </c>
    </row>
    <row r="703" ht="15" spans="1:7">
      <c r="A703" s="36" t="str">
        <f>IF(C703="","",IF(C703=跟进查询!$B$2,1+A702,A702))</f>
        <v/>
      </c>
      <c r="B703" s="39"/>
      <c r="C703" s="39"/>
      <c r="D703" s="39"/>
      <c r="E703" s="39"/>
      <c r="F703" s="41" t="e">
        <f>VLOOKUP(G703,源数据!A:K,11,FALSE)</f>
        <v>#N/A</v>
      </c>
      <c r="G703" s="42" t="str">
        <f t="shared" si="10"/>
        <v/>
      </c>
    </row>
    <row r="704" ht="15" spans="1:7">
      <c r="A704" s="36" t="str">
        <f>IF(C704="","",IF(C704=跟进查询!$B$2,1+A703,A703))</f>
        <v/>
      </c>
      <c r="B704" s="39"/>
      <c r="C704" s="39"/>
      <c r="D704" s="39"/>
      <c r="E704" s="39"/>
      <c r="F704" s="41" t="e">
        <f>VLOOKUP(G704,源数据!A:K,11,FALSE)</f>
        <v>#N/A</v>
      </c>
      <c r="G704" s="42" t="str">
        <f t="shared" si="10"/>
        <v/>
      </c>
    </row>
    <row r="705" ht="15" spans="1:7">
      <c r="A705" s="36" t="str">
        <f>IF(C705="","",IF(C705=跟进查询!$B$2,1+A704,A704))</f>
        <v/>
      </c>
      <c r="B705" s="39"/>
      <c r="C705" s="39"/>
      <c r="D705" s="39"/>
      <c r="E705" s="39"/>
      <c r="F705" s="41" t="e">
        <f>VLOOKUP(G705,源数据!A:K,11,FALSE)</f>
        <v>#N/A</v>
      </c>
      <c r="G705" s="42" t="str">
        <f t="shared" si="10"/>
        <v/>
      </c>
    </row>
    <row r="706" ht="15" spans="1:7">
      <c r="A706" s="36" t="str">
        <f>IF(C706="","",IF(C706=跟进查询!$B$2,1+A705,A705))</f>
        <v/>
      </c>
      <c r="B706" s="39"/>
      <c r="C706" s="39"/>
      <c r="D706" s="39"/>
      <c r="E706" s="39"/>
      <c r="F706" s="41" t="e">
        <f>VLOOKUP(G706,源数据!A:K,11,FALSE)</f>
        <v>#N/A</v>
      </c>
      <c r="G706" s="42" t="str">
        <f t="shared" si="10"/>
        <v/>
      </c>
    </row>
    <row r="707" ht="15" spans="1:7">
      <c r="A707" s="36" t="str">
        <f>IF(C707="","",IF(C707=跟进查询!$B$2,1+A706,A706))</f>
        <v/>
      </c>
      <c r="B707" s="39"/>
      <c r="C707" s="39"/>
      <c r="D707" s="39"/>
      <c r="E707" s="39"/>
      <c r="F707" s="41" t="e">
        <f>VLOOKUP(G707,源数据!A:K,11,FALSE)</f>
        <v>#N/A</v>
      </c>
      <c r="G707" s="42" t="str">
        <f t="shared" si="10"/>
        <v/>
      </c>
    </row>
    <row r="708" ht="15" spans="1:7">
      <c r="A708" s="36" t="str">
        <f>IF(C708="","",IF(C708=跟进查询!$B$2,1+A707,A707))</f>
        <v/>
      </c>
      <c r="B708" s="39"/>
      <c r="C708" s="39"/>
      <c r="D708" s="39"/>
      <c r="E708" s="39"/>
      <c r="F708" s="41" t="e">
        <f>VLOOKUP(G708,源数据!A:K,11,FALSE)</f>
        <v>#N/A</v>
      </c>
      <c r="G708" s="42" t="str">
        <f t="shared" ref="G708:G771" si="11">B708&amp;C708</f>
        <v/>
      </c>
    </row>
    <row r="709" ht="15" spans="1:7">
      <c r="A709" s="36" t="str">
        <f>IF(C709="","",IF(C709=跟进查询!$B$2,1+A708,A708))</f>
        <v/>
      </c>
      <c r="B709" s="39"/>
      <c r="C709" s="39"/>
      <c r="D709" s="39"/>
      <c r="E709" s="39"/>
      <c r="F709" s="41" t="e">
        <f>VLOOKUP(G709,源数据!A:K,11,FALSE)</f>
        <v>#N/A</v>
      </c>
      <c r="G709" s="42" t="str">
        <f t="shared" si="11"/>
        <v/>
      </c>
    </row>
    <row r="710" ht="15" spans="1:7">
      <c r="A710" s="36" t="str">
        <f>IF(C710="","",IF(C710=跟进查询!$B$2,1+A709,A709))</f>
        <v/>
      </c>
      <c r="B710" s="39"/>
      <c r="C710" s="39"/>
      <c r="D710" s="39"/>
      <c r="E710" s="39"/>
      <c r="F710" s="41" t="e">
        <f>VLOOKUP(G710,源数据!A:K,11,FALSE)</f>
        <v>#N/A</v>
      </c>
      <c r="G710" s="42" t="str">
        <f t="shared" si="11"/>
        <v/>
      </c>
    </row>
    <row r="711" ht="15" spans="1:7">
      <c r="A711" s="36" t="str">
        <f>IF(C711="","",IF(C711=跟进查询!$B$2,1+A710,A710))</f>
        <v/>
      </c>
      <c r="B711" s="39"/>
      <c r="C711" s="39"/>
      <c r="D711" s="39"/>
      <c r="E711" s="39"/>
      <c r="F711" s="41" t="e">
        <f>VLOOKUP(G711,源数据!A:K,11,FALSE)</f>
        <v>#N/A</v>
      </c>
      <c r="G711" s="42" t="str">
        <f t="shared" si="11"/>
        <v/>
      </c>
    </row>
    <row r="712" ht="15" spans="1:7">
      <c r="A712" s="36" t="str">
        <f>IF(C712="","",IF(C712=跟进查询!$B$2,1+A711,A711))</f>
        <v/>
      </c>
      <c r="B712" s="39"/>
      <c r="C712" s="39"/>
      <c r="D712" s="39"/>
      <c r="E712" s="39"/>
      <c r="F712" s="41" t="e">
        <f>VLOOKUP(G712,源数据!A:K,11,FALSE)</f>
        <v>#N/A</v>
      </c>
      <c r="G712" s="42" t="str">
        <f t="shared" si="11"/>
        <v/>
      </c>
    </row>
    <row r="713" ht="15" spans="1:7">
      <c r="A713" s="36" t="str">
        <f>IF(C713="","",IF(C713=跟进查询!$B$2,1+A712,A712))</f>
        <v/>
      </c>
      <c r="B713" s="39"/>
      <c r="C713" s="39"/>
      <c r="D713" s="39"/>
      <c r="E713" s="39"/>
      <c r="F713" s="41" t="e">
        <f>VLOOKUP(G713,源数据!A:K,11,FALSE)</f>
        <v>#N/A</v>
      </c>
      <c r="G713" s="42" t="str">
        <f t="shared" si="11"/>
        <v/>
      </c>
    </row>
    <row r="714" ht="15" spans="1:7">
      <c r="A714" s="36" t="str">
        <f>IF(C714="","",IF(C714=跟进查询!$B$2,1+A713,A713))</f>
        <v/>
      </c>
      <c r="B714" s="39"/>
      <c r="C714" s="39"/>
      <c r="D714" s="39"/>
      <c r="E714" s="39"/>
      <c r="F714" s="41" t="e">
        <f>VLOOKUP(G714,源数据!A:K,11,FALSE)</f>
        <v>#N/A</v>
      </c>
      <c r="G714" s="42" t="str">
        <f t="shared" si="11"/>
        <v/>
      </c>
    </row>
    <row r="715" ht="15" spans="1:7">
      <c r="A715" s="36" t="str">
        <f>IF(C715="","",IF(C715=跟进查询!$B$2,1+A714,A714))</f>
        <v/>
      </c>
      <c r="B715" s="39"/>
      <c r="C715" s="39"/>
      <c r="D715" s="39"/>
      <c r="E715" s="39"/>
      <c r="F715" s="41" t="e">
        <f>VLOOKUP(G715,源数据!A:K,11,FALSE)</f>
        <v>#N/A</v>
      </c>
      <c r="G715" s="42" t="str">
        <f t="shared" si="11"/>
        <v/>
      </c>
    </row>
    <row r="716" ht="15" spans="1:7">
      <c r="A716" s="36" t="str">
        <f>IF(C716="","",IF(C716=跟进查询!$B$2,1+A715,A715))</f>
        <v/>
      </c>
      <c r="B716" s="39"/>
      <c r="C716" s="39"/>
      <c r="D716" s="39"/>
      <c r="E716" s="39"/>
      <c r="F716" s="41" t="e">
        <f>VLOOKUP(G716,源数据!A:K,11,FALSE)</f>
        <v>#N/A</v>
      </c>
      <c r="G716" s="42" t="str">
        <f t="shared" si="11"/>
        <v/>
      </c>
    </row>
    <row r="717" ht="15" spans="1:7">
      <c r="A717" s="36" t="str">
        <f>IF(C717="","",IF(C717=跟进查询!$B$2,1+A716,A716))</f>
        <v/>
      </c>
      <c r="B717" s="39"/>
      <c r="C717" s="39"/>
      <c r="D717" s="39"/>
      <c r="E717" s="39"/>
      <c r="F717" s="41" t="e">
        <f>VLOOKUP(G717,源数据!A:K,11,FALSE)</f>
        <v>#N/A</v>
      </c>
      <c r="G717" s="42" t="str">
        <f t="shared" si="11"/>
        <v/>
      </c>
    </row>
    <row r="718" ht="15" spans="1:7">
      <c r="A718" s="36" t="str">
        <f>IF(C718="","",IF(C718=跟进查询!$B$2,1+A717,A717))</f>
        <v/>
      </c>
      <c r="B718" s="39"/>
      <c r="C718" s="39"/>
      <c r="D718" s="39"/>
      <c r="E718" s="39"/>
      <c r="F718" s="41" t="e">
        <f>VLOOKUP(G718,源数据!A:K,11,FALSE)</f>
        <v>#N/A</v>
      </c>
      <c r="G718" s="42" t="str">
        <f t="shared" si="11"/>
        <v/>
      </c>
    </row>
    <row r="719" ht="15" spans="1:7">
      <c r="A719" s="36" t="str">
        <f>IF(C719="","",IF(C719=跟进查询!$B$2,1+A718,A718))</f>
        <v/>
      </c>
      <c r="B719" s="39"/>
      <c r="C719" s="39"/>
      <c r="D719" s="39"/>
      <c r="E719" s="39"/>
      <c r="F719" s="41" t="e">
        <f>VLOOKUP(G719,源数据!A:K,11,FALSE)</f>
        <v>#N/A</v>
      </c>
      <c r="G719" s="42" t="str">
        <f t="shared" si="11"/>
        <v/>
      </c>
    </row>
    <row r="720" ht="15" spans="1:7">
      <c r="A720" s="36" t="str">
        <f>IF(C720="","",IF(C720=跟进查询!$B$2,1+A719,A719))</f>
        <v/>
      </c>
      <c r="B720" s="39"/>
      <c r="C720" s="39"/>
      <c r="D720" s="39"/>
      <c r="E720" s="39"/>
      <c r="F720" s="41" t="e">
        <f>VLOOKUP(G720,源数据!A:K,11,FALSE)</f>
        <v>#N/A</v>
      </c>
      <c r="G720" s="42" t="str">
        <f t="shared" si="11"/>
        <v/>
      </c>
    </row>
    <row r="721" ht="15" spans="1:7">
      <c r="A721" s="36" t="str">
        <f>IF(C721="","",IF(C721=跟进查询!$B$2,1+A720,A720))</f>
        <v/>
      </c>
      <c r="B721" s="39"/>
      <c r="C721" s="39"/>
      <c r="D721" s="39"/>
      <c r="E721" s="39"/>
      <c r="F721" s="41" t="e">
        <f>VLOOKUP(G721,源数据!A:K,11,FALSE)</f>
        <v>#N/A</v>
      </c>
      <c r="G721" s="42" t="str">
        <f t="shared" si="11"/>
        <v/>
      </c>
    </row>
    <row r="722" ht="15" spans="1:7">
      <c r="A722" s="36" t="str">
        <f>IF(C722="","",IF(C722=跟进查询!$B$2,1+A721,A721))</f>
        <v/>
      </c>
      <c r="B722" s="39"/>
      <c r="C722" s="39"/>
      <c r="D722" s="39"/>
      <c r="E722" s="39"/>
      <c r="F722" s="41" t="e">
        <f>VLOOKUP(G722,源数据!A:K,11,FALSE)</f>
        <v>#N/A</v>
      </c>
      <c r="G722" s="42" t="str">
        <f t="shared" si="11"/>
        <v/>
      </c>
    </row>
    <row r="723" ht="15" spans="1:7">
      <c r="A723" s="36" t="str">
        <f>IF(C723="","",IF(C723=跟进查询!$B$2,1+A722,A722))</f>
        <v/>
      </c>
      <c r="B723" s="39"/>
      <c r="C723" s="39"/>
      <c r="D723" s="39"/>
      <c r="E723" s="39"/>
      <c r="F723" s="41" t="e">
        <f>VLOOKUP(G723,源数据!A:K,11,FALSE)</f>
        <v>#N/A</v>
      </c>
      <c r="G723" s="42" t="str">
        <f t="shared" si="11"/>
        <v/>
      </c>
    </row>
    <row r="724" ht="15" spans="1:7">
      <c r="A724" s="36" t="str">
        <f>IF(C724="","",IF(C724=跟进查询!$B$2,1+A723,A723))</f>
        <v/>
      </c>
      <c r="B724" s="39"/>
      <c r="C724" s="39"/>
      <c r="D724" s="39"/>
      <c r="E724" s="39"/>
      <c r="F724" s="41" t="e">
        <f>VLOOKUP(G724,源数据!A:K,11,FALSE)</f>
        <v>#N/A</v>
      </c>
      <c r="G724" s="42" t="str">
        <f t="shared" si="11"/>
        <v/>
      </c>
    </row>
    <row r="725" ht="15" spans="1:7">
      <c r="A725" s="36" t="str">
        <f>IF(C725="","",IF(C725=跟进查询!$B$2,1+A724,A724))</f>
        <v/>
      </c>
      <c r="B725" s="39"/>
      <c r="C725" s="39"/>
      <c r="D725" s="39"/>
      <c r="E725" s="39"/>
      <c r="F725" s="41" t="e">
        <f>VLOOKUP(G725,源数据!A:K,11,FALSE)</f>
        <v>#N/A</v>
      </c>
      <c r="G725" s="42" t="str">
        <f t="shared" si="11"/>
        <v/>
      </c>
    </row>
    <row r="726" ht="15" spans="1:7">
      <c r="A726" s="36" t="str">
        <f>IF(C726="","",IF(C726=跟进查询!$B$2,1+A725,A725))</f>
        <v/>
      </c>
      <c r="B726" s="39"/>
      <c r="C726" s="39"/>
      <c r="D726" s="39"/>
      <c r="E726" s="39"/>
      <c r="F726" s="41" t="e">
        <f>VLOOKUP(G726,源数据!A:K,11,FALSE)</f>
        <v>#N/A</v>
      </c>
      <c r="G726" s="42" t="str">
        <f t="shared" si="11"/>
        <v/>
      </c>
    </row>
    <row r="727" ht="15" spans="1:7">
      <c r="A727" s="36" t="str">
        <f>IF(C727="","",IF(C727=跟进查询!$B$2,1+A726,A726))</f>
        <v/>
      </c>
      <c r="B727" s="39"/>
      <c r="C727" s="39"/>
      <c r="D727" s="39"/>
      <c r="E727" s="39"/>
      <c r="F727" s="41" t="e">
        <f>VLOOKUP(G727,源数据!A:K,11,FALSE)</f>
        <v>#N/A</v>
      </c>
      <c r="G727" s="42" t="str">
        <f t="shared" si="11"/>
        <v/>
      </c>
    </row>
    <row r="728" ht="15" spans="1:7">
      <c r="A728" s="36" t="str">
        <f>IF(C728="","",IF(C728=跟进查询!$B$2,1+A727,A727))</f>
        <v/>
      </c>
      <c r="B728" s="39"/>
      <c r="C728" s="39"/>
      <c r="D728" s="39"/>
      <c r="E728" s="39"/>
      <c r="F728" s="41" t="e">
        <f>VLOOKUP(G728,源数据!A:K,11,FALSE)</f>
        <v>#N/A</v>
      </c>
      <c r="G728" s="42" t="str">
        <f t="shared" si="11"/>
        <v/>
      </c>
    </row>
    <row r="729" ht="15" spans="1:7">
      <c r="A729" s="36" t="str">
        <f>IF(C729="","",IF(C729=跟进查询!$B$2,1+A728,A728))</f>
        <v/>
      </c>
      <c r="B729" s="39"/>
      <c r="C729" s="39"/>
      <c r="D729" s="39"/>
      <c r="E729" s="39"/>
      <c r="F729" s="41" t="e">
        <f>VLOOKUP(G729,源数据!A:K,11,FALSE)</f>
        <v>#N/A</v>
      </c>
      <c r="G729" s="42" t="str">
        <f t="shared" si="11"/>
        <v/>
      </c>
    </row>
    <row r="730" ht="15" spans="1:7">
      <c r="A730" s="36" t="str">
        <f>IF(C730="","",IF(C730=跟进查询!$B$2,1+A729,A729))</f>
        <v/>
      </c>
      <c r="B730" s="39"/>
      <c r="C730" s="39"/>
      <c r="D730" s="39"/>
      <c r="E730" s="39"/>
      <c r="F730" s="41" t="e">
        <f>VLOOKUP(G730,源数据!A:K,11,FALSE)</f>
        <v>#N/A</v>
      </c>
      <c r="G730" s="42" t="str">
        <f t="shared" si="11"/>
        <v/>
      </c>
    </row>
    <row r="731" ht="15" spans="1:7">
      <c r="A731" s="36" t="str">
        <f>IF(C731="","",IF(C731=跟进查询!$B$2,1+A730,A730))</f>
        <v/>
      </c>
      <c r="B731" s="39"/>
      <c r="C731" s="39"/>
      <c r="D731" s="39"/>
      <c r="E731" s="39"/>
      <c r="F731" s="41" t="e">
        <f>VLOOKUP(G731,源数据!A:K,11,FALSE)</f>
        <v>#N/A</v>
      </c>
      <c r="G731" s="42" t="str">
        <f t="shared" si="11"/>
        <v/>
      </c>
    </row>
    <row r="732" ht="15" spans="1:7">
      <c r="A732" s="36" t="str">
        <f>IF(C732="","",IF(C732=跟进查询!$B$2,1+A731,A731))</f>
        <v/>
      </c>
      <c r="B732" s="39"/>
      <c r="C732" s="39"/>
      <c r="D732" s="39"/>
      <c r="E732" s="39"/>
      <c r="F732" s="41" t="e">
        <f>VLOOKUP(G732,源数据!A:K,11,FALSE)</f>
        <v>#N/A</v>
      </c>
      <c r="G732" s="42" t="str">
        <f t="shared" si="11"/>
        <v/>
      </c>
    </row>
    <row r="733" ht="15" spans="1:7">
      <c r="A733" s="36" t="str">
        <f>IF(C733="","",IF(C733=跟进查询!$B$2,1+A732,A732))</f>
        <v/>
      </c>
      <c r="B733" s="39"/>
      <c r="C733" s="39"/>
      <c r="D733" s="39"/>
      <c r="E733" s="39"/>
      <c r="F733" s="41" t="e">
        <f>VLOOKUP(G733,源数据!A:K,11,FALSE)</f>
        <v>#N/A</v>
      </c>
      <c r="G733" s="42" t="str">
        <f t="shared" si="11"/>
        <v/>
      </c>
    </row>
    <row r="734" ht="15" spans="1:7">
      <c r="A734" s="36" t="str">
        <f>IF(C734="","",IF(C734=跟进查询!$B$2,1+A733,A733))</f>
        <v/>
      </c>
      <c r="B734" s="39"/>
      <c r="C734" s="39"/>
      <c r="D734" s="39"/>
      <c r="E734" s="39"/>
      <c r="F734" s="41" t="e">
        <f>VLOOKUP(G734,源数据!A:K,11,FALSE)</f>
        <v>#N/A</v>
      </c>
      <c r="G734" s="42" t="str">
        <f t="shared" si="11"/>
        <v/>
      </c>
    </row>
    <row r="735" ht="15" spans="1:7">
      <c r="A735" s="36" t="str">
        <f>IF(C735="","",IF(C735=跟进查询!$B$2,1+A734,A734))</f>
        <v/>
      </c>
      <c r="B735" s="39"/>
      <c r="C735" s="39"/>
      <c r="D735" s="39"/>
      <c r="E735" s="39"/>
      <c r="F735" s="41" t="e">
        <f>VLOOKUP(G735,源数据!A:K,11,FALSE)</f>
        <v>#N/A</v>
      </c>
      <c r="G735" s="42" t="str">
        <f t="shared" si="11"/>
        <v/>
      </c>
    </row>
    <row r="736" ht="15" spans="1:7">
      <c r="A736" s="36" t="str">
        <f>IF(C736="","",IF(C736=跟进查询!$B$2,1+A735,A735))</f>
        <v/>
      </c>
      <c r="B736" s="39"/>
      <c r="C736" s="39"/>
      <c r="D736" s="39"/>
      <c r="E736" s="39"/>
      <c r="F736" s="41" t="e">
        <f>VLOOKUP(G736,源数据!A:K,11,FALSE)</f>
        <v>#N/A</v>
      </c>
      <c r="G736" s="42" t="str">
        <f t="shared" si="11"/>
        <v/>
      </c>
    </row>
    <row r="737" ht="15" spans="1:7">
      <c r="A737" s="36" t="str">
        <f>IF(C737="","",IF(C737=跟进查询!$B$2,1+A736,A736))</f>
        <v/>
      </c>
      <c r="B737" s="39"/>
      <c r="C737" s="39"/>
      <c r="D737" s="39"/>
      <c r="E737" s="39"/>
      <c r="F737" s="41" t="e">
        <f>VLOOKUP(G737,源数据!A:K,11,FALSE)</f>
        <v>#N/A</v>
      </c>
      <c r="G737" s="42" t="str">
        <f t="shared" si="11"/>
        <v/>
      </c>
    </row>
    <row r="738" ht="15" spans="1:7">
      <c r="A738" s="36" t="str">
        <f>IF(C738="","",IF(C738=跟进查询!$B$2,1+A737,A737))</f>
        <v/>
      </c>
      <c r="B738" s="39"/>
      <c r="C738" s="39"/>
      <c r="D738" s="39"/>
      <c r="E738" s="39"/>
      <c r="F738" s="41" t="e">
        <f>VLOOKUP(G738,源数据!A:K,11,FALSE)</f>
        <v>#N/A</v>
      </c>
      <c r="G738" s="42" t="str">
        <f t="shared" si="11"/>
        <v/>
      </c>
    </row>
    <row r="739" ht="15" spans="1:7">
      <c r="A739" s="36" t="str">
        <f>IF(C739="","",IF(C739=跟进查询!$B$2,1+A738,A738))</f>
        <v/>
      </c>
      <c r="B739" s="39"/>
      <c r="C739" s="39"/>
      <c r="D739" s="39"/>
      <c r="E739" s="39"/>
      <c r="F739" s="41" t="e">
        <f>VLOOKUP(G739,源数据!A:K,11,FALSE)</f>
        <v>#N/A</v>
      </c>
      <c r="G739" s="42" t="str">
        <f t="shared" si="11"/>
        <v/>
      </c>
    </row>
    <row r="740" ht="15" spans="1:7">
      <c r="A740" s="36" t="str">
        <f>IF(C740="","",IF(C740=跟进查询!$B$2,1+A739,A739))</f>
        <v/>
      </c>
      <c r="B740" s="39"/>
      <c r="C740" s="39"/>
      <c r="D740" s="39"/>
      <c r="E740" s="39"/>
      <c r="F740" s="41" t="e">
        <f>VLOOKUP(G740,源数据!A:K,11,FALSE)</f>
        <v>#N/A</v>
      </c>
      <c r="G740" s="42" t="str">
        <f t="shared" si="11"/>
        <v/>
      </c>
    </row>
    <row r="741" ht="15" spans="1:7">
      <c r="A741" s="36" t="str">
        <f>IF(C741="","",IF(C741=跟进查询!$B$2,1+A740,A740))</f>
        <v/>
      </c>
      <c r="B741" s="39"/>
      <c r="C741" s="39"/>
      <c r="D741" s="39"/>
      <c r="E741" s="39"/>
      <c r="F741" s="41" t="e">
        <f>VLOOKUP(G741,源数据!A:K,11,FALSE)</f>
        <v>#N/A</v>
      </c>
      <c r="G741" s="42" t="str">
        <f t="shared" si="11"/>
        <v/>
      </c>
    </row>
    <row r="742" ht="15" spans="1:7">
      <c r="A742" s="36" t="str">
        <f>IF(C742="","",IF(C742=跟进查询!$B$2,1+A741,A741))</f>
        <v/>
      </c>
      <c r="B742" s="39"/>
      <c r="C742" s="39"/>
      <c r="D742" s="39"/>
      <c r="E742" s="39"/>
      <c r="F742" s="41" t="e">
        <f>VLOOKUP(G742,源数据!A:K,11,FALSE)</f>
        <v>#N/A</v>
      </c>
      <c r="G742" s="42" t="str">
        <f t="shared" si="11"/>
        <v/>
      </c>
    </row>
    <row r="743" ht="15" spans="1:7">
      <c r="A743" s="36" t="str">
        <f>IF(C743="","",IF(C743=跟进查询!$B$2,1+A742,A742))</f>
        <v/>
      </c>
      <c r="B743" s="39"/>
      <c r="C743" s="39"/>
      <c r="D743" s="39"/>
      <c r="E743" s="39"/>
      <c r="F743" s="41" t="e">
        <f>VLOOKUP(G743,源数据!A:K,11,FALSE)</f>
        <v>#N/A</v>
      </c>
      <c r="G743" s="42" t="str">
        <f t="shared" si="11"/>
        <v/>
      </c>
    </row>
    <row r="744" ht="15" spans="1:7">
      <c r="A744" s="36" t="str">
        <f>IF(C744="","",IF(C744=跟进查询!$B$2,1+A743,A743))</f>
        <v/>
      </c>
      <c r="B744" s="39"/>
      <c r="C744" s="39"/>
      <c r="D744" s="39"/>
      <c r="E744" s="39"/>
      <c r="F744" s="41" t="e">
        <f>VLOOKUP(G744,源数据!A:K,11,FALSE)</f>
        <v>#N/A</v>
      </c>
      <c r="G744" s="42" t="str">
        <f t="shared" si="11"/>
        <v/>
      </c>
    </row>
    <row r="745" ht="15" spans="1:7">
      <c r="A745" s="36" t="str">
        <f>IF(C745="","",IF(C745=跟进查询!$B$2,1+A744,A744))</f>
        <v/>
      </c>
      <c r="B745" s="39"/>
      <c r="C745" s="39"/>
      <c r="D745" s="39"/>
      <c r="E745" s="39"/>
      <c r="F745" s="41" t="e">
        <f>VLOOKUP(G745,源数据!A:K,11,FALSE)</f>
        <v>#N/A</v>
      </c>
      <c r="G745" s="42" t="str">
        <f t="shared" si="11"/>
        <v/>
      </c>
    </row>
    <row r="746" ht="15" spans="1:7">
      <c r="A746" s="36" t="str">
        <f>IF(C746="","",IF(C746=跟进查询!$B$2,1+A745,A745))</f>
        <v/>
      </c>
      <c r="B746" s="39"/>
      <c r="C746" s="39"/>
      <c r="D746" s="39"/>
      <c r="E746" s="39"/>
      <c r="F746" s="41" t="e">
        <f>VLOOKUP(G746,源数据!A:K,11,FALSE)</f>
        <v>#N/A</v>
      </c>
      <c r="G746" s="42" t="str">
        <f t="shared" si="11"/>
        <v/>
      </c>
    </row>
    <row r="747" ht="15" spans="1:7">
      <c r="A747" s="36" t="str">
        <f>IF(C747="","",IF(C747=跟进查询!$B$2,1+A746,A746))</f>
        <v/>
      </c>
      <c r="B747" s="39"/>
      <c r="C747" s="39"/>
      <c r="D747" s="39"/>
      <c r="E747" s="39"/>
      <c r="F747" s="41" t="e">
        <f>VLOOKUP(G747,源数据!A:K,11,FALSE)</f>
        <v>#N/A</v>
      </c>
      <c r="G747" s="42" t="str">
        <f t="shared" si="11"/>
        <v/>
      </c>
    </row>
    <row r="748" ht="15" spans="1:7">
      <c r="A748" s="36" t="str">
        <f>IF(C748="","",IF(C748=跟进查询!$B$2,1+A747,A747))</f>
        <v/>
      </c>
      <c r="B748" s="39"/>
      <c r="C748" s="39"/>
      <c r="D748" s="39"/>
      <c r="E748" s="39"/>
      <c r="F748" s="41" t="e">
        <f>VLOOKUP(G748,源数据!A:K,11,FALSE)</f>
        <v>#N/A</v>
      </c>
      <c r="G748" s="42" t="str">
        <f t="shared" si="11"/>
        <v/>
      </c>
    </row>
    <row r="749" ht="15" spans="1:7">
      <c r="A749" s="36" t="str">
        <f>IF(C749="","",IF(C749=跟进查询!$B$2,1+A748,A748))</f>
        <v/>
      </c>
      <c r="B749" s="39"/>
      <c r="C749" s="39"/>
      <c r="D749" s="39"/>
      <c r="E749" s="39"/>
      <c r="F749" s="41" t="e">
        <f>VLOOKUP(G749,源数据!A:K,11,FALSE)</f>
        <v>#N/A</v>
      </c>
      <c r="G749" s="42" t="str">
        <f t="shared" si="11"/>
        <v/>
      </c>
    </row>
    <row r="750" ht="15" spans="1:7">
      <c r="A750" s="36" t="str">
        <f>IF(C750="","",IF(C750=跟进查询!$B$2,1+A749,A749))</f>
        <v/>
      </c>
      <c r="B750" s="39"/>
      <c r="C750" s="39"/>
      <c r="D750" s="39"/>
      <c r="E750" s="39"/>
      <c r="F750" s="41" t="e">
        <f>VLOOKUP(G750,源数据!A:K,11,FALSE)</f>
        <v>#N/A</v>
      </c>
      <c r="G750" s="42" t="str">
        <f t="shared" si="11"/>
        <v/>
      </c>
    </row>
    <row r="751" ht="15" spans="1:7">
      <c r="A751" s="36" t="str">
        <f>IF(C751="","",IF(C751=跟进查询!$B$2,1+A750,A750))</f>
        <v/>
      </c>
      <c r="B751" s="39"/>
      <c r="C751" s="39"/>
      <c r="D751" s="39"/>
      <c r="E751" s="39"/>
      <c r="F751" s="41" t="e">
        <f>VLOOKUP(G751,源数据!A:K,11,FALSE)</f>
        <v>#N/A</v>
      </c>
      <c r="G751" s="42" t="str">
        <f t="shared" si="11"/>
        <v/>
      </c>
    </row>
    <row r="752" ht="15" spans="1:7">
      <c r="A752" s="36" t="str">
        <f>IF(C752="","",IF(C752=跟进查询!$B$2,1+A751,A751))</f>
        <v/>
      </c>
      <c r="B752" s="39"/>
      <c r="C752" s="39"/>
      <c r="D752" s="39"/>
      <c r="E752" s="39"/>
      <c r="F752" s="41" t="e">
        <f>VLOOKUP(G752,源数据!A:K,11,FALSE)</f>
        <v>#N/A</v>
      </c>
      <c r="G752" s="42" t="str">
        <f t="shared" si="11"/>
        <v/>
      </c>
    </row>
    <row r="753" ht="15" spans="1:7">
      <c r="A753" s="36" t="str">
        <f>IF(C753="","",IF(C753=跟进查询!$B$2,1+A752,A752))</f>
        <v/>
      </c>
      <c r="B753" s="39"/>
      <c r="C753" s="39"/>
      <c r="D753" s="39"/>
      <c r="E753" s="39"/>
      <c r="F753" s="41" t="e">
        <f>VLOOKUP(G753,源数据!A:K,11,FALSE)</f>
        <v>#N/A</v>
      </c>
      <c r="G753" s="42" t="str">
        <f t="shared" si="11"/>
        <v/>
      </c>
    </row>
    <row r="754" ht="15" spans="1:7">
      <c r="A754" s="36" t="str">
        <f>IF(C754="","",IF(C754=跟进查询!$B$2,1+A753,A753))</f>
        <v/>
      </c>
      <c r="B754" s="39"/>
      <c r="C754" s="39"/>
      <c r="D754" s="39"/>
      <c r="E754" s="39"/>
      <c r="F754" s="41" t="e">
        <f>VLOOKUP(G754,源数据!A:K,11,FALSE)</f>
        <v>#N/A</v>
      </c>
      <c r="G754" s="42" t="str">
        <f t="shared" si="11"/>
        <v/>
      </c>
    </row>
    <row r="755" ht="15" spans="1:7">
      <c r="A755" s="36" t="str">
        <f>IF(C755="","",IF(C755=跟进查询!$B$2,1+A754,A754))</f>
        <v/>
      </c>
      <c r="B755" s="39"/>
      <c r="C755" s="39"/>
      <c r="D755" s="39"/>
      <c r="E755" s="39"/>
      <c r="F755" s="41" t="e">
        <f>VLOOKUP(G755,源数据!A:K,11,FALSE)</f>
        <v>#N/A</v>
      </c>
      <c r="G755" s="42" t="str">
        <f t="shared" si="11"/>
        <v/>
      </c>
    </row>
    <row r="756" ht="15" spans="1:7">
      <c r="A756" s="36" t="str">
        <f>IF(C756="","",IF(C756=跟进查询!$B$2,1+A755,A755))</f>
        <v/>
      </c>
      <c r="B756" s="39"/>
      <c r="C756" s="39"/>
      <c r="D756" s="39"/>
      <c r="E756" s="39"/>
      <c r="F756" s="41" t="e">
        <f>VLOOKUP(G756,源数据!A:K,11,FALSE)</f>
        <v>#N/A</v>
      </c>
      <c r="G756" s="42" t="str">
        <f t="shared" si="11"/>
        <v/>
      </c>
    </row>
    <row r="757" ht="15" spans="1:7">
      <c r="A757" s="36" t="str">
        <f>IF(C757="","",IF(C757=跟进查询!$B$2,1+A756,A756))</f>
        <v/>
      </c>
      <c r="B757" s="39"/>
      <c r="C757" s="39"/>
      <c r="D757" s="39"/>
      <c r="E757" s="39"/>
      <c r="F757" s="41" t="e">
        <f>VLOOKUP(G757,源数据!A:K,11,FALSE)</f>
        <v>#N/A</v>
      </c>
      <c r="G757" s="42" t="str">
        <f t="shared" si="11"/>
        <v/>
      </c>
    </row>
    <row r="758" ht="15" spans="1:7">
      <c r="A758" s="36" t="str">
        <f>IF(C758="","",IF(C758=跟进查询!$B$2,1+A757,A757))</f>
        <v/>
      </c>
      <c r="B758" s="39"/>
      <c r="C758" s="39"/>
      <c r="D758" s="39"/>
      <c r="E758" s="39"/>
      <c r="F758" s="41" t="e">
        <f>VLOOKUP(G758,源数据!A:K,11,FALSE)</f>
        <v>#N/A</v>
      </c>
      <c r="G758" s="42" t="str">
        <f t="shared" si="11"/>
        <v/>
      </c>
    </row>
    <row r="759" ht="15" spans="1:7">
      <c r="A759" s="36" t="str">
        <f>IF(C759="","",IF(C759=跟进查询!$B$2,1+A758,A758))</f>
        <v/>
      </c>
      <c r="B759" s="39"/>
      <c r="C759" s="39"/>
      <c r="D759" s="39"/>
      <c r="E759" s="39"/>
      <c r="F759" s="41" t="e">
        <f>VLOOKUP(G759,源数据!A:K,11,FALSE)</f>
        <v>#N/A</v>
      </c>
      <c r="G759" s="42" t="str">
        <f t="shared" si="11"/>
        <v/>
      </c>
    </row>
    <row r="760" ht="15" spans="1:7">
      <c r="A760" s="36" t="str">
        <f>IF(C760="","",IF(C760=跟进查询!$B$2,1+A759,A759))</f>
        <v/>
      </c>
      <c r="B760" s="39"/>
      <c r="C760" s="39"/>
      <c r="D760" s="39"/>
      <c r="E760" s="39"/>
      <c r="F760" s="41" t="e">
        <f>VLOOKUP(G760,源数据!A:K,11,FALSE)</f>
        <v>#N/A</v>
      </c>
      <c r="G760" s="42" t="str">
        <f t="shared" si="11"/>
        <v/>
      </c>
    </row>
    <row r="761" ht="15" spans="1:7">
      <c r="A761" s="36" t="str">
        <f>IF(C761="","",IF(C761=跟进查询!$B$2,1+A760,A760))</f>
        <v/>
      </c>
      <c r="B761" s="39"/>
      <c r="C761" s="39"/>
      <c r="D761" s="39"/>
      <c r="E761" s="39"/>
      <c r="F761" s="41" t="e">
        <f>VLOOKUP(G761,源数据!A:K,11,FALSE)</f>
        <v>#N/A</v>
      </c>
      <c r="G761" s="42" t="str">
        <f t="shared" si="11"/>
        <v/>
      </c>
    </row>
    <row r="762" ht="15" spans="1:7">
      <c r="A762" s="36" t="str">
        <f>IF(C762="","",IF(C762=跟进查询!$B$2,1+A761,A761))</f>
        <v/>
      </c>
      <c r="B762" s="39"/>
      <c r="C762" s="39"/>
      <c r="D762" s="39"/>
      <c r="E762" s="39"/>
      <c r="F762" s="41" t="e">
        <f>VLOOKUP(G762,源数据!A:K,11,FALSE)</f>
        <v>#N/A</v>
      </c>
      <c r="G762" s="42" t="str">
        <f t="shared" si="11"/>
        <v/>
      </c>
    </row>
    <row r="763" ht="15" spans="1:7">
      <c r="A763" s="36" t="str">
        <f>IF(C763="","",IF(C763=跟进查询!$B$2,1+A762,A762))</f>
        <v/>
      </c>
      <c r="B763" s="39"/>
      <c r="C763" s="39"/>
      <c r="D763" s="39"/>
      <c r="E763" s="39"/>
      <c r="F763" s="41" t="e">
        <f>VLOOKUP(G763,源数据!A:K,11,FALSE)</f>
        <v>#N/A</v>
      </c>
      <c r="G763" s="42" t="str">
        <f t="shared" si="11"/>
        <v/>
      </c>
    </row>
    <row r="764" ht="15" spans="1:7">
      <c r="A764" s="36" t="str">
        <f>IF(C764="","",IF(C764=跟进查询!$B$2,1+A763,A763))</f>
        <v/>
      </c>
      <c r="B764" s="39"/>
      <c r="C764" s="39"/>
      <c r="D764" s="39"/>
      <c r="E764" s="39"/>
      <c r="F764" s="41" t="e">
        <f>VLOOKUP(G764,源数据!A:K,11,FALSE)</f>
        <v>#N/A</v>
      </c>
      <c r="G764" s="42" t="str">
        <f t="shared" si="11"/>
        <v/>
      </c>
    </row>
    <row r="765" ht="15" spans="1:7">
      <c r="A765" s="36" t="str">
        <f>IF(C765="","",IF(C765=跟进查询!$B$2,1+A764,A764))</f>
        <v/>
      </c>
      <c r="B765" s="39"/>
      <c r="C765" s="39"/>
      <c r="D765" s="39"/>
      <c r="E765" s="39"/>
      <c r="F765" s="41" t="e">
        <f>VLOOKUP(G765,源数据!A:K,11,FALSE)</f>
        <v>#N/A</v>
      </c>
      <c r="G765" s="42" t="str">
        <f t="shared" si="11"/>
        <v/>
      </c>
    </row>
    <row r="766" ht="15" spans="1:7">
      <c r="A766" s="36" t="str">
        <f>IF(C766="","",IF(C766=跟进查询!$B$2,1+A765,A765))</f>
        <v/>
      </c>
      <c r="B766" s="39"/>
      <c r="C766" s="39"/>
      <c r="D766" s="39"/>
      <c r="E766" s="39"/>
      <c r="F766" s="41" t="e">
        <f>VLOOKUP(G766,源数据!A:K,11,FALSE)</f>
        <v>#N/A</v>
      </c>
      <c r="G766" s="42" t="str">
        <f t="shared" si="11"/>
        <v/>
      </c>
    </row>
    <row r="767" ht="15" spans="1:7">
      <c r="A767" s="36" t="str">
        <f>IF(C767="","",IF(C767=跟进查询!$B$2,1+A766,A766))</f>
        <v/>
      </c>
      <c r="B767" s="39"/>
      <c r="C767" s="39"/>
      <c r="D767" s="39"/>
      <c r="E767" s="39"/>
      <c r="F767" s="41" t="e">
        <f>VLOOKUP(G767,源数据!A:K,11,FALSE)</f>
        <v>#N/A</v>
      </c>
      <c r="G767" s="42" t="str">
        <f t="shared" si="11"/>
        <v/>
      </c>
    </row>
    <row r="768" ht="15" spans="1:7">
      <c r="A768" s="36" t="str">
        <f>IF(C768="","",IF(C768=跟进查询!$B$2,1+A767,A767))</f>
        <v/>
      </c>
      <c r="B768" s="39"/>
      <c r="C768" s="39"/>
      <c r="D768" s="39"/>
      <c r="E768" s="39"/>
      <c r="F768" s="41" t="e">
        <f>VLOOKUP(G768,源数据!A:K,11,FALSE)</f>
        <v>#N/A</v>
      </c>
      <c r="G768" s="42" t="str">
        <f t="shared" si="11"/>
        <v/>
      </c>
    </row>
    <row r="769" ht="15" spans="1:7">
      <c r="A769" s="36" t="str">
        <f>IF(C769="","",IF(C769=跟进查询!$B$2,1+A768,A768))</f>
        <v/>
      </c>
      <c r="B769" s="39"/>
      <c r="C769" s="39"/>
      <c r="D769" s="39"/>
      <c r="E769" s="39"/>
      <c r="F769" s="41" t="e">
        <f>VLOOKUP(G769,源数据!A:K,11,FALSE)</f>
        <v>#N/A</v>
      </c>
      <c r="G769" s="42" t="str">
        <f t="shared" si="11"/>
        <v/>
      </c>
    </row>
    <row r="770" ht="15" spans="1:7">
      <c r="A770" s="36" t="str">
        <f>IF(C770="","",IF(C770=跟进查询!$B$2,1+A769,A769))</f>
        <v/>
      </c>
      <c r="B770" s="39"/>
      <c r="C770" s="39"/>
      <c r="D770" s="39"/>
      <c r="E770" s="39"/>
      <c r="F770" s="41" t="e">
        <f>VLOOKUP(G770,源数据!A:K,11,FALSE)</f>
        <v>#N/A</v>
      </c>
      <c r="G770" s="42" t="str">
        <f t="shared" si="11"/>
        <v/>
      </c>
    </row>
    <row r="771" ht="15" spans="1:7">
      <c r="A771" s="36" t="str">
        <f>IF(C771="","",IF(C771=跟进查询!$B$2,1+A770,A770))</f>
        <v/>
      </c>
      <c r="B771" s="39"/>
      <c r="C771" s="39"/>
      <c r="D771" s="39"/>
      <c r="E771" s="39"/>
      <c r="F771" s="41" t="e">
        <f>VLOOKUP(G771,源数据!A:K,11,FALSE)</f>
        <v>#N/A</v>
      </c>
      <c r="G771" s="42" t="str">
        <f t="shared" si="11"/>
        <v/>
      </c>
    </row>
    <row r="772" ht="15" spans="1:7">
      <c r="A772" s="36" t="str">
        <f>IF(C772="","",IF(C772=跟进查询!$B$2,1+A771,A771))</f>
        <v/>
      </c>
      <c r="B772" s="39"/>
      <c r="C772" s="39"/>
      <c r="D772" s="39"/>
      <c r="E772" s="39"/>
      <c r="F772" s="41" t="e">
        <f>VLOOKUP(G772,源数据!A:K,11,FALSE)</f>
        <v>#N/A</v>
      </c>
      <c r="G772" s="42" t="str">
        <f t="shared" ref="G772:G835" si="12">B772&amp;C772</f>
        <v/>
      </c>
    </row>
    <row r="773" ht="15" spans="1:7">
      <c r="A773" s="36" t="str">
        <f>IF(C773="","",IF(C773=跟进查询!$B$2,1+A772,A772))</f>
        <v/>
      </c>
      <c r="B773" s="39"/>
      <c r="C773" s="39"/>
      <c r="D773" s="39"/>
      <c r="E773" s="39"/>
      <c r="F773" s="41" t="e">
        <f>VLOOKUP(G773,源数据!A:K,11,FALSE)</f>
        <v>#N/A</v>
      </c>
      <c r="G773" s="42" t="str">
        <f t="shared" si="12"/>
        <v/>
      </c>
    </row>
    <row r="774" ht="15" spans="1:7">
      <c r="A774" s="36" t="str">
        <f>IF(C774="","",IF(C774=跟进查询!$B$2,1+A773,A773))</f>
        <v/>
      </c>
      <c r="B774" s="39"/>
      <c r="C774" s="39"/>
      <c r="D774" s="39"/>
      <c r="E774" s="39"/>
      <c r="F774" s="41" t="e">
        <f>VLOOKUP(G774,源数据!A:K,11,FALSE)</f>
        <v>#N/A</v>
      </c>
      <c r="G774" s="42" t="str">
        <f t="shared" si="12"/>
        <v/>
      </c>
    </row>
    <row r="775" ht="15" spans="1:7">
      <c r="A775" s="36" t="str">
        <f>IF(C775="","",IF(C775=跟进查询!$B$2,1+A774,A774))</f>
        <v/>
      </c>
      <c r="B775" s="39"/>
      <c r="C775" s="39"/>
      <c r="D775" s="39"/>
      <c r="E775" s="39"/>
      <c r="F775" s="41" t="e">
        <f>VLOOKUP(G775,源数据!A:K,11,FALSE)</f>
        <v>#N/A</v>
      </c>
      <c r="G775" s="42" t="str">
        <f t="shared" si="12"/>
        <v/>
      </c>
    </row>
    <row r="776" ht="15" spans="1:7">
      <c r="A776" s="36" t="str">
        <f>IF(C776="","",IF(C776=跟进查询!$B$2,1+A775,A775))</f>
        <v/>
      </c>
      <c r="B776" s="39"/>
      <c r="C776" s="39"/>
      <c r="D776" s="39"/>
      <c r="E776" s="39"/>
      <c r="F776" s="41" t="e">
        <f>VLOOKUP(G776,源数据!A:K,11,FALSE)</f>
        <v>#N/A</v>
      </c>
      <c r="G776" s="42" t="str">
        <f t="shared" si="12"/>
        <v/>
      </c>
    </row>
    <row r="777" ht="15" spans="1:7">
      <c r="A777" s="36" t="str">
        <f>IF(C777="","",IF(C777=跟进查询!$B$2,1+A776,A776))</f>
        <v/>
      </c>
      <c r="B777" s="39"/>
      <c r="C777" s="39"/>
      <c r="D777" s="39"/>
      <c r="E777" s="39"/>
      <c r="F777" s="41" t="e">
        <f>VLOOKUP(G777,源数据!A:K,11,FALSE)</f>
        <v>#N/A</v>
      </c>
      <c r="G777" s="42" t="str">
        <f t="shared" si="12"/>
        <v/>
      </c>
    </row>
    <row r="778" ht="15" spans="1:7">
      <c r="A778" s="36" t="str">
        <f>IF(C778="","",IF(C778=跟进查询!$B$2,1+A777,A777))</f>
        <v/>
      </c>
      <c r="B778" s="39"/>
      <c r="C778" s="39"/>
      <c r="D778" s="39"/>
      <c r="E778" s="39"/>
      <c r="F778" s="41" t="e">
        <f>VLOOKUP(G778,源数据!A:K,11,FALSE)</f>
        <v>#N/A</v>
      </c>
      <c r="G778" s="42" t="str">
        <f t="shared" si="12"/>
        <v/>
      </c>
    </row>
    <row r="779" ht="15" spans="1:7">
      <c r="A779" s="36" t="str">
        <f>IF(C779="","",IF(C779=跟进查询!$B$2,1+A778,A778))</f>
        <v/>
      </c>
      <c r="B779" s="39"/>
      <c r="C779" s="39"/>
      <c r="D779" s="39"/>
      <c r="E779" s="39"/>
      <c r="F779" s="41" t="e">
        <f>VLOOKUP(G779,源数据!A:K,11,FALSE)</f>
        <v>#N/A</v>
      </c>
      <c r="G779" s="42" t="str">
        <f t="shared" si="12"/>
        <v/>
      </c>
    </row>
    <row r="780" ht="15" spans="1:7">
      <c r="A780" s="36" t="str">
        <f>IF(C780="","",IF(C780=跟进查询!$B$2,1+A779,A779))</f>
        <v/>
      </c>
      <c r="B780" s="39"/>
      <c r="C780" s="39"/>
      <c r="D780" s="39"/>
      <c r="E780" s="39"/>
      <c r="F780" s="41" t="e">
        <f>VLOOKUP(G780,源数据!A:K,11,FALSE)</f>
        <v>#N/A</v>
      </c>
      <c r="G780" s="42" t="str">
        <f t="shared" si="12"/>
        <v/>
      </c>
    </row>
    <row r="781" ht="15" spans="1:7">
      <c r="A781" s="36" t="str">
        <f>IF(C781="","",IF(C781=跟进查询!$B$2,1+A780,A780))</f>
        <v/>
      </c>
      <c r="B781" s="39"/>
      <c r="C781" s="39"/>
      <c r="D781" s="39"/>
      <c r="E781" s="39"/>
      <c r="F781" s="41" t="e">
        <f>VLOOKUP(G781,源数据!A:K,11,FALSE)</f>
        <v>#N/A</v>
      </c>
      <c r="G781" s="42" t="str">
        <f t="shared" si="12"/>
        <v/>
      </c>
    </row>
    <row r="782" ht="15" spans="1:7">
      <c r="A782" s="36" t="str">
        <f>IF(C782="","",IF(C782=跟进查询!$B$2,1+A781,A781))</f>
        <v/>
      </c>
      <c r="B782" s="39"/>
      <c r="C782" s="39"/>
      <c r="D782" s="39"/>
      <c r="E782" s="39"/>
      <c r="F782" s="41" t="e">
        <f>VLOOKUP(G782,源数据!A:K,11,FALSE)</f>
        <v>#N/A</v>
      </c>
      <c r="G782" s="42" t="str">
        <f t="shared" si="12"/>
        <v/>
      </c>
    </row>
    <row r="783" ht="15" spans="1:7">
      <c r="A783" s="36" t="str">
        <f>IF(C783="","",IF(C783=跟进查询!$B$2,1+A782,A782))</f>
        <v/>
      </c>
      <c r="B783" s="39"/>
      <c r="C783" s="39"/>
      <c r="D783" s="39"/>
      <c r="E783" s="39"/>
      <c r="F783" s="41" t="e">
        <f>VLOOKUP(G783,源数据!A:K,11,FALSE)</f>
        <v>#N/A</v>
      </c>
      <c r="G783" s="42" t="str">
        <f t="shared" si="12"/>
        <v/>
      </c>
    </row>
    <row r="784" ht="15" spans="1:7">
      <c r="A784" s="36" t="str">
        <f>IF(C784="","",IF(C784=跟进查询!$B$2,1+A783,A783))</f>
        <v/>
      </c>
      <c r="B784" s="39"/>
      <c r="C784" s="39"/>
      <c r="D784" s="39"/>
      <c r="E784" s="39"/>
      <c r="F784" s="41" t="e">
        <f>VLOOKUP(G784,源数据!A:K,11,FALSE)</f>
        <v>#N/A</v>
      </c>
      <c r="G784" s="42" t="str">
        <f t="shared" si="12"/>
        <v/>
      </c>
    </row>
    <row r="785" ht="15" spans="1:7">
      <c r="A785" s="36" t="str">
        <f>IF(C785="","",IF(C785=跟进查询!$B$2,1+A784,A784))</f>
        <v/>
      </c>
      <c r="B785" s="39"/>
      <c r="C785" s="39"/>
      <c r="D785" s="39"/>
      <c r="E785" s="39"/>
      <c r="F785" s="41" t="e">
        <f>VLOOKUP(G785,源数据!A:K,11,FALSE)</f>
        <v>#N/A</v>
      </c>
      <c r="G785" s="42" t="str">
        <f t="shared" si="12"/>
        <v/>
      </c>
    </row>
    <row r="786" ht="15" spans="1:7">
      <c r="A786" s="36" t="str">
        <f>IF(C786="","",IF(C786=跟进查询!$B$2,1+A785,A785))</f>
        <v/>
      </c>
      <c r="B786" s="39"/>
      <c r="C786" s="39"/>
      <c r="D786" s="39"/>
      <c r="E786" s="39"/>
      <c r="F786" s="41" t="e">
        <f>VLOOKUP(G786,源数据!A:K,11,FALSE)</f>
        <v>#N/A</v>
      </c>
      <c r="G786" s="42" t="str">
        <f t="shared" si="12"/>
        <v/>
      </c>
    </row>
    <row r="787" ht="15" spans="1:7">
      <c r="A787" s="36" t="str">
        <f>IF(C787="","",IF(C787=跟进查询!$B$2,1+A786,A786))</f>
        <v/>
      </c>
      <c r="B787" s="39"/>
      <c r="C787" s="39"/>
      <c r="D787" s="39"/>
      <c r="E787" s="39"/>
      <c r="F787" s="41" t="e">
        <f>VLOOKUP(G787,源数据!A:K,11,FALSE)</f>
        <v>#N/A</v>
      </c>
      <c r="G787" s="42" t="str">
        <f t="shared" si="12"/>
        <v/>
      </c>
    </row>
    <row r="788" ht="15" spans="1:7">
      <c r="A788" s="36" t="str">
        <f>IF(C788="","",IF(C788=跟进查询!$B$2,1+A787,A787))</f>
        <v/>
      </c>
      <c r="B788" s="39"/>
      <c r="C788" s="39"/>
      <c r="D788" s="39"/>
      <c r="E788" s="39"/>
      <c r="F788" s="41" t="e">
        <f>VLOOKUP(G788,源数据!A:K,11,FALSE)</f>
        <v>#N/A</v>
      </c>
      <c r="G788" s="42" t="str">
        <f t="shared" si="12"/>
        <v/>
      </c>
    </row>
    <row r="789" ht="15" spans="1:7">
      <c r="A789" s="36" t="str">
        <f>IF(C789="","",IF(C789=跟进查询!$B$2,1+A788,A788))</f>
        <v/>
      </c>
      <c r="B789" s="39"/>
      <c r="C789" s="39"/>
      <c r="D789" s="39"/>
      <c r="E789" s="39"/>
      <c r="F789" s="41" t="e">
        <f>VLOOKUP(G789,源数据!A:K,11,FALSE)</f>
        <v>#N/A</v>
      </c>
      <c r="G789" s="42" t="str">
        <f t="shared" si="12"/>
        <v/>
      </c>
    </row>
    <row r="790" ht="15" spans="1:7">
      <c r="A790" s="36" t="str">
        <f>IF(C790="","",IF(C790=跟进查询!$B$2,1+A789,A789))</f>
        <v/>
      </c>
      <c r="B790" s="39"/>
      <c r="C790" s="39"/>
      <c r="D790" s="39"/>
      <c r="E790" s="39"/>
      <c r="F790" s="41" t="e">
        <f>VLOOKUP(G790,源数据!A:K,11,FALSE)</f>
        <v>#N/A</v>
      </c>
      <c r="G790" s="42" t="str">
        <f t="shared" si="12"/>
        <v/>
      </c>
    </row>
    <row r="791" ht="15" spans="1:7">
      <c r="A791" s="36" t="str">
        <f>IF(C791="","",IF(C791=跟进查询!$B$2,1+A790,A790))</f>
        <v/>
      </c>
      <c r="B791" s="39"/>
      <c r="C791" s="39"/>
      <c r="D791" s="39"/>
      <c r="E791" s="39"/>
      <c r="F791" s="41" t="e">
        <f>VLOOKUP(G791,源数据!A:K,11,FALSE)</f>
        <v>#N/A</v>
      </c>
      <c r="G791" s="42" t="str">
        <f t="shared" si="12"/>
        <v/>
      </c>
    </row>
    <row r="792" ht="15" spans="1:7">
      <c r="A792" s="36" t="str">
        <f>IF(C792="","",IF(C792=跟进查询!$B$2,1+A791,A791))</f>
        <v/>
      </c>
      <c r="B792" s="39"/>
      <c r="C792" s="39"/>
      <c r="D792" s="39"/>
      <c r="E792" s="39"/>
      <c r="F792" s="41" t="e">
        <f>VLOOKUP(G792,源数据!A:K,11,FALSE)</f>
        <v>#N/A</v>
      </c>
      <c r="G792" s="42" t="str">
        <f t="shared" si="12"/>
        <v/>
      </c>
    </row>
    <row r="793" ht="15" spans="1:7">
      <c r="A793" s="36" t="str">
        <f>IF(C793="","",IF(C793=跟进查询!$B$2,1+A792,A792))</f>
        <v/>
      </c>
      <c r="B793" s="39"/>
      <c r="C793" s="39"/>
      <c r="D793" s="39"/>
      <c r="E793" s="39"/>
      <c r="F793" s="41" t="e">
        <f>VLOOKUP(G793,源数据!A:K,11,FALSE)</f>
        <v>#N/A</v>
      </c>
      <c r="G793" s="42" t="str">
        <f t="shared" si="12"/>
        <v/>
      </c>
    </row>
    <row r="794" ht="15" spans="1:7">
      <c r="A794" s="36" t="str">
        <f>IF(C794="","",IF(C794=跟进查询!$B$2,1+A793,A793))</f>
        <v/>
      </c>
      <c r="B794" s="39"/>
      <c r="C794" s="39"/>
      <c r="D794" s="39"/>
      <c r="E794" s="39"/>
      <c r="F794" s="41" t="e">
        <f>VLOOKUP(G794,源数据!A:K,11,FALSE)</f>
        <v>#N/A</v>
      </c>
      <c r="G794" s="42" t="str">
        <f t="shared" si="12"/>
        <v/>
      </c>
    </row>
    <row r="795" ht="15" spans="1:7">
      <c r="A795" s="36" t="str">
        <f>IF(C795="","",IF(C795=跟进查询!$B$2,1+A794,A794))</f>
        <v/>
      </c>
      <c r="B795" s="39"/>
      <c r="C795" s="39"/>
      <c r="D795" s="39"/>
      <c r="E795" s="39"/>
      <c r="F795" s="41" t="e">
        <f>VLOOKUP(G795,源数据!A:K,11,FALSE)</f>
        <v>#N/A</v>
      </c>
      <c r="G795" s="42" t="str">
        <f t="shared" si="12"/>
        <v/>
      </c>
    </row>
    <row r="796" ht="15" spans="1:7">
      <c r="A796" s="36" t="str">
        <f>IF(C796="","",IF(C796=跟进查询!$B$2,1+A795,A795))</f>
        <v/>
      </c>
      <c r="B796" s="39"/>
      <c r="C796" s="39"/>
      <c r="D796" s="39"/>
      <c r="E796" s="39"/>
      <c r="F796" s="41" t="e">
        <f>VLOOKUP(G796,源数据!A:K,11,FALSE)</f>
        <v>#N/A</v>
      </c>
      <c r="G796" s="42" t="str">
        <f t="shared" si="12"/>
        <v/>
      </c>
    </row>
    <row r="797" ht="15" spans="1:7">
      <c r="A797" s="36" t="str">
        <f>IF(C797="","",IF(C797=跟进查询!$B$2,1+A796,A796))</f>
        <v/>
      </c>
      <c r="B797" s="39"/>
      <c r="C797" s="39"/>
      <c r="D797" s="39"/>
      <c r="E797" s="39"/>
      <c r="F797" s="41" t="e">
        <f>VLOOKUP(G797,源数据!A:K,11,FALSE)</f>
        <v>#N/A</v>
      </c>
      <c r="G797" s="42" t="str">
        <f t="shared" si="12"/>
        <v/>
      </c>
    </row>
    <row r="798" ht="15" spans="1:7">
      <c r="A798" s="36" t="str">
        <f>IF(C798="","",IF(C798=跟进查询!$B$2,1+A797,A797))</f>
        <v/>
      </c>
      <c r="B798" s="39"/>
      <c r="C798" s="39"/>
      <c r="D798" s="39"/>
      <c r="E798" s="39"/>
      <c r="F798" s="41" t="e">
        <f>VLOOKUP(G798,源数据!A:K,11,FALSE)</f>
        <v>#N/A</v>
      </c>
      <c r="G798" s="42" t="str">
        <f t="shared" si="12"/>
        <v/>
      </c>
    </row>
    <row r="799" ht="15" spans="1:7">
      <c r="A799" s="36" t="str">
        <f>IF(C799="","",IF(C799=跟进查询!$B$2,1+A798,A798))</f>
        <v/>
      </c>
      <c r="B799" s="39"/>
      <c r="C799" s="39"/>
      <c r="D799" s="39"/>
      <c r="E799" s="39"/>
      <c r="F799" s="41" t="e">
        <f>VLOOKUP(G799,源数据!A:K,11,FALSE)</f>
        <v>#N/A</v>
      </c>
      <c r="G799" s="42" t="str">
        <f t="shared" si="12"/>
        <v/>
      </c>
    </row>
    <row r="800" ht="15" spans="1:7">
      <c r="A800" s="36" t="str">
        <f>IF(C800="","",IF(C800=跟进查询!$B$2,1+A799,A799))</f>
        <v/>
      </c>
      <c r="B800" s="39"/>
      <c r="C800" s="39"/>
      <c r="D800" s="39"/>
      <c r="E800" s="39"/>
      <c r="F800" s="41" t="e">
        <f>VLOOKUP(G800,源数据!A:K,11,FALSE)</f>
        <v>#N/A</v>
      </c>
      <c r="G800" s="42" t="str">
        <f t="shared" si="12"/>
        <v/>
      </c>
    </row>
    <row r="801" ht="15" spans="1:7">
      <c r="A801" s="36" t="str">
        <f>IF(C801="","",IF(C801=跟进查询!$B$2,1+A800,A800))</f>
        <v/>
      </c>
      <c r="B801" s="39"/>
      <c r="C801" s="39"/>
      <c r="D801" s="39"/>
      <c r="E801" s="39"/>
      <c r="F801" s="41" t="e">
        <f>VLOOKUP(G801,源数据!A:K,11,FALSE)</f>
        <v>#N/A</v>
      </c>
      <c r="G801" s="42" t="str">
        <f t="shared" si="12"/>
        <v/>
      </c>
    </row>
    <row r="802" ht="15" spans="1:7">
      <c r="A802" s="36" t="str">
        <f>IF(C802="","",IF(C802=跟进查询!$B$2,1+A801,A801))</f>
        <v/>
      </c>
      <c r="B802" s="39"/>
      <c r="C802" s="39"/>
      <c r="D802" s="39"/>
      <c r="E802" s="39"/>
      <c r="F802" s="41" t="e">
        <f>VLOOKUP(G802,源数据!A:K,11,FALSE)</f>
        <v>#N/A</v>
      </c>
      <c r="G802" s="42" t="str">
        <f t="shared" si="12"/>
        <v/>
      </c>
    </row>
    <row r="803" ht="15" spans="1:7">
      <c r="A803" s="36" t="str">
        <f>IF(C803="","",IF(C803=跟进查询!$B$2,1+A802,A802))</f>
        <v/>
      </c>
      <c r="B803" s="39"/>
      <c r="C803" s="39"/>
      <c r="D803" s="39"/>
      <c r="E803" s="39"/>
      <c r="F803" s="41" t="e">
        <f>VLOOKUP(G803,源数据!A:K,11,FALSE)</f>
        <v>#N/A</v>
      </c>
      <c r="G803" s="42" t="str">
        <f t="shared" si="12"/>
        <v/>
      </c>
    </row>
    <row r="804" ht="15" spans="1:7">
      <c r="A804" s="36" t="str">
        <f>IF(C804="","",IF(C804=跟进查询!$B$2,1+A803,A803))</f>
        <v/>
      </c>
      <c r="B804" s="39"/>
      <c r="C804" s="39"/>
      <c r="D804" s="39"/>
      <c r="E804" s="39"/>
      <c r="F804" s="41" t="e">
        <f>VLOOKUP(G804,源数据!A:K,11,FALSE)</f>
        <v>#N/A</v>
      </c>
      <c r="G804" s="42" t="str">
        <f t="shared" si="12"/>
        <v/>
      </c>
    </row>
    <row r="805" ht="15" spans="1:7">
      <c r="A805" s="36" t="str">
        <f>IF(C805="","",IF(C805=跟进查询!$B$2,1+A804,A804))</f>
        <v/>
      </c>
      <c r="B805" s="39"/>
      <c r="C805" s="39"/>
      <c r="D805" s="39"/>
      <c r="E805" s="39"/>
      <c r="F805" s="41" t="e">
        <f>VLOOKUP(G805,源数据!A:K,11,FALSE)</f>
        <v>#N/A</v>
      </c>
      <c r="G805" s="42" t="str">
        <f t="shared" si="12"/>
        <v/>
      </c>
    </row>
    <row r="806" ht="15" spans="1:7">
      <c r="A806" s="36" t="str">
        <f>IF(C806="","",IF(C806=跟进查询!$B$2,1+A805,A805))</f>
        <v/>
      </c>
      <c r="B806" s="39"/>
      <c r="C806" s="39"/>
      <c r="D806" s="39"/>
      <c r="E806" s="39"/>
      <c r="F806" s="41" t="e">
        <f>VLOOKUP(G806,源数据!A:K,11,FALSE)</f>
        <v>#N/A</v>
      </c>
      <c r="G806" s="42" t="str">
        <f t="shared" si="12"/>
        <v/>
      </c>
    </row>
    <row r="807" ht="15" spans="1:7">
      <c r="A807" s="36" t="str">
        <f>IF(C807="","",IF(C807=跟进查询!$B$2,1+A806,A806))</f>
        <v/>
      </c>
      <c r="B807" s="39"/>
      <c r="C807" s="39"/>
      <c r="D807" s="39"/>
      <c r="E807" s="39"/>
      <c r="F807" s="41" t="e">
        <f>VLOOKUP(G807,源数据!A:K,11,FALSE)</f>
        <v>#N/A</v>
      </c>
      <c r="G807" s="42" t="str">
        <f t="shared" si="12"/>
        <v/>
      </c>
    </row>
    <row r="808" ht="15" spans="1:7">
      <c r="A808" s="36" t="str">
        <f>IF(C808="","",IF(C808=跟进查询!$B$2,1+A807,A807))</f>
        <v/>
      </c>
      <c r="B808" s="39"/>
      <c r="C808" s="39"/>
      <c r="D808" s="39"/>
      <c r="E808" s="39"/>
      <c r="F808" s="41" t="e">
        <f>VLOOKUP(G808,源数据!A:K,11,FALSE)</f>
        <v>#N/A</v>
      </c>
      <c r="G808" s="42" t="str">
        <f t="shared" si="12"/>
        <v/>
      </c>
    </row>
    <row r="809" ht="15" spans="1:7">
      <c r="A809" s="36" t="str">
        <f>IF(C809="","",IF(C809=跟进查询!$B$2,1+A808,A808))</f>
        <v/>
      </c>
      <c r="B809" s="39"/>
      <c r="C809" s="39"/>
      <c r="D809" s="39"/>
      <c r="E809" s="39"/>
      <c r="F809" s="41" t="e">
        <f>VLOOKUP(G809,源数据!A:K,11,FALSE)</f>
        <v>#N/A</v>
      </c>
      <c r="G809" s="42" t="str">
        <f t="shared" si="12"/>
        <v/>
      </c>
    </row>
    <row r="810" ht="15" spans="1:7">
      <c r="A810" s="36" t="str">
        <f>IF(C810="","",IF(C810=跟进查询!$B$2,1+A809,A809))</f>
        <v/>
      </c>
      <c r="B810" s="39"/>
      <c r="C810" s="39"/>
      <c r="D810" s="39"/>
      <c r="E810" s="39"/>
      <c r="F810" s="41" t="e">
        <f>VLOOKUP(G810,源数据!A:K,11,FALSE)</f>
        <v>#N/A</v>
      </c>
      <c r="G810" s="42" t="str">
        <f t="shared" si="12"/>
        <v/>
      </c>
    </row>
    <row r="811" ht="15" spans="1:7">
      <c r="A811" s="36" t="str">
        <f>IF(C811="","",IF(C811=跟进查询!$B$2,1+A810,A810))</f>
        <v/>
      </c>
      <c r="B811" s="39"/>
      <c r="C811" s="39"/>
      <c r="D811" s="39"/>
      <c r="E811" s="39"/>
      <c r="F811" s="41" t="e">
        <f>VLOOKUP(G811,源数据!A:K,11,FALSE)</f>
        <v>#N/A</v>
      </c>
      <c r="G811" s="42" t="str">
        <f t="shared" si="12"/>
        <v/>
      </c>
    </row>
    <row r="812" ht="15" spans="1:7">
      <c r="A812" s="36" t="str">
        <f>IF(C812="","",IF(C812=跟进查询!$B$2,1+A811,A811))</f>
        <v/>
      </c>
      <c r="B812" s="39"/>
      <c r="C812" s="39"/>
      <c r="D812" s="39"/>
      <c r="E812" s="39"/>
      <c r="F812" s="41" t="e">
        <f>VLOOKUP(G812,源数据!A:K,11,FALSE)</f>
        <v>#N/A</v>
      </c>
      <c r="G812" s="42" t="str">
        <f t="shared" si="12"/>
        <v/>
      </c>
    </row>
    <row r="813" ht="15" spans="1:7">
      <c r="A813" s="36" t="str">
        <f>IF(C813="","",IF(C813=跟进查询!$B$2,1+A812,A812))</f>
        <v/>
      </c>
      <c r="B813" s="39"/>
      <c r="C813" s="39"/>
      <c r="D813" s="39"/>
      <c r="E813" s="39"/>
      <c r="F813" s="41" t="e">
        <f>VLOOKUP(G813,源数据!A:K,11,FALSE)</f>
        <v>#N/A</v>
      </c>
      <c r="G813" s="42" t="str">
        <f t="shared" si="12"/>
        <v/>
      </c>
    </row>
    <row r="814" ht="15" spans="1:7">
      <c r="A814" s="36" t="str">
        <f>IF(C814="","",IF(C814=跟进查询!$B$2,1+A813,A813))</f>
        <v/>
      </c>
      <c r="B814" s="39"/>
      <c r="C814" s="39"/>
      <c r="D814" s="39"/>
      <c r="E814" s="39"/>
      <c r="F814" s="41" t="e">
        <f>VLOOKUP(G814,源数据!A:K,11,FALSE)</f>
        <v>#N/A</v>
      </c>
      <c r="G814" s="42" t="str">
        <f t="shared" si="12"/>
        <v/>
      </c>
    </row>
    <row r="815" ht="15" spans="1:7">
      <c r="A815" s="36" t="str">
        <f>IF(C815="","",IF(C815=跟进查询!$B$2,1+A814,A814))</f>
        <v/>
      </c>
      <c r="B815" s="39"/>
      <c r="C815" s="39"/>
      <c r="D815" s="39"/>
      <c r="E815" s="39"/>
      <c r="F815" s="41" t="e">
        <f>VLOOKUP(G815,源数据!A:K,11,FALSE)</f>
        <v>#N/A</v>
      </c>
      <c r="G815" s="42" t="str">
        <f t="shared" si="12"/>
        <v/>
      </c>
    </row>
    <row r="816" ht="15" spans="1:7">
      <c r="A816" s="36" t="str">
        <f>IF(C816="","",IF(C816=跟进查询!$B$2,1+A815,A815))</f>
        <v/>
      </c>
      <c r="B816" s="39"/>
      <c r="C816" s="39"/>
      <c r="D816" s="39"/>
      <c r="E816" s="39"/>
      <c r="F816" s="41" t="e">
        <f>VLOOKUP(G816,源数据!A:K,11,FALSE)</f>
        <v>#N/A</v>
      </c>
      <c r="G816" s="42" t="str">
        <f t="shared" si="12"/>
        <v/>
      </c>
    </row>
    <row r="817" ht="15" spans="1:7">
      <c r="A817" s="36" t="str">
        <f>IF(C817="","",IF(C817=跟进查询!$B$2,1+A816,A816))</f>
        <v/>
      </c>
      <c r="B817" s="39"/>
      <c r="C817" s="39"/>
      <c r="D817" s="39"/>
      <c r="E817" s="39"/>
      <c r="F817" s="41" t="e">
        <f>VLOOKUP(G817,源数据!A:K,11,FALSE)</f>
        <v>#N/A</v>
      </c>
      <c r="G817" s="42" t="str">
        <f t="shared" si="12"/>
        <v/>
      </c>
    </row>
    <row r="818" ht="15" spans="1:7">
      <c r="A818" s="36" t="str">
        <f>IF(C818="","",IF(C818=跟进查询!$B$2,1+A817,A817))</f>
        <v/>
      </c>
      <c r="B818" s="39"/>
      <c r="C818" s="39"/>
      <c r="D818" s="39"/>
      <c r="E818" s="39"/>
      <c r="F818" s="41" t="e">
        <f>VLOOKUP(G818,源数据!A:K,11,FALSE)</f>
        <v>#N/A</v>
      </c>
      <c r="G818" s="42" t="str">
        <f t="shared" si="12"/>
        <v/>
      </c>
    </row>
    <row r="819" ht="15" spans="1:7">
      <c r="A819" s="36" t="str">
        <f>IF(C819="","",IF(C819=跟进查询!$B$2,1+A818,A818))</f>
        <v/>
      </c>
      <c r="B819" s="39"/>
      <c r="C819" s="39"/>
      <c r="D819" s="39"/>
      <c r="E819" s="39"/>
      <c r="F819" s="41" t="e">
        <f>VLOOKUP(G819,源数据!A:K,11,FALSE)</f>
        <v>#N/A</v>
      </c>
      <c r="G819" s="42" t="str">
        <f t="shared" si="12"/>
        <v/>
      </c>
    </row>
    <row r="820" ht="15" spans="1:7">
      <c r="A820" s="36" t="str">
        <f>IF(C820="","",IF(C820=跟进查询!$B$2,1+A819,A819))</f>
        <v/>
      </c>
      <c r="B820" s="39"/>
      <c r="C820" s="39"/>
      <c r="D820" s="39"/>
      <c r="E820" s="39"/>
      <c r="F820" s="41" t="e">
        <f>VLOOKUP(G820,源数据!A:K,11,FALSE)</f>
        <v>#N/A</v>
      </c>
      <c r="G820" s="42" t="str">
        <f t="shared" si="12"/>
        <v/>
      </c>
    </row>
    <row r="821" ht="15" spans="1:7">
      <c r="A821" s="36" t="str">
        <f>IF(C821="","",IF(C821=跟进查询!$B$2,1+A820,A820))</f>
        <v/>
      </c>
      <c r="B821" s="39"/>
      <c r="C821" s="39"/>
      <c r="D821" s="39"/>
      <c r="E821" s="39"/>
      <c r="F821" s="41" t="e">
        <f>VLOOKUP(G821,源数据!A:K,11,FALSE)</f>
        <v>#N/A</v>
      </c>
      <c r="G821" s="42" t="str">
        <f t="shared" si="12"/>
        <v/>
      </c>
    </row>
    <row r="822" ht="15" spans="1:7">
      <c r="A822" s="36" t="str">
        <f>IF(C822="","",IF(C822=跟进查询!$B$2,1+A821,A821))</f>
        <v/>
      </c>
      <c r="B822" s="39"/>
      <c r="C822" s="39"/>
      <c r="D822" s="39"/>
      <c r="E822" s="39"/>
      <c r="F822" s="41" t="e">
        <f>VLOOKUP(G822,源数据!A:K,11,FALSE)</f>
        <v>#N/A</v>
      </c>
      <c r="G822" s="42" t="str">
        <f t="shared" si="12"/>
        <v/>
      </c>
    </row>
    <row r="823" ht="15" spans="1:7">
      <c r="A823" s="36" t="str">
        <f>IF(C823="","",IF(C823=跟进查询!$B$2,1+A822,A822))</f>
        <v/>
      </c>
      <c r="B823" s="39"/>
      <c r="C823" s="39"/>
      <c r="D823" s="39"/>
      <c r="E823" s="39"/>
      <c r="F823" s="41" t="e">
        <f>VLOOKUP(G823,源数据!A:K,11,FALSE)</f>
        <v>#N/A</v>
      </c>
      <c r="G823" s="42" t="str">
        <f t="shared" si="12"/>
        <v/>
      </c>
    </row>
    <row r="824" ht="15" spans="1:7">
      <c r="A824" s="36" t="str">
        <f>IF(C824="","",IF(C824=跟进查询!$B$2,1+A823,A823))</f>
        <v/>
      </c>
      <c r="B824" s="39"/>
      <c r="C824" s="39"/>
      <c r="D824" s="39"/>
      <c r="E824" s="39"/>
      <c r="F824" s="41" t="e">
        <f>VLOOKUP(G824,源数据!A:K,11,FALSE)</f>
        <v>#N/A</v>
      </c>
      <c r="G824" s="42" t="str">
        <f t="shared" si="12"/>
        <v/>
      </c>
    </row>
    <row r="825" ht="15" spans="1:7">
      <c r="A825" s="36" t="str">
        <f>IF(C825="","",IF(C825=跟进查询!$B$2,1+A824,A824))</f>
        <v/>
      </c>
      <c r="B825" s="39"/>
      <c r="C825" s="39"/>
      <c r="D825" s="39"/>
      <c r="E825" s="39"/>
      <c r="F825" s="41" t="e">
        <f>VLOOKUP(G825,源数据!A:K,11,FALSE)</f>
        <v>#N/A</v>
      </c>
      <c r="G825" s="42" t="str">
        <f t="shared" si="12"/>
        <v/>
      </c>
    </row>
    <row r="826" ht="15" spans="1:7">
      <c r="A826" s="36" t="str">
        <f>IF(C826="","",IF(C826=跟进查询!$B$2,1+A825,A825))</f>
        <v/>
      </c>
      <c r="B826" s="39"/>
      <c r="C826" s="39"/>
      <c r="D826" s="39"/>
      <c r="E826" s="39"/>
      <c r="F826" s="41" t="e">
        <f>VLOOKUP(G826,源数据!A:K,11,FALSE)</f>
        <v>#N/A</v>
      </c>
      <c r="G826" s="42" t="str">
        <f t="shared" si="12"/>
        <v/>
      </c>
    </row>
    <row r="827" ht="15" spans="1:7">
      <c r="A827" s="36" t="str">
        <f>IF(C827="","",IF(C827=跟进查询!$B$2,1+A826,A826))</f>
        <v/>
      </c>
      <c r="B827" s="39"/>
      <c r="C827" s="39"/>
      <c r="D827" s="39"/>
      <c r="E827" s="39"/>
      <c r="F827" s="41" t="e">
        <f>VLOOKUP(G827,源数据!A:K,11,FALSE)</f>
        <v>#N/A</v>
      </c>
      <c r="G827" s="42" t="str">
        <f t="shared" si="12"/>
        <v/>
      </c>
    </row>
    <row r="828" ht="15" spans="1:7">
      <c r="A828" s="36" t="str">
        <f>IF(C828="","",IF(C828=跟进查询!$B$2,1+A827,A827))</f>
        <v/>
      </c>
      <c r="B828" s="39"/>
      <c r="C828" s="39"/>
      <c r="D828" s="39"/>
      <c r="E828" s="39"/>
      <c r="F828" s="41" t="e">
        <f>VLOOKUP(G828,源数据!A:K,11,FALSE)</f>
        <v>#N/A</v>
      </c>
      <c r="G828" s="42" t="str">
        <f t="shared" si="12"/>
        <v/>
      </c>
    </row>
    <row r="829" ht="15" spans="1:7">
      <c r="A829" s="36" t="str">
        <f>IF(C829="","",IF(C829=跟进查询!$B$2,1+A828,A828))</f>
        <v/>
      </c>
      <c r="B829" s="39"/>
      <c r="C829" s="39"/>
      <c r="D829" s="39"/>
      <c r="E829" s="39"/>
      <c r="F829" s="41" t="e">
        <f>VLOOKUP(G829,源数据!A:K,11,FALSE)</f>
        <v>#N/A</v>
      </c>
      <c r="G829" s="42" t="str">
        <f t="shared" si="12"/>
        <v/>
      </c>
    </row>
    <row r="830" ht="15" spans="1:7">
      <c r="A830" s="36" t="str">
        <f>IF(C830="","",IF(C830=跟进查询!$B$2,1+A829,A829))</f>
        <v/>
      </c>
      <c r="B830" s="39"/>
      <c r="C830" s="39"/>
      <c r="D830" s="39"/>
      <c r="E830" s="39"/>
      <c r="F830" s="41" t="e">
        <f>VLOOKUP(G830,源数据!A:K,11,FALSE)</f>
        <v>#N/A</v>
      </c>
      <c r="G830" s="42" t="str">
        <f t="shared" si="12"/>
        <v/>
      </c>
    </row>
    <row r="831" ht="15" spans="1:7">
      <c r="A831" s="36" t="str">
        <f>IF(C831="","",IF(C831=跟进查询!$B$2,1+A830,A830))</f>
        <v/>
      </c>
      <c r="B831" s="39"/>
      <c r="C831" s="39"/>
      <c r="D831" s="39"/>
      <c r="E831" s="39"/>
      <c r="F831" s="41" t="e">
        <f>VLOOKUP(G831,源数据!A:K,11,FALSE)</f>
        <v>#N/A</v>
      </c>
      <c r="G831" s="42" t="str">
        <f t="shared" si="12"/>
        <v/>
      </c>
    </row>
    <row r="832" ht="15" spans="1:7">
      <c r="A832" s="36" t="str">
        <f>IF(C832="","",IF(C832=跟进查询!$B$2,1+A831,A831))</f>
        <v/>
      </c>
      <c r="B832" s="39"/>
      <c r="C832" s="39"/>
      <c r="D832" s="39"/>
      <c r="E832" s="39"/>
      <c r="F832" s="41" t="e">
        <f>VLOOKUP(G832,源数据!A:K,11,FALSE)</f>
        <v>#N/A</v>
      </c>
      <c r="G832" s="42" t="str">
        <f t="shared" si="12"/>
        <v/>
      </c>
    </row>
    <row r="833" ht="15" spans="1:7">
      <c r="A833" s="36" t="str">
        <f>IF(C833="","",IF(C833=跟进查询!$B$2,1+A832,A832))</f>
        <v/>
      </c>
      <c r="B833" s="39"/>
      <c r="C833" s="39"/>
      <c r="D833" s="39"/>
      <c r="E833" s="39"/>
      <c r="F833" s="41" t="e">
        <f>VLOOKUP(G833,源数据!A:K,11,FALSE)</f>
        <v>#N/A</v>
      </c>
      <c r="G833" s="42" t="str">
        <f t="shared" si="12"/>
        <v/>
      </c>
    </row>
    <row r="834" ht="15" spans="1:7">
      <c r="A834" s="36" t="str">
        <f>IF(C834="","",IF(C834=跟进查询!$B$2,1+A833,A833))</f>
        <v/>
      </c>
      <c r="B834" s="39"/>
      <c r="C834" s="39"/>
      <c r="D834" s="39"/>
      <c r="E834" s="39"/>
      <c r="F834" s="41" t="e">
        <f>VLOOKUP(G834,源数据!A:K,11,FALSE)</f>
        <v>#N/A</v>
      </c>
      <c r="G834" s="42" t="str">
        <f t="shared" si="12"/>
        <v/>
      </c>
    </row>
    <row r="835" ht="15" spans="1:7">
      <c r="A835" s="36" t="str">
        <f>IF(C835="","",IF(C835=跟进查询!$B$2,1+A834,A834))</f>
        <v/>
      </c>
      <c r="B835" s="39"/>
      <c r="C835" s="39"/>
      <c r="D835" s="39"/>
      <c r="E835" s="39"/>
      <c r="F835" s="41" t="e">
        <f>VLOOKUP(G835,源数据!A:K,11,FALSE)</f>
        <v>#N/A</v>
      </c>
      <c r="G835" s="42" t="str">
        <f t="shared" si="12"/>
        <v/>
      </c>
    </row>
    <row r="836" ht="15" spans="1:7">
      <c r="A836" s="36" t="str">
        <f>IF(C836="","",IF(C836=跟进查询!$B$2,1+A835,A835))</f>
        <v/>
      </c>
      <c r="B836" s="39"/>
      <c r="C836" s="39"/>
      <c r="D836" s="39"/>
      <c r="E836" s="39"/>
      <c r="F836" s="41" t="e">
        <f>VLOOKUP(G836,源数据!A:K,11,FALSE)</f>
        <v>#N/A</v>
      </c>
      <c r="G836" s="42" t="str">
        <f t="shared" ref="G836:G899" si="13">B836&amp;C836</f>
        <v/>
      </c>
    </row>
    <row r="837" ht="15" spans="1:7">
      <c r="A837" s="36" t="str">
        <f>IF(C837="","",IF(C837=跟进查询!$B$2,1+A836,A836))</f>
        <v/>
      </c>
      <c r="B837" s="39"/>
      <c r="C837" s="39"/>
      <c r="D837" s="39"/>
      <c r="E837" s="39"/>
      <c r="F837" s="41" t="e">
        <f>VLOOKUP(G837,源数据!A:K,11,FALSE)</f>
        <v>#N/A</v>
      </c>
      <c r="G837" s="42" t="str">
        <f t="shared" si="13"/>
        <v/>
      </c>
    </row>
    <row r="838" ht="15" spans="1:7">
      <c r="A838" s="36" t="str">
        <f>IF(C838="","",IF(C838=跟进查询!$B$2,1+A837,A837))</f>
        <v/>
      </c>
      <c r="B838" s="39"/>
      <c r="C838" s="39"/>
      <c r="D838" s="39"/>
      <c r="E838" s="39"/>
      <c r="F838" s="41" t="e">
        <f>VLOOKUP(G838,源数据!A:K,11,FALSE)</f>
        <v>#N/A</v>
      </c>
      <c r="G838" s="42" t="str">
        <f t="shared" si="13"/>
        <v/>
      </c>
    </row>
    <row r="839" ht="15" spans="1:7">
      <c r="A839" s="36" t="str">
        <f>IF(C839="","",IF(C839=跟进查询!$B$2,1+A838,A838))</f>
        <v/>
      </c>
      <c r="B839" s="39"/>
      <c r="C839" s="39"/>
      <c r="D839" s="39"/>
      <c r="E839" s="39"/>
      <c r="F839" s="41" t="e">
        <f>VLOOKUP(G839,源数据!A:K,11,FALSE)</f>
        <v>#N/A</v>
      </c>
      <c r="G839" s="42" t="str">
        <f t="shared" si="13"/>
        <v/>
      </c>
    </row>
    <row r="840" ht="15" spans="1:7">
      <c r="A840" s="36" t="str">
        <f>IF(C840="","",IF(C840=跟进查询!$B$2,1+A839,A839))</f>
        <v/>
      </c>
      <c r="B840" s="39"/>
      <c r="C840" s="39"/>
      <c r="D840" s="39"/>
      <c r="E840" s="39"/>
      <c r="F840" s="41" t="e">
        <f>VLOOKUP(G840,源数据!A:K,11,FALSE)</f>
        <v>#N/A</v>
      </c>
      <c r="G840" s="42" t="str">
        <f t="shared" si="13"/>
        <v/>
      </c>
    </row>
    <row r="841" ht="15" spans="1:7">
      <c r="A841" s="36" t="str">
        <f>IF(C841="","",IF(C841=跟进查询!$B$2,1+A840,A840))</f>
        <v/>
      </c>
      <c r="B841" s="39"/>
      <c r="C841" s="39"/>
      <c r="D841" s="39"/>
      <c r="E841" s="39"/>
      <c r="F841" s="41" t="e">
        <f>VLOOKUP(G841,源数据!A:K,11,FALSE)</f>
        <v>#N/A</v>
      </c>
      <c r="G841" s="42" t="str">
        <f t="shared" si="13"/>
        <v/>
      </c>
    </row>
    <row r="842" ht="15" spans="1:7">
      <c r="A842" s="36" t="str">
        <f>IF(C842="","",IF(C842=跟进查询!$B$2,1+A841,A841))</f>
        <v/>
      </c>
      <c r="B842" s="39"/>
      <c r="C842" s="39"/>
      <c r="D842" s="39"/>
      <c r="E842" s="39"/>
      <c r="F842" s="41" t="e">
        <f>VLOOKUP(G842,源数据!A:K,11,FALSE)</f>
        <v>#N/A</v>
      </c>
      <c r="G842" s="42" t="str">
        <f t="shared" si="13"/>
        <v/>
      </c>
    </row>
    <row r="843" ht="15" spans="1:7">
      <c r="A843" s="36" t="str">
        <f>IF(C843="","",IF(C843=跟进查询!$B$2,1+A842,A842))</f>
        <v/>
      </c>
      <c r="B843" s="39"/>
      <c r="C843" s="39"/>
      <c r="D843" s="39"/>
      <c r="E843" s="39"/>
      <c r="F843" s="41" t="e">
        <f>VLOOKUP(G843,源数据!A:K,11,FALSE)</f>
        <v>#N/A</v>
      </c>
      <c r="G843" s="42" t="str">
        <f t="shared" si="13"/>
        <v/>
      </c>
    </row>
    <row r="844" ht="15" spans="1:7">
      <c r="A844" s="36" t="str">
        <f>IF(C844="","",IF(C844=跟进查询!$B$2,1+A843,A843))</f>
        <v/>
      </c>
      <c r="B844" s="39"/>
      <c r="C844" s="39"/>
      <c r="D844" s="39"/>
      <c r="E844" s="39"/>
      <c r="F844" s="41" t="e">
        <f>VLOOKUP(G844,源数据!A:K,11,FALSE)</f>
        <v>#N/A</v>
      </c>
      <c r="G844" s="42" t="str">
        <f t="shared" si="13"/>
        <v/>
      </c>
    </row>
    <row r="845" ht="15" spans="1:7">
      <c r="A845" s="36" t="str">
        <f>IF(C845="","",IF(C845=跟进查询!$B$2,1+A844,A844))</f>
        <v/>
      </c>
      <c r="B845" s="39"/>
      <c r="C845" s="39"/>
      <c r="D845" s="39"/>
      <c r="E845" s="39"/>
      <c r="F845" s="41" t="e">
        <f>VLOOKUP(G845,源数据!A:K,11,FALSE)</f>
        <v>#N/A</v>
      </c>
      <c r="G845" s="42" t="str">
        <f t="shared" si="13"/>
        <v/>
      </c>
    </row>
    <row r="846" ht="15" spans="1:7">
      <c r="A846" s="36" t="str">
        <f>IF(C846="","",IF(C846=跟进查询!$B$2,1+A845,A845))</f>
        <v/>
      </c>
      <c r="B846" s="39"/>
      <c r="C846" s="39"/>
      <c r="D846" s="39"/>
      <c r="E846" s="39"/>
      <c r="F846" s="41" t="e">
        <f>VLOOKUP(G846,源数据!A:K,11,FALSE)</f>
        <v>#N/A</v>
      </c>
      <c r="G846" s="42" t="str">
        <f t="shared" si="13"/>
        <v/>
      </c>
    </row>
    <row r="847" ht="15" spans="1:7">
      <c r="A847" s="36" t="str">
        <f>IF(C847="","",IF(C847=跟进查询!$B$2,1+A846,A846))</f>
        <v/>
      </c>
      <c r="B847" s="39"/>
      <c r="C847" s="39"/>
      <c r="D847" s="39"/>
      <c r="E847" s="39"/>
      <c r="F847" s="41" t="e">
        <f>VLOOKUP(G847,源数据!A:K,11,FALSE)</f>
        <v>#N/A</v>
      </c>
      <c r="G847" s="42" t="str">
        <f t="shared" si="13"/>
        <v/>
      </c>
    </row>
    <row r="848" ht="15" spans="1:7">
      <c r="A848" s="36" t="str">
        <f>IF(C848="","",IF(C848=跟进查询!$B$2,1+A847,A847))</f>
        <v/>
      </c>
      <c r="B848" s="39"/>
      <c r="C848" s="39"/>
      <c r="D848" s="39"/>
      <c r="E848" s="39"/>
      <c r="F848" s="41" t="e">
        <f>VLOOKUP(G848,源数据!A:K,11,FALSE)</f>
        <v>#N/A</v>
      </c>
      <c r="G848" s="42" t="str">
        <f t="shared" si="13"/>
        <v/>
      </c>
    </row>
    <row r="849" ht="15" spans="1:7">
      <c r="A849" s="36" t="str">
        <f>IF(C849="","",IF(C849=跟进查询!$B$2,1+A848,A848))</f>
        <v/>
      </c>
      <c r="B849" s="39"/>
      <c r="C849" s="39"/>
      <c r="D849" s="39"/>
      <c r="E849" s="39"/>
      <c r="F849" s="41" t="e">
        <f>VLOOKUP(G849,源数据!A:K,11,FALSE)</f>
        <v>#N/A</v>
      </c>
      <c r="G849" s="42" t="str">
        <f t="shared" si="13"/>
        <v/>
      </c>
    </row>
    <row r="850" ht="15" spans="1:7">
      <c r="A850" s="36" t="str">
        <f>IF(C850="","",IF(C850=跟进查询!$B$2,1+A849,A849))</f>
        <v/>
      </c>
      <c r="B850" s="39"/>
      <c r="C850" s="39"/>
      <c r="D850" s="39"/>
      <c r="E850" s="39"/>
      <c r="F850" s="41" t="e">
        <f>VLOOKUP(G850,源数据!A:K,11,FALSE)</f>
        <v>#N/A</v>
      </c>
      <c r="G850" s="42" t="str">
        <f t="shared" si="13"/>
        <v/>
      </c>
    </row>
    <row r="851" ht="15" spans="1:7">
      <c r="A851" s="36" t="str">
        <f>IF(C851="","",IF(C851=跟进查询!$B$2,1+A850,A850))</f>
        <v/>
      </c>
      <c r="B851" s="39"/>
      <c r="C851" s="39"/>
      <c r="D851" s="39"/>
      <c r="E851" s="39"/>
      <c r="F851" s="41" t="e">
        <f>VLOOKUP(G851,源数据!A:K,11,FALSE)</f>
        <v>#N/A</v>
      </c>
      <c r="G851" s="42" t="str">
        <f t="shared" si="13"/>
        <v/>
      </c>
    </row>
    <row r="852" ht="15" spans="1:7">
      <c r="A852" s="36" t="str">
        <f>IF(C852="","",IF(C852=跟进查询!$B$2,1+A851,A851))</f>
        <v/>
      </c>
      <c r="B852" s="39"/>
      <c r="C852" s="39"/>
      <c r="D852" s="39"/>
      <c r="E852" s="39"/>
      <c r="F852" s="41" t="e">
        <f>VLOOKUP(G852,源数据!A:K,11,FALSE)</f>
        <v>#N/A</v>
      </c>
      <c r="G852" s="42" t="str">
        <f t="shared" si="13"/>
        <v/>
      </c>
    </row>
    <row r="853" ht="15" spans="1:7">
      <c r="A853" s="36" t="str">
        <f>IF(C853="","",IF(C853=跟进查询!$B$2,1+A852,A852))</f>
        <v/>
      </c>
      <c r="B853" s="39"/>
      <c r="C853" s="39"/>
      <c r="D853" s="39"/>
      <c r="E853" s="39"/>
      <c r="F853" s="41" t="e">
        <f>VLOOKUP(G853,源数据!A:K,11,FALSE)</f>
        <v>#N/A</v>
      </c>
      <c r="G853" s="42" t="str">
        <f t="shared" si="13"/>
        <v/>
      </c>
    </row>
    <row r="854" ht="15" spans="1:7">
      <c r="A854" s="36" t="str">
        <f>IF(C854="","",IF(C854=跟进查询!$B$2,1+A853,A853))</f>
        <v/>
      </c>
      <c r="B854" s="39"/>
      <c r="C854" s="39"/>
      <c r="D854" s="39"/>
      <c r="E854" s="39"/>
      <c r="F854" s="41" t="e">
        <f>VLOOKUP(G854,源数据!A:K,11,FALSE)</f>
        <v>#N/A</v>
      </c>
      <c r="G854" s="42" t="str">
        <f t="shared" si="13"/>
        <v/>
      </c>
    </row>
    <row r="855" ht="15" spans="1:7">
      <c r="A855" s="36" t="str">
        <f>IF(C855="","",IF(C855=跟进查询!$B$2,1+A854,A854))</f>
        <v/>
      </c>
      <c r="B855" s="39"/>
      <c r="C855" s="39"/>
      <c r="D855" s="39"/>
      <c r="E855" s="39"/>
      <c r="F855" s="41" t="e">
        <f>VLOOKUP(G855,源数据!A:K,11,FALSE)</f>
        <v>#N/A</v>
      </c>
      <c r="G855" s="42" t="str">
        <f t="shared" si="13"/>
        <v/>
      </c>
    </row>
    <row r="856" ht="15" spans="1:7">
      <c r="A856" s="36" t="str">
        <f>IF(C856="","",IF(C856=跟进查询!$B$2,1+A855,A855))</f>
        <v/>
      </c>
      <c r="B856" s="39"/>
      <c r="C856" s="39"/>
      <c r="D856" s="39"/>
      <c r="E856" s="39"/>
      <c r="F856" s="41" t="e">
        <f>VLOOKUP(G856,源数据!A:K,11,FALSE)</f>
        <v>#N/A</v>
      </c>
      <c r="G856" s="42" t="str">
        <f t="shared" si="13"/>
        <v/>
      </c>
    </row>
    <row r="857" ht="15" spans="1:7">
      <c r="A857" s="36" t="str">
        <f>IF(C857="","",IF(C857=跟进查询!$B$2,1+A856,A856))</f>
        <v/>
      </c>
      <c r="B857" s="39"/>
      <c r="C857" s="39"/>
      <c r="D857" s="39"/>
      <c r="E857" s="39"/>
      <c r="F857" s="41" t="e">
        <f>VLOOKUP(G857,源数据!A:K,11,FALSE)</f>
        <v>#N/A</v>
      </c>
      <c r="G857" s="42" t="str">
        <f t="shared" si="13"/>
        <v/>
      </c>
    </row>
    <row r="858" ht="15" spans="1:7">
      <c r="A858" s="36" t="str">
        <f>IF(C858="","",IF(C858=跟进查询!$B$2,1+A857,A857))</f>
        <v/>
      </c>
      <c r="B858" s="39"/>
      <c r="C858" s="39"/>
      <c r="D858" s="39"/>
      <c r="E858" s="39"/>
      <c r="F858" s="41" t="e">
        <f>VLOOKUP(G858,源数据!A:K,11,FALSE)</f>
        <v>#N/A</v>
      </c>
      <c r="G858" s="42" t="str">
        <f t="shared" si="13"/>
        <v/>
      </c>
    </row>
    <row r="859" ht="15" spans="1:7">
      <c r="A859" s="36" t="str">
        <f>IF(C859="","",IF(C859=跟进查询!$B$2,1+A858,A858))</f>
        <v/>
      </c>
      <c r="B859" s="39"/>
      <c r="C859" s="39"/>
      <c r="D859" s="39"/>
      <c r="E859" s="39"/>
      <c r="F859" s="41" t="e">
        <f>VLOOKUP(G859,源数据!A:K,11,FALSE)</f>
        <v>#N/A</v>
      </c>
      <c r="G859" s="42" t="str">
        <f t="shared" si="13"/>
        <v/>
      </c>
    </row>
    <row r="860" ht="15" spans="1:7">
      <c r="A860" s="36" t="str">
        <f>IF(C860="","",IF(C860=跟进查询!$B$2,1+A859,A859))</f>
        <v/>
      </c>
      <c r="B860" s="39"/>
      <c r="C860" s="39"/>
      <c r="D860" s="39"/>
      <c r="E860" s="39"/>
      <c r="F860" s="41" t="e">
        <f>VLOOKUP(G860,源数据!A:K,11,FALSE)</f>
        <v>#N/A</v>
      </c>
      <c r="G860" s="42" t="str">
        <f t="shared" si="13"/>
        <v/>
      </c>
    </row>
    <row r="861" ht="15" spans="1:7">
      <c r="A861" s="36" t="str">
        <f>IF(C861="","",IF(C861=跟进查询!$B$2,1+A860,A860))</f>
        <v/>
      </c>
      <c r="B861" s="39"/>
      <c r="C861" s="39"/>
      <c r="D861" s="39"/>
      <c r="E861" s="39"/>
      <c r="F861" s="41" t="e">
        <f>VLOOKUP(G861,源数据!A:K,11,FALSE)</f>
        <v>#N/A</v>
      </c>
      <c r="G861" s="42" t="str">
        <f t="shared" si="13"/>
        <v/>
      </c>
    </row>
    <row r="862" ht="15" spans="1:7">
      <c r="A862" s="36" t="str">
        <f>IF(C862="","",IF(C862=跟进查询!$B$2,1+A861,A861))</f>
        <v/>
      </c>
      <c r="B862" s="39"/>
      <c r="C862" s="39"/>
      <c r="D862" s="39"/>
      <c r="E862" s="39"/>
      <c r="F862" s="41" t="e">
        <f>VLOOKUP(G862,源数据!A:K,11,FALSE)</f>
        <v>#N/A</v>
      </c>
      <c r="G862" s="42" t="str">
        <f t="shared" si="13"/>
        <v/>
      </c>
    </row>
    <row r="863" ht="15" spans="1:7">
      <c r="A863" s="36" t="str">
        <f>IF(C863="","",IF(C863=跟进查询!$B$2,1+A862,A862))</f>
        <v/>
      </c>
      <c r="B863" s="39"/>
      <c r="C863" s="39"/>
      <c r="D863" s="39"/>
      <c r="E863" s="39"/>
      <c r="F863" s="41" t="e">
        <f>VLOOKUP(G863,源数据!A:K,11,FALSE)</f>
        <v>#N/A</v>
      </c>
      <c r="G863" s="42" t="str">
        <f t="shared" si="13"/>
        <v/>
      </c>
    </row>
    <row r="864" ht="15" spans="1:7">
      <c r="A864" s="36" t="str">
        <f>IF(C864="","",IF(C864=跟进查询!$B$2,1+A863,A863))</f>
        <v/>
      </c>
      <c r="B864" s="39"/>
      <c r="C864" s="39"/>
      <c r="D864" s="39"/>
      <c r="E864" s="39"/>
      <c r="F864" s="41" t="e">
        <f>VLOOKUP(G864,源数据!A:K,11,FALSE)</f>
        <v>#N/A</v>
      </c>
      <c r="G864" s="42" t="str">
        <f t="shared" si="13"/>
        <v/>
      </c>
    </row>
    <row r="865" ht="15" spans="1:7">
      <c r="A865" s="36" t="str">
        <f>IF(C865="","",IF(C865=跟进查询!$B$2,1+A864,A864))</f>
        <v/>
      </c>
      <c r="B865" s="39"/>
      <c r="C865" s="39"/>
      <c r="D865" s="39"/>
      <c r="E865" s="39"/>
      <c r="F865" s="41" t="e">
        <f>VLOOKUP(G865,源数据!A:K,11,FALSE)</f>
        <v>#N/A</v>
      </c>
      <c r="G865" s="42" t="str">
        <f t="shared" si="13"/>
        <v/>
      </c>
    </row>
    <row r="866" ht="15" spans="1:7">
      <c r="A866" s="36" t="str">
        <f>IF(C866="","",IF(C866=跟进查询!$B$2,1+A865,A865))</f>
        <v/>
      </c>
      <c r="B866" s="39"/>
      <c r="C866" s="39"/>
      <c r="D866" s="39"/>
      <c r="E866" s="39"/>
      <c r="F866" s="41" t="e">
        <f>VLOOKUP(G866,源数据!A:K,11,FALSE)</f>
        <v>#N/A</v>
      </c>
      <c r="G866" s="42" t="str">
        <f t="shared" si="13"/>
        <v/>
      </c>
    </row>
    <row r="867" ht="15" spans="1:7">
      <c r="A867" s="36" t="str">
        <f>IF(C867="","",IF(C867=跟进查询!$B$2,1+A866,A866))</f>
        <v/>
      </c>
      <c r="B867" s="39"/>
      <c r="C867" s="39"/>
      <c r="D867" s="39"/>
      <c r="E867" s="39"/>
      <c r="F867" s="41" t="e">
        <f>VLOOKUP(G867,源数据!A:K,11,FALSE)</f>
        <v>#N/A</v>
      </c>
      <c r="G867" s="42" t="str">
        <f t="shared" si="13"/>
        <v/>
      </c>
    </row>
    <row r="868" ht="15" spans="1:7">
      <c r="A868" s="36" t="str">
        <f>IF(C868="","",IF(C868=跟进查询!$B$2,1+A867,A867))</f>
        <v/>
      </c>
      <c r="B868" s="39"/>
      <c r="C868" s="39"/>
      <c r="D868" s="39"/>
      <c r="E868" s="39"/>
      <c r="F868" s="41" t="e">
        <f>VLOOKUP(G868,源数据!A:K,11,FALSE)</f>
        <v>#N/A</v>
      </c>
      <c r="G868" s="42" t="str">
        <f t="shared" si="13"/>
        <v/>
      </c>
    </row>
    <row r="869" ht="15" spans="1:7">
      <c r="A869" s="36" t="str">
        <f>IF(C869="","",IF(C869=跟进查询!$B$2,1+A868,A868))</f>
        <v/>
      </c>
      <c r="B869" s="39"/>
      <c r="C869" s="39"/>
      <c r="D869" s="39"/>
      <c r="E869" s="39"/>
      <c r="F869" s="41" t="e">
        <f>VLOOKUP(G869,源数据!A:K,11,FALSE)</f>
        <v>#N/A</v>
      </c>
      <c r="G869" s="42" t="str">
        <f t="shared" si="13"/>
        <v/>
      </c>
    </row>
    <row r="870" ht="15" spans="1:7">
      <c r="A870" s="36" t="str">
        <f>IF(C870="","",IF(C870=跟进查询!$B$2,1+A869,A869))</f>
        <v/>
      </c>
      <c r="B870" s="39"/>
      <c r="C870" s="39"/>
      <c r="D870" s="39"/>
      <c r="E870" s="39"/>
      <c r="F870" s="41" t="e">
        <f>VLOOKUP(G870,源数据!A:K,11,FALSE)</f>
        <v>#N/A</v>
      </c>
      <c r="G870" s="42" t="str">
        <f t="shared" si="13"/>
        <v/>
      </c>
    </row>
    <row r="871" ht="15" spans="1:7">
      <c r="A871" s="36" t="str">
        <f>IF(C871="","",IF(C871=跟进查询!$B$2,1+A870,A870))</f>
        <v/>
      </c>
      <c r="B871" s="39"/>
      <c r="C871" s="39"/>
      <c r="D871" s="39"/>
      <c r="E871" s="39"/>
      <c r="F871" s="41" t="e">
        <f>VLOOKUP(G871,源数据!A:K,11,FALSE)</f>
        <v>#N/A</v>
      </c>
      <c r="G871" s="42" t="str">
        <f t="shared" si="13"/>
        <v/>
      </c>
    </row>
    <row r="872" ht="15" spans="1:7">
      <c r="A872" s="36" t="str">
        <f>IF(C872="","",IF(C872=跟进查询!$B$2,1+A871,A871))</f>
        <v/>
      </c>
      <c r="B872" s="39"/>
      <c r="C872" s="39"/>
      <c r="D872" s="39"/>
      <c r="E872" s="39"/>
      <c r="F872" s="41" t="e">
        <f>VLOOKUP(G872,源数据!A:K,11,FALSE)</f>
        <v>#N/A</v>
      </c>
      <c r="G872" s="42" t="str">
        <f t="shared" si="13"/>
        <v/>
      </c>
    </row>
    <row r="873" ht="15" spans="1:7">
      <c r="A873" s="36" t="str">
        <f>IF(C873="","",IF(C873=跟进查询!$B$2,1+A872,A872))</f>
        <v/>
      </c>
      <c r="B873" s="39"/>
      <c r="C873" s="39"/>
      <c r="D873" s="39"/>
      <c r="E873" s="39"/>
      <c r="F873" s="41" t="e">
        <f>VLOOKUP(G873,源数据!A:K,11,FALSE)</f>
        <v>#N/A</v>
      </c>
      <c r="G873" s="42" t="str">
        <f t="shared" si="13"/>
        <v/>
      </c>
    </row>
    <row r="874" ht="15" spans="1:7">
      <c r="A874" s="36" t="str">
        <f>IF(C874="","",IF(C874=跟进查询!$B$2,1+A873,A873))</f>
        <v/>
      </c>
      <c r="B874" s="39"/>
      <c r="C874" s="39"/>
      <c r="D874" s="39"/>
      <c r="E874" s="39"/>
      <c r="F874" s="41" t="e">
        <f>VLOOKUP(G874,源数据!A:K,11,FALSE)</f>
        <v>#N/A</v>
      </c>
      <c r="G874" s="42" t="str">
        <f t="shared" si="13"/>
        <v/>
      </c>
    </row>
    <row r="875" ht="15" spans="1:7">
      <c r="A875" s="36" t="str">
        <f>IF(C875="","",IF(C875=跟进查询!$B$2,1+A874,A874))</f>
        <v/>
      </c>
      <c r="B875" s="39"/>
      <c r="C875" s="39"/>
      <c r="D875" s="39"/>
      <c r="E875" s="39"/>
      <c r="F875" s="41" t="e">
        <f>VLOOKUP(G875,源数据!A:K,11,FALSE)</f>
        <v>#N/A</v>
      </c>
      <c r="G875" s="42" t="str">
        <f t="shared" si="13"/>
        <v/>
      </c>
    </row>
    <row r="876" ht="15" spans="1:7">
      <c r="A876" s="36" t="str">
        <f>IF(C876="","",IF(C876=跟进查询!$B$2,1+A875,A875))</f>
        <v/>
      </c>
      <c r="B876" s="39"/>
      <c r="C876" s="39"/>
      <c r="D876" s="39"/>
      <c r="E876" s="39"/>
      <c r="F876" s="41" t="e">
        <f>VLOOKUP(G876,源数据!A:K,11,FALSE)</f>
        <v>#N/A</v>
      </c>
      <c r="G876" s="42" t="str">
        <f t="shared" si="13"/>
        <v/>
      </c>
    </row>
    <row r="877" ht="15" spans="1:7">
      <c r="A877" s="36" t="str">
        <f>IF(C877="","",IF(C877=跟进查询!$B$2,1+A876,A876))</f>
        <v/>
      </c>
      <c r="B877" s="39"/>
      <c r="C877" s="39"/>
      <c r="D877" s="39"/>
      <c r="E877" s="39"/>
      <c r="F877" s="41" t="e">
        <f>VLOOKUP(G877,源数据!A:K,11,FALSE)</f>
        <v>#N/A</v>
      </c>
      <c r="G877" s="42" t="str">
        <f t="shared" si="13"/>
        <v/>
      </c>
    </row>
    <row r="878" ht="15" spans="1:7">
      <c r="A878" s="36" t="str">
        <f>IF(C878="","",IF(C878=跟进查询!$B$2,1+A877,A877))</f>
        <v/>
      </c>
      <c r="B878" s="39"/>
      <c r="C878" s="39"/>
      <c r="D878" s="39"/>
      <c r="E878" s="39"/>
      <c r="F878" s="41" t="e">
        <f>VLOOKUP(G878,源数据!A:K,11,FALSE)</f>
        <v>#N/A</v>
      </c>
      <c r="G878" s="42" t="str">
        <f t="shared" si="13"/>
        <v/>
      </c>
    </row>
    <row r="879" ht="15" spans="1:7">
      <c r="A879" s="36" t="str">
        <f>IF(C879="","",IF(C879=跟进查询!$B$2,1+A878,A878))</f>
        <v/>
      </c>
      <c r="B879" s="39"/>
      <c r="C879" s="39"/>
      <c r="D879" s="39"/>
      <c r="E879" s="39"/>
      <c r="F879" s="41" t="e">
        <f>VLOOKUP(G879,源数据!A:K,11,FALSE)</f>
        <v>#N/A</v>
      </c>
      <c r="G879" s="42" t="str">
        <f t="shared" si="13"/>
        <v/>
      </c>
    </row>
    <row r="880" ht="15" spans="1:7">
      <c r="A880" s="36" t="str">
        <f>IF(C880="","",IF(C880=跟进查询!$B$2,1+A879,A879))</f>
        <v/>
      </c>
      <c r="B880" s="39"/>
      <c r="C880" s="39"/>
      <c r="D880" s="39"/>
      <c r="E880" s="39"/>
      <c r="F880" s="41" t="e">
        <f>VLOOKUP(G880,源数据!A:K,11,FALSE)</f>
        <v>#N/A</v>
      </c>
      <c r="G880" s="42" t="str">
        <f t="shared" si="13"/>
        <v/>
      </c>
    </row>
    <row r="881" ht="15" spans="1:7">
      <c r="A881" s="36" t="str">
        <f>IF(C881="","",IF(C881=跟进查询!$B$2,1+A880,A880))</f>
        <v/>
      </c>
      <c r="B881" s="39"/>
      <c r="C881" s="39"/>
      <c r="D881" s="39"/>
      <c r="E881" s="39"/>
      <c r="F881" s="41" t="e">
        <f>VLOOKUP(G881,源数据!A:K,11,FALSE)</f>
        <v>#N/A</v>
      </c>
      <c r="G881" s="42" t="str">
        <f t="shared" si="13"/>
        <v/>
      </c>
    </row>
    <row r="882" ht="15" spans="1:7">
      <c r="A882" s="36" t="str">
        <f>IF(C882="","",IF(C882=跟进查询!$B$2,1+A881,A881))</f>
        <v/>
      </c>
      <c r="B882" s="39"/>
      <c r="C882" s="39"/>
      <c r="D882" s="39"/>
      <c r="E882" s="39"/>
      <c r="F882" s="41" t="e">
        <f>VLOOKUP(G882,源数据!A:K,11,FALSE)</f>
        <v>#N/A</v>
      </c>
      <c r="G882" s="42" t="str">
        <f t="shared" si="13"/>
        <v/>
      </c>
    </row>
    <row r="883" ht="15" spans="1:7">
      <c r="A883" s="36" t="str">
        <f>IF(C883="","",IF(C883=跟进查询!$B$2,1+A882,A882))</f>
        <v/>
      </c>
      <c r="B883" s="39"/>
      <c r="C883" s="39"/>
      <c r="D883" s="39"/>
      <c r="E883" s="39"/>
      <c r="F883" s="41" t="e">
        <f>VLOOKUP(G883,源数据!A:K,11,FALSE)</f>
        <v>#N/A</v>
      </c>
      <c r="G883" s="42" t="str">
        <f t="shared" si="13"/>
        <v/>
      </c>
    </row>
    <row r="884" ht="15" spans="1:7">
      <c r="A884" s="36" t="str">
        <f>IF(C884="","",IF(C884=跟进查询!$B$2,1+A883,A883))</f>
        <v/>
      </c>
      <c r="B884" s="39"/>
      <c r="C884" s="39"/>
      <c r="D884" s="39"/>
      <c r="E884" s="39"/>
      <c r="F884" s="41" t="e">
        <f>VLOOKUP(G884,源数据!A:K,11,FALSE)</f>
        <v>#N/A</v>
      </c>
      <c r="G884" s="42" t="str">
        <f t="shared" si="13"/>
        <v/>
      </c>
    </row>
    <row r="885" ht="15" spans="1:7">
      <c r="A885" s="36" t="str">
        <f>IF(C885="","",IF(C885=跟进查询!$B$2,1+A884,A884))</f>
        <v/>
      </c>
      <c r="B885" s="39"/>
      <c r="C885" s="39"/>
      <c r="D885" s="39"/>
      <c r="E885" s="39"/>
      <c r="F885" s="41" t="e">
        <f>VLOOKUP(G885,源数据!A:K,11,FALSE)</f>
        <v>#N/A</v>
      </c>
      <c r="G885" s="42" t="str">
        <f t="shared" si="13"/>
        <v/>
      </c>
    </row>
    <row r="886" ht="15" spans="1:7">
      <c r="A886" s="36" t="str">
        <f>IF(C886="","",IF(C886=跟进查询!$B$2,1+A885,A885))</f>
        <v/>
      </c>
      <c r="B886" s="39"/>
      <c r="C886" s="39"/>
      <c r="D886" s="39"/>
      <c r="E886" s="39"/>
      <c r="F886" s="41" t="e">
        <f>VLOOKUP(G886,源数据!A:K,11,FALSE)</f>
        <v>#N/A</v>
      </c>
      <c r="G886" s="42" t="str">
        <f t="shared" si="13"/>
        <v/>
      </c>
    </row>
    <row r="887" ht="15" spans="1:7">
      <c r="A887" s="36" t="str">
        <f>IF(C887="","",IF(C887=跟进查询!$B$2,1+A886,A886))</f>
        <v/>
      </c>
      <c r="B887" s="39"/>
      <c r="C887" s="39"/>
      <c r="D887" s="39"/>
      <c r="E887" s="39"/>
      <c r="F887" s="41" t="e">
        <f>VLOOKUP(G887,源数据!A:K,11,FALSE)</f>
        <v>#N/A</v>
      </c>
      <c r="G887" s="42" t="str">
        <f t="shared" si="13"/>
        <v/>
      </c>
    </row>
    <row r="888" ht="15" spans="1:7">
      <c r="A888" s="36" t="str">
        <f>IF(C888="","",IF(C888=跟进查询!$B$2,1+A887,A887))</f>
        <v/>
      </c>
      <c r="B888" s="39"/>
      <c r="C888" s="39"/>
      <c r="D888" s="39"/>
      <c r="E888" s="39"/>
      <c r="F888" s="41" t="e">
        <f>VLOOKUP(G888,源数据!A:K,11,FALSE)</f>
        <v>#N/A</v>
      </c>
      <c r="G888" s="42" t="str">
        <f t="shared" si="13"/>
        <v/>
      </c>
    </row>
    <row r="889" ht="15" spans="1:7">
      <c r="A889" s="36" t="str">
        <f>IF(C889="","",IF(C889=跟进查询!$B$2,1+A888,A888))</f>
        <v/>
      </c>
      <c r="B889" s="39"/>
      <c r="C889" s="39"/>
      <c r="D889" s="39"/>
      <c r="E889" s="39"/>
      <c r="F889" s="41" t="e">
        <f>VLOOKUP(G889,源数据!A:K,11,FALSE)</f>
        <v>#N/A</v>
      </c>
      <c r="G889" s="42" t="str">
        <f t="shared" si="13"/>
        <v/>
      </c>
    </row>
    <row r="890" ht="15" spans="1:7">
      <c r="A890" s="36" t="str">
        <f>IF(C890="","",IF(C890=跟进查询!$B$2,1+A889,A889))</f>
        <v/>
      </c>
      <c r="B890" s="39"/>
      <c r="C890" s="39"/>
      <c r="D890" s="39"/>
      <c r="E890" s="39"/>
      <c r="F890" s="41" t="e">
        <f>VLOOKUP(G890,源数据!A:K,11,FALSE)</f>
        <v>#N/A</v>
      </c>
      <c r="G890" s="42" t="str">
        <f t="shared" si="13"/>
        <v/>
      </c>
    </row>
    <row r="891" ht="15" spans="1:7">
      <c r="A891" s="36" t="str">
        <f>IF(C891="","",IF(C891=跟进查询!$B$2,1+A890,A890))</f>
        <v/>
      </c>
      <c r="B891" s="39"/>
      <c r="C891" s="39"/>
      <c r="D891" s="39"/>
      <c r="E891" s="39"/>
      <c r="F891" s="41" t="e">
        <f>VLOOKUP(G891,源数据!A:K,11,FALSE)</f>
        <v>#N/A</v>
      </c>
      <c r="G891" s="42" t="str">
        <f t="shared" si="13"/>
        <v/>
      </c>
    </row>
    <row r="892" ht="15" spans="1:7">
      <c r="A892" s="36" t="str">
        <f>IF(C892="","",IF(C892=跟进查询!$B$2,1+A891,A891))</f>
        <v/>
      </c>
      <c r="B892" s="39"/>
      <c r="C892" s="39"/>
      <c r="D892" s="39"/>
      <c r="E892" s="39"/>
      <c r="F892" s="41" t="e">
        <f>VLOOKUP(G892,源数据!A:K,11,FALSE)</f>
        <v>#N/A</v>
      </c>
      <c r="G892" s="42" t="str">
        <f t="shared" si="13"/>
        <v/>
      </c>
    </row>
    <row r="893" ht="15" spans="1:7">
      <c r="A893" s="36" t="str">
        <f>IF(C893="","",IF(C893=跟进查询!$B$2,1+A892,A892))</f>
        <v/>
      </c>
      <c r="B893" s="39"/>
      <c r="C893" s="39"/>
      <c r="D893" s="39"/>
      <c r="E893" s="39"/>
      <c r="F893" s="41" t="e">
        <f>VLOOKUP(G893,源数据!A:K,11,FALSE)</f>
        <v>#N/A</v>
      </c>
      <c r="G893" s="42" t="str">
        <f t="shared" si="13"/>
        <v/>
      </c>
    </row>
    <row r="894" ht="15" spans="1:7">
      <c r="A894" s="36" t="str">
        <f>IF(C894="","",IF(C894=跟进查询!$B$2,1+A893,A893))</f>
        <v/>
      </c>
      <c r="B894" s="39"/>
      <c r="C894" s="39"/>
      <c r="D894" s="39"/>
      <c r="E894" s="39"/>
      <c r="F894" s="41" t="e">
        <f>VLOOKUP(G894,源数据!A:K,11,FALSE)</f>
        <v>#N/A</v>
      </c>
      <c r="G894" s="42" t="str">
        <f t="shared" si="13"/>
        <v/>
      </c>
    </row>
    <row r="895" ht="15" spans="1:7">
      <c r="A895" s="36" t="str">
        <f>IF(C895="","",IF(C895=跟进查询!$B$2,1+A894,A894))</f>
        <v/>
      </c>
      <c r="B895" s="39"/>
      <c r="C895" s="39"/>
      <c r="D895" s="39"/>
      <c r="E895" s="39"/>
      <c r="F895" s="41" t="e">
        <f>VLOOKUP(G895,源数据!A:K,11,FALSE)</f>
        <v>#N/A</v>
      </c>
      <c r="G895" s="42" t="str">
        <f t="shared" si="13"/>
        <v/>
      </c>
    </row>
    <row r="896" ht="15" spans="1:7">
      <c r="A896" s="36" t="str">
        <f>IF(C896="","",IF(C896=跟进查询!$B$2,1+A895,A895))</f>
        <v/>
      </c>
      <c r="B896" s="39"/>
      <c r="C896" s="39"/>
      <c r="D896" s="39"/>
      <c r="E896" s="39"/>
      <c r="F896" s="41" t="e">
        <f>VLOOKUP(G896,源数据!A:K,11,FALSE)</f>
        <v>#N/A</v>
      </c>
      <c r="G896" s="42" t="str">
        <f t="shared" si="13"/>
        <v/>
      </c>
    </row>
    <row r="897" ht="15" spans="1:7">
      <c r="A897" s="36" t="str">
        <f>IF(C897="","",IF(C897=跟进查询!$B$2,1+A896,A896))</f>
        <v/>
      </c>
      <c r="B897" s="39"/>
      <c r="C897" s="39"/>
      <c r="D897" s="39"/>
      <c r="E897" s="39"/>
      <c r="F897" s="41" t="e">
        <f>VLOOKUP(G897,源数据!A:K,11,FALSE)</f>
        <v>#N/A</v>
      </c>
      <c r="G897" s="42" t="str">
        <f t="shared" si="13"/>
        <v/>
      </c>
    </row>
    <row r="898" ht="15" spans="1:7">
      <c r="A898" s="36" t="str">
        <f>IF(C898="","",IF(C898=跟进查询!$B$2,1+A897,A897))</f>
        <v/>
      </c>
      <c r="B898" s="39"/>
      <c r="C898" s="39"/>
      <c r="D898" s="39"/>
      <c r="E898" s="39"/>
      <c r="F898" s="41" t="e">
        <f>VLOOKUP(G898,源数据!A:K,11,FALSE)</f>
        <v>#N/A</v>
      </c>
      <c r="G898" s="42" t="str">
        <f t="shared" si="13"/>
        <v/>
      </c>
    </row>
    <row r="899" ht="15" spans="1:7">
      <c r="A899" s="36" t="str">
        <f>IF(C899="","",IF(C899=跟进查询!$B$2,1+A898,A898))</f>
        <v/>
      </c>
      <c r="B899" s="39"/>
      <c r="C899" s="39"/>
      <c r="D899" s="39"/>
      <c r="E899" s="39"/>
      <c r="F899" s="41" t="e">
        <f>VLOOKUP(G899,源数据!A:K,11,FALSE)</f>
        <v>#N/A</v>
      </c>
      <c r="G899" s="42" t="str">
        <f t="shared" si="13"/>
        <v/>
      </c>
    </row>
    <row r="900" ht="15" spans="1:7">
      <c r="A900" s="36" t="str">
        <f>IF(C900="","",IF(C900=跟进查询!$B$2,1+A899,A899))</f>
        <v/>
      </c>
      <c r="B900" s="39"/>
      <c r="C900" s="39"/>
      <c r="D900" s="39"/>
      <c r="E900" s="39"/>
      <c r="F900" s="41" t="e">
        <f>VLOOKUP(G900,源数据!A:K,11,FALSE)</f>
        <v>#N/A</v>
      </c>
      <c r="G900" s="42" t="str">
        <f t="shared" ref="G900:G963" si="14">B900&amp;C900</f>
        <v/>
      </c>
    </row>
    <row r="901" ht="15" spans="1:7">
      <c r="A901" s="36" t="str">
        <f>IF(C901="","",IF(C901=跟进查询!$B$2,1+A900,A900))</f>
        <v/>
      </c>
      <c r="B901" s="39"/>
      <c r="C901" s="39"/>
      <c r="D901" s="39"/>
      <c r="E901" s="39"/>
      <c r="F901" s="41" t="e">
        <f>VLOOKUP(G901,源数据!A:K,11,FALSE)</f>
        <v>#N/A</v>
      </c>
      <c r="G901" s="42" t="str">
        <f t="shared" si="14"/>
        <v/>
      </c>
    </row>
    <row r="902" ht="15" spans="1:7">
      <c r="A902" s="36" t="str">
        <f>IF(C902="","",IF(C902=跟进查询!$B$2,1+A901,A901))</f>
        <v/>
      </c>
      <c r="B902" s="39"/>
      <c r="C902" s="39"/>
      <c r="D902" s="39"/>
      <c r="E902" s="39"/>
      <c r="F902" s="41" t="e">
        <f>VLOOKUP(G902,源数据!A:K,11,FALSE)</f>
        <v>#N/A</v>
      </c>
      <c r="G902" s="42" t="str">
        <f t="shared" si="14"/>
        <v/>
      </c>
    </row>
    <row r="903" ht="15" spans="1:7">
      <c r="A903" s="36" t="str">
        <f>IF(C903="","",IF(C903=跟进查询!$B$2,1+A902,A902))</f>
        <v/>
      </c>
      <c r="B903" s="39"/>
      <c r="C903" s="39"/>
      <c r="D903" s="39"/>
      <c r="E903" s="39"/>
      <c r="F903" s="41" t="e">
        <f>VLOOKUP(G903,源数据!A:K,11,FALSE)</f>
        <v>#N/A</v>
      </c>
      <c r="G903" s="42" t="str">
        <f t="shared" si="14"/>
        <v/>
      </c>
    </row>
    <row r="904" ht="15" spans="1:7">
      <c r="A904" s="36" t="str">
        <f>IF(C904="","",IF(C904=跟进查询!$B$2,1+A903,A903))</f>
        <v/>
      </c>
      <c r="B904" s="39"/>
      <c r="C904" s="39"/>
      <c r="D904" s="39"/>
      <c r="E904" s="39"/>
      <c r="F904" s="41" t="e">
        <f>VLOOKUP(G904,源数据!A:K,11,FALSE)</f>
        <v>#N/A</v>
      </c>
      <c r="G904" s="42" t="str">
        <f t="shared" si="14"/>
        <v/>
      </c>
    </row>
    <row r="905" ht="15" spans="1:7">
      <c r="A905" s="36" t="str">
        <f>IF(C905="","",IF(C905=跟进查询!$B$2,1+A904,A904))</f>
        <v/>
      </c>
      <c r="B905" s="39"/>
      <c r="C905" s="39"/>
      <c r="D905" s="39"/>
      <c r="E905" s="39"/>
      <c r="F905" s="41" t="e">
        <f>VLOOKUP(G905,源数据!A:K,11,FALSE)</f>
        <v>#N/A</v>
      </c>
      <c r="G905" s="42" t="str">
        <f t="shared" si="14"/>
        <v/>
      </c>
    </row>
    <row r="906" ht="15" spans="1:7">
      <c r="A906" s="36" t="str">
        <f>IF(C906="","",IF(C906=跟进查询!$B$2,1+A905,A905))</f>
        <v/>
      </c>
      <c r="B906" s="39"/>
      <c r="C906" s="39"/>
      <c r="D906" s="39"/>
      <c r="E906" s="39"/>
      <c r="F906" s="41" t="e">
        <f>VLOOKUP(G906,源数据!A:K,11,FALSE)</f>
        <v>#N/A</v>
      </c>
      <c r="G906" s="42" t="str">
        <f t="shared" si="14"/>
        <v/>
      </c>
    </row>
    <row r="907" ht="15" spans="1:7">
      <c r="A907" s="36" t="str">
        <f>IF(C907="","",IF(C907=跟进查询!$B$2,1+A906,A906))</f>
        <v/>
      </c>
      <c r="B907" s="39"/>
      <c r="C907" s="39"/>
      <c r="D907" s="39"/>
      <c r="E907" s="39"/>
      <c r="F907" s="41" t="e">
        <f>VLOOKUP(G907,源数据!A:K,11,FALSE)</f>
        <v>#N/A</v>
      </c>
      <c r="G907" s="42" t="str">
        <f t="shared" si="14"/>
        <v/>
      </c>
    </row>
    <row r="908" ht="15" spans="1:7">
      <c r="A908" s="36" t="str">
        <f>IF(C908="","",IF(C908=跟进查询!$B$2,1+A907,A907))</f>
        <v/>
      </c>
      <c r="B908" s="39"/>
      <c r="C908" s="39"/>
      <c r="D908" s="39"/>
      <c r="E908" s="39"/>
      <c r="F908" s="41" t="e">
        <f>VLOOKUP(G908,源数据!A:K,11,FALSE)</f>
        <v>#N/A</v>
      </c>
      <c r="G908" s="42" t="str">
        <f t="shared" si="14"/>
        <v/>
      </c>
    </row>
    <row r="909" ht="15" spans="1:7">
      <c r="A909" s="36" t="str">
        <f>IF(C909="","",IF(C909=跟进查询!$B$2,1+A908,A908))</f>
        <v/>
      </c>
      <c r="B909" s="39"/>
      <c r="C909" s="39"/>
      <c r="D909" s="39"/>
      <c r="E909" s="39"/>
      <c r="F909" s="41" t="e">
        <f>VLOOKUP(G909,源数据!A:K,11,FALSE)</f>
        <v>#N/A</v>
      </c>
      <c r="G909" s="42" t="str">
        <f t="shared" si="14"/>
        <v/>
      </c>
    </row>
    <row r="910" ht="15" spans="1:7">
      <c r="A910" s="36" t="str">
        <f>IF(C910="","",IF(C910=跟进查询!$B$2,1+A909,A909))</f>
        <v/>
      </c>
      <c r="B910" s="39"/>
      <c r="C910" s="39"/>
      <c r="D910" s="39"/>
      <c r="E910" s="39"/>
      <c r="F910" s="41" t="e">
        <f>VLOOKUP(G910,源数据!A:K,11,FALSE)</f>
        <v>#N/A</v>
      </c>
      <c r="G910" s="42" t="str">
        <f t="shared" si="14"/>
        <v/>
      </c>
    </row>
    <row r="911" ht="15" spans="1:7">
      <c r="A911" s="36" t="str">
        <f>IF(C911="","",IF(C911=跟进查询!$B$2,1+A910,A910))</f>
        <v/>
      </c>
      <c r="B911" s="39"/>
      <c r="C911" s="39"/>
      <c r="D911" s="39"/>
      <c r="E911" s="39"/>
      <c r="F911" s="41" t="e">
        <f>VLOOKUP(G911,源数据!A:K,11,FALSE)</f>
        <v>#N/A</v>
      </c>
      <c r="G911" s="42" t="str">
        <f t="shared" si="14"/>
        <v/>
      </c>
    </row>
    <row r="912" ht="15" spans="1:7">
      <c r="A912" s="36" t="str">
        <f>IF(C912="","",IF(C912=跟进查询!$B$2,1+A911,A911))</f>
        <v/>
      </c>
      <c r="B912" s="39"/>
      <c r="C912" s="39"/>
      <c r="D912" s="39"/>
      <c r="E912" s="39"/>
      <c r="F912" s="41" t="e">
        <f>VLOOKUP(G912,源数据!A:K,11,FALSE)</f>
        <v>#N/A</v>
      </c>
      <c r="G912" s="42" t="str">
        <f t="shared" si="14"/>
        <v/>
      </c>
    </row>
    <row r="913" ht="15" spans="1:7">
      <c r="A913" s="36" t="str">
        <f>IF(C913="","",IF(C913=跟进查询!$B$2,1+A912,A912))</f>
        <v/>
      </c>
      <c r="B913" s="39"/>
      <c r="C913" s="39"/>
      <c r="D913" s="39"/>
      <c r="E913" s="39"/>
      <c r="F913" s="41" t="e">
        <f>VLOOKUP(G913,源数据!A:K,11,FALSE)</f>
        <v>#N/A</v>
      </c>
      <c r="G913" s="42" t="str">
        <f t="shared" si="14"/>
        <v/>
      </c>
    </row>
    <row r="914" ht="15" spans="1:7">
      <c r="A914" s="36" t="str">
        <f>IF(C914="","",IF(C914=跟进查询!$B$2,1+A913,A913))</f>
        <v/>
      </c>
      <c r="B914" s="39"/>
      <c r="C914" s="39"/>
      <c r="D914" s="39"/>
      <c r="E914" s="39"/>
      <c r="F914" s="41" t="e">
        <f>VLOOKUP(G914,源数据!A:K,11,FALSE)</f>
        <v>#N/A</v>
      </c>
      <c r="G914" s="42" t="str">
        <f t="shared" si="14"/>
        <v/>
      </c>
    </row>
    <row r="915" ht="15" spans="1:7">
      <c r="A915" s="36" t="str">
        <f>IF(C915="","",IF(C915=跟进查询!$B$2,1+A914,A914))</f>
        <v/>
      </c>
      <c r="B915" s="39"/>
      <c r="C915" s="39"/>
      <c r="D915" s="39"/>
      <c r="E915" s="39"/>
      <c r="F915" s="41" t="e">
        <f>VLOOKUP(G915,源数据!A:K,11,FALSE)</f>
        <v>#N/A</v>
      </c>
      <c r="G915" s="42" t="str">
        <f t="shared" si="14"/>
        <v/>
      </c>
    </row>
    <row r="916" ht="15" spans="1:7">
      <c r="A916" s="36" t="str">
        <f>IF(C916="","",IF(C916=跟进查询!$B$2,1+A915,A915))</f>
        <v/>
      </c>
      <c r="B916" s="39"/>
      <c r="C916" s="39"/>
      <c r="D916" s="39"/>
      <c r="E916" s="39"/>
      <c r="F916" s="41" t="e">
        <f>VLOOKUP(G916,源数据!A:K,11,FALSE)</f>
        <v>#N/A</v>
      </c>
      <c r="G916" s="42" t="str">
        <f t="shared" si="14"/>
        <v/>
      </c>
    </row>
    <row r="917" ht="15" spans="1:7">
      <c r="A917" s="36" t="str">
        <f>IF(C917="","",IF(C917=跟进查询!$B$2,1+A916,A916))</f>
        <v/>
      </c>
      <c r="B917" s="39"/>
      <c r="C917" s="39"/>
      <c r="D917" s="39"/>
      <c r="E917" s="39"/>
      <c r="F917" s="41" t="e">
        <f>VLOOKUP(G917,源数据!A:K,11,FALSE)</f>
        <v>#N/A</v>
      </c>
      <c r="G917" s="42" t="str">
        <f t="shared" si="14"/>
        <v/>
      </c>
    </row>
    <row r="918" ht="15" spans="1:7">
      <c r="A918" s="36" t="str">
        <f>IF(C918="","",IF(C918=跟进查询!$B$2,1+A917,A917))</f>
        <v/>
      </c>
      <c r="B918" s="39"/>
      <c r="C918" s="39"/>
      <c r="D918" s="39"/>
      <c r="E918" s="39"/>
      <c r="F918" s="41" t="e">
        <f>VLOOKUP(G918,源数据!A:K,11,FALSE)</f>
        <v>#N/A</v>
      </c>
      <c r="G918" s="42" t="str">
        <f t="shared" si="14"/>
        <v/>
      </c>
    </row>
    <row r="919" ht="15" spans="1:7">
      <c r="A919" s="36" t="str">
        <f>IF(C919="","",IF(C919=跟进查询!$B$2,1+A918,A918))</f>
        <v/>
      </c>
      <c r="B919" s="39"/>
      <c r="C919" s="39"/>
      <c r="D919" s="39"/>
      <c r="E919" s="39"/>
      <c r="F919" s="41" t="e">
        <f>VLOOKUP(G919,源数据!A:K,11,FALSE)</f>
        <v>#N/A</v>
      </c>
      <c r="G919" s="42" t="str">
        <f t="shared" si="14"/>
        <v/>
      </c>
    </row>
    <row r="920" ht="15" spans="1:7">
      <c r="A920" s="36" t="str">
        <f>IF(C920="","",IF(C920=跟进查询!$B$2,1+A919,A919))</f>
        <v/>
      </c>
      <c r="B920" s="39"/>
      <c r="C920" s="39"/>
      <c r="D920" s="39"/>
      <c r="E920" s="39"/>
      <c r="F920" s="41" t="e">
        <f>VLOOKUP(G920,源数据!A:K,11,FALSE)</f>
        <v>#N/A</v>
      </c>
      <c r="G920" s="42" t="str">
        <f t="shared" si="14"/>
        <v/>
      </c>
    </row>
    <row r="921" ht="15" spans="1:7">
      <c r="A921" s="36" t="str">
        <f>IF(C921="","",IF(C921=跟进查询!$B$2,1+A920,A920))</f>
        <v/>
      </c>
      <c r="B921" s="39"/>
      <c r="C921" s="39"/>
      <c r="D921" s="39"/>
      <c r="E921" s="39"/>
      <c r="F921" s="41" t="e">
        <f>VLOOKUP(G921,源数据!A:K,11,FALSE)</f>
        <v>#N/A</v>
      </c>
      <c r="G921" s="42" t="str">
        <f t="shared" si="14"/>
        <v/>
      </c>
    </row>
    <row r="922" ht="15" spans="1:7">
      <c r="A922" s="36" t="str">
        <f>IF(C922="","",IF(C922=跟进查询!$B$2,1+A921,A921))</f>
        <v/>
      </c>
      <c r="B922" s="39"/>
      <c r="C922" s="39"/>
      <c r="D922" s="39"/>
      <c r="E922" s="39"/>
      <c r="F922" s="41" t="e">
        <f>VLOOKUP(G922,源数据!A:K,11,FALSE)</f>
        <v>#N/A</v>
      </c>
      <c r="G922" s="42" t="str">
        <f t="shared" si="14"/>
        <v/>
      </c>
    </row>
    <row r="923" ht="15" spans="1:7">
      <c r="A923" s="36" t="str">
        <f>IF(C923="","",IF(C923=跟进查询!$B$2,1+A922,A922))</f>
        <v/>
      </c>
      <c r="B923" s="39"/>
      <c r="C923" s="39"/>
      <c r="D923" s="39"/>
      <c r="E923" s="39"/>
      <c r="F923" s="41" t="e">
        <f>VLOOKUP(G923,源数据!A:K,11,FALSE)</f>
        <v>#N/A</v>
      </c>
      <c r="G923" s="42" t="str">
        <f t="shared" si="14"/>
        <v/>
      </c>
    </row>
    <row r="924" ht="15" spans="1:7">
      <c r="A924" s="36" t="str">
        <f>IF(C924="","",IF(C924=跟进查询!$B$2,1+A923,A923))</f>
        <v/>
      </c>
      <c r="B924" s="39"/>
      <c r="C924" s="39"/>
      <c r="D924" s="39"/>
      <c r="E924" s="39"/>
      <c r="F924" s="41" t="e">
        <f>VLOOKUP(G924,源数据!A:K,11,FALSE)</f>
        <v>#N/A</v>
      </c>
      <c r="G924" s="42" t="str">
        <f t="shared" si="14"/>
        <v/>
      </c>
    </row>
    <row r="925" ht="15" spans="1:7">
      <c r="A925" s="36" t="str">
        <f>IF(C925="","",IF(C925=跟进查询!$B$2,1+A924,A924))</f>
        <v/>
      </c>
      <c r="B925" s="39"/>
      <c r="C925" s="39"/>
      <c r="D925" s="39"/>
      <c r="E925" s="39"/>
      <c r="F925" s="41" t="e">
        <f>VLOOKUP(G925,源数据!A:K,11,FALSE)</f>
        <v>#N/A</v>
      </c>
      <c r="G925" s="42" t="str">
        <f t="shared" si="14"/>
        <v/>
      </c>
    </row>
    <row r="926" ht="15" spans="1:7">
      <c r="A926" s="36" t="str">
        <f>IF(C926="","",IF(C926=跟进查询!$B$2,1+A925,A925))</f>
        <v/>
      </c>
      <c r="B926" s="39"/>
      <c r="C926" s="39"/>
      <c r="D926" s="39"/>
      <c r="E926" s="39"/>
      <c r="F926" s="41" t="e">
        <f>VLOOKUP(G926,源数据!A:K,11,FALSE)</f>
        <v>#N/A</v>
      </c>
      <c r="G926" s="42" t="str">
        <f t="shared" si="14"/>
        <v/>
      </c>
    </row>
    <row r="927" ht="15" spans="1:7">
      <c r="A927" s="36" t="str">
        <f>IF(C927="","",IF(C927=跟进查询!$B$2,1+A926,A926))</f>
        <v/>
      </c>
      <c r="B927" s="39"/>
      <c r="C927" s="39"/>
      <c r="D927" s="39"/>
      <c r="E927" s="39"/>
      <c r="F927" s="41" t="e">
        <f>VLOOKUP(G927,源数据!A:K,11,FALSE)</f>
        <v>#N/A</v>
      </c>
      <c r="G927" s="42" t="str">
        <f t="shared" si="14"/>
        <v/>
      </c>
    </row>
    <row r="928" ht="15" spans="1:7">
      <c r="A928" s="36" t="str">
        <f>IF(C928="","",IF(C928=跟进查询!$B$2,1+A927,A927))</f>
        <v/>
      </c>
      <c r="B928" s="39"/>
      <c r="C928" s="39"/>
      <c r="D928" s="39"/>
      <c r="E928" s="39"/>
      <c r="F928" s="41" t="e">
        <f>VLOOKUP(G928,源数据!A:K,11,FALSE)</f>
        <v>#N/A</v>
      </c>
      <c r="G928" s="42" t="str">
        <f t="shared" si="14"/>
        <v/>
      </c>
    </row>
    <row r="929" ht="15" spans="1:7">
      <c r="A929" s="36" t="str">
        <f>IF(C929="","",IF(C929=跟进查询!$B$2,1+A928,A928))</f>
        <v/>
      </c>
      <c r="B929" s="39"/>
      <c r="C929" s="39"/>
      <c r="D929" s="39"/>
      <c r="E929" s="39"/>
      <c r="F929" s="41" t="e">
        <f>VLOOKUP(G929,源数据!A:K,11,FALSE)</f>
        <v>#N/A</v>
      </c>
      <c r="G929" s="42" t="str">
        <f t="shared" si="14"/>
        <v/>
      </c>
    </row>
    <row r="930" ht="15" spans="1:7">
      <c r="A930" s="36" t="str">
        <f>IF(C930="","",IF(C930=跟进查询!$B$2,1+A929,A929))</f>
        <v/>
      </c>
      <c r="B930" s="39"/>
      <c r="C930" s="39"/>
      <c r="D930" s="39"/>
      <c r="E930" s="39"/>
      <c r="F930" s="41" t="e">
        <f>VLOOKUP(G930,源数据!A:K,11,FALSE)</f>
        <v>#N/A</v>
      </c>
      <c r="G930" s="42" t="str">
        <f t="shared" si="14"/>
        <v/>
      </c>
    </row>
    <row r="931" ht="15" spans="1:7">
      <c r="A931" s="36" t="str">
        <f>IF(C931="","",IF(C931=跟进查询!$B$2,1+A930,A930))</f>
        <v/>
      </c>
      <c r="B931" s="39"/>
      <c r="C931" s="39"/>
      <c r="D931" s="39"/>
      <c r="E931" s="39"/>
      <c r="F931" s="41" t="e">
        <f>VLOOKUP(G931,源数据!A:K,11,FALSE)</f>
        <v>#N/A</v>
      </c>
      <c r="G931" s="42" t="str">
        <f t="shared" si="14"/>
        <v/>
      </c>
    </row>
    <row r="932" ht="15" spans="1:7">
      <c r="A932" s="36" t="str">
        <f>IF(C932="","",IF(C932=跟进查询!$B$2,1+A931,A931))</f>
        <v/>
      </c>
      <c r="B932" s="39"/>
      <c r="C932" s="39"/>
      <c r="D932" s="39"/>
      <c r="E932" s="39"/>
      <c r="F932" s="41" t="e">
        <f>VLOOKUP(G932,源数据!A:K,11,FALSE)</f>
        <v>#N/A</v>
      </c>
      <c r="G932" s="42" t="str">
        <f t="shared" si="14"/>
        <v/>
      </c>
    </row>
    <row r="933" ht="15" spans="1:7">
      <c r="A933" s="36" t="str">
        <f>IF(C933="","",IF(C933=跟进查询!$B$2,1+A932,A932))</f>
        <v/>
      </c>
      <c r="B933" s="39"/>
      <c r="C933" s="39"/>
      <c r="D933" s="39"/>
      <c r="E933" s="39"/>
      <c r="F933" s="41" t="e">
        <f>VLOOKUP(G933,源数据!A:K,11,FALSE)</f>
        <v>#N/A</v>
      </c>
      <c r="G933" s="42" t="str">
        <f t="shared" si="14"/>
        <v/>
      </c>
    </row>
    <row r="934" ht="15" spans="1:7">
      <c r="A934" s="36" t="str">
        <f>IF(C934="","",IF(C934=跟进查询!$B$2,1+A933,A933))</f>
        <v/>
      </c>
      <c r="B934" s="39"/>
      <c r="C934" s="39"/>
      <c r="D934" s="39"/>
      <c r="E934" s="39"/>
      <c r="F934" s="41" t="e">
        <f>VLOOKUP(G934,源数据!A:K,11,FALSE)</f>
        <v>#N/A</v>
      </c>
      <c r="G934" s="42" t="str">
        <f t="shared" si="14"/>
        <v/>
      </c>
    </row>
    <row r="935" ht="15" spans="1:7">
      <c r="A935" s="36" t="str">
        <f>IF(C935="","",IF(C935=跟进查询!$B$2,1+A934,A934))</f>
        <v/>
      </c>
      <c r="B935" s="39"/>
      <c r="C935" s="39"/>
      <c r="D935" s="39"/>
      <c r="E935" s="39"/>
      <c r="F935" s="41" t="e">
        <f>VLOOKUP(G935,源数据!A:K,11,FALSE)</f>
        <v>#N/A</v>
      </c>
      <c r="G935" s="42" t="str">
        <f t="shared" si="14"/>
        <v/>
      </c>
    </row>
    <row r="936" ht="15" spans="1:7">
      <c r="A936" s="36" t="str">
        <f>IF(C936="","",IF(C936=跟进查询!$B$2,1+A935,A935))</f>
        <v/>
      </c>
      <c r="B936" s="39"/>
      <c r="C936" s="39"/>
      <c r="D936" s="39"/>
      <c r="E936" s="39"/>
      <c r="F936" s="41" t="e">
        <f>VLOOKUP(G936,源数据!A:K,11,FALSE)</f>
        <v>#N/A</v>
      </c>
      <c r="G936" s="42" t="str">
        <f t="shared" si="14"/>
        <v/>
      </c>
    </row>
    <row r="937" ht="15" spans="1:7">
      <c r="A937" s="36" t="str">
        <f>IF(C937="","",IF(C937=跟进查询!$B$2,1+A936,A936))</f>
        <v/>
      </c>
      <c r="B937" s="39"/>
      <c r="C937" s="39"/>
      <c r="D937" s="39"/>
      <c r="E937" s="39"/>
      <c r="F937" s="41" t="e">
        <f>VLOOKUP(G937,源数据!A:K,11,FALSE)</f>
        <v>#N/A</v>
      </c>
      <c r="G937" s="42" t="str">
        <f t="shared" si="14"/>
        <v/>
      </c>
    </row>
    <row r="938" ht="15" spans="1:7">
      <c r="A938" s="36" t="str">
        <f>IF(C938="","",IF(C938=跟进查询!$B$2,1+A937,A937))</f>
        <v/>
      </c>
      <c r="B938" s="39"/>
      <c r="C938" s="39"/>
      <c r="D938" s="39"/>
      <c r="E938" s="39"/>
      <c r="F938" s="41" t="e">
        <f>VLOOKUP(G938,源数据!A:K,11,FALSE)</f>
        <v>#N/A</v>
      </c>
      <c r="G938" s="42" t="str">
        <f t="shared" si="14"/>
        <v/>
      </c>
    </row>
    <row r="939" ht="15" spans="1:7">
      <c r="A939" s="36" t="str">
        <f>IF(C939="","",IF(C939=跟进查询!$B$2,1+A938,A938))</f>
        <v/>
      </c>
      <c r="B939" s="39"/>
      <c r="C939" s="39"/>
      <c r="D939" s="39"/>
      <c r="E939" s="39"/>
      <c r="F939" s="41" t="e">
        <f>VLOOKUP(G939,源数据!A:K,11,FALSE)</f>
        <v>#N/A</v>
      </c>
      <c r="G939" s="42" t="str">
        <f t="shared" si="14"/>
        <v/>
      </c>
    </row>
    <row r="940" ht="15" spans="1:7">
      <c r="A940" s="36" t="str">
        <f>IF(C940="","",IF(C940=跟进查询!$B$2,1+A939,A939))</f>
        <v/>
      </c>
      <c r="B940" s="39"/>
      <c r="C940" s="39"/>
      <c r="D940" s="39"/>
      <c r="E940" s="39"/>
      <c r="F940" s="41" t="e">
        <f>VLOOKUP(G940,源数据!A:K,11,FALSE)</f>
        <v>#N/A</v>
      </c>
      <c r="G940" s="42" t="str">
        <f t="shared" si="14"/>
        <v/>
      </c>
    </row>
    <row r="941" ht="15" spans="1:7">
      <c r="A941" s="36" t="str">
        <f>IF(C941="","",IF(C941=跟进查询!$B$2,1+A940,A940))</f>
        <v/>
      </c>
      <c r="B941" s="39"/>
      <c r="C941" s="39"/>
      <c r="D941" s="39"/>
      <c r="E941" s="39"/>
      <c r="F941" s="41" t="e">
        <f>VLOOKUP(G941,源数据!A:K,11,FALSE)</f>
        <v>#N/A</v>
      </c>
      <c r="G941" s="42" t="str">
        <f t="shared" si="14"/>
        <v/>
      </c>
    </row>
    <row r="942" ht="15" spans="1:7">
      <c r="A942" s="36" t="str">
        <f>IF(C942="","",IF(C942=跟进查询!$B$2,1+A941,A941))</f>
        <v/>
      </c>
      <c r="B942" s="39"/>
      <c r="C942" s="39"/>
      <c r="D942" s="39"/>
      <c r="E942" s="39"/>
      <c r="F942" s="41" t="e">
        <f>VLOOKUP(G942,源数据!A:K,11,FALSE)</f>
        <v>#N/A</v>
      </c>
      <c r="G942" s="42" t="str">
        <f t="shared" si="14"/>
        <v/>
      </c>
    </row>
    <row r="943" ht="15" spans="1:7">
      <c r="A943" s="36" t="str">
        <f>IF(C943="","",IF(C943=跟进查询!$B$2,1+A942,A942))</f>
        <v/>
      </c>
      <c r="B943" s="39"/>
      <c r="C943" s="39"/>
      <c r="D943" s="39"/>
      <c r="E943" s="39"/>
      <c r="F943" s="41" t="e">
        <f>VLOOKUP(G943,源数据!A:K,11,FALSE)</f>
        <v>#N/A</v>
      </c>
      <c r="G943" s="42" t="str">
        <f t="shared" si="14"/>
        <v/>
      </c>
    </row>
    <row r="944" ht="15" spans="1:7">
      <c r="A944" s="36" t="str">
        <f>IF(C944="","",IF(C944=跟进查询!$B$2,1+A943,A943))</f>
        <v/>
      </c>
      <c r="B944" s="39"/>
      <c r="C944" s="39"/>
      <c r="D944" s="39"/>
      <c r="E944" s="39"/>
      <c r="F944" s="41" t="e">
        <f>VLOOKUP(G944,源数据!A:K,11,FALSE)</f>
        <v>#N/A</v>
      </c>
      <c r="G944" s="42" t="str">
        <f t="shared" si="14"/>
        <v/>
      </c>
    </row>
    <row r="945" ht="15" spans="1:7">
      <c r="A945" s="36" t="str">
        <f>IF(C945="","",IF(C945=跟进查询!$B$2,1+A944,A944))</f>
        <v/>
      </c>
      <c r="B945" s="39"/>
      <c r="C945" s="39"/>
      <c r="D945" s="39"/>
      <c r="E945" s="39"/>
      <c r="F945" s="41" t="e">
        <f>VLOOKUP(G945,源数据!A:K,11,FALSE)</f>
        <v>#N/A</v>
      </c>
      <c r="G945" s="42" t="str">
        <f t="shared" si="14"/>
        <v/>
      </c>
    </row>
    <row r="946" ht="15" spans="1:7">
      <c r="A946" s="36" t="str">
        <f>IF(C946="","",IF(C946=跟进查询!$B$2,1+A945,A945))</f>
        <v/>
      </c>
      <c r="B946" s="39"/>
      <c r="C946" s="39"/>
      <c r="D946" s="39"/>
      <c r="E946" s="39"/>
      <c r="F946" s="41" t="e">
        <f>VLOOKUP(G946,源数据!A:K,11,FALSE)</f>
        <v>#N/A</v>
      </c>
      <c r="G946" s="42" t="str">
        <f t="shared" si="14"/>
        <v/>
      </c>
    </row>
    <row r="947" ht="15" spans="1:7">
      <c r="A947" s="36" t="str">
        <f>IF(C947="","",IF(C947=跟进查询!$B$2,1+A946,A946))</f>
        <v/>
      </c>
      <c r="B947" s="39"/>
      <c r="C947" s="39"/>
      <c r="D947" s="39"/>
      <c r="E947" s="39"/>
      <c r="F947" s="41" t="e">
        <f>VLOOKUP(G947,源数据!A:K,11,FALSE)</f>
        <v>#N/A</v>
      </c>
      <c r="G947" s="42" t="str">
        <f t="shared" si="14"/>
        <v/>
      </c>
    </row>
    <row r="948" ht="15" spans="1:7">
      <c r="A948" s="36" t="str">
        <f>IF(C948="","",IF(C948=跟进查询!$B$2,1+A947,A947))</f>
        <v/>
      </c>
      <c r="B948" s="39"/>
      <c r="C948" s="39"/>
      <c r="D948" s="39"/>
      <c r="E948" s="39"/>
      <c r="F948" s="41" t="e">
        <f>VLOOKUP(G948,源数据!A:K,11,FALSE)</f>
        <v>#N/A</v>
      </c>
      <c r="G948" s="42" t="str">
        <f t="shared" si="14"/>
        <v/>
      </c>
    </row>
    <row r="949" ht="15" spans="1:7">
      <c r="A949" s="36" t="str">
        <f>IF(C949="","",IF(C949=跟进查询!$B$2,1+A948,A948))</f>
        <v/>
      </c>
      <c r="B949" s="39"/>
      <c r="C949" s="39"/>
      <c r="D949" s="39"/>
      <c r="E949" s="39"/>
      <c r="F949" s="41" t="e">
        <f>VLOOKUP(G949,源数据!A:K,11,FALSE)</f>
        <v>#N/A</v>
      </c>
      <c r="G949" s="42" t="str">
        <f t="shared" si="14"/>
        <v/>
      </c>
    </row>
    <row r="950" ht="15" spans="1:7">
      <c r="A950" s="36" t="str">
        <f>IF(C950="","",IF(C950=跟进查询!$B$2,1+A949,A949))</f>
        <v/>
      </c>
      <c r="B950" s="39"/>
      <c r="C950" s="39"/>
      <c r="D950" s="39"/>
      <c r="E950" s="39"/>
      <c r="F950" s="41" t="e">
        <f>VLOOKUP(G950,源数据!A:K,11,FALSE)</f>
        <v>#N/A</v>
      </c>
      <c r="G950" s="42" t="str">
        <f t="shared" si="14"/>
        <v/>
      </c>
    </row>
    <row r="951" ht="15" spans="1:7">
      <c r="A951" s="36" t="str">
        <f>IF(C951="","",IF(C951=跟进查询!$B$2,1+A950,A950))</f>
        <v/>
      </c>
      <c r="B951" s="39"/>
      <c r="C951" s="39"/>
      <c r="D951" s="39"/>
      <c r="E951" s="39"/>
      <c r="F951" s="41" t="e">
        <f>VLOOKUP(G951,源数据!A:K,11,FALSE)</f>
        <v>#N/A</v>
      </c>
      <c r="G951" s="42" t="str">
        <f t="shared" si="14"/>
        <v/>
      </c>
    </row>
    <row r="952" ht="15" spans="1:7">
      <c r="A952" s="36" t="str">
        <f>IF(C952="","",IF(C952=跟进查询!$B$2,1+A951,A951))</f>
        <v/>
      </c>
      <c r="B952" s="39"/>
      <c r="C952" s="39"/>
      <c r="D952" s="39"/>
      <c r="E952" s="39"/>
      <c r="F952" s="41" t="e">
        <f>VLOOKUP(G952,源数据!A:K,11,FALSE)</f>
        <v>#N/A</v>
      </c>
      <c r="G952" s="42" t="str">
        <f t="shared" si="14"/>
        <v/>
      </c>
    </row>
    <row r="953" ht="15" spans="1:7">
      <c r="A953" s="36" t="str">
        <f>IF(C953="","",IF(C953=跟进查询!$B$2,1+A952,A952))</f>
        <v/>
      </c>
      <c r="B953" s="39"/>
      <c r="C953" s="39"/>
      <c r="D953" s="39"/>
      <c r="E953" s="39"/>
      <c r="F953" s="41" t="e">
        <f>VLOOKUP(G953,源数据!A:K,11,FALSE)</f>
        <v>#N/A</v>
      </c>
      <c r="G953" s="42" t="str">
        <f t="shared" si="14"/>
        <v/>
      </c>
    </row>
    <row r="954" ht="15" spans="1:7">
      <c r="A954" s="36" t="str">
        <f>IF(C954="","",IF(C954=跟进查询!$B$2,1+A953,A953))</f>
        <v/>
      </c>
      <c r="B954" s="39"/>
      <c r="C954" s="39"/>
      <c r="D954" s="39"/>
      <c r="E954" s="39"/>
      <c r="F954" s="41" t="e">
        <f>VLOOKUP(G954,源数据!A:K,11,FALSE)</f>
        <v>#N/A</v>
      </c>
      <c r="G954" s="42" t="str">
        <f t="shared" si="14"/>
        <v/>
      </c>
    </row>
    <row r="955" ht="15" spans="1:7">
      <c r="A955" s="36" t="str">
        <f>IF(C955="","",IF(C955=跟进查询!$B$2,1+A954,A954))</f>
        <v/>
      </c>
      <c r="B955" s="39"/>
      <c r="C955" s="39"/>
      <c r="D955" s="39"/>
      <c r="E955" s="39"/>
      <c r="F955" s="41" t="e">
        <f>VLOOKUP(G955,源数据!A:K,11,FALSE)</f>
        <v>#N/A</v>
      </c>
      <c r="G955" s="42" t="str">
        <f t="shared" si="14"/>
        <v/>
      </c>
    </row>
    <row r="956" ht="15" spans="1:7">
      <c r="A956" s="36" t="str">
        <f>IF(C956="","",IF(C956=跟进查询!$B$2,1+A955,A955))</f>
        <v/>
      </c>
      <c r="B956" s="39"/>
      <c r="C956" s="39"/>
      <c r="D956" s="39"/>
      <c r="E956" s="39"/>
      <c r="F956" s="41" t="e">
        <f>VLOOKUP(G956,源数据!A:K,11,FALSE)</f>
        <v>#N/A</v>
      </c>
      <c r="G956" s="42" t="str">
        <f t="shared" si="14"/>
        <v/>
      </c>
    </row>
    <row r="957" ht="15" spans="1:7">
      <c r="A957" s="36" t="str">
        <f>IF(C957="","",IF(C957=跟进查询!$B$2,1+A956,A956))</f>
        <v/>
      </c>
      <c r="B957" s="39"/>
      <c r="C957" s="39"/>
      <c r="D957" s="39"/>
      <c r="E957" s="39"/>
      <c r="F957" s="41" t="e">
        <f>VLOOKUP(G957,源数据!A:K,11,FALSE)</f>
        <v>#N/A</v>
      </c>
      <c r="G957" s="42" t="str">
        <f t="shared" si="14"/>
        <v/>
      </c>
    </row>
    <row r="958" ht="15" spans="1:7">
      <c r="A958" s="36" t="str">
        <f>IF(C958="","",IF(C958=跟进查询!$B$2,1+A957,A957))</f>
        <v/>
      </c>
      <c r="B958" s="39"/>
      <c r="C958" s="39"/>
      <c r="D958" s="39"/>
      <c r="E958" s="39"/>
      <c r="F958" s="41" t="e">
        <f>VLOOKUP(G958,源数据!A:K,11,FALSE)</f>
        <v>#N/A</v>
      </c>
      <c r="G958" s="42" t="str">
        <f t="shared" si="14"/>
        <v/>
      </c>
    </row>
    <row r="959" ht="15" spans="1:7">
      <c r="A959" s="36" t="str">
        <f>IF(C959="","",IF(C959=跟进查询!$B$2,1+A958,A958))</f>
        <v/>
      </c>
      <c r="B959" s="39"/>
      <c r="C959" s="39"/>
      <c r="D959" s="39"/>
      <c r="E959" s="39"/>
      <c r="F959" s="41" t="e">
        <f>VLOOKUP(G959,源数据!A:K,11,FALSE)</f>
        <v>#N/A</v>
      </c>
      <c r="G959" s="42" t="str">
        <f t="shared" si="14"/>
        <v/>
      </c>
    </row>
    <row r="960" ht="15" spans="1:7">
      <c r="A960" s="36" t="str">
        <f>IF(C960="","",IF(C960=跟进查询!$B$2,1+A959,A959))</f>
        <v/>
      </c>
      <c r="B960" s="39"/>
      <c r="C960" s="39"/>
      <c r="D960" s="39"/>
      <c r="E960" s="39"/>
      <c r="F960" s="41" t="e">
        <f>VLOOKUP(G960,源数据!A:K,11,FALSE)</f>
        <v>#N/A</v>
      </c>
      <c r="G960" s="42" t="str">
        <f t="shared" si="14"/>
        <v/>
      </c>
    </row>
    <row r="961" ht="15" spans="1:7">
      <c r="A961" s="36" t="str">
        <f>IF(C961="","",IF(C961=跟进查询!$B$2,1+A960,A960))</f>
        <v/>
      </c>
      <c r="B961" s="39"/>
      <c r="C961" s="39"/>
      <c r="D961" s="39"/>
      <c r="E961" s="39"/>
      <c r="F961" s="41" t="e">
        <f>VLOOKUP(G961,源数据!A:K,11,FALSE)</f>
        <v>#N/A</v>
      </c>
      <c r="G961" s="42" t="str">
        <f t="shared" si="14"/>
        <v/>
      </c>
    </row>
    <row r="962" ht="15" spans="1:7">
      <c r="A962" s="36" t="str">
        <f>IF(C962="","",IF(C962=跟进查询!$B$2,1+A961,A961))</f>
        <v/>
      </c>
      <c r="B962" s="39"/>
      <c r="C962" s="39"/>
      <c r="D962" s="39"/>
      <c r="E962" s="39"/>
      <c r="F962" s="41" t="e">
        <f>VLOOKUP(G962,源数据!A:K,11,FALSE)</f>
        <v>#N/A</v>
      </c>
      <c r="G962" s="42" t="str">
        <f t="shared" si="14"/>
        <v/>
      </c>
    </row>
    <row r="963" ht="15" spans="1:7">
      <c r="A963" s="36" t="str">
        <f>IF(C963="","",IF(C963=跟进查询!$B$2,1+A962,A962))</f>
        <v/>
      </c>
      <c r="B963" s="39"/>
      <c r="C963" s="39"/>
      <c r="D963" s="39"/>
      <c r="E963" s="39"/>
      <c r="F963" s="41" t="e">
        <f>VLOOKUP(G963,源数据!A:K,11,FALSE)</f>
        <v>#N/A</v>
      </c>
      <c r="G963" s="42" t="str">
        <f t="shared" si="14"/>
        <v/>
      </c>
    </row>
    <row r="964" ht="15" spans="1:7">
      <c r="A964" s="36" t="str">
        <f>IF(C964="","",IF(C964=跟进查询!$B$2,1+A963,A963))</f>
        <v/>
      </c>
      <c r="B964" s="39"/>
      <c r="C964" s="39"/>
      <c r="D964" s="39"/>
      <c r="E964" s="39"/>
      <c r="F964" s="41" t="e">
        <f>VLOOKUP(G964,源数据!A:K,11,FALSE)</f>
        <v>#N/A</v>
      </c>
      <c r="G964" s="42" t="str">
        <f t="shared" ref="G964:G997" si="15">B964&amp;C964</f>
        <v/>
      </c>
    </row>
    <row r="965" ht="15" spans="1:7">
      <c r="A965" s="36" t="str">
        <f>IF(C965="","",IF(C965=跟进查询!$B$2,1+A964,A964))</f>
        <v/>
      </c>
      <c r="B965" s="39"/>
      <c r="C965" s="39"/>
      <c r="D965" s="39"/>
      <c r="E965" s="39"/>
      <c r="F965" s="41" t="e">
        <f>VLOOKUP(G965,源数据!A:K,11,FALSE)</f>
        <v>#N/A</v>
      </c>
      <c r="G965" s="42" t="str">
        <f t="shared" si="15"/>
        <v/>
      </c>
    </row>
    <row r="966" ht="15" spans="1:7">
      <c r="A966" s="36" t="str">
        <f>IF(C966="","",IF(C966=跟进查询!$B$2,1+A965,A965))</f>
        <v/>
      </c>
      <c r="B966" s="39"/>
      <c r="C966" s="39"/>
      <c r="D966" s="39"/>
      <c r="E966" s="39"/>
      <c r="F966" s="41" t="e">
        <f>VLOOKUP(G966,源数据!A:K,11,FALSE)</f>
        <v>#N/A</v>
      </c>
      <c r="G966" s="42" t="str">
        <f t="shared" si="15"/>
        <v/>
      </c>
    </row>
    <row r="967" ht="15" spans="1:7">
      <c r="A967" s="36" t="str">
        <f>IF(C967="","",IF(C967=跟进查询!$B$2,1+A966,A966))</f>
        <v/>
      </c>
      <c r="B967" s="39"/>
      <c r="C967" s="39"/>
      <c r="D967" s="39"/>
      <c r="E967" s="39"/>
      <c r="F967" s="41" t="e">
        <f>VLOOKUP(G967,源数据!A:K,11,FALSE)</f>
        <v>#N/A</v>
      </c>
      <c r="G967" s="42" t="str">
        <f t="shared" si="15"/>
        <v/>
      </c>
    </row>
    <row r="968" ht="15" spans="1:7">
      <c r="A968" s="36" t="str">
        <f>IF(C968="","",IF(C968=跟进查询!$B$2,1+A967,A967))</f>
        <v/>
      </c>
      <c r="B968" s="39"/>
      <c r="C968" s="39"/>
      <c r="D968" s="39"/>
      <c r="E968" s="39"/>
      <c r="F968" s="41" t="e">
        <f>VLOOKUP(G968,源数据!A:K,11,FALSE)</f>
        <v>#N/A</v>
      </c>
      <c r="G968" s="42" t="str">
        <f t="shared" si="15"/>
        <v/>
      </c>
    </row>
    <row r="969" ht="15" spans="1:7">
      <c r="A969" s="36" t="str">
        <f>IF(C969="","",IF(C969=跟进查询!$B$2,1+A968,A968))</f>
        <v/>
      </c>
      <c r="B969" s="39"/>
      <c r="C969" s="39"/>
      <c r="D969" s="39"/>
      <c r="E969" s="39"/>
      <c r="F969" s="41" t="e">
        <f>VLOOKUP(G969,源数据!A:K,11,FALSE)</f>
        <v>#N/A</v>
      </c>
      <c r="G969" s="42" t="str">
        <f t="shared" si="15"/>
        <v/>
      </c>
    </row>
    <row r="970" ht="15" spans="1:7">
      <c r="A970" s="36" t="str">
        <f>IF(C970="","",IF(C970=跟进查询!$B$2,1+A969,A969))</f>
        <v/>
      </c>
      <c r="B970" s="39"/>
      <c r="C970" s="39"/>
      <c r="D970" s="39"/>
      <c r="E970" s="39"/>
      <c r="F970" s="41" t="e">
        <f>VLOOKUP(G970,源数据!A:K,11,FALSE)</f>
        <v>#N/A</v>
      </c>
      <c r="G970" s="42" t="str">
        <f t="shared" si="15"/>
        <v/>
      </c>
    </row>
    <row r="971" ht="15" spans="1:7">
      <c r="A971" s="36" t="str">
        <f>IF(C971="","",IF(C971=跟进查询!$B$2,1+A970,A970))</f>
        <v/>
      </c>
      <c r="B971" s="39"/>
      <c r="C971" s="39"/>
      <c r="D971" s="39"/>
      <c r="E971" s="39"/>
      <c r="F971" s="41" t="e">
        <f>VLOOKUP(G971,源数据!A:K,11,FALSE)</f>
        <v>#N/A</v>
      </c>
      <c r="G971" s="42" t="str">
        <f t="shared" si="15"/>
        <v/>
      </c>
    </row>
    <row r="972" ht="15" spans="1:7">
      <c r="A972" s="36" t="str">
        <f>IF(C972="","",IF(C972=跟进查询!$B$2,1+A971,A971))</f>
        <v/>
      </c>
      <c r="B972" s="39"/>
      <c r="C972" s="39"/>
      <c r="D972" s="39"/>
      <c r="E972" s="39"/>
      <c r="F972" s="41" t="e">
        <f>VLOOKUP(G972,源数据!A:K,11,FALSE)</f>
        <v>#N/A</v>
      </c>
      <c r="G972" s="42" t="str">
        <f t="shared" si="15"/>
        <v/>
      </c>
    </row>
    <row r="973" ht="15" spans="1:7">
      <c r="A973" s="36" t="str">
        <f>IF(C973="","",IF(C973=跟进查询!$B$2,1+A972,A972))</f>
        <v/>
      </c>
      <c r="B973" s="39"/>
      <c r="C973" s="39"/>
      <c r="D973" s="39"/>
      <c r="E973" s="39"/>
      <c r="F973" s="41" t="e">
        <f>VLOOKUP(G973,源数据!A:K,11,FALSE)</f>
        <v>#N/A</v>
      </c>
      <c r="G973" s="42" t="str">
        <f t="shared" si="15"/>
        <v/>
      </c>
    </row>
    <row r="974" ht="15" spans="1:7">
      <c r="A974" s="36" t="str">
        <f>IF(C974="","",IF(C974=跟进查询!$B$2,1+A973,A973))</f>
        <v/>
      </c>
      <c r="B974" s="39"/>
      <c r="C974" s="39"/>
      <c r="D974" s="39"/>
      <c r="E974" s="39"/>
      <c r="F974" s="41" t="e">
        <f>VLOOKUP(G974,源数据!A:K,11,FALSE)</f>
        <v>#N/A</v>
      </c>
      <c r="G974" s="42" t="str">
        <f t="shared" si="15"/>
        <v/>
      </c>
    </row>
    <row r="975" ht="15" spans="1:7">
      <c r="A975" s="36" t="str">
        <f>IF(C975="","",IF(C975=跟进查询!$B$2,1+A974,A974))</f>
        <v/>
      </c>
      <c r="B975" s="39"/>
      <c r="C975" s="39"/>
      <c r="D975" s="39"/>
      <c r="E975" s="39"/>
      <c r="F975" s="41" t="e">
        <f>VLOOKUP(G975,源数据!A:K,11,FALSE)</f>
        <v>#N/A</v>
      </c>
      <c r="G975" s="42" t="str">
        <f t="shared" si="15"/>
        <v/>
      </c>
    </row>
    <row r="976" ht="15" spans="1:7">
      <c r="A976" s="36" t="str">
        <f>IF(C976="","",IF(C976=跟进查询!$B$2,1+A975,A975))</f>
        <v/>
      </c>
      <c r="B976" s="39"/>
      <c r="C976" s="39"/>
      <c r="D976" s="39"/>
      <c r="E976" s="39"/>
      <c r="F976" s="41" t="e">
        <f>VLOOKUP(G976,源数据!A:K,11,FALSE)</f>
        <v>#N/A</v>
      </c>
      <c r="G976" s="42" t="str">
        <f t="shared" si="15"/>
        <v/>
      </c>
    </row>
    <row r="977" ht="15" spans="1:7">
      <c r="A977" s="36" t="str">
        <f>IF(C977="","",IF(C977=跟进查询!$B$2,1+A976,A976))</f>
        <v/>
      </c>
      <c r="B977" s="39"/>
      <c r="C977" s="39"/>
      <c r="D977" s="39"/>
      <c r="E977" s="39"/>
      <c r="F977" s="41" t="e">
        <f>VLOOKUP(G977,源数据!A:K,11,FALSE)</f>
        <v>#N/A</v>
      </c>
      <c r="G977" s="42" t="str">
        <f t="shared" si="15"/>
        <v/>
      </c>
    </row>
    <row r="978" ht="15" spans="1:7">
      <c r="A978" s="36" t="str">
        <f>IF(C978="","",IF(C978=跟进查询!$B$2,1+A977,A977))</f>
        <v/>
      </c>
      <c r="B978" s="39"/>
      <c r="C978" s="39"/>
      <c r="D978" s="39"/>
      <c r="E978" s="39"/>
      <c r="F978" s="41" t="e">
        <f>VLOOKUP(G978,源数据!A:K,11,FALSE)</f>
        <v>#N/A</v>
      </c>
      <c r="G978" s="42" t="str">
        <f t="shared" si="15"/>
        <v/>
      </c>
    </row>
    <row r="979" ht="15" spans="1:7">
      <c r="A979" s="36" t="str">
        <f>IF(C979="","",IF(C979=跟进查询!$B$2,1+A978,A978))</f>
        <v/>
      </c>
      <c r="B979" s="39"/>
      <c r="C979" s="39"/>
      <c r="D979" s="39"/>
      <c r="E979" s="39"/>
      <c r="F979" s="41" t="e">
        <f>VLOOKUP(G979,源数据!A:K,11,FALSE)</f>
        <v>#N/A</v>
      </c>
      <c r="G979" s="42" t="str">
        <f t="shared" si="15"/>
        <v/>
      </c>
    </row>
    <row r="980" ht="15" spans="1:7">
      <c r="A980" s="36" t="str">
        <f>IF(C980="","",IF(C980=跟进查询!$B$2,1+A979,A979))</f>
        <v/>
      </c>
      <c r="B980" s="39"/>
      <c r="C980" s="39"/>
      <c r="D980" s="39"/>
      <c r="E980" s="39"/>
      <c r="F980" s="41" t="e">
        <f>VLOOKUP(G980,源数据!A:K,11,FALSE)</f>
        <v>#N/A</v>
      </c>
      <c r="G980" s="42" t="str">
        <f t="shared" si="15"/>
        <v/>
      </c>
    </row>
    <row r="981" ht="15" spans="1:7">
      <c r="A981" s="36" t="str">
        <f>IF(C981="","",IF(C981=跟进查询!$B$2,1+A980,A980))</f>
        <v/>
      </c>
      <c r="B981" s="39"/>
      <c r="C981" s="39"/>
      <c r="D981" s="39"/>
      <c r="E981" s="39"/>
      <c r="F981" s="41" t="e">
        <f>VLOOKUP(G981,源数据!A:K,11,FALSE)</f>
        <v>#N/A</v>
      </c>
      <c r="G981" s="42" t="str">
        <f t="shared" si="15"/>
        <v/>
      </c>
    </row>
    <row r="982" ht="15" spans="1:7">
      <c r="A982" s="36" t="str">
        <f>IF(C982="","",IF(C982=跟进查询!$B$2,1+A981,A981))</f>
        <v/>
      </c>
      <c r="B982" s="39"/>
      <c r="C982" s="39"/>
      <c r="D982" s="39"/>
      <c r="E982" s="39"/>
      <c r="F982" s="41" t="e">
        <f>VLOOKUP(G982,源数据!A:K,11,FALSE)</f>
        <v>#N/A</v>
      </c>
      <c r="G982" s="42" t="str">
        <f t="shared" si="15"/>
        <v/>
      </c>
    </row>
    <row r="983" ht="15" spans="1:7">
      <c r="A983" s="36" t="str">
        <f>IF(C983="","",IF(C983=跟进查询!$B$2,1+A982,A982))</f>
        <v/>
      </c>
      <c r="B983" s="39"/>
      <c r="C983" s="39"/>
      <c r="D983" s="39"/>
      <c r="E983" s="39"/>
      <c r="F983" s="41" t="e">
        <f>VLOOKUP(G983,源数据!A:K,11,FALSE)</f>
        <v>#N/A</v>
      </c>
      <c r="G983" s="42" t="str">
        <f t="shared" si="15"/>
        <v/>
      </c>
    </row>
    <row r="984" ht="15" spans="1:7">
      <c r="A984" s="36" t="str">
        <f>IF(C984="","",IF(C984=跟进查询!$B$2,1+A983,A983))</f>
        <v/>
      </c>
      <c r="B984" s="39"/>
      <c r="C984" s="39"/>
      <c r="D984" s="39"/>
      <c r="E984" s="39"/>
      <c r="F984" s="41" t="e">
        <f>VLOOKUP(G984,源数据!A:K,11,FALSE)</f>
        <v>#N/A</v>
      </c>
      <c r="G984" s="42" t="str">
        <f t="shared" si="15"/>
        <v/>
      </c>
    </row>
    <row r="985" ht="15" spans="1:7">
      <c r="A985" s="36" t="str">
        <f>IF(C985="","",IF(C985=跟进查询!$B$2,1+A984,A984))</f>
        <v/>
      </c>
      <c r="B985" s="39"/>
      <c r="C985" s="39"/>
      <c r="D985" s="39"/>
      <c r="E985" s="39"/>
      <c r="F985" s="41" t="e">
        <f>VLOOKUP(G985,源数据!A:K,11,FALSE)</f>
        <v>#N/A</v>
      </c>
      <c r="G985" s="42" t="str">
        <f t="shared" si="15"/>
        <v/>
      </c>
    </row>
    <row r="986" ht="15" spans="1:7">
      <c r="A986" s="36" t="str">
        <f>IF(C986="","",IF(C986=跟进查询!$B$2,1+A985,A985))</f>
        <v/>
      </c>
      <c r="B986" s="39"/>
      <c r="C986" s="39"/>
      <c r="D986" s="39"/>
      <c r="E986" s="39"/>
      <c r="F986" s="41" t="e">
        <f>VLOOKUP(G986,源数据!A:K,11,FALSE)</f>
        <v>#N/A</v>
      </c>
      <c r="G986" s="42" t="str">
        <f t="shared" si="15"/>
        <v/>
      </c>
    </row>
    <row r="987" ht="15" spans="1:7">
      <c r="A987" s="36" t="str">
        <f>IF(C987="","",IF(C987=跟进查询!$B$2,1+A986,A986))</f>
        <v/>
      </c>
      <c r="B987" s="39"/>
      <c r="C987" s="39"/>
      <c r="D987" s="39"/>
      <c r="E987" s="39"/>
      <c r="F987" s="41" t="e">
        <f>VLOOKUP(G987,源数据!A:K,11,FALSE)</f>
        <v>#N/A</v>
      </c>
      <c r="G987" s="42" t="str">
        <f t="shared" si="15"/>
        <v/>
      </c>
    </row>
    <row r="988" ht="15" spans="1:7">
      <c r="A988" s="36" t="str">
        <f>IF(C988="","",IF(C988=跟进查询!$B$2,1+A987,A987))</f>
        <v/>
      </c>
      <c r="B988" s="39"/>
      <c r="C988" s="39"/>
      <c r="D988" s="39"/>
      <c r="E988" s="39"/>
      <c r="F988" s="41" t="e">
        <f>VLOOKUP(G988,源数据!A:K,11,FALSE)</f>
        <v>#N/A</v>
      </c>
      <c r="G988" s="42" t="str">
        <f t="shared" si="15"/>
        <v/>
      </c>
    </row>
    <row r="989" ht="15" spans="1:7">
      <c r="A989" s="36" t="str">
        <f>IF(C989="","",IF(C989=跟进查询!$B$2,1+A988,A988))</f>
        <v/>
      </c>
      <c r="B989" s="39"/>
      <c r="C989" s="39"/>
      <c r="D989" s="39"/>
      <c r="E989" s="39"/>
      <c r="F989" s="41" t="e">
        <f>VLOOKUP(G989,源数据!A:K,11,FALSE)</f>
        <v>#N/A</v>
      </c>
      <c r="G989" s="42" t="str">
        <f t="shared" si="15"/>
        <v/>
      </c>
    </row>
    <row r="990" ht="15" spans="1:7">
      <c r="A990" s="36" t="str">
        <f>IF(C990="","",IF(C990=跟进查询!$B$2,1+A989,A989))</f>
        <v/>
      </c>
      <c r="B990" s="39"/>
      <c r="C990" s="39"/>
      <c r="D990" s="39"/>
      <c r="E990" s="39"/>
      <c r="F990" s="41" t="e">
        <f>VLOOKUP(G990,源数据!A:K,11,FALSE)</f>
        <v>#N/A</v>
      </c>
      <c r="G990" s="42" t="str">
        <f t="shared" si="15"/>
        <v/>
      </c>
    </row>
    <row r="991" ht="15" spans="1:7">
      <c r="A991" s="36" t="str">
        <f>IF(C991="","",IF(C991=跟进查询!$B$2,1+A990,A990))</f>
        <v/>
      </c>
      <c r="B991" s="39"/>
      <c r="C991" s="39"/>
      <c r="D991" s="39"/>
      <c r="E991" s="39"/>
      <c r="F991" s="41" t="e">
        <f>VLOOKUP(G991,源数据!A:K,11,FALSE)</f>
        <v>#N/A</v>
      </c>
      <c r="G991" s="42" t="str">
        <f t="shared" si="15"/>
        <v/>
      </c>
    </row>
    <row r="992" ht="15" spans="1:7">
      <c r="A992" s="36" t="str">
        <f>IF(C992="","",IF(C992=跟进查询!$B$2,1+A991,A991))</f>
        <v/>
      </c>
      <c r="B992" s="39"/>
      <c r="C992" s="39"/>
      <c r="D992" s="39"/>
      <c r="E992" s="39"/>
      <c r="F992" s="41" t="e">
        <f>VLOOKUP(G992,源数据!A:K,11,FALSE)</f>
        <v>#N/A</v>
      </c>
      <c r="G992" s="42" t="str">
        <f t="shared" si="15"/>
        <v/>
      </c>
    </row>
    <row r="993" ht="15" spans="1:7">
      <c r="A993" s="36" t="str">
        <f>IF(C993="","",IF(C993=跟进查询!$B$2,1+A992,A992))</f>
        <v/>
      </c>
      <c r="B993" s="39"/>
      <c r="C993" s="39"/>
      <c r="D993" s="39"/>
      <c r="E993" s="39"/>
      <c r="F993" s="41" t="e">
        <f>VLOOKUP(G993,源数据!A:K,11,FALSE)</f>
        <v>#N/A</v>
      </c>
      <c r="G993" s="42" t="str">
        <f t="shared" si="15"/>
        <v/>
      </c>
    </row>
    <row r="994" ht="15" spans="1:7">
      <c r="A994" s="36" t="str">
        <f>IF(C994="","",IF(C994=跟进查询!$B$2,1+A993,A993))</f>
        <v/>
      </c>
      <c r="B994" s="39"/>
      <c r="C994" s="39"/>
      <c r="D994" s="39"/>
      <c r="E994" s="39"/>
      <c r="F994" s="41" t="e">
        <f>VLOOKUP(G994,源数据!A:K,11,FALSE)</f>
        <v>#N/A</v>
      </c>
      <c r="G994" s="42" t="str">
        <f t="shared" si="15"/>
        <v/>
      </c>
    </row>
    <row r="995" ht="15" spans="1:7">
      <c r="A995" s="36" t="str">
        <f>IF(C995="","",IF(C995=跟进查询!$B$2,1+A994,A994))</f>
        <v/>
      </c>
      <c r="B995" s="39"/>
      <c r="C995" s="39"/>
      <c r="D995" s="39"/>
      <c r="E995" s="39"/>
      <c r="F995" s="41" t="e">
        <f>VLOOKUP(G995,源数据!A:K,11,FALSE)</f>
        <v>#N/A</v>
      </c>
      <c r="G995" s="42" t="str">
        <f t="shared" si="15"/>
        <v/>
      </c>
    </row>
    <row r="996" ht="15" spans="1:7">
      <c r="A996" s="36" t="str">
        <f>IF(C996="","",IF(C996=跟进查询!$B$2,1+A995,A995))</f>
        <v/>
      </c>
      <c r="B996" s="39"/>
      <c r="C996" s="39"/>
      <c r="D996" s="39"/>
      <c r="E996" s="39"/>
      <c r="F996" s="41" t="e">
        <f>VLOOKUP(G996,源数据!A:K,11,FALSE)</f>
        <v>#N/A</v>
      </c>
      <c r="G996" s="42" t="str">
        <f t="shared" si="15"/>
        <v/>
      </c>
    </row>
    <row r="997" ht="15" spans="1:7">
      <c r="A997" s="36" t="str">
        <f>IF(C997="","",IF(C997=跟进查询!$B$2,1+A996,A996))</f>
        <v/>
      </c>
      <c r="B997" s="39"/>
      <c r="C997" s="39"/>
      <c r="D997" s="39"/>
      <c r="E997" s="39"/>
      <c r="F997" s="41" t="e">
        <f>VLOOKUP(G997,源数据!A:K,11,FALSE)</f>
        <v>#N/A</v>
      </c>
      <c r="G997" s="42" t="str">
        <f t="shared" si="15"/>
        <v/>
      </c>
    </row>
    <row r="998" spans="2:7">
      <c r="B998" s="43"/>
      <c r="C998" s="43"/>
      <c r="D998" s="43"/>
      <c r="E998" s="43"/>
      <c r="F998" s="41" t="e">
        <f>VLOOKUP(G998,源数据!A:K,11,FALSE)</f>
        <v>#N/A</v>
      </c>
      <c r="G998" s="44"/>
    </row>
  </sheetData>
  <sheetProtection formatCells="0" insertHyperlinks="0" autoFilter="0"/>
  <conditionalFormatting sqref="E32">
    <cfRule type="expression" dxfId="0" priority="4" stopIfTrue="1">
      <formula>$H32&lt;&gt;""</formula>
    </cfRule>
  </conditionalFormatting>
  <conditionalFormatting sqref="B33:B63">
    <cfRule type="expression" dxfId="0" priority="2" stopIfTrue="1">
      <formula>$H33&lt;&gt;""</formula>
    </cfRule>
  </conditionalFormatting>
  <conditionalFormatting sqref="D33:D63">
    <cfRule type="expression" dxfId="0" priority="1" stopIfTrue="1">
      <formula>$H33&lt;&gt;""</formula>
    </cfRule>
  </conditionalFormatting>
  <conditionalFormatting sqref="E2:E13">
    <cfRule type="expression" dxfId="0" priority="3" stopIfTrue="1">
      <formula>$H2&lt;&gt;""</formula>
    </cfRule>
  </conditionalFormatting>
  <conditionalFormatting sqref="E17:E31">
    <cfRule type="expression" dxfId="0" priority="5" stopIfTrue="1">
      <formula>$H17&lt;&gt;""</formula>
    </cfRule>
  </conditionalFormatting>
  <conditionalFormatting sqref="B2:D32 E14:E16">
    <cfRule type="expression" dxfId="0" priority="8" stopIfTrue="1">
      <formula>$H2&lt;&gt;""</formula>
    </cfRule>
  </conditionalFormatting>
  <conditionalFormatting sqref="C33:C63 E33:E63 B64:E998 G998">
    <cfRule type="expression" dxfId="0" priority="6" stopIfTrue="1">
      <formula>$H33&lt;&gt;""</formula>
    </cfRule>
  </conditionalFormatting>
  <dataValidations count="1">
    <dataValidation type="list" allowBlank="1" showInputMessage="1" showErrorMessage="1" sqref="C2:C129">
      <formula1>客户名称</formula1>
    </dataValidation>
  </dataValidation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F237"/>
  <sheetViews>
    <sheetView showGridLines="0" showZeros="0" workbookViewId="0">
      <pane ySplit="8" topLeftCell="A9" activePane="bottomLeft" state="frozen"/>
      <selection/>
      <selection pane="bottomLeft" activeCell="A10" sqref="A10"/>
    </sheetView>
  </sheetViews>
  <sheetFormatPr defaultColWidth="9" defaultRowHeight="18.95" customHeight="1" outlineLevelCol="5"/>
  <cols>
    <col min="1" max="1" width="14.25" style="14" customWidth="1"/>
    <col min="2" max="2" width="7.5" style="14" customWidth="1"/>
    <col min="3" max="3" width="10.1333333333333" style="14" customWidth="1"/>
    <col min="4" max="4" width="12.6333333333333" style="14" customWidth="1"/>
    <col min="5" max="5" width="20.1333333333333" style="14" customWidth="1"/>
    <col min="6" max="6" width="32.5583333333333" style="14" customWidth="1"/>
    <col min="7" max="256" width="9" style="14"/>
    <col min="257" max="16384" width="9" style="15"/>
  </cols>
  <sheetData>
    <row r="1" s="14" customFormat="1" ht="36.75" customHeight="1" spans="1:6">
      <c r="A1" s="20" t="s">
        <v>13</v>
      </c>
      <c r="B1" s="21"/>
      <c r="C1" s="21"/>
      <c r="D1" s="21"/>
      <c r="E1" s="21"/>
      <c r="F1" s="21"/>
    </row>
    <row r="2" s="14" customFormat="1" customHeight="1" spans="1:6">
      <c r="A2" s="22" t="s">
        <v>0</v>
      </c>
      <c r="B2" s="23" t="s">
        <v>4</v>
      </c>
      <c r="C2" s="23"/>
      <c r="D2" s="23"/>
      <c r="E2" s="22" t="s">
        <v>14</v>
      </c>
      <c r="F2" s="33" t="str">
        <f>VLOOKUP(B2,SKU信息!$B:$H,2,0)</f>
        <v>XXX1</v>
      </c>
    </row>
    <row r="3" s="14" customFormat="1" customHeight="1" spans="1:6">
      <c r="A3" s="24" t="s">
        <v>15</v>
      </c>
      <c r="B3" s="25" t="str">
        <f>VLOOKUP(B2,SKU信息!$B:$H,3,0)</f>
        <v>Cecilia</v>
      </c>
      <c r="C3" s="25"/>
      <c r="D3" s="25"/>
      <c r="E3" s="24" t="s">
        <v>16</v>
      </c>
      <c r="F3" s="33" t="str">
        <f>VLOOKUP(B2,SKU信息!$B:$H,4,0)</f>
        <v>Bxxxx1</v>
      </c>
    </row>
    <row r="4" s="14" customFormat="1" customHeight="1" spans="1:6">
      <c r="A4" s="24" t="s">
        <v>17</v>
      </c>
      <c r="B4" s="24" t="str">
        <f>VLOOKUP(B2,SKU信息!$B:$H,5,0)</f>
        <v>US</v>
      </c>
      <c r="C4" s="24"/>
      <c r="D4" s="24"/>
      <c r="E4" s="24" t="s">
        <v>18</v>
      </c>
      <c r="F4" s="24" t="str">
        <f>VLOOKUP(B2,SKU信息!$B:$H,6,0)</f>
        <v>普货</v>
      </c>
    </row>
    <row r="5" s="14" customFormat="1" customHeight="1" spans="1:6">
      <c r="A5" s="24" t="s">
        <v>19</v>
      </c>
      <c r="B5" s="26">
        <f>VLOOKUP(B2,SKU信息!$B:$H,7,0)</f>
        <v>0</v>
      </c>
      <c r="C5" s="27"/>
      <c r="D5" s="27"/>
      <c r="E5" s="27"/>
      <c r="F5" s="34"/>
    </row>
    <row r="6" s="14" customFormat="1" customHeight="1" spans="1:6">
      <c r="A6" s="24" t="s">
        <v>20</v>
      </c>
      <c r="B6" s="28">
        <f>IFERROR(LOOKUP(1,0/(每日记录!$C$2:C65533=跟进查询!$B$2),每日记录!$B$2:$B$65533),"")</f>
        <v>44651</v>
      </c>
      <c r="C6" s="29"/>
      <c r="D6" s="29"/>
      <c r="E6" s="29"/>
      <c r="F6" s="35"/>
    </row>
    <row r="8" s="14" customFormat="1" customHeight="1" spans="1:6">
      <c r="A8" s="30" t="s">
        <v>21</v>
      </c>
      <c r="B8" s="30" t="s">
        <v>22</v>
      </c>
      <c r="C8" s="30"/>
      <c r="D8" s="30"/>
      <c r="E8" s="30"/>
      <c r="F8" s="30" t="s">
        <v>23</v>
      </c>
    </row>
    <row r="9" s="14" customFormat="1" customHeight="1" spans="1:6">
      <c r="A9" s="31">
        <f>IFERROR(VLOOKUP(ROW()-8,每日记录!$A:$G,2,0),"")</f>
        <v>44621</v>
      </c>
      <c r="B9" s="32" t="str">
        <f>IFERROR(VLOOKUP(ROW()-8,每日记录!$A:$G,4,0),"")</f>
        <v>做了什么？（促销，优化，测评，站外）</v>
      </c>
      <c r="C9" s="32"/>
      <c r="D9" s="32"/>
      <c r="E9" s="32"/>
      <c r="F9" s="32">
        <f>IFERROR(VLOOKUP(ROW()-8,每日记录!$A:$G,5,0),"")</f>
        <v>0</v>
      </c>
    </row>
    <row r="10" s="14" customFormat="1" customHeight="1" spans="1:6">
      <c r="A10" s="31">
        <f>IFERROR(VLOOKUP(ROW()-8,每日记录!$A:$G,2,0),"")</f>
        <v>44622</v>
      </c>
      <c r="B10" s="32" t="str">
        <f>IFERROR(VLOOKUP(ROW()-8,每日记录!$A:$G,4,0),"")</f>
        <v>做了什么？（促销，优化，测评，站外）</v>
      </c>
      <c r="C10" s="32"/>
      <c r="D10" s="32"/>
      <c r="E10" s="32"/>
      <c r="F10" s="32">
        <f>IFERROR(VLOOKUP(ROW()-8,每日记录!$A:$G,5,0),"")</f>
        <v>0</v>
      </c>
    </row>
    <row r="11" s="14" customFormat="1" customHeight="1" spans="1:6">
      <c r="A11" s="31">
        <f>IFERROR(VLOOKUP(ROW()-8,每日记录!$A:$G,2,0),"")</f>
        <v>44623</v>
      </c>
      <c r="B11" s="32" t="str">
        <f>IFERROR(VLOOKUP(ROW()-8,每日记录!$A:$G,4,0),"")</f>
        <v>做了什么？（促销，优化，测评，站外）</v>
      </c>
      <c r="C11" s="32"/>
      <c r="D11" s="32"/>
      <c r="E11" s="32"/>
      <c r="F11" s="32">
        <f>IFERROR(VLOOKUP(ROW()-8,每日记录!$A:$G,5,0),"")</f>
        <v>0</v>
      </c>
    </row>
    <row r="12" s="14" customFormat="1" customHeight="1" spans="1:6">
      <c r="A12" s="31">
        <f>IFERROR(VLOOKUP(ROW()-8,每日记录!$A:$G,2,0),"")</f>
        <v>44624</v>
      </c>
      <c r="B12" s="32" t="str">
        <f>IFERROR(VLOOKUP(ROW()-8,每日记录!$A:$G,4,0),"")</f>
        <v>做了什么？（促销，优化，测评，站外）</v>
      </c>
      <c r="C12" s="32"/>
      <c r="D12" s="32"/>
      <c r="E12" s="32"/>
      <c r="F12" s="32">
        <f>IFERROR(VLOOKUP(ROW()-8,每日记录!$A:$G,5,0),"")</f>
        <v>0</v>
      </c>
    </row>
    <row r="13" s="14" customFormat="1" customHeight="1" spans="1:6">
      <c r="A13" s="31">
        <f>IFERROR(VLOOKUP(ROW()-8,每日记录!$A:$G,2,0),"")</f>
        <v>44625</v>
      </c>
      <c r="B13" s="32" t="str">
        <f>IFERROR(VLOOKUP(ROW()-8,每日记录!$A:$G,4,0),"")</f>
        <v>做了什么？（促销，优化，测评，站外）</v>
      </c>
      <c r="C13" s="32"/>
      <c r="D13" s="32"/>
      <c r="E13" s="32"/>
      <c r="F13" s="32">
        <f>IFERROR(VLOOKUP(ROW()-8,每日记录!$A:$G,5,0),"")</f>
        <v>0</v>
      </c>
    </row>
    <row r="14" s="14" customFormat="1" customHeight="1" spans="1:6">
      <c r="A14" s="31">
        <f>IFERROR(VLOOKUP(ROW()-8,每日记录!$A:$G,2,0),"")</f>
        <v>44626</v>
      </c>
      <c r="B14" s="32" t="str">
        <f>IFERROR(VLOOKUP(ROW()-8,每日记录!$A:$G,4,0),"")</f>
        <v>做了什么？（促销，优化，测评，站外）</v>
      </c>
      <c r="C14" s="32"/>
      <c r="D14" s="32"/>
      <c r="E14" s="32"/>
      <c r="F14" s="32">
        <f>IFERROR(VLOOKUP(ROW()-8,每日记录!$A:$G,5,0),"")</f>
        <v>0</v>
      </c>
    </row>
    <row r="15" s="14" customFormat="1" customHeight="1" spans="1:6">
      <c r="A15" s="31">
        <f>IFERROR(VLOOKUP(ROW()-8,每日记录!$A:$G,2,0),"")</f>
        <v>44627</v>
      </c>
      <c r="B15" s="32" t="str">
        <f>IFERROR(VLOOKUP(ROW()-8,每日记录!$A:$G,4,0),"")</f>
        <v>做了什么？（促销，优化，测评，站外）</v>
      </c>
      <c r="C15" s="32"/>
      <c r="D15" s="32"/>
      <c r="E15" s="32"/>
      <c r="F15" s="32">
        <f>IFERROR(VLOOKUP(ROW()-8,每日记录!$A:$G,5,0),"")</f>
        <v>0</v>
      </c>
    </row>
    <row r="16" s="14" customFormat="1" customHeight="1" spans="1:6">
      <c r="A16" s="31">
        <f>IFERROR(VLOOKUP(ROW()-8,每日记录!$A:$G,2,0),"")</f>
        <v>44628</v>
      </c>
      <c r="B16" s="32" t="str">
        <f>IFERROR(VLOOKUP(ROW()-8,每日记录!$A:$G,4,0),"")</f>
        <v>做了什么？（促销，优化，测评，站外）</v>
      </c>
      <c r="C16" s="32"/>
      <c r="D16" s="32"/>
      <c r="E16" s="32"/>
      <c r="F16" s="32">
        <f>IFERROR(VLOOKUP(ROW()-8,每日记录!$A:$G,5,0),"")</f>
        <v>0</v>
      </c>
    </row>
    <row r="17" s="14" customFormat="1" customHeight="1" spans="1:6">
      <c r="A17" s="31">
        <f>IFERROR(VLOOKUP(ROW()-8,每日记录!$A:$G,2,0),"")</f>
        <v>44629</v>
      </c>
      <c r="B17" s="32" t="str">
        <f>IFERROR(VLOOKUP(ROW()-8,每日记录!$A:$G,4,0),"")</f>
        <v>做了什么？（促销，优化，测评，站外）</v>
      </c>
      <c r="C17" s="32"/>
      <c r="D17" s="32"/>
      <c r="E17" s="32"/>
      <c r="F17" s="32">
        <f>IFERROR(VLOOKUP(ROW()-8,每日记录!$A:$G,5,0),"")</f>
        <v>0</v>
      </c>
    </row>
    <row r="18" s="14" customFormat="1" customHeight="1" spans="1:6">
      <c r="A18" s="31">
        <f>IFERROR(VLOOKUP(ROW()-8,每日记录!$A:$G,2,0),"")</f>
        <v>44630</v>
      </c>
      <c r="B18" s="32" t="str">
        <f>IFERROR(VLOOKUP(ROW()-8,每日记录!$A:$G,4,0),"")</f>
        <v>做了什么？（促销，优化，测评，站外）</v>
      </c>
      <c r="C18" s="32"/>
      <c r="D18" s="32"/>
      <c r="E18" s="32"/>
      <c r="F18" s="32">
        <f>IFERROR(VLOOKUP(ROW()-8,每日记录!$A:$G,5,0),"")</f>
        <v>0</v>
      </c>
    </row>
    <row r="19" s="14" customFormat="1" customHeight="1" spans="1:6">
      <c r="A19" s="31">
        <f>IFERROR(VLOOKUP(ROW()-8,每日记录!$A:$G,2,0),"")</f>
        <v>44631</v>
      </c>
      <c r="B19" s="32" t="str">
        <f>IFERROR(VLOOKUP(ROW()-8,每日记录!$A:$G,4,0),"")</f>
        <v>做了什么？（促销，优化，测评，站外）</v>
      </c>
      <c r="C19" s="32"/>
      <c r="D19" s="32"/>
      <c r="E19" s="32"/>
      <c r="F19" s="32">
        <f>IFERROR(VLOOKUP(ROW()-8,每日记录!$A:$G,5,0),"")</f>
        <v>0</v>
      </c>
    </row>
    <row r="20" s="14" customFormat="1" customHeight="1" spans="1:6">
      <c r="A20" s="31">
        <f>IFERROR(VLOOKUP(ROW()-8,每日记录!$A:$G,2,0),"")</f>
        <v>44632</v>
      </c>
      <c r="B20" s="32" t="str">
        <f>IFERROR(VLOOKUP(ROW()-8,每日记录!$A:$G,4,0),"")</f>
        <v>秒杀</v>
      </c>
      <c r="C20" s="32"/>
      <c r="D20" s="32"/>
      <c r="E20" s="32"/>
      <c r="F20" s="32">
        <f>IFERROR(VLOOKUP(ROW()-8,每日记录!$A:$G,5,0),"")</f>
        <v>0</v>
      </c>
    </row>
    <row r="21" s="14" customFormat="1" customHeight="1" spans="1:6">
      <c r="A21" s="31">
        <f>IFERROR(VLOOKUP(ROW()-8,每日记录!$A:$G,2,0),"")</f>
        <v>44633</v>
      </c>
      <c r="B21" s="32" t="str">
        <f>IFERROR(VLOOKUP(ROW()-8,每日记录!$A:$G,4,0),"")</f>
        <v>做了什么？（促销，优化，测评，站外）</v>
      </c>
      <c r="C21" s="32"/>
      <c r="D21" s="32"/>
      <c r="E21" s="32"/>
      <c r="F21" s="32">
        <f>IFERROR(VLOOKUP(ROW()-8,每日记录!$A:$G,5,0),"")</f>
        <v>0</v>
      </c>
    </row>
    <row r="22" s="14" customFormat="1" customHeight="1" spans="1:6">
      <c r="A22" s="31">
        <f>IFERROR(VLOOKUP(ROW()-8,每日记录!$A:$G,2,0),"")</f>
        <v>44634</v>
      </c>
      <c r="B22" s="32" t="str">
        <f>IFERROR(VLOOKUP(ROW()-8,每日记录!$A:$G,4,0),"")</f>
        <v>做了什么？（促销，优化，测评，站外）</v>
      </c>
      <c r="C22" s="32"/>
      <c r="D22" s="32"/>
      <c r="E22" s="32"/>
      <c r="F22" s="32">
        <f>IFERROR(VLOOKUP(ROW()-8,每日记录!$A:$G,5,0),"")</f>
        <v>0</v>
      </c>
    </row>
    <row r="23" s="14" customFormat="1" customHeight="1" spans="1:6">
      <c r="A23" s="31">
        <f>IFERROR(VLOOKUP(ROW()-8,每日记录!$A:$G,2,0),"")</f>
        <v>44635</v>
      </c>
      <c r="B23" s="32" t="str">
        <f>IFERROR(VLOOKUP(ROW()-8,每日记录!$A:$G,4,0),"")</f>
        <v>做了什么？（促销，优化，测评，站外）</v>
      </c>
      <c r="C23" s="32"/>
      <c r="D23" s="32"/>
      <c r="E23" s="32"/>
      <c r="F23" s="32">
        <f>IFERROR(VLOOKUP(ROW()-8,每日记录!$A:$G,5,0),"")</f>
        <v>0</v>
      </c>
    </row>
    <row r="24" s="14" customFormat="1" customHeight="1" spans="1:6">
      <c r="A24" s="31" t="str">
        <f>IFERROR(VLOOKUP(ROW()-8,每日记录!$A:$G,2,0),"")</f>
        <v/>
      </c>
      <c r="B24" s="32" t="str">
        <f>IFERROR(VLOOKUP(ROW()-8,每日记录!$A:$G,4,0),"")</f>
        <v/>
      </c>
      <c r="C24" s="32"/>
      <c r="D24" s="32"/>
      <c r="E24" s="32"/>
      <c r="F24" s="32" t="str">
        <f>IFERROR(VLOOKUP(ROW()-8,每日记录!$A:$G,5,0),"")</f>
        <v/>
      </c>
    </row>
    <row r="25" s="14" customFormat="1" customHeight="1" spans="1:6">
      <c r="A25" s="31" t="str">
        <f>IFERROR(VLOOKUP(ROW()-8,每日记录!$A:$G,2,0),"")</f>
        <v/>
      </c>
      <c r="B25" s="32" t="str">
        <f>IFERROR(VLOOKUP(ROW()-8,每日记录!$A:$G,4,0),"")</f>
        <v/>
      </c>
      <c r="C25" s="32"/>
      <c r="D25" s="32"/>
      <c r="E25" s="32"/>
      <c r="F25" s="32" t="str">
        <f>IFERROR(VLOOKUP(ROW()-8,每日记录!$A:$G,5,0),"")</f>
        <v/>
      </c>
    </row>
    <row r="26" s="14" customFormat="1" customHeight="1" spans="1:6">
      <c r="A26" s="31" t="str">
        <f>IFERROR(VLOOKUP(ROW()-8,每日记录!$A:$G,2,0),"")</f>
        <v/>
      </c>
      <c r="B26" s="32" t="str">
        <f>IFERROR(VLOOKUP(ROW()-8,每日记录!$A:$G,4,0),"")</f>
        <v/>
      </c>
      <c r="C26" s="32"/>
      <c r="D26" s="32"/>
      <c r="E26" s="32"/>
      <c r="F26" s="32" t="str">
        <f>IFERROR(VLOOKUP(ROW()-8,每日记录!$A:$G,5,0),"")</f>
        <v/>
      </c>
    </row>
    <row r="27" s="14" customFormat="1" customHeight="1" spans="1:6">
      <c r="A27" s="31" t="str">
        <f>IFERROR(VLOOKUP(ROW()-8,每日记录!$A:$G,2,0),"")</f>
        <v/>
      </c>
      <c r="B27" s="32" t="str">
        <f>IFERROR(VLOOKUP(ROW()-8,每日记录!$A:$G,4,0),"")</f>
        <v/>
      </c>
      <c r="C27" s="32"/>
      <c r="D27" s="32"/>
      <c r="E27" s="32"/>
      <c r="F27" s="32" t="str">
        <f>IFERROR(VLOOKUP(ROW()-8,每日记录!$A:$G,5,0),"")</f>
        <v/>
      </c>
    </row>
    <row r="28" s="14" customFormat="1" customHeight="1" spans="1:6">
      <c r="A28" s="31" t="str">
        <f>IFERROR(VLOOKUP(ROW()-8,每日记录!$A:$G,2,0),"")</f>
        <v/>
      </c>
      <c r="B28" s="32" t="str">
        <f>IFERROR(VLOOKUP(ROW()-8,每日记录!$A:$G,4,0),"")</f>
        <v/>
      </c>
      <c r="C28" s="32"/>
      <c r="D28" s="32"/>
      <c r="E28" s="32"/>
      <c r="F28" s="32" t="str">
        <f>IFERROR(VLOOKUP(ROW()-8,每日记录!$A:$G,5,0),"")</f>
        <v/>
      </c>
    </row>
    <row r="29" s="14" customFormat="1" customHeight="1" spans="1:6">
      <c r="A29" s="31" t="str">
        <f>IFERROR(VLOOKUP(ROW()-8,每日记录!$A:$G,2,0),"")</f>
        <v/>
      </c>
      <c r="B29" s="32" t="str">
        <f>IFERROR(VLOOKUP(ROW()-8,每日记录!$A:$G,4,0),"")</f>
        <v/>
      </c>
      <c r="C29" s="32"/>
      <c r="D29" s="32"/>
      <c r="E29" s="32"/>
      <c r="F29" s="32" t="str">
        <f>IFERROR(VLOOKUP(ROW()-8,每日记录!$A:$G,5,0),"")</f>
        <v/>
      </c>
    </row>
    <row r="30" s="14" customFormat="1" customHeight="1" spans="1:6">
      <c r="A30" s="31" t="str">
        <f>IFERROR(VLOOKUP(ROW()-8,每日记录!$A:$G,2,0),"")</f>
        <v/>
      </c>
      <c r="B30" s="32" t="str">
        <f>IFERROR(VLOOKUP(ROW()-8,每日记录!$A:$G,4,0),"")</f>
        <v/>
      </c>
      <c r="C30" s="32"/>
      <c r="D30" s="32"/>
      <c r="E30" s="32"/>
      <c r="F30" s="32" t="str">
        <f>IFERROR(VLOOKUP(ROW()-8,每日记录!$A:$G,5,0),"")</f>
        <v/>
      </c>
    </row>
    <row r="31" s="14" customFormat="1" customHeight="1" spans="1:6">
      <c r="A31" s="31" t="str">
        <f>IFERROR(VLOOKUP(ROW()-8,每日记录!$A:$G,2,0),"")</f>
        <v/>
      </c>
      <c r="B31" s="32" t="str">
        <f>IFERROR(VLOOKUP(ROW()-8,每日记录!$A:$G,4,0),"")</f>
        <v/>
      </c>
      <c r="C31" s="32"/>
      <c r="D31" s="32"/>
      <c r="E31" s="32"/>
      <c r="F31" s="32" t="str">
        <f>IFERROR(VLOOKUP(ROW()-8,每日记录!$A:$G,5,0),"")</f>
        <v/>
      </c>
    </row>
    <row r="32" s="14" customFormat="1" customHeight="1" spans="1:6">
      <c r="A32" s="31" t="str">
        <f>IFERROR(VLOOKUP(ROW()-8,每日记录!$A:$G,2,0),"")</f>
        <v/>
      </c>
      <c r="B32" s="32" t="str">
        <f>IFERROR(VLOOKUP(ROW()-8,每日记录!$A:$G,4,0),"")</f>
        <v/>
      </c>
      <c r="C32" s="32"/>
      <c r="D32" s="32"/>
      <c r="E32" s="32"/>
      <c r="F32" s="32" t="str">
        <f>IFERROR(VLOOKUP(ROW()-8,每日记录!$A:$G,5,0),"")</f>
        <v/>
      </c>
    </row>
    <row r="33" s="14" customFormat="1" customHeight="1" spans="1:6">
      <c r="A33" s="31" t="str">
        <f>IFERROR(VLOOKUP(ROW()-8,每日记录!$A:$G,2,0),"")</f>
        <v/>
      </c>
      <c r="B33" s="32" t="str">
        <f>IFERROR(VLOOKUP(ROW()-8,每日记录!$A:$G,4,0),"")</f>
        <v/>
      </c>
      <c r="C33" s="32"/>
      <c r="D33" s="32"/>
      <c r="E33" s="32"/>
      <c r="F33" s="32" t="str">
        <f>IFERROR(VLOOKUP(ROW()-8,每日记录!$A:$G,5,0),"")</f>
        <v/>
      </c>
    </row>
    <row r="34" s="14" customFormat="1" customHeight="1" spans="1:6">
      <c r="A34" s="31" t="str">
        <f>IFERROR(VLOOKUP(ROW()-8,每日记录!$A:$G,2,0),"")</f>
        <v/>
      </c>
      <c r="B34" s="32" t="str">
        <f>IFERROR(VLOOKUP(ROW()-8,每日记录!$A:$G,4,0),"")</f>
        <v/>
      </c>
      <c r="C34" s="32"/>
      <c r="D34" s="32"/>
      <c r="E34" s="32"/>
      <c r="F34" s="32" t="str">
        <f>IFERROR(VLOOKUP(ROW()-8,每日记录!$A:$G,5,0),"")</f>
        <v/>
      </c>
    </row>
    <row r="35" s="14" customFormat="1" customHeight="1" spans="1:6">
      <c r="A35" s="31" t="str">
        <f>IFERROR(VLOOKUP(ROW()-8,每日记录!$A:$G,2,0),"")</f>
        <v/>
      </c>
      <c r="B35" s="32" t="str">
        <f>IFERROR(VLOOKUP(ROW()-8,每日记录!$A:$G,4,0),"")</f>
        <v/>
      </c>
      <c r="C35" s="32"/>
      <c r="D35" s="32"/>
      <c r="E35" s="32"/>
      <c r="F35" s="32" t="str">
        <f>IFERROR(VLOOKUP(ROW()-8,每日记录!$A:$G,5,0),"")</f>
        <v/>
      </c>
    </row>
    <row r="36" s="14" customFormat="1" customHeight="1" spans="1:6">
      <c r="A36" s="31" t="str">
        <f>IFERROR(VLOOKUP(ROW()-8,每日记录!$A:$G,2,0),"")</f>
        <v/>
      </c>
      <c r="B36" s="32" t="str">
        <f>IFERROR(VLOOKUP(ROW()-8,每日记录!$A:$G,4,0),"")</f>
        <v/>
      </c>
      <c r="C36" s="32"/>
      <c r="D36" s="32"/>
      <c r="E36" s="32"/>
      <c r="F36" s="32" t="str">
        <f>IFERROR(VLOOKUP(ROW()-8,每日记录!$A:$G,5,0),"")</f>
        <v/>
      </c>
    </row>
    <row r="37" s="14" customFormat="1" customHeight="1" spans="1:6">
      <c r="A37" s="31" t="str">
        <f>IFERROR(VLOOKUP(ROW()-8,每日记录!$A:$G,2,0),"")</f>
        <v/>
      </c>
      <c r="B37" s="32" t="str">
        <f>IFERROR(VLOOKUP(ROW()-8,每日记录!$A:$G,4,0),"")</f>
        <v/>
      </c>
      <c r="C37" s="32"/>
      <c r="D37" s="32"/>
      <c r="E37" s="32"/>
      <c r="F37" s="32" t="str">
        <f>IFERROR(VLOOKUP(ROW()-8,每日记录!$A:$G,5,0),"")</f>
        <v/>
      </c>
    </row>
    <row r="38" s="14" customFormat="1" customHeight="1" spans="1:6">
      <c r="A38" s="31" t="str">
        <f>IFERROR(VLOOKUP(ROW()-8,每日记录!$A:$G,2,0),"")</f>
        <v/>
      </c>
      <c r="B38" s="32" t="str">
        <f>IFERROR(VLOOKUP(ROW()-8,每日记录!$A:$G,4,0),"")</f>
        <v/>
      </c>
      <c r="C38" s="32"/>
      <c r="D38" s="32"/>
      <c r="E38" s="32"/>
      <c r="F38" s="32" t="str">
        <f>IFERROR(VLOOKUP(ROW()-8,每日记录!$A:$G,5,0),"")</f>
        <v/>
      </c>
    </row>
    <row r="39" s="14" customFormat="1" customHeight="1" spans="1:6">
      <c r="A39" s="31" t="str">
        <f>IFERROR(VLOOKUP(ROW()-8,每日记录!$A:$G,2,0),"")</f>
        <v/>
      </c>
      <c r="B39" s="32" t="str">
        <f>IFERROR(VLOOKUP(ROW()-8,每日记录!$A:$G,4,0),"")</f>
        <v/>
      </c>
      <c r="C39" s="32"/>
      <c r="D39" s="32"/>
      <c r="E39" s="32"/>
      <c r="F39" s="32" t="str">
        <f>IFERROR(VLOOKUP(ROW()-8,每日记录!$A:$G,5,0),"")</f>
        <v/>
      </c>
    </row>
    <row r="40" s="14" customFormat="1" customHeight="1" spans="1:6">
      <c r="A40" s="31" t="str">
        <f>IFERROR(VLOOKUP(ROW()-8,每日记录!$A:$G,2,0),"")</f>
        <v/>
      </c>
      <c r="B40" s="32" t="str">
        <f>IFERROR(VLOOKUP(ROW()-8,每日记录!$A:$G,4,0),"")</f>
        <v/>
      </c>
      <c r="C40" s="32"/>
      <c r="D40" s="32"/>
      <c r="E40" s="32"/>
      <c r="F40" s="32" t="str">
        <f>IFERROR(VLOOKUP(ROW()-8,每日记录!$A:$G,5,0),"")</f>
        <v/>
      </c>
    </row>
    <row r="41" s="14" customFormat="1" customHeight="1" spans="1:6">
      <c r="A41" s="31" t="str">
        <f>IFERROR(VLOOKUP(ROW()-8,每日记录!$A:$G,2,0),"")</f>
        <v/>
      </c>
      <c r="B41" s="32" t="str">
        <f>IFERROR(VLOOKUP(ROW()-8,每日记录!$A:$G,4,0),"")</f>
        <v/>
      </c>
      <c r="C41" s="32"/>
      <c r="D41" s="32"/>
      <c r="E41" s="32"/>
      <c r="F41" s="32" t="str">
        <f>IFERROR(VLOOKUP(ROW()-8,每日记录!$A:$G,5,0),"")</f>
        <v/>
      </c>
    </row>
    <row r="42" s="14" customFormat="1" customHeight="1" spans="1:6">
      <c r="A42" s="31" t="str">
        <f>IFERROR(VLOOKUP(ROW()-8,每日记录!$A:$G,2,0),"")</f>
        <v/>
      </c>
      <c r="B42" s="32" t="str">
        <f>IFERROR(VLOOKUP(ROW()-8,每日记录!$A:$G,4,0),"")</f>
        <v/>
      </c>
      <c r="C42" s="32"/>
      <c r="D42" s="32"/>
      <c r="E42" s="32"/>
      <c r="F42" s="32" t="str">
        <f>IFERROR(VLOOKUP(ROW()-8,每日记录!$A:$G,5,0),"")</f>
        <v/>
      </c>
    </row>
    <row r="43" s="14" customFormat="1" customHeight="1" spans="1:6">
      <c r="A43" s="31" t="str">
        <f>IFERROR(VLOOKUP(ROW()-8,每日记录!$A:$G,2,0),"")</f>
        <v/>
      </c>
      <c r="B43" s="32" t="str">
        <f>IFERROR(VLOOKUP(ROW()-8,每日记录!$A:$G,4,0),"")</f>
        <v/>
      </c>
      <c r="C43" s="32"/>
      <c r="D43" s="32"/>
      <c r="E43" s="32"/>
      <c r="F43" s="32" t="str">
        <f>IFERROR(VLOOKUP(ROW()-8,每日记录!$A:$G,5,0),"")</f>
        <v/>
      </c>
    </row>
    <row r="44" s="14" customFormat="1" customHeight="1" spans="1:6">
      <c r="A44" s="31" t="str">
        <f>IFERROR(VLOOKUP(ROW()-8,每日记录!$A:$G,2,0),"")</f>
        <v/>
      </c>
      <c r="B44" s="32" t="str">
        <f>IFERROR(VLOOKUP(ROW()-8,每日记录!$A:$G,4,0),"")</f>
        <v/>
      </c>
      <c r="C44" s="32"/>
      <c r="D44" s="32"/>
      <c r="E44" s="32"/>
      <c r="F44" s="32" t="str">
        <f>IFERROR(VLOOKUP(ROW()-8,每日记录!$A:$G,5,0),"")</f>
        <v/>
      </c>
    </row>
    <row r="45" s="14" customFormat="1" customHeight="1" spans="1:6">
      <c r="A45" s="31" t="str">
        <f>IFERROR(VLOOKUP(ROW()-8,每日记录!$A:$G,2,0),"")</f>
        <v/>
      </c>
      <c r="B45" s="32" t="str">
        <f>IFERROR(VLOOKUP(ROW()-8,每日记录!$A:$G,4,0),"")</f>
        <v/>
      </c>
      <c r="C45" s="32"/>
      <c r="D45" s="32"/>
      <c r="E45" s="32"/>
      <c r="F45" s="32" t="str">
        <f>IFERROR(VLOOKUP(ROW()-8,每日记录!$A:$G,5,0),"")</f>
        <v/>
      </c>
    </row>
    <row r="46" s="14" customFormat="1" customHeight="1" spans="1:6">
      <c r="A46" s="31" t="str">
        <f>IFERROR(VLOOKUP(ROW()-8,每日记录!$A:$G,2,0),"")</f>
        <v/>
      </c>
      <c r="B46" s="32" t="str">
        <f>IFERROR(VLOOKUP(ROW()-8,每日记录!$A:$G,4,0),"")</f>
        <v/>
      </c>
      <c r="C46" s="32"/>
      <c r="D46" s="32"/>
      <c r="E46" s="32"/>
      <c r="F46" s="32" t="str">
        <f>IFERROR(VLOOKUP(ROW()-8,每日记录!$A:$G,5,0),"")</f>
        <v/>
      </c>
    </row>
    <row r="47" s="14" customFormat="1" customHeight="1" spans="1:6">
      <c r="A47" s="31" t="str">
        <f>IFERROR(VLOOKUP(ROW()-8,每日记录!$A:$G,2,0),"")</f>
        <v/>
      </c>
      <c r="B47" s="32" t="str">
        <f>IFERROR(VLOOKUP(ROW()-8,每日记录!$A:$G,4,0),"")</f>
        <v/>
      </c>
      <c r="C47" s="32"/>
      <c r="D47" s="32"/>
      <c r="E47" s="32"/>
      <c r="F47" s="32" t="str">
        <f>IFERROR(VLOOKUP(ROW()-8,每日记录!$A:$G,5,0),"")</f>
        <v/>
      </c>
    </row>
    <row r="48" s="14" customFormat="1" customHeight="1" spans="1:6">
      <c r="A48" s="31" t="str">
        <f>IFERROR(VLOOKUP(ROW()-8,每日记录!$A:$G,2,0),"")</f>
        <v/>
      </c>
      <c r="B48" s="32" t="str">
        <f>IFERROR(VLOOKUP(ROW()-8,每日记录!$A:$G,4,0),"")</f>
        <v/>
      </c>
      <c r="C48" s="32"/>
      <c r="D48" s="32"/>
      <c r="E48" s="32"/>
      <c r="F48" s="32" t="str">
        <f>IFERROR(VLOOKUP(ROW()-8,每日记录!$A:$G,5,0),"")</f>
        <v/>
      </c>
    </row>
    <row r="49" s="14" customFormat="1" customHeight="1" spans="1:6">
      <c r="A49" s="31" t="str">
        <f>IFERROR(VLOOKUP(ROW()-8,每日记录!$A:$G,2,0),"")</f>
        <v/>
      </c>
      <c r="B49" s="32" t="str">
        <f>IFERROR(VLOOKUP(ROW()-8,每日记录!$A:$G,4,0),"")</f>
        <v/>
      </c>
      <c r="C49" s="32"/>
      <c r="D49" s="32"/>
      <c r="E49" s="32"/>
      <c r="F49" s="32" t="str">
        <f>IFERROR(VLOOKUP(ROW()-8,每日记录!$A:$G,5,0),"")</f>
        <v/>
      </c>
    </row>
    <row r="50" s="14" customFormat="1" customHeight="1" spans="1:6">
      <c r="A50" s="31" t="str">
        <f>IFERROR(VLOOKUP(ROW()-8,每日记录!$A:$G,2,0),"")</f>
        <v/>
      </c>
      <c r="B50" s="32" t="str">
        <f>IFERROR(VLOOKUP(ROW()-8,每日记录!$A:$G,4,0),"")</f>
        <v/>
      </c>
      <c r="C50" s="32"/>
      <c r="D50" s="32"/>
      <c r="E50" s="32"/>
      <c r="F50" s="32" t="str">
        <f>IFERROR(VLOOKUP(ROW()-8,每日记录!$A:$G,5,0),"")</f>
        <v/>
      </c>
    </row>
    <row r="51" s="14" customFormat="1" customHeight="1" spans="1:6">
      <c r="A51" s="31" t="str">
        <f>IFERROR(VLOOKUP(ROW()-8,每日记录!$A:$G,2,0),"")</f>
        <v/>
      </c>
      <c r="B51" s="32" t="str">
        <f>IFERROR(VLOOKUP(ROW()-8,每日记录!$A:$G,4,0),"")</f>
        <v/>
      </c>
      <c r="C51" s="32"/>
      <c r="D51" s="32"/>
      <c r="E51" s="32"/>
      <c r="F51" s="32" t="str">
        <f>IFERROR(VLOOKUP(ROW()-8,每日记录!$A:$G,5,0),"")</f>
        <v/>
      </c>
    </row>
    <row r="52" s="14" customFormat="1" customHeight="1" spans="1:6">
      <c r="A52" s="31" t="str">
        <f>IFERROR(VLOOKUP(ROW()-8,每日记录!$A:$G,2,0),"")</f>
        <v/>
      </c>
      <c r="B52" s="32" t="str">
        <f>IFERROR(VLOOKUP(ROW()-8,每日记录!$A:$G,4,0),"")</f>
        <v/>
      </c>
      <c r="C52" s="32"/>
      <c r="D52" s="32"/>
      <c r="E52" s="32"/>
      <c r="F52" s="32" t="str">
        <f>IFERROR(VLOOKUP(ROW()-8,每日记录!$A:$G,5,0),"")</f>
        <v/>
      </c>
    </row>
    <row r="53" s="14" customFormat="1" customHeight="1" spans="1:6">
      <c r="A53" s="31" t="str">
        <f>IFERROR(VLOOKUP(ROW()-8,每日记录!$A:$G,2,0),"")</f>
        <v/>
      </c>
      <c r="B53" s="32" t="str">
        <f>IFERROR(VLOOKUP(ROW()-8,每日记录!$A:$G,4,0),"")</f>
        <v/>
      </c>
      <c r="C53" s="32"/>
      <c r="D53" s="32"/>
      <c r="E53" s="32"/>
      <c r="F53" s="32" t="str">
        <f>IFERROR(VLOOKUP(ROW()-8,每日记录!$A:$G,5,0),"")</f>
        <v/>
      </c>
    </row>
    <row r="54" s="14" customFormat="1" customHeight="1" spans="1:6">
      <c r="A54" s="31" t="str">
        <f>IFERROR(VLOOKUP(ROW()-8,每日记录!$A:$G,2,0),"")</f>
        <v/>
      </c>
      <c r="B54" s="32" t="str">
        <f>IFERROR(VLOOKUP(ROW()-8,每日记录!$A:$G,4,0),"")</f>
        <v/>
      </c>
      <c r="C54" s="32"/>
      <c r="D54" s="32"/>
      <c r="E54" s="32"/>
      <c r="F54" s="32" t="str">
        <f>IFERROR(VLOOKUP(ROW()-8,每日记录!$A:$G,5,0),"")</f>
        <v/>
      </c>
    </row>
    <row r="55" s="14" customFormat="1" customHeight="1" spans="1:6">
      <c r="A55" s="31" t="str">
        <f>IFERROR(VLOOKUP(ROW()-8,每日记录!$A:$G,2,0),"")</f>
        <v/>
      </c>
      <c r="B55" s="32" t="str">
        <f>IFERROR(VLOOKUP(ROW()-8,每日记录!$A:$G,4,0),"")</f>
        <v/>
      </c>
      <c r="C55" s="32"/>
      <c r="D55" s="32"/>
      <c r="E55" s="32"/>
      <c r="F55" s="32" t="str">
        <f>IFERROR(VLOOKUP(ROW()-8,每日记录!$A:$G,5,0),"")</f>
        <v/>
      </c>
    </row>
    <row r="56" s="14" customFormat="1" customHeight="1" spans="1:6">
      <c r="A56" s="31" t="str">
        <f>IFERROR(VLOOKUP(ROW()-8,每日记录!$A:$G,2,0),"")</f>
        <v/>
      </c>
      <c r="B56" s="32" t="str">
        <f>IFERROR(VLOOKUP(ROW()-8,每日记录!$A:$G,4,0),"")</f>
        <v/>
      </c>
      <c r="C56" s="32"/>
      <c r="D56" s="32"/>
      <c r="E56" s="32"/>
      <c r="F56" s="32" t="str">
        <f>IFERROR(VLOOKUP(ROW()-8,每日记录!$A:$G,5,0),"")</f>
        <v/>
      </c>
    </row>
    <row r="57" s="14" customFormat="1" customHeight="1" spans="1:6">
      <c r="A57" s="31" t="str">
        <f>IFERROR(VLOOKUP(ROW()-8,每日记录!$A:$G,2,0),"")</f>
        <v/>
      </c>
      <c r="B57" s="32" t="str">
        <f>IFERROR(VLOOKUP(ROW()-8,每日记录!$A:$G,4,0),"")</f>
        <v/>
      </c>
      <c r="C57" s="32"/>
      <c r="D57" s="32"/>
      <c r="E57" s="32"/>
      <c r="F57" s="32" t="str">
        <f>IFERROR(VLOOKUP(ROW()-8,每日记录!$A:$G,5,0),"")</f>
        <v/>
      </c>
    </row>
    <row r="58" s="14" customFormat="1" customHeight="1" spans="1:6">
      <c r="A58" s="31" t="str">
        <f>IFERROR(VLOOKUP(ROW()-8,每日记录!$A:$G,2,0),"")</f>
        <v/>
      </c>
      <c r="B58" s="32" t="str">
        <f>IFERROR(VLOOKUP(ROW()-8,每日记录!$A:$G,4,0),"")</f>
        <v/>
      </c>
      <c r="C58" s="32"/>
      <c r="D58" s="32"/>
      <c r="E58" s="32"/>
      <c r="F58" s="32" t="str">
        <f>IFERROR(VLOOKUP(ROW()-8,每日记录!$A:$G,5,0),"")</f>
        <v/>
      </c>
    </row>
    <row r="59" s="14" customFormat="1" customHeight="1" spans="1:6">
      <c r="A59" s="31" t="str">
        <f>IFERROR(VLOOKUP(ROW()-8,每日记录!$A:$G,2,0),"")</f>
        <v/>
      </c>
      <c r="B59" s="32" t="str">
        <f>IFERROR(VLOOKUP(ROW()-8,每日记录!$A:$G,4,0),"")</f>
        <v/>
      </c>
      <c r="C59" s="32"/>
      <c r="D59" s="32"/>
      <c r="E59" s="32"/>
      <c r="F59" s="32" t="str">
        <f>IFERROR(VLOOKUP(ROW()-8,每日记录!$A:$G,5,0),"")</f>
        <v/>
      </c>
    </row>
    <row r="60" s="14" customFormat="1" customHeight="1" spans="1:6">
      <c r="A60" s="31" t="str">
        <f>IFERROR(VLOOKUP(ROW()-8,每日记录!$A:$G,2,0),"")</f>
        <v/>
      </c>
      <c r="B60" s="32" t="str">
        <f>IFERROR(VLOOKUP(ROW()-8,每日记录!$A:$G,4,0),"")</f>
        <v/>
      </c>
      <c r="C60" s="32"/>
      <c r="D60" s="32"/>
      <c r="E60" s="32"/>
      <c r="F60" s="32" t="str">
        <f>IFERROR(VLOOKUP(ROW()-8,每日记录!$A:$G,5,0),"")</f>
        <v/>
      </c>
    </row>
    <row r="61" s="14" customFormat="1" customHeight="1" spans="1:6">
      <c r="A61" s="31" t="str">
        <f>IFERROR(VLOOKUP(ROW()-8,每日记录!$A:$G,2,0),"")</f>
        <v/>
      </c>
      <c r="B61" s="32" t="str">
        <f>IFERROR(VLOOKUP(ROW()-8,每日记录!$A:$G,4,0),"")</f>
        <v/>
      </c>
      <c r="C61" s="32"/>
      <c r="D61" s="32"/>
      <c r="E61" s="32"/>
      <c r="F61" s="32" t="str">
        <f>IFERROR(VLOOKUP(ROW()-8,每日记录!$A:$G,5,0),"")</f>
        <v/>
      </c>
    </row>
    <row r="62" s="14" customFormat="1" customHeight="1" spans="1:6">
      <c r="A62" s="31" t="str">
        <f>IFERROR(VLOOKUP(ROW()-8,每日记录!$A:$G,2,0),"")</f>
        <v/>
      </c>
      <c r="B62" s="32" t="str">
        <f>IFERROR(VLOOKUP(ROW()-8,每日记录!$A:$G,4,0),"")</f>
        <v/>
      </c>
      <c r="C62" s="32"/>
      <c r="D62" s="32"/>
      <c r="E62" s="32"/>
      <c r="F62" s="32" t="str">
        <f>IFERROR(VLOOKUP(ROW()-8,每日记录!$A:$G,5,0),"")</f>
        <v/>
      </c>
    </row>
    <row r="63" s="14" customFormat="1" customHeight="1" spans="1:6">
      <c r="A63" s="31" t="str">
        <f>IFERROR(VLOOKUP(ROW()-8,每日记录!$A:$G,2,0),"")</f>
        <v/>
      </c>
      <c r="B63" s="32" t="str">
        <f>IFERROR(VLOOKUP(ROW()-8,每日记录!$A:$G,4,0),"")</f>
        <v/>
      </c>
      <c r="C63" s="32"/>
      <c r="D63" s="32"/>
      <c r="E63" s="32"/>
      <c r="F63" s="32" t="str">
        <f>IFERROR(VLOOKUP(ROW()-8,每日记录!$A:$G,5,0),"")</f>
        <v/>
      </c>
    </row>
    <row r="64" s="14" customFormat="1" customHeight="1" spans="1:6">
      <c r="A64" s="31" t="str">
        <f>IFERROR(VLOOKUP(ROW()-8,每日记录!$A:$G,2,0),"")</f>
        <v/>
      </c>
      <c r="B64" s="32" t="str">
        <f>IFERROR(VLOOKUP(ROW()-8,每日记录!$A:$G,4,0),"")</f>
        <v/>
      </c>
      <c r="C64" s="32"/>
      <c r="D64" s="32"/>
      <c r="E64" s="32"/>
      <c r="F64" s="32" t="str">
        <f>IFERROR(VLOOKUP(ROW()-8,每日记录!$A:$G,5,0),"")</f>
        <v/>
      </c>
    </row>
    <row r="65" s="14" customFormat="1" customHeight="1" spans="1:6">
      <c r="A65" s="31" t="str">
        <f>IFERROR(VLOOKUP(ROW()-8,每日记录!$A:$G,2,0),"")</f>
        <v/>
      </c>
      <c r="B65" s="32" t="str">
        <f>IFERROR(VLOOKUP(ROW()-8,每日记录!$A:$G,4,0),"")</f>
        <v/>
      </c>
      <c r="C65" s="32"/>
      <c r="D65" s="32"/>
      <c r="E65" s="32"/>
      <c r="F65" s="32" t="str">
        <f>IFERROR(VLOOKUP(ROW()-8,每日记录!$A:$G,5,0),"")</f>
        <v/>
      </c>
    </row>
    <row r="66" s="14" customFormat="1" customHeight="1" spans="1:6">
      <c r="A66" s="31" t="str">
        <f>IFERROR(VLOOKUP(ROW()-8,每日记录!$A:$G,2,0),"")</f>
        <v/>
      </c>
      <c r="B66" s="32" t="str">
        <f>IFERROR(VLOOKUP(ROW()-8,每日记录!$A:$G,4,0),"")</f>
        <v/>
      </c>
      <c r="C66" s="32"/>
      <c r="D66" s="32"/>
      <c r="E66" s="32"/>
      <c r="F66" s="32" t="str">
        <f>IFERROR(VLOOKUP(ROW()-8,每日记录!$A:$G,5,0),"")</f>
        <v/>
      </c>
    </row>
    <row r="67" s="14" customFormat="1" customHeight="1" spans="1:6">
      <c r="A67" s="31" t="str">
        <f>IFERROR(VLOOKUP(ROW()-8,每日记录!$A:$G,2,0),"")</f>
        <v/>
      </c>
      <c r="B67" s="32" t="str">
        <f>IFERROR(VLOOKUP(ROW()-8,每日记录!$A:$G,4,0),"")</f>
        <v/>
      </c>
      <c r="C67" s="32"/>
      <c r="D67" s="32"/>
      <c r="E67" s="32"/>
      <c r="F67" s="32" t="str">
        <f>IFERROR(VLOOKUP(ROW()-8,每日记录!$A:$G,5,0),"")</f>
        <v/>
      </c>
    </row>
    <row r="68" s="14" customFormat="1" customHeight="1" spans="1:6">
      <c r="A68" s="31" t="str">
        <f>IFERROR(VLOOKUP(ROW()-8,每日记录!$A:$G,2,0),"")</f>
        <v/>
      </c>
      <c r="B68" s="32" t="str">
        <f>IFERROR(VLOOKUP(ROW()-8,每日记录!$A:$G,4,0),"")</f>
        <v/>
      </c>
      <c r="C68" s="32"/>
      <c r="D68" s="32"/>
      <c r="E68" s="32"/>
      <c r="F68" s="32" t="str">
        <f>IFERROR(VLOOKUP(ROW()-8,每日记录!$A:$G,5,0),"")</f>
        <v/>
      </c>
    </row>
    <row r="69" s="14" customFormat="1" customHeight="1" spans="1:6">
      <c r="A69" s="31" t="str">
        <f>IFERROR(VLOOKUP(ROW()-8,每日记录!$A:$G,2,0),"")</f>
        <v/>
      </c>
      <c r="B69" s="32" t="str">
        <f>IFERROR(VLOOKUP(ROW()-8,每日记录!$A:$G,4,0),"")</f>
        <v/>
      </c>
      <c r="C69" s="32"/>
      <c r="D69" s="32"/>
      <c r="E69" s="32"/>
      <c r="F69" s="32" t="str">
        <f>IFERROR(VLOOKUP(ROW()-8,每日记录!$A:$G,5,0),"")</f>
        <v/>
      </c>
    </row>
    <row r="70" s="14" customFormat="1" customHeight="1" spans="1:6">
      <c r="A70" s="31" t="str">
        <f>IFERROR(VLOOKUP(ROW()-8,每日记录!$A:$G,2,0),"")</f>
        <v/>
      </c>
      <c r="B70" s="32" t="str">
        <f>IFERROR(VLOOKUP(ROW()-8,每日记录!$A:$G,4,0),"")</f>
        <v/>
      </c>
      <c r="C70" s="32"/>
      <c r="D70" s="32"/>
      <c r="E70" s="32"/>
      <c r="F70" s="32" t="str">
        <f>IFERROR(VLOOKUP(ROW()-8,每日记录!$A:$G,5,0),"")</f>
        <v/>
      </c>
    </row>
    <row r="71" s="14" customFormat="1" customHeight="1" spans="1:6">
      <c r="A71" s="31" t="str">
        <f>IFERROR(VLOOKUP(ROW()-8,每日记录!$A:$G,2,0),"")</f>
        <v/>
      </c>
      <c r="B71" s="32" t="str">
        <f>IFERROR(VLOOKUP(ROW()-8,每日记录!$A:$G,4,0),"")</f>
        <v/>
      </c>
      <c r="C71" s="32"/>
      <c r="D71" s="32"/>
      <c r="E71" s="32"/>
      <c r="F71" s="32" t="str">
        <f>IFERROR(VLOOKUP(ROW()-8,每日记录!$A:$G,5,0),"")</f>
        <v/>
      </c>
    </row>
    <row r="72" s="14" customFormat="1" customHeight="1" spans="1:6">
      <c r="A72" s="31" t="str">
        <f>IFERROR(VLOOKUP(ROW()-8,每日记录!$A:$G,2,0),"")</f>
        <v/>
      </c>
      <c r="B72" s="32" t="str">
        <f>IFERROR(VLOOKUP(ROW()-8,每日记录!$A:$G,4,0),"")</f>
        <v/>
      </c>
      <c r="C72" s="32"/>
      <c r="D72" s="32"/>
      <c r="E72" s="32"/>
      <c r="F72" s="32" t="str">
        <f>IFERROR(VLOOKUP(ROW()-8,每日记录!$A:$G,5,0),"")</f>
        <v/>
      </c>
    </row>
    <row r="73" s="14" customFormat="1" customHeight="1" spans="1:6">
      <c r="A73" s="31" t="str">
        <f>IFERROR(VLOOKUP(ROW()-8,每日记录!$A:$G,2,0),"")</f>
        <v/>
      </c>
      <c r="B73" s="32" t="str">
        <f>IFERROR(VLOOKUP(ROW()-8,每日记录!$A:$G,4,0),"")</f>
        <v/>
      </c>
      <c r="C73" s="32"/>
      <c r="D73" s="32"/>
      <c r="E73" s="32"/>
      <c r="F73" s="32" t="str">
        <f>IFERROR(VLOOKUP(ROW()-8,每日记录!$A:$G,5,0),"")</f>
        <v/>
      </c>
    </row>
    <row r="74" s="14" customFormat="1" customHeight="1" spans="1:6">
      <c r="A74" s="31" t="str">
        <f>IFERROR(VLOOKUP(ROW()-8,每日记录!$A:$G,2,0),"")</f>
        <v/>
      </c>
      <c r="B74" s="32" t="str">
        <f>IFERROR(VLOOKUP(ROW()-8,每日记录!$A:$G,4,0),"")</f>
        <v/>
      </c>
      <c r="C74" s="32"/>
      <c r="D74" s="32"/>
      <c r="E74" s="32"/>
      <c r="F74" s="32" t="str">
        <f>IFERROR(VLOOKUP(ROW()-8,每日记录!$A:$G,5,0),"")</f>
        <v/>
      </c>
    </row>
    <row r="75" s="14" customFormat="1" customHeight="1" spans="1:6">
      <c r="A75" s="31" t="str">
        <f>IFERROR(VLOOKUP(ROW()-8,每日记录!$A:$G,2,0),"")</f>
        <v/>
      </c>
      <c r="B75" s="32" t="str">
        <f>IFERROR(VLOOKUP(ROW()-8,每日记录!$A:$G,4,0),"")</f>
        <v/>
      </c>
      <c r="C75" s="32"/>
      <c r="D75" s="32"/>
      <c r="E75" s="32"/>
      <c r="F75" s="32" t="str">
        <f>IFERROR(VLOOKUP(ROW()-8,每日记录!$A:$G,5,0),"")</f>
        <v/>
      </c>
    </row>
    <row r="76" s="14" customFormat="1" customHeight="1" spans="1:6">
      <c r="A76" s="31" t="str">
        <f>IFERROR(VLOOKUP(ROW()-8,每日记录!$A:$G,2,0),"")</f>
        <v/>
      </c>
      <c r="B76" s="32" t="str">
        <f>IFERROR(VLOOKUP(ROW()-8,每日记录!$A:$G,4,0),"")</f>
        <v/>
      </c>
      <c r="C76" s="32"/>
      <c r="D76" s="32"/>
      <c r="E76" s="32"/>
      <c r="F76" s="32" t="str">
        <f>IFERROR(VLOOKUP(ROW()-8,每日记录!$A:$G,5,0),"")</f>
        <v/>
      </c>
    </row>
    <row r="77" s="14" customFormat="1" customHeight="1" spans="1:6">
      <c r="A77" s="31" t="str">
        <f>IFERROR(VLOOKUP(ROW()-8,每日记录!$A:$G,2,0),"")</f>
        <v/>
      </c>
      <c r="B77" s="32" t="str">
        <f>IFERROR(VLOOKUP(ROW()-8,每日记录!$A:$G,4,0),"")</f>
        <v/>
      </c>
      <c r="C77" s="32"/>
      <c r="D77" s="32"/>
      <c r="E77" s="32"/>
      <c r="F77" s="32" t="str">
        <f>IFERROR(VLOOKUP(ROW()-8,每日记录!$A:$G,5,0),"")</f>
        <v/>
      </c>
    </row>
    <row r="78" s="14" customFormat="1" customHeight="1" spans="1:6">
      <c r="A78" s="31" t="str">
        <f>IFERROR(VLOOKUP(ROW()-8,每日记录!$A:$G,2,0),"")</f>
        <v/>
      </c>
      <c r="B78" s="32" t="str">
        <f>IFERROR(VLOOKUP(ROW()-8,每日记录!$A:$G,4,0),"")</f>
        <v/>
      </c>
      <c r="C78" s="32"/>
      <c r="D78" s="32"/>
      <c r="E78" s="32"/>
      <c r="F78" s="32" t="str">
        <f>IFERROR(VLOOKUP(ROW()-8,每日记录!$A:$G,5,0),"")</f>
        <v/>
      </c>
    </row>
    <row r="79" s="14" customFormat="1" customHeight="1" spans="1:6">
      <c r="A79" s="31" t="str">
        <f>IFERROR(VLOOKUP(ROW()-8,每日记录!$A:$G,2,0),"")</f>
        <v/>
      </c>
      <c r="B79" s="32" t="str">
        <f>IFERROR(VLOOKUP(ROW()-8,每日记录!$A:$G,4,0),"")</f>
        <v/>
      </c>
      <c r="C79" s="32"/>
      <c r="D79" s="32"/>
      <c r="E79" s="32"/>
      <c r="F79" s="32" t="str">
        <f>IFERROR(VLOOKUP(ROW()-8,每日记录!$A:$G,5,0),"")</f>
        <v/>
      </c>
    </row>
    <row r="80" s="14" customFormat="1" customHeight="1" spans="1:6">
      <c r="A80" s="31" t="str">
        <f>IFERROR(VLOOKUP(ROW()-8,每日记录!$A:$G,2,0),"")</f>
        <v/>
      </c>
      <c r="B80" s="32" t="str">
        <f>IFERROR(VLOOKUP(ROW()-8,每日记录!$A:$G,4,0),"")</f>
        <v/>
      </c>
      <c r="C80" s="32"/>
      <c r="D80" s="32"/>
      <c r="E80" s="32"/>
      <c r="F80" s="32" t="str">
        <f>IFERROR(VLOOKUP(ROW()-8,每日记录!$A:$G,5,0),"")</f>
        <v/>
      </c>
    </row>
    <row r="81" s="14" customFormat="1" customHeight="1" spans="1:6">
      <c r="A81" s="31" t="str">
        <f>IFERROR(VLOOKUP(ROW()-8,每日记录!$A:$G,2,0),"")</f>
        <v/>
      </c>
      <c r="B81" s="32" t="str">
        <f>IFERROR(VLOOKUP(ROW()-8,每日记录!$A:$G,4,0),"")</f>
        <v/>
      </c>
      <c r="C81" s="32"/>
      <c r="D81" s="32"/>
      <c r="E81" s="32"/>
      <c r="F81" s="32" t="str">
        <f>IFERROR(VLOOKUP(ROW()-8,每日记录!$A:$G,5,0),"")</f>
        <v/>
      </c>
    </row>
    <row r="82" s="14" customFormat="1" customHeight="1" spans="1:6">
      <c r="A82" s="31" t="str">
        <f>IFERROR(VLOOKUP(ROW()-8,每日记录!$A:$G,2,0),"")</f>
        <v/>
      </c>
      <c r="B82" s="32" t="str">
        <f>IFERROR(VLOOKUP(ROW()-8,每日记录!$A:$G,4,0),"")</f>
        <v/>
      </c>
      <c r="C82" s="32"/>
      <c r="D82" s="32"/>
      <c r="E82" s="32"/>
      <c r="F82" s="32" t="str">
        <f>IFERROR(VLOOKUP(ROW()-8,每日记录!$A:$G,5,0),"")</f>
        <v/>
      </c>
    </row>
    <row r="83" s="14" customFormat="1" customHeight="1" spans="1:6">
      <c r="A83" s="31" t="str">
        <f>IFERROR(VLOOKUP(ROW()-8,每日记录!$A:$G,2,0),"")</f>
        <v/>
      </c>
      <c r="B83" s="32" t="str">
        <f>IFERROR(VLOOKUP(ROW()-8,每日记录!$A:$G,4,0),"")</f>
        <v/>
      </c>
      <c r="C83" s="32"/>
      <c r="D83" s="32"/>
      <c r="E83" s="32"/>
      <c r="F83" s="32" t="str">
        <f>IFERROR(VLOOKUP(ROW()-8,每日记录!$A:$G,5,0),"")</f>
        <v/>
      </c>
    </row>
    <row r="84" s="14" customFormat="1" customHeight="1" spans="1:6">
      <c r="A84" s="31" t="str">
        <f>IFERROR(VLOOKUP(ROW()-8,每日记录!$A:$G,2,0),"")</f>
        <v/>
      </c>
      <c r="B84" s="32" t="str">
        <f>IFERROR(VLOOKUP(ROW()-8,每日记录!$A:$G,4,0),"")</f>
        <v/>
      </c>
      <c r="C84" s="32"/>
      <c r="D84" s="32"/>
      <c r="E84" s="32"/>
      <c r="F84" s="32" t="str">
        <f>IFERROR(VLOOKUP(ROW()-8,每日记录!$A:$G,5,0),"")</f>
        <v/>
      </c>
    </row>
    <row r="85" s="14" customFormat="1" customHeight="1" spans="1:6">
      <c r="A85" s="31" t="str">
        <f>IFERROR(VLOOKUP(ROW()-8,每日记录!$A:$G,2,0),"")</f>
        <v/>
      </c>
      <c r="B85" s="32" t="str">
        <f>IFERROR(VLOOKUP(ROW()-8,每日记录!$A:$G,4,0),"")</f>
        <v/>
      </c>
      <c r="C85" s="32"/>
      <c r="D85" s="32"/>
      <c r="E85" s="32"/>
      <c r="F85" s="32" t="str">
        <f>IFERROR(VLOOKUP(ROW()-8,每日记录!$A:$G,5,0),"")</f>
        <v/>
      </c>
    </row>
    <row r="86" s="14" customFormat="1" customHeight="1" spans="1:6">
      <c r="A86" s="31" t="str">
        <f>IFERROR(VLOOKUP(ROW()-8,每日记录!$A:$G,2,0),"")</f>
        <v/>
      </c>
      <c r="B86" s="32" t="str">
        <f>IFERROR(VLOOKUP(ROW()-8,每日记录!$A:$G,4,0),"")</f>
        <v/>
      </c>
      <c r="C86" s="32"/>
      <c r="D86" s="32"/>
      <c r="E86" s="32"/>
      <c r="F86" s="32" t="str">
        <f>IFERROR(VLOOKUP(ROW()-8,每日记录!$A:$G,5,0),"")</f>
        <v/>
      </c>
    </row>
    <row r="87" s="14" customFormat="1" customHeight="1" spans="1:6">
      <c r="A87" s="31" t="str">
        <f>IFERROR(VLOOKUP(ROW()-8,每日记录!$A:$G,2,0),"")</f>
        <v/>
      </c>
      <c r="B87" s="32" t="str">
        <f>IFERROR(VLOOKUP(ROW()-8,每日记录!$A:$G,4,0),"")</f>
        <v/>
      </c>
      <c r="C87" s="32"/>
      <c r="D87" s="32"/>
      <c r="E87" s="32"/>
      <c r="F87" s="32" t="str">
        <f>IFERROR(VLOOKUP(ROW()-8,每日记录!$A:$G,5,0),"")</f>
        <v/>
      </c>
    </row>
    <row r="88" s="14" customFormat="1" customHeight="1" spans="1:6">
      <c r="A88" s="31" t="str">
        <f>IFERROR(VLOOKUP(ROW()-8,每日记录!$A:$G,2,0),"")</f>
        <v/>
      </c>
      <c r="B88" s="32" t="str">
        <f>IFERROR(VLOOKUP(ROW()-8,每日记录!$A:$G,4,0),"")</f>
        <v/>
      </c>
      <c r="C88" s="32"/>
      <c r="D88" s="32"/>
      <c r="E88" s="32"/>
      <c r="F88" s="32" t="str">
        <f>IFERROR(VLOOKUP(ROW()-8,每日记录!$A:$G,5,0),"")</f>
        <v/>
      </c>
    </row>
    <row r="89" s="14" customFormat="1" customHeight="1" spans="1:6">
      <c r="A89" s="31" t="str">
        <f>IFERROR(VLOOKUP(ROW()-8,每日记录!$A:$G,2,0),"")</f>
        <v/>
      </c>
      <c r="B89" s="32" t="str">
        <f>IFERROR(VLOOKUP(ROW()-8,每日记录!$A:$G,4,0),"")</f>
        <v/>
      </c>
      <c r="C89" s="32"/>
      <c r="D89" s="32"/>
      <c r="E89" s="32"/>
      <c r="F89" s="32" t="str">
        <f>IFERROR(VLOOKUP(ROW()-8,每日记录!$A:$G,5,0),"")</f>
        <v/>
      </c>
    </row>
    <row r="90" s="14" customFormat="1" customHeight="1" spans="1:6">
      <c r="A90" s="31" t="str">
        <f>IFERROR(VLOOKUP(ROW()-8,每日记录!$A:$G,2,0),"")</f>
        <v/>
      </c>
      <c r="B90" s="32" t="str">
        <f>IFERROR(VLOOKUP(ROW()-8,每日记录!$A:$G,4,0),"")</f>
        <v/>
      </c>
      <c r="C90" s="32"/>
      <c r="D90" s="32"/>
      <c r="E90" s="32"/>
      <c r="F90" s="32" t="str">
        <f>IFERROR(VLOOKUP(ROW()-8,每日记录!$A:$G,5,0),"")</f>
        <v/>
      </c>
    </row>
    <row r="91" s="14" customFormat="1" customHeight="1" spans="1:6">
      <c r="A91" s="31" t="str">
        <f>IFERROR(VLOOKUP(ROW()-8,每日记录!$A:$G,2,0),"")</f>
        <v/>
      </c>
      <c r="B91" s="32" t="str">
        <f>IFERROR(VLOOKUP(ROW()-8,每日记录!$A:$G,4,0),"")</f>
        <v/>
      </c>
      <c r="C91" s="32"/>
      <c r="D91" s="32"/>
      <c r="E91" s="32"/>
      <c r="F91" s="32" t="str">
        <f>IFERROR(VLOOKUP(ROW()-8,每日记录!$A:$G,5,0),"")</f>
        <v/>
      </c>
    </row>
    <row r="92" s="14" customFormat="1" customHeight="1" spans="1:6">
      <c r="A92" s="31" t="str">
        <f>IFERROR(VLOOKUP(ROW()-8,每日记录!$A:$G,2,0),"")</f>
        <v/>
      </c>
      <c r="B92" s="32" t="str">
        <f>IFERROR(VLOOKUP(ROW()-8,每日记录!$A:$G,4,0),"")</f>
        <v/>
      </c>
      <c r="C92" s="32"/>
      <c r="D92" s="32"/>
      <c r="E92" s="32"/>
      <c r="F92" s="32" t="str">
        <f>IFERROR(VLOOKUP(ROW()-8,每日记录!$A:$G,5,0),"")</f>
        <v/>
      </c>
    </row>
    <row r="93" s="14" customFormat="1" customHeight="1" spans="1:6">
      <c r="A93" s="31" t="str">
        <f>IFERROR(VLOOKUP(ROW()-8,每日记录!$A:$G,2,0),"")</f>
        <v/>
      </c>
      <c r="B93" s="32" t="str">
        <f>IFERROR(VLOOKUP(ROW()-8,每日记录!$A:$G,4,0),"")</f>
        <v/>
      </c>
      <c r="C93" s="32"/>
      <c r="D93" s="32"/>
      <c r="E93" s="32"/>
      <c r="F93" s="32" t="str">
        <f>IFERROR(VLOOKUP(ROW()-8,每日记录!$A:$G,5,0),"")</f>
        <v/>
      </c>
    </row>
    <row r="94" s="14" customFormat="1" customHeight="1" spans="1:6">
      <c r="A94" s="31" t="str">
        <f>IFERROR(VLOOKUP(ROW()-8,每日记录!$A:$G,2,0),"")</f>
        <v/>
      </c>
      <c r="B94" s="32" t="str">
        <f>IFERROR(VLOOKUP(ROW()-8,每日记录!$A:$G,4,0),"")</f>
        <v/>
      </c>
      <c r="C94" s="32"/>
      <c r="D94" s="32"/>
      <c r="E94" s="32"/>
      <c r="F94" s="32" t="str">
        <f>IFERROR(VLOOKUP(ROW()-8,每日记录!$A:$G,5,0),"")</f>
        <v/>
      </c>
    </row>
    <row r="95" s="14" customFormat="1" customHeight="1" spans="1:6">
      <c r="A95" s="31" t="str">
        <f>IFERROR(VLOOKUP(ROW()-8,每日记录!$A:$G,2,0),"")</f>
        <v/>
      </c>
      <c r="B95" s="32" t="str">
        <f>IFERROR(VLOOKUP(ROW()-8,每日记录!$A:$G,4,0),"")</f>
        <v/>
      </c>
      <c r="C95" s="32"/>
      <c r="D95" s="32"/>
      <c r="E95" s="32"/>
      <c r="F95" s="32" t="str">
        <f>IFERROR(VLOOKUP(ROW()-8,每日记录!$A:$G,5,0),"")</f>
        <v/>
      </c>
    </row>
    <row r="96" s="14" customFormat="1" customHeight="1" spans="1:6">
      <c r="A96" s="31" t="str">
        <f>IFERROR(VLOOKUP(ROW()-8,每日记录!$A:$G,2,0),"")</f>
        <v/>
      </c>
      <c r="B96" s="32" t="str">
        <f>IFERROR(VLOOKUP(ROW()-8,每日记录!$A:$G,4,0),"")</f>
        <v/>
      </c>
      <c r="C96" s="32"/>
      <c r="D96" s="32"/>
      <c r="E96" s="32"/>
      <c r="F96" s="32" t="str">
        <f>IFERROR(VLOOKUP(ROW()-8,每日记录!$A:$G,5,0),"")</f>
        <v/>
      </c>
    </row>
    <row r="97" s="14" customFormat="1" customHeight="1" spans="1:6">
      <c r="A97" s="31" t="str">
        <f>IFERROR(VLOOKUP(ROW()-8,每日记录!$A:$G,2,0),"")</f>
        <v/>
      </c>
      <c r="B97" s="32" t="str">
        <f>IFERROR(VLOOKUP(ROW()-8,每日记录!$A:$G,4,0),"")</f>
        <v/>
      </c>
      <c r="C97" s="32"/>
      <c r="D97" s="32"/>
      <c r="E97" s="32"/>
      <c r="F97" s="32" t="str">
        <f>IFERROR(VLOOKUP(ROW()-8,每日记录!$A:$G,5,0),"")</f>
        <v/>
      </c>
    </row>
    <row r="98" s="14" customFormat="1" customHeight="1" spans="1:6">
      <c r="A98" s="31" t="str">
        <f>IFERROR(VLOOKUP(ROW()-8,每日记录!$A:$G,2,0),"")</f>
        <v/>
      </c>
      <c r="B98" s="32" t="str">
        <f>IFERROR(VLOOKUP(ROW()-8,每日记录!$A:$G,4,0),"")</f>
        <v/>
      </c>
      <c r="C98" s="32"/>
      <c r="D98" s="32"/>
      <c r="E98" s="32"/>
      <c r="F98" s="32" t="str">
        <f>IFERROR(VLOOKUP(ROW()-8,每日记录!$A:$G,5,0),"")</f>
        <v/>
      </c>
    </row>
    <row r="99" s="14" customFormat="1" customHeight="1" spans="1:6">
      <c r="A99" s="31" t="str">
        <f>IFERROR(VLOOKUP(ROW()-8,每日记录!$A:$G,2,0),"")</f>
        <v/>
      </c>
      <c r="B99" s="32" t="str">
        <f>IFERROR(VLOOKUP(ROW()-8,每日记录!$A:$G,4,0),"")</f>
        <v/>
      </c>
      <c r="C99" s="32"/>
      <c r="D99" s="32"/>
      <c r="E99" s="32"/>
      <c r="F99" s="32" t="str">
        <f>IFERROR(VLOOKUP(ROW()-8,每日记录!$A:$G,5,0),"")</f>
        <v/>
      </c>
    </row>
    <row r="100" s="14" customFormat="1" customHeight="1" spans="1:6">
      <c r="A100" s="31" t="str">
        <f>IFERROR(VLOOKUP(ROW()-8,每日记录!$A:$G,2,0),"")</f>
        <v/>
      </c>
      <c r="B100" s="32" t="str">
        <f>IFERROR(VLOOKUP(ROW()-8,每日记录!$A:$G,4,0),"")</f>
        <v/>
      </c>
      <c r="C100" s="32"/>
      <c r="D100" s="32"/>
      <c r="E100" s="32"/>
      <c r="F100" s="32" t="str">
        <f>IFERROR(VLOOKUP(ROW()-8,每日记录!$A:$G,5,0),"")</f>
        <v/>
      </c>
    </row>
    <row r="101" s="14" customFormat="1" customHeight="1" spans="1:6">
      <c r="A101" s="31" t="str">
        <f>IFERROR(VLOOKUP(ROW()-8,每日记录!$A:$G,2,0),"")</f>
        <v/>
      </c>
      <c r="B101" s="32" t="str">
        <f>IFERROR(VLOOKUP(ROW()-8,每日记录!$A:$G,4,0),"")</f>
        <v/>
      </c>
      <c r="C101" s="32"/>
      <c r="D101" s="32"/>
      <c r="E101" s="32"/>
      <c r="F101" s="32" t="str">
        <f>IFERROR(VLOOKUP(ROW()-8,每日记录!$A:$G,5,0),"")</f>
        <v/>
      </c>
    </row>
    <row r="102" s="14" customFormat="1" customHeight="1" spans="1:6">
      <c r="A102" s="31" t="str">
        <f>IFERROR(VLOOKUP(ROW()-8,每日记录!$A:$G,2,0),"")</f>
        <v/>
      </c>
      <c r="B102" s="32" t="str">
        <f>IFERROR(VLOOKUP(ROW()-8,每日记录!$A:$G,4,0),"")</f>
        <v/>
      </c>
      <c r="C102" s="32"/>
      <c r="D102" s="32"/>
      <c r="E102" s="32"/>
      <c r="F102" s="32" t="str">
        <f>IFERROR(VLOOKUP(ROW()-8,每日记录!$A:$G,5,0),"")</f>
        <v/>
      </c>
    </row>
    <row r="103" s="14" customFormat="1" customHeight="1" spans="1:6">
      <c r="A103" s="31" t="str">
        <f>IFERROR(VLOOKUP(ROW()-8,每日记录!$A:$G,2,0),"")</f>
        <v/>
      </c>
      <c r="B103" s="32" t="str">
        <f>IFERROR(VLOOKUP(ROW()-8,每日记录!$A:$G,4,0),"")</f>
        <v/>
      </c>
      <c r="C103" s="32"/>
      <c r="D103" s="32"/>
      <c r="E103" s="32"/>
      <c r="F103" s="32" t="str">
        <f>IFERROR(VLOOKUP(ROW()-8,每日记录!$A:$G,5,0),"")</f>
        <v/>
      </c>
    </row>
    <row r="104" s="14" customFormat="1" customHeight="1" spans="1:6">
      <c r="A104" s="31" t="str">
        <f>IFERROR(VLOOKUP(ROW()-8,每日记录!$A:$G,2,0),"")</f>
        <v/>
      </c>
      <c r="B104" s="32" t="str">
        <f>IFERROR(VLOOKUP(ROW()-8,每日记录!$A:$G,4,0),"")</f>
        <v/>
      </c>
      <c r="C104" s="32"/>
      <c r="D104" s="32"/>
      <c r="E104" s="32"/>
      <c r="F104" s="32" t="str">
        <f>IFERROR(VLOOKUP(ROW()-8,每日记录!$A:$G,5,0),"")</f>
        <v/>
      </c>
    </row>
    <row r="105" s="14" customFormat="1" customHeight="1" spans="1:6">
      <c r="A105" s="31" t="str">
        <f>IFERROR(VLOOKUP(ROW()-8,每日记录!$A:$G,2,0),"")</f>
        <v/>
      </c>
      <c r="B105" s="32" t="str">
        <f>IFERROR(VLOOKUP(ROW()-8,每日记录!$A:$G,4,0),"")</f>
        <v/>
      </c>
      <c r="C105" s="32"/>
      <c r="D105" s="32"/>
      <c r="E105" s="32"/>
      <c r="F105" s="32" t="str">
        <f>IFERROR(VLOOKUP(ROW()-8,每日记录!$A:$G,5,0),"")</f>
        <v/>
      </c>
    </row>
    <row r="106" s="14" customFormat="1" customHeight="1" spans="1:6">
      <c r="A106" s="31" t="str">
        <f>IFERROR(VLOOKUP(ROW()-8,每日记录!$A:$G,2,0),"")</f>
        <v/>
      </c>
      <c r="B106" s="32" t="str">
        <f>IFERROR(VLOOKUP(ROW()-8,每日记录!$A:$G,4,0),"")</f>
        <v/>
      </c>
      <c r="C106" s="32"/>
      <c r="D106" s="32"/>
      <c r="E106" s="32"/>
      <c r="F106" s="32" t="str">
        <f>IFERROR(VLOOKUP(ROW()-8,每日记录!$A:$G,5,0),"")</f>
        <v/>
      </c>
    </row>
    <row r="107" s="14" customFormat="1" customHeight="1" spans="1:6">
      <c r="A107" s="31" t="str">
        <f>IFERROR(VLOOKUP(ROW()-8,每日记录!$A:$G,2,0),"")</f>
        <v/>
      </c>
      <c r="B107" s="32" t="str">
        <f>IFERROR(VLOOKUP(ROW()-8,每日记录!$A:$G,4,0),"")</f>
        <v/>
      </c>
      <c r="C107" s="32"/>
      <c r="D107" s="32"/>
      <c r="E107" s="32"/>
      <c r="F107" s="32" t="str">
        <f>IFERROR(VLOOKUP(ROW()-8,每日记录!$A:$G,5,0),"")</f>
        <v/>
      </c>
    </row>
    <row r="108" s="14" customFormat="1" customHeight="1" spans="1:6">
      <c r="A108" s="31" t="str">
        <f>IFERROR(VLOOKUP(ROW()-8,每日记录!$A:$G,2,0),"")</f>
        <v/>
      </c>
      <c r="B108" s="32" t="str">
        <f>IFERROR(VLOOKUP(ROW()-8,每日记录!$A:$G,4,0),"")</f>
        <v/>
      </c>
      <c r="C108" s="32"/>
      <c r="D108" s="32"/>
      <c r="E108" s="32"/>
      <c r="F108" s="32" t="str">
        <f>IFERROR(VLOOKUP(ROW()-8,每日记录!$A:$G,5,0),"")</f>
        <v/>
      </c>
    </row>
    <row r="109" s="14" customFormat="1" customHeight="1" spans="1:6">
      <c r="A109" s="31" t="str">
        <f>IFERROR(VLOOKUP(ROW()-8,每日记录!$A:$G,2,0),"")</f>
        <v/>
      </c>
      <c r="B109" s="32" t="str">
        <f>IFERROR(VLOOKUP(ROW()-8,每日记录!$A:$G,4,0),"")</f>
        <v/>
      </c>
      <c r="C109" s="32"/>
      <c r="D109" s="32"/>
      <c r="E109" s="32"/>
      <c r="F109" s="32" t="str">
        <f>IFERROR(VLOOKUP(ROW()-8,每日记录!$A:$G,5,0),"")</f>
        <v/>
      </c>
    </row>
    <row r="110" s="14" customFormat="1" customHeight="1" spans="1:6">
      <c r="A110" s="31" t="str">
        <f>IFERROR(VLOOKUP(ROW()-8,每日记录!$A:$G,2,0),"")</f>
        <v/>
      </c>
      <c r="B110" s="32" t="str">
        <f>IFERROR(VLOOKUP(ROW()-8,每日记录!$A:$G,4,0),"")</f>
        <v/>
      </c>
      <c r="C110" s="32"/>
      <c r="D110" s="32"/>
      <c r="E110" s="32"/>
      <c r="F110" s="32" t="str">
        <f>IFERROR(VLOOKUP(ROW()-8,每日记录!$A:$G,5,0),"")</f>
        <v/>
      </c>
    </row>
    <row r="111" s="14" customFormat="1" customHeight="1" spans="1:6">
      <c r="A111" s="31" t="str">
        <f>IFERROR(VLOOKUP(ROW()-8,每日记录!$A:$G,2,0),"")</f>
        <v/>
      </c>
      <c r="B111" s="32" t="str">
        <f>IFERROR(VLOOKUP(ROW()-8,每日记录!$A:$G,4,0),"")</f>
        <v/>
      </c>
      <c r="C111" s="32"/>
      <c r="D111" s="32"/>
      <c r="E111" s="32"/>
      <c r="F111" s="32" t="str">
        <f>IFERROR(VLOOKUP(ROW()-8,每日记录!$A:$G,5,0),"")</f>
        <v/>
      </c>
    </row>
    <row r="112" s="14" customFormat="1" customHeight="1" spans="1:6">
      <c r="A112" s="31" t="str">
        <f>IFERROR(VLOOKUP(ROW()-8,每日记录!$A:$G,2,0),"")</f>
        <v/>
      </c>
      <c r="B112" s="32" t="str">
        <f>IFERROR(VLOOKUP(ROW()-8,每日记录!$A:$G,4,0),"")</f>
        <v/>
      </c>
      <c r="C112" s="32"/>
      <c r="D112" s="32"/>
      <c r="E112" s="32"/>
      <c r="F112" s="32" t="str">
        <f>IFERROR(VLOOKUP(ROW()-8,每日记录!$A:$G,5,0),"")</f>
        <v/>
      </c>
    </row>
    <row r="113" s="14" customFormat="1" customHeight="1" spans="1:6">
      <c r="A113" s="31" t="str">
        <f>IFERROR(VLOOKUP(ROW()-8,每日记录!$A:$G,2,0),"")</f>
        <v/>
      </c>
      <c r="B113" s="32" t="str">
        <f>IFERROR(VLOOKUP(ROW()-8,每日记录!$A:$G,4,0),"")</f>
        <v/>
      </c>
      <c r="C113" s="32"/>
      <c r="D113" s="32"/>
      <c r="E113" s="32"/>
      <c r="F113" s="32" t="str">
        <f>IFERROR(VLOOKUP(ROW()-8,每日记录!$A:$G,5,0),"")</f>
        <v/>
      </c>
    </row>
    <row r="114" s="14" customFormat="1" customHeight="1" spans="1:6">
      <c r="A114" s="31" t="str">
        <f>IFERROR(VLOOKUP(ROW()-8,每日记录!$A:$G,2,0),"")</f>
        <v/>
      </c>
      <c r="B114" s="32" t="str">
        <f>IFERROR(VLOOKUP(ROW()-8,每日记录!$A:$G,4,0),"")</f>
        <v/>
      </c>
      <c r="C114" s="32"/>
      <c r="D114" s="32"/>
      <c r="E114" s="32"/>
      <c r="F114" s="32" t="str">
        <f>IFERROR(VLOOKUP(ROW()-8,每日记录!$A:$G,5,0),"")</f>
        <v/>
      </c>
    </row>
    <row r="115" s="14" customFormat="1" customHeight="1" spans="1:6">
      <c r="A115" s="31" t="str">
        <f>IFERROR(VLOOKUP(ROW()-8,每日记录!$A:$G,2,0),"")</f>
        <v/>
      </c>
      <c r="B115" s="32" t="str">
        <f>IFERROR(VLOOKUP(ROW()-8,每日记录!$A:$G,4,0),"")</f>
        <v/>
      </c>
      <c r="C115" s="32"/>
      <c r="D115" s="32"/>
      <c r="E115" s="32"/>
      <c r="F115" s="32" t="str">
        <f>IFERROR(VLOOKUP(ROW()-8,每日记录!$A:$G,5,0),"")</f>
        <v/>
      </c>
    </row>
    <row r="116" s="14" customFormat="1" customHeight="1" spans="1:6">
      <c r="A116" s="31" t="str">
        <f>IFERROR(VLOOKUP(ROW()-8,每日记录!$A:$G,2,0),"")</f>
        <v/>
      </c>
      <c r="B116" s="32" t="str">
        <f>IFERROR(VLOOKUP(ROW()-8,每日记录!$A:$G,4,0),"")</f>
        <v/>
      </c>
      <c r="C116" s="32"/>
      <c r="D116" s="32"/>
      <c r="E116" s="32"/>
      <c r="F116" s="32" t="str">
        <f>IFERROR(VLOOKUP(ROW()-8,每日记录!$A:$G,5,0),"")</f>
        <v/>
      </c>
    </row>
    <row r="117" s="14" customFormat="1" customHeight="1" spans="1:6">
      <c r="A117" s="31" t="str">
        <f>IFERROR(VLOOKUP(ROW()-8,每日记录!$A:$G,2,0),"")</f>
        <v/>
      </c>
      <c r="B117" s="32" t="str">
        <f>IFERROR(VLOOKUP(ROW()-8,每日记录!$A:$G,4,0),"")</f>
        <v/>
      </c>
      <c r="C117" s="32"/>
      <c r="D117" s="32"/>
      <c r="E117" s="32"/>
      <c r="F117" s="32" t="str">
        <f>IFERROR(VLOOKUP(ROW()-8,每日记录!$A:$G,5,0),"")</f>
        <v/>
      </c>
    </row>
    <row r="118" s="14" customFormat="1" customHeight="1" spans="1:6">
      <c r="A118" s="31" t="str">
        <f>IFERROR(VLOOKUP(ROW()-8,每日记录!$A:$G,2,0),"")</f>
        <v/>
      </c>
      <c r="B118" s="32" t="str">
        <f>IFERROR(VLOOKUP(ROW()-8,每日记录!$A:$G,4,0),"")</f>
        <v/>
      </c>
      <c r="C118" s="32"/>
      <c r="D118" s="32"/>
      <c r="E118" s="32"/>
      <c r="F118" s="32" t="str">
        <f>IFERROR(VLOOKUP(ROW()-8,每日记录!$A:$G,5,0),"")</f>
        <v/>
      </c>
    </row>
    <row r="119" s="14" customFormat="1" customHeight="1" spans="1:6">
      <c r="A119" s="31" t="str">
        <f>IFERROR(VLOOKUP(ROW()-8,每日记录!$A:$G,2,0),"")</f>
        <v/>
      </c>
      <c r="B119" s="32" t="str">
        <f>IFERROR(VLOOKUP(ROW()-8,每日记录!$A:$G,4,0),"")</f>
        <v/>
      </c>
      <c r="C119" s="32"/>
      <c r="D119" s="32"/>
      <c r="E119" s="32"/>
      <c r="F119" s="32" t="str">
        <f>IFERROR(VLOOKUP(ROW()-8,每日记录!$A:$G,5,0),"")</f>
        <v/>
      </c>
    </row>
    <row r="120" s="14" customFormat="1" customHeight="1" spans="1:6">
      <c r="A120" s="31" t="str">
        <f>IFERROR(VLOOKUP(ROW()-8,每日记录!$A:$G,2,0),"")</f>
        <v/>
      </c>
      <c r="B120" s="32" t="str">
        <f>IFERROR(VLOOKUP(ROW()-8,每日记录!$A:$G,4,0),"")</f>
        <v/>
      </c>
      <c r="C120" s="32"/>
      <c r="D120" s="32"/>
      <c r="E120" s="32"/>
      <c r="F120" s="32" t="str">
        <f>IFERROR(VLOOKUP(ROW()-8,每日记录!$A:$G,5,0),"")</f>
        <v/>
      </c>
    </row>
    <row r="121" s="14" customFormat="1" customHeight="1" spans="1:6">
      <c r="A121" s="31" t="str">
        <f>IFERROR(VLOOKUP(ROW()-8,每日记录!$A:$G,2,0),"")</f>
        <v/>
      </c>
      <c r="B121" s="32" t="str">
        <f>IFERROR(VLOOKUP(ROW()-8,每日记录!$A:$G,4,0),"")</f>
        <v/>
      </c>
      <c r="C121" s="32"/>
      <c r="D121" s="32"/>
      <c r="E121" s="32"/>
      <c r="F121" s="32" t="str">
        <f>IFERROR(VLOOKUP(ROW()-8,每日记录!$A:$G,5,0),"")</f>
        <v/>
      </c>
    </row>
    <row r="122" s="14" customFormat="1" customHeight="1" spans="1:6">
      <c r="A122" s="31" t="str">
        <f>IFERROR(VLOOKUP(ROW()-8,每日记录!$A:$G,2,0),"")</f>
        <v/>
      </c>
      <c r="B122" s="32" t="str">
        <f>IFERROR(VLOOKUP(ROW()-8,每日记录!$A:$G,4,0),"")</f>
        <v/>
      </c>
      <c r="C122" s="32"/>
      <c r="D122" s="32"/>
      <c r="E122" s="32"/>
      <c r="F122" s="32" t="str">
        <f>IFERROR(VLOOKUP(ROW()-8,每日记录!$A:$G,5,0),"")</f>
        <v/>
      </c>
    </row>
    <row r="123" s="14" customFormat="1" customHeight="1" spans="1:6">
      <c r="A123" s="31" t="str">
        <f>IFERROR(VLOOKUP(ROW()-8,每日记录!$A:$G,2,0),"")</f>
        <v/>
      </c>
      <c r="B123" s="32" t="str">
        <f>IFERROR(VLOOKUP(ROW()-8,每日记录!$A:$G,4,0),"")</f>
        <v/>
      </c>
      <c r="C123" s="32"/>
      <c r="D123" s="32"/>
      <c r="E123" s="32"/>
      <c r="F123" s="32" t="str">
        <f>IFERROR(VLOOKUP(ROW()-8,每日记录!$A:$G,5,0),"")</f>
        <v/>
      </c>
    </row>
    <row r="124" s="14" customFormat="1" customHeight="1" spans="1:6">
      <c r="A124" s="31" t="str">
        <f>IFERROR(VLOOKUP(ROW()-8,每日记录!$A:$G,2,0),"")</f>
        <v/>
      </c>
      <c r="B124" s="32" t="str">
        <f>IFERROR(VLOOKUP(ROW()-8,每日记录!$A:$G,4,0),"")</f>
        <v/>
      </c>
      <c r="C124" s="32"/>
      <c r="D124" s="32"/>
      <c r="E124" s="32"/>
      <c r="F124" s="32" t="str">
        <f>IFERROR(VLOOKUP(ROW()-8,每日记录!$A:$G,5,0),"")</f>
        <v/>
      </c>
    </row>
    <row r="125" s="14" customFormat="1" customHeight="1" spans="1:6">
      <c r="A125" s="31" t="str">
        <f>IFERROR(VLOOKUP(ROW()-8,每日记录!$A:$G,2,0),"")</f>
        <v/>
      </c>
      <c r="B125" s="32" t="str">
        <f>IFERROR(VLOOKUP(ROW()-8,每日记录!$A:$G,4,0),"")</f>
        <v/>
      </c>
      <c r="C125" s="32"/>
      <c r="D125" s="32"/>
      <c r="E125" s="32"/>
      <c r="F125" s="32" t="str">
        <f>IFERROR(VLOOKUP(ROW()-8,每日记录!$A:$G,5,0),"")</f>
        <v/>
      </c>
    </row>
    <row r="126" s="14" customFormat="1" customHeight="1" spans="1:6">
      <c r="A126" s="31" t="str">
        <f>IFERROR(VLOOKUP(ROW()-8,每日记录!$A:$G,2,0),"")</f>
        <v/>
      </c>
      <c r="B126" s="32" t="str">
        <f>IFERROR(VLOOKUP(ROW()-8,每日记录!$A:$G,4,0),"")</f>
        <v/>
      </c>
      <c r="C126" s="32"/>
      <c r="D126" s="32"/>
      <c r="E126" s="32"/>
      <c r="F126" s="32" t="str">
        <f>IFERROR(VLOOKUP(ROW()-8,每日记录!$A:$G,5,0),"")</f>
        <v/>
      </c>
    </row>
    <row r="127" s="14" customFormat="1" customHeight="1" spans="1:6">
      <c r="A127" s="31" t="str">
        <f>IFERROR(VLOOKUP(ROW()-8,每日记录!$A:$G,2,0),"")</f>
        <v/>
      </c>
      <c r="B127" s="32" t="str">
        <f>IFERROR(VLOOKUP(ROW()-8,每日记录!$A:$G,4,0),"")</f>
        <v/>
      </c>
      <c r="C127" s="32"/>
      <c r="D127" s="32"/>
      <c r="E127" s="32"/>
      <c r="F127" s="32" t="str">
        <f>IFERROR(VLOOKUP(ROW()-8,每日记录!$A:$G,5,0),"")</f>
        <v/>
      </c>
    </row>
    <row r="128" s="14" customFormat="1" customHeight="1" spans="1:6">
      <c r="A128" s="31" t="str">
        <f>IFERROR(VLOOKUP(ROW()-8,每日记录!$A:$G,2,0),"")</f>
        <v/>
      </c>
      <c r="B128" s="32" t="str">
        <f>IFERROR(VLOOKUP(ROW()-8,每日记录!$A:$G,4,0),"")</f>
        <v/>
      </c>
      <c r="C128" s="32"/>
      <c r="D128" s="32"/>
      <c r="E128" s="32"/>
      <c r="F128" s="32" t="str">
        <f>IFERROR(VLOOKUP(ROW()-8,每日记录!$A:$G,5,0),"")</f>
        <v/>
      </c>
    </row>
    <row r="129" s="14" customFormat="1" customHeight="1" spans="1:6">
      <c r="A129" s="31" t="str">
        <f>IFERROR(VLOOKUP(ROW()-8,每日记录!$A:$G,2,0),"")</f>
        <v/>
      </c>
      <c r="B129" s="32" t="str">
        <f>IFERROR(VLOOKUP(ROW()-8,每日记录!$A:$G,4,0),"")</f>
        <v/>
      </c>
      <c r="C129" s="32"/>
      <c r="D129" s="32"/>
      <c r="E129" s="32"/>
      <c r="F129" s="32" t="str">
        <f>IFERROR(VLOOKUP(ROW()-8,每日记录!$A:$G,5,0),"")</f>
        <v/>
      </c>
    </row>
    <row r="130" s="14" customFormat="1" customHeight="1" spans="1:6">
      <c r="A130" s="31" t="str">
        <f>IFERROR(VLOOKUP(ROW()-8,每日记录!$A:$G,2,0),"")</f>
        <v/>
      </c>
      <c r="B130" s="32" t="str">
        <f>IFERROR(VLOOKUP(ROW()-8,每日记录!$A:$G,4,0),"")</f>
        <v/>
      </c>
      <c r="C130" s="32"/>
      <c r="D130" s="32"/>
      <c r="E130" s="32"/>
      <c r="F130" s="32" t="str">
        <f>IFERROR(VLOOKUP(ROW()-8,每日记录!$A:$G,5,0),"")</f>
        <v/>
      </c>
    </row>
    <row r="131" s="14" customFormat="1" customHeight="1" spans="1:6">
      <c r="A131" s="31" t="str">
        <f>IFERROR(VLOOKUP(ROW()-8,每日记录!$A:$G,2,0),"")</f>
        <v/>
      </c>
      <c r="B131" s="32" t="str">
        <f>IFERROR(VLOOKUP(ROW()-8,每日记录!$A:$G,4,0),"")</f>
        <v/>
      </c>
      <c r="C131" s="32"/>
      <c r="D131" s="32"/>
      <c r="E131" s="32"/>
      <c r="F131" s="32" t="str">
        <f>IFERROR(VLOOKUP(ROW()-8,每日记录!$A:$G,5,0),"")</f>
        <v/>
      </c>
    </row>
    <row r="132" s="14" customFormat="1" customHeight="1" spans="1:6">
      <c r="A132" s="31" t="str">
        <f>IFERROR(VLOOKUP(ROW()-8,每日记录!$A:$G,2,0),"")</f>
        <v/>
      </c>
      <c r="B132" s="32" t="str">
        <f>IFERROR(VLOOKUP(ROW()-8,每日记录!$A:$G,4,0),"")</f>
        <v/>
      </c>
      <c r="C132" s="32"/>
      <c r="D132" s="32"/>
      <c r="E132" s="32"/>
      <c r="F132" s="32" t="str">
        <f>IFERROR(VLOOKUP(ROW()-8,每日记录!$A:$G,5,0),"")</f>
        <v/>
      </c>
    </row>
    <row r="133" s="14" customFormat="1" customHeight="1" spans="1:6">
      <c r="A133" s="31" t="str">
        <f>IFERROR(VLOOKUP(ROW()-8,每日记录!$A:$G,2,0),"")</f>
        <v/>
      </c>
      <c r="B133" s="32" t="str">
        <f>IFERROR(VLOOKUP(ROW()-8,每日记录!$A:$G,4,0),"")</f>
        <v/>
      </c>
      <c r="C133" s="32"/>
      <c r="D133" s="32"/>
      <c r="E133" s="32"/>
      <c r="F133" s="32" t="str">
        <f>IFERROR(VLOOKUP(ROW()-8,每日记录!$A:$G,5,0),"")</f>
        <v/>
      </c>
    </row>
    <row r="134" s="14" customFormat="1" customHeight="1" spans="1:6">
      <c r="A134" s="31" t="str">
        <f>IFERROR(VLOOKUP(ROW()-8,每日记录!$A:$G,2,0),"")</f>
        <v/>
      </c>
      <c r="B134" s="32" t="str">
        <f>IFERROR(VLOOKUP(ROW()-8,每日记录!$A:$G,4,0),"")</f>
        <v/>
      </c>
      <c r="C134" s="32"/>
      <c r="D134" s="32"/>
      <c r="E134" s="32"/>
      <c r="F134" s="32" t="str">
        <f>IFERROR(VLOOKUP(ROW()-8,每日记录!$A:$G,5,0),"")</f>
        <v/>
      </c>
    </row>
    <row r="135" s="14" customFormat="1" customHeight="1" spans="1:6">
      <c r="A135" s="31" t="str">
        <f>IFERROR(VLOOKUP(ROW()-8,每日记录!$A:$G,2,0),"")</f>
        <v/>
      </c>
      <c r="B135" s="32" t="str">
        <f>IFERROR(VLOOKUP(ROW()-8,每日记录!$A:$G,4,0),"")</f>
        <v/>
      </c>
      <c r="C135" s="32"/>
      <c r="D135" s="32"/>
      <c r="E135" s="32"/>
      <c r="F135" s="32" t="str">
        <f>IFERROR(VLOOKUP(ROW()-8,每日记录!$A:$G,5,0),"")</f>
        <v/>
      </c>
    </row>
    <row r="136" s="14" customFormat="1" customHeight="1" spans="1:6">
      <c r="A136" s="31" t="str">
        <f>IFERROR(VLOOKUP(ROW()-8,每日记录!$A:$G,2,0),"")</f>
        <v/>
      </c>
      <c r="B136" s="32" t="str">
        <f>IFERROR(VLOOKUP(ROW()-8,每日记录!$A:$G,4,0),"")</f>
        <v/>
      </c>
      <c r="C136" s="32"/>
      <c r="D136" s="32"/>
      <c r="E136" s="32"/>
      <c r="F136" s="32" t="str">
        <f>IFERROR(VLOOKUP(ROW()-8,每日记录!$A:$G,5,0),"")</f>
        <v/>
      </c>
    </row>
    <row r="137" s="14" customFormat="1" customHeight="1" spans="1:6">
      <c r="A137" s="31" t="str">
        <f>IFERROR(VLOOKUP(ROW()-8,每日记录!$A:$G,2,0),"")</f>
        <v/>
      </c>
      <c r="B137" s="32" t="str">
        <f>IFERROR(VLOOKUP(ROW()-8,每日记录!$A:$G,4,0),"")</f>
        <v/>
      </c>
      <c r="C137" s="32"/>
      <c r="D137" s="32"/>
      <c r="E137" s="32"/>
      <c r="F137" s="32" t="str">
        <f>IFERROR(VLOOKUP(ROW()-8,每日记录!$A:$G,5,0),"")</f>
        <v/>
      </c>
    </row>
    <row r="138" s="14" customFormat="1" customHeight="1" spans="1:6">
      <c r="A138" s="31" t="str">
        <f>IFERROR(VLOOKUP(ROW()-8,每日记录!$A:$G,2,0),"")</f>
        <v/>
      </c>
      <c r="B138" s="32" t="str">
        <f>IFERROR(VLOOKUP(ROW()-8,每日记录!$A:$G,4,0),"")</f>
        <v/>
      </c>
      <c r="C138" s="32"/>
      <c r="D138" s="32"/>
      <c r="E138" s="32"/>
      <c r="F138" s="32" t="str">
        <f>IFERROR(VLOOKUP(ROW()-8,每日记录!$A:$G,5,0),"")</f>
        <v/>
      </c>
    </row>
    <row r="139" s="14" customFormat="1" customHeight="1" spans="1:6">
      <c r="A139" s="31" t="str">
        <f>IFERROR(VLOOKUP(ROW()-8,每日记录!$A:$G,2,0),"")</f>
        <v/>
      </c>
      <c r="B139" s="32" t="str">
        <f>IFERROR(VLOOKUP(ROW()-8,每日记录!$A:$G,4,0),"")</f>
        <v/>
      </c>
      <c r="C139" s="32"/>
      <c r="D139" s="32"/>
      <c r="E139" s="32"/>
      <c r="F139" s="32" t="str">
        <f>IFERROR(VLOOKUP(ROW()-8,每日记录!$A:$G,5,0),"")</f>
        <v/>
      </c>
    </row>
    <row r="140" s="14" customFormat="1" customHeight="1" spans="1:6">
      <c r="A140" s="31" t="str">
        <f>IFERROR(VLOOKUP(ROW()-8,每日记录!$A:$G,2,0),"")</f>
        <v/>
      </c>
      <c r="B140" s="32" t="str">
        <f>IFERROR(VLOOKUP(ROW()-8,每日记录!$A:$G,4,0),"")</f>
        <v/>
      </c>
      <c r="C140" s="32"/>
      <c r="D140" s="32"/>
      <c r="E140" s="32"/>
      <c r="F140" s="32" t="str">
        <f>IFERROR(VLOOKUP(ROW()-8,每日记录!$A:$G,5,0),"")</f>
        <v/>
      </c>
    </row>
    <row r="141" s="14" customFormat="1" customHeight="1" spans="1:6">
      <c r="A141" s="31" t="str">
        <f>IFERROR(VLOOKUP(ROW()-8,每日记录!$A:$G,2,0),"")</f>
        <v/>
      </c>
      <c r="B141" s="32" t="str">
        <f>IFERROR(VLOOKUP(ROW()-8,每日记录!$A:$G,4,0),"")</f>
        <v/>
      </c>
      <c r="C141" s="32"/>
      <c r="D141" s="32"/>
      <c r="E141" s="32"/>
      <c r="F141" s="32" t="str">
        <f>IFERROR(VLOOKUP(ROW()-8,每日记录!$A:$G,5,0),"")</f>
        <v/>
      </c>
    </row>
    <row r="142" s="14" customFormat="1" customHeight="1" spans="1:6">
      <c r="A142" s="31" t="str">
        <f>IFERROR(VLOOKUP(ROW()-8,每日记录!$A:$G,2,0),"")</f>
        <v/>
      </c>
      <c r="B142" s="32" t="str">
        <f>IFERROR(VLOOKUP(ROW()-8,每日记录!$A:$G,4,0),"")</f>
        <v/>
      </c>
      <c r="C142" s="32"/>
      <c r="D142" s="32"/>
      <c r="E142" s="32"/>
      <c r="F142" s="32" t="str">
        <f>IFERROR(VLOOKUP(ROW()-8,每日记录!$A:$G,5,0),"")</f>
        <v/>
      </c>
    </row>
    <row r="143" s="14" customFormat="1" customHeight="1" spans="1:6">
      <c r="A143" s="31" t="str">
        <f>IFERROR(VLOOKUP(ROW()-8,每日记录!$A:$G,2,0),"")</f>
        <v/>
      </c>
      <c r="B143" s="32" t="str">
        <f>IFERROR(VLOOKUP(ROW()-8,每日记录!$A:$G,4,0),"")</f>
        <v/>
      </c>
      <c r="C143" s="32"/>
      <c r="D143" s="32"/>
      <c r="E143" s="32"/>
      <c r="F143" s="32" t="str">
        <f>IFERROR(VLOOKUP(ROW()-8,每日记录!$A:$G,5,0),"")</f>
        <v/>
      </c>
    </row>
    <row r="144" s="14" customFormat="1" customHeight="1" spans="1:6">
      <c r="A144" s="31" t="str">
        <f>IFERROR(VLOOKUP(ROW()-8,每日记录!$A:$G,2,0),"")</f>
        <v/>
      </c>
      <c r="B144" s="32" t="str">
        <f>IFERROR(VLOOKUP(ROW()-8,每日记录!$A:$G,4,0),"")</f>
        <v/>
      </c>
      <c r="C144" s="32"/>
      <c r="D144" s="32"/>
      <c r="E144" s="32"/>
      <c r="F144" s="32" t="str">
        <f>IFERROR(VLOOKUP(ROW()-8,每日记录!$A:$G,5,0),"")</f>
        <v/>
      </c>
    </row>
    <row r="145" s="14" customFormat="1" customHeight="1" spans="1:6">
      <c r="A145" s="31" t="str">
        <f>IFERROR(VLOOKUP(ROW()-8,每日记录!$A:$G,2,0),"")</f>
        <v/>
      </c>
      <c r="B145" s="32" t="str">
        <f>IFERROR(VLOOKUP(ROW()-8,每日记录!$A:$G,4,0),"")</f>
        <v/>
      </c>
      <c r="C145" s="32"/>
      <c r="D145" s="32"/>
      <c r="E145" s="32"/>
      <c r="F145" s="32" t="str">
        <f>IFERROR(VLOOKUP(ROW()-8,每日记录!$A:$G,5,0),"")</f>
        <v/>
      </c>
    </row>
    <row r="146" s="14" customFormat="1" customHeight="1" spans="1:6">
      <c r="A146" s="31" t="str">
        <f>IFERROR(VLOOKUP(ROW()-8,每日记录!$A:$G,2,0),"")</f>
        <v/>
      </c>
      <c r="B146" s="32" t="str">
        <f>IFERROR(VLOOKUP(ROW()-8,每日记录!$A:$G,4,0),"")</f>
        <v/>
      </c>
      <c r="C146" s="32"/>
      <c r="D146" s="32"/>
      <c r="E146" s="32"/>
      <c r="F146" s="32" t="str">
        <f>IFERROR(VLOOKUP(ROW()-8,每日记录!$A:$G,5,0),"")</f>
        <v/>
      </c>
    </row>
    <row r="147" s="14" customFormat="1" customHeight="1" spans="1:6">
      <c r="A147" s="31" t="str">
        <f>IFERROR(VLOOKUP(ROW()-8,每日记录!$A:$G,2,0),"")</f>
        <v/>
      </c>
      <c r="B147" s="32" t="str">
        <f>IFERROR(VLOOKUP(ROW()-8,每日记录!$A:$G,4,0),"")</f>
        <v/>
      </c>
      <c r="C147" s="32"/>
      <c r="D147" s="32"/>
      <c r="E147" s="32"/>
      <c r="F147" s="32" t="str">
        <f>IFERROR(VLOOKUP(ROW()-8,每日记录!$A:$G,5,0),"")</f>
        <v/>
      </c>
    </row>
    <row r="148" s="14" customFormat="1" customHeight="1" spans="1:6">
      <c r="A148" s="31" t="str">
        <f>IFERROR(VLOOKUP(ROW()-8,每日记录!$A:$G,2,0),"")</f>
        <v/>
      </c>
      <c r="B148" s="32" t="str">
        <f>IFERROR(VLOOKUP(ROW()-8,每日记录!$A:$G,4,0),"")</f>
        <v/>
      </c>
      <c r="C148" s="32"/>
      <c r="D148" s="32"/>
      <c r="E148" s="32"/>
      <c r="F148" s="32" t="str">
        <f>IFERROR(VLOOKUP(ROW()-8,每日记录!$A:$G,5,0),"")</f>
        <v/>
      </c>
    </row>
    <row r="149" s="14" customFormat="1" customHeight="1" spans="1:6">
      <c r="A149" s="31" t="str">
        <f>IFERROR(VLOOKUP(ROW()-8,每日记录!$A:$G,2,0),"")</f>
        <v/>
      </c>
      <c r="B149" s="32" t="str">
        <f>IFERROR(VLOOKUP(ROW()-8,每日记录!$A:$G,4,0),"")</f>
        <v/>
      </c>
      <c r="C149" s="32"/>
      <c r="D149" s="32"/>
      <c r="E149" s="32"/>
      <c r="F149" s="32" t="str">
        <f>IFERROR(VLOOKUP(ROW()-8,每日记录!$A:$G,5,0),"")</f>
        <v/>
      </c>
    </row>
    <row r="150" s="14" customFormat="1" customHeight="1" spans="1:6">
      <c r="A150" s="31" t="str">
        <f>IFERROR(VLOOKUP(ROW()-8,每日记录!$A:$G,2,0),"")</f>
        <v/>
      </c>
      <c r="B150" s="32" t="str">
        <f>IFERROR(VLOOKUP(ROW()-8,每日记录!$A:$G,4,0),"")</f>
        <v/>
      </c>
      <c r="C150" s="32"/>
      <c r="D150" s="32"/>
      <c r="E150" s="32"/>
      <c r="F150" s="32" t="str">
        <f>IFERROR(VLOOKUP(ROW()-8,每日记录!$A:$G,5,0),"")</f>
        <v/>
      </c>
    </row>
    <row r="151" s="14" customFormat="1" customHeight="1" spans="1:6">
      <c r="A151" s="31" t="str">
        <f>IFERROR(VLOOKUP(ROW()-8,每日记录!$A:$G,2,0),"")</f>
        <v/>
      </c>
      <c r="B151" s="32" t="str">
        <f>IFERROR(VLOOKUP(ROW()-8,每日记录!$A:$G,4,0),"")</f>
        <v/>
      </c>
      <c r="C151" s="32"/>
      <c r="D151" s="32"/>
      <c r="E151" s="32"/>
      <c r="F151" s="32" t="str">
        <f>IFERROR(VLOOKUP(ROW()-8,每日记录!$A:$G,5,0),"")</f>
        <v/>
      </c>
    </row>
    <row r="152" s="14" customFormat="1" customHeight="1" spans="1:6">
      <c r="A152" s="31" t="str">
        <f>IFERROR(VLOOKUP(ROW()-8,每日记录!$A:$G,2,0),"")</f>
        <v/>
      </c>
      <c r="B152" s="32" t="str">
        <f>IFERROR(VLOOKUP(ROW()-8,每日记录!$A:$G,4,0),"")</f>
        <v/>
      </c>
      <c r="C152" s="32"/>
      <c r="D152" s="32"/>
      <c r="E152" s="32"/>
      <c r="F152" s="32" t="str">
        <f>IFERROR(VLOOKUP(ROW()-8,每日记录!$A:$G,5,0),"")</f>
        <v/>
      </c>
    </row>
    <row r="153" s="14" customFormat="1" customHeight="1" spans="1:6">
      <c r="A153" s="31" t="str">
        <f>IFERROR(VLOOKUP(ROW()-8,每日记录!$A:$G,2,0),"")</f>
        <v/>
      </c>
      <c r="B153" s="32" t="str">
        <f>IFERROR(VLOOKUP(ROW()-8,每日记录!$A:$G,4,0),"")</f>
        <v/>
      </c>
      <c r="C153" s="32"/>
      <c r="D153" s="32"/>
      <c r="E153" s="32"/>
      <c r="F153" s="32" t="str">
        <f>IFERROR(VLOOKUP(ROW()-8,每日记录!$A:$G,5,0),"")</f>
        <v/>
      </c>
    </row>
    <row r="154" s="14" customFormat="1" customHeight="1" spans="1:6">
      <c r="A154" s="31" t="str">
        <f>IFERROR(VLOOKUP(ROW()-8,每日记录!$A:$G,2,0),"")</f>
        <v/>
      </c>
      <c r="B154" s="32" t="str">
        <f>IFERROR(VLOOKUP(ROW()-8,每日记录!$A:$G,4,0),"")</f>
        <v/>
      </c>
      <c r="C154" s="32"/>
      <c r="D154" s="32"/>
      <c r="E154" s="32"/>
      <c r="F154" s="32" t="str">
        <f>IFERROR(VLOOKUP(ROW()-8,每日记录!$A:$G,5,0),"")</f>
        <v/>
      </c>
    </row>
    <row r="155" s="14" customFormat="1" customHeight="1" spans="1:6">
      <c r="A155" s="31" t="str">
        <f>IFERROR(VLOOKUP(ROW()-8,每日记录!$A:$G,2,0),"")</f>
        <v/>
      </c>
      <c r="B155" s="32" t="str">
        <f>IFERROR(VLOOKUP(ROW()-8,每日记录!$A:$G,4,0),"")</f>
        <v/>
      </c>
      <c r="C155" s="32"/>
      <c r="D155" s="32"/>
      <c r="E155" s="32"/>
      <c r="F155" s="32" t="str">
        <f>IFERROR(VLOOKUP(ROW()-8,每日记录!$A:$G,5,0),"")</f>
        <v/>
      </c>
    </row>
    <row r="156" s="14" customFormat="1" customHeight="1" spans="1:6">
      <c r="A156" s="31" t="str">
        <f>IFERROR(VLOOKUP(ROW()-8,每日记录!$A:$G,2,0),"")</f>
        <v/>
      </c>
      <c r="B156" s="32" t="str">
        <f>IFERROR(VLOOKUP(ROW()-8,每日记录!$A:$G,4,0),"")</f>
        <v/>
      </c>
      <c r="C156" s="32"/>
      <c r="D156" s="32"/>
      <c r="E156" s="32"/>
      <c r="F156" s="32" t="str">
        <f>IFERROR(VLOOKUP(ROW()-8,每日记录!$A:$G,5,0),"")</f>
        <v/>
      </c>
    </row>
    <row r="157" s="14" customFormat="1" customHeight="1" spans="1:6">
      <c r="A157" s="31" t="str">
        <f>IFERROR(VLOOKUP(ROW()-8,每日记录!$A:$G,2,0),"")</f>
        <v/>
      </c>
      <c r="B157" s="32" t="str">
        <f>IFERROR(VLOOKUP(ROW()-8,每日记录!$A:$G,4,0),"")</f>
        <v/>
      </c>
      <c r="C157" s="32"/>
      <c r="D157" s="32"/>
      <c r="E157" s="32"/>
      <c r="F157" s="32" t="str">
        <f>IFERROR(VLOOKUP(ROW()-8,每日记录!$A:$G,5,0),"")</f>
        <v/>
      </c>
    </row>
    <row r="158" s="14" customFormat="1" customHeight="1" spans="1:6">
      <c r="A158" s="31" t="str">
        <f>IFERROR(VLOOKUP(ROW()-8,每日记录!$A:$G,2,0),"")</f>
        <v/>
      </c>
      <c r="B158" s="32" t="str">
        <f>IFERROR(VLOOKUP(ROW()-8,每日记录!$A:$G,4,0),"")</f>
        <v/>
      </c>
      <c r="C158" s="32"/>
      <c r="D158" s="32"/>
      <c r="E158" s="32"/>
      <c r="F158" s="32" t="str">
        <f>IFERROR(VLOOKUP(ROW()-8,每日记录!$A:$G,5,0),"")</f>
        <v/>
      </c>
    </row>
    <row r="159" s="14" customFormat="1" customHeight="1" spans="1:6">
      <c r="A159" s="31" t="str">
        <f>IFERROR(VLOOKUP(ROW()-8,每日记录!$A:$G,2,0),"")</f>
        <v/>
      </c>
      <c r="B159" s="32" t="str">
        <f>IFERROR(VLOOKUP(ROW()-8,每日记录!$A:$G,4,0),"")</f>
        <v/>
      </c>
      <c r="C159" s="32"/>
      <c r="D159" s="32"/>
      <c r="E159" s="32"/>
      <c r="F159" s="32" t="str">
        <f>IFERROR(VLOOKUP(ROW()-8,每日记录!$A:$G,5,0),"")</f>
        <v/>
      </c>
    </row>
    <row r="160" s="14" customFormat="1" customHeight="1" spans="1:6">
      <c r="A160" s="31" t="str">
        <f>IFERROR(VLOOKUP(ROW()-8,每日记录!$A:$G,2,0),"")</f>
        <v/>
      </c>
      <c r="B160" s="32" t="str">
        <f>IFERROR(VLOOKUP(ROW()-8,每日记录!$A:$G,4,0),"")</f>
        <v/>
      </c>
      <c r="C160" s="32"/>
      <c r="D160" s="32"/>
      <c r="E160" s="32"/>
      <c r="F160" s="32" t="str">
        <f>IFERROR(VLOOKUP(ROW()-8,每日记录!$A:$G,5,0),"")</f>
        <v/>
      </c>
    </row>
    <row r="161" s="14" customFormat="1" customHeight="1" spans="1:6">
      <c r="A161" s="31" t="str">
        <f>IFERROR(VLOOKUP(ROW()-8,每日记录!$A:$G,2,0),"")</f>
        <v/>
      </c>
      <c r="B161" s="32" t="str">
        <f>IFERROR(VLOOKUP(ROW()-8,每日记录!$A:$G,4,0),"")</f>
        <v/>
      </c>
      <c r="C161" s="32"/>
      <c r="D161" s="32"/>
      <c r="E161" s="32"/>
      <c r="F161" s="32" t="str">
        <f>IFERROR(VLOOKUP(ROW()-8,每日记录!$A:$G,5,0),"")</f>
        <v/>
      </c>
    </row>
    <row r="162" s="14" customFormat="1" customHeight="1" spans="1:6">
      <c r="A162" s="31" t="str">
        <f>IFERROR(VLOOKUP(ROW()-8,每日记录!$A:$G,2,0),"")</f>
        <v/>
      </c>
      <c r="B162" s="32" t="str">
        <f>IFERROR(VLOOKUP(ROW()-8,每日记录!$A:$G,4,0),"")</f>
        <v/>
      </c>
      <c r="C162" s="32"/>
      <c r="D162" s="32"/>
      <c r="E162" s="32"/>
      <c r="F162" s="32" t="str">
        <f>IFERROR(VLOOKUP(ROW()-8,每日记录!$A:$G,5,0),"")</f>
        <v/>
      </c>
    </row>
    <row r="163" s="14" customFormat="1" customHeight="1" spans="1:6">
      <c r="A163" s="31" t="str">
        <f>IFERROR(VLOOKUP(ROW()-8,每日记录!$A:$G,2,0),"")</f>
        <v/>
      </c>
      <c r="B163" s="32" t="str">
        <f>IFERROR(VLOOKUP(ROW()-8,每日记录!$A:$G,4,0),"")</f>
        <v/>
      </c>
      <c r="C163" s="32"/>
      <c r="D163" s="32"/>
      <c r="E163" s="32"/>
      <c r="F163" s="32" t="str">
        <f>IFERROR(VLOOKUP(ROW()-8,每日记录!$A:$G,5,0),"")</f>
        <v/>
      </c>
    </row>
    <row r="164" s="14" customFormat="1" customHeight="1" spans="1:6">
      <c r="A164" s="31" t="str">
        <f>IFERROR(VLOOKUP(ROW()-8,每日记录!$A:$G,2,0),"")</f>
        <v/>
      </c>
      <c r="B164" s="32" t="str">
        <f>IFERROR(VLOOKUP(ROW()-8,每日记录!$A:$G,4,0),"")</f>
        <v/>
      </c>
      <c r="C164" s="32"/>
      <c r="D164" s="32"/>
      <c r="E164" s="32"/>
      <c r="F164" s="32" t="str">
        <f>IFERROR(VLOOKUP(ROW()-8,每日记录!$A:$G,5,0),"")</f>
        <v/>
      </c>
    </row>
    <row r="165" s="14" customFormat="1" customHeight="1" spans="1:6">
      <c r="A165" s="31" t="str">
        <f>IFERROR(VLOOKUP(ROW()-8,每日记录!$A:$G,2,0),"")</f>
        <v/>
      </c>
      <c r="B165" s="32" t="str">
        <f>IFERROR(VLOOKUP(ROW()-8,每日记录!$A:$G,4,0),"")</f>
        <v/>
      </c>
      <c r="C165" s="32"/>
      <c r="D165" s="32"/>
      <c r="E165" s="32"/>
      <c r="F165" s="32" t="str">
        <f>IFERROR(VLOOKUP(ROW()-8,每日记录!$A:$G,5,0),"")</f>
        <v/>
      </c>
    </row>
    <row r="166" s="14" customFormat="1" customHeight="1" spans="1:6">
      <c r="A166" s="31" t="str">
        <f>IFERROR(VLOOKUP(ROW()-8,每日记录!$A:$G,2,0),"")</f>
        <v/>
      </c>
      <c r="B166" s="32" t="str">
        <f>IFERROR(VLOOKUP(ROW()-8,每日记录!$A:$G,4,0),"")</f>
        <v/>
      </c>
      <c r="C166" s="32"/>
      <c r="D166" s="32"/>
      <c r="E166" s="32"/>
      <c r="F166" s="32" t="str">
        <f>IFERROR(VLOOKUP(ROW()-8,每日记录!$A:$G,5,0),"")</f>
        <v/>
      </c>
    </row>
    <row r="167" s="14" customFormat="1" customHeight="1" spans="1:6">
      <c r="A167" s="31" t="str">
        <f>IFERROR(VLOOKUP(ROW()-8,每日记录!$A:$G,2,0),"")</f>
        <v/>
      </c>
      <c r="B167" s="32" t="str">
        <f>IFERROR(VLOOKUP(ROW()-8,每日记录!$A:$G,4,0),"")</f>
        <v/>
      </c>
      <c r="C167" s="32"/>
      <c r="D167" s="32"/>
      <c r="E167" s="32"/>
      <c r="F167" s="32" t="str">
        <f>IFERROR(VLOOKUP(ROW()-8,每日记录!$A:$G,5,0),"")</f>
        <v/>
      </c>
    </row>
    <row r="168" s="14" customFormat="1" customHeight="1" spans="1:6">
      <c r="A168" s="31" t="str">
        <f>IFERROR(VLOOKUP(ROW()-8,每日记录!$A:$G,2,0),"")</f>
        <v/>
      </c>
      <c r="B168" s="32" t="str">
        <f>IFERROR(VLOOKUP(ROW()-8,每日记录!$A:$G,4,0),"")</f>
        <v/>
      </c>
      <c r="C168" s="32"/>
      <c r="D168" s="32"/>
      <c r="E168" s="32"/>
      <c r="F168" s="32" t="str">
        <f>IFERROR(VLOOKUP(ROW()-8,每日记录!$A:$G,5,0),"")</f>
        <v/>
      </c>
    </row>
    <row r="169" s="14" customFormat="1" customHeight="1" spans="1:6">
      <c r="A169" s="31" t="str">
        <f>IFERROR(VLOOKUP(ROW()-8,每日记录!$A:$G,2,0),"")</f>
        <v/>
      </c>
      <c r="B169" s="32" t="str">
        <f>IFERROR(VLOOKUP(ROW()-8,每日记录!$A:$G,4,0),"")</f>
        <v/>
      </c>
      <c r="C169" s="32"/>
      <c r="D169" s="32"/>
      <c r="E169" s="32"/>
      <c r="F169" s="32" t="str">
        <f>IFERROR(VLOOKUP(ROW()-8,每日记录!$A:$G,5,0),"")</f>
        <v/>
      </c>
    </row>
    <row r="170" s="14" customFormat="1" customHeight="1" spans="1:6">
      <c r="A170" s="31" t="str">
        <f>IFERROR(VLOOKUP(ROW()-8,每日记录!$A:$G,2,0),"")</f>
        <v/>
      </c>
      <c r="B170" s="32" t="str">
        <f>IFERROR(VLOOKUP(ROW()-8,每日记录!$A:$G,4,0),"")</f>
        <v/>
      </c>
      <c r="C170" s="32"/>
      <c r="D170" s="32"/>
      <c r="E170" s="32"/>
      <c r="F170" s="32" t="str">
        <f>IFERROR(VLOOKUP(ROW()-8,每日记录!$A:$G,5,0),"")</f>
        <v/>
      </c>
    </row>
    <row r="171" s="14" customFormat="1" customHeight="1" spans="1:6">
      <c r="A171" s="31" t="str">
        <f>IFERROR(VLOOKUP(ROW()-8,每日记录!$A:$G,2,0),"")</f>
        <v/>
      </c>
      <c r="B171" s="32" t="str">
        <f>IFERROR(VLOOKUP(ROW()-8,每日记录!$A:$G,4,0),"")</f>
        <v/>
      </c>
      <c r="C171" s="32"/>
      <c r="D171" s="32"/>
      <c r="E171" s="32"/>
      <c r="F171" s="32" t="str">
        <f>IFERROR(VLOOKUP(ROW()-8,每日记录!$A:$G,5,0),"")</f>
        <v/>
      </c>
    </row>
    <row r="172" s="14" customFormat="1" customHeight="1" spans="1:6">
      <c r="A172" s="31" t="str">
        <f>IFERROR(VLOOKUP(ROW()-8,每日记录!$A:$G,2,0),"")</f>
        <v/>
      </c>
      <c r="B172" s="32" t="str">
        <f>IFERROR(VLOOKUP(ROW()-8,每日记录!$A:$G,4,0),"")</f>
        <v/>
      </c>
      <c r="C172" s="32"/>
      <c r="D172" s="32"/>
      <c r="E172" s="32"/>
      <c r="F172" s="32" t="str">
        <f>IFERROR(VLOOKUP(ROW()-8,每日记录!$A:$G,5,0),"")</f>
        <v/>
      </c>
    </row>
    <row r="173" s="14" customFormat="1" customHeight="1" spans="1:6">
      <c r="A173" s="31" t="str">
        <f>IFERROR(VLOOKUP(ROW()-8,每日记录!$A:$G,2,0),"")</f>
        <v/>
      </c>
      <c r="B173" s="32" t="str">
        <f>IFERROR(VLOOKUP(ROW()-8,每日记录!$A:$G,4,0),"")</f>
        <v/>
      </c>
      <c r="C173" s="32"/>
      <c r="D173" s="32"/>
      <c r="E173" s="32"/>
      <c r="F173" s="32" t="str">
        <f>IFERROR(VLOOKUP(ROW()-8,每日记录!$A:$G,5,0),"")</f>
        <v/>
      </c>
    </row>
    <row r="174" s="14" customFormat="1" customHeight="1" spans="1:6">
      <c r="A174" s="31" t="str">
        <f>IFERROR(VLOOKUP(ROW()-8,每日记录!$A:$G,2,0),"")</f>
        <v/>
      </c>
      <c r="B174" s="32" t="str">
        <f>IFERROR(VLOOKUP(ROW()-8,每日记录!$A:$G,4,0),"")</f>
        <v/>
      </c>
      <c r="C174" s="32"/>
      <c r="D174" s="32"/>
      <c r="E174" s="32"/>
      <c r="F174" s="32" t="str">
        <f>IFERROR(VLOOKUP(ROW()-8,每日记录!$A:$G,5,0),"")</f>
        <v/>
      </c>
    </row>
    <row r="175" s="14" customFormat="1" customHeight="1" spans="1:6">
      <c r="A175" s="31" t="str">
        <f>IFERROR(VLOOKUP(ROW()-8,每日记录!$A:$G,2,0),"")</f>
        <v/>
      </c>
      <c r="B175" s="32" t="str">
        <f>IFERROR(VLOOKUP(ROW()-8,每日记录!$A:$G,4,0),"")</f>
        <v/>
      </c>
      <c r="C175" s="32"/>
      <c r="D175" s="32"/>
      <c r="E175" s="32"/>
      <c r="F175" s="32" t="str">
        <f>IFERROR(VLOOKUP(ROW()-8,每日记录!$A:$G,5,0),"")</f>
        <v/>
      </c>
    </row>
    <row r="176" s="14" customFormat="1" customHeight="1" spans="1:6">
      <c r="A176" s="31" t="str">
        <f>IFERROR(VLOOKUP(ROW()-8,每日记录!$A:$G,2,0),"")</f>
        <v/>
      </c>
      <c r="B176" s="32" t="str">
        <f>IFERROR(VLOOKUP(ROW()-8,每日记录!$A:$G,4,0),"")</f>
        <v/>
      </c>
      <c r="C176" s="32"/>
      <c r="D176" s="32"/>
      <c r="E176" s="32"/>
      <c r="F176" s="32" t="str">
        <f>IFERROR(VLOOKUP(ROW()-8,每日记录!$A:$G,5,0),"")</f>
        <v/>
      </c>
    </row>
    <row r="177" s="14" customFormat="1" customHeight="1" spans="1:6">
      <c r="A177" s="31" t="str">
        <f>IFERROR(VLOOKUP(ROW()-8,每日记录!$A:$G,2,0),"")</f>
        <v/>
      </c>
      <c r="B177" s="32" t="str">
        <f>IFERROR(VLOOKUP(ROW()-8,每日记录!$A:$G,4,0),"")</f>
        <v/>
      </c>
      <c r="C177" s="32"/>
      <c r="D177" s="32"/>
      <c r="E177" s="32"/>
      <c r="F177" s="32" t="str">
        <f>IFERROR(VLOOKUP(ROW()-8,每日记录!$A:$G,5,0),"")</f>
        <v/>
      </c>
    </row>
    <row r="178" s="14" customFormat="1" customHeight="1" spans="1:6">
      <c r="A178" s="31" t="str">
        <f>IFERROR(VLOOKUP(ROW()-8,每日记录!$A:$G,2,0),"")</f>
        <v/>
      </c>
      <c r="B178" s="32" t="str">
        <f>IFERROR(VLOOKUP(ROW()-8,每日记录!$A:$G,4,0),"")</f>
        <v/>
      </c>
      <c r="C178" s="32"/>
      <c r="D178" s="32"/>
      <c r="E178" s="32"/>
      <c r="F178" s="32" t="str">
        <f>IFERROR(VLOOKUP(ROW()-8,每日记录!$A:$G,5,0),"")</f>
        <v/>
      </c>
    </row>
    <row r="179" s="14" customFormat="1" customHeight="1" spans="1:6">
      <c r="A179" s="31" t="str">
        <f>IFERROR(VLOOKUP(ROW()-8,每日记录!$A:$G,2,0),"")</f>
        <v/>
      </c>
      <c r="B179" s="32" t="str">
        <f>IFERROR(VLOOKUP(ROW()-8,每日记录!$A:$G,4,0),"")</f>
        <v/>
      </c>
      <c r="C179" s="32"/>
      <c r="D179" s="32"/>
      <c r="E179" s="32"/>
      <c r="F179" s="32" t="str">
        <f>IFERROR(VLOOKUP(ROW()-8,每日记录!$A:$G,5,0),"")</f>
        <v/>
      </c>
    </row>
    <row r="180" s="14" customFormat="1" customHeight="1" spans="1:6">
      <c r="A180" s="31" t="str">
        <f>IFERROR(VLOOKUP(ROW()-8,每日记录!$A:$G,2,0),"")</f>
        <v/>
      </c>
      <c r="B180" s="32" t="str">
        <f>IFERROR(VLOOKUP(ROW()-8,每日记录!$A:$G,4,0),"")</f>
        <v/>
      </c>
      <c r="C180" s="32"/>
      <c r="D180" s="32"/>
      <c r="E180" s="32"/>
      <c r="F180" s="32" t="str">
        <f>IFERROR(VLOOKUP(ROW()-8,每日记录!$A:$G,5,0),"")</f>
        <v/>
      </c>
    </row>
    <row r="181" s="14" customFormat="1" customHeight="1" spans="1:6">
      <c r="A181" s="31" t="str">
        <f>IFERROR(VLOOKUP(ROW()-8,每日记录!$A:$G,2,0),"")</f>
        <v/>
      </c>
      <c r="B181" s="32" t="str">
        <f>IFERROR(VLOOKUP(ROW()-8,每日记录!$A:$G,4,0),"")</f>
        <v/>
      </c>
      <c r="C181" s="32"/>
      <c r="D181" s="32"/>
      <c r="E181" s="32"/>
      <c r="F181" s="32" t="str">
        <f>IFERROR(VLOOKUP(ROW()-8,每日记录!$A:$G,5,0),"")</f>
        <v/>
      </c>
    </row>
    <row r="182" s="14" customFormat="1" customHeight="1" spans="1:6">
      <c r="A182" s="31" t="str">
        <f>IFERROR(VLOOKUP(ROW()-8,每日记录!$A:$G,2,0),"")</f>
        <v/>
      </c>
      <c r="B182" s="32" t="str">
        <f>IFERROR(VLOOKUP(ROW()-8,每日记录!$A:$G,4,0),"")</f>
        <v/>
      </c>
      <c r="C182" s="32"/>
      <c r="D182" s="32"/>
      <c r="E182" s="32"/>
      <c r="F182" s="32" t="str">
        <f>IFERROR(VLOOKUP(ROW()-8,每日记录!$A:$G,5,0),"")</f>
        <v/>
      </c>
    </row>
    <row r="183" s="14" customFormat="1" customHeight="1" spans="1:6">
      <c r="A183" s="31" t="str">
        <f>IFERROR(VLOOKUP(ROW()-8,每日记录!$A:$G,2,0),"")</f>
        <v/>
      </c>
      <c r="B183" s="32" t="str">
        <f>IFERROR(VLOOKUP(ROW()-8,每日记录!$A:$G,4,0),"")</f>
        <v/>
      </c>
      <c r="C183" s="32"/>
      <c r="D183" s="32"/>
      <c r="E183" s="32"/>
      <c r="F183" s="32" t="str">
        <f>IFERROR(VLOOKUP(ROW()-8,每日记录!$A:$G,5,0),"")</f>
        <v/>
      </c>
    </row>
    <row r="184" s="14" customFormat="1" customHeight="1" spans="1:6">
      <c r="A184" s="31" t="str">
        <f>IFERROR(VLOOKUP(ROW()-8,每日记录!$A:$G,2,0),"")</f>
        <v/>
      </c>
      <c r="B184" s="32" t="str">
        <f>IFERROR(VLOOKUP(ROW()-8,每日记录!$A:$G,4,0),"")</f>
        <v/>
      </c>
      <c r="C184" s="32"/>
      <c r="D184" s="32"/>
      <c r="E184" s="32"/>
      <c r="F184" s="32" t="str">
        <f>IFERROR(VLOOKUP(ROW()-8,每日记录!$A:$G,5,0),"")</f>
        <v/>
      </c>
    </row>
    <row r="185" s="14" customFormat="1" customHeight="1" spans="1:6">
      <c r="A185" s="31" t="str">
        <f>IFERROR(VLOOKUP(ROW()-8,每日记录!$A:$G,2,0),"")</f>
        <v/>
      </c>
      <c r="B185" s="32" t="str">
        <f>IFERROR(VLOOKUP(ROW()-8,每日记录!$A:$G,4,0),"")</f>
        <v/>
      </c>
      <c r="C185" s="32"/>
      <c r="D185" s="32"/>
      <c r="E185" s="32"/>
      <c r="F185" s="32" t="str">
        <f>IFERROR(VLOOKUP(ROW()-8,每日记录!$A:$G,5,0),"")</f>
        <v/>
      </c>
    </row>
    <row r="186" s="14" customFormat="1" customHeight="1" spans="1:6">
      <c r="A186" s="31" t="str">
        <f>IFERROR(VLOOKUP(ROW()-8,每日记录!$A:$G,2,0),"")</f>
        <v/>
      </c>
      <c r="B186" s="32" t="str">
        <f>IFERROR(VLOOKUP(ROW()-8,每日记录!$A:$G,4,0),"")</f>
        <v/>
      </c>
      <c r="C186" s="32"/>
      <c r="D186" s="32"/>
      <c r="E186" s="32"/>
      <c r="F186" s="32" t="str">
        <f>IFERROR(VLOOKUP(ROW()-8,每日记录!$A:$G,5,0),"")</f>
        <v/>
      </c>
    </row>
    <row r="187" s="14" customFormat="1" customHeight="1" spans="1:6">
      <c r="A187" s="31" t="str">
        <f>IFERROR(VLOOKUP(ROW()-8,每日记录!$A:$G,2,0),"")</f>
        <v/>
      </c>
      <c r="B187" s="32" t="str">
        <f>IFERROR(VLOOKUP(ROW()-8,每日记录!$A:$G,4,0),"")</f>
        <v/>
      </c>
      <c r="C187" s="32"/>
      <c r="D187" s="32"/>
      <c r="E187" s="32"/>
      <c r="F187" s="32" t="str">
        <f>IFERROR(VLOOKUP(ROW()-8,每日记录!$A:$G,5,0),"")</f>
        <v/>
      </c>
    </row>
    <row r="188" s="14" customFormat="1" customHeight="1" spans="1:6">
      <c r="A188" s="31" t="str">
        <f>IFERROR(VLOOKUP(ROW()-8,每日记录!$A:$G,2,0),"")</f>
        <v/>
      </c>
      <c r="B188" s="32" t="str">
        <f>IFERROR(VLOOKUP(ROW()-8,每日记录!$A:$G,4,0),"")</f>
        <v/>
      </c>
      <c r="C188" s="32"/>
      <c r="D188" s="32"/>
      <c r="E188" s="32"/>
      <c r="F188" s="32" t="str">
        <f>IFERROR(VLOOKUP(ROW()-8,每日记录!$A:$G,5,0),"")</f>
        <v/>
      </c>
    </row>
    <row r="189" s="14" customFormat="1" customHeight="1" spans="1:6">
      <c r="A189" s="31" t="str">
        <f>IFERROR(VLOOKUP(ROW()-8,每日记录!$A:$G,2,0),"")</f>
        <v/>
      </c>
      <c r="B189" s="32" t="str">
        <f>IFERROR(VLOOKUP(ROW()-8,每日记录!$A:$G,4,0),"")</f>
        <v/>
      </c>
      <c r="C189" s="32"/>
      <c r="D189" s="32"/>
      <c r="E189" s="32"/>
      <c r="F189" s="32" t="str">
        <f>IFERROR(VLOOKUP(ROW()-8,每日记录!$A:$G,5,0),"")</f>
        <v/>
      </c>
    </row>
    <row r="190" s="14" customFormat="1" customHeight="1" spans="1:6">
      <c r="A190" s="31" t="str">
        <f>IFERROR(VLOOKUP(ROW()-8,每日记录!$A:$G,2,0),"")</f>
        <v/>
      </c>
      <c r="B190" s="32" t="str">
        <f>IFERROR(VLOOKUP(ROW()-8,每日记录!$A:$G,4,0),"")</f>
        <v/>
      </c>
      <c r="C190" s="32"/>
      <c r="D190" s="32"/>
      <c r="E190" s="32"/>
      <c r="F190" s="32" t="str">
        <f>IFERROR(VLOOKUP(ROW()-8,每日记录!$A:$G,5,0),"")</f>
        <v/>
      </c>
    </row>
    <row r="191" s="14" customFormat="1" customHeight="1" spans="1:6">
      <c r="A191" s="31" t="str">
        <f>IFERROR(VLOOKUP(ROW()-8,每日记录!$A:$G,2,0),"")</f>
        <v/>
      </c>
      <c r="B191" s="32" t="str">
        <f>IFERROR(VLOOKUP(ROW()-8,每日记录!$A:$G,4,0),"")</f>
        <v/>
      </c>
      <c r="C191" s="32"/>
      <c r="D191" s="32"/>
      <c r="E191" s="32"/>
      <c r="F191" s="32" t="str">
        <f>IFERROR(VLOOKUP(ROW()-8,每日记录!$A:$G,5,0),"")</f>
        <v/>
      </c>
    </row>
    <row r="192" s="14" customFormat="1" customHeight="1" spans="1:6">
      <c r="A192" s="31" t="str">
        <f>IFERROR(VLOOKUP(ROW()-8,每日记录!$A:$G,2,0),"")</f>
        <v/>
      </c>
      <c r="B192" s="32" t="str">
        <f>IFERROR(VLOOKUP(ROW()-8,每日记录!$A:$G,4,0),"")</f>
        <v/>
      </c>
      <c r="C192" s="32"/>
      <c r="D192" s="32"/>
      <c r="E192" s="32"/>
      <c r="F192" s="32" t="str">
        <f>IFERROR(VLOOKUP(ROW()-8,每日记录!$A:$G,5,0),"")</f>
        <v/>
      </c>
    </row>
    <row r="193" s="14" customFormat="1" customHeight="1" spans="1:6">
      <c r="A193" s="31" t="str">
        <f>IFERROR(VLOOKUP(ROW()-8,每日记录!$A:$G,2,0),"")</f>
        <v/>
      </c>
      <c r="B193" s="32" t="str">
        <f>IFERROR(VLOOKUP(ROW()-8,每日记录!$A:$G,4,0),"")</f>
        <v/>
      </c>
      <c r="C193" s="32"/>
      <c r="D193" s="32"/>
      <c r="E193" s="32"/>
      <c r="F193" s="32" t="str">
        <f>IFERROR(VLOOKUP(ROW()-8,每日记录!$A:$G,5,0),"")</f>
        <v/>
      </c>
    </row>
    <row r="194" s="14" customFormat="1" customHeight="1" spans="1:6">
      <c r="A194" s="31" t="str">
        <f>IFERROR(VLOOKUP(ROW()-8,每日记录!$A:$G,2,0),"")</f>
        <v/>
      </c>
      <c r="B194" s="32" t="str">
        <f>IFERROR(VLOOKUP(ROW()-8,每日记录!$A:$G,4,0),"")</f>
        <v/>
      </c>
      <c r="C194" s="32"/>
      <c r="D194" s="32"/>
      <c r="E194" s="32"/>
      <c r="F194" s="32" t="str">
        <f>IFERROR(VLOOKUP(ROW()-8,每日记录!$A:$G,5,0),"")</f>
        <v/>
      </c>
    </row>
    <row r="195" s="14" customFormat="1" customHeight="1" spans="1:6">
      <c r="A195" s="31" t="str">
        <f>IFERROR(VLOOKUP(ROW()-8,每日记录!$A:$G,2,0),"")</f>
        <v/>
      </c>
      <c r="B195" s="32" t="str">
        <f>IFERROR(VLOOKUP(ROW()-8,每日记录!$A:$G,4,0),"")</f>
        <v/>
      </c>
      <c r="C195" s="32"/>
      <c r="D195" s="32"/>
      <c r="E195" s="32"/>
      <c r="F195" s="32" t="str">
        <f>IFERROR(VLOOKUP(ROW()-8,每日记录!$A:$G,5,0),"")</f>
        <v/>
      </c>
    </row>
    <row r="196" s="14" customFormat="1" customHeight="1" spans="1:6">
      <c r="A196" s="31" t="str">
        <f>IFERROR(VLOOKUP(ROW()-8,每日记录!$A:$G,2,0),"")</f>
        <v/>
      </c>
      <c r="B196" s="32" t="str">
        <f>IFERROR(VLOOKUP(ROW()-8,每日记录!$A:$G,4,0),"")</f>
        <v/>
      </c>
      <c r="C196" s="32"/>
      <c r="D196" s="32"/>
      <c r="E196" s="32"/>
      <c r="F196" s="32" t="str">
        <f>IFERROR(VLOOKUP(ROW()-8,每日记录!$A:$G,5,0),"")</f>
        <v/>
      </c>
    </row>
    <row r="197" s="14" customFormat="1" customHeight="1" spans="1:6">
      <c r="A197" s="31" t="str">
        <f>IFERROR(VLOOKUP(ROW()-8,每日记录!$A:$G,2,0),"")</f>
        <v/>
      </c>
      <c r="B197" s="32" t="str">
        <f>IFERROR(VLOOKUP(ROW()-8,每日记录!$A:$G,4,0),"")</f>
        <v/>
      </c>
      <c r="C197" s="32"/>
      <c r="D197" s="32"/>
      <c r="E197" s="32"/>
      <c r="F197" s="32" t="str">
        <f>IFERROR(VLOOKUP(ROW()-8,每日记录!$A:$G,5,0),"")</f>
        <v/>
      </c>
    </row>
    <row r="198" s="14" customFormat="1" customHeight="1" spans="1:6">
      <c r="A198" s="31" t="str">
        <f>IFERROR(VLOOKUP(ROW()-8,每日记录!$A:$G,2,0),"")</f>
        <v/>
      </c>
      <c r="B198" s="32" t="str">
        <f>IFERROR(VLOOKUP(ROW()-8,每日记录!$A:$G,4,0),"")</f>
        <v/>
      </c>
      <c r="C198" s="32"/>
      <c r="D198" s="32"/>
      <c r="E198" s="32"/>
      <c r="F198" s="32" t="str">
        <f>IFERROR(VLOOKUP(ROW()-8,每日记录!$A:$G,5,0),"")</f>
        <v/>
      </c>
    </row>
    <row r="199" s="14" customFormat="1" customHeight="1" spans="1:6">
      <c r="A199" s="31" t="str">
        <f>IFERROR(VLOOKUP(ROW()-8,每日记录!$A:$G,2,0),"")</f>
        <v/>
      </c>
      <c r="B199" s="32" t="str">
        <f>IFERROR(VLOOKUP(ROW()-8,每日记录!$A:$G,4,0),"")</f>
        <v/>
      </c>
      <c r="C199" s="32"/>
      <c r="D199" s="32"/>
      <c r="E199" s="32"/>
      <c r="F199" s="32" t="str">
        <f>IFERROR(VLOOKUP(ROW()-8,每日记录!$A:$G,5,0),"")</f>
        <v/>
      </c>
    </row>
    <row r="200" s="14" customFormat="1" customHeight="1" spans="1:6">
      <c r="A200" s="31" t="str">
        <f>IFERROR(VLOOKUP(ROW()-8,每日记录!$A:$G,2,0),"")</f>
        <v/>
      </c>
      <c r="B200" s="32" t="str">
        <f>IFERROR(VLOOKUP(ROW()-8,每日记录!$A:$G,4,0),"")</f>
        <v/>
      </c>
      <c r="C200" s="32"/>
      <c r="D200" s="32"/>
      <c r="E200" s="32"/>
      <c r="F200" s="32" t="str">
        <f>IFERROR(VLOOKUP(ROW()-8,每日记录!$A:$G,5,0),"")</f>
        <v/>
      </c>
    </row>
    <row r="201" s="14" customFormat="1" customHeight="1" spans="1:6">
      <c r="A201" s="31" t="str">
        <f>IFERROR(VLOOKUP(ROW()-8,每日记录!$A:$G,2,0),"")</f>
        <v/>
      </c>
      <c r="B201" s="32" t="str">
        <f>IFERROR(VLOOKUP(ROW()-8,每日记录!$A:$G,4,0),"")</f>
        <v/>
      </c>
      <c r="C201" s="32"/>
      <c r="D201" s="32"/>
      <c r="E201" s="32"/>
      <c r="F201" s="32" t="str">
        <f>IFERROR(VLOOKUP(ROW()-8,每日记录!$A:$G,5,0),"")</f>
        <v/>
      </c>
    </row>
    <row r="202" s="14" customFormat="1" customHeight="1" spans="1:6">
      <c r="A202" s="31" t="str">
        <f>IFERROR(VLOOKUP(ROW()-8,每日记录!$A:$G,2,0),"")</f>
        <v/>
      </c>
      <c r="B202" s="32" t="str">
        <f>IFERROR(VLOOKUP(ROW()-8,每日记录!$A:$G,4,0),"")</f>
        <v/>
      </c>
      <c r="C202" s="32"/>
      <c r="D202" s="32"/>
      <c r="E202" s="32"/>
      <c r="F202" s="32" t="str">
        <f>IFERROR(VLOOKUP(ROW()-8,每日记录!$A:$G,5,0),"")</f>
        <v/>
      </c>
    </row>
    <row r="203" s="14" customFormat="1" customHeight="1" spans="1:6">
      <c r="A203" s="31" t="str">
        <f>IFERROR(VLOOKUP(ROW()-8,每日记录!$A:$G,2,0),"")</f>
        <v/>
      </c>
      <c r="B203" s="32" t="str">
        <f>IFERROR(VLOOKUP(ROW()-8,每日记录!$A:$G,4,0),"")</f>
        <v/>
      </c>
      <c r="C203" s="32"/>
      <c r="D203" s="32"/>
      <c r="E203" s="32"/>
      <c r="F203" s="32" t="str">
        <f>IFERROR(VLOOKUP(ROW()-8,每日记录!$A:$G,5,0),"")</f>
        <v/>
      </c>
    </row>
    <row r="204" s="14" customFormat="1" customHeight="1" spans="1:6">
      <c r="A204" s="31" t="str">
        <f>IFERROR(VLOOKUP(ROW()-8,每日记录!$A:$G,2,0),"")</f>
        <v/>
      </c>
      <c r="B204" s="32" t="str">
        <f>IFERROR(VLOOKUP(ROW()-8,每日记录!$A:$G,4,0),"")</f>
        <v/>
      </c>
      <c r="C204" s="32"/>
      <c r="D204" s="32"/>
      <c r="E204" s="32"/>
      <c r="F204" s="32" t="str">
        <f>IFERROR(VLOOKUP(ROW()-8,每日记录!$A:$G,5,0),"")</f>
        <v/>
      </c>
    </row>
    <row r="205" s="14" customFormat="1" customHeight="1" spans="1:6">
      <c r="A205" s="31" t="str">
        <f>IFERROR(VLOOKUP(ROW()-8,每日记录!$A:$G,2,0),"")</f>
        <v/>
      </c>
      <c r="B205" s="32" t="str">
        <f>IFERROR(VLOOKUP(ROW()-8,每日记录!$A:$G,4,0),"")</f>
        <v/>
      </c>
      <c r="C205" s="32"/>
      <c r="D205" s="32"/>
      <c r="E205" s="32"/>
      <c r="F205" s="32" t="str">
        <f>IFERROR(VLOOKUP(ROW()-8,每日记录!$A:$G,5,0),"")</f>
        <v/>
      </c>
    </row>
    <row r="206" s="14" customFormat="1" customHeight="1" spans="1:6">
      <c r="A206" s="31" t="str">
        <f>IFERROR(VLOOKUP(ROW()-8,每日记录!$A:$G,2,0),"")</f>
        <v/>
      </c>
      <c r="B206" s="32" t="str">
        <f>IFERROR(VLOOKUP(ROW()-8,每日记录!$A:$G,4,0),"")</f>
        <v/>
      </c>
      <c r="C206" s="32"/>
      <c r="D206" s="32"/>
      <c r="E206" s="32"/>
      <c r="F206" s="32" t="str">
        <f>IFERROR(VLOOKUP(ROW()-8,每日记录!$A:$G,5,0),"")</f>
        <v/>
      </c>
    </row>
    <row r="207" s="14" customFormat="1" customHeight="1" spans="1:6">
      <c r="A207" s="31" t="str">
        <f>IFERROR(VLOOKUP(ROW()-8,每日记录!$A:$G,2,0),"")</f>
        <v/>
      </c>
      <c r="B207" s="32" t="str">
        <f>IFERROR(VLOOKUP(ROW()-8,每日记录!$A:$G,4,0),"")</f>
        <v/>
      </c>
      <c r="C207" s="32"/>
      <c r="D207" s="32"/>
      <c r="E207" s="32"/>
      <c r="F207" s="32" t="str">
        <f>IFERROR(VLOOKUP(ROW()-8,每日记录!$A:$G,5,0),"")</f>
        <v/>
      </c>
    </row>
    <row r="208" s="14" customFormat="1" customHeight="1" spans="1:6">
      <c r="A208" s="31" t="str">
        <f>IFERROR(VLOOKUP(ROW()-8,每日记录!$A:$G,2,0),"")</f>
        <v/>
      </c>
      <c r="B208" s="32" t="str">
        <f>IFERROR(VLOOKUP(ROW()-8,每日记录!$A:$G,4,0),"")</f>
        <v/>
      </c>
      <c r="C208" s="32"/>
      <c r="D208" s="32"/>
      <c r="E208" s="32"/>
      <c r="F208" s="32" t="str">
        <f>IFERROR(VLOOKUP(ROW()-8,每日记录!$A:$G,5,0),"")</f>
        <v/>
      </c>
    </row>
    <row r="209" s="14" customFormat="1" customHeight="1" spans="1:6">
      <c r="A209" s="31" t="str">
        <f>IFERROR(VLOOKUP(ROW()-8,每日记录!$A:$G,2,0),"")</f>
        <v/>
      </c>
      <c r="B209" s="32" t="str">
        <f>IFERROR(VLOOKUP(ROW()-8,每日记录!$A:$G,4,0),"")</f>
        <v/>
      </c>
      <c r="C209" s="32"/>
      <c r="D209" s="32"/>
      <c r="E209" s="32"/>
      <c r="F209" s="32" t="str">
        <f>IFERROR(VLOOKUP(ROW()-8,每日记录!$A:$G,5,0),"")</f>
        <v/>
      </c>
    </row>
    <row r="210" s="14" customFormat="1" customHeight="1" spans="1:6">
      <c r="A210" s="31" t="str">
        <f>IFERROR(VLOOKUP(ROW()-8,每日记录!$A:$G,2,0),"")</f>
        <v/>
      </c>
      <c r="B210" s="32" t="str">
        <f>IFERROR(VLOOKUP(ROW()-8,每日记录!$A:$G,4,0),"")</f>
        <v/>
      </c>
      <c r="C210" s="32"/>
      <c r="D210" s="32"/>
      <c r="E210" s="32"/>
      <c r="F210" s="32" t="str">
        <f>IFERROR(VLOOKUP(ROW()-8,每日记录!$A:$G,5,0),"")</f>
        <v/>
      </c>
    </row>
    <row r="211" s="14" customFormat="1" customHeight="1" spans="1:6">
      <c r="A211" s="31" t="str">
        <f>IFERROR(VLOOKUP(ROW()-8,每日记录!$A:$G,2,0),"")</f>
        <v/>
      </c>
      <c r="B211" s="32" t="str">
        <f>IFERROR(VLOOKUP(ROW()-8,每日记录!$A:$G,4,0),"")</f>
        <v/>
      </c>
      <c r="C211" s="32"/>
      <c r="D211" s="32"/>
      <c r="E211" s="32"/>
      <c r="F211" s="32" t="str">
        <f>IFERROR(VLOOKUP(ROW()-8,每日记录!$A:$G,5,0),"")</f>
        <v/>
      </c>
    </row>
    <row r="212" s="14" customFormat="1" customHeight="1" spans="1:6">
      <c r="A212" s="31" t="str">
        <f>IFERROR(VLOOKUP(ROW()-8,每日记录!$A:$G,2,0),"")</f>
        <v/>
      </c>
      <c r="B212" s="32" t="str">
        <f>IFERROR(VLOOKUP(ROW()-8,每日记录!$A:$G,4,0),"")</f>
        <v/>
      </c>
      <c r="C212" s="32"/>
      <c r="D212" s="32"/>
      <c r="E212" s="32"/>
      <c r="F212" s="32" t="str">
        <f>IFERROR(VLOOKUP(ROW()-8,每日记录!$A:$G,5,0),"")</f>
        <v/>
      </c>
    </row>
    <row r="213" s="14" customFormat="1" customHeight="1" spans="1:6">
      <c r="A213" s="31" t="str">
        <f>IFERROR(VLOOKUP(ROW()-8,每日记录!$A:$G,2,0),"")</f>
        <v/>
      </c>
      <c r="B213" s="32" t="str">
        <f>IFERROR(VLOOKUP(ROW()-8,每日记录!$A:$G,4,0),"")</f>
        <v/>
      </c>
      <c r="C213" s="32"/>
      <c r="D213" s="32"/>
      <c r="E213" s="32"/>
      <c r="F213" s="32" t="str">
        <f>IFERROR(VLOOKUP(ROW()-8,每日记录!$A:$G,5,0),"")</f>
        <v/>
      </c>
    </row>
    <row r="214" s="14" customFormat="1" customHeight="1" spans="1:6">
      <c r="A214" s="31" t="str">
        <f>IFERROR(VLOOKUP(ROW()-8,每日记录!$A:$G,2,0),"")</f>
        <v/>
      </c>
      <c r="B214" s="32" t="str">
        <f>IFERROR(VLOOKUP(ROW()-8,每日记录!$A:$G,4,0),"")</f>
        <v/>
      </c>
      <c r="C214" s="32"/>
      <c r="D214" s="32"/>
      <c r="E214" s="32"/>
      <c r="F214" s="32" t="str">
        <f>IFERROR(VLOOKUP(ROW()-8,每日记录!$A:$G,5,0),"")</f>
        <v/>
      </c>
    </row>
    <row r="215" s="14" customFormat="1" customHeight="1" spans="1:6">
      <c r="A215" s="31" t="str">
        <f>IFERROR(VLOOKUP(ROW()-8,每日记录!$A:$G,2,0),"")</f>
        <v/>
      </c>
      <c r="B215" s="32" t="str">
        <f>IFERROR(VLOOKUP(ROW()-8,每日记录!$A:$G,4,0),"")</f>
        <v/>
      </c>
      <c r="C215" s="32"/>
      <c r="D215" s="32"/>
      <c r="E215" s="32"/>
      <c r="F215" s="32" t="str">
        <f>IFERROR(VLOOKUP(ROW()-8,每日记录!$A:$G,5,0),"")</f>
        <v/>
      </c>
    </row>
    <row r="216" s="14" customFormat="1" customHeight="1" spans="1:6">
      <c r="A216" s="31" t="str">
        <f>IFERROR(VLOOKUP(ROW()-8,每日记录!$A:$G,2,0),"")</f>
        <v/>
      </c>
      <c r="B216" s="32" t="str">
        <f>IFERROR(VLOOKUP(ROW()-8,每日记录!$A:$G,4,0),"")</f>
        <v/>
      </c>
      <c r="C216" s="32"/>
      <c r="D216" s="32"/>
      <c r="E216" s="32"/>
      <c r="F216" s="32" t="str">
        <f>IFERROR(VLOOKUP(ROW()-8,每日记录!$A:$G,5,0),"")</f>
        <v/>
      </c>
    </row>
    <row r="217" s="14" customFormat="1" customHeight="1" spans="1:6">
      <c r="A217" s="31" t="str">
        <f>IFERROR(VLOOKUP(ROW()-8,每日记录!$A:$G,2,0),"")</f>
        <v/>
      </c>
      <c r="B217" s="32" t="str">
        <f>IFERROR(VLOOKUP(ROW()-8,每日记录!$A:$G,4,0),"")</f>
        <v/>
      </c>
      <c r="C217" s="32"/>
      <c r="D217" s="32"/>
      <c r="E217" s="32"/>
      <c r="F217" s="32" t="str">
        <f>IFERROR(VLOOKUP(ROW()-8,每日记录!$A:$G,5,0),"")</f>
        <v/>
      </c>
    </row>
    <row r="218" s="14" customFormat="1" customHeight="1" spans="1:6">
      <c r="A218" s="31" t="str">
        <f>IFERROR(VLOOKUP(ROW()-8,每日记录!$A:$G,2,0),"")</f>
        <v/>
      </c>
      <c r="B218" s="32" t="str">
        <f>IFERROR(VLOOKUP(ROW()-8,每日记录!$A:$G,4,0),"")</f>
        <v/>
      </c>
      <c r="C218" s="32"/>
      <c r="D218" s="32"/>
      <c r="E218" s="32"/>
      <c r="F218" s="32" t="str">
        <f>IFERROR(VLOOKUP(ROW()-8,每日记录!$A:$G,5,0),"")</f>
        <v/>
      </c>
    </row>
    <row r="219" s="14" customFormat="1" customHeight="1" spans="1:6">
      <c r="A219" s="31" t="str">
        <f>IFERROR(VLOOKUP(ROW()-8,每日记录!$A:$G,2,0),"")</f>
        <v/>
      </c>
      <c r="B219" s="32" t="str">
        <f>IFERROR(VLOOKUP(ROW()-8,每日记录!$A:$G,4,0),"")</f>
        <v/>
      </c>
      <c r="C219" s="32"/>
      <c r="D219" s="32"/>
      <c r="E219" s="32"/>
      <c r="F219" s="32" t="str">
        <f>IFERROR(VLOOKUP(ROW()-8,每日记录!$A:$G,5,0),"")</f>
        <v/>
      </c>
    </row>
    <row r="220" s="14" customFormat="1" customHeight="1" spans="1:6">
      <c r="A220" s="31" t="str">
        <f>IFERROR(VLOOKUP(ROW()-8,每日记录!$A:$G,2,0),"")</f>
        <v/>
      </c>
      <c r="B220" s="32" t="str">
        <f>IFERROR(VLOOKUP(ROW()-8,每日记录!$A:$G,4,0),"")</f>
        <v/>
      </c>
      <c r="C220" s="32"/>
      <c r="D220" s="32"/>
      <c r="E220" s="32"/>
      <c r="F220" s="32" t="str">
        <f>IFERROR(VLOOKUP(ROW()-8,每日记录!$A:$G,5,0),"")</f>
        <v/>
      </c>
    </row>
    <row r="221" s="14" customFormat="1" customHeight="1" spans="1:6">
      <c r="A221" s="31" t="str">
        <f>IFERROR(VLOOKUP(ROW()-8,每日记录!$A:$G,2,0),"")</f>
        <v/>
      </c>
      <c r="B221" s="32" t="str">
        <f>IFERROR(VLOOKUP(ROW()-8,每日记录!$A:$G,4,0),"")</f>
        <v/>
      </c>
      <c r="C221" s="32"/>
      <c r="D221" s="32"/>
      <c r="E221" s="32"/>
      <c r="F221" s="32" t="str">
        <f>IFERROR(VLOOKUP(ROW()-8,每日记录!$A:$G,5,0),"")</f>
        <v/>
      </c>
    </row>
    <row r="222" s="14" customFormat="1" customHeight="1" spans="1:6">
      <c r="A222" s="31" t="str">
        <f>IFERROR(VLOOKUP(ROW()-8,每日记录!$A:$G,2,0),"")</f>
        <v/>
      </c>
      <c r="B222" s="32" t="str">
        <f>IFERROR(VLOOKUP(ROW()-8,每日记录!$A:$G,4,0),"")</f>
        <v/>
      </c>
      <c r="C222" s="32"/>
      <c r="D222" s="32"/>
      <c r="E222" s="32"/>
      <c r="F222" s="32" t="str">
        <f>IFERROR(VLOOKUP(ROW()-8,每日记录!$A:$G,5,0),"")</f>
        <v/>
      </c>
    </row>
    <row r="223" s="14" customFormat="1" customHeight="1" spans="1:6">
      <c r="A223" s="31" t="str">
        <f>IFERROR(VLOOKUP(ROW()-8,每日记录!$A:$G,2,0),"")</f>
        <v/>
      </c>
      <c r="B223" s="32" t="str">
        <f>IFERROR(VLOOKUP(ROW()-8,每日记录!$A:$G,4,0),"")</f>
        <v/>
      </c>
      <c r="C223" s="32"/>
      <c r="D223" s="32"/>
      <c r="E223" s="32"/>
      <c r="F223" s="32" t="str">
        <f>IFERROR(VLOOKUP(ROW()-8,每日记录!$A:$G,5,0),"")</f>
        <v/>
      </c>
    </row>
    <row r="224" s="14" customFormat="1" customHeight="1" spans="1:6">
      <c r="A224" s="31" t="str">
        <f>IFERROR(VLOOKUP(ROW()-8,每日记录!$A:$G,2,0),"")</f>
        <v/>
      </c>
      <c r="B224" s="32" t="str">
        <f>IFERROR(VLOOKUP(ROW()-8,每日记录!$A:$G,4,0),"")</f>
        <v/>
      </c>
      <c r="C224" s="32"/>
      <c r="D224" s="32"/>
      <c r="E224" s="32"/>
      <c r="F224" s="32" t="str">
        <f>IFERROR(VLOOKUP(ROW()-8,每日记录!$A:$G,5,0),"")</f>
        <v/>
      </c>
    </row>
    <row r="225" s="14" customFormat="1" customHeight="1" spans="1:6">
      <c r="A225" s="31" t="str">
        <f>IFERROR(VLOOKUP(ROW()-8,每日记录!$A:$G,2,0),"")</f>
        <v/>
      </c>
      <c r="B225" s="32" t="str">
        <f>IFERROR(VLOOKUP(ROW()-8,每日记录!$A:$G,4,0),"")</f>
        <v/>
      </c>
      <c r="C225" s="32"/>
      <c r="D225" s="32"/>
      <c r="E225" s="32"/>
      <c r="F225" s="32" t="str">
        <f>IFERROR(VLOOKUP(ROW()-8,每日记录!$A:$G,5,0),"")</f>
        <v/>
      </c>
    </row>
    <row r="226" s="14" customFormat="1" customHeight="1" spans="1:6">
      <c r="A226" s="31" t="str">
        <f>IFERROR(VLOOKUP(ROW()-8,每日记录!$A:$G,2,0),"")</f>
        <v/>
      </c>
      <c r="B226" s="32" t="str">
        <f>IFERROR(VLOOKUP(ROW()-8,每日记录!$A:$G,4,0),"")</f>
        <v/>
      </c>
      <c r="C226" s="32"/>
      <c r="D226" s="32"/>
      <c r="E226" s="32"/>
      <c r="F226" s="32" t="str">
        <f>IFERROR(VLOOKUP(ROW()-8,每日记录!$A:$G,5,0),"")</f>
        <v/>
      </c>
    </row>
    <row r="227" s="14" customFormat="1" customHeight="1" spans="1:6">
      <c r="A227" s="31" t="str">
        <f>IFERROR(VLOOKUP(ROW()-8,每日记录!$A:$G,2,0),"")</f>
        <v/>
      </c>
      <c r="B227" s="32" t="str">
        <f>IFERROR(VLOOKUP(ROW()-8,每日记录!$A:$G,4,0),"")</f>
        <v/>
      </c>
      <c r="C227" s="32"/>
      <c r="D227" s="32"/>
      <c r="E227" s="32"/>
      <c r="F227" s="32" t="str">
        <f>IFERROR(VLOOKUP(ROW()-8,每日记录!$A:$G,5,0),"")</f>
        <v/>
      </c>
    </row>
    <row r="228" s="14" customFormat="1" customHeight="1" spans="1:6">
      <c r="A228" s="31" t="str">
        <f>IFERROR(VLOOKUP(ROW()-8,每日记录!$A:$G,2,0),"")</f>
        <v/>
      </c>
      <c r="B228" s="32" t="str">
        <f>IFERROR(VLOOKUP(ROW()-8,每日记录!$A:$G,4,0),"")</f>
        <v/>
      </c>
      <c r="C228" s="32"/>
      <c r="D228" s="32"/>
      <c r="E228" s="32"/>
      <c r="F228" s="32" t="str">
        <f>IFERROR(VLOOKUP(ROW()-8,每日记录!$A:$G,5,0),"")</f>
        <v/>
      </c>
    </row>
    <row r="229" s="14" customFormat="1" customHeight="1" spans="1:6">
      <c r="A229" s="31" t="str">
        <f>IFERROR(VLOOKUP(ROW()-8,每日记录!$A:$G,2,0),"")</f>
        <v/>
      </c>
      <c r="B229" s="32" t="str">
        <f>IFERROR(VLOOKUP(ROW()-8,每日记录!$A:$G,4,0),"")</f>
        <v/>
      </c>
      <c r="C229" s="32"/>
      <c r="D229" s="32"/>
      <c r="E229" s="32"/>
      <c r="F229" s="32" t="str">
        <f>IFERROR(VLOOKUP(ROW()-8,每日记录!$A:$G,5,0),"")</f>
        <v/>
      </c>
    </row>
    <row r="230" s="14" customFormat="1" customHeight="1" spans="1:6">
      <c r="A230" s="31" t="str">
        <f>IFERROR(VLOOKUP(ROW()-8,每日记录!$A:$G,2,0),"")</f>
        <v/>
      </c>
      <c r="B230" s="32" t="str">
        <f>IFERROR(VLOOKUP(ROW()-8,每日记录!$A:$G,4,0),"")</f>
        <v/>
      </c>
      <c r="C230" s="32"/>
      <c r="D230" s="32"/>
      <c r="E230" s="32"/>
      <c r="F230" s="32" t="str">
        <f>IFERROR(VLOOKUP(ROW()-8,每日记录!$A:$G,5,0),"")</f>
        <v/>
      </c>
    </row>
    <row r="231" s="14" customFormat="1" customHeight="1" spans="1:6">
      <c r="A231" s="31" t="str">
        <f>IFERROR(VLOOKUP(ROW()-8,每日记录!$A:$G,2,0),"")</f>
        <v/>
      </c>
      <c r="B231" s="32" t="str">
        <f>IFERROR(VLOOKUP(ROW()-8,每日记录!$A:$G,4,0),"")</f>
        <v/>
      </c>
      <c r="C231" s="32"/>
      <c r="D231" s="32"/>
      <c r="E231" s="32"/>
      <c r="F231" s="32" t="str">
        <f>IFERROR(VLOOKUP(ROW()-8,每日记录!$A:$G,5,0),"")</f>
        <v/>
      </c>
    </row>
    <row r="232" s="14" customFormat="1" customHeight="1" spans="1:6">
      <c r="A232" s="31" t="str">
        <f>IFERROR(VLOOKUP(ROW()-8,每日记录!$A:$G,2,0),"")</f>
        <v/>
      </c>
      <c r="B232" s="32" t="str">
        <f>IFERROR(VLOOKUP(ROW()-8,每日记录!$A:$G,4,0),"")</f>
        <v/>
      </c>
      <c r="C232" s="32"/>
      <c r="D232" s="32"/>
      <c r="E232" s="32"/>
      <c r="F232" s="32" t="str">
        <f>IFERROR(VLOOKUP(ROW()-8,每日记录!$A:$G,5,0),"")</f>
        <v/>
      </c>
    </row>
    <row r="233" s="14" customFormat="1" customHeight="1" spans="1:6">
      <c r="A233" s="31" t="str">
        <f>IFERROR(VLOOKUP(ROW()-8,每日记录!$A:$G,2,0),"")</f>
        <v/>
      </c>
      <c r="B233" s="32" t="str">
        <f>IFERROR(VLOOKUP(ROW()-8,每日记录!$A:$G,4,0),"")</f>
        <v/>
      </c>
      <c r="C233" s="32"/>
      <c r="D233" s="32"/>
      <c r="E233" s="32"/>
      <c r="F233" s="32" t="str">
        <f>IFERROR(VLOOKUP(ROW()-8,每日记录!$A:$G,5,0),"")</f>
        <v/>
      </c>
    </row>
    <row r="234" s="14" customFormat="1" customHeight="1" spans="1:6">
      <c r="A234" s="31" t="str">
        <f>IFERROR(VLOOKUP(ROW()-8,每日记录!$A:$G,2,0),"")</f>
        <v/>
      </c>
      <c r="B234" s="32" t="str">
        <f>IFERROR(VLOOKUP(ROW()-8,每日记录!$A:$G,4,0),"")</f>
        <v/>
      </c>
      <c r="C234" s="32"/>
      <c r="D234" s="32"/>
      <c r="E234" s="32"/>
      <c r="F234" s="32" t="str">
        <f>IFERROR(VLOOKUP(ROW()-8,每日记录!$A:$G,5,0),"")</f>
        <v/>
      </c>
    </row>
    <row r="235" s="14" customFormat="1" customHeight="1" spans="1:6">
      <c r="A235" s="31" t="str">
        <f>IFERROR(VLOOKUP(ROW()-8,每日记录!$A:$G,2,0),"")</f>
        <v/>
      </c>
      <c r="B235" s="32" t="str">
        <f>IFERROR(VLOOKUP(ROW()-8,每日记录!$A:$G,4,0),"")</f>
        <v/>
      </c>
      <c r="C235" s="32"/>
      <c r="D235" s="32"/>
      <c r="E235" s="32"/>
      <c r="F235" s="32" t="str">
        <f>IFERROR(VLOOKUP(ROW()-8,每日记录!$A:$G,5,0),"")</f>
        <v/>
      </c>
    </row>
    <row r="236" s="14" customFormat="1" customHeight="1" spans="1:6">
      <c r="A236" s="31" t="str">
        <f>IFERROR(VLOOKUP(ROW()-8,每日记录!$A:$G,2,0),"")</f>
        <v/>
      </c>
      <c r="B236" s="32" t="str">
        <f>IFERROR(VLOOKUP(ROW()-8,每日记录!$A:$G,4,0),"")</f>
        <v/>
      </c>
      <c r="C236" s="32"/>
      <c r="D236" s="32"/>
      <c r="E236" s="32"/>
      <c r="F236" s="32" t="str">
        <f>IFERROR(VLOOKUP(ROW()-8,每日记录!$A:$G,5,0),"")</f>
        <v/>
      </c>
    </row>
    <row r="237" s="14" customFormat="1" customHeight="1" spans="1:6">
      <c r="A237" s="31" t="str">
        <f>IFERROR(VLOOKUP(ROW()-8,每日记录!$A:$G,2,0),"")</f>
        <v/>
      </c>
      <c r="B237" s="32" t="str">
        <f>IFERROR(VLOOKUP(ROW()-8,每日记录!$A:$G,4,0),"")</f>
        <v/>
      </c>
      <c r="C237" s="32"/>
      <c r="D237" s="32"/>
      <c r="E237" s="32"/>
      <c r="F237" s="32" t="str">
        <f>IFERROR(VLOOKUP(ROW()-8,每日记录!$A:$G,5,0),"")</f>
        <v/>
      </c>
    </row>
  </sheetData>
  <sheetProtection formatCells="0" insertHyperlinks="0" autoFilter="0"/>
  <mergeCells count="236">
    <mergeCell ref="A1:F1"/>
    <mergeCell ref="B2:D2"/>
    <mergeCell ref="B3:D3"/>
    <mergeCell ref="B4:D4"/>
    <mergeCell ref="B5:F5"/>
    <mergeCell ref="B6:F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B230:E230"/>
    <mergeCell ref="B231:E231"/>
    <mergeCell ref="B232:E232"/>
    <mergeCell ref="B233:E233"/>
    <mergeCell ref="B234:E234"/>
    <mergeCell ref="B235:E235"/>
    <mergeCell ref="B236:E236"/>
    <mergeCell ref="B237:E237"/>
  </mergeCells>
  <dataValidations count="1">
    <dataValidation type="list" allowBlank="1" showInputMessage="1" showErrorMessage="1" sqref="B2">
      <formula1>客户名称</formula1>
    </dataValidation>
  </dataValidations>
  <pageMargins left="0.747916666666667" right="0.747916666666667" top="0.984027777777778" bottom="0.984027777777778" header="0.510416666666667" footer="0.510416666666667"/>
  <pageSetup paperSize="9" orientation="landscape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H119"/>
  <sheetViews>
    <sheetView showGridLines="0" workbookViewId="0">
      <pane ySplit="2" topLeftCell="A3" activePane="bottomLeft" state="frozen"/>
      <selection/>
      <selection pane="bottomLeft" activeCell="E21" sqref="E21"/>
    </sheetView>
  </sheetViews>
  <sheetFormatPr defaultColWidth="9" defaultRowHeight="18.95" customHeight="1" outlineLevelCol="7"/>
  <cols>
    <col min="2" max="2" width="18.25" style="14" customWidth="1"/>
    <col min="3" max="3" width="10.8833333333333" style="14" customWidth="1"/>
    <col min="4" max="4" width="10.1333333333333" style="14" customWidth="1"/>
    <col min="5" max="5" width="12.75" style="14" customWidth="1"/>
    <col min="6" max="6" width="19.75" style="14" customWidth="1"/>
    <col min="7" max="7" width="11.3833333333333" style="14" customWidth="1"/>
    <col min="8" max="8" width="14.3833333333333" style="14" customWidth="1"/>
    <col min="9" max="253" width="9" style="14"/>
    <col min="254" max="16380" width="9" style="15"/>
  </cols>
  <sheetData>
    <row r="2" ht="36.75" customHeight="1" spans="2:8">
      <c r="B2" s="16" t="s">
        <v>0</v>
      </c>
      <c r="C2" s="16" t="s">
        <v>14</v>
      </c>
      <c r="D2" s="16" t="s">
        <v>15</v>
      </c>
      <c r="E2" s="16" t="s">
        <v>16</v>
      </c>
      <c r="F2" s="16" t="s">
        <v>24</v>
      </c>
      <c r="G2" s="16" t="s">
        <v>18</v>
      </c>
      <c r="H2" s="16" t="s">
        <v>9</v>
      </c>
    </row>
    <row r="3" customHeight="1" spans="2:8">
      <c r="B3" s="17" t="s">
        <v>4</v>
      </c>
      <c r="C3" s="17" t="s">
        <v>25</v>
      </c>
      <c r="D3" s="17" t="s">
        <v>26</v>
      </c>
      <c r="E3" s="17" t="s">
        <v>27</v>
      </c>
      <c r="F3" s="17" t="s">
        <v>28</v>
      </c>
      <c r="G3" s="17" t="s">
        <v>29</v>
      </c>
      <c r="H3" s="17"/>
    </row>
    <row r="4" customHeight="1" spans="2:8">
      <c r="B4" s="17" t="s">
        <v>12</v>
      </c>
      <c r="C4" s="17" t="s">
        <v>30</v>
      </c>
      <c r="D4" s="17" t="s">
        <v>26</v>
      </c>
      <c r="E4" s="17" t="s">
        <v>31</v>
      </c>
      <c r="F4" s="17" t="s">
        <v>28</v>
      </c>
      <c r="G4" s="17" t="s">
        <v>29</v>
      </c>
      <c r="H4" s="17"/>
    </row>
    <row r="5" customHeight="1" spans="2:8">
      <c r="B5" s="17" t="s">
        <v>32</v>
      </c>
      <c r="C5" s="17" t="s">
        <v>33</v>
      </c>
      <c r="D5" s="17" t="s">
        <v>34</v>
      </c>
      <c r="E5" s="17" t="s">
        <v>35</v>
      </c>
      <c r="F5" s="17" t="s">
        <v>28</v>
      </c>
      <c r="G5" s="17" t="s">
        <v>36</v>
      </c>
      <c r="H5" s="17"/>
    </row>
    <row r="6" customHeight="1" spans="2:8">
      <c r="B6" s="17" t="s">
        <v>37</v>
      </c>
      <c r="C6" s="17" t="s">
        <v>38</v>
      </c>
      <c r="D6" s="17" t="s">
        <v>34</v>
      </c>
      <c r="E6" s="17" t="s">
        <v>39</v>
      </c>
      <c r="F6" s="17" t="s">
        <v>40</v>
      </c>
      <c r="G6" s="17" t="s">
        <v>29</v>
      </c>
      <c r="H6" s="17"/>
    </row>
    <row r="7" customHeight="1" spans="2:8">
      <c r="B7" s="17" t="s">
        <v>41</v>
      </c>
      <c r="C7" s="17" t="s">
        <v>42</v>
      </c>
      <c r="D7" s="17" t="s">
        <v>34</v>
      </c>
      <c r="E7" s="17" t="s">
        <v>43</v>
      </c>
      <c r="F7" s="17" t="s">
        <v>40</v>
      </c>
      <c r="G7" s="17" t="s">
        <v>29</v>
      </c>
      <c r="H7" s="17"/>
    </row>
    <row r="8" customHeight="1" spans="2:8">
      <c r="B8" s="17" t="s">
        <v>44</v>
      </c>
      <c r="C8" s="17" t="s">
        <v>45</v>
      </c>
      <c r="D8" s="17" t="s">
        <v>46</v>
      </c>
      <c r="E8" s="17" t="s">
        <v>47</v>
      </c>
      <c r="F8" s="17" t="s">
        <v>40</v>
      </c>
      <c r="G8" s="17" t="s">
        <v>48</v>
      </c>
      <c r="H8" s="17"/>
    </row>
    <row r="9" customHeight="1" spans="2:8">
      <c r="B9" s="17" t="s">
        <v>49</v>
      </c>
      <c r="C9" s="17" t="s">
        <v>50</v>
      </c>
      <c r="D9" s="17" t="s">
        <v>46</v>
      </c>
      <c r="E9" s="17" t="s">
        <v>51</v>
      </c>
      <c r="F9" s="17" t="s">
        <v>52</v>
      </c>
      <c r="G9" s="17" t="s">
        <v>48</v>
      </c>
      <c r="H9" s="17"/>
    </row>
    <row r="10" customHeight="1" spans="2:8">
      <c r="B10" s="17" t="s">
        <v>53</v>
      </c>
      <c r="C10" s="17" t="s">
        <v>54</v>
      </c>
      <c r="D10" s="17" t="s">
        <v>46</v>
      </c>
      <c r="E10" s="17" t="s">
        <v>55</v>
      </c>
      <c r="F10" s="17" t="s">
        <v>52</v>
      </c>
      <c r="G10" s="17" t="s">
        <v>48</v>
      </c>
      <c r="H10" s="17"/>
    </row>
    <row r="11" customHeight="1" spans="2:8">
      <c r="B11" s="17" t="s">
        <v>56</v>
      </c>
      <c r="C11" s="17" t="s">
        <v>57</v>
      </c>
      <c r="D11" s="17" t="s">
        <v>58</v>
      </c>
      <c r="E11" s="17" t="s">
        <v>59</v>
      </c>
      <c r="F11" s="17" t="s">
        <v>52</v>
      </c>
      <c r="G11" s="17" t="s">
        <v>60</v>
      </c>
      <c r="H11" s="17"/>
    </row>
    <row r="12" customHeight="1" spans="2:8">
      <c r="B12" s="17" t="s">
        <v>61</v>
      </c>
      <c r="C12" s="17" t="s">
        <v>62</v>
      </c>
      <c r="D12" s="17" t="s">
        <v>58</v>
      </c>
      <c r="E12" s="17" t="s">
        <v>63</v>
      </c>
      <c r="F12" s="17" t="s">
        <v>40</v>
      </c>
      <c r="G12" s="17" t="s">
        <v>60</v>
      </c>
      <c r="H12" s="17"/>
    </row>
    <row r="13" customHeight="1" spans="2:8">
      <c r="B13" s="17" t="s">
        <v>64</v>
      </c>
      <c r="C13" s="17" t="s">
        <v>65</v>
      </c>
      <c r="D13" s="17" t="s">
        <v>58</v>
      </c>
      <c r="E13" s="17" t="s">
        <v>66</v>
      </c>
      <c r="F13" s="17" t="s">
        <v>40</v>
      </c>
      <c r="G13" s="17" t="s">
        <v>29</v>
      </c>
      <c r="H13" s="17"/>
    </row>
    <row r="14" customHeight="1" spans="2:8">
      <c r="B14" s="17" t="s">
        <v>67</v>
      </c>
      <c r="C14" s="17" t="s">
        <v>68</v>
      </c>
      <c r="D14" s="17" t="s">
        <v>69</v>
      </c>
      <c r="E14" s="17" t="s">
        <v>70</v>
      </c>
      <c r="F14" s="17" t="s">
        <v>40</v>
      </c>
      <c r="G14" s="17" t="s">
        <v>29</v>
      </c>
      <c r="H14" s="17"/>
    </row>
    <row r="15" customHeight="1" spans="2:8">
      <c r="B15" s="17" t="s">
        <v>71</v>
      </c>
      <c r="C15" s="17" t="s">
        <v>72</v>
      </c>
      <c r="D15" s="17" t="s">
        <v>69</v>
      </c>
      <c r="E15" s="17" t="s">
        <v>73</v>
      </c>
      <c r="F15" s="17" t="s">
        <v>40</v>
      </c>
      <c r="G15" s="17" t="s">
        <v>29</v>
      </c>
      <c r="H15" s="17"/>
    </row>
    <row r="16" customHeight="1" spans="2:8">
      <c r="B16" s="18"/>
      <c r="C16" s="18"/>
      <c r="D16" s="18"/>
      <c r="E16" s="18"/>
      <c r="F16" s="18"/>
      <c r="G16" s="18"/>
      <c r="H16" s="18"/>
    </row>
    <row r="17" customHeight="1" spans="2:8">
      <c r="B17" s="18"/>
      <c r="C17" s="18"/>
      <c r="D17" s="18"/>
      <c r="E17" s="18"/>
      <c r="F17" s="18"/>
      <c r="G17" s="18"/>
      <c r="H17" s="18"/>
    </row>
    <row r="18" customHeight="1" spans="2:8">
      <c r="B18" s="18"/>
      <c r="C18" s="18"/>
      <c r="D18" s="18"/>
      <c r="E18" s="18"/>
      <c r="F18" s="18"/>
      <c r="G18" s="18"/>
      <c r="H18" s="18"/>
    </row>
    <row r="19" customHeight="1" spans="2:8">
      <c r="B19" s="18"/>
      <c r="C19" s="18"/>
      <c r="D19" s="18"/>
      <c r="E19" s="18"/>
      <c r="F19" s="18"/>
      <c r="G19" s="18"/>
      <c r="H19" s="18"/>
    </row>
    <row r="20" customHeight="1" spans="2:8">
      <c r="B20" s="18"/>
      <c r="C20" s="18"/>
      <c r="D20" s="18"/>
      <c r="E20" s="18"/>
      <c r="F20" s="18"/>
      <c r="G20" s="18"/>
      <c r="H20" s="18"/>
    </row>
    <row r="21" customHeight="1" spans="2:8">
      <c r="B21" s="18"/>
      <c r="C21" s="18"/>
      <c r="D21" s="18"/>
      <c r="E21" s="18"/>
      <c r="F21" s="18"/>
      <c r="G21" s="18"/>
      <c r="H21" s="18"/>
    </row>
    <row r="22" customHeight="1" spans="2:8">
      <c r="B22" s="18"/>
      <c r="C22" s="18"/>
      <c r="D22" s="18"/>
      <c r="E22" s="18"/>
      <c r="F22" s="18"/>
      <c r="G22" s="18"/>
      <c r="H22" s="18"/>
    </row>
    <row r="23" customHeight="1" spans="2:8">
      <c r="B23" s="18"/>
      <c r="C23" s="18"/>
      <c r="D23" s="18"/>
      <c r="E23" s="18"/>
      <c r="F23" s="18"/>
      <c r="G23" s="18"/>
      <c r="H23" s="18"/>
    </row>
    <row r="24" customHeight="1" spans="2:8">
      <c r="B24" s="18"/>
      <c r="C24" s="18"/>
      <c r="D24" s="18"/>
      <c r="E24" s="18"/>
      <c r="F24" s="18"/>
      <c r="G24" s="18"/>
      <c r="H24" s="18"/>
    </row>
    <row r="25" customHeight="1" spans="2:8">
      <c r="B25" s="18"/>
      <c r="C25" s="18"/>
      <c r="D25" s="18"/>
      <c r="E25" s="18"/>
      <c r="F25" s="18"/>
      <c r="G25" s="18"/>
      <c r="H25" s="18"/>
    </row>
    <row r="26" customHeight="1" spans="2:8">
      <c r="B26" s="18"/>
      <c r="C26" s="18"/>
      <c r="D26" s="18"/>
      <c r="E26" s="18"/>
      <c r="F26" s="18"/>
      <c r="G26" s="18"/>
      <c r="H26" s="18"/>
    </row>
    <row r="27" customHeight="1" spans="2:8">
      <c r="B27" s="18"/>
      <c r="C27" s="18"/>
      <c r="D27" s="18"/>
      <c r="E27" s="18"/>
      <c r="F27" s="18"/>
      <c r="G27" s="18"/>
      <c r="H27" s="18"/>
    </row>
    <row r="28" customHeight="1" spans="2:8">
      <c r="B28" s="18"/>
      <c r="C28" s="18"/>
      <c r="D28" s="18"/>
      <c r="E28" s="18"/>
      <c r="F28" s="18"/>
      <c r="G28" s="18"/>
      <c r="H28" s="18"/>
    </row>
    <row r="29" customHeight="1" spans="2:8">
      <c r="B29" s="18"/>
      <c r="C29" s="18"/>
      <c r="D29" s="18"/>
      <c r="E29" s="18"/>
      <c r="F29" s="18"/>
      <c r="G29" s="18"/>
      <c r="H29" s="18"/>
    </row>
    <row r="30" customHeight="1" spans="2:8">
      <c r="B30" s="18"/>
      <c r="C30" s="18"/>
      <c r="D30" s="18"/>
      <c r="E30" s="18"/>
      <c r="F30" s="18"/>
      <c r="G30" s="18"/>
      <c r="H30" s="18"/>
    </row>
    <row r="31" customHeight="1" spans="2:8">
      <c r="B31" s="18"/>
      <c r="C31" s="18"/>
      <c r="D31" s="18"/>
      <c r="E31" s="18"/>
      <c r="F31" s="18"/>
      <c r="G31" s="18"/>
      <c r="H31" s="18"/>
    </row>
    <row r="32" customHeight="1" spans="2:8">
      <c r="B32" s="18"/>
      <c r="C32" s="18"/>
      <c r="D32" s="18"/>
      <c r="E32" s="18"/>
      <c r="F32" s="18"/>
      <c r="G32" s="18"/>
      <c r="H32" s="18"/>
    </row>
    <row r="33" customHeight="1" spans="2:8">
      <c r="B33" s="18"/>
      <c r="C33" s="18"/>
      <c r="D33" s="18"/>
      <c r="E33" s="18"/>
      <c r="F33" s="18"/>
      <c r="G33" s="18"/>
      <c r="H33" s="18"/>
    </row>
    <row r="34" customHeight="1" spans="2:8">
      <c r="B34" s="18"/>
      <c r="C34" s="18"/>
      <c r="D34" s="18"/>
      <c r="E34" s="18"/>
      <c r="F34" s="18"/>
      <c r="G34" s="18"/>
      <c r="H34" s="18"/>
    </row>
    <row r="35" customHeight="1" spans="2:8">
      <c r="B35" s="18"/>
      <c r="C35" s="18"/>
      <c r="D35" s="18"/>
      <c r="E35" s="18"/>
      <c r="F35" s="18"/>
      <c r="G35" s="18"/>
      <c r="H35" s="18"/>
    </row>
    <row r="36" customHeight="1" spans="2:8">
      <c r="B36" s="18"/>
      <c r="C36" s="18"/>
      <c r="D36" s="18"/>
      <c r="E36" s="18"/>
      <c r="F36" s="18"/>
      <c r="G36" s="18"/>
      <c r="H36" s="18"/>
    </row>
    <row r="37" customHeight="1" spans="2:8">
      <c r="B37" s="18"/>
      <c r="C37" s="18"/>
      <c r="D37" s="18"/>
      <c r="E37" s="18"/>
      <c r="F37" s="18"/>
      <c r="G37" s="18"/>
      <c r="H37" s="18"/>
    </row>
    <row r="38" customHeight="1" spans="2:8">
      <c r="B38" s="18"/>
      <c r="C38" s="18"/>
      <c r="D38" s="18"/>
      <c r="E38" s="18"/>
      <c r="F38" s="18"/>
      <c r="G38" s="18"/>
      <c r="H38" s="18"/>
    </row>
    <row r="39" customHeight="1" spans="2:8">
      <c r="B39" s="18"/>
      <c r="C39" s="18"/>
      <c r="D39" s="18"/>
      <c r="E39" s="18"/>
      <c r="F39" s="18"/>
      <c r="G39" s="18"/>
      <c r="H39" s="18"/>
    </row>
    <row r="40" customHeight="1" spans="2:8">
      <c r="B40" s="18"/>
      <c r="C40" s="18"/>
      <c r="D40" s="18"/>
      <c r="E40" s="18"/>
      <c r="F40" s="18"/>
      <c r="G40" s="18"/>
      <c r="H40" s="18"/>
    </row>
    <row r="41" customHeight="1" spans="2:8">
      <c r="B41" s="18"/>
      <c r="C41" s="18"/>
      <c r="D41" s="18"/>
      <c r="E41" s="18"/>
      <c r="F41" s="18"/>
      <c r="G41" s="18"/>
      <c r="H41" s="18"/>
    </row>
    <row r="42" customHeight="1" spans="2:8">
      <c r="B42" s="18"/>
      <c r="C42" s="18"/>
      <c r="D42" s="18"/>
      <c r="E42" s="18"/>
      <c r="F42" s="18"/>
      <c r="G42" s="18"/>
      <c r="H42" s="18"/>
    </row>
    <row r="43" customHeight="1" spans="2:8">
      <c r="B43" s="18"/>
      <c r="C43" s="18"/>
      <c r="D43" s="18"/>
      <c r="E43" s="18"/>
      <c r="F43" s="18"/>
      <c r="G43" s="18"/>
      <c r="H43" s="18"/>
    </row>
    <row r="44" customHeight="1" spans="2:8">
      <c r="B44" s="18"/>
      <c r="C44" s="18"/>
      <c r="D44" s="18"/>
      <c r="E44" s="18"/>
      <c r="F44" s="18"/>
      <c r="G44" s="18"/>
      <c r="H44" s="18"/>
    </row>
    <row r="45" customHeight="1" spans="2:8">
      <c r="B45" s="18"/>
      <c r="C45" s="18"/>
      <c r="D45" s="18"/>
      <c r="E45" s="18"/>
      <c r="F45" s="18"/>
      <c r="G45" s="18"/>
      <c r="H45" s="18"/>
    </row>
    <row r="46" customHeight="1" spans="2:8">
      <c r="B46" s="18"/>
      <c r="C46" s="18"/>
      <c r="D46" s="18"/>
      <c r="E46" s="18"/>
      <c r="F46" s="18"/>
      <c r="G46" s="18"/>
      <c r="H46" s="18"/>
    </row>
    <row r="47" customHeight="1" spans="2:8">
      <c r="B47" s="18"/>
      <c r="C47" s="18"/>
      <c r="D47" s="18"/>
      <c r="E47" s="18"/>
      <c r="F47" s="18"/>
      <c r="G47" s="18"/>
      <c r="H47" s="18"/>
    </row>
    <row r="48" customHeight="1" spans="2:8">
      <c r="B48" s="18"/>
      <c r="C48" s="18"/>
      <c r="D48" s="18"/>
      <c r="E48" s="18"/>
      <c r="F48" s="18"/>
      <c r="G48" s="18"/>
      <c r="H48" s="18"/>
    </row>
    <row r="49" customHeight="1" spans="2:8">
      <c r="B49" s="18"/>
      <c r="C49" s="18"/>
      <c r="D49" s="18"/>
      <c r="E49" s="18"/>
      <c r="F49" s="18"/>
      <c r="G49" s="18"/>
      <c r="H49" s="18"/>
    </row>
    <row r="50" customHeight="1" spans="2:8">
      <c r="B50" s="18"/>
      <c r="C50" s="18"/>
      <c r="D50" s="18"/>
      <c r="E50" s="18"/>
      <c r="F50" s="18"/>
      <c r="G50" s="18"/>
      <c r="H50" s="18"/>
    </row>
    <row r="51" customHeight="1" spans="2:8">
      <c r="B51" s="18"/>
      <c r="C51" s="18"/>
      <c r="D51" s="18"/>
      <c r="E51" s="18"/>
      <c r="F51" s="18"/>
      <c r="G51" s="18"/>
      <c r="H51" s="18"/>
    </row>
    <row r="52" customHeight="1" spans="2:8">
      <c r="B52" s="18"/>
      <c r="C52" s="18"/>
      <c r="D52" s="18"/>
      <c r="E52" s="18"/>
      <c r="F52" s="18"/>
      <c r="G52" s="18"/>
      <c r="H52" s="18"/>
    </row>
    <row r="53" customHeight="1" spans="2:8">
      <c r="B53" s="18"/>
      <c r="C53" s="18"/>
      <c r="D53" s="18"/>
      <c r="E53" s="18"/>
      <c r="F53" s="18"/>
      <c r="G53" s="18"/>
      <c r="H53" s="18"/>
    </row>
    <row r="54" customHeight="1" spans="2:8">
      <c r="B54" s="18"/>
      <c r="C54" s="18"/>
      <c r="D54" s="18"/>
      <c r="E54" s="18"/>
      <c r="F54" s="18"/>
      <c r="G54" s="18"/>
      <c r="H54" s="18"/>
    </row>
    <row r="55" customHeight="1" spans="2:8">
      <c r="B55" s="18"/>
      <c r="C55" s="18"/>
      <c r="D55" s="18"/>
      <c r="E55" s="18"/>
      <c r="F55" s="18"/>
      <c r="G55" s="18"/>
      <c r="H55" s="18"/>
    </row>
    <row r="56" customHeight="1" spans="2:8">
      <c r="B56" s="18"/>
      <c r="C56" s="18"/>
      <c r="D56" s="18"/>
      <c r="E56" s="18"/>
      <c r="F56" s="18"/>
      <c r="G56" s="18"/>
      <c r="H56" s="18"/>
    </row>
    <row r="57" customHeight="1" spans="2:8">
      <c r="B57" s="18"/>
      <c r="C57" s="18"/>
      <c r="D57" s="18"/>
      <c r="E57" s="18"/>
      <c r="F57" s="18"/>
      <c r="G57" s="18"/>
      <c r="H57" s="18"/>
    </row>
    <row r="58" customHeight="1" spans="2:8">
      <c r="B58" s="18"/>
      <c r="C58" s="18"/>
      <c r="D58" s="18"/>
      <c r="E58" s="18"/>
      <c r="F58" s="18"/>
      <c r="G58" s="18"/>
      <c r="H58" s="18"/>
    </row>
    <row r="59" customHeight="1" spans="2:8">
      <c r="B59" s="18"/>
      <c r="C59" s="18"/>
      <c r="D59" s="18"/>
      <c r="E59" s="18"/>
      <c r="F59" s="18"/>
      <c r="G59" s="18"/>
      <c r="H59" s="18"/>
    </row>
    <row r="60" customHeight="1" spans="2:8">
      <c r="B60" s="18"/>
      <c r="C60" s="18"/>
      <c r="D60" s="18"/>
      <c r="E60" s="18"/>
      <c r="F60" s="18"/>
      <c r="G60" s="18"/>
      <c r="H60" s="18"/>
    </row>
    <row r="61" customHeight="1" spans="2:8">
      <c r="B61" s="18"/>
      <c r="C61" s="18"/>
      <c r="D61" s="18"/>
      <c r="E61" s="18"/>
      <c r="F61" s="18"/>
      <c r="G61" s="18"/>
      <c r="H61" s="18"/>
    </row>
    <row r="62" customHeight="1" spans="2:8">
      <c r="B62" s="18"/>
      <c r="C62" s="18"/>
      <c r="D62" s="18"/>
      <c r="E62" s="18"/>
      <c r="F62" s="18"/>
      <c r="G62" s="18"/>
      <c r="H62" s="18"/>
    </row>
    <row r="63" customHeight="1" spans="2:8">
      <c r="B63" s="18"/>
      <c r="C63" s="18"/>
      <c r="D63" s="18"/>
      <c r="E63" s="18"/>
      <c r="F63" s="18"/>
      <c r="G63" s="18"/>
      <c r="H63" s="18"/>
    </row>
    <row r="64" customHeight="1" spans="2:8">
      <c r="B64" s="18"/>
      <c r="C64" s="18"/>
      <c r="D64" s="18"/>
      <c r="E64" s="18"/>
      <c r="F64" s="18"/>
      <c r="G64" s="18"/>
      <c r="H64" s="18"/>
    </row>
    <row r="65" customHeight="1" spans="2:8">
      <c r="B65" s="18"/>
      <c r="C65" s="18"/>
      <c r="D65" s="18"/>
      <c r="E65" s="18"/>
      <c r="F65" s="18"/>
      <c r="G65" s="18"/>
      <c r="H65" s="18"/>
    </row>
    <row r="66" customHeight="1" spans="2:8">
      <c r="B66" s="18"/>
      <c r="C66" s="18"/>
      <c r="D66" s="18"/>
      <c r="E66" s="18"/>
      <c r="F66" s="18"/>
      <c r="G66" s="18"/>
      <c r="H66" s="18"/>
    </row>
    <row r="67" customHeight="1" spans="2:8">
      <c r="B67" s="18"/>
      <c r="C67" s="18"/>
      <c r="D67" s="18"/>
      <c r="E67" s="18"/>
      <c r="F67" s="18"/>
      <c r="G67" s="18"/>
      <c r="H67" s="18"/>
    </row>
    <row r="68" customHeight="1" spans="2:8">
      <c r="B68" s="18"/>
      <c r="C68" s="18"/>
      <c r="D68" s="18"/>
      <c r="E68" s="18"/>
      <c r="F68" s="18"/>
      <c r="G68" s="18"/>
      <c r="H68" s="18"/>
    </row>
    <row r="69" customHeight="1" spans="2:8">
      <c r="B69" s="18"/>
      <c r="C69" s="18"/>
      <c r="D69" s="18"/>
      <c r="E69" s="18"/>
      <c r="F69" s="18"/>
      <c r="G69" s="18"/>
      <c r="H69" s="18"/>
    </row>
    <row r="70" customHeight="1" spans="2:8">
      <c r="B70" s="18"/>
      <c r="C70" s="18"/>
      <c r="D70" s="18"/>
      <c r="E70" s="18"/>
      <c r="F70" s="18"/>
      <c r="G70" s="18"/>
      <c r="H70" s="18"/>
    </row>
    <row r="71" customHeight="1" spans="2:8">
      <c r="B71" s="18"/>
      <c r="C71" s="18"/>
      <c r="D71" s="18"/>
      <c r="E71" s="18"/>
      <c r="F71" s="18"/>
      <c r="G71" s="18"/>
      <c r="H71" s="18"/>
    </row>
    <row r="72" customHeight="1" spans="2:8">
      <c r="B72" s="18"/>
      <c r="C72" s="18"/>
      <c r="D72" s="18"/>
      <c r="E72" s="18"/>
      <c r="F72" s="18"/>
      <c r="G72" s="18"/>
      <c r="H72" s="18"/>
    </row>
    <row r="73" customHeight="1" spans="2:8">
      <c r="B73" s="18"/>
      <c r="C73" s="18"/>
      <c r="D73" s="18"/>
      <c r="E73" s="18"/>
      <c r="F73" s="18"/>
      <c r="G73" s="18"/>
      <c r="H73" s="18"/>
    </row>
    <row r="74" customHeight="1" spans="2:8">
      <c r="B74" s="18"/>
      <c r="C74" s="18"/>
      <c r="D74" s="18"/>
      <c r="E74" s="18"/>
      <c r="F74" s="18"/>
      <c r="G74" s="18"/>
      <c r="H74" s="18"/>
    </row>
    <row r="75" customHeight="1" spans="2:8">
      <c r="B75" s="18"/>
      <c r="C75" s="18"/>
      <c r="D75" s="18"/>
      <c r="E75" s="18"/>
      <c r="F75" s="18"/>
      <c r="G75" s="18"/>
      <c r="H75" s="18"/>
    </row>
    <row r="76" customHeight="1" spans="2:8">
      <c r="B76" s="18"/>
      <c r="C76" s="18"/>
      <c r="D76" s="18"/>
      <c r="E76" s="18"/>
      <c r="F76" s="18"/>
      <c r="G76" s="18"/>
      <c r="H76" s="18"/>
    </row>
    <row r="77" customHeight="1" spans="2:8">
      <c r="B77" s="18"/>
      <c r="C77" s="18"/>
      <c r="D77" s="18"/>
      <c r="E77" s="18"/>
      <c r="F77" s="18"/>
      <c r="G77" s="18"/>
      <c r="H77" s="18"/>
    </row>
    <row r="78" customHeight="1" spans="2:8">
      <c r="B78" s="18"/>
      <c r="C78" s="18"/>
      <c r="D78" s="18"/>
      <c r="E78" s="18"/>
      <c r="F78" s="18"/>
      <c r="G78" s="18"/>
      <c r="H78" s="18"/>
    </row>
    <row r="79" customHeight="1" spans="2:8">
      <c r="B79" s="18"/>
      <c r="C79" s="18"/>
      <c r="D79" s="18"/>
      <c r="E79" s="18"/>
      <c r="F79" s="18"/>
      <c r="G79" s="18"/>
      <c r="H79" s="18"/>
    </row>
    <row r="80" customHeight="1" spans="2:8">
      <c r="B80" s="18"/>
      <c r="C80" s="18"/>
      <c r="D80" s="18"/>
      <c r="E80" s="18"/>
      <c r="F80" s="18"/>
      <c r="G80" s="18"/>
      <c r="H80" s="18"/>
    </row>
    <row r="81" customHeight="1" spans="2:8">
      <c r="B81" s="18"/>
      <c r="C81" s="18"/>
      <c r="D81" s="18"/>
      <c r="E81" s="18"/>
      <c r="F81" s="18"/>
      <c r="G81" s="18"/>
      <c r="H81" s="18"/>
    </row>
    <row r="82" customHeight="1" spans="2:8">
      <c r="B82" s="18"/>
      <c r="C82" s="18"/>
      <c r="D82" s="18"/>
      <c r="E82" s="18"/>
      <c r="F82" s="18"/>
      <c r="G82" s="18"/>
      <c r="H82" s="18"/>
    </row>
    <row r="83" customHeight="1" spans="2:8">
      <c r="B83" s="18"/>
      <c r="C83" s="18"/>
      <c r="D83" s="18"/>
      <c r="E83" s="18"/>
      <c r="F83" s="18"/>
      <c r="G83" s="18"/>
      <c r="H83" s="18"/>
    </row>
    <row r="84" customHeight="1" spans="2:8">
      <c r="B84" s="18"/>
      <c r="C84" s="18"/>
      <c r="D84" s="18"/>
      <c r="E84" s="18"/>
      <c r="F84" s="18"/>
      <c r="G84" s="18"/>
      <c r="H84" s="18"/>
    </row>
    <row r="85" customHeight="1" spans="2:8">
      <c r="B85" s="18"/>
      <c r="C85" s="18"/>
      <c r="D85" s="18"/>
      <c r="E85" s="18"/>
      <c r="F85" s="18"/>
      <c r="G85" s="18"/>
      <c r="H85" s="18"/>
    </row>
    <row r="86" customHeight="1" spans="2:8">
      <c r="B86" s="18"/>
      <c r="C86" s="18"/>
      <c r="D86" s="18"/>
      <c r="E86" s="18"/>
      <c r="F86" s="18"/>
      <c r="G86" s="18"/>
      <c r="H86" s="18"/>
    </row>
    <row r="87" customHeight="1" spans="2:8">
      <c r="B87" s="18"/>
      <c r="C87" s="18"/>
      <c r="D87" s="18"/>
      <c r="E87" s="18"/>
      <c r="F87" s="18"/>
      <c r="G87" s="18"/>
      <c r="H87" s="18"/>
    </row>
    <row r="88" customHeight="1" spans="2:8">
      <c r="B88" s="18"/>
      <c r="C88" s="18"/>
      <c r="D88" s="18"/>
      <c r="E88" s="18"/>
      <c r="F88" s="18"/>
      <c r="G88" s="18"/>
      <c r="H88" s="18"/>
    </row>
    <row r="89" customHeight="1" spans="2:8">
      <c r="B89" s="18"/>
      <c r="C89" s="18"/>
      <c r="D89" s="18"/>
      <c r="E89" s="18"/>
      <c r="F89" s="18"/>
      <c r="G89" s="18"/>
      <c r="H89" s="18"/>
    </row>
    <row r="90" customHeight="1" spans="2:8">
      <c r="B90" s="18"/>
      <c r="C90" s="18"/>
      <c r="D90" s="18"/>
      <c r="E90" s="18"/>
      <c r="F90" s="18"/>
      <c r="G90" s="18"/>
      <c r="H90" s="18"/>
    </row>
    <row r="91" customHeight="1" spans="2:8">
      <c r="B91" s="18"/>
      <c r="C91" s="18"/>
      <c r="D91" s="18"/>
      <c r="E91" s="18"/>
      <c r="F91" s="18"/>
      <c r="G91" s="18"/>
      <c r="H91" s="18"/>
    </row>
    <row r="92" customHeight="1" spans="2:8">
      <c r="B92" s="18"/>
      <c r="C92" s="18"/>
      <c r="D92" s="18"/>
      <c r="E92" s="18"/>
      <c r="F92" s="18"/>
      <c r="G92" s="18"/>
      <c r="H92" s="18"/>
    </row>
    <row r="93" customHeight="1" spans="2:8">
      <c r="B93" s="18"/>
      <c r="C93" s="18"/>
      <c r="D93" s="18"/>
      <c r="E93" s="18"/>
      <c r="F93" s="18"/>
      <c r="G93" s="18"/>
      <c r="H93" s="18"/>
    </row>
    <row r="94" customHeight="1" spans="2:8">
      <c r="B94" s="19"/>
      <c r="C94" s="19"/>
      <c r="D94" s="19"/>
      <c r="E94" s="19"/>
      <c r="F94" s="19"/>
      <c r="G94" s="19"/>
      <c r="H94" s="19"/>
    </row>
    <row r="95" customHeight="1" spans="2:8">
      <c r="B95" s="18"/>
      <c r="C95" s="18"/>
      <c r="D95" s="18"/>
      <c r="E95" s="18"/>
      <c r="F95" s="18"/>
      <c r="G95" s="18"/>
      <c r="H95" s="18"/>
    </row>
    <row r="96" customHeight="1" spans="2:8">
      <c r="B96" s="18"/>
      <c r="C96" s="18"/>
      <c r="D96" s="18"/>
      <c r="E96" s="18"/>
      <c r="F96" s="18"/>
      <c r="G96" s="18"/>
      <c r="H96" s="18"/>
    </row>
    <row r="97" customHeight="1" spans="2:8">
      <c r="B97" s="18"/>
      <c r="C97" s="18"/>
      <c r="D97" s="18"/>
      <c r="E97" s="18"/>
      <c r="F97" s="18"/>
      <c r="G97" s="18"/>
      <c r="H97" s="18"/>
    </row>
    <row r="98" customHeight="1" spans="2:8">
      <c r="B98" s="18"/>
      <c r="C98" s="18"/>
      <c r="D98" s="18"/>
      <c r="E98" s="18"/>
      <c r="F98" s="18"/>
      <c r="G98" s="18"/>
      <c r="H98" s="18"/>
    </row>
    <row r="99" customHeight="1" spans="2:8">
      <c r="B99" s="18"/>
      <c r="C99" s="18"/>
      <c r="D99" s="18"/>
      <c r="E99" s="18"/>
      <c r="F99" s="18"/>
      <c r="G99" s="18"/>
      <c r="H99" s="18"/>
    </row>
    <row r="100" customHeight="1" spans="2:8">
      <c r="B100" s="18"/>
      <c r="C100" s="18"/>
      <c r="D100" s="18"/>
      <c r="E100" s="18"/>
      <c r="F100" s="18"/>
      <c r="G100" s="18"/>
      <c r="H100" s="18"/>
    </row>
    <row r="101" customHeight="1" spans="2:8">
      <c r="B101" s="18"/>
      <c r="C101" s="18"/>
      <c r="D101" s="18"/>
      <c r="E101" s="18"/>
      <c r="F101" s="18"/>
      <c r="G101" s="18"/>
      <c r="H101" s="18"/>
    </row>
    <row r="102" customHeight="1" spans="2:8">
      <c r="B102" s="18"/>
      <c r="C102" s="18"/>
      <c r="D102" s="18"/>
      <c r="E102" s="18"/>
      <c r="F102" s="18"/>
      <c r="G102" s="18"/>
      <c r="H102" s="18"/>
    </row>
    <row r="103" customHeight="1" spans="2:8">
      <c r="B103" s="18"/>
      <c r="C103" s="18"/>
      <c r="D103" s="18"/>
      <c r="E103" s="18"/>
      <c r="F103" s="18"/>
      <c r="G103" s="18"/>
      <c r="H103" s="18"/>
    </row>
    <row r="104" customHeight="1" spans="2:8">
      <c r="B104" s="18"/>
      <c r="C104" s="18"/>
      <c r="D104" s="18"/>
      <c r="E104" s="18"/>
      <c r="F104" s="18"/>
      <c r="G104" s="18"/>
      <c r="H104" s="18"/>
    </row>
    <row r="105" customHeight="1" spans="2:8">
      <c r="B105" s="18"/>
      <c r="C105" s="18"/>
      <c r="D105" s="18"/>
      <c r="E105" s="18"/>
      <c r="F105" s="18"/>
      <c r="G105" s="18"/>
      <c r="H105" s="18"/>
    </row>
    <row r="106" customHeight="1" spans="2:8">
      <c r="B106" s="18"/>
      <c r="C106" s="18"/>
      <c r="D106" s="18"/>
      <c r="E106" s="18"/>
      <c r="F106" s="18"/>
      <c r="G106" s="18"/>
      <c r="H106" s="18"/>
    </row>
    <row r="107" customHeight="1" spans="2:8">
      <c r="B107" s="18"/>
      <c r="C107" s="18"/>
      <c r="D107" s="18"/>
      <c r="E107" s="18"/>
      <c r="F107" s="18"/>
      <c r="G107" s="18"/>
      <c r="H107" s="18"/>
    </row>
    <row r="108" customHeight="1" spans="2:8">
      <c r="B108" s="18"/>
      <c r="C108" s="18"/>
      <c r="D108" s="18"/>
      <c r="E108" s="18"/>
      <c r="F108" s="18"/>
      <c r="G108" s="18"/>
      <c r="H108" s="18"/>
    </row>
    <row r="109" customHeight="1" spans="2:8">
      <c r="B109" s="18"/>
      <c r="C109" s="18"/>
      <c r="D109" s="18"/>
      <c r="E109" s="18"/>
      <c r="F109" s="18"/>
      <c r="G109" s="18"/>
      <c r="H109" s="18"/>
    </row>
    <row r="110" customHeight="1" spans="2:8">
      <c r="B110" s="18"/>
      <c r="C110" s="18"/>
      <c r="D110" s="18"/>
      <c r="E110" s="18"/>
      <c r="F110" s="18"/>
      <c r="G110" s="18"/>
      <c r="H110" s="18"/>
    </row>
    <row r="111" customHeight="1" spans="2:8">
      <c r="B111" s="18"/>
      <c r="C111" s="18"/>
      <c r="D111" s="18"/>
      <c r="E111" s="18"/>
      <c r="F111" s="18"/>
      <c r="G111" s="18"/>
      <c r="H111" s="18"/>
    </row>
    <row r="112" customHeight="1" spans="2:8">
      <c r="B112" s="18"/>
      <c r="C112" s="18"/>
      <c r="D112" s="18"/>
      <c r="E112" s="18"/>
      <c r="F112" s="18"/>
      <c r="G112" s="18"/>
      <c r="H112" s="18"/>
    </row>
    <row r="113" customHeight="1" spans="2:8">
      <c r="B113" s="18"/>
      <c r="C113" s="18"/>
      <c r="D113" s="18"/>
      <c r="E113" s="18"/>
      <c r="F113" s="18"/>
      <c r="G113" s="18"/>
      <c r="H113" s="18"/>
    </row>
    <row r="114" customHeight="1" spans="2:8">
      <c r="B114" s="18"/>
      <c r="C114" s="18"/>
      <c r="D114" s="18"/>
      <c r="E114" s="18"/>
      <c r="F114" s="18"/>
      <c r="G114" s="18"/>
      <c r="H114" s="18"/>
    </row>
    <row r="115" customHeight="1" spans="2:8">
      <c r="B115" s="18"/>
      <c r="C115" s="18"/>
      <c r="D115" s="18"/>
      <c r="E115" s="18"/>
      <c r="F115" s="18"/>
      <c r="G115" s="18"/>
      <c r="H115" s="18"/>
    </row>
    <row r="116" customHeight="1" spans="2:8">
      <c r="B116" s="18"/>
      <c r="C116" s="18"/>
      <c r="D116" s="18"/>
      <c r="E116" s="18"/>
      <c r="F116" s="18"/>
      <c r="G116" s="18"/>
      <c r="H116" s="18"/>
    </row>
    <row r="117" customHeight="1" spans="2:8">
      <c r="B117" s="18"/>
      <c r="C117" s="18"/>
      <c r="D117" s="18"/>
      <c r="E117" s="18"/>
      <c r="F117" s="18"/>
      <c r="G117" s="18"/>
      <c r="H117" s="18"/>
    </row>
    <row r="118" customHeight="1" spans="2:8">
      <c r="B118" s="18"/>
      <c r="C118" s="18"/>
      <c r="D118" s="18"/>
      <c r="E118" s="18"/>
      <c r="F118" s="18"/>
      <c r="G118" s="18"/>
      <c r="H118" s="18"/>
    </row>
    <row r="119" customHeight="1" spans="2:8">
      <c r="B119" s="18"/>
      <c r="C119" s="18"/>
      <c r="D119" s="18"/>
      <c r="E119" s="18"/>
      <c r="F119" s="18"/>
      <c r="G119" s="18"/>
      <c r="H119" s="18"/>
    </row>
  </sheetData>
  <sheetProtection formatCells="0" insertHyperlinks="0" autoFilter="0"/>
  <pageMargins left="0.747916666666667" right="0.747916666666667" top="0.984027777777778" bottom="0.984027777777778" header="0.510416666666667" footer="0.510416666666667"/>
  <pageSetup paperSize="9" orientation="landscape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topLeftCell="B1" workbookViewId="0">
      <selection activeCell="H30" sqref="H30"/>
    </sheetView>
  </sheetViews>
  <sheetFormatPr defaultColWidth="9" defaultRowHeight="13.5"/>
  <cols>
    <col min="1" max="1" width="12.4416666666667" customWidth="1"/>
    <col min="2" max="2" width="12.5" customWidth="1"/>
    <col min="3" max="3" width="16.6666666666667" customWidth="1"/>
    <col min="4" max="4" width="13.4416666666667" customWidth="1"/>
    <col min="11" max="11" width="7.775" customWidth="1"/>
    <col min="15" max="15" width="12.6333333333333" customWidth="1"/>
    <col min="17" max="17" width="6.44166666666667" customWidth="1"/>
    <col min="18" max="18" width="7" customWidth="1"/>
    <col min="19" max="19" width="12" customWidth="1"/>
  </cols>
  <sheetData>
    <row r="1" s="11" customFormat="1" ht="14.25" spans="1:19">
      <c r="A1" s="11" t="s">
        <v>74</v>
      </c>
      <c r="B1" s="11" t="s">
        <v>75</v>
      </c>
      <c r="C1" s="11" t="s">
        <v>76</v>
      </c>
      <c r="D1" s="11" t="s">
        <v>77</v>
      </c>
      <c r="E1" s="11" t="s">
        <v>78</v>
      </c>
      <c r="F1" s="11" t="s">
        <v>79</v>
      </c>
      <c r="G1" s="11" t="s">
        <v>80</v>
      </c>
      <c r="H1" s="11" t="s">
        <v>81</v>
      </c>
      <c r="I1" s="11" t="s">
        <v>82</v>
      </c>
      <c r="J1" s="11" t="s">
        <v>83</v>
      </c>
      <c r="K1" s="11" t="s">
        <v>84</v>
      </c>
      <c r="L1" s="11" t="s">
        <v>85</v>
      </c>
      <c r="M1" s="11" t="s">
        <v>86</v>
      </c>
      <c r="N1" s="11" t="s">
        <v>87</v>
      </c>
      <c r="O1" s="11" t="s">
        <v>88</v>
      </c>
      <c r="P1" s="11" t="s">
        <v>89</v>
      </c>
      <c r="Q1" s="11" t="s">
        <v>90</v>
      </c>
      <c r="R1" s="11" t="s">
        <v>91</v>
      </c>
      <c r="S1" s="11" t="s">
        <v>92</v>
      </c>
    </row>
    <row r="2" spans="1:19">
      <c r="A2" t="str">
        <f>B2&amp;S2</f>
        <v>44621SKU1</v>
      </c>
      <c r="B2" s="12">
        <v>44621</v>
      </c>
      <c r="C2" s="13" t="s">
        <v>27</v>
      </c>
      <c r="D2" s="13" t="s">
        <v>27</v>
      </c>
      <c r="E2" s="13" t="s">
        <v>93</v>
      </c>
      <c r="G2" s="13"/>
      <c r="I2" s="13"/>
      <c r="K2" s="13">
        <v>60</v>
      </c>
      <c r="Q2" s="13"/>
      <c r="S2" t="str">
        <f>INDEX(SKU信息!B:B,MATCH(D2,SKU信息!E:E,0))</f>
        <v>SKU1</v>
      </c>
    </row>
    <row r="3" spans="1:19">
      <c r="A3" t="str">
        <f t="shared" ref="A3:A63" si="0">B3&amp;S3</f>
        <v>44622SKU1</v>
      </c>
      <c r="B3" s="12">
        <v>44622</v>
      </c>
      <c r="C3" s="13" t="s">
        <v>27</v>
      </c>
      <c r="D3" s="13" t="s">
        <v>27</v>
      </c>
      <c r="E3" s="13" t="s">
        <v>93</v>
      </c>
      <c r="G3" s="13"/>
      <c r="I3" s="13"/>
      <c r="K3" s="13">
        <v>60</v>
      </c>
      <c r="Q3" s="13"/>
      <c r="S3" t="str">
        <f>INDEX(SKU信息!B:B,MATCH(D3,SKU信息!E:E,0))</f>
        <v>SKU1</v>
      </c>
    </row>
    <row r="4" spans="1:19">
      <c r="A4" t="str">
        <f t="shared" si="0"/>
        <v>44623SKU1</v>
      </c>
      <c r="B4" s="12">
        <v>44623</v>
      </c>
      <c r="C4" s="13" t="s">
        <v>27</v>
      </c>
      <c r="D4" s="13" t="s">
        <v>27</v>
      </c>
      <c r="E4" s="13" t="s">
        <v>93</v>
      </c>
      <c r="G4" s="13"/>
      <c r="I4" s="13"/>
      <c r="K4" s="13">
        <v>60</v>
      </c>
      <c r="Q4" s="13"/>
      <c r="S4" t="str">
        <f>INDEX(SKU信息!B:B,MATCH(D4,SKU信息!E:E,0))</f>
        <v>SKU1</v>
      </c>
    </row>
    <row r="5" spans="1:19">
      <c r="A5" t="str">
        <f t="shared" si="0"/>
        <v>44624SKU1</v>
      </c>
      <c r="B5" s="12">
        <v>44624</v>
      </c>
      <c r="C5" s="13" t="s">
        <v>27</v>
      </c>
      <c r="D5" s="13" t="s">
        <v>27</v>
      </c>
      <c r="E5" s="13" t="s">
        <v>93</v>
      </c>
      <c r="G5" s="13"/>
      <c r="I5" s="13"/>
      <c r="K5" s="13">
        <v>60</v>
      </c>
      <c r="Q5" s="13"/>
      <c r="S5" t="str">
        <f>INDEX(SKU信息!B:B,MATCH(D5,SKU信息!E:E,0))</f>
        <v>SKU1</v>
      </c>
    </row>
    <row r="6" spans="1:19">
      <c r="A6" t="str">
        <f t="shared" si="0"/>
        <v>44625SKU1</v>
      </c>
      <c r="B6" s="12">
        <v>44625</v>
      </c>
      <c r="C6" s="13" t="s">
        <v>27</v>
      </c>
      <c r="D6" s="13" t="s">
        <v>27</v>
      </c>
      <c r="E6" s="13" t="s">
        <v>93</v>
      </c>
      <c r="F6" s="13"/>
      <c r="G6" s="13"/>
      <c r="H6" s="13"/>
      <c r="I6" s="13"/>
      <c r="K6" s="13">
        <v>60</v>
      </c>
      <c r="Q6" s="13"/>
      <c r="S6" t="str">
        <f>INDEX(SKU信息!B:B,MATCH(D6,SKU信息!E:E,0))</f>
        <v>SKU1</v>
      </c>
    </row>
    <row r="7" spans="1:19">
      <c r="A7" t="str">
        <f t="shared" si="0"/>
        <v>44626SKU1</v>
      </c>
      <c r="B7" s="12">
        <v>44626</v>
      </c>
      <c r="C7" s="13" t="s">
        <v>27</v>
      </c>
      <c r="D7" s="13" t="s">
        <v>27</v>
      </c>
      <c r="E7" s="13" t="s">
        <v>93</v>
      </c>
      <c r="K7" s="13">
        <v>60</v>
      </c>
      <c r="Q7" s="13"/>
      <c r="S7" t="str">
        <f>INDEX(SKU信息!B:B,MATCH(D7,SKU信息!E:E,0))</f>
        <v>SKU1</v>
      </c>
    </row>
    <row r="8" spans="1:19">
      <c r="A8" t="str">
        <f t="shared" si="0"/>
        <v>44627SKU1</v>
      </c>
      <c r="B8" s="12">
        <v>44627</v>
      </c>
      <c r="C8" s="13" t="s">
        <v>27</v>
      </c>
      <c r="D8" s="13" t="s">
        <v>27</v>
      </c>
      <c r="E8" s="13" t="s">
        <v>93</v>
      </c>
      <c r="F8" s="13"/>
      <c r="G8" s="13"/>
      <c r="H8" s="13"/>
      <c r="I8" s="13"/>
      <c r="K8" s="13">
        <v>60</v>
      </c>
      <c r="Q8" s="13"/>
      <c r="S8" t="str">
        <f>INDEX(SKU信息!B:B,MATCH(D8,SKU信息!E:E,0))</f>
        <v>SKU1</v>
      </c>
    </row>
    <row r="9" spans="1:19">
      <c r="A9" t="str">
        <f t="shared" si="0"/>
        <v>44628SKU1</v>
      </c>
      <c r="B9" s="12">
        <v>44628</v>
      </c>
      <c r="C9" s="13" t="s">
        <v>27</v>
      </c>
      <c r="D9" s="13" t="s">
        <v>27</v>
      </c>
      <c r="E9" s="13" t="s">
        <v>93</v>
      </c>
      <c r="K9" s="13">
        <v>60</v>
      </c>
      <c r="Q9" s="13"/>
      <c r="S9" t="str">
        <f>INDEX(SKU信息!B:B,MATCH(D9,SKU信息!E:E,0))</f>
        <v>SKU1</v>
      </c>
    </row>
    <row r="10" spans="1:19">
      <c r="A10" t="str">
        <f t="shared" si="0"/>
        <v>44629SKU1</v>
      </c>
      <c r="B10" s="12">
        <v>44629</v>
      </c>
      <c r="C10" s="13" t="s">
        <v>27</v>
      </c>
      <c r="D10" s="13" t="s">
        <v>27</v>
      </c>
      <c r="E10" s="13" t="s">
        <v>93</v>
      </c>
      <c r="F10" s="13"/>
      <c r="G10" s="13"/>
      <c r="H10" s="13"/>
      <c r="I10" s="13"/>
      <c r="K10" s="13">
        <v>60</v>
      </c>
      <c r="Q10" s="13"/>
      <c r="S10" t="str">
        <f>INDEX(SKU信息!B:B,MATCH(D10,SKU信息!E:E,0))</f>
        <v>SKU1</v>
      </c>
    </row>
    <row r="11" spans="1:19">
      <c r="A11" t="str">
        <f t="shared" si="0"/>
        <v>44630SKU1</v>
      </c>
      <c r="B11" s="12">
        <v>44630</v>
      </c>
      <c r="C11" s="13" t="s">
        <v>27</v>
      </c>
      <c r="D11" s="13" t="s">
        <v>27</v>
      </c>
      <c r="E11" s="13" t="s">
        <v>93</v>
      </c>
      <c r="K11" s="13">
        <v>60</v>
      </c>
      <c r="Q11" s="13"/>
      <c r="S11" t="str">
        <f>INDEX(SKU信息!B:B,MATCH(D11,SKU信息!E:E,0))</f>
        <v>SKU1</v>
      </c>
    </row>
    <row r="12" spans="1:19">
      <c r="A12" t="str">
        <f t="shared" si="0"/>
        <v>44631SKU1</v>
      </c>
      <c r="B12" s="12">
        <v>44631</v>
      </c>
      <c r="C12" s="13" t="s">
        <v>27</v>
      </c>
      <c r="D12" s="13" t="s">
        <v>27</v>
      </c>
      <c r="E12" s="13" t="s">
        <v>93</v>
      </c>
      <c r="K12" s="13">
        <v>60</v>
      </c>
      <c r="Q12" s="13"/>
      <c r="S12" t="str">
        <f>INDEX(SKU信息!B:B,MATCH(D12,SKU信息!E:E,0))</f>
        <v>SKU1</v>
      </c>
    </row>
    <row r="13" spans="1:19">
      <c r="A13" t="str">
        <f t="shared" si="0"/>
        <v>44632SKU1</v>
      </c>
      <c r="B13" s="12">
        <v>44632</v>
      </c>
      <c r="C13" s="13" t="s">
        <v>27</v>
      </c>
      <c r="D13" s="13" t="s">
        <v>27</v>
      </c>
      <c r="E13" s="13" t="s">
        <v>93</v>
      </c>
      <c r="K13" s="13">
        <v>120</v>
      </c>
      <c r="Q13" s="13"/>
      <c r="S13" t="str">
        <f>INDEX(SKU信息!B:B,MATCH(D13,SKU信息!E:E,0))</f>
        <v>SKU1</v>
      </c>
    </row>
    <row r="14" spans="1:19">
      <c r="A14" t="str">
        <f t="shared" si="0"/>
        <v>44633SKU1</v>
      </c>
      <c r="B14" s="12">
        <v>44633</v>
      </c>
      <c r="C14" s="13" t="s">
        <v>27</v>
      </c>
      <c r="D14" s="13" t="s">
        <v>27</v>
      </c>
      <c r="E14" s="13" t="s">
        <v>93</v>
      </c>
      <c r="F14" s="13"/>
      <c r="G14" s="13"/>
      <c r="H14" s="13"/>
      <c r="I14" s="13"/>
      <c r="K14" s="13">
        <v>110</v>
      </c>
      <c r="Q14" s="13"/>
      <c r="S14" t="str">
        <f>INDEX(SKU信息!B:B,MATCH(D14,SKU信息!E:E,0))</f>
        <v>SKU1</v>
      </c>
    </row>
    <row r="15" spans="1:19">
      <c r="A15" t="str">
        <f t="shared" si="0"/>
        <v>44634SKU1</v>
      </c>
      <c r="B15" s="12">
        <v>44634</v>
      </c>
      <c r="C15" s="13" t="s">
        <v>27</v>
      </c>
      <c r="D15" s="13" t="s">
        <v>27</v>
      </c>
      <c r="E15" s="13" t="s">
        <v>93</v>
      </c>
      <c r="K15" s="13">
        <v>100</v>
      </c>
      <c r="Q15" s="13"/>
      <c r="S15" t="str">
        <f>INDEX(SKU信息!B:B,MATCH(D15,SKU信息!E:E,0))</f>
        <v>SKU1</v>
      </c>
    </row>
    <row r="16" spans="1:19">
      <c r="A16" t="str">
        <f t="shared" si="0"/>
        <v>44635SKU1</v>
      </c>
      <c r="B16" s="12">
        <v>44635</v>
      </c>
      <c r="C16" s="13" t="s">
        <v>27</v>
      </c>
      <c r="D16" s="13" t="s">
        <v>27</v>
      </c>
      <c r="E16" s="13" t="s">
        <v>93</v>
      </c>
      <c r="K16" s="13">
        <v>80</v>
      </c>
      <c r="Q16" s="13"/>
      <c r="S16" t="str">
        <f>INDEX(SKU信息!B:B,MATCH(D16,SKU信息!E:E,0))</f>
        <v>SKU1</v>
      </c>
    </row>
    <row r="17" spans="1:19">
      <c r="A17" t="str">
        <f t="shared" si="0"/>
        <v>44636SKU1</v>
      </c>
      <c r="B17" s="12">
        <v>44636</v>
      </c>
      <c r="C17" s="13" t="s">
        <v>27</v>
      </c>
      <c r="D17" s="13" t="s">
        <v>27</v>
      </c>
      <c r="E17" s="13" t="s">
        <v>93</v>
      </c>
      <c r="K17" s="13">
        <v>75</v>
      </c>
      <c r="Q17" s="13"/>
      <c r="S17" t="str">
        <f>INDEX(SKU信息!B:B,MATCH(D17,SKU信息!E:E,0))</f>
        <v>SKU1</v>
      </c>
    </row>
    <row r="18" spans="1:19">
      <c r="A18" t="str">
        <f t="shared" si="0"/>
        <v>44637SKU1</v>
      </c>
      <c r="B18" s="12">
        <v>44637</v>
      </c>
      <c r="C18" s="13" t="s">
        <v>27</v>
      </c>
      <c r="D18" s="13" t="s">
        <v>27</v>
      </c>
      <c r="E18" s="13" t="s">
        <v>93</v>
      </c>
      <c r="K18" s="13">
        <v>76</v>
      </c>
      <c r="Q18" s="13"/>
      <c r="S18" t="str">
        <f>INDEX(SKU信息!B:B,MATCH(D18,SKU信息!E:E,0))</f>
        <v>SKU1</v>
      </c>
    </row>
    <row r="19" spans="1:19">
      <c r="A19" t="str">
        <f t="shared" si="0"/>
        <v>44638SKU1</v>
      </c>
      <c r="B19" s="12">
        <v>44638</v>
      </c>
      <c r="C19" s="13" t="s">
        <v>27</v>
      </c>
      <c r="D19" s="13" t="s">
        <v>27</v>
      </c>
      <c r="E19" s="13" t="s">
        <v>93</v>
      </c>
      <c r="K19" s="13">
        <v>77</v>
      </c>
      <c r="Q19" s="13"/>
      <c r="S19" t="str">
        <f>INDEX(SKU信息!B:B,MATCH(D19,SKU信息!E:E,0))</f>
        <v>SKU1</v>
      </c>
    </row>
    <row r="20" spans="1:19">
      <c r="A20" t="str">
        <f t="shared" si="0"/>
        <v>44639SKU1</v>
      </c>
      <c r="B20" s="12">
        <v>44639</v>
      </c>
      <c r="C20" s="13" t="s">
        <v>27</v>
      </c>
      <c r="D20" s="13" t="s">
        <v>27</v>
      </c>
      <c r="E20" s="13" t="s">
        <v>93</v>
      </c>
      <c r="K20" s="13">
        <v>78</v>
      </c>
      <c r="Q20" s="13"/>
      <c r="S20" t="str">
        <f>INDEX(SKU信息!B:B,MATCH(D20,SKU信息!E:E,0))</f>
        <v>SKU1</v>
      </c>
    </row>
    <row r="21" spans="1:19">
      <c r="A21" t="str">
        <f t="shared" si="0"/>
        <v>44640SKU1</v>
      </c>
      <c r="B21" s="12">
        <v>44640</v>
      </c>
      <c r="C21" s="13" t="s">
        <v>27</v>
      </c>
      <c r="D21" s="13" t="s">
        <v>27</v>
      </c>
      <c r="E21" s="13" t="s">
        <v>93</v>
      </c>
      <c r="K21" s="13">
        <v>79</v>
      </c>
      <c r="Q21" s="13"/>
      <c r="S21" t="str">
        <f>INDEX(SKU信息!B:B,MATCH(D21,SKU信息!E:E,0))</f>
        <v>SKU1</v>
      </c>
    </row>
    <row r="22" spans="1:19">
      <c r="A22" t="str">
        <f t="shared" si="0"/>
        <v>44641SKU1</v>
      </c>
      <c r="B22" s="12">
        <v>44641</v>
      </c>
      <c r="C22" s="13" t="s">
        <v>27</v>
      </c>
      <c r="D22" s="13" t="s">
        <v>27</v>
      </c>
      <c r="E22" s="13" t="s">
        <v>93</v>
      </c>
      <c r="K22" s="13">
        <v>130</v>
      </c>
      <c r="Q22" s="13"/>
      <c r="S22" t="str">
        <f>INDEX(SKU信息!B:B,MATCH(D22,SKU信息!E:E,0))</f>
        <v>SKU1</v>
      </c>
    </row>
    <row r="23" spans="1:19">
      <c r="A23" t="str">
        <f t="shared" si="0"/>
        <v>44642SKU1</v>
      </c>
      <c r="B23" s="12">
        <v>44642</v>
      </c>
      <c r="C23" s="13" t="s">
        <v>27</v>
      </c>
      <c r="D23" s="13" t="s">
        <v>27</v>
      </c>
      <c r="E23" s="13" t="s">
        <v>93</v>
      </c>
      <c r="K23" s="13">
        <v>120</v>
      </c>
      <c r="Q23" s="13"/>
      <c r="S23" t="str">
        <f>INDEX(SKU信息!B:B,MATCH(D23,SKU信息!E:E,0))</f>
        <v>SKU1</v>
      </c>
    </row>
    <row r="24" spans="1:19">
      <c r="A24" t="str">
        <f t="shared" si="0"/>
        <v>44643SKU1</v>
      </c>
      <c r="B24" s="12">
        <v>44643</v>
      </c>
      <c r="C24" s="13" t="s">
        <v>27</v>
      </c>
      <c r="D24" s="13" t="s">
        <v>27</v>
      </c>
      <c r="E24" s="13" t="s">
        <v>93</v>
      </c>
      <c r="K24" s="13">
        <v>110</v>
      </c>
      <c r="Q24" s="13"/>
      <c r="S24" t="str">
        <f>INDEX(SKU信息!B:B,MATCH(D24,SKU信息!E:E,0))</f>
        <v>SKU1</v>
      </c>
    </row>
    <row r="25" spans="1:19">
      <c r="A25" t="str">
        <f t="shared" si="0"/>
        <v>44644SKU1</v>
      </c>
      <c r="B25" s="12">
        <v>44644</v>
      </c>
      <c r="C25" s="13" t="s">
        <v>27</v>
      </c>
      <c r="D25" s="13" t="s">
        <v>27</v>
      </c>
      <c r="E25" s="13" t="s">
        <v>93</v>
      </c>
      <c r="K25" s="13">
        <v>90</v>
      </c>
      <c r="Q25" s="13"/>
      <c r="S25" t="str">
        <f>INDEX(SKU信息!B:B,MATCH(D25,SKU信息!E:E,0))</f>
        <v>SKU1</v>
      </c>
    </row>
    <row r="26" spans="1:19">
      <c r="A26" t="str">
        <f t="shared" si="0"/>
        <v>44645SKU1</v>
      </c>
      <c r="B26" s="12">
        <v>44645</v>
      </c>
      <c r="C26" s="13" t="s">
        <v>27</v>
      </c>
      <c r="D26" s="13" t="s">
        <v>27</v>
      </c>
      <c r="E26" s="13" t="s">
        <v>93</v>
      </c>
      <c r="K26" s="13">
        <v>85</v>
      </c>
      <c r="Q26" s="13"/>
      <c r="S26" t="str">
        <f>INDEX(SKU信息!B:B,MATCH(D26,SKU信息!E:E,0))</f>
        <v>SKU1</v>
      </c>
    </row>
    <row r="27" spans="1:19">
      <c r="A27" t="str">
        <f t="shared" si="0"/>
        <v>44646SKU1</v>
      </c>
      <c r="B27" s="12">
        <v>44646</v>
      </c>
      <c r="C27" s="13" t="s">
        <v>27</v>
      </c>
      <c r="D27" s="13" t="s">
        <v>27</v>
      </c>
      <c r="E27" s="13" t="s">
        <v>93</v>
      </c>
      <c r="K27" s="13">
        <v>86</v>
      </c>
      <c r="Q27" s="13"/>
      <c r="S27" t="str">
        <f>INDEX(SKU信息!B:B,MATCH(D27,SKU信息!E:E,0))</f>
        <v>SKU1</v>
      </c>
    </row>
    <row r="28" spans="1:19">
      <c r="A28" t="str">
        <f t="shared" si="0"/>
        <v>44647SKU1</v>
      </c>
      <c r="B28" s="12">
        <v>44647</v>
      </c>
      <c r="C28" s="13" t="s">
        <v>27</v>
      </c>
      <c r="D28" s="13" t="s">
        <v>27</v>
      </c>
      <c r="E28" s="13" t="s">
        <v>93</v>
      </c>
      <c r="K28" s="13">
        <v>87</v>
      </c>
      <c r="Q28" s="13"/>
      <c r="S28" t="str">
        <f>INDEX(SKU信息!B:B,MATCH(D28,SKU信息!E:E,0))</f>
        <v>SKU1</v>
      </c>
    </row>
    <row r="29" spans="1:19">
      <c r="A29" t="str">
        <f t="shared" si="0"/>
        <v>44648SKU1</v>
      </c>
      <c r="B29" s="12">
        <v>44648</v>
      </c>
      <c r="C29" s="13" t="s">
        <v>27</v>
      </c>
      <c r="D29" s="13" t="s">
        <v>27</v>
      </c>
      <c r="E29" s="13" t="s">
        <v>93</v>
      </c>
      <c r="K29" s="13">
        <v>88</v>
      </c>
      <c r="Q29" s="13"/>
      <c r="S29" t="str">
        <f>INDEX(SKU信息!B:B,MATCH(D29,SKU信息!E:E,0))</f>
        <v>SKU1</v>
      </c>
    </row>
    <row r="30" spans="1:19">
      <c r="A30" t="str">
        <f t="shared" si="0"/>
        <v>44649SKU1</v>
      </c>
      <c r="B30" s="12">
        <v>44649</v>
      </c>
      <c r="C30" s="13" t="s">
        <v>27</v>
      </c>
      <c r="D30" s="13" t="s">
        <v>27</v>
      </c>
      <c r="E30" s="13" t="s">
        <v>93</v>
      </c>
      <c r="K30" s="13">
        <v>89</v>
      </c>
      <c r="Q30" s="13"/>
      <c r="S30" t="str">
        <f>INDEX(SKU信息!B:B,MATCH(D30,SKU信息!E:E,0))</f>
        <v>SKU1</v>
      </c>
    </row>
    <row r="31" spans="1:19">
      <c r="A31" t="str">
        <f t="shared" si="0"/>
        <v>44650SKU1</v>
      </c>
      <c r="B31" s="12">
        <v>44650</v>
      </c>
      <c r="C31" s="13" t="s">
        <v>27</v>
      </c>
      <c r="D31" s="13" t="s">
        <v>27</v>
      </c>
      <c r="E31" s="13" t="s">
        <v>93</v>
      </c>
      <c r="K31" s="13">
        <v>90</v>
      </c>
      <c r="Q31" s="13"/>
      <c r="S31" t="str">
        <f>INDEX(SKU信息!B:B,MATCH(D31,SKU信息!E:E,0))</f>
        <v>SKU1</v>
      </c>
    </row>
    <row r="32" spans="1:19">
      <c r="A32" t="str">
        <f t="shared" si="0"/>
        <v>44651SKU1</v>
      </c>
      <c r="B32" s="12">
        <v>44651</v>
      </c>
      <c r="C32" s="13" t="s">
        <v>27</v>
      </c>
      <c r="D32" s="13" t="s">
        <v>27</v>
      </c>
      <c r="E32" s="13" t="s">
        <v>93</v>
      </c>
      <c r="K32" s="13">
        <v>91</v>
      </c>
      <c r="Q32" s="13"/>
      <c r="S32" t="str">
        <f>INDEX(SKU信息!B:B,MATCH(D32,SKU信息!E:E,0))</f>
        <v>SKU1</v>
      </c>
    </row>
    <row r="33" spans="1:19">
      <c r="A33" t="str">
        <f t="shared" si="0"/>
        <v>44621SKU2</v>
      </c>
      <c r="B33" s="12">
        <v>44621</v>
      </c>
      <c r="C33" s="13" t="s">
        <v>31</v>
      </c>
      <c r="D33" s="13" t="s">
        <v>31</v>
      </c>
      <c r="E33" s="13" t="s">
        <v>94</v>
      </c>
      <c r="K33">
        <v>40</v>
      </c>
      <c r="S33" t="str">
        <f>INDEX(SKU信息!B:B,MATCH(D33,SKU信息!E:E,0))</f>
        <v>SKU2</v>
      </c>
    </row>
    <row r="34" spans="1:19">
      <c r="A34" t="str">
        <f t="shared" si="0"/>
        <v>44622SKU2</v>
      </c>
      <c r="B34" s="12">
        <v>44622</v>
      </c>
      <c r="C34" s="13" t="s">
        <v>31</v>
      </c>
      <c r="D34" s="13" t="s">
        <v>31</v>
      </c>
      <c r="E34" s="13" t="s">
        <v>94</v>
      </c>
      <c r="K34">
        <v>40</v>
      </c>
      <c r="S34" t="str">
        <f>INDEX(SKU信息!B:B,MATCH(D34,SKU信息!E:E,0))</f>
        <v>SKU2</v>
      </c>
    </row>
    <row r="35" spans="1:19">
      <c r="A35" t="str">
        <f t="shared" si="0"/>
        <v>44623SKU2</v>
      </c>
      <c r="B35" s="12">
        <v>44623</v>
      </c>
      <c r="C35" s="13" t="s">
        <v>31</v>
      </c>
      <c r="D35" s="13" t="s">
        <v>31</v>
      </c>
      <c r="E35" s="13" t="s">
        <v>94</v>
      </c>
      <c r="K35">
        <v>40</v>
      </c>
      <c r="S35" t="str">
        <f>INDEX(SKU信息!B:B,MATCH(D35,SKU信息!E:E,0))</f>
        <v>SKU2</v>
      </c>
    </row>
    <row r="36" spans="1:19">
      <c r="A36" t="str">
        <f t="shared" si="0"/>
        <v>44624SKU2</v>
      </c>
      <c r="B36" s="12">
        <v>44624</v>
      </c>
      <c r="C36" s="13" t="s">
        <v>31</v>
      </c>
      <c r="D36" s="13" t="s">
        <v>31</v>
      </c>
      <c r="E36" s="13" t="s">
        <v>94</v>
      </c>
      <c r="K36">
        <v>40</v>
      </c>
      <c r="S36" t="str">
        <f>INDEX(SKU信息!B:B,MATCH(D36,SKU信息!E:E,0))</f>
        <v>SKU2</v>
      </c>
    </row>
    <row r="37" spans="1:19">
      <c r="A37" t="str">
        <f t="shared" si="0"/>
        <v>44625SKU2</v>
      </c>
      <c r="B37" s="12">
        <v>44625</v>
      </c>
      <c r="C37" s="13" t="s">
        <v>31</v>
      </c>
      <c r="D37" s="13" t="s">
        <v>31</v>
      </c>
      <c r="E37" s="13" t="s">
        <v>94</v>
      </c>
      <c r="K37">
        <v>40</v>
      </c>
      <c r="S37" t="str">
        <f>INDEX(SKU信息!B:B,MATCH(D37,SKU信息!E:E,0))</f>
        <v>SKU2</v>
      </c>
    </row>
    <row r="38" spans="1:19">
      <c r="A38" t="str">
        <f t="shared" si="0"/>
        <v>44626SKU2</v>
      </c>
      <c r="B38" s="12">
        <v>44626</v>
      </c>
      <c r="C38" s="13" t="s">
        <v>31</v>
      </c>
      <c r="D38" s="13" t="s">
        <v>31</v>
      </c>
      <c r="E38" s="13" t="s">
        <v>94</v>
      </c>
      <c r="K38">
        <v>40</v>
      </c>
      <c r="S38" t="str">
        <f>INDEX(SKU信息!B:B,MATCH(D38,SKU信息!E:E,0))</f>
        <v>SKU2</v>
      </c>
    </row>
    <row r="39" spans="1:19">
      <c r="A39" t="str">
        <f t="shared" si="0"/>
        <v>44627SKU2</v>
      </c>
      <c r="B39" s="12">
        <v>44627</v>
      </c>
      <c r="C39" s="13" t="s">
        <v>31</v>
      </c>
      <c r="D39" s="13" t="s">
        <v>31</v>
      </c>
      <c r="E39" s="13" t="s">
        <v>94</v>
      </c>
      <c r="K39">
        <v>40</v>
      </c>
      <c r="S39" t="str">
        <f>INDEX(SKU信息!B:B,MATCH(D39,SKU信息!E:E,0))</f>
        <v>SKU2</v>
      </c>
    </row>
    <row r="40" spans="1:19">
      <c r="A40" t="str">
        <f t="shared" si="0"/>
        <v>44628SKU2</v>
      </c>
      <c r="B40" s="12">
        <v>44628</v>
      </c>
      <c r="C40" s="13" t="s">
        <v>31</v>
      </c>
      <c r="D40" s="13" t="s">
        <v>31</v>
      </c>
      <c r="E40" s="13" t="s">
        <v>94</v>
      </c>
      <c r="K40">
        <v>40</v>
      </c>
      <c r="S40" t="str">
        <f>INDEX(SKU信息!B:B,MATCH(D40,SKU信息!E:E,0))</f>
        <v>SKU2</v>
      </c>
    </row>
    <row r="41" spans="1:19">
      <c r="A41" t="str">
        <f t="shared" si="0"/>
        <v>44629SKU2</v>
      </c>
      <c r="B41" s="12">
        <v>44629</v>
      </c>
      <c r="C41" s="13" t="s">
        <v>31</v>
      </c>
      <c r="D41" s="13" t="s">
        <v>31</v>
      </c>
      <c r="E41" s="13" t="s">
        <v>94</v>
      </c>
      <c r="K41">
        <v>40</v>
      </c>
      <c r="S41" t="str">
        <f>INDEX(SKU信息!B:B,MATCH(D41,SKU信息!E:E,0))</f>
        <v>SKU2</v>
      </c>
    </row>
    <row r="42" spans="1:19">
      <c r="A42" t="str">
        <f t="shared" si="0"/>
        <v>44630SKU2</v>
      </c>
      <c r="B42" s="12">
        <v>44630</v>
      </c>
      <c r="C42" s="13" t="s">
        <v>31</v>
      </c>
      <c r="D42" s="13" t="s">
        <v>31</v>
      </c>
      <c r="E42" s="13" t="s">
        <v>94</v>
      </c>
      <c r="K42">
        <v>40</v>
      </c>
      <c r="S42" t="str">
        <f>INDEX(SKU信息!B:B,MATCH(D42,SKU信息!E:E,0))</f>
        <v>SKU2</v>
      </c>
    </row>
    <row r="43" spans="1:19">
      <c r="A43" t="str">
        <f t="shared" si="0"/>
        <v>44631SKU2</v>
      </c>
      <c r="B43" s="12">
        <v>44631</v>
      </c>
      <c r="C43" s="13" t="s">
        <v>31</v>
      </c>
      <c r="D43" s="13" t="s">
        <v>31</v>
      </c>
      <c r="E43" s="13" t="s">
        <v>94</v>
      </c>
      <c r="K43">
        <v>40</v>
      </c>
      <c r="S43" t="str">
        <f>INDEX(SKU信息!B:B,MATCH(D43,SKU信息!E:E,0))</f>
        <v>SKU2</v>
      </c>
    </row>
    <row r="44" spans="1:19">
      <c r="A44" t="str">
        <f t="shared" si="0"/>
        <v>44632SKU2</v>
      </c>
      <c r="B44" s="12">
        <v>44632</v>
      </c>
      <c r="C44" s="13" t="s">
        <v>31</v>
      </c>
      <c r="D44" s="13" t="s">
        <v>31</v>
      </c>
      <c r="E44" s="13" t="s">
        <v>94</v>
      </c>
      <c r="K44">
        <v>100</v>
      </c>
      <c r="S44" t="str">
        <f>INDEX(SKU信息!B:B,MATCH(D44,SKU信息!E:E,0))</f>
        <v>SKU2</v>
      </c>
    </row>
    <row r="45" spans="1:19">
      <c r="A45" t="str">
        <f t="shared" si="0"/>
        <v>44633SKU2</v>
      </c>
      <c r="B45" s="12">
        <v>44633</v>
      </c>
      <c r="C45" s="13" t="s">
        <v>31</v>
      </c>
      <c r="D45" s="13" t="s">
        <v>31</v>
      </c>
      <c r="E45" s="13" t="s">
        <v>94</v>
      </c>
      <c r="K45">
        <v>90</v>
      </c>
      <c r="S45" t="str">
        <f>INDEX(SKU信息!B:B,MATCH(D45,SKU信息!E:E,0))</f>
        <v>SKU2</v>
      </c>
    </row>
    <row r="46" spans="1:19">
      <c r="A46" t="str">
        <f t="shared" si="0"/>
        <v>44634SKU2</v>
      </c>
      <c r="B46" s="12">
        <v>44634</v>
      </c>
      <c r="C46" s="13" t="s">
        <v>31</v>
      </c>
      <c r="D46" s="13" t="s">
        <v>31</v>
      </c>
      <c r="E46" s="13" t="s">
        <v>94</v>
      </c>
      <c r="K46">
        <v>80</v>
      </c>
      <c r="S46" t="str">
        <f>INDEX(SKU信息!B:B,MATCH(D46,SKU信息!E:E,0))</f>
        <v>SKU2</v>
      </c>
    </row>
    <row r="47" spans="1:19">
      <c r="A47" t="str">
        <f t="shared" si="0"/>
        <v>44635SKU2</v>
      </c>
      <c r="B47" s="12">
        <v>44635</v>
      </c>
      <c r="C47" s="13" t="s">
        <v>31</v>
      </c>
      <c r="D47" s="13" t="s">
        <v>31</v>
      </c>
      <c r="E47" s="13" t="s">
        <v>94</v>
      </c>
      <c r="K47">
        <v>60</v>
      </c>
      <c r="S47" t="str">
        <f>INDEX(SKU信息!B:B,MATCH(D47,SKU信息!E:E,0))</f>
        <v>SKU2</v>
      </c>
    </row>
    <row r="48" spans="1:19">
      <c r="A48" t="str">
        <f t="shared" si="0"/>
        <v>44636SKU2</v>
      </c>
      <c r="B48" s="12">
        <v>44636</v>
      </c>
      <c r="C48" s="13" t="s">
        <v>31</v>
      </c>
      <c r="D48" s="13" t="s">
        <v>31</v>
      </c>
      <c r="E48" s="13" t="s">
        <v>94</v>
      </c>
      <c r="K48">
        <v>55</v>
      </c>
      <c r="S48" t="str">
        <f>INDEX(SKU信息!B:B,MATCH(D48,SKU信息!E:E,0))</f>
        <v>SKU2</v>
      </c>
    </row>
    <row r="49" spans="1:19">
      <c r="A49" t="str">
        <f t="shared" si="0"/>
        <v>44637SKU2</v>
      </c>
      <c r="B49" s="12">
        <v>44637</v>
      </c>
      <c r="C49" s="13" t="s">
        <v>31</v>
      </c>
      <c r="D49" s="13" t="s">
        <v>31</v>
      </c>
      <c r="E49" s="13" t="s">
        <v>94</v>
      </c>
      <c r="K49">
        <v>56</v>
      </c>
      <c r="S49" t="str">
        <f>INDEX(SKU信息!B:B,MATCH(D49,SKU信息!E:E,0))</f>
        <v>SKU2</v>
      </c>
    </row>
    <row r="50" spans="1:19">
      <c r="A50" t="str">
        <f t="shared" si="0"/>
        <v>44638SKU2</v>
      </c>
      <c r="B50" s="12">
        <v>44638</v>
      </c>
      <c r="C50" s="13" t="s">
        <v>31</v>
      </c>
      <c r="D50" s="13" t="s">
        <v>31</v>
      </c>
      <c r="E50" s="13" t="s">
        <v>94</v>
      </c>
      <c r="K50">
        <v>57</v>
      </c>
      <c r="S50" t="str">
        <f>INDEX(SKU信息!B:B,MATCH(D50,SKU信息!E:E,0))</f>
        <v>SKU2</v>
      </c>
    </row>
    <row r="51" spans="1:19">
      <c r="A51" t="str">
        <f t="shared" si="0"/>
        <v>44639SKU2</v>
      </c>
      <c r="B51" s="12">
        <v>44639</v>
      </c>
      <c r="C51" s="13" t="s">
        <v>31</v>
      </c>
      <c r="D51" s="13" t="s">
        <v>31</v>
      </c>
      <c r="E51" s="13" t="s">
        <v>94</v>
      </c>
      <c r="K51">
        <v>58</v>
      </c>
      <c r="S51" t="str">
        <f>INDEX(SKU信息!B:B,MATCH(D51,SKU信息!E:E,0))</f>
        <v>SKU2</v>
      </c>
    </row>
    <row r="52" spans="1:19">
      <c r="A52" t="str">
        <f t="shared" si="0"/>
        <v>44640SKU2</v>
      </c>
      <c r="B52" s="12">
        <v>44640</v>
      </c>
      <c r="C52" s="13" t="s">
        <v>31</v>
      </c>
      <c r="D52" s="13" t="s">
        <v>31</v>
      </c>
      <c r="E52" s="13" t="s">
        <v>94</v>
      </c>
      <c r="K52">
        <v>59</v>
      </c>
      <c r="S52" t="str">
        <f>INDEX(SKU信息!B:B,MATCH(D52,SKU信息!E:E,0))</f>
        <v>SKU2</v>
      </c>
    </row>
    <row r="53" spans="1:19">
      <c r="A53" t="str">
        <f t="shared" si="0"/>
        <v>44641SKU2</v>
      </c>
      <c r="B53" s="12">
        <v>44641</v>
      </c>
      <c r="C53" s="13" t="s">
        <v>31</v>
      </c>
      <c r="D53" s="13" t="s">
        <v>31</v>
      </c>
      <c r="E53" s="13" t="s">
        <v>94</v>
      </c>
      <c r="K53">
        <v>110</v>
      </c>
      <c r="S53" t="str">
        <f>INDEX(SKU信息!B:B,MATCH(D53,SKU信息!E:E,0))</f>
        <v>SKU2</v>
      </c>
    </row>
    <row r="54" spans="1:19">
      <c r="A54" t="str">
        <f t="shared" si="0"/>
        <v>44642SKU2</v>
      </c>
      <c r="B54" s="12">
        <v>44642</v>
      </c>
      <c r="C54" s="13" t="s">
        <v>31</v>
      </c>
      <c r="D54" s="13" t="s">
        <v>31</v>
      </c>
      <c r="E54" s="13" t="s">
        <v>94</v>
      </c>
      <c r="K54">
        <v>100</v>
      </c>
      <c r="S54" t="str">
        <f>INDEX(SKU信息!B:B,MATCH(D54,SKU信息!E:E,0))</f>
        <v>SKU2</v>
      </c>
    </row>
    <row r="55" spans="1:19">
      <c r="A55" t="str">
        <f t="shared" si="0"/>
        <v>44643SKU2</v>
      </c>
      <c r="B55" s="12">
        <v>44643</v>
      </c>
      <c r="C55" s="13" t="s">
        <v>31</v>
      </c>
      <c r="D55" s="13" t="s">
        <v>31</v>
      </c>
      <c r="E55" s="13" t="s">
        <v>94</v>
      </c>
      <c r="K55">
        <v>90</v>
      </c>
      <c r="S55" t="str">
        <f>INDEX(SKU信息!B:B,MATCH(D55,SKU信息!E:E,0))</f>
        <v>SKU2</v>
      </c>
    </row>
    <row r="56" spans="1:19">
      <c r="A56" t="str">
        <f t="shared" si="0"/>
        <v>44644SKU2</v>
      </c>
      <c r="B56" s="12">
        <v>44644</v>
      </c>
      <c r="C56" s="13" t="s">
        <v>31</v>
      </c>
      <c r="D56" s="13" t="s">
        <v>31</v>
      </c>
      <c r="E56" s="13" t="s">
        <v>94</v>
      </c>
      <c r="K56">
        <v>70</v>
      </c>
      <c r="S56" t="str">
        <f>INDEX(SKU信息!B:B,MATCH(D56,SKU信息!E:E,0))</f>
        <v>SKU2</v>
      </c>
    </row>
    <row r="57" spans="1:19">
      <c r="A57" t="str">
        <f t="shared" si="0"/>
        <v>44645SKU2</v>
      </c>
      <c r="B57" s="12">
        <v>44645</v>
      </c>
      <c r="C57" s="13" t="s">
        <v>31</v>
      </c>
      <c r="D57" s="13" t="s">
        <v>31</v>
      </c>
      <c r="E57" s="13" t="s">
        <v>94</v>
      </c>
      <c r="K57">
        <v>65</v>
      </c>
      <c r="S57" t="str">
        <f>INDEX(SKU信息!B:B,MATCH(D57,SKU信息!E:E,0))</f>
        <v>SKU2</v>
      </c>
    </row>
    <row r="58" spans="1:19">
      <c r="A58" t="str">
        <f t="shared" si="0"/>
        <v>44646SKU2</v>
      </c>
      <c r="B58" s="12">
        <v>44646</v>
      </c>
      <c r="C58" s="13" t="s">
        <v>31</v>
      </c>
      <c r="D58" s="13" t="s">
        <v>31</v>
      </c>
      <c r="E58" s="13" t="s">
        <v>94</v>
      </c>
      <c r="K58">
        <v>66</v>
      </c>
      <c r="S58" t="str">
        <f>INDEX(SKU信息!B:B,MATCH(D58,SKU信息!E:E,0))</f>
        <v>SKU2</v>
      </c>
    </row>
    <row r="59" spans="1:19">
      <c r="A59" t="str">
        <f t="shared" si="0"/>
        <v>44647SKU2</v>
      </c>
      <c r="B59" s="12">
        <v>44647</v>
      </c>
      <c r="C59" s="13" t="s">
        <v>31</v>
      </c>
      <c r="D59" s="13" t="s">
        <v>31</v>
      </c>
      <c r="E59" s="13" t="s">
        <v>94</v>
      </c>
      <c r="K59">
        <v>67</v>
      </c>
      <c r="S59" t="str">
        <f>INDEX(SKU信息!B:B,MATCH(D59,SKU信息!E:E,0))</f>
        <v>SKU2</v>
      </c>
    </row>
    <row r="60" spans="1:19">
      <c r="A60" t="str">
        <f t="shared" si="0"/>
        <v>44648SKU2</v>
      </c>
      <c r="B60" s="12">
        <v>44648</v>
      </c>
      <c r="C60" s="13" t="s">
        <v>31</v>
      </c>
      <c r="D60" s="13" t="s">
        <v>31</v>
      </c>
      <c r="E60" s="13" t="s">
        <v>94</v>
      </c>
      <c r="K60">
        <v>68</v>
      </c>
      <c r="S60" t="str">
        <f>INDEX(SKU信息!B:B,MATCH(D60,SKU信息!E:E,0))</f>
        <v>SKU2</v>
      </c>
    </row>
    <row r="61" spans="1:19">
      <c r="A61" t="str">
        <f t="shared" si="0"/>
        <v>44649SKU2</v>
      </c>
      <c r="B61" s="12">
        <v>44649</v>
      </c>
      <c r="C61" s="13" t="s">
        <v>31</v>
      </c>
      <c r="D61" s="13" t="s">
        <v>31</v>
      </c>
      <c r="E61" s="13" t="s">
        <v>94</v>
      </c>
      <c r="K61">
        <v>69</v>
      </c>
      <c r="S61" t="str">
        <f>INDEX(SKU信息!B:B,MATCH(D61,SKU信息!E:E,0))</f>
        <v>SKU2</v>
      </c>
    </row>
    <row r="62" spans="1:19">
      <c r="A62" t="str">
        <f t="shared" si="0"/>
        <v>44650SKU2</v>
      </c>
      <c r="B62" s="12">
        <v>44650</v>
      </c>
      <c r="C62" s="13" t="s">
        <v>31</v>
      </c>
      <c r="D62" s="13" t="s">
        <v>31</v>
      </c>
      <c r="E62" s="13" t="s">
        <v>94</v>
      </c>
      <c r="K62">
        <v>70</v>
      </c>
      <c r="S62" t="str">
        <f>INDEX(SKU信息!B:B,MATCH(D62,SKU信息!E:E,0))</f>
        <v>SKU2</v>
      </c>
    </row>
    <row r="63" spans="1:19">
      <c r="A63" t="str">
        <f t="shared" si="0"/>
        <v>44651SKU2</v>
      </c>
      <c r="B63" s="12">
        <v>44651</v>
      </c>
      <c r="C63" s="13" t="s">
        <v>31</v>
      </c>
      <c r="D63" s="13" t="s">
        <v>31</v>
      </c>
      <c r="E63" s="13" t="s">
        <v>94</v>
      </c>
      <c r="K63">
        <v>71</v>
      </c>
      <c r="S63" t="str">
        <f>INDEX(SKU信息!B:B,MATCH(D63,SKU信息!E:E,0))</f>
        <v>SKU2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showGridLines="0" workbookViewId="0">
      <selection activeCell="B24" sqref="B24"/>
    </sheetView>
  </sheetViews>
  <sheetFormatPr defaultColWidth="0" defaultRowHeight="24" customHeight="1" outlineLevelCol="1"/>
  <cols>
    <col min="1" max="1" width="3.75" style="1" customWidth="1"/>
    <col min="2" max="2" width="120" style="2" customWidth="1"/>
    <col min="3" max="16384" width="9" style="2" hidden="1"/>
  </cols>
  <sheetData>
    <row r="1" ht="35.25" customHeight="1" spans="1:2">
      <c r="A1" s="3"/>
      <c r="B1" s="4"/>
    </row>
    <row r="2" ht="13.5" spans="1:2">
      <c r="A2" s="5" t="s">
        <v>95</v>
      </c>
      <c r="B2" s="6"/>
    </row>
    <row r="3" ht="23.25" customHeight="1" spans="1:2">
      <c r="A3" s="7" t="s">
        <v>96</v>
      </c>
      <c r="B3" s="8" t="s">
        <v>97</v>
      </c>
    </row>
    <row r="4" ht="23.25" customHeight="1" spans="1:2">
      <c r="A4" s="7" t="s">
        <v>98</v>
      </c>
      <c r="B4" s="8" t="s">
        <v>99</v>
      </c>
    </row>
    <row r="5" ht="23.25" customHeight="1" spans="1:2">
      <c r="A5" s="7" t="s">
        <v>100</v>
      </c>
      <c r="B5" s="8" t="s">
        <v>101</v>
      </c>
    </row>
    <row r="6" ht="23.25" customHeight="1" spans="1:2">
      <c r="A6" s="9" t="s">
        <v>102</v>
      </c>
      <c r="B6" s="10" t="s">
        <v>103</v>
      </c>
    </row>
    <row r="7" ht="13.5" spans="1:2">
      <c r="A7" s="3"/>
      <c r="B7" s="3"/>
    </row>
    <row r="8" ht="13.5" spans="1:2">
      <c r="A8" s="3"/>
      <c r="B8" s="3"/>
    </row>
    <row r="9" ht="13.5" spans="1:2">
      <c r="A9" s="3"/>
      <c r="B9" s="3"/>
    </row>
    <row r="10" ht="13.5" spans="1:2">
      <c r="A10" s="3"/>
      <c r="B10" s="3"/>
    </row>
    <row r="11" ht="13.5" spans="1:2">
      <c r="A11" s="3"/>
      <c r="B11" s="3"/>
    </row>
    <row r="12" ht="13.5" spans="1:2">
      <c r="A12" s="3"/>
      <c r="B12" s="3"/>
    </row>
    <row r="13" ht="13.5" spans="1:2">
      <c r="A13" s="3"/>
      <c r="B13" s="3"/>
    </row>
    <row r="14" ht="13.5" spans="1:2">
      <c r="A14" s="3"/>
      <c r="B14" s="3"/>
    </row>
    <row r="15" ht="13.5" spans="1:2">
      <c r="A15" s="3"/>
      <c r="B15" s="3"/>
    </row>
    <row r="16" ht="13.5" spans="1:2">
      <c r="A16" s="3"/>
      <c r="B16" s="3"/>
    </row>
    <row r="17" ht="13.5" spans="1:2">
      <c r="A17" s="3"/>
      <c r="B17" s="3"/>
    </row>
    <row r="18" ht="13.5" spans="1:2">
      <c r="A18" s="3"/>
      <c r="B18" s="3"/>
    </row>
    <row r="19" ht="13.5" spans="1:2">
      <c r="A19" s="3"/>
      <c r="B19" s="3"/>
    </row>
    <row r="20" ht="13.5" spans="1:2">
      <c r="A20" s="3"/>
      <c r="B20" s="3"/>
    </row>
    <row r="21" ht="13.5" spans="1:2">
      <c r="A21" s="3"/>
      <c r="B21" s="3"/>
    </row>
    <row r="22" ht="13.5" spans="1:2">
      <c r="A22" s="3"/>
      <c r="B22" s="3"/>
    </row>
  </sheetData>
  <sheetProtection formatCells="0" insertHyperlinks="0" autoFilter="0"/>
  <mergeCells count="1">
    <mergeCell ref="A2:B2"/>
  </mergeCells>
  <pageMargins left="0.699305555555556" right="0.699305555555556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8">
    <commentChains s:ref="B1" rgbClr="FF0000">
      <unresolved>
        <commentChain chainId="dc9f7616e18da0b3f101020d59a07172fe9c5b7c">
          <item id="30b9c1d79ca7db6d497b245f149872f28ca7b764" isNormal="1">
            <s:text>
              <s:r>
                <s:t xml:space="preserve">86138:
起始粘贴列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pivotTables>
        <pivotTable pivotTableName="数据透视表2" updateTime="-1" sourceDataDirty="1"/>
      </pivotTables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EZPSZPYEUMZAWQEW:41512919171508838823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6"/>
  <pixelatorList sheetStid="4"/>
  <pixelatorList sheetStid="2"/>
  <pixelatorList sheetStid="3"/>
  <pixelatorList sheetStid="8"/>
  <pixelatorList sheetStid="5"/>
  <pixelatorList sheetStid="9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数据分析</vt:lpstr>
      <vt:lpstr>每日记录</vt:lpstr>
      <vt:lpstr>跟进查询</vt:lpstr>
      <vt:lpstr>SKU信息</vt:lpstr>
      <vt:lpstr>源数据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</cp:lastModifiedBy>
  <dcterms:created xsi:type="dcterms:W3CDTF">2017-07-01T23:52:00Z</dcterms:created>
  <dcterms:modified xsi:type="dcterms:W3CDTF">2022-06-09T09:41:00Z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1D059E36D6FB4478A5BAD84AC387F354</vt:lpwstr>
  </property>
</Properties>
</file>