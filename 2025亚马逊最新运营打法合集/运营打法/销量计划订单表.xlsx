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" sheetId="9" r:id="rId1"/>
    <sheet name="汇总下单" sheetId="5" state="hidden" r:id="rId2"/>
  </sheets>
  <calcPr calcId="144525"/>
</workbook>
</file>

<file path=xl/sharedStrings.xml><?xml version="1.0" encoding="utf-8"?>
<sst xmlns="http://schemas.openxmlformats.org/spreadsheetml/2006/main" count="44" uniqueCount="41">
  <si>
    <t>计划日均</t>
  </si>
  <si>
    <t>计划月销量</t>
  </si>
  <si>
    <t>颜色</t>
  </si>
  <si>
    <t>颜色占比</t>
  </si>
  <si>
    <t>FBA库存</t>
  </si>
  <si>
    <t>库房</t>
  </si>
  <si>
    <t>在途</t>
  </si>
  <si>
    <t>合计</t>
  </si>
  <si>
    <t>汇总</t>
  </si>
  <si>
    <t>3月需要</t>
  </si>
  <si>
    <t>4月需要</t>
  </si>
  <si>
    <t>5月需要</t>
  </si>
  <si>
    <t>6月需要</t>
  </si>
  <si>
    <t>7月需要</t>
  </si>
  <si>
    <t>3月日销</t>
  </si>
  <si>
    <t>4月日销</t>
  </si>
  <si>
    <t>5月日销</t>
  </si>
  <si>
    <t>6月日销</t>
  </si>
  <si>
    <t>7月日销</t>
  </si>
  <si>
    <t>1121Beige</t>
  </si>
  <si>
    <t>991703Beige</t>
  </si>
  <si>
    <t xml:space="preserve"> 1121Black</t>
  </si>
  <si>
    <t>991703Black</t>
  </si>
  <si>
    <t xml:space="preserve"> 1121Brown</t>
  </si>
  <si>
    <t>991703Brown</t>
  </si>
  <si>
    <t xml:space="preserve"> 1121Wine</t>
  </si>
  <si>
    <t>991703Wine</t>
  </si>
  <si>
    <t xml:space="preserve"> 1121-Yellow-2</t>
  </si>
  <si>
    <t>991703-Yellow-2</t>
  </si>
  <si>
    <t>注意：要以足月为单位；预估日销要根据上一年全年的销售分析判断，一般是20%的增长</t>
  </si>
  <si>
    <t>sku</t>
  </si>
  <si>
    <t>订单数量</t>
  </si>
  <si>
    <t>销售月份</t>
  </si>
  <si>
    <t>B991512-B-Black</t>
  </si>
  <si>
    <t>截至7月份</t>
  </si>
  <si>
    <t>截至六月份</t>
  </si>
  <si>
    <t>22085-black</t>
  </si>
  <si>
    <t>截至5月份的数量</t>
  </si>
  <si>
    <t>22085-grey</t>
  </si>
  <si>
    <t>22085-blue</t>
  </si>
  <si>
    <t>22085-camouflage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</si>
</sst>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26">
    <font>
      <sz val="12"/>
      <color theme="1"/>
      <name val="等线"/>
      <charset val="134"/>
      <scheme val="minor"/>
    </font>
    <font>
      <b/>
      <sz val="12"/>
      <color theme="1"/>
      <name val="等线"/>
      <charset val="134"/>
    </font>
    <font>
      <sz val="12"/>
      <color rgb="FF000000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1"/>
      <color rgb="FF9C000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u/>
      <sz val="12"/>
      <color theme="10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8EAAD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0" fillId="5" borderId="12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7" borderId="16" applyNumberFormat="0" applyFont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8" fillId="14" borderId="17" applyNumberFormat="0" applyAlignment="0" applyProtection="0">
      <alignment vertical="center"/>
    </xf>
    <xf numFmtId="0" fontId="22" fillId="14" borderId="12" applyNumberFormat="0" applyAlignment="0" applyProtection="0">
      <alignment vertical="center"/>
    </xf>
    <xf numFmtId="0" fontId="21" fillId="18" borderId="18" applyNumberForma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0" fillId="0" borderId="10" xfId="0" applyFill="1" applyBorder="1" applyAlignment="1">
      <alignment horizontal="left" vertical="center"/>
    </xf>
    <xf numFmtId="0" fontId="0" fillId="0" borderId="11" xfId="0" applyFill="1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3" fontId="4" fillId="0" borderId="1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3" fontId="5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0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37" fontId="3" fillId="0" borderId="0" xfId="0" applyNumberFormat="1" applyFont="1" applyAlignment="1">
      <alignment horizontal="center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7"/>
  <sheetViews>
    <sheetView tabSelected="1" workbookViewId="0">
      <selection activeCell="G15" sqref="G14:G15"/>
    </sheetView>
  </sheetViews>
  <sheetFormatPr defaultColWidth="9" defaultRowHeight="16.5" customHeight="1"/>
  <cols>
    <col min="1" max="1" width="15.375" style="23" customWidth="1"/>
    <col min="2" max="2" width="12.1666666666667" style="21" customWidth="1"/>
    <col min="3" max="3" width="7.25" style="21"/>
    <col min="4" max="4" width="6.75" style="21" customWidth="1"/>
    <col min="5" max="5" width="4.75" style="21"/>
    <col min="6" max="6" width="7.5" style="21" customWidth="1"/>
    <col min="7" max="7" width="12.6666666666667" style="21"/>
    <col min="8" max="8" width="10" style="24" customWidth="1"/>
    <col min="9" max="9" width="13.6666666666667" style="21" customWidth="1"/>
    <col min="10" max="10" width="14.5" style="21" customWidth="1"/>
    <col min="11" max="11" width="15.1666666666667" style="21" customWidth="1"/>
    <col min="12" max="16" width="12.6666666666667" style="21"/>
    <col min="17" max="17" width="12.8333333333333" style="21" customWidth="1"/>
    <col min="18" max="19" width="12.6666666666667" style="21"/>
    <col min="20" max="20" width="12.6666666666667" style="21" customWidth="1"/>
    <col min="21" max="21" width="13.5" style="21" customWidth="1"/>
    <col min="22" max="22" width="12.6666666666667" style="21"/>
    <col min="23" max="24" width="11.75" style="21" customWidth="1"/>
    <col min="25" max="33" width="14.125" style="21"/>
    <col min="34" max="41" width="9" style="21"/>
  </cols>
  <sheetData>
    <row r="1" s="20" customFormat="1" ht="26" customHeight="1" spans="1:19">
      <c r="A1" s="25" t="s">
        <v>0</v>
      </c>
      <c r="G1" s="20">
        <v>15</v>
      </c>
      <c r="H1" s="26"/>
      <c r="J1" s="20">
        <v>17</v>
      </c>
      <c r="M1" s="20">
        <v>17</v>
      </c>
      <c r="P1" s="20">
        <v>22</v>
      </c>
      <c r="S1" s="20">
        <v>18</v>
      </c>
    </row>
    <row r="2" s="21" customFormat="1" ht="24" customHeight="1" spans="1:8">
      <c r="A2" s="23"/>
      <c r="B2" s="24">
        <f>S2+P2+M2+J2+G2</f>
        <v>0</v>
      </c>
      <c r="H2" s="24"/>
    </row>
    <row r="3" s="21" customFormat="1" ht="30" customHeight="1" spans="1:21">
      <c r="A3" s="23" t="s">
        <v>1</v>
      </c>
      <c r="B3" s="24">
        <f>S3+P3+M3+J3+G3</f>
        <v>2670</v>
      </c>
      <c r="G3" s="27">
        <f>G1*30</f>
        <v>450</v>
      </c>
      <c r="H3" s="28"/>
      <c r="I3" s="27"/>
      <c r="J3" s="27">
        <f>J1*30</f>
        <v>510</v>
      </c>
      <c r="K3" s="27"/>
      <c r="L3" s="27"/>
      <c r="M3" s="27">
        <f>M1*30</f>
        <v>510</v>
      </c>
      <c r="N3" s="27"/>
      <c r="O3" s="27"/>
      <c r="P3" s="27">
        <f>P1*30</f>
        <v>660</v>
      </c>
      <c r="Q3" s="27"/>
      <c r="R3" s="27"/>
      <c r="S3" s="27">
        <f>S1*30</f>
        <v>540</v>
      </c>
      <c r="T3" s="27"/>
      <c r="U3" s="27"/>
    </row>
    <row r="4" s="22" customFormat="1" ht="27" customHeight="1" spans="1:41">
      <c r="A4" s="29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>
        <v>3</v>
      </c>
      <c r="H4" s="30" t="str">
        <f>G4&amp;"月"&amp;"缺失的数量"</f>
        <v>3月缺失的数量</v>
      </c>
      <c r="I4" s="22" t="str">
        <f>G4&amp;"月底"&amp;"剩余的库存"</f>
        <v>3月底剩余的库存</v>
      </c>
      <c r="J4" s="22">
        <v>4</v>
      </c>
      <c r="K4" s="30" t="str">
        <f>J4&amp;"月"&amp;"缺失的数量"</f>
        <v>4月缺失的数量</v>
      </c>
      <c r="L4" s="22" t="str">
        <f>J4&amp;"月底"&amp;"剩余的库存"</f>
        <v>4月底剩余的库存</v>
      </c>
      <c r="M4" s="22">
        <v>5</v>
      </c>
      <c r="N4" s="30" t="str">
        <f>M4&amp;"月"&amp;"缺失的数量"</f>
        <v>5月缺失的数量</v>
      </c>
      <c r="O4" s="22" t="str">
        <f>M4&amp;"月底"&amp;"剩余的库存"</f>
        <v>5月底剩余的库存</v>
      </c>
      <c r="P4" s="22">
        <v>6</v>
      </c>
      <c r="Q4" s="30" t="str">
        <f>P4&amp;"月"&amp;"缺失的数量"</f>
        <v>6月缺失的数量</v>
      </c>
      <c r="R4" s="22" t="str">
        <f>P4&amp;"月底"&amp;"剩余的库存"</f>
        <v>6月底剩余的库存</v>
      </c>
      <c r="S4" s="22">
        <v>7</v>
      </c>
      <c r="T4" s="30" t="str">
        <f>S4&amp;"月"&amp;"缺失的数量"</f>
        <v>7月缺失的数量</v>
      </c>
      <c r="U4" s="22" t="str">
        <f>S4&amp;"月底"&amp;"剩余的库存"</f>
        <v>7月底剩余的库存</v>
      </c>
      <c r="V4" s="22" t="s">
        <v>8</v>
      </c>
      <c r="W4" s="39"/>
      <c r="X4" s="39" t="s">
        <v>9</v>
      </c>
      <c r="Y4" s="39" t="s">
        <v>10</v>
      </c>
      <c r="Z4" s="39" t="s">
        <v>11</v>
      </c>
      <c r="AA4" s="39" t="s">
        <v>12</v>
      </c>
      <c r="AB4" s="39" t="s">
        <v>13</v>
      </c>
      <c r="AC4" s="39" t="s">
        <v>14</v>
      </c>
      <c r="AD4" s="39" t="s">
        <v>15</v>
      </c>
      <c r="AE4" s="39" t="s">
        <v>16</v>
      </c>
      <c r="AF4" s="39" t="s">
        <v>17</v>
      </c>
      <c r="AG4" s="39" t="s">
        <v>18</v>
      </c>
      <c r="AH4" s="39"/>
      <c r="AI4" s="39"/>
      <c r="AJ4" s="39"/>
      <c r="AK4" s="39"/>
      <c r="AL4" s="39"/>
      <c r="AM4" s="39"/>
      <c r="AN4" s="39"/>
      <c r="AO4" s="39"/>
    </row>
    <row r="5" s="21" customFormat="1" ht="17.25" customHeight="1" spans="1:33">
      <c r="A5" s="31" t="s">
        <v>19</v>
      </c>
      <c r="B5" s="32">
        <f>(55+2+3)/(150+6+5)</f>
        <v>0.372670807453416</v>
      </c>
      <c r="C5" s="33">
        <v>201</v>
      </c>
      <c r="E5" s="21">
        <v>62</v>
      </c>
      <c r="F5" s="33">
        <f t="shared" ref="F5:F10" si="0">SUM(C5:E5)</f>
        <v>263</v>
      </c>
      <c r="G5" s="24">
        <f>B5*$G$3</f>
        <v>167.701863354037</v>
      </c>
      <c r="H5" s="24">
        <f t="shared" ref="H5:H10" si="1">IF(F5&gt;G5,0,F5-C5)</f>
        <v>0</v>
      </c>
      <c r="I5" s="24">
        <f t="shared" ref="I5:I10" si="2">IF(F5&gt;G5,F5-G5,0)</f>
        <v>95.2981366459628</v>
      </c>
      <c r="J5" s="24">
        <f>B5*$J$3</f>
        <v>190.062111801242</v>
      </c>
      <c r="K5" s="24">
        <f t="shared" ref="K5:K10" si="3">IF(I5&gt;J5,0,I5-J5)</f>
        <v>-94.7639751552794</v>
      </c>
      <c r="L5" s="24">
        <f t="shared" ref="L5:L10" si="4">IF(I5&gt;J5,I5-J5,0)</f>
        <v>0</v>
      </c>
      <c r="M5" s="24">
        <f>B5*$M$3</f>
        <v>190.062111801242</v>
      </c>
      <c r="N5" s="24">
        <f>IF(L5&gt;M5,0,M5-L5)</f>
        <v>190.062111801242</v>
      </c>
      <c r="O5" s="24">
        <f t="shared" ref="O5:O10" si="5">IF(L5&gt;M5,L5-M5,0)</f>
        <v>0</v>
      </c>
      <c r="P5" s="24">
        <f>B5*$P$3</f>
        <v>245.962732919255</v>
      </c>
      <c r="Q5" s="24">
        <f>IF(O5&gt;P5,0,P5-O5)</f>
        <v>245.962732919255</v>
      </c>
      <c r="R5" s="24">
        <f t="shared" ref="R5:R10" si="6">IF(O5&gt;P5,O5-P5,0)</f>
        <v>0</v>
      </c>
      <c r="S5" s="24">
        <f>B5*$S$3</f>
        <v>201.242236024845</v>
      </c>
      <c r="T5" s="24">
        <f>IF(R5&gt;S5,0,S5-R5)</f>
        <v>201.242236024845</v>
      </c>
      <c r="U5" s="24">
        <f>IF(R5&gt;S5,R5-S5,0)</f>
        <v>0</v>
      </c>
      <c r="V5" s="24">
        <f t="shared" ref="V5:V10" si="7">T5+Q5+N5+K5</f>
        <v>542.503105590062</v>
      </c>
      <c r="W5" s="31" t="s">
        <v>20</v>
      </c>
      <c r="X5" s="21">
        <f t="shared" ref="X5:X10" si="8">H5</f>
        <v>0</v>
      </c>
      <c r="Y5" s="24">
        <f t="shared" ref="Y5:Y10" si="9">K5</f>
        <v>-94.7639751552794</v>
      </c>
      <c r="Z5" s="24">
        <f t="shared" ref="Z5:Z10" si="10">N5</f>
        <v>190.062111801242</v>
      </c>
      <c r="AA5" s="24">
        <f t="shared" ref="AA5:AA10" si="11">Q5</f>
        <v>245.962732919255</v>
      </c>
      <c r="AB5" s="24">
        <f t="shared" ref="AB5:AB10" si="12">T5</f>
        <v>201.242236024845</v>
      </c>
      <c r="AC5" s="40">
        <f>G5/30</f>
        <v>5.59006211180124</v>
      </c>
      <c r="AD5" s="40">
        <f>J5/30</f>
        <v>6.33540372670807</v>
      </c>
      <c r="AE5" s="40">
        <f>M5/30</f>
        <v>6.33540372670807</v>
      </c>
      <c r="AF5" s="40">
        <f>P5/30</f>
        <v>8.19875776397515</v>
      </c>
      <c r="AG5" s="40">
        <f>S5/30</f>
        <v>6.7080745341615</v>
      </c>
    </row>
    <row r="6" s="21" customFormat="1" ht="17.25" customHeight="1" spans="1:33">
      <c r="A6" s="31" t="s">
        <v>21</v>
      </c>
      <c r="B6" s="32">
        <f>(66+4+2)/(150+6+5)</f>
        <v>0.447204968944099</v>
      </c>
      <c r="C6" s="33">
        <v>159</v>
      </c>
      <c r="E6" s="21">
        <v>248</v>
      </c>
      <c r="F6" s="33">
        <f t="shared" si="0"/>
        <v>407</v>
      </c>
      <c r="G6" s="24">
        <f>B6*$G$3</f>
        <v>201.242236024845</v>
      </c>
      <c r="H6" s="24">
        <f t="shared" si="1"/>
        <v>0</v>
      </c>
      <c r="I6" s="24">
        <f t="shared" si="2"/>
        <v>205.757763975155</v>
      </c>
      <c r="J6" s="24">
        <f>B6*$J$3</f>
        <v>228.074534161491</v>
      </c>
      <c r="K6" s="24">
        <f t="shared" si="3"/>
        <v>-22.316770186335</v>
      </c>
      <c r="L6" s="24">
        <f t="shared" si="4"/>
        <v>0</v>
      </c>
      <c r="M6" s="24">
        <f>B6*$M$3</f>
        <v>228.074534161491</v>
      </c>
      <c r="N6" s="24">
        <f>IF(L6&gt;M6,0,M6-L6)</f>
        <v>228.074534161491</v>
      </c>
      <c r="O6" s="24">
        <f t="shared" si="5"/>
        <v>0</v>
      </c>
      <c r="P6" s="24">
        <f>B6*$P$3</f>
        <v>295.155279503105</v>
      </c>
      <c r="Q6" s="24">
        <f>IF(O6&gt;P6,0,P6-O6)</f>
        <v>295.155279503105</v>
      </c>
      <c r="R6" s="24">
        <f t="shared" si="6"/>
        <v>0</v>
      </c>
      <c r="S6" s="24">
        <f>B6*$S$3</f>
        <v>241.490683229814</v>
      </c>
      <c r="T6" s="24">
        <f>IF(R6&gt;S6,0,S6-R6)</f>
        <v>241.490683229814</v>
      </c>
      <c r="U6" s="24">
        <f t="shared" ref="U5:U10" si="13">IF(R6&gt;S6,R6-S6,0)</f>
        <v>0</v>
      </c>
      <c r="V6" s="24">
        <f t="shared" si="7"/>
        <v>742.403726708075</v>
      </c>
      <c r="W6" s="31" t="s">
        <v>22</v>
      </c>
      <c r="X6" s="21">
        <f t="shared" si="8"/>
        <v>0</v>
      </c>
      <c r="Y6" s="24">
        <f t="shared" si="9"/>
        <v>-22.316770186335</v>
      </c>
      <c r="Z6" s="24">
        <f t="shared" si="10"/>
        <v>228.074534161491</v>
      </c>
      <c r="AA6" s="24">
        <f t="shared" si="11"/>
        <v>295.155279503105</v>
      </c>
      <c r="AB6" s="24">
        <f t="shared" si="12"/>
        <v>241.490683229814</v>
      </c>
      <c r="AC6" s="40">
        <f>G6/30</f>
        <v>6.70807453416148</v>
      </c>
      <c r="AD6" s="40">
        <f>J6/30</f>
        <v>7.60248447204968</v>
      </c>
      <c r="AE6" s="40">
        <f>M6/30</f>
        <v>7.60248447204968</v>
      </c>
      <c r="AF6" s="40">
        <f>P6/30</f>
        <v>9.83850931677018</v>
      </c>
      <c r="AG6" s="40">
        <f>S6/30</f>
        <v>8.0496894409938</v>
      </c>
    </row>
    <row r="7" s="21" customFormat="1" ht="17.25" customHeight="1" spans="1:33">
      <c r="A7" s="31" t="s">
        <v>23</v>
      </c>
      <c r="B7" s="32">
        <f>11/(150+6+5)</f>
        <v>0.0683229813664596</v>
      </c>
      <c r="C7" s="33">
        <v>172</v>
      </c>
      <c r="F7" s="33">
        <f t="shared" si="0"/>
        <v>172</v>
      </c>
      <c r="G7" s="24">
        <f>B7*$G$3</f>
        <v>30.7453416149068</v>
      </c>
      <c r="H7" s="24">
        <f t="shared" si="1"/>
        <v>0</v>
      </c>
      <c r="I7" s="24">
        <f t="shared" si="2"/>
        <v>141.254658385093</v>
      </c>
      <c r="J7" s="24">
        <f>B7*$J$3</f>
        <v>34.8447204968944</v>
      </c>
      <c r="K7" s="24">
        <f t="shared" si="3"/>
        <v>0</v>
      </c>
      <c r="L7" s="24">
        <f t="shared" si="4"/>
        <v>106.409937888199</v>
      </c>
      <c r="M7" s="24">
        <f>B7*$M$3</f>
        <v>34.8447204968944</v>
      </c>
      <c r="N7" s="24">
        <f>IF(L7&gt;M7,0,M7-L7)</f>
        <v>0</v>
      </c>
      <c r="O7" s="24">
        <f t="shared" si="5"/>
        <v>71.5652173913044</v>
      </c>
      <c r="P7" s="24">
        <f>B7*$P$3</f>
        <v>45.0931677018633</v>
      </c>
      <c r="Q7" s="24">
        <f>IF(O7&gt;P7,0,P7-O7)</f>
        <v>0</v>
      </c>
      <c r="R7" s="24">
        <f t="shared" si="6"/>
        <v>26.4720496894411</v>
      </c>
      <c r="S7" s="24">
        <f>B7*$S$3</f>
        <v>36.8944099378882</v>
      </c>
      <c r="T7" s="24">
        <f>IF(R7&gt;S7,0,S7-R7)</f>
        <v>10.4223602484471</v>
      </c>
      <c r="U7" s="24">
        <f t="shared" si="13"/>
        <v>0</v>
      </c>
      <c r="V7" s="24">
        <f t="shared" si="7"/>
        <v>10.4223602484471</v>
      </c>
      <c r="W7" s="31" t="s">
        <v>24</v>
      </c>
      <c r="X7" s="21">
        <f t="shared" si="8"/>
        <v>0</v>
      </c>
      <c r="Y7" s="24">
        <f t="shared" si="9"/>
        <v>0</v>
      </c>
      <c r="Z7" s="24">
        <f t="shared" si="10"/>
        <v>0</v>
      </c>
      <c r="AA7" s="24">
        <f t="shared" si="11"/>
        <v>0</v>
      </c>
      <c r="AB7" s="24">
        <f t="shared" si="12"/>
        <v>10.4223602484471</v>
      </c>
      <c r="AC7" s="40">
        <f>G7/30</f>
        <v>1.02484472049689</v>
      </c>
      <c r="AD7" s="40">
        <f>J7/30</f>
        <v>1.16149068322981</v>
      </c>
      <c r="AE7" s="40">
        <f>M7/30</f>
        <v>1.16149068322981</v>
      </c>
      <c r="AF7" s="40">
        <f>P7/30</f>
        <v>1.50310559006211</v>
      </c>
      <c r="AG7" s="40">
        <f>S7/30</f>
        <v>1.22981366459627</v>
      </c>
    </row>
    <row r="8" s="21" customFormat="1" ht="17.25" customHeight="1" spans="1:33">
      <c r="A8" s="31" t="s">
        <v>25</v>
      </c>
      <c r="B8" s="32">
        <f>12/(150+6+5)</f>
        <v>0.0745341614906832</v>
      </c>
      <c r="C8" s="33">
        <v>102</v>
      </c>
      <c r="F8" s="33">
        <f t="shared" si="0"/>
        <v>102</v>
      </c>
      <c r="G8" s="24">
        <f>B8*$G$3</f>
        <v>33.5403726708074</v>
      </c>
      <c r="H8" s="24">
        <f t="shared" si="1"/>
        <v>0</v>
      </c>
      <c r="I8" s="24">
        <f t="shared" si="2"/>
        <v>68.4596273291926</v>
      </c>
      <c r="J8" s="24">
        <f>B8*$J$3</f>
        <v>38.0124223602484</v>
      </c>
      <c r="K8" s="24">
        <f t="shared" si="3"/>
        <v>0</v>
      </c>
      <c r="L8" s="24">
        <f t="shared" si="4"/>
        <v>30.4472049689441</v>
      </c>
      <c r="M8" s="24">
        <f>B8*$M$3</f>
        <v>38.0124223602484</v>
      </c>
      <c r="N8" s="24">
        <f>IF(L8&gt;M8,0,M8-L8)</f>
        <v>7.56521739130432</v>
      </c>
      <c r="O8" s="24">
        <f t="shared" si="5"/>
        <v>0</v>
      </c>
      <c r="P8" s="24">
        <f>B8*$P$3</f>
        <v>49.1925465838509</v>
      </c>
      <c r="Q8" s="24">
        <f>IF(O8&gt;P8,0,P8-O8)</f>
        <v>49.1925465838509</v>
      </c>
      <c r="R8" s="24">
        <f t="shared" si="6"/>
        <v>0</v>
      </c>
      <c r="S8" s="24">
        <f>B8*$S$3</f>
        <v>40.2484472049689</v>
      </c>
      <c r="T8" s="24">
        <f>IF(R8&gt;S8,0,S8-R8)</f>
        <v>40.2484472049689</v>
      </c>
      <c r="U8" s="24">
        <f t="shared" si="13"/>
        <v>0</v>
      </c>
      <c r="V8" s="24">
        <f t="shared" si="7"/>
        <v>97.0062111801241</v>
      </c>
      <c r="W8" s="31" t="s">
        <v>26</v>
      </c>
      <c r="X8" s="21">
        <f t="shared" si="8"/>
        <v>0</v>
      </c>
      <c r="Y8" s="24">
        <f t="shared" si="9"/>
        <v>0</v>
      </c>
      <c r="Z8" s="24">
        <f t="shared" si="10"/>
        <v>7.56521739130432</v>
      </c>
      <c r="AA8" s="24">
        <f t="shared" si="11"/>
        <v>49.1925465838509</v>
      </c>
      <c r="AB8" s="24">
        <f t="shared" si="12"/>
        <v>40.2484472049689</v>
      </c>
      <c r="AC8" s="40">
        <f>G8/30</f>
        <v>1.11801242236025</v>
      </c>
      <c r="AD8" s="40">
        <f>J8/30</f>
        <v>1.26708074534161</v>
      </c>
      <c r="AE8" s="40">
        <f>M8/30</f>
        <v>1.26708074534161</v>
      </c>
      <c r="AF8" s="40">
        <f>P8/30</f>
        <v>1.63975155279503</v>
      </c>
      <c r="AG8" s="40">
        <f>S8/30</f>
        <v>1.3416149068323</v>
      </c>
    </row>
    <row r="9" s="21" customFormat="1" ht="17.25" customHeight="1" spans="1:33">
      <c r="A9" s="31" t="s">
        <v>27</v>
      </c>
      <c r="B9" s="32">
        <f>6/(150+6+5)</f>
        <v>0.0372670807453416</v>
      </c>
      <c r="C9" s="33">
        <v>102</v>
      </c>
      <c r="F9" s="33">
        <f t="shared" si="0"/>
        <v>102</v>
      </c>
      <c r="G9" s="24">
        <f>B9*$G$3</f>
        <v>16.7701863354037</v>
      </c>
      <c r="H9" s="24">
        <f t="shared" si="1"/>
        <v>0</v>
      </c>
      <c r="I9" s="24">
        <f t="shared" si="2"/>
        <v>85.2298136645963</v>
      </c>
      <c r="J9" s="24">
        <f>B9*$J$3</f>
        <v>19.0062111801242</v>
      </c>
      <c r="K9" s="24">
        <f t="shared" si="3"/>
        <v>0</v>
      </c>
      <c r="L9" s="24">
        <f t="shared" si="4"/>
        <v>66.2236024844721</v>
      </c>
      <c r="M9" s="24">
        <f>B9*$M$3</f>
        <v>19.0062111801242</v>
      </c>
      <c r="N9" s="24">
        <f>IF(L9&gt;M9,0,M9-L9)</f>
        <v>0</v>
      </c>
      <c r="O9" s="24">
        <f t="shared" si="5"/>
        <v>47.2173913043478</v>
      </c>
      <c r="P9" s="24">
        <f>B9*$P$3</f>
        <v>24.5962732919255</v>
      </c>
      <c r="Q9" s="24">
        <f>IF(O9&gt;P9,0,P9-O9)</f>
        <v>0</v>
      </c>
      <c r="R9" s="24">
        <f t="shared" si="6"/>
        <v>22.6211180124224</v>
      </c>
      <c r="S9" s="24">
        <f>B9*$S$3</f>
        <v>20.1242236024845</v>
      </c>
      <c r="T9" s="24">
        <f>IF(R9&gt;S9,0,S9-R9)</f>
        <v>0</v>
      </c>
      <c r="U9" s="24">
        <f t="shared" si="13"/>
        <v>2.49689440993788</v>
      </c>
      <c r="V9" s="24">
        <f t="shared" si="7"/>
        <v>0</v>
      </c>
      <c r="W9" s="31" t="s">
        <v>28</v>
      </c>
      <c r="X9" s="21">
        <f t="shared" si="8"/>
        <v>0</v>
      </c>
      <c r="Y9" s="24">
        <f t="shared" si="9"/>
        <v>0</v>
      </c>
      <c r="Z9" s="24">
        <f t="shared" si="10"/>
        <v>0</v>
      </c>
      <c r="AA9" s="24">
        <f t="shared" si="11"/>
        <v>0</v>
      </c>
      <c r="AB9" s="24">
        <f t="shared" si="12"/>
        <v>0</v>
      </c>
      <c r="AC9" s="40">
        <f>G9/30</f>
        <v>0.559006211180124</v>
      </c>
      <c r="AD9" s="40">
        <f>J9/30</f>
        <v>0.633540372670807</v>
      </c>
      <c r="AE9" s="40">
        <f>M9/30</f>
        <v>0.633540372670807</v>
      </c>
      <c r="AF9" s="40">
        <f>P9/30</f>
        <v>0.819875776397515</v>
      </c>
      <c r="AG9" s="40">
        <f>S9/30</f>
        <v>0.67080745341615</v>
      </c>
    </row>
    <row r="10" s="21" customFormat="1" customHeight="1" spans="1:33">
      <c r="A10" s="34" t="s">
        <v>7</v>
      </c>
      <c r="B10" s="32"/>
      <c r="C10" s="35">
        <f>SUM(C5:C9)</f>
        <v>736</v>
      </c>
      <c r="D10" s="35"/>
      <c r="E10" s="35"/>
      <c r="F10" s="33">
        <f t="shared" si="0"/>
        <v>736</v>
      </c>
      <c r="G10" s="35">
        <f>SUM(G5:G9)</f>
        <v>450</v>
      </c>
      <c r="H10" s="24">
        <f t="shared" si="1"/>
        <v>0</v>
      </c>
      <c r="I10" s="24">
        <f t="shared" si="2"/>
        <v>286</v>
      </c>
      <c r="J10" s="24">
        <f>B10*$J$3</f>
        <v>0</v>
      </c>
      <c r="K10" s="24">
        <f t="shared" si="3"/>
        <v>0</v>
      </c>
      <c r="L10" s="24">
        <f t="shared" si="4"/>
        <v>286</v>
      </c>
      <c r="M10" s="24">
        <f>B10*$M$3</f>
        <v>0</v>
      </c>
      <c r="N10" s="24">
        <f>IF(L10&gt;M10,0,M10-L10)</f>
        <v>0</v>
      </c>
      <c r="O10" s="24">
        <f t="shared" si="5"/>
        <v>286</v>
      </c>
      <c r="P10" s="24">
        <f>B10*$P$3</f>
        <v>0</v>
      </c>
      <c r="Q10" s="24">
        <f>IF(O10&gt;P10,0,P10-O10)</f>
        <v>0</v>
      </c>
      <c r="R10" s="24">
        <f t="shared" si="6"/>
        <v>286</v>
      </c>
      <c r="S10" s="24">
        <f>B10*$S$3</f>
        <v>0</v>
      </c>
      <c r="T10" s="24">
        <f>IF(R10&gt;S10,0,S10-R10)</f>
        <v>0</v>
      </c>
      <c r="U10" s="24">
        <f t="shared" si="13"/>
        <v>286</v>
      </c>
      <c r="V10" s="24">
        <f t="shared" si="7"/>
        <v>0</v>
      </c>
      <c r="W10" s="21" t="s">
        <v>7</v>
      </c>
      <c r="X10" s="21">
        <f t="shared" si="8"/>
        <v>0</v>
      </c>
      <c r="Y10" s="24">
        <f t="shared" si="9"/>
        <v>0</v>
      </c>
      <c r="Z10" s="24">
        <f t="shared" si="10"/>
        <v>0</v>
      </c>
      <c r="AA10" s="24">
        <f t="shared" si="11"/>
        <v>0</v>
      </c>
      <c r="AB10" s="24">
        <f t="shared" si="12"/>
        <v>0</v>
      </c>
      <c r="AC10" s="21">
        <f>SUM(AC5:AC9)</f>
        <v>15</v>
      </c>
      <c r="AD10" s="21">
        <f>SUM(AD5:AD9)</f>
        <v>17</v>
      </c>
      <c r="AE10" s="21">
        <f>SUM(AE5:AE9)</f>
        <v>17</v>
      </c>
      <c r="AF10" s="21">
        <f>SUM(AF5:AF9)</f>
        <v>22</v>
      </c>
      <c r="AG10" s="21">
        <f>SUM(AG5:AG9)</f>
        <v>18</v>
      </c>
    </row>
    <row r="13" customFormat="1" customHeight="1" spans="1:41">
      <c r="A13" s="23"/>
      <c r="B13" s="36"/>
      <c r="C13" s="37"/>
      <c r="D13" s="21"/>
      <c r="E13" s="21"/>
      <c r="F13" s="21"/>
      <c r="G13" s="21"/>
      <c r="H13" s="24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</row>
    <row r="14" customHeight="1" spans="1:6">
      <c r="A14" s="38" t="s">
        <v>29</v>
      </c>
      <c r="B14" s="38"/>
      <c r="C14" s="38"/>
      <c r="D14" s="38"/>
      <c r="E14" s="38"/>
      <c r="F14" s="38"/>
    </row>
    <row r="15" customHeight="1" spans="1:6">
      <c r="A15" s="38"/>
      <c r="B15" s="38"/>
      <c r="C15" s="38"/>
      <c r="D15" s="38"/>
      <c r="E15" s="38"/>
      <c r="F15" s="38"/>
    </row>
    <row r="16" customHeight="1" spans="1:6">
      <c r="A16" s="38"/>
      <c r="B16" s="38"/>
      <c r="C16" s="38"/>
      <c r="D16" s="38"/>
      <c r="E16" s="38"/>
      <c r="F16" s="38"/>
    </row>
    <row r="17" customHeight="1" spans="1:6">
      <c r="A17" s="38"/>
      <c r="B17" s="38"/>
      <c r="C17" s="38"/>
      <c r="D17" s="38"/>
      <c r="E17" s="38"/>
      <c r="F17" s="38"/>
    </row>
  </sheetData>
  <mergeCells count="1">
    <mergeCell ref="A14:F17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F4" sqref="F4"/>
    </sheetView>
  </sheetViews>
  <sheetFormatPr defaultColWidth="9" defaultRowHeight="15.75" outlineLevelCol="2"/>
  <cols>
    <col min="1" max="1" width="17.875" customWidth="1"/>
    <col min="2" max="2" width="11.875" customWidth="1"/>
    <col min="3" max="3" width="17.75" style="1" customWidth="1"/>
  </cols>
  <sheetData>
    <row r="1" ht="38" customHeight="1" spans="1:3">
      <c r="A1" s="2" t="s">
        <v>30</v>
      </c>
      <c r="B1" s="2" t="s">
        <v>31</v>
      </c>
      <c r="C1" s="3" t="s">
        <v>32</v>
      </c>
    </row>
    <row r="2" ht="38" customHeight="1" spans="1:3">
      <c r="A2" s="4" t="s">
        <v>33</v>
      </c>
      <c r="B2" s="5">
        <v>1000</v>
      </c>
      <c r="C2" s="6" t="s">
        <v>34</v>
      </c>
    </row>
    <row r="3" ht="38" customHeight="1" spans="1:3">
      <c r="A3" s="7">
        <v>991807</v>
      </c>
      <c r="B3" s="8">
        <v>900</v>
      </c>
      <c r="C3" s="9" t="s">
        <v>35</v>
      </c>
    </row>
    <row r="4" ht="38" customHeight="1" spans="1:3">
      <c r="A4" s="10" t="s">
        <v>36</v>
      </c>
      <c r="B4" s="11">
        <v>250</v>
      </c>
      <c r="C4" s="6" t="s">
        <v>37</v>
      </c>
    </row>
    <row r="5" ht="38" customHeight="1" spans="1:3">
      <c r="A5" s="12" t="s">
        <v>38</v>
      </c>
      <c r="B5" s="13">
        <v>26</v>
      </c>
      <c r="C5" s="14"/>
    </row>
    <row r="6" ht="38" customHeight="1" spans="1:3">
      <c r="A6" s="12" t="s">
        <v>39</v>
      </c>
      <c r="B6" s="13">
        <v>44</v>
      </c>
      <c r="C6" s="14"/>
    </row>
    <row r="7" ht="38" customHeight="1" spans="1:3">
      <c r="A7" s="15" t="s">
        <v>40</v>
      </c>
      <c r="B7" s="16">
        <v>44</v>
      </c>
      <c r="C7" s="17"/>
    </row>
    <row r="8" ht="38" customHeight="1" spans="1:3">
      <c r="A8" s="18">
        <v>991801</v>
      </c>
      <c r="B8" s="16">
        <v>1200</v>
      </c>
      <c r="C8" s="17" t="s">
        <v>37</v>
      </c>
    </row>
    <row r="9" ht="38" customHeight="1" spans="1:3">
      <c r="A9" s="19"/>
      <c r="B9" s="19"/>
      <c r="C9" s="19"/>
    </row>
    <row r="10" spans="1:3">
      <c r="A10" s="19"/>
      <c r="B10" s="19"/>
      <c r="C10" s="19"/>
    </row>
  </sheetData>
  <mergeCells count="1">
    <mergeCell ref="C4:C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汇总下单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amelie galanti</cp:lastModifiedBy>
  <dcterms:created xsi:type="dcterms:W3CDTF">2006-09-16T16:00:00Z</dcterms:created>
  <dcterms:modified xsi:type="dcterms:W3CDTF">2022-03-20T11:00:12Z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7689241C58B74FC8A4AF881DE5885DE8</vt:lpwstr>
  </property>
  <property fmtid="{D5CDD505-2E9C-101B-9397-08002B2CF9AE}" pid="3" name="KSOProductBuildVer">
    <vt:lpwstr>2052-11.1.0.11365</vt:lpwstr>
  </property>
  <property fmtid="{D5CDD505-2E9C-101B-9397-08002B2CF9AE}" pid="4" name="KSOReadingLayout">
    <vt:bool>true</vt:bool>
  </property>
</Properties>
</file>