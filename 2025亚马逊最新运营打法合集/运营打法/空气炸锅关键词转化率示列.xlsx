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455" windowHeight="8850"/>
  </bookViews>
  <sheets>
    <sheet name="空气炸锅关键词转化率计算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<sst xmlns="http://schemas.openxmlformats.org/spreadsheetml/2006/main" count="116" uniqueCount="111">
  <si>
    <t>商品名称</t>
  </si>
  <si>
    <t>ASIN</t>
  </si>
  <si>
    <t>品牌</t>
  </si>
  <si>
    <t>细分市场点击量（过去 360 天）</t>
  </si>
  <si>
    <t>点击分享（过去 360 天内）</t>
  </si>
  <si>
    <t>搜索词</t>
  </si>
  <si>
    <t>搜索量（过去 360 天）</t>
  </si>
  <si>
    <t>搜索量增长（过去 90 天）</t>
  </si>
  <si>
    <t>搜索量增长（过去 180 天）</t>
  </si>
  <si>
    <t>点击份额（过去 360 天）</t>
  </si>
  <si>
    <t>搜索转化率（过去 360 天）</t>
  </si>
  <si>
    <t>单量</t>
  </si>
  <si>
    <t>点击量</t>
  </si>
  <si>
    <t>转化率</t>
  </si>
  <si>
    <t>Air Fryer Paper Liners 125Pcs Parchment Paper Air Fryer Disposable Paper Liner for Microwave Non-Stick Air Fryer Liners Square Free of Bleach (8IN)</t>
  </si>
  <si>
    <t>B0B6PLG6G2</t>
  </si>
  <si>
    <t>vailnd</t>
  </si>
  <si>
    <t>air fryer liners</t>
  </si>
  <si>
    <t>Air Fryer Silicone Liners Square 2 Pack 8.6 Inch Airfryer Liners 4-7 QT Reusable Air Fryer Liners Silicone Pot Oven Liner Baking Tray Air Fryer Basket Silicone Mat Bowl Air Fryer Accessories Kitchen</t>
  </si>
  <si>
    <t>B0C58RP6G9</t>
  </si>
  <si>
    <t>Seropy</t>
  </si>
  <si>
    <t>air fryer liners disposable</t>
  </si>
  <si>
    <t>Air Fryer Paper Liners 100PCS Non-stick Disposable Liners Baking Paper for Air Fryer Oil-proof Water-proof Food Grade Parchment for Baking Roasting Microwave (100Pcs-6.3 inch)</t>
  </si>
  <si>
    <t>B09PHRSWH1</t>
  </si>
  <si>
    <t>TOGOO</t>
  </si>
  <si>
    <t>air fryer accessories</t>
  </si>
  <si>
    <t>Ailun Air Fryer Paper Liners 8inch 100PCS Non-Stick Parchment Paper Oil Resistant Disposable Food Grade Free of Bleach Paper Round for 5-8 QT Air Fryer Baking Roasting Microwave</t>
  </si>
  <si>
    <t>B09Z7VXPL3</t>
  </si>
  <si>
    <t>Ailun</t>
  </si>
  <si>
    <t>airfryer liners</t>
  </si>
  <si>
    <t>Ailun Air Fryer Paper Liners 8inch 100PCS Non-Stick Parchment Paper Oil Resistant Disposable Food Grade Free of Bleach Paper Square for 5-8 QT Air Fryer Baking Roasting Microwave</t>
  </si>
  <si>
    <t>B0BLVSZFFQ</t>
  </si>
  <si>
    <t>air fryer parchment paper liners</t>
  </si>
  <si>
    <t>Large Air Fryer Disposable Paper Liners Square 9 Inch 125 Pcs Parchment paper liner for 5-8QT Air fryer Oil-proof Water-proof Parchment Baking Paper for Baking Roasting Microwave</t>
  </si>
  <si>
    <t>B0B4BHMTL9</t>
  </si>
  <si>
    <t>mutvle</t>
  </si>
  <si>
    <t>silicone air fryer liners</t>
  </si>
  <si>
    <t>Air Fryer Paper Liners 100PCS Non-stick Disposable Parchment Sheets for Baking Food Grade Liner for Baking Roasting Microwave (7.9inch-Round)</t>
  </si>
  <si>
    <t>B09PHRNT5B</t>
  </si>
  <si>
    <t>air fryer silicone liners</t>
  </si>
  <si>
    <t>2 Pack Air Fryer Silicone Liners Pot for 3 to 5 QT Basket Bowl Replacement of Flammable Parchment Paper Reusable Baking Tray Oven Accessories Red+Blue (Top 8in Bottom 6.75in)</t>
  </si>
  <si>
    <t>B0BGL1VMW8</t>
  </si>
  <si>
    <t>AKSDTH</t>
  </si>
  <si>
    <t>air fryer liner</t>
  </si>
  <si>
    <t>Air Fryer Liners 120Pcs Disposable Airfryer Parchment Paper Liners Non-Stick and Oil Proof for Easy Cleanup 8 Square for 5-8 qt Basket by Bakers Signature</t>
  </si>
  <si>
    <t>B0C6Y8NYK1</t>
  </si>
  <si>
    <t>Baker's Signature</t>
  </si>
  <si>
    <t>parchment paper for air fryer</t>
  </si>
  <si>
    <t>Boribim 2 PCS Square Silicone Air Fryer Liners - 8 Inch Reusable Air Fryer Pot - Air Fryer Accessories - Air Fryer Inserts for 4 to 7 QT Oven Microwave Accessories (Red + Blue)</t>
  </si>
  <si>
    <t>B0BKFRZB31</t>
  </si>
  <si>
    <t>Boribim</t>
  </si>
  <si>
    <t>air fryer paper liners</t>
  </si>
  <si>
    <t>200pcs Air Fryer Parchment Paper Disposable Liner 8.5inch Premium Perforated for Air Fryer Streamer Pans No Burn Easy Cleanup (Brown)</t>
  </si>
  <si>
    <t>B0937MP54Z</t>
  </si>
  <si>
    <t>SyeiouC</t>
  </si>
  <si>
    <t>air fryer liners reusable</t>
  </si>
  <si>
    <t>Air Fryer Liners Disposable Paper 150 PCS Non-stick Parchment Paper Air Fryer Disposable Liners For 5-8QT Air fryer Oil-proof 8 Inch Airfryer Paper for Frying Baking Roasting Microwave (Square)</t>
  </si>
  <si>
    <t>B0C7Q1MWWB</t>
  </si>
  <si>
    <t>AOJOYS</t>
  </si>
  <si>
    <t>airfryer paper liners</t>
  </si>
  <si>
    <t>[125 Count] 8 Inch Disposable Square Air Fryer Liners Non-Stick Parchment Paper Liners Waterproof Oil Resistance - Kraft</t>
  </si>
  <si>
    <t>B0BQ5Y2CKW</t>
  </si>
  <si>
    <t>Comfy Package</t>
  </si>
  <si>
    <t>air fryer paper</t>
  </si>
  <si>
    <t>Air Fryer Parchment disposable Paper Liners: 200PCS 8.5 inch Square Perforated parchment paper Premium Bamboo Steamer Liner for Air Fryers Baking Cooking Oven</t>
  </si>
  <si>
    <t>B099DWVQ1K</t>
  </si>
  <si>
    <t>DNSSY</t>
  </si>
  <si>
    <t>liners for air fryer basket</t>
  </si>
  <si>
    <t>3 Pack Air Fryer Silicone Liners 8inch Air Fryer Silicone Pot Reusable Food Grade Silicone Airfryer Liners Baking Tray Basket Accessories Replacement of Flammable Disposable Parchment Paper Fit 3-7QT</t>
  </si>
  <si>
    <t>B0BHQZN3GC</t>
  </si>
  <si>
    <t>Buauty</t>
  </si>
  <si>
    <t>reusable air fryer liners</t>
  </si>
  <si>
    <t>Air Fryer Disposable Paper Liner 100PCS Food Grade Parchment Liners for Ninja DZ201 Ninja Foodi Dual Air Fryer Accessories Baking Paper (9 * 6 Natural)</t>
  </si>
  <si>
    <t>B0B67J4HYM</t>
  </si>
  <si>
    <t>Ecfvtp</t>
  </si>
  <si>
    <t>air fryer disposable paper liner</t>
  </si>
  <si>
    <t>Disposable Paper Liners 120 Pcs Square Airfryer Parchment Cooking Non-Stick Liner Accessories Microwave Oven Frying Pan Oil-proof Air Fryers Filters Sheet for 2 3 4 4.5 Qt Baking Basket</t>
  </si>
  <si>
    <t>B0BG5FB466</t>
  </si>
  <si>
    <t>PADIMAT</t>
  </si>
  <si>
    <t>air fryer sheets</t>
  </si>
  <si>
    <t>Air Fryer Disposable Paper Liners 120 Pcs Square Airfryer Parchment Cooking Non-Stick Liner Accessories Microwave Oven Frying Pan Oil-proof Air Fryers Filters Sheets for 5 6 7 8 Qt Baking Basket</t>
  </si>
  <si>
    <t>B0BG5G1W57</t>
  </si>
  <si>
    <t>disposable air fryer paper liners</t>
  </si>
  <si>
    <t>Air Fryer Disposable Paper Liner-300PCS Reusable Liners Round Parchment Paper Non-Stick Food Grade Sheets for Fryer Baking Cooking 7.9Inch</t>
  </si>
  <si>
    <t>B0B5WN6G9B</t>
  </si>
  <si>
    <t>Home Expert</t>
  </si>
  <si>
    <t>gourmia air fryer liners</t>
  </si>
  <si>
    <t>Air Fryer Disposable Paper Liners - 125Pcs 8In Square Parchment Paper Non-Stick Airfryer Basket Liners for Steamer Microwave Oven</t>
  </si>
  <si>
    <t>B0BFVW29P9</t>
  </si>
  <si>
    <t>ctizne</t>
  </si>
  <si>
    <t>air fryer parchment paper</t>
  </si>
  <si>
    <t>Air Fryer Disposable Paper Liners for Ninja Dual Airfryer Non-Stick Parchment Paper Rectangular Air Fryer Accessories Oil Proof Water Proof Paper Liner for Microwave Oven (100PCS 8.6in x 5.5in</t>
  </si>
  <si>
    <t>B0C4PJS6Z7</t>
  </si>
  <si>
    <t>MUOOMU</t>
  </si>
  <si>
    <t>GOAUS Air Fryer 100 Pcs Square Paper Liners Disposable Large for 5 to 8 Qt Basket 7.9 inch Unbleached Non-stick Oil-proof Parchment Paper</t>
  </si>
  <si>
    <t>B09YD2Q2MG</t>
  </si>
  <si>
    <t>GOAUS</t>
  </si>
  <si>
    <t>Disposable Air Fryer Paper Liners: 100PCS 8 Inch Square Liners for Air Fryer Grease and Water Proof Non Stick Basket Parchment Paper</t>
  </si>
  <si>
    <t>B09YMB66ZJ</t>
  </si>
  <si>
    <t>Air Fryer Disposable Paper Liners 100 PCS Non-stick Parchment Paper Round Air Fryer Liners for 5-8QT Air fryer Oil-proof 8 Inch Airfryer Paper for Frying Baking Roasting Microwave</t>
  </si>
  <si>
    <t>B0CF277Q38</t>
  </si>
  <si>
    <t>Catalina Creations</t>
  </si>
  <si>
    <t>Air Fryer Disposable Square Parchment Liners Non-Stick Water Proof - 100 Pack of 6.3 inch Liners for Frying Pans and Microwaves</t>
  </si>
  <si>
    <t>B0B2K3K63J</t>
  </si>
  <si>
    <t>Air Fryer Liners Disposable 100pcs Air Fryer Parchment Paper 8 Inch (Fit 5-8 Qt) Non-Stick Oil Paper For Air Frying Baking Microwave Oven Baking</t>
  </si>
  <si>
    <t>B0CF65HSGH</t>
  </si>
  <si>
    <t>Inlefen</t>
  </si>
  <si>
    <t>120 PCS Air Fryer Disposable Paper Liner Square 8-inch (Fit 5-8 QT) Non-stick Parchment Paper for Air Frying Baking Roasting Microwave Unbleached Oil-proof Parchment Paper</t>
  </si>
  <si>
    <t>B0BBFF2PZJ</t>
  </si>
  <si>
    <t>VITEVER</t>
  </si>
  <si>
    <t>求和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</si>
</sst>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10" fontId="0" fillId="0" borderId="1" xfId="0" applyNumberFormat="1" applyBorder="1">
      <alignment vertical="center"/>
    </xf>
    <xf numFmtId="0" fontId="0" fillId="2" borderId="1" xfId="0" applyFill="1" applyBorder="1">
      <alignment vertical="center"/>
    </xf>
    <xf numFmtId="10" fontId="0" fillId="2" borderId="1" xfId="0" applyNumberForma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9"/>
  <sheetViews>
    <sheetView tabSelected="1" topLeftCell="B1" workbookViewId="0">
      <selection activeCell="D57" sqref="D57"/>
    </sheetView>
  </sheetViews>
  <sheetFormatPr defaultColWidth="9" defaultRowHeight="13.5"/>
  <cols>
    <col min="2" max="2" width="14" customWidth="1"/>
    <col min="4" max="4" width="31" customWidth="1"/>
    <col min="5" max="5" width="26.875" customWidth="1"/>
    <col min="7" max="7" width="37.125" customWidth="1"/>
    <col min="8" max="8" width="22.625" customWidth="1"/>
    <col min="9" max="9" width="25.75" customWidth="1"/>
    <col min="10" max="10" width="26.875" customWidth="1"/>
    <col min="11" max="11" width="24.75" customWidth="1"/>
    <col min="12" max="12" width="26.875" customWidth="1"/>
    <col min="13" max="13" width="10.625" customWidth="1"/>
    <col min="14" max="14" width="13.625" customWidth="1"/>
    <col min="15" max="15" width="13.375" customWidth="1"/>
    <col min="16" max="16" width="26.875" customWidth="1"/>
  </cols>
  <sheetData>
    <row r="1" spans="1:15">
      <c r="A1" t="s">
        <v>0</v>
      </c>
      <c r="B1" s="1" t="s">
        <v>1</v>
      </c>
      <c r="C1" s="1" t="s">
        <v>2</v>
      </c>
      <c r="D1" s="1" t="s">
        <v>3</v>
      </c>
      <c r="E1" s="2" t="s">
        <v>4</v>
      </c>
      <c r="G1" s="1" t="s">
        <v>5</v>
      </c>
      <c r="H1" s="1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1" t="s">
        <v>11</v>
      </c>
      <c r="N1" s="1" t="s">
        <v>12</v>
      </c>
      <c r="O1" s="2" t="s">
        <v>13</v>
      </c>
    </row>
    <row r="2" spans="1:15">
      <c r="A2" t="s">
        <v>14</v>
      </c>
      <c r="B2" s="1" t="s">
        <v>15</v>
      </c>
      <c r="C2" s="1" t="s">
        <v>16</v>
      </c>
      <c r="D2" s="1">
        <v>461128</v>
      </c>
      <c r="E2" s="2">
        <v>0.2364</v>
      </c>
      <c r="G2" s="1" t="s">
        <v>17</v>
      </c>
      <c r="H2" s="1">
        <v>3319862</v>
      </c>
      <c r="I2" s="2">
        <v>0.191</v>
      </c>
      <c r="J2" s="2">
        <v>-0.2804</v>
      </c>
      <c r="K2" s="2">
        <v>0.4267</v>
      </c>
      <c r="L2" s="2">
        <v>0.0562</v>
      </c>
      <c r="M2" s="1">
        <f>H2*L2</f>
        <v>186576.2444</v>
      </c>
      <c r="N2" s="1">
        <f>$D$29*K2</f>
        <v>831998.0081</v>
      </c>
      <c r="O2" s="2">
        <f>M2/N2</f>
        <v>0.224250830631285</v>
      </c>
    </row>
    <row r="3" spans="1:15">
      <c r="A3" t="s">
        <v>18</v>
      </c>
      <c r="B3" s="1" t="s">
        <v>19</v>
      </c>
      <c r="C3" s="1" t="s">
        <v>20</v>
      </c>
      <c r="D3" s="1">
        <v>62124</v>
      </c>
      <c r="E3" s="2">
        <v>0.0318</v>
      </c>
      <c r="G3" s="1" t="s">
        <v>21</v>
      </c>
      <c r="H3" s="1">
        <v>1145406</v>
      </c>
      <c r="I3" s="2">
        <v>0.1034</v>
      </c>
      <c r="J3" s="2">
        <v>0.051</v>
      </c>
      <c r="K3" s="2">
        <v>0.1723</v>
      </c>
      <c r="L3" s="2">
        <v>0.07</v>
      </c>
      <c r="M3" s="1">
        <f t="shared" ref="M3:M21" si="0">H3*L3</f>
        <v>80178.42</v>
      </c>
      <c r="N3" s="1">
        <f t="shared" ref="N3:N21" si="1">$D$29*K3</f>
        <v>335957.9489</v>
      </c>
      <c r="O3" s="2">
        <f t="shared" ref="O3:O21" si="2">M3/N3</f>
        <v>0.238656118310407</v>
      </c>
    </row>
    <row r="4" spans="1:15">
      <c r="A4" t="s">
        <v>22</v>
      </c>
      <c r="B4" s="1" t="s">
        <v>23</v>
      </c>
      <c r="C4" s="1" t="s">
        <v>24</v>
      </c>
      <c r="D4" s="1">
        <v>99846</v>
      </c>
      <c r="E4" s="2">
        <v>0.0512</v>
      </c>
      <c r="G4" s="1" t="s">
        <v>25</v>
      </c>
      <c r="H4" s="1">
        <v>851904</v>
      </c>
      <c r="I4" s="2">
        <v>0.9323</v>
      </c>
      <c r="J4" s="2">
        <v>0.0346</v>
      </c>
      <c r="K4" s="2">
        <v>0.0368</v>
      </c>
      <c r="L4" s="2">
        <v>0.005</v>
      </c>
      <c r="M4" s="1">
        <f t="shared" si="0"/>
        <v>4259.52</v>
      </c>
      <c r="N4" s="1">
        <f t="shared" si="1"/>
        <v>71754.2224</v>
      </c>
      <c r="O4" s="2">
        <f t="shared" si="2"/>
        <v>0.0593626389852704</v>
      </c>
    </row>
    <row r="5" spans="1:15">
      <c r="A5" t="s">
        <v>26</v>
      </c>
      <c r="B5" s="1" t="s">
        <v>27</v>
      </c>
      <c r="C5" s="1" t="s">
        <v>28</v>
      </c>
      <c r="D5" s="1">
        <v>174419</v>
      </c>
      <c r="E5" s="2">
        <v>0.0894</v>
      </c>
      <c r="G5" s="1" t="s">
        <v>29</v>
      </c>
      <c r="H5" s="1">
        <v>484992</v>
      </c>
      <c r="I5" s="2">
        <v>0.4162</v>
      </c>
      <c r="J5" s="2">
        <v>0.0356</v>
      </c>
      <c r="K5" s="2">
        <v>0.083</v>
      </c>
      <c r="L5" s="2">
        <v>0.0545</v>
      </c>
      <c r="M5" s="1">
        <f t="shared" si="0"/>
        <v>26432.064</v>
      </c>
      <c r="N5" s="1">
        <f t="shared" si="1"/>
        <v>161836.969</v>
      </c>
      <c r="O5" s="2">
        <f t="shared" si="2"/>
        <v>0.163325253576641</v>
      </c>
    </row>
    <row r="6" spans="1:15">
      <c r="A6" t="s">
        <v>30</v>
      </c>
      <c r="B6" s="1" t="s">
        <v>31</v>
      </c>
      <c r="C6" s="1" t="s">
        <v>28</v>
      </c>
      <c r="D6" s="1">
        <v>69679</v>
      </c>
      <c r="E6" s="2">
        <v>0.0357</v>
      </c>
      <c r="G6" s="1" t="s">
        <v>32</v>
      </c>
      <c r="H6" s="1">
        <v>332226</v>
      </c>
      <c r="I6" s="2">
        <v>0.4032</v>
      </c>
      <c r="J6" s="2">
        <v>1.4466</v>
      </c>
      <c r="K6" s="2">
        <v>0.0769</v>
      </c>
      <c r="L6" s="2">
        <v>0.0612</v>
      </c>
      <c r="M6" s="1">
        <f t="shared" si="0"/>
        <v>20332.2312</v>
      </c>
      <c r="N6" s="1">
        <f t="shared" si="1"/>
        <v>149942.9267</v>
      </c>
      <c r="O6" s="2">
        <f t="shared" si="2"/>
        <v>0.135599802187935</v>
      </c>
    </row>
    <row r="7" spans="1:15">
      <c r="A7" t="s">
        <v>33</v>
      </c>
      <c r="B7" s="1" t="s">
        <v>34</v>
      </c>
      <c r="C7" s="1" t="s">
        <v>35</v>
      </c>
      <c r="D7" s="1">
        <v>77039</v>
      </c>
      <c r="E7" s="2">
        <v>0.0395</v>
      </c>
      <c r="G7" s="1" t="s">
        <v>36</v>
      </c>
      <c r="H7" s="1">
        <v>629392</v>
      </c>
      <c r="I7" s="2">
        <v>0.1925</v>
      </c>
      <c r="J7" s="2">
        <v>-0.4919</v>
      </c>
      <c r="K7" s="2">
        <v>0.034</v>
      </c>
      <c r="L7" s="2">
        <v>0.0139</v>
      </c>
      <c r="M7" s="1">
        <f t="shared" si="0"/>
        <v>8748.5488</v>
      </c>
      <c r="N7" s="1">
        <f t="shared" si="1"/>
        <v>66294.662</v>
      </c>
      <c r="O7" s="2">
        <f t="shared" si="2"/>
        <v>0.131964603726315</v>
      </c>
    </row>
    <row r="8" spans="1:15">
      <c r="A8" t="s">
        <v>37</v>
      </c>
      <c r="B8" s="1" t="s">
        <v>38</v>
      </c>
      <c r="C8" s="1" t="s">
        <v>24</v>
      </c>
      <c r="D8" s="1">
        <v>29129</v>
      </c>
      <c r="E8" s="2">
        <v>0.0149</v>
      </c>
      <c r="G8" s="1" t="s">
        <v>39</v>
      </c>
      <c r="H8" s="1">
        <v>762998</v>
      </c>
      <c r="I8" s="2">
        <v>-0.2424</v>
      </c>
      <c r="J8" s="2">
        <v>-0.5382</v>
      </c>
      <c r="K8" s="2">
        <v>0.0319</v>
      </c>
      <c r="L8" s="2">
        <v>0.0158</v>
      </c>
      <c r="M8" s="1">
        <f t="shared" si="0"/>
        <v>12055.3684</v>
      </c>
      <c r="N8" s="1">
        <f t="shared" si="1"/>
        <v>62199.9917</v>
      </c>
      <c r="O8" s="2">
        <f t="shared" si="2"/>
        <v>0.193816238081588</v>
      </c>
    </row>
    <row r="9" spans="1:15">
      <c r="A9" t="s">
        <v>40</v>
      </c>
      <c r="B9" s="1" t="s">
        <v>41</v>
      </c>
      <c r="C9" s="1" t="s">
        <v>42</v>
      </c>
      <c r="D9" s="1">
        <v>145117</v>
      </c>
      <c r="E9" s="2">
        <v>0.0744</v>
      </c>
      <c r="G9" s="1" t="s">
        <v>43</v>
      </c>
      <c r="H9" s="1">
        <v>201818</v>
      </c>
      <c r="I9" s="2">
        <v>0.1545</v>
      </c>
      <c r="J9" s="2">
        <v>0.0269</v>
      </c>
      <c r="K9" s="2">
        <v>0.0318</v>
      </c>
      <c r="L9" s="2">
        <v>0.0475</v>
      </c>
      <c r="M9" s="1">
        <f t="shared" si="0"/>
        <v>9586.355</v>
      </c>
      <c r="N9" s="1">
        <f t="shared" si="1"/>
        <v>62005.0074</v>
      </c>
      <c r="O9" s="2">
        <f t="shared" si="2"/>
        <v>0.154606142341981</v>
      </c>
    </row>
    <row r="10" spans="1:15">
      <c r="A10" t="s">
        <v>44</v>
      </c>
      <c r="B10" s="1" t="s">
        <v>45</v>
      </c>
      <c r="C10" s="1" t="s">
        <v>46</v>
      </c>
      <c r="D10" s="1">
        <v>31016</v>
      </c>
      <c r="E10" s="2">
        <v>0.0159</v>
      </c>
      <c r="G10" s="1" t="s">
        <v>47</v>
      </c>
      <c r="H10" s="1">
        <v>158705</v>
      </c>
      <c r="I10" s="2">
        <v>0.1367</v>
      </c>
      <c r="J10" s="2">
        <v>-0.1413</v>
      </c>
      <c r="K10" s="2">
        <v>0.0193</v>
      </c>
      <c r="L10" s="2">
        <v>0.0511</v>
      </c>
      <c r="M10" s="1">
        <f t="shared" si="0"/>
        <v>8109.8255</v>
      </c>
      <c r="N10" s="1">
        <f t="shared" si="1"/>
        <v>37631.9699</v>
      </c>
      <c r="O10" s="2">
        <f t="shared" si="2"/>
        <v>0.21550361359106</v>
      </c>
    </row>
    <row r="11" spans="1:15">
      <c r="A11" t="s">
        <v>48</v>
      </c>
      <c r="B11" s="1" t="s">
        <v>49</v>
      </c>
      <c r="C11" s="1" t="s">
        <v>50</v>
      </c>
      <c r="D11" s="1">
        <v>70550</v>
      </c>
      <c r="E11" s="2">
        <v>0.0361</v>
      </c>
      <c r="G11" s="1" t="s">
        <v>51</v>
      </c>
      <c r="H11" s="1">
        <v>123341</v>
      </c>
      <c r="I11" s="2">
        <v>-0.2723</v>
      </c>
      <c r="J11" s="2">
        <v>1.3111</v>
      </c>
      <c r="K11" s="2">
        <v>0.0198</v>
      </c>
      <c r="L11" s="2">
        <v>0.0598</v>
      </c>
      <c r="M11" s="1">
        <f t="shared" si="0"/>
        <v>7375.7918</v>
      </c>
      <c r="N11" s="1">
        <f t="shared" si="1"/>
        <v>38606.8914</v>
      </c>
      <c r="O11" s="2">
        <f t="shared" si="2"/>
        <v>0.191048580513271</v>
      </c>
    </row>
    <row r="12" spans="1:15">
      <c r="A12" t="s">
        <v>52</v>
      </c>
      <c r="B12" s="1" t="s">
        <v>53</v>
      </c>
      <c r="C12" s="1" t="s">
        <v>54</v>
      </c>
      <c r="D12" s="1">
        <v>99156</v>
      </c>
      <c r="E12" s="2">
        <v>0.0508</v>
      </c>
      <c r="G12" s="1" t="s">
        <v>55</v>
      </c>
      <c r="H12" s="1">
        <v>115559</v>
      </c>
      <c r="I12" s="2">
        <v>0.4737</v>
      </c>
      <c r="J12" s="2">
        <v>-0.1606</v>
      </c>
      <c r="K12" s="2">
        <v>0.0078</v>
      </c>
      <c r="L12" s="2">
        <v>0.014</v>
      </c>
      <c r="M12" s="1">
        <f t="shared" si="0"/>
        <v>1617.826</v>
      </c>
      <c r="N12" s="1">
        <f t="shared" si="1"/>
        <v>15208.7754</v>
      </c>
      <c r="O12" s="2">
        <f t="shared" si="2"/>
        <v>0.106374507969918</v>
      </c>
    </row>
    <row r="13" spans="1:15">
      <c r="A13" t="s">
        <v>56</v>
      </c>
      <c r="B13" s="1" t="s">
        <v>57</v>
      </c>
      <c r="C13" s="1" t="s">
        <v>58</v>
      </c>
      <c r="D13" s="1">
        <v>26927</v>
      </c>
      <c r="E13" s="2">
        <v>0.0138</v>
      </c>
      <c r="G13" s="1" t="s">
        <v>59</v>
      </c>
      <c r="H13" s="1">
        <v>98615</v>
      </c>
      <c r="I13" s="2">
        <v>-0.2521</v>
      </c>
      <c r="J13" s="2">
        <v>0.7989</v>
      </c>
      <c r="K13" s="2">
        <v>0.0142</v>
      </c>
      <c r="L13" s="2">
        <v>0.0612</v>
      </c>
      <c r="M13" s="1">
        <f t="shared" si="0"/>
        <v>6035.238</v>
      </c>
      <c r="N13" s="1">
        <f t="shared" si="1"/>
        <v>27687.7706</v>
      </c>
      <c r="O13" s="2">
        <f t="shared" si="2"/>
        <v>0.217974862880437</v>
      </c>
    </row>
    <row r="14" spans="1:15">
      <c r="A14" t="s">
        <v>60</v>
      </c>
      <c r="B14" s="1" t="s">
        <v>61</v>
      </c>
      <c r="C14" s="1" t="s">
        <v>62</v>
      </c>
      <c r="D14" s="1">
        <v>25021</v>
      </c>
      <c r="E14" s="2">
        <v>0.0128</v>
      </c>
      <c r="G14" s="1" t="s">
        <v>63</v>
      </c>
      <c r="H14" s="1">
        <v>79554</v>
      </c>
      <c r="I14" s="2">
        <v>-0.1978</v>
      </c>
      <c r="J14" s="2">
        <v>-0.0856</v>
      </c>
      <c r="K14" s="2">
        <v>0.0094</v>
      </c>
      <c r="L14" s="2">
        <v>0.0526</v>
      </c>
      <c r="M14" s="1">
        <f t="shared" si="0"/>
        <v>4184.5404</v>
      </c>
      <c r="N14" s="1">
        <f t="shared" si="1"/>
        <v>18328.5242</v>
      </c>
      <c r="O14" s="2">
        <f t="shared" si="2"/>
        <v>0.228307546987335</v>
      </c>
    </row>
    <row r="15" spans="1:15">
      <c r="A15" t="s">
        <v>64</v>
      </c>
      <c r="B15" s="1" t="s">
        <v>65</v>
      </c>
      <c r="C15" s="1" t="s">
        <v>66</v>
      </c>
      <c r="D15" s="1">
        <v>63958</v>
      </c>
      <c r="E15" s="2">
        <v>0.0328</v>
      </c>
      <c r="G15" s="1" t="s">
        <v>67</v>
      </c>
      <c r="H15" s="1">
        <v>57280</v>
      </c>
      <c r="I15" s="2">
        <v>0.3801</v>
      </c>
      <c r="J15" s="2">
        <v>-0.1286</v>
      </c>
      <c r="K15" s="2">
        <v>0.0067</v>
      </c>
      <c r="L15" s="2">
        <v>0.0374</v>
      </c>
      <c r="M15" s="1">
        <f t="shared" si="0"/>
        <v>2142.272</v>
      </c>
      <c r="N15" s="1">
        <f t="shared" si="1"/>
        <v>13063.9481</v>
      </c>
      <c r="O15" s="2">
        <f t="shared" si="2"/>
        <v>0.163983505108995</v>
      </c>
    </row>
    <row r="16" spans="1:15">
      <c r="A16" t="s">
        <v>68</v>
      </c>
      <c r="B16" s="1" t="s">
        <v>69</v>
      </c>
      <c r="C16" s="1" t="s">
        <v>70</v>
      </c>
      <c r="D16" s="1">
        <v>34074</v>
      </c>
      <c r="E16" s="2">
        <v>0.0174</v>
      </c>
      <c r="G16" s="1" t="s">
        <v>71</v>
      </c>
      <c r="H16" s="1">
        <v>45070</v>
      </c>
      <c r="I16" s="2">
        <v>0.7293</v>
      </c>
      <c r="J16" s="2">
        <v>-0.0445</v>
      </c>
      <c r="K16" s="2">
        <v>0.004</v>
      </c>
      <c r="L16" s="2">
        <v>0.0123</v>
      </c>
      <c r="M16" s="1">
        <f t="shared" si="0"/>
        <v>554.361</v>
      </c>
      <c r="N16" s="1">
        <f t="shared" si="1"/>
        <v>7799.372</v>
      </c>
      <c r="O16" s="2">
        <f t="shared" si="2"/>
        <v>0.0710776457386569</v>
      </c>
    </row>
    <row r="17" spans="1:15">
      <c r="A17" t="s">
        <v>72</v>
      </c>
      <c r="B17" s="1" t="s">
        <v>73</v>
      </c>
      <c r="C17" s="1" t="s">
        <v>74</v>
      </c>
      <c r="D17" s="1">
        <v>20630</v>
      </c>
      <c r="E17" s="2">
        <v>0.0105</v>
      </c>
      <c r="G17" s="1" t="s">
        <v>75</v>
      </c>
      <c r="H17" s="1">
        <v>71450</v>
      </c>
      <c r="I17" s="2">
        <v>0.1719</v>
      </c>
      <c r="J17" s="2">
        <v>-0.5708</v>
      </c>
      <c r="K17" s="2">
        <v>0.0058</v>
      </c>
      <c r="L17" s="2">
        <v>0.0324</v>
      </c>
      <c r="M17" s="1">
        <f t="shared" si="0"/>
        <v>2314.98</v>
      </c>
      <c r="N17" s="1">
        <f t="shared" si="1"/>
        <v>11309.0894</v>
      </c>
      <c r="O17" s="2">
        <f t="shared" si="2"/>
        <v>0.204700831173905</v>
      </c>
    </row>
    <row r="18" spans="1:15">
      <c r="A18" t="s">
        <v>76</v>
      </c>
      <c r="B18" s="1" t="s">
        <v>77</v>
      </c>
      <c r="C18" s="1" t="s">
        <v>78</v>
      </c>
      <c r="D18" s="1">
        <v>98875</v>
      </c>
      <c r="E18" s="2">
        <v>0.0507</v>
      </c>
      <c r="G18" s="1" t="s">
        <v>79</v>
      </c>
      <c r="H18" s="1">
        <v>37661</v>
      </c>
      <c r="I18" s="2">
        <v>-0.0278</v>
      </c>
      <c r="J18" s="2">
        <v>0.322</v>
      </c>
      <c r="K18" s="2">
        <v>0.0048</v>
      </c>
      <c r="L18" s="2">
        <v>0.0485</v>
      </c>
      <c r="M18" s="1">
        <f t="shared" si="0"/>
        <v>1826.5585</v>
      </c>
      <c r="N18" s="1">
        <f t="shared" si="1"/>
        <v>9359.2464</v>
      </c>
      <c r="O18" s="2">
        <f t="shared" si="2"/>
        <v>0.195160851839524</v>
      </c>
    </row>
    <row r="19" spans="1:15">
      <c r="A19" t="s">
        <v>80</v>
      </c>
      <c r="B19" s="1" t="s">
        <v>81</v>
      </c>
      <c r="C19" s="1" t="s">
        <v>78</v>
      </c>
      <c r="D19" s="1">
        <v>19212</v>
      </c>
      <c r="E19" s="2">
        <v>0.0098</v>
      </c>
      <c r="G19" s="1" t="s">
        <v>82</v>
      </c>
      <c r="H19" s="1">
        <v>63283</v>
      </c>
      <c r="I19" s="2">
        <v>-0.5876</v>
      </c>
      <c r="J19" s="2">
        <v>0.2626</v>
      </c>
      <c r="K19" s="2">
        <v>0.0065</v>
      </c>
      <c r="L19" s="2">
        <v>0.0548</v>
      </c>
      <c r="M19" s="1">
        <f t="shared" si="0"/>
        <v>3467.9084</v>
      </c>
      <c r="N19" s="1">
        <f t="shared" si="1"/>
        <v>12673.9795</v>
      </c>
      <c r="O19" s="2">
        <f t="shared" si="2"/>
        <v>0.273624270892974</v>
      </c>
    </row>
    <row r="20" spans="1:15">
      <c r="A20" t="s">
        <v>83</v>
      </c>
      <c r="B20" s="1" t="s">
        <v>84</v>
      </c>
      <c r="C20" s="1" t="s">
        <v>85</v>
      </c>
      <c r="D20" s="1">
        <v>59561</v>
      </c>
      <c r="E20" s="2">
        <v>0.0305</v>
      </c>
      <c r="G20" s="1" t="s">
        <v>86</v>
      </c>
      <c r="H20" s="1">
        <v>23188</v>
      </c>
      <c r="I20" s="2">
        <v>1.0517</v>
      </c>
      <c r="J20" s="2">
        <v>0.618</v>
      </c>
      <c r="K20" s="2">
        <v>0.0035</v>
      </c>
      <c r="L20" s="2">
        <v>0.0379</v>
      </c>
      <c r="M20" s="1">
        <f t="shared" si="0"/>
        <v>878.8252</v>
      </c>
      <c r="N20" s="1">
        <f t="shared" si="1"/>
        <v>6824.4505</v>
      </c>
      <c r="O20" s="2">
        <f t="shared" si="2"/>
        <v>0.128775965185768</v>
      </c>
    </row>
    <row r="21" spans="1:15">
      <c r="A21" t="s">
        <v>87</v>
      </c>
      <c r="B21" s="1" t="s">
        <v>88</v>
      </c>
      <c r="C21" s="1" t="s">
        <v>89</v>
      </c>
      <c r="D21" s="1">
        <v>60682</v>
      </c>
      <c r="E21" s="2">
        <v>0.0311</v>
      </c>
      <c r="G21" s="1" t="s">
        <v>90</v>
      </c>
      <c r="H21" s="1">
        <v>33897</v>
      </c>
      <c r="I21" s="2">
        <v>0.1338</v>
      </c>
      <c r="J21" s="2">
        <v>-0.16</v>
      </c>
      <c r="K21" s="2">
        <v>0.0036</v>
      </c>
      <c r="L21" s="2">
        <v>0.0384</v>
      </c>
      <c r="M21" s="1">
        <f t="shared" si="0"/>
        <v>1301.6448</v>
      </c>
      <c r="N21" s="1">
        <f t="shared" si="1"/>
        <v>7019.4348</v>
      </c>
      <c r="O21" s="2">
        <f t="shared" si="2"/>
        <v>0.185434417027422</v>
      </c>
    </row>
    <row r="22" spans="1:5">
      <c r="A22" t="s">
        <v>91</v>
      </c>
      <c r="B22" s="1" t="s">
        <v>92</v>
      </c>
      <c r="C22" s="1" t="s">
        <v>93</v>
      </c>
      <c r="D22" s="1">
        <v>12254</v>
      </c>
      <c r="E22" s="2">
        <v>0.0062</v>
      </c>
    </row>
    <row r="23" spans="1:5">
      <c r="A23" t="s">
        <v>94</v>
      </c>
      <c r="B23" s="1" t="s">
        <v>95</v>
      </c>
      <c r="C23" s="1" t="s">
        <v>96</v>
      </c>
      <c r="D23" s="1">
        <v>36904</v>
      </c>
      <c r="E23" s="2">
        <v>0.0189</v>
      </c>
    </row>
    <row r="24" spans="1:5">
      <c r="A24" t="s">
        <v>97</v>
      </c>
      <c r="B24" s="1" t="s">
        <v>98</v>
      </c>
      <c r="C24" s="1" t="s">
        <v>89</v>
      </c>
      <c r="D24" s="1">
        <v>32644</v>
      </c>
      <c r="E24" s="2">
        <v>0.0167</v>
      </c>
    </row>
    <row r="25" spans="1:5">
      <c r="A25" t="s">
        <v>99</v>
      </c>
      <c r="B25" s="1" t="s">
        <v>100</v>
      </c>
      <c r="C25" s="1" t="s">
        <v>101</v>
      </c>
      <c r="D25" s="1">
        <v>8594</v>
      </c>
      <c r="E25" s="2">
        <v>0.0044</v>
      </c>
    </row>
    <row r="26" spans="1:5">
      <c r="A26" t="s">
        <v>102</v>
      </c>
      <c r="B26" s="1" t="s">
        <v>103</v>
      </c>
      <c r="C26" s="1" t="s">
        <v>93</v>
      </c>
      <c r="D26" s="1">
        <v>22152</v>
      </c>
      <c r="E26" s="2">
        <v>0.0113</v>
      </c>
    </row>
    <row r="27" spans="1:5">
      <c r="A27" t="s">
        <v>104</v>
      </c>
      <c r="B27" s="1" t="s">
        <v>105</v>
      </c>
      <c r="C27" s="1" t="s">
        <v>106</v>
      </c>
      <c r="D27" s="1">
        <v>15521</v>
      </c>
      <c r="E27" s="2">
        <v>0.0079</v>
      </c>
    </row>
    <row r="28" spans="1:5">
      <c r="A28" t="s">
        <v>107</v>
      </c>
      <c r="B28" s="1" t="s">
        <v>108</v>
      </c>
      <c r="C28" s="1" t="s">
        <v>109</v>
      </c>
      <c r="D28" s="1">
        <v>93631</v>
      </c>
      <c r="E28" s="2">
        <v>0.048</v>
      </c>
    </row>
    <row r="29" spans="2:5">
      <c r="B29" s="3" t="s">
        <v>110</v>
      </c>
      <c r="C29" s="3"/>
      <c r="D29" s="3">
        <f>SUM(D2:D28)</f>
        <v>1949843</v>
      </c>
      <c r="E29" s="4">
        <f>SUM(E2:E28)</f>
        <v>0.9989</v>
      </c>
    </row>
  </sheetData>
  <conditionalFormatting sqref="O2">
    <cfRule type="dataBar" priority="3">
      <dataBar>
        <cfvo type="percent" val="0"/>
        <cfvo type="percent" val="100"/>
        <color theme="5"/>
      </dataBar>
      <extLst>
        <ext xmlns:x14="http://schemas.microsoft.com/office/spreadsheetml/2009/9/main" uri="{B025F937-C7B1-47D3-B67F-A62EFF666E3E}">
          <x14:id>{07d6904e-80ef-4911-abb7-de0567196ff6}</x14:id>
        </ext>
      </extLst>
    </cfRule>
  </conditionalFormatting>
  <conditionalFormatting sqref="O2:O21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{2465856d-84e6-49bc-837c-4181003e1941}</x14:id>
        </ext>
      </extLst>
    </cfRule>
    <cfRule type="dataBar" priority="2">
      <dataBar>
        <cfvo type="percent" val="0"/>
        <cfvo type="percent" val="100"/>
        <color theme="5"/>
      </dataBar>
      <extLst>
        <ext xmlns:x14="http://schemas.microsoft.com/office/spreadsheetml/2009/9/main" uri="{B025F937-C7B1-47D3-B67F-A62EFF666E3E}">
          <x14:id>{92e2a828-cfcd-4f73-80e5-f82c77e664ca}</x14:id>
        </ext>
      </extLst>
    </cfRule>
    <cfRule type="dataBar" priority="1">
      <dataBar>
        <cfvo type="min"/>
        <cfvo type="percent" val="100"/>
        <color theme="5"/>
      </dataBar>
      <extLst>
        <ext xmlns:x14="http://schemas.microsoft.com/office/spreadsheetml/2009/9/main" uri="{B025F937-C7B1-47D3-B67F-A62EFF666E3E}">
          <x14:id>{5a691bb1-f9bf-43a4-8b79-7c8ebafd94fc}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7d6904e-80ef-4911-abb7-de0567196ff6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O2</xm:sqref>
        </x14:conditionalFormatting>
        <x14:conditionalFormatting xmlns:xm="http://schemas.microsoft.com/office/excel/2006/main">
          <x14:cfRule type="dataBar" id="{2465856d-84e6-49bc-837c-4181003e194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92e2a828-cfcd-4f73-80e5-f82c77e664ca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14:cfRule type="dataBar" id="{5a691bb1-f9bf-43a4-8b79-7c8ebafd94fc}">
            <x14:dataBar minLength="0" maxLength="100">
              <x14:cfvo type="autoMin"/>
              <x14:cfvo type="percent">
                <xm:f>100</xm:f>
              </x14:cfvo>
              <x14:negativeFillColor rgb="FFFF0000"/>
              <x14:axisColor rgb="FF000000"/>
            </x14:dataBar>
          </x14:cfRule>
          <xm:sqref>O2:O21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空气炸锅关键词转化率计算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Windows11</dc:creator>
  <cp:lastModifiedBy>哈..</cp:lastModifiedBy>
  <dcterms:created xsi:type="dcterms:W3CDTF">2024-01-18T14:04:43Z</dcterms:created>
  <dcterms:modified xsi:type="dcterms:W3CDTF">2024-01-18T14:43:54Z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BA55C58CBB494A58B68E5A33B5679799_11</vt:lpwstr>
  </property>
  <property fmtid="{D5CDD505-2E9C-101B-9397-08002B2CF9AE}" pid="3" name="KSOProductBuildVer">
    <vt:lpwstr>2052-12.1.0.16120</vt:lpwstr>
  </property>
</Properties>
</file>