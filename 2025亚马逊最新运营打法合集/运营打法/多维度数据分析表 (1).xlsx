
<file path=[Content_Types].xml><?xml version="1.0" encoding="utf-8"?>
<Types xmlns="http://schemas.openxmlformats.org/package/2006/content-types">
  <Default Extension="xml" ContentType="application/xml"/>
  <Default Extension="vml" ContentType="application/vnd.openxmlformats-officedocument.vmlDrawing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trlProps/ctrlProp1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ustomStorage/customStorage.xml" ContentType="application/vnd.wps-officedocument.customStorag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Records2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sharedStrings.xml" ContentType="application/vnd.openxmlformats-officedocument.spreadsheetml.sharedString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s/slicer1.xml" ContentType="application/vnd.ms-excel.slicer+xml"/>
  <Override PartName="/xl/slicers/slicer2.xml" ContentType="application/vnd.ms-excel.slicer+xml"/>
  <Override PartName="/xl/slicers/slicer3.xml" ContentType="application/vnd.ms-excel.slicer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heme/theme1.xml" ContentType="application/vnd.openxmlformats-officedocument.theme+xml"/>
  <Override PartName="/xl/theme/themeOverride1.xml" ContentType="application/vnd.openxmlformats-officedocument.themeOverride+xml"/>
  <Override PartName="/xl/theme/themeOverride2.xml" ContentType="application/vnd.openxmlformats-officedocument.themeOverride+xml"/>
  <Override PartName="/xl/woinfos.xml" ContentType="application/vnd.wps-officedocument.woinfo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800" windowHeight="11505" tabRatio="819" activeTab="9"/>
  </bookViews>
  <sheets>
    <sheet name="源数据" sheetId="1" r:id="rId1"/>
    <sheet name="ASIN码和表格SKU名" sheetId="6" r:id="rId2"/>
    <sheet name="query" sheetId="49" state="hidden" r:id="rId3"/>
    <sheet name="day_data" sheetId="38" state="hidden" r:id="rId4"/>
    <sheet name="day_控件" sheetId="35" state="hidden" r:id="rId5"/>
    <sheet name="多维度分析表（日）" sheetId="39" r:id="rId6"/>
    <sheet name="week_data" sheetId="41" state="hidden" r:id="rId7"/>
    <sheet name="多维度分析表（周）" sheetId="45" r:id="rId8"/>
    <sheet name="month_data" sheetId="47" state="hidden" r:id="rId9"/>
    <sheet name="多维度分析表（月）" sheetId="48" r:id="rId10"/>
  </sheets>
  <definedNames>
    <definedName name="切片器_SKU">#N/A</definedName>
    <definedName name="切片器_SKU1">#N/A</definedName>
    <definedName name="切片器_SKU2">#N/A</definedName>
    <definedName name="切片器_年月日">#N/A</definedName>
    <definedName name="ExternalData_1" localSheetId="2" hidden="1">query!$A$1:$L$1256</definedName>
    <definedName name="month_conversion">OFFSET(month_data!$V$1,1,9,MAX(month_data!$U:$U),1)</definedName>
    <definedName name="month_list">OFFSET(month_data!$V$2:$V$87,0,0,MAX(month_data!$U:$U),1)</definedName>
    <definedName name="month_purchase">OFFSET(month_data!$V$1,1,8,MAX(month_data!$U:$U),1)</definedName>
    <definedName name="month_sales">OFFSET(month_data!$V$1,1,4,MAX(month_data!$U:$U),1)</definedName>
    <definedName name="month_salesMOM">OFFSET(month_data!$V$1,1,5,MAX(month_data!$U:$U),1)</definedName>
    <definedName name="month_salesYOY">OFFSET(month_data!$V$1,1,6,MAX(month_data!$U:$U),1)</definedName>
    <definedName name="month_salesYTDYOY">OFFSET(month_data!$V$1,1,7,MAX(month_data!$U:$U),1)</definedName>
    <definedName name="month_sessions">OFFSET(month_data!$V$1,1,1,MAX(month_data!$U:$U),1)</definedName>
    <definedName name="month_sessionsMOM">OFFSET(month_data!$V$1,1,2,MAX(month_data!$U:$U),1)</definedName>
    <definedName name="month_sessionsYOY">OFFSET(month_data!$V$1,1,3,MAX(month_data!$U:$U),1)</definedName>
    <definedName name="NativeTimeline_年月日">#N/A</definedName>
    <definedName name="NativeTimeline_年月日1">#N/A</definedName>
    <definedName name="Timeline_Date">#N/A</definedName>
    <definedName name="week_buybox">OFFSET(week_data!$Q$1,1,8,MAX(week_data!$P:$P),1)</definedName>
    <definedName name="week_conversion">OFFSET(week_data!$Q$1,1,5,MAX(week_data!$P:$P),1)</definedName>
    <definedName name="week_list">OFFSET(week_data!$Q$2:$Q$140,0,0,MAX(week_data!$P:$P),1)</definedName>
    <definedName name="week_purchase">OFFSET(week_data!$Q$1,1,6,MAX(week_data!$P:$P),1)</definedName>
    <definedName name="week_sales">OFFSET(week_data!$Q$1,1,7,MAX(week_data!$P:$P),1)</definedName>
    <definedName name="week_sessions">OFFSET(week_data!$Q$1,1,1,MAX(week_data!$P:$P),1)</definedName>
    <definedName name="week_sessionsMOM">OFFSET(week_data!$Q$1,1,2,MAX(week_data!$P:$P),1)</definedName>
    <definedName name="week_view">OFFSET(week_data!$Q$1,1,3,MAX(week_data!$P:$P),1)</definedName>
    <definedName name="week_viewMOM">OFFSET(week_data!$Q$1,1,4,MAX(week_data!$P:$P),1)</definedName>
  </definedNames>
  <calcPr calcId="191029"/>
  <pivotCaches>
    <pivotCache cacheId="0" r:id="rId12"/>
    <pivotCache cacheId="1" r:id="rId13"/>
  </pivotCaches>
  <extLst>
    <ext xmlns:x14="http://schemas.microsoft.com/office/spreadsheetml/2009/9/main" uri="{BBE1A952-AA13-448e-AADC-164F8A28A991}">
      <x14:slicerCaches>
        <x14:slicerCache r:id="rId16"/>
        <x14:slicerCache r:id="rId15"/>
        <x14:slicerCache r:id="rId14"/>
      </x14:slicerCaches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<sst xmlns="http://schemas.openxmlformats.org/spreadsheetml/2006/main" count="2678" uniqueCount="146">
  <si>
    <t>年月日</t>
  </si>
  <si>
    <t>父ASIN</t>
  </si>
  <si>
    <t>ASIN</t>
  </si>
  <si>
    <t>商品名称</t>
  </si>
  <si>
    <t>买家访问次数</t>
  </si>
  <si>
    <t>买家访问次数百分比</t>
  </si>
  <si>
    <t>页面浏览次数</t>
  </si>
  <si>
    <t>页面浏览次数百分比</t>
  </si>
  <si>
    <t>购买按钮页面浏览率</t>
  </si>
  <si>
    <t>已订购商品数量</t>
  </si>
  <si>
    <t>订购数量 – B2B</t>
  </si>
  <si>
    <t>订单商品数量转化率</t>
  </si>
  <si>
    <t>商品转化率 – B2B</t>
  </si>
  <si>
    <t>已订购商品销售额</t>
  </si>
  <si>
    <t>已订购商品的销售额 – B2B</t>
  </si>
  <si>
    <t>订单商品种类数</t>
  </si>
  <si>
    <t>订单商品总数 – B2B</t>
  </si>
  <si>
    <t>卖家 SKU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</si>
  <si>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</si>
  <si>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</si>
  <si>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</si>
  <si>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</si>
  <si>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</si>
  <si>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</si>
  <si>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</si>
  <si>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</si>
  <si>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</si>
  <si>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</si>
  <si>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</si>
  <si>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SKU</t>
  </si>
  <si>
    <t>访问数</t>
  </si>
  <si>
    <t>访问次数百分比</t>
  </si>
  <si>
    <t>BuyBox率</t>
  </si>
  <si>
    <t>商品数</t>
  </si>
  <si>
    <t>商品转化率</t>
  </si>
  <si>
    <t>销售额</t>
  </si>
  <si>
    <t>订单数</t>
  </si>
  <si>
    <t>订单转换率</t>
  </si>
  <si>
    <t>0</t>
  </si>
  <si>
    <t>1</t>
  </si>
  <si>
    <t>2</t>
  </si>
  <si>
    <t>3</t>
  </si>
  <si>
    <t>4</t>
  </si>
  <si>
    <t>5</t>
  </si>
  <si>
    <t>8</t>
  </si>
  <si>
    <t>6</t>
  </si>
  <si>
    <t>7</t>
  </si>
  <si>
    <t>10</t>
  </si>
  <si>
    <t>9</t>
  </si>
  <si>
    <t>12</t>
  </si>
  <si>
    <t>15</t>
  </si>
  <si>
    <t>17</t>
  </si>
  <si>
    <t>21</t>
  </si>
  <si>
    <t>13</t>
  </si>
  <si>
    <t>11</t>
  </si>
  <si>
    <t>14</t>
  </si>
  <si>
    <t>16</t>
  </si>
  <si>
    <t>35</t>
  </si>
  <si>
    <t>32</t>
  </si>
  <si>
    <t>49</t>
  </si>
  <si>
    <t>25</t>
  </si>
  <si>
    <t>24</t>
  </si>
  <si>
    <t>111</t>
  </si>
  <si>
    <t>27</t>
  </si>
  <si>
    <t>23</t>
  </si>
  <si>
    <t>18</t>
  </si>
  <si>
    <t>22</t>
  </si>
  <si>
    <t>日期</t>
  </si>
  <si>
    <t>访问量</t>
  </si>
  <si>
    <t>访问占比</t>
  </si>
  <si>
    <t>浏览量</t>
  </si>
  <si>
    <t>浏览占比</t>
  </si>
  <si>
    <t>BuyBox率.</t>
  </si>
  <si>
    <t>购买商品数</t>
  </si>
  <si>
    <t>求和项:订单转换率</t>
  </si>
  <si>
    <t>求和项:销售额</t>
  </si>
  <si>
    <t>访客数</t>
  </si>
  <si>
    <t>访客量</t>
  </si>
  <si>
    <t xml:space="preserve">访客占比 </t>
  </si>
  <si>
    <t xml:space="preserve">浏览占比 </t>
  </si>
  <si>
    <t xml:space="preserve">Buybox率 </t>
  </si>
  <si>
    <t xml:space="preserve">购买商品数 </t>
  </si>
  <si>
    <t xml:space="preserve">转化率 </t>
  </si>
  <si>
    <t xml:space="preserve">销售额 </t>
  </si>
  <si>
    <t>访客占比</t>
  </si>
  <si>
    <t>浏览次数</t>
  </si>
  <si>
    <t>转化率</t>
  </si>
  <si>
    <t>Buybox率</t>
  </si>
  <si>
    <t>起始日期：</t>
  </si>
  <si>
    <t>截止日期：</t>
  </si>
  <si>
    <t>天数：</t>
  </si>
  <si>
    <t>求和项:访问数</t>
  </si>
  <si>
    <t>访客环比</t>
  </si>
  <si>
    <t>求和项:页面浏览次数</t>
  </si>
  <si>
    <t>浏览环比</t>
  </si>
  <si>
    <t>求和项:商品数</t>
  </si>
  <si>
    <t>平均值项:订单转换率</t>
  </si>
  <si>
    <t>平均值项:BuyBox率</t>
  </si>
  <si>
    <t>周:访客量</t>
  </si>
  <si>
    <t>周:浏览次数</t>
  </si>
  <si>
    <t>周:转化率</t>
  </si>
  <si>
    <t>购买件数</t>
  </si>
  <si>
    <t>周:销售金额</t>
  </si>
  <si>
    <t>购物车获得率</t>
  </si>
  <si>
    <t>2018-5-28 - 2018-6-3</t>
  </si>
  <si>
    <t>2018-6-11 - 2018-6-17</t>
  </si>
  <si>
    <t>2018-6-18 - 2018-6-24</t>
  </si>
  <si>
    <t>2018-6-25 - 2018-7-1</t>
  </si>
  <si>
    <t>2018-10-1 - 2018-10-7</t>
  </si>
  <si>
    <t>2018-10-8 - 2018-10-14</t>
  </si>
  <si>
    <t>2018-10-15 - 2018-10-21</t>
  </si>
  <si>
    <t>2018-10-22 - 2018-10-28</t>
  </si>
  <si>
    <t>2018-10-29 - 2018-11-4</t>
  </si>
  <si>
    <t>2018-11-5 - 2018-11-11</t>
  </si>
  <si>
    <t>2018-11-12 - 2018-11-18</t>
  </si>
  <si>
    <t>2018-11-19 - 2018-11-25</t>
  </si>
  <si>
    <t>2018-11-26 - 2018-12-2</t>
  </si>
  <si>
    <t>2018-12-3 - 2018-12-9</t>
  </si>
  <si>
    <t>2018-12-10 - 2018-12-16</t>
  </si>
  <si>
    <t>2018-12-17 - 2018-12-23</t>
  </si>
  <si>
    <t>2018-12-24 - 2018-12-25</t>
  </si>
  <si>
    <t>选择几周：</t>
  </si>
  <si>
    <t>购物车率</t>
  </si>
  <si>
    <t>年</t>
  </si>
  <si>
    <t>月份号</t>
  </si>
  <si>
    <t>访客数 的总和</t>
  </si>
  <si>
    <t>访客环比MOM</t>
  </si>
  <si>
    <t>访客同比YOY</t>
  </si>
  <si>
    <t>销售额 的总和</t>
  </si>
  <si>
    <t>销售额环比MOM</t>
  </si>
  <si>
    <t>销售额同比YOY</t>
  </si>
  <si>
    <t>年度累计YTDYOY</t>
  </si>
  <si>
    <t>购买商品数 的总和</t>
  </si>
  <si>
    <t>转化率 的平均值</t>
  </si>
  <si>
    <t xml:space="preserve">月访客数 </t>
  </si>
  <si>
    <t>月访客环比</t>
  </si>
  <si>
    <t>月访客同比</t>
  </si>
  <si>
    <t>月销售额</t>
  </si>
  <si>
    <t>月销售额环比</t>
  </si>
  <si>
    <t>月销售额同比</t>
  </si>
  <si>
    <t>月累计销售额同比</t>
  </si>
  <si>
    <t>月访客环比MOM</t>
  </si>
  <si>
    <t>月访客同比YOY(P)</t>
  </si>
  <si>
    <t>月销售额环比MOM</t>
  </si>
  <si>
    <t>月销售额同比YOY(P)</t>
  </si>
  <si>
    <t>月累计销售额同比YOY(P)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</si>
</sst>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1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&quot;$&quot;#,##0.00"/>
    <numFmt numFmtId="177" formatCode="[=0]\-;[&lt;1]0.00%;0.00"/>
    <numFmt numFmtId="178" formatCode="m/d/yyyy"/>
    <numFmt numFmtId="179" formatCode="yy/m/d;@"/>
    <numFmt numFmtId="180" formatCode="\$#,##0.00;\-\$#,##0.00"/>
    <numFmt numFmtId="181" formatCode="&quot;US$&quot;#,##0.00_);\(&quot;US$&quot;#,##0.00\)"/>
    <numFmt numFmtId="182" formatCode="yy/mm/dd"/>
  </numFmts>
  <fonts count="30">
    <font>
      <sz val="11"/>
      <color theme="1"/>
      <name val="等线"/>
      <charset val="134"/>
      <scheme val="minor"/>
    </font>
    <font>
      <b/>
      <sz val="11"/>
      <color theme="9" tint="-0.249977111117893"/>
      <name val="微软雅黑"/>
      <charset val="134"/>
    </font>
    <font>
      <b/>
      <sz val="11"/>
      <color theme="1"/>
      <name val="等线"/>
      <charset val="134"/>
      <scheme val="minor"/>
    </font>
    <font>
      <b/>
      <sz val="10"/>
      <color theme="0" tint="-0.499984740745262"/>
      <name val="微软雅黑"/>
      <charset val="134"/>
    </font>
    <font>
      <b/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sz val="11"/>
      <color rgb="FF8AC8D6"/>
      <name val="等线"/>
      <charset val="134"/>
      <scheme val="minor"/>
    </font>
    <font>
      <b/>
      <sz val="12"/>
      <color theme="0" tint="-0.499984740745262"/>
      <name val="微软雅黑"/>
      <charset val="134"/>
    </font>
    <font>
      <sz val="14"/>
      <color theme="1"/>
      <name val="等线"/>
      <charset val="134"/>
      <scheme val="minor"/>
    </font>
    <font>
      <sz val="12"/>
      <color theme="1"/>
      <name val="等线"/>
      <charset val="134"/>
      <scheme val="minor"/>
    </font>
    <font>
      <b/>
      <sz val="16"/>
      <color theme="1"/>
      <name val="等线"/>
      <charset val="134"/>
      <scheme val="minor"/>
    </font>
    <font>
      <sz val="11"/>
      <color rgb="FFFF0000"/>
      <name val="等线"/>
      <charset val="134"/>
      <scheme val="minor"/>
    </font>
    <font>
      <sz val="11"/>
      <color theme="1"/>
      <name val="Calibri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8"/>
      <color theme="3"/>
      <name val="等线 Light"/>
      <charset val="134"/>
      <scheme val="major"/>
    </font>
    <font>
      <i/>
      <sz val="11"/>
      <color rgb="FF7F7F7F"/>
      <name val="等线"/>
      <charset val="134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134"/>
      <scheme val="minor"/>
    </font>
    <font>
      <b/>
      <sz val="11"/>
      <color rgb="FF3F3F3F"/>
      <name val="等线"/>
      <charset val="134"/>
      <scheme val="minor"/>
    </font>
    <font>
      <b/>
      <sz val="11"/>
      <color rgb="FFFA7D00"/>
      <name val="等线"/>
      <charset val="134"/>
      <scheme val="minor"/>
    </font>
    <font>
      <b/>
      <sz val="11"/>
      <color theme="0"/>
      <name val="等线"/>
      <charset val="134"/>
      <scheme val="minor"/>
    </font>
    <font>
      <sz val="11"/>
      <color rgb="FFFA7D00"/>
      <name val="等线"/>
      <charset val="134"/>
      <scheme val="minor"/>
    </font>
    <font>
      <sz val="11"/>
      <color rgb="FF006100"/>
      <name val="等线"/>
      <charset val="134"/>
      <scheme val="minor"/>
    </font>
    <font>
      <sz val="11"/>
      <color rgb="FF9C0006"/>
      <name val="等线"/>
      <charset val="134"/>
      <scheme val="minor"/>
    </font>
    <font>
      <sz val="11"/>
      <color rgb="FF9C5700"/>
      <name val="等线"/>
      <charset val="134"/>
      <scheme val="minor"/>
    </font>
    <font>
      <sz val="11"/>
      <color theme="0"/>
      <name val="等线"/>
      <charset val="134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4" tint="0.799981688894314"/>
        <bgColor theme="4" tint="0.799981688894314"/>
      </patternFill>
    </fill>
    <fill>
      <patternFill patternType="solid">
        <fgColor theme="5" tint="-0.099978637043366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FFCC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theme="4" tint="0.399975585192419"/>
      </bottom>
      <diagonal/>
    </border>
    <border>
      <left style="thin">
        <color theme="4" tint="0.399975585192419"/>
      </left>
      <right/>
      <top style="thin">
        <color theme="4" tint="0.399975585192419"/>
      </top>
      <bottom/>
      <diagonal/>
    </border>
    <border>
      <left/>
      <right/>
      <top style="thin">
        <color theme="4" tint="0.399975585192419"/>
      </top>
      <bottom/>
      <diagonal/>
    </border>
    <border>
      <left/>
      <right style="thin">
        <color theme="4" tint="0.399975585192419"/>
      </right>
      <top style="thin">
        <color theme="4" tint="0.399975585192419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3" fontId="13" fillId="0" borderId="0" applyFont="0" applyFill="0" applyBorder="0" applyAlignment="0" applyProtection="0">
      <alignment vertical="center"/>
    </xf>
    <xf numFmtId="44" fontId="13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2" fontId="13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3" fillId="5" borderId="5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6" borderId="9" applyNumberFormat="0" applyAlignment="0" applyProtection="0">
      <alignment vertical="center"/>
    </xf>
    <xf numFmtId="0" fontId="22" fillId="7" borderId="10" applyNumberFormat="0" applyAlignment="0" applyProtection="0">
      <alignment vertical="center"/>
    </xf>
    <xf numFmtId="0" fontId="23" fillId="7" borderId="9" applyNumberFormat="0" applyAlignment="0" applyProtection="0">
      <alignment vertical="center"/>
    </xf>
    <xf numFmtId="0" fontId="24" fillId="8" borderId="11" applyNumberFormat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2" fillId="0" borderId="13" applyNumberFormat="0" applyFill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36" borderId="5" applyNumberFormat="0" applyFont="0" applyAlignment="0" applyProtection="0">
      <alignment vertical="center"/>
    </xf>
  </cellStyleXfs>
  <cellXfs count="95">
    <xf numFmtId="0" fontId="0" fillId="0" borderId="0" xfId="0"/>
    <xf numFmtId="0" fontId="0" fillId="2" borderId="0" xfId="0" applyFill="1"/>
    <xf numFmtId="0" fontId="1" fillId="2" borderId="0" xfId="0" applyFont="1" applyFill="1" applyBorder="1" applyAlignment="1">
      <alignment vertical="center"/>
    </xf>
    <xf numFmtId="0" fontId="0" fillId="0" borderId="0" xfId="0" applyAlignment="1">
      <alignment horizontal="center"/>
    </xf>
    <xf numFmtId="9" fontId="0" fillId="0" borderId="0" xfId="3" applyFont="1" applyAlignment="1"/>
    <xf numFmtId="10" fontId="0" fillId="0" borderId="0" xfId="3" applyNumberFormat="1" applyFont="1" applyAlignment="1"/>
    <xf numFmtId="0" fontId="0" fillId="0" borderId="0" xfId="0" applyNumberFormat="1"/>
    <xf numFmtId="0" fontId="2" fillId="0" borderId="1" xfId="0" applyFont="1" applyFill="1" applyBorder="1"/>
    <xf numFmtId="0" fontId="0" fillId="0" borderId="0" xfId="0" applyFill="1"/>
    <xf numFmtId="9" fontId="2" fillId="0" borderId="1" xfId="3" applyFont="1" applyFill="1" applyBorder="1" applyAlignment="1"/>
    <xf numFmtId="10" fontId="2" fillId="0" borderId="1" xfId="3" applyNumberFormat="1" applyFont="1" applyFill="1" applyBorder="1" applyAlignment="1"/>
    <xf numFmtId="0" fontId="0" fillId="2" borderId="0" xfId="0" applyFill="1" applyBorder="1" applyProtection="1">
      <protection locked="0"/>
    </xf>
    <xf numFmtId="0" fontId="3" fillId="2" borderId="0" xfId="0" applyFont="1" applyFill="1" applyBorder="1" applyAlignment="1" applyProtection="1">
      <alignment horizontal="left" vertical="center"/>
      <protection locked="0"/>
    </xf>
    <xf numFmtId="14" fontId="3" fillId="2" borderId="0" xfId="0" applyNumberFormat="1" applyFont="1" applyFill="1" applyBorder="1" applyAlignment="1" applyProtection="1">
      <alignment horizontal="left" vertical="center"/>
      <protection locked="0"/>
    </xf>
    <xf numFmtId="0" fontId="4" fillId="2" borderId="0" xfId="0" applyFont="1" applyFill="1"/>
    <xf numFmtId="0" fontId="0" fillId="2" borderId="0" xfId="0" applyFill="1" applyAlignment="1">
      <alignment horizontal="center" vertical="center"/>
    </xf>
    <xf numFmtId="0" fontId="0" fillId="0" borderId="0" xfId="0" applyNumberFormat="1" applyFill="1"/>
    <xf numFmtId="0" fontId="0" fillId="0" borderId="0" xfId="0" applyNumberFormat="1" applyFont="1" applyFill="1"/>
    <xf numFmtId="0" fontId="0" fillId="0" borderId="0" xfId="0" applyFont="1" applyFill="1"/>
    <xf numFmtId="9" fontId="0" fillId="0" borderId="0" xfId="0" applyNumberFormat="1" applyFont="1" applyFill="1"/>
    <xf numFmtId="10" fontId="0" fillId="0" borderId="0" xfId="0" applyNumberFormat="1" applyFont="1" applyFill="1"/>
    <xf numFmtId="176" fontId="0" fillId="0" borderId="0" xfId="0" applyNumberFormat="1" applyFont="1" applyFill="1"/>
    <xf numFmtId="0" fontId="2" fillId="0" borderId="0" xfId="0" applyFont="1" applyFill="1" applyAlignment="1">
      <alignment horizontal="center"/>
    </xf>
    <xf numFmtId="0" fontId="0" fillId="0" borderId="0" xfId="0" applyFill="1"/>
    <xf numFmtId="0" fontId="0" fillId="0" borderId="0" xfId="0" applyNumberFormat="1" applyFill="1"/>
    <xf numFmtId="0" fontId="0" fillId="0" borderId="0" xfId="0" applyFill="1" applyAlignment="1">
      <alignment horizontal="left"/>
    </xf>
    <xf numFmtId="10" fontId="0" fillId="0" borderId="0" xfId="0" applyNumberFormat="1" applyFill="1"/>
    <xf numFmtId="10" fontId="2" fillId="0" borderId="1" xfId="0" applyNumberFormat="1" applyFont="1" applyFill="1" applyBorder="1"/>
    <xf numFmtId="9" fontId="0" fillId="0" borderId="0" xfId="0" applyNumberFormat="1" applyFill="1"/>
    <xf numFmtId="9" fontId="2" fillId="0" borderId="1" xfId="0" applyNumberFormat="1" applyFont="1" applyFill="1" applyBorder="1"/>
    <xf numFmtId="0" fontId="0" fillId="0" borderId="0" xfId="0" applyFill="1" applyBorder="1" applyProtection="1">
      <protection locked="0"/>
    </xf>
    <xf numFmtId="0" fontId="2" fillId="0" borderId="2" xfId="0" applyNumberFormat="1" applyFont="1" applyFill="1" applyBorder="1"/>
    <xf numFmtId="0" fontId="4" fillId="0" borderId="3" xfId="0" applyFont="1" applyFill="1" applyBorder="1"/>
    <xf numFmtId="9" fontId="4" fillId="0" borderId="3" xfId="0" applyNumberFormat="1" applyFont="1" applyFill="1" applyBorder="1"/>
    <xf numFmtId="0" fontId="4" fillId="0" borderId="3" xfId="0" applyNumberFormat="1" applyFont="1" applyFill="1" applyBorder="1"/>
    <xf numFmtId="0" fontId="5" fillId="0" borderId="2" xfId="0" applyNumberFormat="1" applyFont="1" applyFill="1" applyBorder="1"/>
    <xf numFmtId="0" fontId="5" fillId="0" borderId="3" xfId="0" applyFont="1" applyFill="1" applyBorder="1"/>
    <xf numFmtId="9" fontId="5" fillId="0" borderId="3" xfId="0" applyNumberFormat="1" applyFont="1" applyFill="1" applyBorder="1"/>
    <xf numFmtId="0" fontId="5" fillId="0" borderId="3" xfId="0" applyNumberFormat="1" applyFont="1" applyFill="1" applyBorder="1"/>
    <xf numFmtId="10" fontId="4" fillId="0" borderId="3" xfId="0" applyNumberFormat="1" applyFont="1" applyFill="1" applyBorder="1"/>
    <xf numFmtId="176" fontId="4" fillId="0" borderId="3" xfId="0" applyNumberFormat="1" applyFont="1" applyFill="1" applyBorder="1"/>
    <xf numFmtId="10" fontId="5" fillId="0" borderId="3" xfId="0" applyNumberFormat="1" applyFont="1" applyFill="1" applyBorder="1"/>
    <xf numFmtId="176" fontId="5" fillId="0" borderId="3" xfId="0" applyNumberFormat="1" applyFont="1" applyFill="1" applyBorder="1"/>
    <xf numFmtId="9" fontId="4" fillId="0" borderId="4" xfId="0" applyNumberFormat="1" applyFont="1" applyFill="1" applyBorder="1"/>
    <xf numFmtId="9" fontId="5" fillId="0" borderId="4" xfId="0" applyNumberFormat="1" applyFont="1" applyFill="1" applyBorder="1"/>
    <xf numFmtId="14" fontId="6" fillId="2" borderId="0" xfId="0" applyNumberFormat="1" applyFont="1" applyFill="1" applyBorder="1" applyProtection="1">
      <protection locked="0"/>
    </xf>
    <xf numFmtId="0" fontId="6" fillId="2" borderId="0" xfId="0" applyFont="1" applyFill="1" applyBorder="1" applyProtection="1">
      <protection locked="0"/>
    </xf>
    <xf numFmtId="177" fontId="6" fillId="2" borderId="0" xfId="0" applyNumberFormat="1" applyFont="1" applyFill="1" applyBorder="1" applyProtection="1">
      <protection locked="0"/>
    </xf>
    <xf numFmtId="0" fontId="7" fillId="2" borderId="0" xfId="0" applyFont="1" applyFill="1" applyBorder="1" applyAlignment="1" applyProtection="1">
      <alignment vertical="center"/>
      <protection locked="0"/>
    </xf>
    <xf numFmtId="14" fontId="7" fillId="2" borderId="0" xfId="0" applyNumberFormat="1" applyFont="1" applyFill="1" applyBorder="1" applyAlignment="1" applyProtection="1">
      <alignment vertical="center"/>
      <protection locked="0"/>
    </xf>
    <xf numFmtId="0" fontId="8" fillId="2" borderId="0" xfId="0" applyFont="1" applyFill="1" applyBorder="1" applyProtection="1">
      <protection locked="0"/>
    </xf>
    <xf numFmtId="0" fontId="8" fillId="2" borderId="0" xfId="0" applyFont="1" applyFill="1" applyBorder="1" applyAlignment="1" applyProtection="1">
      <alignment vertical="top"/>
      <protection locked="0"/>
    </xf>
    <xf numFmtId="0" fontId="8" fillId="2" borderId="0" xfId="0" applyFont="1" applyFill="1" applyBorder="1" applyAlignment="1" applyProtection="1">
      <alignment horizontal="center"/>
      <protection locked="0"/>
    </xf>
    <xf numFmtId="14" fontId="9" fillId="2" borderId="0" xfId="0" applyNumberFormat="1" applyFont="1" applyFill="1" applyBorder="1" applyAlignment="1" applyProtection="1">
      <alignment horizontal="center" vertical="center"/>
      <protection locked="0"/>
    </xf>
    <xf numFmtId="14" fontId="9" fillId="2" borderId="0" xfId="0" applyNumberFormat="1" applyFont="1" applyFill="1" applyBorder="1" applyAlignment="1" applyProtection="1">
      <alignment horizontal="center" vertical="top"/>
      <protection locked="0"/>
    </xf>
    <xf numFmtId="0" fontId="10" fillId="2" borderId="0" xfId="0" applyFont="1" applyFill="1" applyBorder="1" applyAlignment="1" applyProtection="1">
      <alignment horizontal="center"/>
      <protection locked="0"/>
    </xf>
    <xf numFmtId="0" fontId="11" fillId="2" borderId="0" xfId="0" applyFont="1" applyFill="1" applyBorder="1" applyProtection="1">
      <protection locked="0"/>
    </xf>
    <xf numFmtId="14" fontId="11" fillId="2" borderId="0" xfId="0" applyNumberFormat="1" applyFont="1" applyFill="1" applyBorder="1" applyProtection="1">
      <protection locked="0"/>
    </xf>
    <xf numFmtId="10" fontId="0" fillId="2" borderId="0" xfId="0" applyNumberFormat="1" applyFill="1" applyBorder="1" applyProtection="1">
      <protection locked="0"/>
    </xf>
    <xf numFmtId="9" fontId="0" fillId="2" borderId="0" xfId="0" applyNumberFormat="1" applyFill="1" applyBorder="1" applyProtection="1">
      <protection locked="0"/>
    </xf>
    <xf numFmtId="176" fontId="0" fillId="2" borderId="0" xfId="0" applyNumberFormat="1" applyFill="1" applyBorder="1" applyProtection="1">
      <protection locked="0"/>
    </xf>
    <xf numFmtId="14" fontId="0" fillId="2" borderId="0" xfId="0" applyNumberFormat="1" applyFill="1" applyBorder="1" applyProtection="1">
      <protection locked="0"/>
    </xf>
    <xf numFmtId="14" fontId="2" fillId="3" borderId="1" xfId="0" applyNumberFormat="1" applyFont="1" applyFill="1" applyBorder="1"/>
    <xf numFmtId="0" fontId="2" fillId="3" borderId="1" xfId="0" applyFont="1" applyFill="1" applyBorder="1"/>
    <xf numFmtId="10" fontId="2" fillId="3" borderId="1" xfId="0" applyNumberFormat="1" applyFont="1" applyFill="1" applyBorder="1"/>
    <xf numFmtId="9" fontId="2" fillId="3" borderId="1" xfId="0" applyNumberFormat="1" applyFont="1" applyFill="1" applyBorder="1"/>
    <xf numFmtId="176" fontId="2" fillId="3" borderId="1" xfId="0" applyNumberFormat="1" applyFont="1" applyFill="1" applyBorder="1"/>
    <xf numFmtId="14" fontId="0" fillId="0" borderId="0" xfId="0" applyNumberFormat="1"/>
    <xf numFmtId="10" fontId="0" fillId="0" borderId="0" xfId="0" applyNumberFormat="1"/>
    <xf numFmtId="9" fontId="0" fillId="0" borderId="0" xfId="0" applyNumberFormat="1"/>
    <xf numFmtId="176" fontId="0" fillId="0" borderId="0" xfId="0" applyNumberFormat="1"/>
    <xf numFmtId="178" fontId="0" fillId="0" borderId="0" xfId="0" applyNumberFormat="1"/>
    <xf numFmtId="14" fontId="0" fillId="0" borderId="0" xfId="0" applyNumberFormat="1" applyAlignment="1">
      <alignment horizontal="left"/>
    </xf>
    <xf numFmtId="179" fontId="0" fillId="0" borderId="0" xfId="0" applyNumberFormat="1" applyFont="1"/>
    <xf numFmtId="0" fontId="0" fillId="0" borderId="0" xfId="0" applyFont="1"/>
    <xf numFmtId="179" fontId="2" fillId="3" borderId="1" xfId="49" applyNumberFormat="1" applyFont="1" applyFill="1" applyBorder="1">
      <alignment vertical="center"/>
    </xf>
    <xf numFmtId="0" fontId="2" fillId="3" borderId="1" xfId="49" applyFont="1" applyFill="1" applyBorder="1">
      <alignment vertical="center"/>
    </xf>
    <xf numFmtId="14" fontId="0" fillId="0" borderId="0" xfId="0" applyNumberFormat="1" applyAlignment="1">
      <alignment vertical="center"/>
    </xf>
    <xf numFmtId="0" fontId="0" fillId="0" borderId="0" xfId="0" applyNumberFormat="1" applyAlignment="1">
      <alignment vertical="center"/>
    </xf>
    <xf numFmtId="0" fontId="0" fillId="0" borderId="0" xfId="0" applyAlignment="1">
      <alignment vertical="center"/>
    </xf>
    <xf numFmtId="10" fontId="0" fillId="0" borderId="0" xfId="0" applyNumberFormat="1" applyAlignment="1">
      <alignment vertical="center"/>
    </xf>
    <xf numFmtId="9" fontId="2" fillId="3" borderId="1" xfId="49" applyNumberFormat="1" applyFont="1" applyFill="1" applyBorder="1">
      <alignment vertical="center"/>
    </xf>
    <xf numFmtId="10" fontId="2" fillId="3" borderId="1" xfId="49" applyNumberFormat="1" applyFont="1" applyFill="1" applyBorder="1">
      <alignment vertical="center"/>
    </xf>
    <xf numFmtId="9" fontId="0" fillId="0" borderId="0" xfId="0" applyNumberFormat="1" applyAlignment="1">
      <alignment vertical="center"/>
    </xf>
    <xf numFmtId="180" fontId="2" fillId="3" borderId="1" xfId="49" applyNumberFormat="1" applyFont="1" applyFill="1" applyBorder="1">
      <alignment vertical="center"/>
    </xf>
    <xf numFmtId="0" fontId="0" fillId="4" borderId="0" xfId="0" applyFont="1" applyFill="1"/>
    <xf numFmtId="181" fontId="0" fillId="0" borderId="0" xfId="0" applyNumberFormat="1" applyAlignment="1">
      <alignment vertical="center"/>
    </xf>
    <xf numFmtId="0" fontId="0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182" fontId="0" fillId="0" borderId="0" xfId="49" applyNumberFormat="1" applyFont="1" applyFill="1" applyAlignment="1">
      <alignment vertical="center"/>
    </xf>
    <xf numFmtId="10" fontId="0" fillId="0" borderId="0" xfId="0" applyNumberFormat="1" applyFont="1" applyAlignment="1">
      <alignment vertical="center"/>
    </xf>
    <xf numFmtId="9" fontId="0" fillId="0" borderId="0" xfId="0" applyNumberFormat="1" applyFont="1" applyAlignment="1">
      <alignment vertical="center"/>
    </xf>
    <xf numFmtId="181" fontId="0" fillId="0" borderId="0" xfId="0" applyNumberFormat="1" applyFont="1" applyAlignment="1">
      <alignment vertical="center"/>
    </xf>
    <xf numFmtId="0" fontId="0" fillId="0" borderId="0" xfId="49" applyNumberFormat="1" applyFont="1" applyFill="1" applyAlignment="1">
      <alignment vertical="center"/>
    </xf>
    <xf numFmtId="0" fontId="5" fillId="0" borderId="0" xfId="49" applyNumberFormat="1" applyFont="1" applyFill="1" applyAlignment="1">
      <alignment vertical="center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  <cellStyle name="注释 2" xfId="50"/>
  </cellStyles>
  <dxfs count="84">
    <dxf>
      <numFmt numFmtId="178" formatCode="m/d/yyyy"/>
    </dxf>
    <dxf>
      <numFmt numFmtId="179" formatCode="yy/m/d;@"/>
    </dxf>
    <dxf>
      <numFmt numFmtId="179" formatCode="yy/m/d;@"/>
    </dxf>
    <dxf>
      <numFmt numFmtId="183" formatCode="[$-F800]dddd\,\ mmmm\ dd\,\ yyyy"/>
    </dxf>
    <dxf>
      <numFmt numFmtId="178" formatCode="m/d/yyyy"/>
    </dxf>
    <dxf>
      <alignment horizontal="center"/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ont>
        <b val="1"/>
      </font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numFmt numFmtId="10" formatCode="0.00%"/>
    </dxf>
    <dxf>
      <numFmt numFmtId="0" formatCode="General"/>
    </dxf>
    <dxf>
      <numFmt numFmtId="0" formatCode="General"/>
    </dxf>
    <dxf>
      <numFmt numFmtId="0" formatCode="General"/>
    </dxf>
    <dxf>
      <numFmt numFmtId="10" formatCode="0.00%"/>
    </dxf>
    <dxf>
      <numFmt numFmtId="10" formatCode="0.00%"/>
    </dxf>
    <dxf>
      <font>
        <name val="Calibri"/>
        <scheme val="none"/>
        <charset val="134"/>
        <family val="2"/>
        <b val="0"/>
        <i val="0"/>
        <strike val="0"/>
        <u val="none"/>
        <sz val="11"/>
        <color theme="1"/>
      </font>
      <numFmt numFmtId="182" formatCode="yy/mm/dd"/>
      <alignment vertical="center"/>
    </dxf>
    <dxf>
      <font>
        <name val="等线"/>
        <scheme val="none"/>
        <charset val="134"/>
        <family val="2"/>
        <b val="0"/>
        <i val="0"/>
        <strike val="0"/>
        <u val="none"/>
        <sz val="11"/>
        <color theme="1"/>
      </font>
      <numFmt numFmtId="182" formatCode="yy/mm/dd"/>
      <fill>
        <patternFill patternType="none"/>
      </fill>
      <alignment vertical="center"/>
    </dxf>
    <dxf>
      <alignment vertical="center"/>
    </dxf>
    <dxf>
      <font>
        <name val="Calibri"/>
        <scheme val="none"/>
        <family val="2"/>
        <b val="0"/>
        <i val="0"/>
        <strike val="0"/>
        <u val="none"/>
        <sz val="11"/>
        <color theme="1"/>
      </font>
      <alignment vertical="center"/>
    </dxf>
    <dxf>
      <alignment vertical="center"/>
    </dxf>
    <dxf>
      <numFmt numFmtId="10" formatCode="0.00%"/>
      <alignment vertical="center"/>
    </dxf>
    <dxf>
      <alignment vertical="center"/>
    </dxf>
    <dxf>
      <numFmt numFmtId="10" formatCode="0.00%"/>
      <alignment vertical="center"/>
    </dxf>
    <dxf>
      <numFmt numFmtId="9" formatCode="0%"/>
      <alignment vertical="center"/>
    </dxf>
    <dxf>
      <alignment vertical="center"/>
    </dxf>
    <dxf>
      <alignment vertical="center"/>
    </dxf>
    <dxf>
      <numFmt numFmtId="10" formatCode="0.00%"/>
      <alignment vertical="center"/>
    </dxf>
    <dxf>
      <numFmt numFmtId="10" formatCode="0.00%"/>
      <alignment vertical="center"/>
    </dxf>
    <dxf>
      <numFmt numFmtId="181" formatCode="&quot;US$&quot;#,##0.00_);\(&quot;US$&quot;#,##0.00\)"/>
      <alignment vertical="center"/>
    </dxf>
    <dxf>
      <numFmt numFmtId="181" formatCode="&quot;US$&quot;#,##0.00_);\(&quot;US$&quot;#,##0.00\)"/>
      <alignment vertical="center"/>
    </dxf>
    <dxf>
      <alignment vertical="center"/>
    </dxf>
    <dxf>
      <alignment vertical="center"/>
    </dxf>
    <dxf>
      <numFmt numFmtId="0" formatCode="General"/>
    </dxf>
    <dxf>
      <numFmt numFmtId="178" formatCode="m/d/yyyy"/>
    </dxf>
    <dxf>
      <font>
        <b val="1"/>
        <i val="0"/>
        <color theme="1"/>
      </font>
      <fill>
        <patternFill patternType="solid">
          <bgColor theme="2"/>
        </patternFill>
      </fill>
      <border>
        <left/>
        <right/>
        <top/>
        <bottom/>
      </border>
    </dxf>
    <dxf>
      <font>
        <color rgb="FF9C0006"/>
      </font>
      <fill>
        <patternFill patternType="solid">
          <bgColor rgb="FFFFC7CE"/>
        </patternFill>
      </fill>
    </dxf>
    <dxf>
      <font>
        <b val="1"/>
        <i val="0"/>
        <color theme="1"/>
      </font>
    </dxf>
    <dxf>
      <font>
        <b val="1"/>
        <i val="0"/>
        <color theme="1"/>
      </font>
      <border>
        <bottom style="thin">
          <color theme="9" tint="-0.249946592608417"/>
        </bottom>
      </border>
    </dxf>
    <dxf>
      <fill>
        <patternFill patternType="solid">
          <fgColor theme="0" tint="-0.149998474074526"/>
          <bgColor theme="0" tint="-0.149998474074526"/>
        </patternFill>
      </fill>
      <border>
        <bottom style="thin">
          <color theme="0" tint="-0.349986266670736"/>
        </bottom>
      </border>
    </dxf>
    <dxf>
      <fill>
        <patternFill patternType="solid">
          <fgColor theme="0" tint="-0.149998474074526"/>
          <bgColor theme="0" tint="-0.149998474074526"/>
        </patternFill>
      </fill>
      <border>
        <bottom style="thin">
          <color theme="0" tint="-0.349986266670736"/>
        </bottom>
      </border>
    </dxf>
    <dxf>
      <fill>
        <patternFill patternType="solid">
          <bgColor theme="2"/>
        </patternFill>
      </fill>
    </dxf>
    <dxf>
      <font>
        <b val="1"/>
        <color theme="1"/>
      </font>
      <fill>
        <patternFill patternType="solid">
          <bgColor theme="2"/>
        </patternFill>
      </fill>
    </dxf>
    <dxf>
      <font>
        <b val="1"/>
        <color theme="1"/>
      </font>
      <fill>
        <patternFill patternType="solid">
          <bgColor theme="2"/>
        </patternFill>
      </fill>
      <border>
        <bottom style="thin">
          <color theme="0" tint="-0.349986266670736"/>
        </bottom>
      </border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fgColor theme="0" tint="-0.149998474074526"/>
          <bgColor theme="0" tint="-0.149998474074526"/>
        </patternFill>
      </fill>
      <border>
        <left style="thin">
          <color theme="0" tint="-0.249977111117893"/>
        </left>
        <right style="thin">
          <color theme="0" tint="-0.249977111117893"/>
        </right>
      </border>
    </dxf>
    <dxf>
      <fill>
        <patternFill patternType="solid">
          <fgColor theme="0" tint="-0.149998474074526"/>
          <bgColor theme="0" tint="-0.149998474074526"/>
        </patternFill>
      </fill>
    </dxf>
    <dxf>
      <font>
        <b val="1"/>
        <color theme="1"/>
      </font>
      <fill>
        <patternFill patternType="solid">
          <fgColor theme="0" tint="-0.149998474074526"/>
          <bgColor theme="0" tint="-0.149998474074526"/>
        </patternFill>
      </fill>
      <border>
        <top style="thin">
          <color theme="0" tint="-0.349986266670736"/>
        </top>
      </border>
    </dxf>
    <dxf>
      <font>
        <b val="1"/>
        <color theme="1"/>
      </font>
      <fill>
        <patternFill patternType="solid">
          <fgColor theme="0" tint="-0.149998474074526"/>
          <bgColor theme="0" tint="-0.149998474074526"/>
        </patternFill>
      </fill>
      <border>
        <bottom style="thin">
          <color theme="0" tint="-0.349986266670736"/>
        </bottom>
      </border>
    </dxf>
    <dxf>
      <fill>
        <patternFill patternType="solid">
          <fgColor theme="2"/>
          <bgColor theme="2"/>
        </patternFill>
      </fill>
    </dxf>
    <dxf>
      <font>
        <b val="1"/>
        <color theme="1"/>
      </font>
      <border>
        <bottom style="thin">
          <color theme="8"/>
        </bottom>
        <vertical/>
        <horizontal/>
      </border>
    </dxf>
    <dxf>
      <font>
        <color theme="1"/>
      </font>
      <fill>
        <patternFill patternType="solid">
          <bgColor theme="2"/>
        </patternFill>
      </fill>
      <border>
        <left/>
        <right/>
        <top/>
        <bottom/>
        <vertical/>
        <horizontal/>
      </border>
    </dxf>
    <dxf>
      <font>
        <b val="1"/>
        <sz val="11"/>
        <color theme="1"/>
      </font>
    </dxf>
    <dxf>
      <font>
        <color theme="1"/>
      </font>
      <fill>
        <patternFill patternType="solid">
          <bgColor theme="2"/>
        </patternFill>
      </fill>
      <border>
        <left/>
        <right/>
        <top/>
        <bottom/>
        <vertical/>
        <horizontal/>
      </border>
    </dxf>
    <dxf>
      <fill>
        <patternFill patternType="solid">
          <bgColor rgb="FFFFFFFF"/>
        </patternFill>
      </fill>
    </dxf>
    <dxf>
      <fill>
        <patternFill patternType="solid">
          <bgColor theme="4" tint="0.799951170384838"/>
        </patternFill>
      </fill>
    </dxf>
    <dxf>
      <fill>
        <patternFill patternType="solid">
          <fgColor theme="4" tint="0.799951170384838"/>
          <bgColor theme="4" tint="0.799951170384838"/>
        </patternFill>
      </fill>
      <border>
        <top/>
      </border>
    </dxf>
    <dxf>
      <fill>
        <patternFill patternType="solid">
          <fgColor theme="4" tint="0.799951170384838"/>
          <bgColor theme="4" tint="0.799951170384838"/>
        </patternFill>
      </fill>
      <border>
        <bottom/>
      </border>
    </dxf>
    <dxf>
      <fill>
        <patternFill patternType="solid">
          <bgColor rgb="FFF8F8F8"/>
        </patternFill>
      </fill>
    </dxf>
    <dxf>
      <border>
        <top style="thin">
          <color rgb="FF338F99"/>
        </top>
        <bottom style="thin">
          <color rgb="FF338F99"/>
        </bottom>
      </border>
    </dxf>
    <dxf>
      <border>
        <right style="thin">
          <color rgb="FF338F99"/>
        </right>
        <top style="thin">
          <color rgb="FF338F99"/>
        </top>
        <bottom style="thin">
          <color rgb="FF338F99"/>
        </bottom>
        <vertical style="thin">
          <color rgb="FF338F99"/>
        </vertical>
        <horizontal style="thin">
          <color rgb="FF338F99"/>
        </horizontal>
      </border>
    </dxf>
    <dxf>
      <font>
        <b val="0"/>
        <i val="0"/>
        <color rgb="FF338F99"/>
      </font>
      <fill>
        <patternFill patternType="solid">
          <bgColor rgb="FFF8F8F8"/>
        </patternFill>
      </fill>
      <border>
        <top style="thin">
          <color rgb="FF338F99"/>
        </top>
        <bottom style="thin">
          <color rgb="FF338F99"/>
        </bottom>
      </border>
    </dxf>
    <dxf>
      <border>
        <top style="thin">
          <color rgb="FF338F99"/>
        </top>
        <bottom style="thin">
          <color rgb="FF338F99"/>
        </bottom>
        <horizontal style="thin">
          <color rgb="FF338F99"/>
        </horizontal>
      </border>
    </dxf>
  </dxfs>
  <tableStyles count="6" defaultTableStyle="TableStyleMedium2" defaultPivotStyle="PivotStyleLight16">
    <tableStyle name="PivotStyleLight15 2" table="0" count="15" xr9:uid="{30B379EB-3AFF-AFED-47FE-4D694ECC5111}">
      <tableStyleElement type="wholeTable" dxfId="70"/>
      <tableStyleElement type="headerRow" dxfId="69"/>
      <tableStyleElement type="totalRow" dxfId="68"/>
      <tableStyleElement type="firstRowStripe" dxfId="67"/>
      <tableStyleElement type="firstColumnStripe" dxfId="66"/>
      <tableStyleElement type="firstHeaderCell" dxfId="65"/>
      <tableStyleElement type="blankRow" dxfId="64"/>
      <tableStyleElement type="firstColumnSubheading" dxfId="63"/>
      <tableStyleElement type="secondColumnSubheading" dxfId="62"/>
      <tableStyleElement type="thirdColumnSubheading" dxfId="61"/>
      <tableStyleElement type="firstRowSubheading" dxfId="60"/>
      <tableStyleElement type="secondRowSubheading" dxfId="59"/>
      <tableStyleElement type="thirdRowSubheading" dxfId="58"/>
      <tableStyleElement type="pageFieldLabels" dxfId="57"/>
      <tableStyleElement type="pageFieldValues" dxfId="56"/>
    </tableStyle>
    <tableStyle name="SlicerStyleDark5 2" pivot="0" table="0" count="10" xr9:uid="{46582711-4DDF-9F9F-47FE-4D697DD3AC49}">
      <tableStyleElement type="wholeTable" dxfId="72"/>
      <tableStyleElement type="headerRow" dxfId="71"/>
    </tableStyle>
    <tableStyle name="TimeSlicerStyleLight1 2" pivot="0" table="0" count="2" xr9:uid="{51255937-CE2A-399E-47FE-4D69A7A1A2AF}">
      <tableStyleElement type="wholeTable" dxfId="74"/>
      <tableStyleElement type="headerRow" dxfId="73"/>
    </tableStyle>
    <tableStyle name="切片器样式 1" pivot="0" table="0" count="5" xr9:uid="{D280AB58-FA73-A304-47FE-4D695B81BCD6}">
      <tableStyleElement type="wholeTable" dxfId="75"/>
    </tableStyle>
    <tableStyle name="扁平的数据透视样式" table="0" count="3" xr9:uid="{B0423D53-2AF0-A9B4-47FE-4D69E02B1939}">
      <tableStyleElement type="headerRow" dxfId="78"/>
      <tableStyleElement type="totalRow" dxfId="77"/>
      <tableStyleElement type="secondRowStripe" dxfId="76"/>
    </tableStyle>
    <tableStyle name="表样式 1" pivot="0" count="5" xr9:uid="{F250BA5F-1F6F-0464-47FE-4D6969DFE48E}">
      <tableStyleElement type="wholeTable" dxfId="83"/>
      <tableStyleElement type="headerRow" dxfId="82"/>
      <tableStyleElement type="firstColumn" dxfId="81"/>
      <tableStyleElement type="firstRowStripe" dxfId="80"/>
      <tableStyleElement type="secondRowStripe" dxfId="79"/>
    </tableStyle>
  </tableStyles>
  <colors>
    <mruColors>
      <color rgb="008AC8D6"/>
    </mruColors>
  </colors>
  <extLst>
    <ext xmlns:x14="http://schemas.microsoft.com/office/spreadsheetml/2009/9/main" uri="{46F421CA-312F-682f-3DD2-61675219B42D}">
      <x14:dxfs count="12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theme="0"/>
          </font>
          <fill>
            <patternFill patternType="solid">
              <bgColor theme="4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theme="0"/>
          </font>
          <fill>
            <patternFill patternType="solid">
              <bgColor theme="4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theme="8" tint="-0.249977111117893"/>
          </font>
          <fill>
            <patternFill patternType="solid">
              <fgColor theme="8" tint="0.599993896298105"/>
              <bgColor theme="8" tint="0.599993896298105"/>
            </patternFill>
          </fill>
          <border>
            <left style="thin">
              <color theme="8" tint="0.599993896298105"/>
            </left>
            <right style="thin">
              <color theme="8" tint="0.599993896298105"/>
            </right>
            <top style="thin">
              <color theme="8" tint="0.599993896298105"/>
            </top>
            <bottom style="thin">
              <color theme="8" tint="0.599993896298105"/>
            </bottom>
            <vertical/>
            <horizontal/>
          </border>
        </dxf>
        <dxf>
          <font>
            <color theme="0"/>
          </font>
          <fill>
            <patternFill patternType="solid">
              <fgColor theme="8"/>
              <bgColor theme="4"/>
            </patternFill>
          </fill>
          <border>
            <left/>
            <right/>
            <top/>
            <bottom/>
            <vertical/>
            <horizontal/>
          </border>
        </dxf>
        <dxf>
          <font>
            <color rgb="FF959595"/>
          </font>
          <fill>
            <patternFill patternType="solid">
              <fgColor rgb="FFDFDFDF"/>
              <bgColor rgb="FFDFDFDF"/>
            </patternFill>
          </fill>
          <border>
            <left style="thin">
              <color rgb="FFDFDFDF"/>
            </left>
            <right style="thin">
              <color rgb="FFDFDFDF"/>
            </right>
            <top style="thin">
              <color rgb="FFDFDFDF"/>
            </top>
            <bottom style="thin">
              <color rgb="FFDFDFDF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C0C0C0"/>
              <bgColor theme="2"/>
            </patternFill>
          </fill>
          <border>
            <left style="thin">
              <color rgb="FFC0C0C0"/>
            </left>
            <right style="thin">
              <color rgb="FFC0C0C0"/>
            </right>
            <top style="thin">
              <color rgb="FFC0C0C0"/>
            </top>
            <bottom style="thin">
              <color rgb="FFC0C0C0"/>
            </bottom>
            <vertical/>
            <horizontal/>
          </border>
        </dxf>
        <dxf>
          <font>
            <color theme="0"/>
          </font>
          <fill>
            <patternFill patternType="solid">
              <bgColor theme="6"/>
            </patternFill>
          </fill>
        </dxf>
        <dxf>
          <font>
            <color rgb="FF338F99"/>
          </font>
          <fill>
            <patternFill patternType="solid">
              <bgColor rgb="FFF8F8F8"/>
            </patternFill>
          </fill>
        </dxf>
        <dxf>
          <font>
            <color theme="0"/>
          </font>
          <fill>
            <patternFill patternType="solid">
              <bgColor rgb="FF338F99"/>
            </patternFill>
          </fill>
        </dxf>
        <dxf>
          <font>
            <color rgb="FF338F99"/>
          </font>
          <fill>
            <patternFill patternType="solid">
              <bgColor rgb="FFF8F8F8"/>
            </patternFill>
          </fill>
          <border>
            <left style="thin">
              <color auto="1"/>
            </left>
            <right style="thin">
              <color auto="1"/>
            </right>
            <top style="thin">
              <color auto="1"/>
            </top>
            <bottom style="thin">
              <color auto="1"/>
            </bottom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Dark5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  <x14:slicerStyle name="切片器样式 1">
          <x14:slicerStyleElements>
            <x14:slicerStyleElement type="unselectedItemWithData" dxfId="11"/>
            <x14:slicerStyleElement type="selectedItemWithData" dxfId="10"/>
            <x14:slicerStyleElement type="hoveredUnselectedItemWithData" dxfId="9"/>
            <x14:slicerStyleElement type="hoveredSelectedItemWithData" dxfId="8"/>
          </x14:slicerStyleElements>
        </x14:slicerStyle>
      </x14:slicerStyles>
    </ext>
  </extLst>
</styleSheet>
</file>

<file path=xl/woinfos.xml><?xml version="1.0" encoding="utf-8"?>
<woInfos xmlns="https://web.wps.cn/et/2018/main" xmlns:s="http://schemas.openxmlformats.org/spreadsheetml/2006/main">
  <bookInfo cellCmpFml="7696">
    <open main="398" threadCnt="1"/>
    <sheetInfos>
      <sheetInfo cellCmpFml="0" sheetStid="1">
        <open main="27" threadCnt="1"/>
      </sheetInfo>
      <sheetInfo cellCmpFml="0" sheetStid="6">
        <open threadCnt="1"/>
      </sheetInfo>
      <sheetInfo cellCmpFml="0" sheetStid="49">
        <open main="20" threadCnt="1"/>
      </sheetInfo>
      <sheetInfo cellCmpFml="0" sheetStid="38">
        <open main="3" threadCnt="1"/>
      </sheetInfo>
      <sheetInfo cellCmpFml="7483" sheetStid="35">
        <open main="189" threadCnt="1"/>
      </sheetInfo>
      <sheetInfo cellCmpFml="3" sheetStid="39">
        <open main="10" threadCnt="1"/>
      </sheetInfo>
      <sheetInfo cellCmpFml="175" sheetStid="41">
        <open main="7" threadCnt="1"/>
      </sheetInfo>
      <sheetInfo cellCmpFml="1" sheetStid="45">
        <open main="7" threadCnt="1"/>
      </sheetInfo>
      <sheetInfo cellCmpFml="34" sheetStid="47">
        <open main="3" threadCnt="1"/>
      </sheetInfo>
      <sheetInfo cellCmpFml="0" sheetStid="48">
        <open main="8" threadCnt="1"/>
      </sheetInfo>
    </sheetInfos>
  </bookInfo>
</woInfos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3" Type="http://www.wps.cn/officeDocument/2023/relationships/woinfos" Target="woinfos.xml"/><Relationship Id="rId22" Type="http://www.wps.cn/officeDocument/2023/relationships/customStorage" Target="customStorage/customStorage.xml"/><Relationship Id="rId21" Type="http://schemas.openxmlformats.org/officeDocument/2006/relationships/styles" Target="styles.xml"/><Relationship Id="rId20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9" Type="http://schemas.openxmlformats.org/officeDocument/2006/relationships/customXml" Target="../customXml/item1.xml"/><Relationship Id="rId18" Type="http://schemas.openxmlformats.org/officeDocument/2006/relationships/sharedStrings" Target="sharedStrings.xml"/><Relationship Id="rId17" Type="http://schemas.openxmlformats.org/officeDocument/2006/relationships/theme" Target="theme/theme1.xml"/><Relationship Id="rId16" Type="http://schemas.microsoft.com/office/2007/relationships/slicerCache" Target="slicerCaches/slicerCache3.xml"/><Relationship Id="rId15" Type="http://schemas.microsoft.com/office/2007/relationships/slicerCache" Target="slicerCaches/slicerCache2.xml"/><Relationship Id="rId14" Type="http://schemas.microsoft.com/office/2007/relationships/slicerCache" Target="slicerCaches/slicerCache1.xml"/><Relationship Id="rId13" Type="http://schemas.openxmlformats.org/officeDocument/2006/relationships/pivotCacheDefinition" Target="pivotCache/pivotCacheDefinition2.xml"/><Relationship Id="rId12" Type="http://schemas.openxmlformats.org/officeDocument/2006/relationships/pivotCacheDefinition" Target="pivotCache/pivotCacheDefinition1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3" Type="http://schemas.microsoft.com/office/2011/relationships/chartColorStyle" Target="colors1.xml"/><Relationship Id="rId2" Type="http://schemas.microsoft.com/office/2011/relationships/chartStyle" Target="style1.xml"/><Relationship Id="rId1" Type="http://schemas.openxmlformats.org/officeDocument/2006/relationships/themeOverride" Target="../theme/themeOverrid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microsoft.com/office/2011/relationships/chartColorStyle" Target="colors3.xml"/><Relationship Id="rId2" Type="http://schemas.microsoft.com/office/2011/relationships/chartStyle" Target="style3.xml"/><Relationship Id="rId1" Type="http://schemas.openxmlformats.org/officeDocument/2006/relationships/themeOverride" Target="../theme/themeOverrid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day_控件!$O$1</c:f>
              <c:strCache>
                <c:ptCount val="1"/>
                <c:pt idx="0">
                  <c:v>浏览量</c:v>
                </c:pt>
              </c:strCache>
            </c:strRef>
          </c:tx>
          <c:spPr>
            <a:solidFill>
              <a:srgbClr val="D66B6A">
                <a:lumMod val="40000"/>
                <a:lumOff val="60000"/>
              </a:srgbClr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day_控件!$L$2:$L$295</c:f>
              <c:strCache>
                <c:ptCount val="294"/>
                <c:pt idx="0" c:formatCode="yyyy/m/d">
                  <c:v>2018/10/1</c:v>
                </c:pt>
                <c:pt idx="1" c:formatCode="yyyy/m/d">
                  <c:v>2018/10/2</c:v>
                </c:pt>
                <c:pt idx="2" c:formatCode="yyyy/m/d">
                  <c:v>2018/10/3</c:v>
                </c:pt>
                <c:pt idx="3" c:formatCode="yyyy/m/d">
                  <c:v>2018/10/4</c:v>
                </c:pt>
                <c:pt idx="4" c:formatCode="yyyy/m/d">
                  <c:v>2018/10/5</c:v>
                </c:pt>
                <c:pt idx="5" c:formatCode="yyyy/m/d">
                  <c:v>2018/10/6</c:v>
                </c:pt>
                <c:pt idx="6" c:formatCode="yyyy/m/d">
                  <c:v>2018/10/7</c:v>
                </c:pt>
                <c:pt idx="7" c:formatCode="yyyy/m/d">
                  <c:v>2018/10/8</c:v>
                </c:pt>
                <c:pt idx="8" c:formatCode="yyyy/m/d">
                  <c:v>2018/10/9</c:v>
                </c:pt>
                <c:pt idx="9" c:formatCode="yyyy/m/d">
                  <c:v>2018/10/10</c:v>
                </c:pt>
                <c:pt idx="10" c:formatCode="yyyy/m/d">
                  <c:v>2018/10/11</c:v>
                </c:pt>
                <c:pt idx="11" c:formatCode="yyyy/m/d">
                  <c:v>2018/10/12</c:v>
                </c:pt>
                <c:pt idx="12" c:formatCode="yyyy/m/d">
                  <c:v>2018/10/13</c:v>
                </c:pt>
                <c:pt idx="13" c:formatCode="yyyy/m/d">
                  <c:v>2018/10/14</c:v>
                </c:pt>
                <c:pt idx="14" c:formatCode="yyyy/m/d">
                  <c:v>2018/10/15</c:v>
                </c:pt>
                <c:pt idx="15" c:formatCode="yyyy/m/d">
                  <c:v>2018/10/16</c:v>
                </c:pt>
                <c:pt idx="16" c:formatCode="yyyy/m/d">
                  <c:v>2018/10/17</c:v>
                </c:pt>
                <c:pt idx="17" c:formatCode="yyyy/m/d">
                  <c:v>2018/10/18</c:v>
                </c:pt>
                <c:pt idx="18" c:formatCode="yyyy/m/d">
                  <c:v>2018/10/19</c:v>
                </c:pt>
                <c:pt idx="19" c:formatCode="yyyy/m/d">
                  <c:v>2018/10/20</c:v>
                </c:pt>
                <c:pt idx="20" c:formatCode="yyyy/m/d">
                  <c:v>2018/10/21</c:v>
                </c:pt>
                <c:pt idx="21" c:formatCode="yyyy/m/d">
                  <c:v>2018/10/22</c:v>
                </c:pt>
                <c:pt idx="22" c:formatCode="yyyy/m/d">
                  <c:v>2018/10/23</c:v>
                </c:pt>
                <c:pt idx="23" c:formatCode="yyyy/m/d">
                  <c:v>2018/10/24</c:v>
                </c:pt>
                <c:pt idx="24" c:formatCode="yyyy/m/d">
                  <c:v>2018/10/25</c:v>
                </c:pt>
                <c:pt idx="25" c:formatCode="yyyy/m/d">
                  <c:v>2018/10/26</c:v>
                </c:pt>
                <c:pt idx="26" c:formatCode="yyyy/m/d">
                  <c:v>2018/10/27</c:v>
                </c:pt>
                <c:pt idx="27" c:formatCode="yyyy/m/d">
                  <c:v>2018/10/28</c:v>
                </c:pt>
                <c:pt idx="28" c:formatCode="yyyy/m/d">
                  <c:v>2018/10/29</c:v>
                </c:pt>
                <c:pt idx="29" c:formatCode="yyyy/m/d">
                  <c:v>2018/10/30</c:v>
                </c:pt>
                <c:pt idx="30" c:formatCode="yyyy/m/d">
                  <c:v>2018/10/31</c:v>
                </c:pt>
                <c:pt idx="31" c:formatCode="yyyy/m/d">
                  <c:v>2018/11/1</c:v>
                </c:pt>
                <c:pt idx="32" c:formatCode="yyyy/m/d">
                  <c:v>2018/11/2</c:v>
                </c:pt>
                <c:pt idx="33" c:formatCode="yyyy/m/d">
                  <c:v>2018/11/3</c:v>
                </c:pt>
                <c:pt idx="34" c:formatCode="yyyy/m/d">
                  <c:v>2018/11/4</c:v>
                </c:pt>
                <c:pt idx="35" c:formatCode="yyyy/m/d">
                  <c:v>2018/11/5</c:v>
                </c:pt>
                <c:pt idx="36" c:formatCode="yyyy/m/d">
                  <c:v>2018/11/6</c:v>
                </c:pt>
                <c:pt idx="37" c:formatCode="yyyy/m/d">
                  <c:v>2018/11/7</c:v>
                </c:pt>
                <c:pt idx="38" c:formatCode="yyyy/m/d">
                  <c:v>2018/11/8</c:v>
                </c:pt>
                <c:pt idx="39" c:formatCode="yyyy/m/d">
                  <c:v>2018/11/9</c:v>
                </c:pt>
                <c:pt idx="40" c:formatCode="yyyy/m/d">
                  <c:v>2018/11/10</c:v>
                </c:pt>
                <c:pt idx="41" c:formatCode="yyyy/m/d">
                  <c:v>2018/11/11</c:v>
                </c:pt>
                <c:pt idx="42" c:formatCode="yyyy/m/d">
                  <c:v>2018/11/12</c:v>
                </c:pt>
                <c:pt idx="43" c:formatCode="yyyy/m/d">
                  <c:v>2018/11/13</c:v>
                </c:pt>
                <c:pt idx="44" c:formatCode="yyyy/m/d">
                  <c:v>2018/11/14</c:v>
                </c:pt>
                <c:pt idx="45" c:formatCode="yyyy/m/d">
                  <c:v>2018/11/15</c:v>
                </c:pt>
                <c:pt idx="46" c:formatCode="yyyy/m/d">
                  <c:v>2018/11/16</c:v>
                </c:pt>
                <c:pt idx="47" c:formatCode="yyyy/m/d">
                  <c:v>2018/11/17</c:v>
                </c:pt>
                <c:pt idx="48" c:formatCode="yyyy/m/d">
                  <c:v>2018/11/18</c:v>
                </c:pt>
                <c:pt idx="49" c:formatCode="yyyy/m/d">
                  <c:v>2018/11/19</c:v>
                </c:pt>
                <c:pt idx="50" c:formatCode="yyyy/m/d">
                  <c:v>2018/11/20</c:v>
                </c:pt>
                <c:pt idx="51" c:formatCode="yyyy/m/d">
                  <c:v>2018/11/21</c:v>
                </c:pt>
                <c:pt idx="52" c:formatCode="yyyy/m/d">
                  <c:v>2018/11/22</c:v>
                </c:pt>
                <c:pt idx="53" c:formatCode="yyyy/m/d">
                  <c:v>2018/11/23</c:v>
                </c:pt>
                <c:pt idx="54" c:formatCode="yyyy/m/d">
                  <c:v>2018/11/24</c:v>
                </c:pt>
                <c:pt idx="55" c:formatCode="yyyy/m/d">
                  <c:v>2018/11/25</c:v>
                </c:pt>
                <c:pt idx="56" c:formatCode="yyyy/m/d">
                  <c:v>2018/11/26</c:v>
                </c:pt>
                <c:pt idx="57" c:formatCode="yyyy/m/d">
                  <c:v>2018/11/27</c:v>
                </c:pt>
                <c:pt idx="58" c:formatCode="yyyy/m/d">
                  <c:v>2018/11/28</c:v>
                </c:pt>
                <c:pt idx="59" c:formatCode="yyyy/m/d">
                  <c:v>2018/11/29</c:v>
                </c:pt>
                <c:pt idx="60" c:formatCode="yyyy/m/d">
                  <c:v>2018/11/30</c:v>
                </c:pt>
                <c:pt idx="61" c:formatCode="yyyy/m/d">
                  <c:v>2018/12/1</c:v>
                </c:pt>
                <c:pt idx="62" c:formatCode="yyyy/m/d">
                  <c:v>2018/12/2</c:v>
                </c:pt>
                <c:pt idx="63" c:formatCode="yyyy/m/d">
                  <c:v>2018/12/3</c:v>
                </c:pt>
                <c:pt idx="64" c:formatCode="yyyy/m/d">
                  <c:v>2018/12/4</c:v>
                </c:pt>
                <c:pt idx="65" c:formatCode="yyyy/m/d">
                  <c:v>2018/12/5</c:v>
                </c:pt>
                <c:pt idx="66" c:formatCode="yyyy/m/d">
                  <c:v>2018/12/6</c:v>
                </c:pt>
                <c:pt idx="67" c:formatCode="yyyy/m/d">
                  <c:v/>
                </c:pt>
                <c:pt idx="68" c:formatCode="yyyy/m/d">
                  <c:v/>
                </c:pt>
                <c:pt idx="69" c:formatCode="yyyy/m/d">
                  <c:v/>
                </c:pt>
                <c:pt idx="70" c:formatCode="yyyy/m/d">
                  <c:v/>
                </c:pt>
                <c:pt idx="71" c:formatCode="yyyy/m/d">
                  <c:v/>
                </c:pt>
                <c:pt idx="72" c:formatCode="yyyy/m/d">
                  <c:v/>
                </c:pt>
                <c:pt idx="73" c:formatCode="yyyy/m/d">
                  <c:v/>
                </c:pt>
                <c:pt idx="74" c:formatCode="yyyy/m/d">
                  <c:v/>
                </c:pt>
                <c:pt idx="75" c:formatCode="yyyy/m/d">
                  <c:v/>
                </c:pt>
                <c:pt idx="76" c:formatCode="yyyy/m/d">
                  <c:v/>
                </c:pt>
                <c:pt idx="77" c:formatCode="yyyy/m/d">
                  <c:v/>
                </c:pt>
                <c:pt idx="78" c:formatCode="yyyy/m/d">
                  <c:v/>
                </c:pt>
                <c:pt idx="79" c:formatCode="yyyy/m/d">
                  <c:v/>
                </c:pt>
                <c:pt idx="80" c:formatCode="yyyy/m/d">
                  <c:v/>
                </c:pt>
                <c:pt idx="81" c:formatCode="yyyy/m/d">
                  <c:v/>
                </c:pt>
                <c:pt idx="82" c:formatCode="yyyy/m/d">
                  <c:v/>
                </c:pt>
                <c:pt idx="83" c:formatCode="yyyy/m/d">
                  <c:v/>
                </c:pt>
                <c:pt idx="84" c:formatCode="yyyy/m/d">
                  <c:v/>
                </c:pt>
                <c:pt idx="85" c:formatCode="yyyy/m/d">
                  <c:v/>
                </c:pt>
                <c:pt idx="86" c:formatCode="yyyy/m/d">
                  <c:v/>
                </c:pt>
                <c:pt idx="87" c:formatCode="yyyy/m/d">
                  <c:v/>
                </c:pt>
                <c:pt idx="88" c:formatCode="yyyy/m/d">
                  <c:v/>
                </c:pt>
                <c:pt idx="89" c:formatCode="yyyy/m/d">
                  <c:v/>
                </c:pt>
                <c:pt idx="90" c:formatCode="yyyy/m/d">
                  <c:v/>
                </c:pt>
                <c:pt idx="91" c:formatCode="yyyy/m/d">
                  <c:v/>
                </c:pt>
                <c:pt idx="92" c:formatCode="yyyy/m/d">
                  <c:v/>
                </c:pt>
                <c:pt idx="93" c:formatCode="yyyy/m/d">
                  <c:v/>
                </c:pt>
                <c:pt idx="94" c:formatCode="yyyy/m/d">
                  <c:v/>
                </c:pt>
                <c:pt idx="95" c:formatCode="yyyy/m/d">
                  <c:v/>
                </c:pt>
                <c:pt idx="96" c:formatCode="yyyy/m/d">
                  <c:v/>
                </c:pt>
                <c:pt idx="97" c:formatCode="yyyy/m/d">
                  <c:v/>
                </c:pt>
                <c:pt idx="98" c:formatCode="yyyy/m/d">
                  <c:v/>
                </c:pt>
                <c:pt idx="99" c:formatCode="yyyy/m/d">
                  <c:v/>
                </c:pt>
                <c:pt idx="100" c:formatCode="yyyy/m/d">
                  <c:v/>
                </c:pt>
                <c:pt idx="101" c:formatCode="yyyy/m/d">
                  <c:v/>
                </c:pt>
                <c:pt idx="102" c:formatCode="yyyy/m/d">
                  <c:v/>
                </c:pt>
                <c:pt idx="103" c:formatCode="yyyy/m/d">
                  <c:v/>
                </c:pt>
                <c:pt idx="104" c:formatCode="yyyy/m/d">
                  <c:v/>
                </c:pt>
                <c:pt idx="105" c:formatCode="yyyy/m/d">
                  <c:v/>
                </c:pt>
                <c:pt idx="106" c:formatCode="yyyy/m/d">
                  <c:v/>
                </c:pt>
                <c:pt idx="107" c:formatCode="yyyy/m/d">
                  <c:v/>
                </c:pt>
                <c:pt idx="108" c:formatCode="yyyy/m/d">
                  <c:v/>
                </c:pt>
                <c:pt idx="109" c:formatCode="yyyy/m/d">
                  <c:v/>
                </c:pt>
                <c:pt idx="110" c:formatCode="yyyy/m/d">
                  <c:v/>
                </c:pt>
                <c:pt idx="111" c:formatCode="yyyy/m/d">
                  <c:v/>
                </c:pt>
                <c:pt idx="112" c:formatCode="yyyy/m/d">
                  <c:v/>
                </c:pt>
                <c:pt idx="113" c:formatCode="yyyy/m/d">
                  <c:v/>
                </c:pt>
                <c:pt idx="114" c:formatCode="yyyy/m/d">
                  <c:v/>
                </c:pt>
                <c:pt idx="115" c:formatCode="yyyy/m/d">
                  <c:v/>
                </c:pt>
                <c:pt idx="116" c:formatCode="yyyy/m/d">
                  <c:v/>
                </c:pt>
                <c:pt idx="117" c:formatCode="yyyy/m/d">
                  <c:v/>
                </c:pt>
                <c:pt idx="118" c:formatCode="yyyy/m/d">
                  <c:v/>
                </c:pt>
                <c:pt idx="119" c:formatCode="yyyy/m/d">
                  <c:v/>
                </c:pt>
                <c:pt idx="120" c:formatCode="yyyy/m/d">
                  <c:v/>
                </c:pt>
                <c:pt idx="121" c:formatCode="yyyy/m/d">
                  <c:v/>
                </c:pt>
                <c:pt idx="122" c:formatCode="yyyy/m/d">
                  <c:v/>
                </c:pt>
                <c:pt idx="123" c:formatCode="yyyy/m/d">
                  <c:v/>
                </c:pt>
                <c:pt idx="124" c:formatCode="yyyy/m/d">
                  <c:v/>
                </c:pt>
                <c:pt idx="125" c:formatCode="yyyy/m/d">
                  <c:v/>
                </c:pt>
                <c:pt idx="126" c:formatCode="yyyy/m/d">
                  <c:v/>
                </c:pt>
                <c:pt idx="127" c:formatCode="yyyy/m/d">
                  <c:v/>
                </c:pt>
                <c:pt idx="128" c:formatCode="yyyy/m/d">
                  <c:v/>
                </c:pt>
                <c:pt idx="129" c:formatCode="yyyy/m/d">
                  <c:v/>
                </c:pt>
                <c:pt idx="130" c:formatCode="yyyy/m/d">
                  <c:v/>
                </c:pt>
                <c:pt idx="131" c:formatCode="yyyy/m/d">
                  <c:v/>
                </c:pt>
                <c:pt idx="132" c:formatCode="yyyy/m/d">
                  <c:v/>
                </c:pt>
                <c:pt idx="133" c:formatCode="yyyy/m/d">
                  <c:v/>
                </c:pt>
                <c:pt idx="134" c:formatCode="yyyy/m/d">
                  <c:v/>
                </c:pt>
                <c:pt idx="135" c:formatCode="yyyy/m/d">
                  <c:v/>
                </c:pt>
                <c:pt idx="136" c:formatCode="yyyy/m/d">
                  <c:v/>
                </c:pt>
                <c:pt idx="137" c:formatCode="yyyy/m/d">
                  <c:v/>
                </c:pt>
                <c:pt idx="138" c:formatCode="yyyy/m/d">
                  <c:v/>
                </c:pt>
                <c:pt idx="139" c:formatCode="yyyy/m/d">
                  <c:v/>
                </c:pt>
                <c:pt idx="140" c:formatCode="yyyy/m/d">
                  <c:v/>
                </c:pt>
                <c:pt idx="141" c:formatCode="yyyy/m/d">
                  <c:v/>
                </c:pt>
                <c:pt idx="142" c:formatCode="yyyy/m/d">
                  <c:v/>
                </c:pt>
                <c:pt idx="143" c:formatCode="yyyy/m/d">
                  <c:v/>
                </c:pt>
                <c:pt idx="144" c:formatCode="yyyy/m/d">
                  <c:v/>
                </c:pt>
                <c:pt idx="145" c:formatCode="yyyy/m/d">
                  <c:v/>
                </c:pt>
                <c:pt idx="146" c:formatCode="yyyy/m/d">
                  <c:v/>
                </c:pt>
                <c:pt idx="147" c:formatCode="yyyy/m/d">
                  <c:v/>
                </c:pt>
                <c:pt idx="148" c:formatCode="yyyy/m/d">
                  <c:v/>
                </c:pt>
                <c:pt idx="149" c:formatCode="yyyy/m/d">
                  <c:v/>
                </c:pt>
                <c:pt idx="150" c:formatCode="yyyy/m/d">
                  <c:v/>
                </c:pt>
                <c:pt idx="151" c:formatCode="yyyy/m/d">
                  <c:v/>
                </c:pt>
                <c:pt idx="152" c:formatCode="yyyy/m/d">
                  <c:v/>
                </c:pt>
                <c:pt idx="153" c:formatCode="yyyy/m/d">
                  <c:v/>
                </c:pt>
                <c:pt idx="154" c:formatCode="yyyy/m/d">
                  <c:v/>
                </c:pt>
                <c:pt idx="155" c:formatCode="yyyy/m/d">
                  <c:v/>
                </c:pt>
                <c:pt idx="156" c:formatCode="yyyy/m/d">
                  <c:v/>
                </c:pt>
                <c:pt idx="157" c:formatCode="yyyy/m/d">
                  <c:v/>
                </c:pt>
                <c:pt idx="158" c:formatCode="yyyy/m/d">
                  <c:v/>
                </c:pt>
                <c:pt idx="159" c:formatCode="yyyy/m/d">
                  <c:v/>
                </c:pt>
                <c:pt idx="160" c:formatCode="yyyy/m/d">
                  <c:v/>
                </c:pt>
                <c:pt idx="161" c:formatCode="yyyy/m/d">
                  <c:v/>
                </c:pt>
                <c:pt idx="162" c:formatCode="yyyy/m/d">
                  <c:v/>
                </c:pt>
                <c:pt idx="163" c:formatCode="yyyy/m/d">
                  <c:v/>
                </c:pt>
                <c:pt idx="164" c:formatCode="yyyy/m/d">
                  <c:v/>
                </c:pt>
                <c:pt idx="165" c:formatCode="yyyy/m/d">
                  <c:v/>
                </c:pt>
                <c:pt idx="166" c:formatCode="yyyy/m/d">
                  <c:v/>
                </c:pt>
                <c:pt idx="167" c:formatCode="yyyy/m/d">
                  <c:v/>
                </c:pt>
                <c:pt idx="168" c:formatCode="yyyy/m/d">
                  <c:v/>
                </c:pt>
                <c:pt idx="169" c:formatCode="yyyy/m/d">
                  <c:v/>
                </c:pt>
                <c:pt idx="170" c:formatCode="yyyy/m/d">
                  <c:v/>
                </c:pt>
                <c:pt idx="171" c:formatCode="yyyy/m/d">
                  <c:v/>
                </c:pt>
                <c:pt idx="172" c:formatCode="yyyy/m/d">
                  <c:v/>
                </c:pt>
                <c:pt idx="173" c:formatCode="yyyy/m/d">
                  <c:v/>
                </c:pt>
                <c:pt idx="174" c:formatCode="yyyy/m/d">
                  <c:v/>
                </c:pt>
                <c:pt idx="175" c:formatCode="yyyy/m/d">
                  <c:v/>
                </c:pt>
                <c:pt idx="176" c:formatCode="yyyy/m/d">
                  <c:v/>
                </c:pt>
                <c:pt idx="177" c:formatCode="yyyy/m/d">
                  <c:v/>
                </c:pt>
                <c:pt idx="178" c:formatCode="yyyy/m/d">
                  <c:v/>
                </c:pt>
                <c:pt idx="179" c:formatCode="yyyy/m/d">
                  <c:v/>
                </c:pt>
                <c:pt idx="180" c:formatCode="yyyy/m/d">
                  <c:v/>
                </c:pt>
                <c:pt idx="181" c:formatCode="yyyy/m/d">
                  <c:v/>
                </c:pt>
                <c:pt idx="182" c:formatCode="yyyy/m/d">
                  <c:v/>
                </c:pt>
                <c:pt idx="183" c:formatCode="yyyy/m/d">
                  <c:v/>
                </c:pt>
                <c:pt idx="184" c:formatCode="yyyy/m/d">
                  <c:v/>
                </c:pt>
                <c:pt idx="185" c:formatCode="yyyy/m/d">
                  <c:v/>
                </c:pt>
                <c:pt idx="186" c:formatCode="yyyy/m/d">
                  <c:v/>
                </c:pt>
                <c:pt idx="187" c:formatCode="yyyy/m/d">
                  <c:v/>
                </c:pt>
                <c:pt idx="188" c:formatCode="yyyy/m/d">
                  <c:v/>
                </c:pt>
                <c:pt idx="189" c:formatCode="yyyy/m/d">
                  <c:v/>
                </c:pt>
                <c:pt idx="190" c:formatCode="yyyy/m/d">
                  <c:v/>
                </c:pt>
                <c:pt idx="191" c:formatCode="yyyy/m/d">
                  <c:v/>
                </c:pt>
                <c:pt idx="192" c:formatCode="yyyy/m/d">
                  <c:v/>
                </c:pt>
                <c:pt idx="193" c:formatCode="yyyy/m/d">
                  <c:v/>
                </c:pt>
                <c:pt idx="194" c:formatCode="yyyy/m/d">
                  <c:v/>
                </c:pt>
                <c:pt idx="195" c:formatCode="yyyy/m/d">
                  <c:v/>
                </c:pt>
                <c:pt idx="196" c:formatCode="yyyy/m/d">
                  <c:v/>
                </c:pt>
                <c:pt idx="197" c:formatCode="yyyy/m/d">
                  <c:v/>
                </c:pt>
                <c:pt idx="198" c:formatCode="yyyy/m/d">
                  <c:v/>
                </c:pt>
                <c:pt idx="199" c:formatCode="yyyy/m/d">
                  <c:v/>
                </c:pt>
                <c:pt idx="200" c:formatCode="yyyy/m/d">
                  <c:v/>
                </c:pt>
                <c:pt idx="201" c:formatCode="yyyy/m/d">
                  <c:v/>
                </c:pt>
                <c:pt idx="202" c:formatCode="yyyy/m/d">
                  <c:v/>
                </c:pt>
                <c:pt idx="203" c:formatCode="yyyy/m/d">
                  <c:v/>
                </c:pt>
                <c:pt idx="204" c:formatCode="yyyy/m/d">
                  <c:v/>
                </c:pt>
                <c:pt idx="205" c:formatCode="yyyy/m/d">
                  <c:v/>
                </c:pt>
                <c:pt idx="206" c:formatCode="yyyy/m/d">
                  <c:v/>
                </c:pt>
                <c:pt idx="207" c:formatCode="yyyy/m/d">
                  <c:v/>
                </c:pt>
                <c:pt idx="208" c:formatCode="yyyy/m/d">
                  <c:v/>
                </c:pt>
                <c:pt idx="209" c:formatCode="yyyy/m/d">
                  <c:v/>
                </c:pt>
                <c:pt idx="210" c:formatCode="yyyy/m/d">
                  <c:v/>
                </c:pt>
                <c:pt idx="211" c:formatCode="yyyy/m/d">
                  <c:v/>
                </c:pt>
                <c:pt idx="212" c:formatCode="yyyy/m/d">
                  <c:v/>
                </c:pt>
                <c:pt idx="213" c:formatCode="yyyy/m/d">
                  <c:v/>
                </c:pt>
                <c:pt idx="214" c:formatCode="yyyy/m/d">
                  <c:v/>
                </c:pt>
                <c:pt idx="215" c:formatCode="yyyy/m/d">
                  <c:v/>
                </c:pt>
                <c:pt idx="216" c:formatCode="yyyy/m/d">
                  <c:v/>
                </c:pt>
                <c:pt idx="217" c:formatCode="yyyy/m/d">
                  <c:v/>
                </c:pt>
                <c:pt idx="218" c:formatCode="yyyy/m/d">
                  <c:v/>
                </c:pt>
                <c:pt idx="219" c:formatCode="yyyy/m/d">
                  <c:v/>
                </c:pt>
                <c:pt idx="220" c:formatCode="yyyy/m/d">
                  <c:v/>
                </c:pt>
                <c:pt idx="221" c:formatCode="yyyy/m/d">
                  <c:v/>
                </c:pt>
                <c:pt idx="222" c:formatCode="yyyy/m/d">
                  <c:v/>
                </c:pt>
                <c:pt idx="223" c:formatCode="yyyy/m/d">
                  <c:v/>
                </c:pt>
                <c:pt idx="224" c:formatCode="yyyy/m/d">
                  <c:v/>
                </c:pt>
                <c:pt idx="225" c:formatCode="yyyy/m/d">
                  <c:v/>
                </c:pt>
                <c:pt idx="226" c:formatCode="yyyy/m/d">
                  <c:v/>
                </c:pt>
                <c:pt idx="227" c:formatCode="yyyy/m/d">
                  <c:v/>
                </c:pt>
                <c:pt idx="228" c:formatCode="yyyy/m/d">
                  <c:v/>
                </c:pt>
                <c:pt idx="229" c:formatCode="yyyy/m/d">
                  <c:v/>
                </c:pt>
                <c:pt idx="230" c:formatCode="yyyy/m/d">
                  <c:v/>
                </c:pt>
                <c:pt idx="231" c:formatCode="yyyy/m/d">
                  <c:v/>
                </c:pt>
                <c:pt idx="232" c:formatCode="yyyy/m/d">
                  <c:v/>
                </c:pt>
                <c:pt idx="233" c:formatCode="yyyy/m/d">
                  <c:v/>
                </c:pt>
                <c:pt idx="234" c:formatCode="yyyy/m/d">
                  <c:v/>
                </c:pt>
                <c:pt idx="235" c:formatCode="yyyy/m/d">
                  <c:v/>
                </c:pt>
                <c:pt idx="236" c:formatCode="yyyy/m/d">
                  <c:v/>
                </c:pt>
                <c:pt idx="237" c:formatCode="yyyy/m/d">
                  <c:v/>
                </c:pt>
                <c:pt idx="238" c:formatCode="yyyy/m/d">
                  <c:v/>
                </c:pt>
                <c:pt idx="239" c:formatCode="yyyy/m/d">
                  <c:v/>
                </c:pt>
                <c:pt idx="240" c:formatCode="yyyy/m/d">
                  <c:v/>
                </c:pt>
                <c:pt idx="241" c:formatCode="yyyy/m/d">
                  <c:v/>
                </c:pt>
                <c:pt idx="242" c:formatCode="yyyy/m/d">
                  <c:v/>
                </c:pt>
                <c:pt idx="243" c:formatCode="yyyy/m/d">
                  <c:v/>
                </c:pt>
                <c:pt idx="244" c:formatCode="yyyy/m/d">
                  <c:v/>
                </c:pt>
                <c:pt idx="245" c:formatCode="yyyy/m/d">
                  <c:v/>
                </c:pt>
                <c:pt idx="246" c:formatCode="yyyy/m/d">
                  <c:v/>
                </c:pt>
                <c:pt idx="247" c:formatCode="yyyy/m/d">
                  <c:v/>
                </c:pt>
                <c:pt idx="248" c:formatCode="yyyy/m/d">
                  <c:v/>
                </c:pt>
                <c:pt idx="249" c:formatCode="yyyy/m/d">
                  <c:v/>
                </c:pt>
                <c:pt idx="250" c:formatCode="yyyy/m/d">
                  <c:v/>
                </c:pt>
                <c:pt idx="251" c:formatCode="yyyy/m/d">
                  <c:v/>
                </c:pt>
                <c:pt idx="252" c:formatCode="yyyy/m/d">
                  <c:v/>
                </c:pt>
                <c:pt idx="253" c:formatCode="yyyy/m/d">
                  <c:v/>
                </c:pt>
                <c:pt idx="254" c:formatCode="yyyy/m/d">
                  <c:v/>
                </c:pt>
                <c:pt idx="255" c:formatCode="yyyy/m/d">
                  <c:v/>
                </c:pt>
                <c:pt idx="256" c:formatCode="yyyy/m/d">
                  <c:v/>
                </c:pt>
                <c:pt idx="257" c:formatCode="yyyy/m/d">
                  <c:v/>
                </c:pt>
                <c:pt idx="258" c:formatCode="yyyy/m/d">
                  <c:v/>
                </c:pt>
                <c:pt idx="259" c:formatCode="yyyy/m/d">
                  <c:v/>
                </c:pt>
                <c:pt idx="260" c:formatCode="yyyy/m/d">
                  <c:v/>
                </c:pt>
                <c:pt idx="261" c:formatCode="yyyy/m/d">
                  <c:v/>
                </c:pt>
                <c:pt idx="262" c:formatCode="yyyy/m/d">
                  <c:v/>
                </c:pt>
                <c:pt idx="263" c:formatCode="yyyy/m/d">
                  <c:v/>
                </c:pt>
                <c:pt idx="264" c:formatCode="yyyy/m/d">
                  <c:v/>
                </c:pt>
                <c:pt idx="265" c:formatCode="yyyy/m/d">
                  <c:v/>
                </c:pt>
                <c:pt idx="266" c:formatCode="yyyy/m/d">
                  <c:v/>
                </c:pt>
                <c:pt idx="267" c:formatCode="yyyy/m/d">
                  <c:v/>
                </c:pt>
                <c:pt idx="268" c:formatCode="yyyy/m/d">
                  <c:v/>
                </c:pt>
                <c:pt idx="269" c:formatCode="yyyy/m/d">
                  <c:v/>
                </c:pt>
                <c:pt idx="270" c:formatCode="yyyy/m/d">
                  <c:v/>
                </c:pt>
                <c:pt idx="271" c:formatCode="yyyy/m/d">
                  <c:v/>
                </c:pt>
                <c:pt idx="272" c:formatCode="yyyy/m/d">
                  <c:v/>
                </c:pt>
                <c:pt idx="273" c:formatCode="yyyy/m/d">
                  <c:v/>
                </c:pt>
                <c:pt idx="274" c:formatCode="yyyy/m/d">
                  <c:v/>
                </c:pt>
                <c:pt idx="275" c:formatCode="yyyy/m/d">
                  <c:v/>
                </c:pt>
                <c:pt idx="276" c:formatCode="yyyy/m/d">
                  <c:v/>
                </c:pt>
                <c:pt idx="277" c:formatCode="yyyy/m/d">
                  <c:v/>
                </c:pt>
                <c:pt idx="278" c:formatCode="yyyy/m/d">
                  <c:v/>
                </c:pt>
                <c:pt idx="279" c:formatCode="yyyy/m/d">
                  <c:v/>
                </c:pt>
                <c:pt idx="280" c:formatCode="yyyy/m/d">
                  <c:v/>
                </c:pt>
                <c:pt idx="281" c:formatCode="yyyy/m/d">
                  <c:v/>
                </c:pt>
                <c:pt idx="282" c:formatCode="yyyy/m/d">
                  <c:v/>
                </c:pt>
                <c:pt idx="283" c:formatCode="yyyy/m/d">
                  <c:v/>
                </c:pt>
                <c:pt idx="284" c:formatCode="yyyy/m/d">
                  <c:v/>
                </c:pt>
                <c:pt idx="285" c:formatCode="yyyy/m/d">
                  <c:v/>
                </c:pt>
                <c:pt idx="286" c:formatCode="yyyy/m/d">
                  <c:v/>
                </c:pt>
                <c:pt idx="287" c:formatCode="yyyy/m/d">
                  <c:v/>
                </c:pt>
                <c:pt idx="288" c:formatCode="yyyy/m/d">
                  <c:v/>
                </c:pt>
                <c:pt idx="289" c:formatCode="yyyy/m/d">
                  <c:v/>
                </c:pt>
                <c:pt idx="290" c:formatCode="yyyy/m/d">
                  <c:v/>
                </c:pt>
                <c:pt idx="291" c:formatCode="yyyy/m/d">
                  <c:v/>
                </c:pt>
                <c:pt idx="292" c:formatCode="yyyy/m/d">
                  <c:v/>
                </c:pt>
                <c:pt idx="293" c:formatCode="yyyy/m/d">
                  <c:v/>
                </c:pt>
              </c:strCache>
            </c:strRef>
          </c:cat>
          <c:val>
            <c:numRef>
              <c:f>day_控件!$O$2:$O$295</c:f>
              <c:numCache>
                <c:formatCode>General</c:formatCode>
                <c:ptCount val="294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  <c:pt idx="197">
                  <c:v>#N/A</c:v>
                </c:pt>
                <c:pt idx="198">
                  <c:v>#N/A</c:v>
                </c:pt>
                <c:pt idx="199">
                  <c:v>#N/A</c:v>
                </c:pt>
                <c:pt idx="200">
                  <c:v>#N/A</c:v>
                </c:pt>
                <c:pt idx="201">
                  <c:v>#N/A</c:v>
                </c:pt>
                <c:pt idx="202">
                  <c:v>#N/A</c:v>
                </c:pt>
                <c:pt idx="203">
                  <c:v>#N/A</c:v>
                </c:pt>
                <c:pt idx="204">
                  <c:v>#N/A</c:v>
                </c:pt>
                <c:pt idx="205">
                  <c:v>#N/A</c:v>
                </c:pt>
                <c:pt idx="206">
                  <c:v>#N/A</c:v>
                </c:pt>
                <c:pt idx="207">
                  <c:v>#N/A</c:v>
                </c:pt>
                <c:pt idx="208">
                  <c:v>#N/A</c:v>
                </c:pt>
                <c:pt idx="209">
                  <c:v>#N/A</c:v>
                </c:pt>
                <c:pt idx="210">
                  <c:v>#N/A</c:v>
                </c:pt>
                <c:pt idx="211">
                  <c:v>#N/A</c:v>
                </c:pt>
                <c:pt idx="212">
                  <c:v>#N/A</c:v>
                </c:pt>
                <c:pt idx="213">
                  <c:v>#N/A</c:v>
                </c:pt>
                <c:pt idx="214">
                  <c:v>#N/A</c:v>
                </c:pt>
                <c:pt idx="215">
                  <c:v>#N/A</c:v>
                </c:pt>
                <c:pt idx="216">
                  <c:v>#N/A</c:v>
                </c:pt>
                <c:pt idx="217">
                  <c:v>#N/A</c:v>
                </c:pt>
                <c:pt idx="218">
                  <c:v>#N/A</c:v>
                </c:pt>
                <c:pt idx="219">
                  <c:v>#N/A</c:v>
                </c:pt>
                <c:pt idx="220">
                  <c:v>#N/A</c:v>
                </c:pt>
                <c:pt idx="221">
                  <c:v>#N/A</c:v>
                </c:pt>
                <c:pt idx="222">
                  <c:v>#N/A</c:v>
                </c:pt>
                <c:pt idx="223">
                  <c:v>#N/A</c:v>
                </c:pt>
                <c:pt idx="224">
                  <c:v>#N/A</c:v>
                </c:pt>
                <c:pt idx="225">
                  <c:v>#N/A</c:v>
                </c:pt>
                <c:pt idx="226">
                  <c:v>#N/A</c:v>
                </c:pt>
                <c:pt idx="227">
                  <c:v>#N/A</c:v>
                </c:pt>
                <c:pt idx="228">
                  <c:v>#N/A</c:v>
                </c:pt>
                <c:pt idx="229">
                  <c:v>#N/A</c:v>
                </c:pt>
                <c:pt idx="230">
                  <c:v>#N/A</c:v>
                </c:pt>
                <c:pt idx="231">
                  <c:v>#N/A</c:v>
                </c:pt>
                <c:pt idx="232">
                  <c:v>#N/A</c:v>
                </c:pt>
                <c:pt idx="233">
                  <c:v>#N/A</c:v>
                </c:pt>
                <c:pt idx="234">
                  <c:v>#N/A</c:v>
                </c:pt>
                <c:pt idx="235">
                  <c:v>#N/A</c:v>
                </c:pt>
                <c:pt idx="236">
                  <c:v>#N/A</c:v>
                </c:pt>
                <c:pt idx="237">
                  <c:v>#N/A</c:v>
                </c:pt>
                <c:pt idx="238">
                  <c:v>#N/A</c:v>
                </c:pt>
                <c:pt idx="239">
                  <c:v>#N/A</c:v>
                </c:pt>
                <c:pt idx="240">
                  <c:v>#N/A</c:v>
                </c:pt>
                <c:pt idx="241">
                  <c:v>#N/A</c:v>
                </c:pt>
                <c:pt idx="242">
                  <c:v>#N/A</c:v>
                </c:pt>
                <c:pt idx="243">
                  <c:v>#N/A</c:v>
                </c:pt>
                <c:pt idx="244">
                  <c:v>#N/A</c:v>
                </c:pt>
                <c:pt idx="245">
                  <c:v>#N/A</c:v>
                </c:pt>
                <c:pt idx="246">
                  <c:v>#N/A</c:v>
                </c:pt>
                <c:pt idx="247">
                  <c:v>#N/A</c:v>
                </c:pt>
                <c:pt idx="248">
                  <c:v>#N/A</c:v>
                </c:pt>
                <c:pt idx="249">
                  <c:v>#N/A</c:v>
                </c:pt>
                <c:pt idx="250">
                  <c:v>#N/A</c:v>
                </c:pt>
                <c:pt idx="251">
                  <c:v>#N/A</c:v>
                </c:pt>
                <c:pt idx="252">
                  <c:v>#N/A</c:v>
                </c:pt>
                <c:pt idx="253">
                  <c:v>#N/A</c:v>
                </c:pt>
                <c:pt idx="254">
                  <c:v>#N/A</c:v>
                </c:pt>
                <c:pt idx="255">
                  <c:v>#N/A</c:v>
                </c:pt>
                <c:pt idx="256">
                  <c:v>#N/A</c:v>
                </c:pt>
                <c:pt idx="257">
                  <c:v>#N/A</c:v>
                </c:pt>
                <c:pt idx="258">
                  <c:v>#N/A</c:v>
                </c:pt>
                <c:pt idx="259">
                  <c:v>#N/A</c:v>
                </c:pt>
                <c:pt idx="260">
                  <c:v>#N/A</c:v>
                </c:pt>
                <c:pt idx="261">
                  <c:v>#N/A</c:v>
                </c:pt>
                <c:pt idx="262">
                  <c:v>#N/A</c:v>
                </c:pt>
                <c:pt idx="263">
                  <c:v>#N/A</c:v>
                </c:pt>
                <c:pt idx="264">
                  <c:v>#N/A</c:v>
                </c:pt>
                <c:pt idx="265">
                  <c:v>#N/A</c:v>
                </c:pt>
                <c:pt idx="266">
                  <c:v>#N/A</c:v>
                </c:pt>
                <c:pt idx="267">
                  <c:v>#N/A</c:v>
                </c:pt>
                <c:pt idx="268">
                  <c:v>#N/A</c:v>
                </c:pt>
                <c:pt idx="269">
                  <c:v>#N/A</c:v>
                </c:pt>
                <c:pt idx="270">
                  <c:v>#N/A</c:v>
                </c:pt>
                <c:pt idx="271">
                  <c:v>#N/A</c:v>
                </c:pt>
                <c:pt idx="272">
                  <c:v>#N/A</c:v>
                </c:pt>
                <c:pt idx="273">
                  <c:v>#N/A</c:v>
                </c:pt>
                <c:pt idx="274">
                  <c:v>#N/A</c:v>
                </c:pt>
                <c:pt idx="275">
                  <c:v>#N/A</c:v>
                </c:pt>
                <c:pt idx="276">
                  <c:v>#N/A</c:v>
                </c:pt>
                <c:pt idx="277">
                  <c:v>#N/A</c:v>
                </c:pt>
                <c:pt idx="278">
                  <c:v>#N/A</c:v>
                </c:pt>
                <c:pt idx="279">
                  <c:v>#N/A</c:v>
                </c:pt>
                <c:pt idx="280">
                  <c:v>#N/A</c:v>
                </c:pt>
                <c:pt idx="281">
                  <c:v>#N/A</c:v>
                </c:pt>
                <c:pt idx="282">
                  <c:v>#N/A</c:v>
                </c:pt>
                <c:pt idx="283">
                  <c:v>#N/A</c:v>
                </c:pt>
                <c:pt idx="284">
                  <c:v>#N/A</c:v>
                </c:pt>
                <c:pt idx="285">
                  <c:v>#N/A</c:v>
                </c:pt>
                <c:pt idx="286">
                  <c:v>#N/A</c:v>
                </c:pt>
                <c:pt idx="287">
                  <c:v>#N/A</c:v>
                </c:pt>
                <c:pt idx="288">
                  <c:v>#N/A</c:v>
                </c:pt>
                <c:pt idx="289">
                  <c:v>#N/A</c:v>
                </c:pt>
                <c:pt idx="290">
                  <c:v>#N/A</c:v>
                </c:pt>
                <c:pt idx="291">
                  <c:v>#N/A</c:v>
                </c:pt>
                <c:pt idx="292">
                  <c:v>#N/A</c:v>
                </c:pt>
                <c:pt idx="293">
                  <c:v>#N/A</c:v>
                </c:pt>
              </c:numCache>
            </c:numRef>
          </c:val>
        </c:ser>
        <c:ser>
          <c:idx val="3"/>
          <c:order val="3"/>
          <c:tx>
            <c:strRef>
              <c:f>day_控件!$R$1</c:f>
              <c:strCache>
                <c:ptCount val="1"/>
                <c:pt idx="0">
                  <c:v>购买商品数 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day_控件!$L$2:$L$295</c:f>
              <c:strCache>
                <c:ptCount val="294"/>
                <c:pt idx="0" c:formatCode="yyyy/m/d">
                  <c:v>2018/10/1</c:v>
                </c:pt>
                <c:pt idx="1" c:formatCode="yyyy/m/d">
                  <c:v>2018/10/2</c:v>
                </c:pt>
                <c:pt idx="2" c:formatCode="yyyy/m/d">
                  <c:v>2018/10/3</c:v>
                </c:pt>
                <c:pt idx="3" c:formatCode="yyyy/m/d">
                  <c:v>2018/10/4</c:v>
                </c:pt>
                <c:pt idx="4" c:formatCode="yyyy/m/d">
                  <c:v>2018/10/5</c:v>
                </c:pt>
                <c:pt idx="5" c:formatCode="yyyy/m/d">
                  <c:v>2018/10/6</c:v>
                </c:pt>
                <c:pt idx="6" c:formatCode="yyyy/m/d">
                  <c:v>2018/10/7</c:v>
                </c:pt>
                <c:pt idx="7" c:formatCode="yyyy/m/d">
                  <c:v>2018/10/8</c:v>
                </c:pt>
                <c:pt idx="8" c:formatCode="yyyy/m/d">
                  <c:v>2018/10/9</c:v>
                </c:pt>
                <c:pt idx="9" c:formatCode="yyyy/m/d">
                  <c:v>2018/10/10</c:v>
                </c:pt>
                <c:pt idx="10" c:formatCode="yyyy/m/d">
                  <c:v>2018/10/11</c:v>
                </c:pt>
                <c:pt idx="11" c:formatCode="yyyy/m/d">
                  <c:v>2018/10/12</c:v>
                </c:pt>
                <c:pt idx="12" c:formatCode="yyyy/m/d">
                  <c:v>2018/10/13</c:v>
                </c:pt>
                <c:pt idx="13" c:formatCode="yyyy/m/d">
                  <c:v>2018/10/14</c:v>
                </c:pt>
                <c:pt idx="14" c:formatCode="yyyy/m/d">
                  <c:v>2018/10/15</c:v>
                </c:pt>
                <c:pt idx="15" c:formatCode="yyyy/m/d">
                  <c:v>2018/10/16</c:v>
                </c:pt>
                <c:pt idx="16" c:formatCode="yyyy/m/d">
                  <c:v>2018/10/17</c:v>
                </c:pt>
                <c:pt idx="17" c:formatCode="yyyy/m/d">
                  <c:v>2018/10/18</c:v>
                </c:pt>
                <c:pt idx="18" c:formatCode="yyyy/m/d">
                  <c:v>2018/10/19</c:v>
                </c:pt>
                <c:pt idx="19" c:formatCode="yyyy/m/d">
                  <c:v>2018/10/20</c:v>
                </c:pt>
                <c:pt idx="20" c:formatCode="yyyy/m/d">
                  <c:v>2018/10/21</c:v>
                </c:pt>
                <c:pt idx="21" c:formatCode="yyyy/m/d">
                  <c:v>2018/10/22</c:v>
                </c:pt>
                <c:pt idx="22" c:formatCode="yyyy/m/d">
                  <c:v>2018/10/23</c:v>
                </c:pt>
                <c:pt idx="23" c:formatCode="yyyy/m/d">
                  <c:v>2018/10/24</c:v>
                </c:pt>
                <c:pt idx="24" c:formatCode="yyyy/m/d">
                  <c:v>2018/10/25</c:v>
                </c:pt>
                <c:pt idx="25" c:formatCode="yyyy/m/d">
                  <c:v>2018/10/26</c:v>
                </c:pt>
                <c:pt idx="26" c:formatCode="yyyy/m/d">
                  <c:v>2018/10/27</c:v>
                </c:pt>
                <c:pt idx="27" c:formatCode="yyyy/m/d">
                  <c:v>2018/10/28</c:v>
                </c:pt>
                <c:pt idx="28" c:formatCode="yyyy/m/d">
                  <c:v>2018/10/29</c:v>
                </c:pt>
                <c:pt idx="29" c:formatCode="yyyy/m/d">
                  <c:v>2018/10/30</c:v>
                </c:pt>
                <c:pt idx="30" c:formatCode="yyyy/m/d">
                  <c:v>2018/10/31</c:v>
                </c:pt>
                <c:pt idx="31" c:formatCode="yyyy/m/d">
                  <c:v>2018/11/1</c:v>
                </c:pt>
                <c:pt idx="32" c:formatCode="yyyy/m/d">
                  <c:v>2018/11/2</c:v>
                </c:pt>
                <c:pt idx="33" c:formatCode="yyyy/m/d">
                  <c:v>2018/11/3</c:v>
                </c:pt>
                <c:pt idx="34" c:formatCode="yyyy/m/d">
                  <c:v>2018/11/4</c:v>
                </c:pt>
                <c:pt idx="35" c:formatCode="yyyy/m/d">
                  <c:v>2018/11/5</c:v>
                </c:pt>
                <c:pt idx="36" c:formatCode="yyyy/m/d">
                  <c:v>2018/11/6</c:v>
                </c:pt>
                <c:pt idx="37" c:formatCode="yyyy/m/d">
                  <c:v>2018/11/7</c:v>
                </c:pt>
                <c:pt idx="38" c:formatCode="yyyy/m/d">
                  <c:v>2018/11/8</c:v>
                </c:pt>
                <c:pt idx="39" c:formatCode="yyyy/m/d">
                  <c:v>2018/11/9</c:v>
                </c:pt>
                <c:pt idx="40" c:formatCode="yyyy/m/d">
                  <c:v>2018/11/10</c:v>
                </c:pt>
                <c:pt idx="41" c:formatCode="yyyy/m/d">
                  <c:v>2018/11/11</c:v>
                </c:pt>
                <c:pt idx="42" c:formatCode="yyyy/m/d">
                  <c:v>2018/11/12</c:v>
                </c:pt>
                <c:pt idx="43" c:formatCode="yyyy/m/d">
                  <c:v>2018/11/13</c:v>
                </c:pt>
                <c:pt idx="44" c:formatCode="yyyy/m/d">
                  <c:v>2018/11/14</c:v>
                </c:pt>
                <c:pt idx="45" c:formatCode="yyyy/m/d">
                  <c:v>2018/11/15</c:v>
                </c:pt>
                <c:pt idx="46" c:formatCode="yyyy/m/d">
                  <c:v>2018/11/16</c:v>
                </c:pt>
                <c:pt idx="47" c:formatCode="yyyy/m/d">
                  <c:v>2018/11/17</c:v>
                </c:pt>
                <c:pt idx="48" c:formatCode="yyyy/m/d">
                  <c:v>2018/11/18</c:v>
                </c:pt>
                <c:pt idx="49" c:formatCode="yyyy/m/d">
                  <c:v>2018/11/19</c:v>
                </c:pt>
                <c:pt idx="50" c:formatCode="yyyy/m/d">
                  <c:v>2018/11/20</c:v>
                </c:pt>
                <c:pt idx="51" c:formatCode="yyyy/m/d">
                  <c:v>2018/11/21</c:v>
                </c:pt>
                <c:pt idx="52" c:formatCode="yyyy/m/d">
                  <c:v>2018/11/22</c:v>
                </c:pt>
                <c:pt idx="53" c:formatCode="yyyy/m/d">
                  <c:v>2018/11/23</c:v>
                </c:pt>
                <c:pt idx="54" c:formatCode="yyyy/m/d">
                  <c:v>2018/11/24</c:v>
                </c:pt>
                <c:pt idx="55" c:formatCode="yyyy/m/d">
                  <c:v>2018/11/25</c:v>
                </c:pt>
                <c:pt idx="56" c:formatCode="yyyy/m/d">
                  <c:v>2018/11/26</c:v>
                </c:pt>
                <c:pt idx="57" c:formatCode="yyyy/m/d">
                  <c:v>2018/11/27</c:v>
                </c:pt>
                <c:pt idx="58" c:formatCode="yyyy/m/d">
                  <c:v>2018/11/28</c:v>
                </c:pt>
                <c:pt idx="59" c:formatCode="yyyy/m/d">
                  <c:v>2018/11/29</c:v>
                </c:pt>
                <c:pt idx="60" c:formatCode="yyyy/m/d">
                  <c:v>2018/11/30</c:v>
                </c:pt>
                <c:pt idx="61" c:formatCode="yyyy/m/d">
                  <c:v>2018/12/1</c:v>
                </c:pt>
                <c:pt idx="62" c:formatCode="yyyy/m/d">
                  <c:v>2018/12/2</c:v>
                </c:pt>
                <c:pt idx="63" c:formatCode="yyyy/m/d">
                  <c:v>2018/12/3</c:v>
                </c:pt>
                <c:pt idx="64" c:formatCode="yyyy/m/d">
                  <c:v>2018/12/4</c:v>
                </c:pt>
                <c:pt idx="65" c:formatCode="yyyy/m/d">
                  <c:v>2018/12/5</c:v>
                </c:pt>
                <c:pt idx="66" c:formatCode="yyyy/m/d">
                  <c:v>2018/12/6</c:v>
                </c:pt>
                <c:pt idx="67" c:formatCode="yyyy/m/d">
                  <c:v/>
                </c:pt>
                <c:pt idx="68" c:formatCode="yyyy/m/d">
                  <c:v/>
                </c:pt>
                <c:pt idx="69" c:formatCode="yyyy/m/d">
                  <c:v/>
                </c:pt>
                <c:pt idx="70" c:formatCode="yyyy/m/d">
                  <c:v/>
                </c:pt>
                <c:pt idx="71" c:formatCode="yyyy/m/d">
                  <c:v/>
                </c:pt>
                <c:pt idx="72" c:formatCode="yyyy/m/d">
                  <c:v/>
                </c:pt>
                <c:pt idx="73" c:formatCode="yyyy/m/d">
                  <c:v/>
                </c:pt>
                <c:pt idx="74" c:formatCode="yyyy/m/d">
                  <c:v/>
                </c:pt>
                <c:pt idx="75" c:formatCode="yyyy/m/d">
                  <c:v/>
                </c:pt>
                <c:pt idx="76" c:formatCode="yyyy/m/d">
                  <c:v/>
                </c:pt>
                <c:pt idx="77" c:formatCode="yyyy/m/d">
                  <c:v/>
                </c:pt>
                <c:pt idx="78" c:formatCode="yyyy/m/d">
                  <c:v/>
                </c:pt>
                <c:pt idx="79" c:formatCode="yyyy/m/d">
                  <c:v/>
                </c:pt>
                <c:pt idx="80" c:formatCode="yyyy/m/d">
                  <c:v/>
                </c:pt>
                <c:pt idx="81" c:formatCode="yyyy/m/d">
                  <c:v/>
                </c:pt>
                <c:pt idx="82" c:formatCode="yyyy/m/d">
                  <c:v/>
                </c:pt>
                <c:pt idx="83" c:formatCode="yyyy/m/d">
                  <c:v/>
                </c:pt>
                <c:pt idx="84" c:formatCode="yyyy/m/d">
                  <c:v/>
                </c:pt>
                <c:pt idx="85" c:formatCode="yyyy/m/d">
                  <c:v/>
                </c:pt>
                <c:pt idx="86" c:formatCode="yyyy/m/d">
                  <c:v/>
                </c:pt>
                <c:pt idx="87" c:formatCode="yyyy/m/d">
                  <c:v/>
                </c:pt>
                <c:pt idx="88" c:formatCode="yyyy/m/d">
                  <c:v/>
                </c:pt>
                <c:pt idx="89" c:formatCode="yyyy/m/d">
                  <c:v/>
                </c:pt>
                <c:pt idx="90" c:formatCode="yyyy/m/d">
                  <c:v/>
                </c:pt>
                <c:pt idx="91" c:formatCode="yyyy/m/d">
                  <c:v/>
                </c:pt>
                <c:pt idx="92" c:formatCode="yyyy/m/d">
                  <c:v/>
                </c:pt>
                <c:pt idx="93" c:formatCode="yyyy/m/d">
                  <c:v/>
                </c:pt>
                <c:pt idx="94" c:formatCode="yyyy/m/d">
                  <c:v/>
                </c:pt>
                <c:pt idx="95" c:formatCode="yyyy/m/d">
                  <c:v/>
                </c:pt>
                <c:pt idx="96" c:formatCode="yyyy/m/d">
                  <c:v/>
                </c:pt>
                <c:pt idx="97" c:formatCode="yyyy/m/d">
                  <c:v/>
                </c:pt>
                <c:pt idx="98" c:formatCode="yyyy/m/d">
                  <c:v/>
                </c:pt>
                <c:pt idx="99" c:formatCode="yyyy/m/d">
                  <c:v/>
                </c:pt>
                <c:pt idx="100" c:formatCode="yyyy/m/d">
                  <c:v/>
                </c:pt>
                <c:pt idx="101" c:formatCode="yyyy/m/d">
                  <c:v/>
                </c:pt>
                <c:pt idx="102" c:formatCode="yyyy/m/d">
                  <c:v/>
                </c:pt>
                <c:pt idx="103" c:formatCode="yyyy/m/d">
                  <c:v/>
                </c:pt>
                <c:pt idx="104" c:formatCode="yyyy/m/d">
                  <c:v/>
                </c:pt>
                <c:pt idx="105" c:formatCode="yyyy/m/d">
                  <c:v/>
                </c:pt>
                <c:pt idx="106" c:formatCode="yyyy/m/d">
                  <c:v/>
                </c:pt>
                <c:pt idx="107" c:formatCode="yyyy/m/d">
                  <c:v/>
                </c:pt>
                <c:pt idx="108" c:formatCode="yyyy/m/d">
                  <c:v/>
                </c:pt>
                <c:pt idx="109" c:formatCode="yyyy/m/d">
                  <c:v/>
                </c:pt>
                <c:pt idx="110" c:formatCode="yyyy/m/d">
                  <c:v/>
                </c:pt>
                <c:pt idx="111" c:formatCode="yyyy/m/d">
                  <c:v/>
                </c:pt>
                <c:pt idx="112" c:formatCode="yyyy/m/d">
                  <c:v/>
                </c:pt>
                <c:pt idx="113" c:formatCode="yyyy/m/d">
                  <c:v/>
                </c:pt>
                <c:pt idx="114" c:formatCode="yyyy/m/d">
                  <c:v/>
                </c:pt>
                <c:pt idx="115" c:formatCode="yyyy/m/d">
                  <c:v/>
                </c:pt>
                <c:pt idx="116" c:formatCode="yyyy/m/d">
                  <c:v/>
                </c:pt>
                <c:pt idx="117" c:formatCode="yyyy/m/d">
                  <c:v/>
                </c:pt>
                <c:pt idx="118" c:formatCode="yyyy/m/d">
                  <c:v/>
                </c:pt>
                <c:pt idx="119" c:formatCode="yyyy/m/d">
                  <c:v/>
                </c:pt>
                <c:pt idx="120" c:formatCode="yyyy/m/d">
                  <c:v/>
                </c:pt>
                <c:pt idx="121" c:formatCode="yyyy/m/d">
                  <c:v/>
                </c:pt>
                <c:pt idx="122" c:formatCode="yyyy/m/d">
                  <c:v/>
                </c:pt>
                <c:pt idx="123" c:formatCode="yyyy/m/d">
                  <c:v/>
                </c:pt>
                <c:pt idx="124" c:formatCode="yyyy/m/d">
                  <c:v/>
                </c:pt>
                <c:pt idx="125" c:formatCode="yyyy/m/d">
                  <c:v/>
                </c:pt>
                <c:pt idx="126" c:formatCode="yyyy/m/d">
                  <c:v/>
                </c:pt>
                <c:pt idx="127" c:formatCode="yyyy/m/d">
                  <c:v/>
                </c:pt>
                <c:pt idx="128" c:formatCode="yyyy/m/d">
                  <c:v/>
                </c:pt>
                <c:pt idx="129" c:formatCode="yyyy/m/d">
                  <c:v/>
                </c:pt>
                <c:pt idx="130" c:formatCode="yyyy/m/d">
                  <c:v/>
                </c:pt>
                <c:pt idx="131" c:formatCode="yyyy/m/d">
                  <c:v/>
                </c:pt>
                <c:pt idx="132" c:formatCode="yyyy/m/d">
                  <c:v/>
                </c:pt>
                <c:pt idx="133" c:formatCode="yyyy/m/d">
                  <c:v/>
                </c:pt>
                <c:pt idx="134" c:formatCode="yyyy/m/d">
                  <c:v/>
                </c:pt>
                <c:pt idx="135" c:formatCode="yyyy/m/d">
                  <c:v/>
                </c:pt>
                <c:pt idx="136" c:formatCode="yyyy/m/d">
                  <c:v/>
                </c:pt>
                <c:pt idx="137" c:formatCode="yyyy/m/d">
                  <c:v/>
                </c:pt>
                <c:pt idx="138" c:formatCode="yyyy/m/d">
                  <c:v/>
                </c:pt>
                <c:pt idx="139" c:formatCode="yyyy/m/d">
                  <c:v/>
                </c:pt>
                <c:pt idx="140" c:formatCode="yyyy/m/d">
                  <c:v/>
                </c:pt>
                <c:pt idx="141" c:formatCode="yyyy/m/d">
                  <c:v/>
                </c:pt>
                <c:pt idx="142" c:formatCode="yyyy/m/d">
                  <c:v/>
                </c:pt>
                <c:pt idx="143" c:formatCode="yyyy/m/d">
                  <c:v/>
                </c:pt>
                <c:pt idx="144" c:formatCode="yyyy/m/d">
                  <c:v/>
                </c:pt>
                <c:pt idx="145" c:formatCode="yyyy/m/d">
                  <c:v/>
                </c:pt>
                <c:pt idx="146" c:formatCode="yyyy/m/d">
                  <c:v/>
                </c:pt>
                <c:pt idx="147" c:formatCode="yyyy/m/d">
                  <c:v/>
                </c:pt>
                <c:pt idx="148" c:formatCode="yyyy/m/d">
                  <c:v/>
                </c:pt>
                <c:pt idx="149" c:formatCode="yyyy/m/d">
                  <c:v/>
                </c:pt>
                <c:pt idx="150" c:formatCode="yyyy/m/d">
                  <c:v/>
                </c:pt>
                <c:pt idx="151" c:formatCode="yyyy/m/d">
                  <c:v/>
                </c:pt>
                <c:pt idx="152" c:formatCode="yyyy/m/d">
                  <c:v/>
                </c:pt>
                <c:pt idx="153" c:formatCode="yyyy/m/d">
                  <c:v/>
                </c:pt>
                <c:pt idx="154" c:formatCode="yyyy/m/d">
                  <c:v/>
                </c:pt>
                <c:pt idx="155" c:formatCode="yyyy/m/d">
                  <c:v/>
                </c:pt>
                <c:pt idx="156" c:formatCode="yyyy/m/d">
                  <c:v/>
                </c:pt>
                <c:pt idx="157" c:formatCode="yyyy/m/d">
                  <c:v/>
                </c:pt>
                <c:pt idx="158" c:formatCode="yyyy/m/d">
                  <c:v/>
                </c:pt>
                <c:pt idx="159" c:formatCode="yyyy/m/d">
                  <c:v/>
                </c:pt>
                <c:pt idx="160" c:formatCode="yyyy/m/d">
                  <c:v/>
                </c:pt>
                <c:pt idx="161" c:formatCode="yyyy/m/d">
                  <c:v/>
                </c:pt>
                <c:pt idx="162" c:formatCode="yyyy/m/d">
                  <c:v/>
                </c:pt>
                <c:pt idx="163" c:formatCode="yyyy/m/d">
                  <c:v/>
                </c:pt>
                <c:pt idx="164" c:formatCode="yyyy/m/d">
                  <c:v/>
                </c:pt>
                <c:pt idx="165" c:formatCode="yyyy/m/d">
                  <c:v/>
                </c:pt>
                <c:pt idx="166" c:formatCode="yyyy/m/d">
                  <c:v/>
                </c:pt>
                <c:pt idx="167" c:formatCode="yyyy/m/d">
                  <c:v/>
                </c:pt>
                <c:pt idx="168" c:formatCode="yyyy/m/d">
                  <c:v/>
                </c:pt>
                <c:pt idx="169" c:formatCode="yyyy/m/d">
                  <c:v/>
                </c:pt>
                <c:pt idx="170" c:formatCode="yyyy/m/d">
                  <c:v/>
                </c:pt>
                <c:pt idx="171" c:formatCode="yyyy/m/d">
                  <c:v/>
                </c:pt>
                <c:pt idx="172" c:formatCode="yyyy/m/d">
                  <c:v/>
                </c:pt>
                <c:pt idx="173" c:formatCode="yyyy/m/d">
                  <c:v/>
                </c:pt>
                <c:pt idx="174" c:formatCode="yyyy/m/d">
                  <c:v/>
                </c:pt>
                <c:pt idx="175" c:formatCode="yyyy/m/d">
                  <c:v/>
                </c:pt>
                <c:pt idx="176" c:formatCode="yyyy/m/d">
                  <c:v/>
                </c:pt>
                <c:pt idx="177" c:formatCode="yyyy/m/d">
                  <c:v/>
                </c:pt>
                <c:pt idx="178" c:formatCode="yyyy/m/d">
                  <c:v/>
                </c:pt>
                <c:pt idx="179" c:formatCode="yyyy/m/d">
                  <c:v/>
                </c:pt>
                <c:pt idx="180" c:formatCode="yyyy/m/d">
                  <c:v/>
                </c:pt>
                <c:pt idx="181" c:formatCode="yyyy/m/d">
                  <c:v/>
                </c:pt>
                <c:pt idx="182" c:formatCode="yyyy/m/d">
                  <c:v/>
                </c:pt>
                <c:pt idx="183" c:formatCode="yyyy/m/d">
                  <c:v/>
                </c:pt>
                <c:pt idx="184" c:formatCode="yyyy/m/d">
                  <c:v/>
                </c:pt>
                <c:pt idx="185" c:formatCode="yyyy/m/d">
                  <c:v/>
                </c:pt>
                <c:pt idx="186" c:formatCode="yyyy/m/d">
                  <c:v/>
                </c:pt>
                <c:pt idx="187" c:formatCode="yyyy/m/d">
                  <c:v/>
                </c:pt>
                <c:pt idx="188" c:formatCode="yyyy/m/d">
                  <c:v/>
                </c:pt>
                <c:pt idx="189" c:formatCode="yyyy/m/d">
                  <c:v/>
                </c:pt>
                <c:pt idx="190" c:formatCode="yyyy/m/d">
                  <c:v/>
                </c:pt>
                <c:pt idx="191" c:formatCode="yyyy/m/d">
                  <c:v/>
                </c:pt>
                <c:pt idx="192" c:formatCode="yyyy/m/d">
                  <c:v/>
                </c:pt>
                <c:pt idx="193" c:formatCode="yyyy/m/d">
                  <c:v/>
                </c:pt>
                <c:pt idx="194" c:formatCode="yyyy/m/d">
                  <c:v/>
                </c:pt>
                <c:pt idx="195" c:formatCode="yyyy/m/d">
                  <c:v/>
                </c:pt>
                <c:pt idx="196" c:formatCode="yyyy/m/d">
                  <c:v/>
                </c:pt>
                <c:pt idx="197" c:formatCode="yyyy/m/d">
                  <c:v/>
                </c:pt>
                <c:pt idx="198" c:formatCode="yyyy/m/d">
                  <c:v/>
                </c:pt>
                <c:pt idx="199" c:formatCode="yyyy/m/d">
                  <c:v/>
                </c:pt>
                <c:pt idx="200" c:formatCode="yyyy/m/d">
                  <c:v/>
                </c:pt>
                <c:pt idx="201" c:formatCode="yyyy/m/d">
                  <c:v/>
                </c:pt>
                <c:pt idx="202" c:formatCode="yyyy/m/d">
                  <c:v/>
                </c:pt>
                <c:pt idx="203" c:formatCode="yyyy/m/d">
                  <c:v/>
                </c:pt>
                <c:pt idx="204" c:formatCode="yyyy/m/d">
                  <c:v/>
                </c:pt>
                <c:pt idx="205" c:formatCode="yyyy/m/d">
                  <c:v/>
                </c:pt>
                <c:pt idx="206" c:formatCode="yyyy/m/d">
                  <c:v/>
                </c:pt>
                <c:pt idx="207" c:formatCode="yyyy/m/d">
                  <c:v/>
                </c:pt>
                <c:pt idx="208" c:formatCode="yyyy/m/d">
                  <c:v/>
                </c:pt>
                <c:pt idx="209" c:formatCode="yyyy/m/d">
                  <c:v/>
                </c:pt>
                <c:pt idx="210" c:formatCode="yyyy/m/d">
                  <c:v/>
                </c:pt>
                <c:pt idx="211" c:formatCode="yyyy/m/d">
                  <c:v/>
                </c:pt>
                <c:pt idx="212" c:formatCode="yyyy/m/d">
                  <c:v/>
                </c:pt>
                <c:pt idx="213" c:formatCode="yyyy/m/d">
                  <c:v/>
                </c:pt>
                <c:pt idx="214" c:formatCode="yyyy/m/d">
                  <c:v/>
                </c:pt>
                <c:pt idx="215" c:formatCode="yyyy/m/d">
                  <c:v/>
                </c:pt>
                <c:pt idx="216" c:formatCode="yyyy/m/d">
                  <c:v/>
                </c:pt>
                <c:pt idx="217" c:formatCode="yyyy/m/d">
                  <c:v/>
                </c:pt>
                <c:pt idx="218" c:formatCode="yyyy/m/d">
                  <c:v/>
                </c:pt>
                <c:pt idx="219" c:formatCode="yyyy/m/d">
                  <c:v/>
                </c:pt>
                <c:pt idx="220" c:formatCode="yyyy/m/d">
                  <c:v/>
                </c:pt>
                <c:pt idx="221" c:formatCode="yyyy/m/d">
                  <c:v/>
                </c:pt>
                <c:pt idx="222" c:formatCode="yyyy/m/d">
                  <c:v/>
                </c:pt>
                <c:pt idx="223" c:formatCode="yyyy/m/d">
                  <c:v/>
                </c:pt>
                <c:pt idx="224" c:formatCode="yyyy/m/d">
                  <c:v/>
                </c:pt>
                <c:pt idx="225" c:formatCode="yyyy/m/d">
                  <c:v/>
                </c:pt>
                <c:pt idx="226" c:formatCode="yyyy/m/d">
                  <c:v/>
                </c:pt>
                <c:pt idx="227" c:formatCode="yyyy/m/d">
                  <c:v/>
                </c:pt>
                <c:pt idx="228" c:formatCode="yyyy/m/d">
                  <c:v/>
                </c:pt>
                <c:pt idx="229" c:formatCode="yyyy/m/d">
                  <c:v/>
                </c:pt>
                <c:pt idx="230" c:formatCode="yyyy/m/d">
                  <c:v/>
                </c:pt>
                <c:pt idx="231" c:formatCode="yyyy/m/d">
                  <c:v/>
                </c:pt>
                <c:pt idx="232" c:formatCode="yyyy/m/d">
                  <c:v/>
                </c:pt>
                <c:pt idx="233" c:formatCode="yyyy/m/d">
                  <c:v/>
                </c:pt>
                <c:pt idx="234" c:formatCode="yyyy/m/d">
                  <c:v/>
                </c:pt>
                <c:pt idx="235" c:formatCode="yyyy/m/d">
                  <c:v/>
                </c:pt>
                <c:pt idx="236" c:formatCode="yyyy/m/d">
                  <c:v/>
                </c:pt>
                <c:pt idx="237" c:formatCode="yyyy/m/d">
                  <c:v/>
                </c:pt>
                <c:pt idx="238" c:formatCode="yyyy/m/d">
                  <c:v/>
                </c:pt>
                <c:pt idx="239" c:formatCode="yyyy/m/d">
                  <c:v/>
                </c:pt>
                <c:pt idx="240" c:formatCode="yyyy/m/d">
                  <c:v/>
                </c:pt>
                <c:pt idx="241" c:formatCode="yyyy/m/d">
                  <c:v/>
                </c:pt>
                <c:pt idx="242" c:formatCode="yyyy/m/d">
                  <c:v/>
                </c:pt>
                <c:pt idx="243" c:formatCode="yyyy/m/d">
                  <c:v/>
                </c:pt>
                <c:pt idx="244" c:formatCode="yyyy/m/d">
                  <c:v/>
                </c:pt>
                <c:pt idx="245" c:formatCode="yyyy/m/d">
                  <c:v/>
                </c:pt>
                <c:pt idx="246" c:formatCode="yyyy/m/d">
                  <c:v/>
                </c:pt>
                <c:pt idx="247" c:formatCode="yyyy/m/d">
                  <c:v/>
                </c:pt>
                <c:pt idx="248" c:formatCode="yyyy/m/d">
                  <c:v/>
                </c:pt>
                <c:pt idx="249" c:formatCode="yyyy/m/d">
                  <c:v/>
                </c:pt>
                <c:pt idx="250" c:formatCode="yyyy/m/d">
                  <c:v/>
                </c:pt>
                <c:pt idx="251" c:formatCode="yyyy/m/d">
                  <c:v/>
                </c:pt>
                <c:pt idx="252" c:formatCode="yyyy/m/d">
                  <c:v/>
                </c:pt>
                <c:pt idx="253" c:formatCode="yyyy/m/d">
                  <c:v/>
                </c:pt>
                <c:pt idx="254" c:formatCode="yyyy/m/d">
                  <c:v/>
                </c:pt>
                <c:pt idx="255" c:formatCode="yyyy/m/d">
                  <c:v/>
                </c:pt>
                <c:pt idx="256" c:formatCode="yyyy/m/d">
                  <c:v/>
                </c:pt>
                <c:pt idx="257" c:formatCode="yyyy/m/d">
                  <c:v/>
                </c:pt>
                <c:pt idx="258" c:formatCode="yyyy/m/d">
                  <c:v/>
                </c:pt>
                <c:pt idx="259" c:formatCode="yyyy/m/d">
                  <c:v/>
                </c:pt>
                <c:pt idx="260" c:formatCode="yyyy/m/d">
                  <c:v/>
                </c:pt>
                <c:pt idx="261" c:formatCode="yyyy/m/d">
                  <c:v/>
                </c:pt>
                <c:pt idx="262" c:formatCode="yyyy/m/d">
                  <c:v/>
                </c:pt>
                <c:pt idx="263" c:formatCode="yyyy/m/d">
                  <c:v/>
                </c:pt>
                <c:pt idx="264" c:formatCode="yyyy/m/d">
                  <c:v/>
                </c:pt>
                <c:pt idx="265" c:formatCode="yyyy/m/d">
                  <c:v/>
                </c:pt>
                <c:pt idx="266" c:formatCode="yyyy/m/d">
                  <c:v/>
                </c:pt>
                <c:pt idx="267" c:formatCode="yyyy/m/d">
                  <c:v/>
                </c:pt>
                <c:pt idx="268" c:formatCode="yyyy/m/d">
                  <c:v/>
                </c:pt>
                <c:pt idx="269" c:formatCode="yyyy/m/d">
                  <c:v/>
                </c:pt>
                <c:pt idx="270" c:formatCode="yyyy/m/d">
                  <c:v/>
                </c:pt>
                <c:pt idx="271" c:formatCode="yyyy/m/d">
                  <c:v/>
                </c:pt>
                <c:pt idx="272" c:formatCode="yyyy/m/d">
                  <c:v/>
                </c:pt>
                <c:pt idx="273" c:formatCode="yyyy/m/d">
                  <c:v/>
                </c:pt>
                <c:pt idx="274" c:formatCode="yyyy/m/d">
                  <c:v/>
                </c:pt>
                <c:pt idx="275" c:formatCode="yyyy/m/d">
                  <c:v/>
                </c:pt>
                <c:pt idx="276" c:formatCode="yyyy/m/d">
                  <c:v/>
                </c:pt>
                <c:pt idx="277" c:formatCode="yyyy/m/d">
                  <c:v/>
                </c:pt>
                <c:pt idx="278" c:formatCode="yyyy/m/d">
                  <c:v/>
                </c:pt>
                <c:pt idx="279" c:formatCode="yyyy/m/d">
                  <c:v/>
                </c:pt>
                <c:pt idx="280" c:formatCode="yyyy/m/d">
                  <c:v/>
                </c:pt>
                <c:pt idx="281" c:formatCode="yyyy/m/d">
                  <c:v/>
                </c:pt>
                <c:pt idx="282" c:formatCode="yyyy/m/d">
                  <c:v/>
                </c:pt>
                <c:pt idx="283" c:formatCode="yyyy/m/d">
                  <c:v/>
                </c:pt>
                <c:pt idx="284" c:formatCode="yyyy/m/d">
                  <c:v/>
                </c:pt>
                <c:pt idx="285" c:formatCode="yyyy/m/d">
                  <c:v/>
                </c:pt>
                <c:pt idx="286" c:formatCode="yyyy/m/d">
                  <c:v/>
                </c:pt>
                <c:pt idx="287" c:formatCode="yyyy/m/d">
                  <c:v/>
                </c:pt>
                <c:pt idx="288" c:formatCode="yyyy/m/d">
                  <c:v/>
                </c:pt>
                <c:pt idx="289" c:formatCode="yyyy/m/d">
                  <c:v/>
                </c:pt>
                <c:pt idx="290" c:formatCode="yyyy/m/d">
                  <c:v/>
                </c:pt>
                <c:pt idx="291" c:formatCode="yyyy/m/d">
                  <c:v/>
                </c:pt>
                <c:pt idx="292" c:formatCode="yyyy/m/d">
                  <c:v/>
                </c:pt>
                <c:pt idx="293" c:formatCode="yyyy/m/d">
                  <c:v/>
                </c:pt>
              </c:strCache>
            </c:strRef>
          </c:cat>
          <c:val>
            <c:numRef>
              <c:f>day_控件!$R$2:$R$295</c:f>
              <c:numCache>
                <c:formatCode>General</c:formatCode>
                <c:ptCount val="294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  <c:pt idx="197">
                  <c:v>#N/A</c:v>
                </c:pt>
                <c:pt idx="198">
                  <c:v>#N/A</c:v>
                </c:pt>
                <c:pt idx="199">
                  <c:v>#N/A</c:v>
                </c:pt>
                <c:pt idx="200">
                  <c:v>#N/A</c:v>
                </c:pt>
                <c:pt idx="201">
                  <c:v>#N/A</c:v>
                </c:pt>
                <c:pt idx="202">
                  <c:v>#N/A</c:v>
                </c:pt>
                <c:pt idx="203">
                  <c:v>#N/A</c:v>
                </c:pt>
                <c:pt idx="204">
                  <c:v>#N/A</c:v>
                </c:pt>
                <c:pt idx="205">
                  <c:v>#N/A</c:v>
                </c:pt>
                <c:pt idx="206">
                  <c:v>#N/A</c:v>
                </c:pt>
                <c:pt idx="207">
                  <c:v>#N/A</c:v>
                </c:pt>
                <c:pt idx="208">
                  <c:v>#N/A</c:v>
                </c:pt>
                <c:pt idx="209">
                  <c:v>#N/A</c:v>
                </c:pt>
                <c:pt idx="210">
                  <c:v>#N/A</c:v>
                </c:pt>
                <c:pt idx="211">
                  <c:v>#N/A</c:v>
                </c:pt>
                <c:pt idx="212">
                  <c:v>#N/A</c:v>
                </c:pt>
                <c:pt idx="213">
                  <c:v>#N/A</c:v>
                </c:pt>
                <c:pt idx="214">
                  <c:v>#N/A</c:v>
                </c:pt>
                <c:pt idx="215">
                  <c:v>#N/A</c:v>
                </c:pt>
                <c:pt idx="216">
                  <c:v>#N/A</c:v>
                </c:pt>
                <c:pt idx="217">
                  <c:v>#N/A</c:v>
                </c:pt>
                <c:pt idx="218">
                  <c:v>#N/A</c:v>
                </c:pt>
                <c:pt idx="219">
                  <c:v>#N/A</c:v>
                </c:pt>
                <c:pt idx="220">
                  <c:v>#N/A</c:v>
                </c:pt>
                <c:pt idx="221">
                  <c:v>#N/A</c:v>
                </c:pt>
                <c:pt idx="222">
                  <c:v>#N/A</c:v>
                </c:pt>
                <c:pt idx="223">
                  <c:v>#N/A</c:v>
                </c:pt>
                <c:pt idx="224">
                  <c:v>#N/A</c:v>
                </c:pt>
                <c:pt idx="225">
                  <c:v>#N/A</c:v>
                </c:pt>
                <c:pt idx="226">
                  <c:v>#N/A</c:v>
                </c:pt>
                <c:pt idx="227">
                  <c:v>#N/A</c:v>
                </c:pt>
                <c:pt idx="228">
                  <c:v>#N/A</c:v>
                </c:pt>
                <c:pt idx="229">
                  <c:v>#N/A</c:v>
                </c:pt>
                <c:pt idx="230">
                  <c:v>#N/A</c:v>
                </c:pt>
                <c:pt idx="231">
                  <c:v>#N/A</c:v>
                </c:pt>
                <c:pt idx="232">
                  <c:v>#N/A</c:v>
                </c:pt>
                <c:pt idx="233">
                  <c:v>#N/A</c:v>
                </c:pt>
                <c:pt idx="234">
                  <c:v>#N/A</c:v>
                </c:pt>
                <c:pt idx="235">
                  <c:v>#N/A</c:v>
                </c:pt>
                <c:pt idx="236">
                  <c:v>#N/A</c:v>
                </c:pt>
                <c:pt idx="237">
                  <c:v>#N/A</c:v>
                </c:pt>
                <c:pt idx="238">
                  <c:v>#N/A</c:v>
                </c:pt>
                <c:pt idx="239">
                  <c:v>#N/A</c:v>
                </c:pt>
                <c:pt idx="240">
                  <c:v>#N/A</c:v>
                </c:pt>
                <c:pt idx="241">
                  <c:v>#N/A</c:v>
                </c:pt>
                <c:pt idx="242">
                  <c:v>#N/A</c:v>
                </c:pt>
                <c:pt idx="243">
                  <c:v>#N/A</c:v>
                </c:pt>
                <c:pt idx="244">
                  <c:v>#N/A</c:v>
                </c:pt>
                <c:pt idx="245">
                  <c:v>#N/A</c:v>
                </c:pt>
                <c:pt idx="246">
                  <c:v>#N/A</c:v>
                </c:pt>
                <c:pt idx="247">
                  <c:v>#N/A</c:v>
                </c:pt>
                <c:pt idx="248">
                  <c:v>#N/A</c:v>
                </c:pt>
                <c:pt idx="249">
                  <c:v>#N/A</c:v>
                </c:pt>
                <c:pt idx="250">
                  <c:v>#N/A</c:v>
                </c:pt>
                <c:pt idx="251">
                  <c:v>#N/A</c:v>
                </c:pt>
                <c:pt idx="252">
                  <c:v>#N/A</c:v>
                </c:pt>
                <c:pt idx="253">
                  <c:v>#N/A</c:v>
                </c:pt>
                <c:pt idx="254">
                  <c:v>#N/A</c:v>
                </c:pt>
                <c:pt idx="255">
                  <c:v>#N/A</c:v>
                </c:pt>
                <c:pt idx="256">
                  <c:v>#N/A</c:v>
                </c:pt>
                <c:pt idx="257">
                  <c:v>#N/A</c:v>
                </c:pt>
                <c:pt idx="258">
                  <c:v>#N/A</c:v>
                </c:pt>
                <c:pt idx="259">
                  <c:v>#N/A</c:v>
                </c:pt>
                <c:pt idx="260">
                  <c:v>#N/A</c:v>
                </c:pt>
                <c:pt idx="261">
                  <c:v>#N/A</c:v>
                </c:pt>
                <c:pt idx="262">
                  <c:v>#N/A</c:v>
                </c:pt>
                <c:pt idx="263">
                  <c:v>#N/A</c:v>
                </c:pt>
                <c:pt idx="264">
                  <c:v>#N/A</c:v>
                </c:pt>
                <c:pt idx="265">
                  <c:v>#N/A</c:v>
                </c:pt>
                <c:pt idx="266">
                  <c:v>#N/A</c:v>
                </c:pt>
                <c:pt idx="267">
                  <c:v>#N/A</c:v>
                </c:pt>
                <c:pt idx="268">
                  <c:v>#N/A</c:v>
                </c:pt>
                <c:pt idx="269">
                  <c:v>#N/A</c:v>
                </c:pt>
                <c:pt idx="270">
                  <c:v>#N/A</c:v>
                </c:pt>
                <c:pt idx="271">
                  <c:v>#N/A</c:v>
                </c:pt>
                <c:pt idx="272">
                  <c:v>#N/A</c:v>
                </c:pt>
                <c:pt idx="273">
                  <c:v>#N/A</c:v>
                </c:pt>
                <c:pt idx="274">
                  <c:v>#N/A</c:v>
                </c:pt>
                <c:pt idx="275">
                  <c:v>#N/A</c:v>
                </c:pt>
                <c:pt idx="276">
                  <c:v>#N/A</c:v>
                </c:pt>
                <c:pt idx="277">
                  <c:v>#N/A</c:v>
                </c:pt>
                <c:pt idx="278">
                  <c:v>#N/A</c:v>
                </c:pt>
                <c:pt idx="279">
                  <c:v>#N/A</c:v>
                </c:pt>
                <c:pt idx="280">
                  <c:v>#N/A</c:v>
                </c:pt>
                <c:pt idx="281">
                  <c:v>#N/A</c:v>
                </c:pt>
                <c:pt idx="282">
                  <c:v>#N/A</c:v>
                </c:pt>
                <c:pt idx="283">
                  <c:v>#N/A</c:v>
                </c:pt>
                <c:pt idx="284">
                  <c:v>#N/A</c:v>
                </c:pt>
                <c:pt idx="285">
                  <c:v>#N/A</c:v>
                </c:pt>
                <c:pt idx="286">
                  <c:v>#N/A</c:v>
                </c:pt>
                <c:pt idx="287">
                  <c:v>#N/A</c:v>
                </c:pt>
                <c:pt idx="288">
                  <c:v>#N/A</c:v>
                </c:pt>
                <c:pt idx="289">
                  <c:v>#N/A</c:v>
                </c:pt>
                <c:pt idx="290">
                  <c:v>#N/A</c:v>
                </c:pt>
                <c:pt idx="291">
                  <c:v>#N/A</c:v>
                </c:pt>
                <c:pt idx="292">
                  <c:v>#N/A</c:v>
                </c:pt>
                <c:pt idx="293">
                  <c:v>#N/A</c:v>
                </c:pt>
              </c:numCache>
            </c:numRef>
          </c:val>
        </c:ser>
        <c:ser>
          <c:idx val="5"/>
          <c:order val="5"/>
          <c:tx>
            <c:strRef>
              <c:f>day_控件!$T$1</c:f>
              <c:strCache>
                <c:ptCount val="1"/>
                <c:pt idx="0">
                  <c:v>销售额 </c:v>
                </c:pt>
              </c:strCache>
            </c:strRef>
          </c:tx>
          <c:spPr>
            <a:solidFill>
              <a:srgbClr val="69A2AB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day_控件!$L$2:$L$295</c:f>
              <c:strCache>
                <c:ptCount val="294"/>
                <c:pt idx="0" c:formatCode="yyyy/m/d">
                  <c:v>2018/10/1</c:v>
                </c:pt>
                <c:pt idx="1" c:formatCode="yyyy/m/d">
                  <c:v>2018/10/2</c:v>
                </c:pt>
                <c:pt idx="2" c:formatCode="yyyy/m/d">
                  <c:v>2018/10/3</c:v>
                </c:pt>
                <c:pt idx="3" c:formatCode="yyyy/m/d">
                  <c:v>2018/10/4</c:v>
                </c:pt>
                <c:pt idx="4" c:formatCode="yyyy/m/d">
                  <c:v>2018/10/5</c:v>
                </c:pt>
                <c:pt idx="5" c:formatCode="yyyy/m/d">
                  <c:v>2018/10/6</c:v>
                </c:pt>
                <c:pt idx="6" c:formatCode="yyyy/m/d">
                  <c:v>2018/10/7</c:v>
                </c:pt>
                <c:pt idx="7" c:formatCode="yyyy/m/d">
                  <c:v>2018/10/8</c:v>
                </c:pt>
                <c:pt idx="8" c:formatCode="yyyy/m/d">
                  <c:v>2018/10/9</c:v>
                </c:pt>
                <c:pt idx="9" c:formatCode="yyyy/m/d">
                  <c:v>2018/10/10</c:v>
                </c:pt>
                <c:pt idx="10" c:formatCode="yyyy/m/d">
                  <c:v>2018/10/11</c:v>
                </c:pt>
                <c:pt idx="11" c:formatCode="yyyy/m/d">
                  <c:v>2018/10/12</c:v>
                </c:pt>
                <c:pt idx="12" c:formatCode="yyyy/m/d">
                  <c:v>2018/10/13</c:v>
                </c:pt>
                <c:pt idx="13" c:formatCode="yyyy/m/d">
                  <c:v>2018/10/14</c:v>
                </c:pt>
                <c:pt idx="14" c:formatCode="yyyy/m/d">
                  <c:v>2018/10/15</c:v>
                </c:pt>
                <c:pt idx="15" c:formatCode="yyyy/m/d">
                  <c:v>2018/10/16</c:v>
                </c:pt>
                <c:pt idx="16" c:formatCode="yyyy/m/d">
                  <c:v>2018/10/17</c:v>
                </c:pt>
                <c:pt idx="17" c:formatCode="yyyy/m/d">
                  <c:v>2018/10/18</c:v>
                </c:pt>
                <c:pt idx="18" c:formatCode="yyyy/m/d">
                  <c:v>2018/10/19</c:v>
                </c:pt>
                <c:pt idx="19" c:formatCode="yyyy/m/d">
                  <c:v>2018/10/20</c:v>
                </c:pt>
                <c:pt idx="20" c:formatCode="yyyy/m/d">
                  <c:v>2018/10/21</c:v>
                </c:pt>
                <c:pt idx="21" c:formatCode="yyyy/m/d">
                  <c:v>2018/10/22</c:v>
                </c:pt>
                <c:pt idx="22" c:formatCode="yyyy/m/d">
                  <c:v>2018/10/23</c:v>
                </c:pt>
                <c:pt idx="23" c:formatCode="yyyy/m/d">
                  <c:v>2018/10/24</c:v>
                </c:pt>
                <c:pt idx="24" c:formatCode="yyyy/m/d">
                  <c:v>2018/10/25</c:v>
                </c:pt>
                <c:pt idx="25" c:formatCode="yyyy/m/d">
                  <c:v>2018/10/26</c:v>
                </c:pt>
                <c:pt idx="26" c:formatCode="yyyy/m/d">
                  <c:v>2018/10/27</c:v>
                </c:pt>
                <c:pt idx="27" c:formatCode="yyyy/m/d">
                  <c:v>2018/10/28</c:v>
                </c:pt>
                <c:pt idx="28" c:formatCode="yyyy/m/d">
                  <c:v>2018/10/29</c:v>
                </c:pt>
                <c:pt idx="29" c:formatCode="yyyy/m/d">
                  <c:v>2018/10/30</c:v>
                </c:pt>
                <c:pt idx="30" c:formatCode="yyyy/m/d">
                  <c:v>2018/10/31</c:v>
                </c:pt>
                <c:pt idx="31" c:formatCode="yyyy/m/d">
                  <c:v>2018/11/1</c:v>
                </c:pt>
                <c:pt idx="32" c:formatCode="yyyy/m/d">
                  <c:v>2018/11/2</c:v>
                </c:pt>
                <c:pt idx="33" c:formatCode="yyyy/m/d">
                  <c:v>2018/11/3</c:v>
                </c:pt>
                <c:pt idx="34" c:formatCode="yyyy/m/d">
                  <c:v>2018/11/4</c:v>
                </c:pt>
                <c:pt idx="35" c:formatCode="yyyy/m/d">
                  <c:v>2018/11/5</c:v>
                </c:pt>
                <c:pt idx="36" c:formatCode="yyyy/m/d">
                  <c:v>2018/11/6</c:v>
                </c:pt>
                <c:pt idx="37" c:formatCode="yyyy/m/d">
                  <c:v>2018/11/7</c:v>
                </c:pt>
                <c:pt idx="38" c:formatCode="yyyy/m/d">
                  <c:v>2018/11/8</c:v>
                </c:pt>
                <c:pt idx="39" c:formatCode="yyyy/m/d">
                  <c:v>2018/11/9</c:v>
                </c:pt>
                <c:pt idx="40" c:formatCode="yyyy/m/d">
                  <c:v>2018/11/10</c:v>
                </c:pt>
                <c:pt idx="41" c:formatCode="yyyy/m/d">
                  <c:v>2018/11/11</c:v>
                </c:pt>
                <c:pt idx="42" c:formatCode="yyyy/m/d">
                  <c:v>2018/11/12</c:v>
                </c:pt>
                <c:pt idx="43" c:formatCode="yyyy/m/d">
                  <c:v>2018/11/13</c:v>
                </c:pt>
                <c:pt idx="44" c:formatCode="yyyy/m/d">
                  <c:v>2018/11/14</c:v>
                </c:pt>
                <c:pt idx="45" c:formatCode="yyyy/m/d">
                  <c:v>2018/11/15</c:v>
                </c:pt>
                <c:pt idx="46" c:formatCode="yyyy/m/d">
                  <c:v>2018/11/16</c:v>
                </c:pt>
                <c:pt idx="47" c:formatCode="yyyy/m/d">
                  <c:v>2018/11/17</c:v>
                </c:pt>
                <c:pt idx="48" c:formatCode="yyyy/m/d">
                  <c:v>2018/11/18</c:v>
                </c:pt>
                <c:pt idx="49" c:formatCode="yyyy/m/d">
                  <c:v>2018/11/19</c:v>
                </c:pt>
                <c:pt idx="50" c:formatCode="yyyy/m/d">
                  <c:v>2018/11/20</c:v>
                </c:pt>
                <c:pt idx="51" c:formatCode="yyyy/m/d">
                  <c:v>2018/11/21</c:v>
                </c:pt>
                <c:pt idx="52" c:formatCode="yyyy/m/d">
                  <c:v>2018/11/22</c:v>
                </c:pt>
                <c:pt idx="53" c:formatCode="yyyy/m/d">
                  <c:v>2018/11/23</c:v>
                </c:pt>
                <c:pt idx="54" c:formatCode="yyyy/m/d">
                  <c:v>2018/11/24</c:v>
                </c:pt>
                <c:pt idx="55" c:formatCode="yyyy/m/d">
                  <c:v>2018/11/25</c:v>
                </c:pt>
                <c:pt idx="56" c:formatCode="yyyy/m/d">
                  <c:v>2018/11/26</c:v>
                </c:pt>
                <c:pt idx="57" c:formatCode="yyyy/m/d">
                  <c:v>2018/11/27</c:v>
                </c:pt>
                <c:pt idx="58" c:formatCode="yyyy/m/d">
                  <c:v>2018/11/28</c:v>
                </c:pt>
                <c:pt idx="59" c:formatCode="yyyy/m/d">
                  <c:v>2018/11/29</c:v>
                </c:pt>
                <c:pt idx="60" c:formatCode="yyyy/m/d">
                  <c:v>2018/11/30</c:v>
                </c:pt>
                <c:pt idx="61" c:formatCode="yyyy/m/d">
                  <c:v>2018/12/1</c:v>
                </c:pt>
                <c:pt idx="62" c:formatCode="yyyy/m/d">
                  <c:v>2018/12/2</c:v>
                </c:pt>
                <c:pt idx="63" c:formatCode="yyyy/m/d">
                  <c:v>2018/12/3</c:v>
                </c:pt>
                <c:pt idx="64" c:formatCode="yyyy/m/d">
                  <c:v>2018/12/4</c:v>
                </c:pt>
                <c:pt idx="65" c:formatCode="yyyy/m/d">
                  <c:v>2018/12/5</c:v>
                </c:pt>
                <c:pt idx="66" c:formatCode="yyyy/m/d">
                  <c:v>2018/12/6</c:v>
                </c:pt>
                <c:pt idx="67" c:formatCode="yyyy/m/d">
                  <c:v/>
                </c:pt>
                <c:pt idx="68" c:formatCode="yyyy/m/d">
                  <c:v/>
                </c:pt>
                <c:pt idx="69" c:formatCode="yyyy/m/d">
                  <c:v/>
                </c:pt>
                <c:pt idx="70" c:formatCode="yyyy/m/d">
                  <c:v/>
                </c:pt>
                <c:pt idx="71" c:formatCode="yyyy/m/d">
                  <c:v/>
                </c:pt>
                <c:pt idx="72" c:formatCode="yyyy/m/d">
                  <c:v/>
                </c:pt>
                <c:pt idx="73" c:formatCode="yyyy/m/d">
                  <c:v/>
                </c:pt>
                <c:pt idx="74" c:formatCode="yyyy/m/d">
                  <c:v/>
                </c:pt>
                <c:pt idx="75" c:formatCode="yyyy/m/d">
                  <c:v/>
                </c:pt>
                <c:pt idx="76" c:formatCode="yyyy/m/d">
                  <c:v/>
                </c:pt>
                <c:pt idx="77" c:formatCode="yyyy/m/d">
                  <c:v/>
                </c:pt>
                <c:pt idx="78" c:formatCode="yyyy/m/d">
                  <c:v/>
                </c:pt>
                <c:pt idx="79" c:formatCode="yyyy/m/d">
                  <c:v/>
                </c:pt>
                <c:pt idx="80" c:formatCode="yyyy/m/d">
                  <c:v/>
                </c:pt>
                <c:pt idx="81" c:formatCode="yyyy/m/d">
                  <c:v/>
                </c:pt>
                <c:pt idx="82" c:formatCode="yyyy/m/d">
                  <c:v/>
                </c:pt>
                <c:pt idx="83" c:formatCode="yyyy/m/d">
                  <c:v/>
                </c:pt>
                <c:pt idx="84" c:formatCode="yyyy/m/d">
                  <c:v/>
                </c:pt>
                <c:pt idx="85" c:formatCode="yyyy/m/d">
                  <c:v/>
                </c:pt>
                <c:pt idx="86" c:formatCode="yyyy/m/d">
                  <c:v/>
                </c:pt>
                <c:pt idx="87" c:formatCode="yyyy/m/d">
                  <c:v/>
                </c:pt>
                <c:pt idx="88" c:formatCode="yyyy/m/d">
                  <c:v/>
                </c:pt>
                <c:pt idx="89" c:formatCode="yyyy/m/d">
                  <c:v/>
                </c:pt>
                <c:pt idx="90" c:formatCode="yyyy/m/d">
                  <c:v/>
                </c:pt>
                <c:pt idx="91" c:formatCode="yyyy/m/d">
                  <c:v/>
                </c:pt>
                <c:pt idx="92" c:formatCode="yyyy/m/d">
                  <c:v/>
                </c:pt>
                <c:pt idx="93" c:formatCode="yyyy/m/d">
                  <c:v/>
                </c:pt>
                <c:pt idx="94" c:formatCode="yyyy/m/d">
                  <c:v/>
                </c:pt>
                <c:pt idx="95" c:formatCode="yyyy/m/d">
                  <c:v/>
                </c:pt>
                <c:pt idx="96" c:formatCode="yyyy/m/d">
                  <c:v/>
                </c:pt>
                <c:pt idx="97" c:formatCode="yyyy/m/d">
                  <c:v/>
                </c:pt>
                <c:pt idx="98" c:formatCode="yyyy/m/d">
                  <c:v/>
                </c:pt>
                <c:pt idx="99" c:formatCode="yyyy/m/d">
                  <c:v/>
                </c:pt>
                <c:pt idx="100" c:formatCode="yyyy/m/d">
                  <c:v/>
                </c:pt>
                <c:pt idx="101" c:formatCode="yyyy/m/d">
                  <c:v/>
                </c:pt>
                <c:pt idx="102" c:formatCode="yyyy/m/d">
                  <c:v/>
                </c:pt>
                <c:pt idx="103" c:formatCode="yyyy/m/d">
                  <c:v/>
                </c:pt>
                <c:pt idx="104" c:formatCode="yyyy/m/d">
                  <c:v/>
                </c:pt>
                <c:pt idx="105" c:formatCode="yyyy/m/d">
                  <c:v/>
                </c:pt>
                <c:pt idx="106" c:formatCode="yyyy/m/d">
                  <c:v/>
                </c:pt>
                <c:pt idx="107" c:formatCode="yyyy/m/d">
                  <c:v/>
                </c:pt>
                <c:pt idx="108" c:formatCode="yyyy/m/d">
                  <c:v/>
                </c:pt>
                <c:pt idx="109" c:formatCode="yyyy/m/d">
                  <c:v/>
                </c:pt>
                <c:pt idx="110" c:formatCode="yyyy/m/d">
                  <c:v/>
                </c:pt>
                <c:pt idx="111" c:formatCode="yyyy/m/d">
                  <c:v/>
                </c:pt>
                <c:pt idx="112" c:formatCode="yyyy/m/d">
                  <c:v/>
                </c:pt>
                <c:pt idx="113" c:formatCode="yyyy/m/d">
                  <c:v/>
                </c:pt>
                <c:pt idx="114" c:formatCode="yyyy/m/d">
                  <c:v/>
                </c:pt>
                <c:pt idx="115" c:formatCode="yyyy/m/d">
                  <c:v/>
                </c:pt>
                <c:pt idx="116" c:formatCode="yyyy/m/d">
                  <c:v/>
                </c:pt>
                <c:pt idx="117" c:formatCode="yyyy/m/d">
                  <c:v/>
                </c:pt>
                <c:pt idx="118" c:formatCode="yyyy/m/d">
                  <c:v/>
                </c:pt>
                <c:pt idx="119" c:formatCode="yyyy/m/d">
                  <c:v/>
                </c:pt>
                <c:pt idx="120" c:formatCode="yyyy/m/d">
                  <c:v/>
                </c:pt>
                <c:pt idx="121" c:formatCode="yyyy/m/d">
                  <c:v/>
                </c:pt>
                <c:pt idx="122" c:formatCode="yyyy/m/d">
                  <c:v/>
                </c:pt>
                <c:pt idx="123" c:formatCode="yyyy/m/d">
                  <c:v/>
                </c:pt>
                <c:pt idx="124" c:formatCode="yyyy/m/d">
                  <c:v/>
                </c:pt>
                <c:pt idx="125" c:formatCode="yyyy/m/d">
                  <c:v/>
                </c:pt>
                <c:pt idx="126" c:formatCode="yyyy/m/d">
                  <c:v/>
                </c:pt>
                <c:pt idx="127" c:formatCode="yyyy/m/d">
                  <c:v/>
                </c:pt>
                <c:pt idx="128" c:formatCode="yyyy/m/d">
                  <c:v/>
                </c:pt>
                <c:pt idx="129" c:formatCode="yyyy/m/d">
                  <c:v/>
                </c:pt>
                <c:pt idx="130" c:formatCode="yyyy/m/d">
                  <c:v/>
                </c:pt>
                <c:pt idx="131" c:formatCode="yyyy/m/d">
                  <c:v/>
                </c:pt>
                <c:pt idx="132" c:formatCode="yyyy/m/d">
                  <c:v/>
                </c:pt>
                <c:pt idx="133" c:formatCode="yyyy/m/d">
                  <c:v/>
                </c:pt>
                <c:pt idx="134" c:formatCode="yyyy/m/d">
                  <c:v/>
                </c:pt>
                <c:pt idx="135" c:formatCode="yyyy/m/d">
                  <c:v/>
                </c:pt>
                <c:pt idx="136" c:formatCode="yyyy/m/d">
                  <c:v/>
                </c:pt>
                <c:pt idx="137" c:formatCode="yyyy/m/d">
                  <c:v/>
                </c:pt>
                <c:pt idx="138" c:formatCode="yyyy/m/d">
                  <c:v/>
                </c:pt>
                <c:pt idx="139" c:formatCode="yyyy/m/d">
                  <c:v/>
                </c:pt>
                <c:pt idx="140" c:formatCode="yyyy/m/d">
                  <c:v/>
                </c:pt>
                <c:pt idx="141" c:formatCode="yyyy/m/d">
                  <c:v/>
                </c:pt>
                <c:pt idx="142" c:formatCode="yyyy/m/d">
                  <c:v/>
                </c:pt>
                <c:pt idx="143" c:formatCode="yyyy/m/d">
                  <c:v/>
                </c:pt>
                <c:pt idx="144" c:formatCode="yyyy/m/d">
                  <c:v/>
                </c:pt>
                <c:pt idx="145" c:formatCode="yyyy/m/d">
                  <c:v/>
                </c:pt>
                <c:pt idx="146" c:formatCode="yyyy/m/d">
                  <c:v/>
                </c:pt>
                <c:pt idx="147" c:formatCode="yyyy/m/d">
                  <c:v/>
                </c:pt>
                <c:pt idx="148" c:formatCode="yyyy/m/d">
                  <c:v/>
                </c:pt>
                <c:pt idx="149" c:formatCode="yyyy/m/d">
                  <c:v/>
                </c:pt>
                <c:pt idx="150" c:formatCode="yyyy/m/d">
                  <c:v/>
                </c:pt>
                <c:pt idx="151" c:formatCode="yyyy/m/d">
                  <c:v/>
                </c:pt>
                <c:pt idx="152" c:formatCode="yyyy/m/d">
                  <c:v/>
                </c:pt>
                <c:pt idx="153" c:formatCode="yyyy/m/d">
                  <c:v/>
                </c:pt>
                <c:pt idx="154" c:formatCode="yyyy/m/d">
                  <c:v/>
                </c:pt>
                <c:pt idx="155" c:formatCode="yyyy/m/d">
                  <c:v/>
                </c:pt>
                <c:pt idx="156" c:formatCode="yyyy/m/d">
                  <c:v/>
                </c:pt>
                <c:pt idx="157" c:formatCode="yyyy/m/d">
                  <c:v/>
                </c:pt>
                <c:pt idx="158" c:formatCode="yyyy/m/d">
                  <c:v/>
                </c:pt>
                <c:pt idx="159" c:formatCode="yyyy/m/d">
                  <c:v/>
                </c:pt>
                <c:pt idx="160" c:formatCode="yyyy/m/d">
                  <c:v/>
                </c:pt>
                <c:pt idx="161" c:formatCode="yyyy/m/d">
                  <c:v/>
                </c:pt>
                <c:pt idx="162" c:formatCode="yyyy/m/d">
                  <c:v/>
                </c:pt>
                <c:pt idx="163" c:formatCode="yyyy/m/d">
                  <c:v/>
                </c:pt>
                <c:pt idx="164" c:formatCode="yyyy/m/d">
                  <c:v/>
                </c:pt>
                <c:pt idx="165" c:formatCode="yyyy/m/d">
                  <c:v/>
                </c:pt>
                <c:pt idx="166" c:formatCode="yyyy/m/d">
                  <c:v/>
                </c:pt>
                <c:pt idx="167" c:formatCode="yyyy/m/d">
                  <c:v/>
                </c:pt>
                <c:pt idx="168" c:formatCode="yyyy/m/d">
                  <c:v/>
                </c:pt>
                <c:pt idx="169" c:formatCode="yyyy/m/d">
                  <c:v/>
                </c:pt>
                <c:pt idx="170" c:formatCode="yyyy/m/d">
                  <c:v/>
                </c:pt>
                <c:pt idx="171" c:formatCode="yyyy/m/d">
                  <c:v/>
                </c:pt>
                <c:pt idx="172" c:formatCode="yyyy/m/d">
                  <c:v/>
                </c:pt>
                <c:pt idx="173" c:formatCode="yyyy/m/d">
                  <c:v/>
                </c:pt>
                <c:pt idx="174" c:formatCode="yyyy/m/d">
                  <c:v/>
                </c:pt>
                <c:pt idx="175" c:formatCode="yyyy/m/d">
                  <c:v/>
                </c:pt>
                <c:pt idx="176" c:formatCode="yyyy/m/d">
                  <c:v/>
                </c:pt>
                <c:pt idx="177" c:formatCode="yyyy/m/d">
                  <c:v/>
                </c:pt>
                <c:pt idx="178" c:formatCode="yyyy/m/d">
                  <c:v/>
                </c:pt>
                <c:pt idx="179" c:formatCode="yyyy/m/d">
                  <c:v/>
                </c:pt>
                <c:pt idx="180" c:formatCode="yyyy/m/d">
                  <c:v/>
                </c:pt>
                <c:pt idx="181" c:formatCode="yyyy/m/d">
                  <c:v/>
                </c:pt>
                <c:pt idx="182" c:formatCode="yyyy/m/d">
                  <c:v/>
                </c:pt>
                <c:pt idx="183" c:formatCode="yyyy/m/d">
                  <c:v/>
                </c:pt>
                <c:pt idx="184" c:formatCode="yyyy/m/d">
                  <c:v/>
                </c:pt>
                <c:pt idx="185" c:formatCode="yyyy/m/d">
                  <c:v/>
                </c:pt>
                <c:pt idx="186" c:formatCode="yyyy/m/d">
                  <c:v/>
                </c:pt>
                <c:pt idx="187" c:formatCode="yyyy/m/d">
                  <c:v/>
                </c:pt>
                <c:pt idx="188" c:formatCode="yyyy/m/d">
                  <c:v/>
                </c:pt>
                <c:pt idx="189" c:formatCode="yyyy/m/d">
                  <c:v/>
                </c:pt>
                <c:pt idx="190" c:formatCode="yyyy/m/d">
                  <c:v/>
                </c:pt>
                <c:pt idx="191" c:formatCode="yyyy/m/d">
                  <c:v/>
                </c:pt>
                <c:pt idx="192" c:formatCode="yyyy/m/d">
                  <c:v/>
                </c:pt>
                <c:pt idx="193" c:formatCode="yyyy/m/d">
                  <c:v/>
                </c:pt>
                <c:pt idx="194" c:formatCode="yyyy/m/d">
                  <c:v/>
                </c:pt>
                <c:pt idx="195" c:formatCode="yyyy/m/d">
                  <c:v/>
                </c:pt>
                <c:pt idx="196" c:formatCode="yyyy/m/d">
                  <c:v/>
                </c:pt>
                <c:pt idx="197" c:formatCode="yyyy/m/d">
                  <c:v/>
                </c:pt>
                <c:pt idx="198" c:formatCode="yyyy/m/d">
                  <c:v/>
                </c:pt>
                <c:pt idx="199" c:formatCode="yyyy/m/d">
                  <c:v/>
                </c:pt>
                <c:pt idx="200" c:formatCode="yyyy/m/d">
                  <c:v/>
                </c:pt>
                <c:pt idx="201" c:formatCode="yyyy/m/d">
                  <c:v/>
                </c:pt>
                <c:pt idx="202" c:formatCode="yyyy/m/d">
                  <c:v/>
                </c:pt>
                <c:pt idx="203" c:formatCode="yyyy/m/d">
                  <c:v/>
                </c:pt>
                <c:pt idx="204" c:formatCode="yyyy/m/d">
                  <c:v/>
                </c:pt>
                <c:pt idx="205" c:formatCode="yyyy/m/d">
                  <c:v/>
                </c:pt>
                <c:pt idx="206" c:formatCode="yyyy/m/d">
                  <c:v/>
                </c:pt>
                <c:pt idx="207" c:formatCode="yyyy/m/d">
                  <c:v/>
                </c:pt>
                <c:pt idx="208" c:formatCode="yyyy/m/d">
                  <c:v/>
                </c:pt>
                <c:pt idx="209" c:formatCode="yyyy/m/d">
                  <c:v/>
                </c:pt>
                <c:pt idx="210" c:formatCode="yyyy/m/d">
                  <c:v/>
                </c:pt>
                <c:pt idx="211" c:formatCode="yyyy/m/d">
                  <c:v/>
                </c:pt>
                <c:pt idx="212" c:formatCode="yyyy/m/d">
                  <c:v/>
                </c:pt>
                <c:pt idx="213" c:formatCode="yyyy/m/d">
                  <c:v/>
                </c:pt>
                <c:pt idx="214" c:formatCode="yyyy/m/d">
                  <c:v/>
                </c:pt>
                <c:pt idx="215" c:formatCode="yyyy/m/d">
                  <c:v/>
                </c:pt>
                <c:pt idx="216" c:formatCode="yyyy/m/d">
                  <c:v/>
                </c:pt>
                <c:pt idx="217" c:formatCode="yyyy/m/d">
                  <c:v/>
                </c:pt>
                <c:pt idx="218" c:formatCode="yyyy/m/d">
                  <c:v/>
                </c:pt>
                <c:pt idx="219" c:formatCode="yyyy/m/d">
                  <c:v/>
                </c:pt>
                <c:pt idx="220" c:formatCode="yyyy/m/d">
                  <c:v/>
                </c:pt>
                <c:pt idx="221" c:formatCode="yyyy/m/d">
                  <c:v/>
                </c:pt>
                <c:pt idx="222" c:formatCode="yyyy/m/d">
                  <c:v/>
                </c:pt>
                <c:pt idx="223" c:formatCode="yyyy/m/d">
                  <c:v/>
                </c:pt>
                <c:pt idx="224" c:formatCode="yyyy/m/d">
                  <c:v/>
                </c:pt>
                <c:pt idx="225" c:formatCode="yyyy/m/d">
                  <c:v/>
                </c:pt>
                <c:pt idx="226" c:formatCode="yyyy/m/d">
                  <c:v/>
                </c:pt>
                <c:pt idx="227" c:formatCode="yyyy/m/d">
                  <c:v/>
                </c:pt>
                <c:pt idx="228" c:formatCode="yyyy/m/d">
                  <c:v/>
                </c:pt>
                <c:pt idx="229" c:formatCode="yyyy/m/d">
                  <c:v/>
                </c:pt>
                <c:pt idx="230" c:formatCode="yyyy/m/d">
                  <c:v/>
                </c:pt>
                <c:pt idx="231" c:formatCode="yyyy/m/d">
                  <c:v/>
                </c:pt>
                <c:pt idx="232" c:formatCode="yyyy/m/d">
                  <c:v/>
                </c:pt>
                <c:pt idx="233" c:formatCode="yyyy/m/d">
                  <c:v/>
                </c:pt>
                <c:pt idx="234" c:formatCode="yyyy/m/d">
                  <c:v/>
                </c:pt>
                <c:pt idx="235" c:formatCode="yyyy/m/d">
                  <c:v/>
                </c:pt>
                <c:pt idx="236" c:formatCode="yyyy/m/d">
                  <c:v/>
                </c:pt>
                <c:pt idx="237" c:formatCode="yyyy/m/d">
                  <c:v/>
                </c:pt>
                <c:pt idx="238" c:formatCode="yyyy/m/d">
                  <c:v/>
                </c:pt>
                <c:pt idx="239" c:formatCode="yyyy/m/d">
                  <c:v/>
                </c:pt>
                <c:pt idx="240" c:formatCode="yyyy/m/d">
                  <c:v/>
                </c:pt>
                <c:pt idx="241" c:formatCode="yyyy/m/d">
                  <c:v/>
                </c:pt>
                <c:pt idx="242" c:formatCode="yyyy/m/d">
                  <c:v/>
                </c:pt>
                <c:pt idx="243" c:formatCode="yyyy/m/d">
                  <c:v/>
                </c:pt>
                <c:pt idx="244" c:formatCode="yyyy/m/d">
                  <c:v/>
                </c:pt>
                <c:pt idx="245" c:formatCode="yyyy/m/d">
                  <c:v/>
                </c:pt>
                <c:pt idx="246" c:formatCode="yyyy/m/d">
                  <c:v/>
                </c:pt>
                <c:pt idx="247" c:formatCode="yyyy/m/d">
                  <c:v/>
                </c:pt>
                <c:pt idx="248" c:formatCode="yyyy/m/d">
                  <c:v/>
                </c:pt>
                <c:pt idx="249" c:formatCode="yyyy/m/d">
                  <c:v/>
                </c:pt>
                <c:pt idx="250" c:formatCode="yyyy/m/d">
                  <c:v/>
                </c:pt>
                <c:pt idx="251" c:formatCode="yyyy/m/d">
                  <c:v/>
                </c:pt>
                <c:pt idx="252" c:formatCode="yyyy/m/d">
                  <c:v/>
                </c:pt>
                <c:pt idx="253" c:formatCode="yyyy/m/d">
                  <c:v/>
                </c:pt>
                <c:pt idx="254" c:formatCode="yyyy/m/d">
                  <c:v/>
                </c:pt>
                <c:pt idx="255" c:formatCode="yyyy/m/d">
                  <c:v/>
                </c:pt>
                <c:pt idx="256" c:formatCode="yyyy/m/d">
                  <c:v/>
                </c:pt>
                <c:pt idx="257" c:formatCode="yyyy/m/d">
                  <c:v/>
                </c:pt>
                <c:pt idx="258" c:formatCode="yyyy/m/d">
                  <c:v/>
                </c:pt>
                <c:pt idx="259" c:formatCode="yyyy/m/d">
                  <c:v/>
                </c:pt>
                <c:pt idx="260" c:formatCode="yyyy/m/d">
                  <c:v/>
                </c:pt>
                <c:pt idx="261" c:formatCode="yyyy/m/d">
                  <c:v/>
                </c:pt>
                <c:pt idx="262" c:formatCode="yyyy/m/d">
                  <c:v/>
                </c:pt>
                <c:pt idx="263" c:formatCode="yyyy/m/d">
                  <c:v/>
                </c:pt>
                <c:pt idx="264" c:formatCode="yyyy/m/d">
                  <c:v/>
                </c:pt>
                <c:pt idx="265" c:formatCode="yyyy/m/d">
                  <c:v/>
                </c:pt>
                <c:pt idx="266" c:formatCode="yyyy/m/d">
                  <c:v/>
                </c:pt>
                <c:pt idx="267" c:formatCode="yyyy/m/d">
                  <c:v/>
                </c:pt>
                <c:pt idx="268" c:formatCode="yyyy/m/d">
                  <c:v/>
                </c:pt>
                <c:pt idx="269" c:formatCode="yyyy/m/d">
                  <c:v/>
                </c:pt>
                <c:pt idx="270" c:formatCode="yyyy/m/d">
                  <c:v/>
                </c:pt>
                <c:pt idx="271" c:formatCode="yyyy/m/d">
                  <c:v/>
                </c:pt>
                <c:pt idx="272" c:formatCode="yyyy/m/d">
                  <c:v/>
                </c:pt>
                <c:pt idx="273" c:formatCode="yyyy/m/d">
                  <c:v/>
                </c:pt>
                <c:pt idx="274" c:formatCode="yyyy/m/d">
                  <c:v/>
                </c:pt>
                <c:pt idx="275" c:formatCode="yyyy/m/d">
                  <c:v/>
                </c:pt>
                <c:pt idx="276" c:formatCode="yyyy/m/d">
                  <c:v/>
                </c:pt>
                <c:pt idx="277" c:formatCode="yyyy/m/d">
                  <c:v/>
                </c:pt>
                <c:pt idx="278" c:formatCode="yyyy/m/d">
                  <c:v/>
                </c:pt>
                <c:pt idx="279" c:formatCode="yyyy/m/d">
                  <c:v/>
                </c:pt>
                <c:pt idx="280" c:formatCode="yyyy/m/d">
                  <c:v/>
                </c:pt>
                <c:pt idx="281" c:formatCode="yyyy/m/d">
                  <c:v/>
                </c:pt>
                <c:pt idx="282" c:formatCode="yyyy/m/d">
                  <c:v/>
                </c:pt>
                <c:pt idx="283" c:formatCode="yyyy/m/d">
                  <c:v/>
                </c:pt>
                <c:pt idx="284" c:formatCode="yyyy/m/d">
                  <c:v/>
                </c:pt>
                <c:pt idx="285" c:formatCode="yyyy/m/d">
                  <c:v/>
                </c:pt>
                <c:pt idx="286" c:formatCode="yyyy/m/d">
                  <c:v/>
                </c:pt>
                <c:pt idx="287" c:formatCode="yyyy/m/d">
                  <c:v/>
                </c:pt>
                <c:pt idx="288" c:formatCode="yyyy/m/d">
                  <c:v/>
                </c:pt>
                <c:pt idx="289" c:formatCode="yyyy/m/d">
                  <c:v/>
                </c:pt>
                <c:pt idx="290" c:formatCode="yyyy/m/d">
                  <c:v/>
                </c:pt>
                <c:pt idx="291" c:formatCode="yyyy/m/d">
                  <c:v/>
                </c:pt>
                <c:pt idx="292" c:formatCode="yyyy/m/d">
                  <c:v/>
                </c:pt>
                <c:pt idx="293" c:formatCode="yyyy/m/d">
                  <c:v/>
                </c:pt>
              </c:strCache>
            </c:strRef>
          </c:cat>
          <c:val>
            <c:numRef>
              <c:f>day_控件!$T$2:$T$295</c:f>
              <c:numCache>
                <c:formatCode>"$"#,##0.00</c:formatCode>
                <c:ptCount val="294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  <c:pt idx="197">
                  <c:v>#N/A</c:v>
                </c:pt>
                <c:pt idx="198">
                  <c:v>#N/A</c:v>
                </c:pt>
                <c:pt idx="199">
                  <c:v>#N/A</c:v>
                </c:pt>
                <c:pt idx="200">
                  <c:v>#N/A</c:v>
                </c:pt>
                <c:pt idx="201">
                  <c:v>#N/A</c:v>
                </c:pt>
                <c:pt idx="202">
                  <c:v>#N/A</c:v>
                </c:pt>
                <c:pt idx="203">
                  <c:v>#N/A</c:v>
                </c:pt>
                <c:pt idx="204">
                  <c:v>#N/A</c:v>
                </c:pt>
                <c:pt idx="205">
                  <c:v>#N/A</c:v>
                </c:pt>
                <c:pt idx="206">
                  <c:v>#N/A</c:v>
                </c:pt>
                <c:pt idx="207">
                  <c:v>#N/A</c:v>
                </c:pt>
                <c:pt idx="208">
                  <c:v>#N/A</c:v>
                </c:pt>
                <c:pt idx="209">
                  <c:v>#N/A</c:v>
                </c:pt>
                <c:pt idx="210">
                  <c:v>#N/A</c:v>
                </c:pt>
                <c:pt idx="211">
                  <c:v>#N/A</c:v>
                </c:pt>
                <c:pt idx="212">
                  <c:v>#N/A</c:v>
                </c:pt>
                <c:pt idx="213">
                  <c:v>#N/A</c:v>
                </c:pt>
                <c:pt idx="214">
                  <c:v>#N/A</c:v>
                </c:pt>
                <c:pt idx="215">
                  <c:v>#N/A</c:v>
                </c:pt>
                <c:pt idx="216">
                  <c:v>#N/A</c:v>
                </c:pt>
                <c:pt idx="217">
                  <c:v>#N/A</c:v>
                </c:pt>
                <c:pt idx="218">
                  <c:v>#N/A</c:v>
                </c:pt>
                <c:pt idx="219">
                  <c:v>#N/A</c:v>
                </c:pt>
                <c:pt idx="220">
                  <c:v>#N/A</c:v>
                </c:pt>
                <c:pt idx="221">
                  <c:v>#N/A</c:v>
                </c:pt>
                <c:pt idx="222">
                  <c:v>#N/A</c:v>
                </c:pt>
                <c:pt idx="223">
                  <c:v>#N/A</c:v>
                </c:pt>
                <c:pt idx="224">
                  <c:v>#N/A</c:v>
                </c:pt>
                <c:pt idx="225">
                  <c:v>#N/A</c:v>
                </c:pt>
                <c:pt idx="226">
                  <c:v>#N/A</c:v>
                </c:pt>
                <c:pt idx="227">
                  <c:v>#N/A</c:v>
                </c:pt>
                <c:pt idx="228">
                  <c:v>#N/A</c:v>
                </c:pt>
                <c:pt idx="229">
                  <c:v>#N/A</c:v>
                </c:pt>
                <c:pt idx="230">
                  <c:v>#N/A</c:v>
                </c:pt>
                <c:pt idx="231">
                  <c:v>#N/A</c:v>
                </c:pt>
                <c:pt idx="232">
                  <c:v>#N/A</c:v>
                </c:pt>
                <c:pt idx="233">
                  <c:v>#N/A</c:v>
                </c:pt>
                <c:pt idx="234">
                  <c:v>#N/A</c:v>
                </c:pt>
                <c:pt idx="235">
                  <c:v>#N/A</c:v>
                </c:pt>
                <c:pt idx="236">
                  <c:v>#N/A</c:v>
                </c:pt>
                <c:pt idx="237">
                  <c:v>#N/A</c:v>
                </c:pt>
                <c:pt idx="238">
                  <c:v>#N/A</c:v>
                </c:pt>
                <c:pt idx="239">
                  <c:v>#N/A</c:v>
                </c:pt>
                <c:pt idx="240">
                  <c:v>#N/A</c:v>
                </c:pt>
                <c:pt idx="241">
                  <c:v>#N/A</c:v>
                </c:pt>
                <c:pt idx="242">
                  <c:v>#N/A</c:v>
                </c:pt>
                <c:pt idx="243">
                  <c:v>#N/A</c:v>
                </c:pt>
                <c:pt idx="244">
                  <c:v>#N/A</c:v>
                </c:pt>
                <c:pt idx="245">
                  <c:v>#N/A</c:v>
                </c:pt>
                <c:pt idx="246">
                  <c:v>#N/A</c:v>
                </c:pt>
                <c:pt idx="247">
                  <c:v>#N/A</c:v>
                </c:pt>
                <c:pt idx="248">
                  <c:v>#N/A</c:v>
                </c:pt>
                <c:pt idx="249">
                  <c:v>#N/A</c:v>
                </c:pt>
                <c:pt idx="250">
                  <c:v>#N/A</c:v>
                </c:pt>
                <c:pt idx="251">
                  <c:v>#N/A</c:v>
                </c:pt>
                <c:pt idx="252">
                  <c:v>#N/A</c:v>
                </c:pt>
                <c:pt idx="253">
                  <c:v>#N/A</c:v>
                </c:pt>
                <c:pt idx="254">
                  <c:v>#N/A</c:v>
                </c:pt>
                <c:pt idx="255">
                  <c:v>#N/A</c:v>
                </c:pt>
                <c:pt idx="256">
                  <c:v>#N/A</c:v>
                </c:pt>
                <c:pt idx="257">
                  <c:v>#N/A</c:v>
                </c:pt>
                <c:pt idx="258">
                  <c:v>#N/A</c:v>
                </c:pt>
                <c:pt idx="259">
                  <c:v>#N/A</c:v>
                </c:pt>
                <c:pt idx="260">
                  <c:v>#N/A</c:v>
                </c:pt>
                <c:pt idx="261">
                  <c:v>#N/A</c:v>
                </c:pt>
                <c:pt idx="262">
                  <c:v>#N/A</c:v>
                </c:pt>
                <c:pt idx="263">
                  <c:v>#N/A</c:v>
                </c:pt>
                <c:pt idx="264">
                  <c:v>#N/A</c:v>
                </c:pt>
                <c:pt idx="265">
                  <c:v>#N/A</c:v>
                </c:pt>
                <c:pt idx="266">
                  <c:v>#N/A</c:v>
                </c:pt>
                <c:pt idx="267">
                  <c:v>#N/A</c:v>
                </c:pt>
                <c:pt idx="268">
                  <c:v>#N/A</c:v>
                </c:pt>
                <c:pt idx="269">
                  <c:v>#N/A</c:v>
                </c:pt>
                <c:pt idx="270">
                  <c:v>#N/A</c:v>
                </c:pt>
                <c:pt idx="271">
                  <c:v>#N/A</c:v>
                </c:pt>
                <c:pt idx="272">
                  <c:v>#N/A</c:v>
                </c:pt>
                <c:pt idx="273">
                  <c:v>#N/A</c:v>
                </c:pt>
                <c:pt idx="274">
                  <c:v>#N/A</c:v>
                </c:pt>
                <c:pt idx="275">
                  <c:v>#N/A</c:v>
                </c:pt>
                <c:pt idx="276">
                  <c:v>#N/A</c:v>
                </c:pt>
                <c:pt idx="277">
                  <c:v>#N/A</c:v>
                </c:pt>
                <c:pt idx="278">
                  <c:v>#N/A</c:v>
                </c:pt>
                <c:pt idx="279">
                  <c:v>#N/A</c:v>
                </c:pt>
                <c:pt idx="280">
                  <c:v>#N/A</c:v>
                </c:pt>
                <c:pt idx="281">
                  <c:v>#N/A</c:v>
                </c:pt>
                <c:pt idx="282">
                  <c:v>#N/A</c:v>
                </c:pt>
                <c:pt idx="283">
                  <c:v>#N/A</c:v>
                </c:pt>
                <c:pt idx="284">
                  <c:v>#N/A</c:v>
                </c:pt>
                <c:pt idx="285">
                  <c:v>#N/A</c:v>
                </c:pt>
                <c:pt idx="286">
                  <c:v>#N/A</c:v>
                </c:pt>
                <c:pt idx="287">
                  <c:v>#N/A</c:v>
                </c:pt>
                <c:pt idx="288">
                  <c:v>#N/A</c:v>
                </c:pt>
                <c:pt idx="289">
                  <c:v>#N/A</c:v>
                </c:pt>
                <c:pt idx="290">
                  <c:v>#N/A</c:v>
                </c:pt>
                <c:pt idx="291">
                  <c:v>#N/A</c:v>
                </c:pt>
                <c:pt idx="292">
                  <c:v>#N/A</c:v>
                </c:pt>
                <c:pt idx="293">
                  <c:v>#N/A</c:v>
                </c:pt>
              </c:numCache>
            </c:numRef>
          </c:val>
        </c:ser>
        <c:ser>
          <c:idx val="6"/>
          <c:order val="6"/>
          <c:tx>
            <c:strRef>
              <c:f>day_控件!$M$1</c:f>
              <c:strCache>
                <c:ptCount val="1"/>
                <c:pt idx="0">
                  <c:v>访客量</c:v>
                </c:pt>
              </c:strCache>
            </c:strRef>
          </c:tx>
          <c:spPr>
            <a:solidFill>
              <a:srgbClr val="EBAFAF">
                <a:lumMod val="90000"/>
              </a:srgbClr>
            </a:solidFill>
            <a:ln>
              <a:noFill/>
            </a:ln>
            <a:effectLst/>
          </c:spPr>
          <c:invertIfNegative val="0"/>
          <c:dLbls>
            <c:delete val="1"/>
          </c:dLbls>
          <c:val>
            <c:numRef>
              <c:f>day_控件!$M$2:$M$295</c:f>
              <c:numCache>
                <c:formatCode>General</c:formatCode>
                <c:ptCount val="294"/>
                <c:pt idx="0">
                  <c:v>33</c:v>
                </c:pt>
                <c:pt idx="1">
                  <c:v>41</c:v>
                </c:pt>
                <c:pt idx="2">
                  <c:v>30</c:v>
                </c:pt>
                <c:pt idx="3">
                  <c:v>33</c:v>
                </c:pt>
                <c:pt idx="4">
                  <c:v>25</c:v>
                </c:pt>
                <c:pt idx="5">
                  <c:v>27</c:v>
                </c:pt>
                <c:pt idx="6">
                  <c:v>38</c:v>
                </c:pt>
                <c:pt idx="7">
                  <c:v>39</c:v>
                </c:pt>
                <c:pt idx="8">
                  <c:v>35</c:v>
                </c:pt>
                <c:pt idx="9">
                  <c:v>34</c:v>
                </c:pt>
                <c:pt idx="10">
                  <c:v>33</c:v>
                </c:pt>
                <c:pt idx="11">
                  <c:v>29</c:v>
                </c:pt>
                <c:pt idx="12">
                  <c:v>27</c:v>
                </c:pt>
                <c:pt idx="13">
                  <c:v>30</c:v>
                </c:pt>
                <c:pt idx="14">
                  <c:v>31</c:v>
                </c:pt>
                <c:pt idx="15">
                  <c:v>35</c:v>
                </c:pt>
                <c:pt idx="16">
                  <c:v>35</c:v>
                </c:pt>
                <c:pt idx="17">
                  <c:v>27</c:v>
                </c:pt>
                <c:pt idx="18">
                  <c:v>34</c:v>
                </c:pt>
                <c:pt idx="19">
                  <c:v>21</c:v>
                </c:pt>
                <c:pt idx="20">
                  <c:v>29</c:v>
                </c:pt>
                <c:pt idx="21">
                  <c:v>22</c:v>
                </c:pt>
                <c:pt idx="22">
                  <c:v>26</c:v>
                </c:pt>
                <c:pt idx="23">
                  <c:v>29</c:v>
                </c:pt>
                <c:pt idx="24">
                  <c:v>26</c:v>
                </c:pt>
                <c:pt idx="25">
                  <c:v>27</c:v>
                </c:pt>
                <c:pt idx="26">
                  <c:v>21</c:v>
                </c:pt>
                <c:pt idx="27">
                  <c:v>21</c:v>
                </c:pt>
                <c:pt idx="28">
                  <c:v>29</c:v>
                </c:pt>
                <c:pt idx="29">
                  <c:v>24</c:v>
                </c:pt>
                <c:pt idx="30">
                  <c:v>19</c:v>
                </c:pt>
                <c:pt idx="31">
                  <c:v>15</c:v>
                </c:pt>
                <c:pt idx="32">
                  <c:v>22</c:v>
                </c:pt>
                <c:pt idx="33">
                  <c:v>23</c:v>
                </c:pt>
                <c:pt idx="34">
                  <c:v>27</c:v>
                </c:pt>
                <c:pt idx="35">
                  <c:v>29</c:v>
                </c:pt>
                <c:pt idx="36">
                  <c:v>13</c:v>
                </c:pt>
                <c:pt idx="37">
                  <c:v>21</c:v>
                </c:pt>
                <c:pt idx="38">
                  <c:v>21</c:v>
                </c:pt>
                <c:pt idx="39">
                  <c:v>14</c:v>
                </c:pt>
                <c:pt idx="40">
                  <c:v>9</c:v>
                </c:pt>
                <c:pt idx="41">
                  <c:v>2</c:v>
                </c:pt>
                <c:pt idx="42">
                  <c:v>4</c:v>
                </c:pt>
                <c:pt idx="43">
                  <c:v>7</c:v>
                </c:pt>
                <c:pt idx="44">
                  <c:v>4</c:v>
                </c:pt>
                <c:pt idx="45">
                  <c:v>9</c:v>
                </c:pt>
                <c:pt idx="46">
                  <c:v>3</c:v>
                </c:pt>
                <c:pt idx="47">
                  <c:v>3</c:v>
                </c:pt>
                <c:pt idx="48">
                  <c:v>7</c:v>
                </c:pt>
                <c:pt idx="49">
                  <c:v>11</c:v>
                </c:pt>
                <c:pt idx="50">
                  <c:v>11</c:v>
                </c:pt>
                <c:pt idx="51">
                  <c:v>7</c:v>
                </c:pt>
                <c:pt idx="52">
                  <c:v>12</c:v>
                </c:pt>
                <c:pt idx="53">
                  <c:v>18</c:v>
                </c:pt>
                <c:pt idx="54">
                  <c:v>12</c:v>
                </c:pt>
                <c:pt idx="55">
                  <c:v>9</c:v>
                </c:pt>
                <c:pt idx="56">
                  <c:v>5</c:v>
                </c:pt>
                <c:pt idx="57">
                  <c:v>8</c:v>
                </c:pt>
                <c:pt idx="58">
                  <c:v>6</c:v>
                </c:pt>
                <c:pt idx="59">
                  <c:v>4</c:v>
                </c:pt>
                <c:pt idx="60">
                  <c:v>6</c:v>
                </c:pt>
                <c:pt idx="61">
                  <c:v>2</c:v>
                </c:pt>
                <c:pt idx="62">
                  <c:v>7</c:v>
                </c:pt>
                <c:pt idx="63">
                  <c:v>0</c:v>
                </c:pt>
                <c:pt idx="64">
                  <c:v>10</c:v>
                </c:pt>
                <c:pt idx="65">
                  <c:v>5</c:v>
                </c:pt>
                <c:pt idx="66">
                  <c:v>14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overlap val="100"/>
        <c:axId val="484458456"/>
        <c:axId val="484455320"/>
      </c:barChart>
      <c:lineChart>
        <c:grouping val="standard"/>
        <c:varyColors val="0"/>
        <c:ser>
          <c:idx val="1"/>
          <c:order val="1"/>
          <c:tx>
            <c:strRef>
              <c:f>day_控件!$P$1</c:f>
              <c:strCache>
                <c:ptCount val="1"/>
                <c:pt idx="0">
                  <c:v>浏览占比 </c:v>
                </c:pt>
              </c:strCache>
            </c:strRef>
          </c:tx>
          <c:spPr>
            <a:ln w="28575" cap="rnd">
              <a:solidFill>
                <a:srgbClr val="69A2AB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rgbClr val="FEF1E0"/>
              </a:solidFill>
              <a:ln w="28575">
                <a:solidFill>
                  <a:srgbClr val="69A2AB"/>
                </a:solidFill>
              </a:ln>
              <a:effectLst/>
            </c:spPr>
          </c:marker>
          <c:dLbls>
            <c:delete val="1"/>
          </c:dLbls>
          <c:cat>
            <c:strRef>
              <c:f>day_控件!$L$2:$L$295</c:f>
              <c:strCache>
                <c:ptCount val="294"/>
                <c:pt idx="0" c:formatCode="yyyy/m/d">
                  <c:v>2018/10/1</c:v>
                </c:pt>
                <c:pt idx="1" c:formatCode="yyyy/m/d">
                  <c:v>2018/10/2</c:v>
                </c:pt>
                <c:pt idx="2" c:formatCode="yyyy/m/d">
                  <c:v>2018/10/3</c:v>
                </c:pt>
                <c:pt idx="3" c:formatCode="yyyy/m/d">
                  <c:v>2018/10/4</c:v>
                </c:pt>
                <c:pt idx="4" c:formatCode="yyyy/m/d">
                  <c:v>2018/10/5</c:v>
                </c:pt>
                <c:pt idx="5" c:formatCode="yyyy/m/d">
                  <c:v>2018/10/6</c:v>
                </c:pt>
                <c:pt idx="6" c:formatCode="yyyy/m/d">
                  <c:v>2018/10/7</c:v>
                </c:pt>
                <c:pt idx="7" c:formatCode="yyyy/m/d">
                  <c:v>2018/10/8</c:v>
                </c:pt>
                <c:pt idx="8" c:formatCode="yyyy/m/d">
                  <c:v>2018/10/9</c:v>
                </c:pt>
                <c:pt idx="9" c:formatCode="yyyy/m/d">
                  <c:v>2018/10/10</c:v>
                </c:pt>
                <c:pt idx="10" c:formatCode="yyyy/m/d">
                  <c:v>2018/10/11</c:v>
                </c:pt>
                <c:pt idx="11" c:formatCode="yyyy/m/d">
                  <c:v>2018/10/12</c:v>
                </c:pt>
                <c:pt idx="12" c:formatCode="yyyy/m/d">
                  <c:v>2018/10/13</c:v>
                </c:pt>
                <c:pt idx="13" c:formatCode="yyyy/m/d">
                  <c:v>2018/10/14</c:v>
                </c:pt>
                <c:pt idx="14" c:formatCode="yyyy/m/d">
                  <c:v>2018/10/15</c:v>
                </c:pt>
                <c:pt idx="15" c:formatCode="yyyy/m/d">
                  <c:v>2018/10/16</c:v>
                </c:pt>
                <c:pt idx="16" c:formatCode="yyyy/m/d">
                  <c:v>2018/10/17</c:v>
                </c:pt>
                <c:pt idx="17" c:formatCode="yyyy/m/d">
                  <c:v>2018/10/18</c:v>
                </c:pt>
                <c:pt idx="18" c:formatCode="yyyy/m/d">
                  <c:v>2018/10/19</c:v>
                </c:pt>
                <c:pt idx="19" c:formatCode="yyyy/m/d">
                  <c:v>2018/10/20</c:v>
                </c:pt>
                <c:pt idx="20" c:formatCode="yyyy/m/d">
                  <c:v>2018/10/21</c:v>
                </c:pt>
                <c:pt idx="21" c:formatCode="yyyy/m/d">
                  <c:v>2018/10/22</c:v>
                </c:pt>
                <c:pt idx="22" c:formatCode="yyyy/m/d">
                  <c:v>2018/10/23</c:v>
                </c:pt>
                <c:pt idx="23" c:formatCode="yyyy/m/d">
                  <c:v>2018/10/24</c:v>
                </c:pt>
                <c:pt idx="24" c:formatCode="yyyy/m/d">
                  <c:v>2018/10/25</c:v>
                </c:pt>
                <c:pt idx="25" c:formatCode="yyyy/m/d">
                  <c:v>2018/10/26</c:v>
                </c:pt>
                <c:pt idx="26" c:formatCode="yyyy/m/d">
                  <c:v>2018/10/27</c:v>
                </c:pt>
                <c:pt idx="27" c:formatCode="yyyy/m/d">
                  <c:v>2018/10/28</c:v>
                </c:pt>
                <c:pt idx="28" c:formatCode="yyyy/m/d">
                  <c:v>2018/10/29</c:v>
                </c:pt>
                <c:pt idx="29" c:formatCode="yyyy/m/d">
                  <c:v>2018/10/30</c:v>
                </c:pt>
                <c:pt idx="30" c:formatCode="yyyy/m/d">
                  <c:v>2018/10/31</c:v>
                </c:pt>
                <c:pt idx="31" c:formatCode="yyyy/m/d">
                  <c:v>2018/11/1</c:v>
                </c:pt>
                <c:pt idx="32" c:formatCode="yyyy/m/d">
                  <c:v>2018/11/2</c:v>
                </c:pt>
                <c:pt idx="33" c:formatCode="yyyy/m/d">
                  <c:v>2018/11/3</c:v>
                </c:pt>
                <c:pt idx="34" c:formatCode="yyyy/m/d">
                  <c:v>2018/11/4</c:v>
                </c:pt>
                <c:pt idx="35" c:formatCode="yyyy/m/d">
                  <c:v>2018/11/5</c:v>
                </c:pt>
                <c:pt idx="36" c:formatCode="yyyy/m/d">
                  <c:v>2018/11/6</c:v>
                </c:pt>
                <c:pt idx="37" c:formatCode="yyyy/m/d">
                  <c:v>2018/11/7</c:v>
                </c:pt>
                <c:pt idx="38" c:formatCode="yyyy/m/d">
                  <c:v>2018/11/8</c:v>
                </c:pt>
                <c:pt idx="39" c:formatCode="yyyy/m/d">
                  <c:v>2018/11/9</c:v>
                </c:pt>
                <c:pt idx="40" c:formatCode="yyyy/m/d">
                  <c:v>2018/11/10</c:v>
                </c:pt>
                <c:pt idx="41" c:formatCode="yyyy/m/d">
                  <c:v>2018/11/11</c:v>
                </c:pt>
                <c:pt idx="42" c:formatCode="yyyy/m/d">
                  <c:v>2018/11/12</c:v>
                </c:pt>
                <c:pt idx="43" c:formatCode="yyyy/m/d">
                  <c:v>2018/11/13</c:v>
                </c:pt>
                <c:pt idx="44" c:formatCode="yyyy/m/d">
                  <c:v>2018/11/14</c:v>
                </c:pt>
                <c:pt idx="45" c:formatCode="yyyy/m/d">
                  <c:v>2018/11/15</c:v>
                </c:pt>
                <c:pt idx="46" c:formatCode="yyyy/m/d">
                  <c:v>2018/11/16</c:v>
                </c:pt>
                <c:pt idx="47" c:formatCode="yyyy/m/d">
                  <c:v>2018/11/17</c:v>
                </c:pt>
                <c:pt idx="48" c:formatCode="yyyy/m/d">
                  <c:v>2018/11/18</c:v>
                </c:pt>
                <c:pt idx="49" c:formatCode="yyyy/m/d">
                  <c:v>2018/11/19</c:v>
                </c:pt>
                <c:pt idx="50" c:formatCode="yyyy/m/d">
                  <c:v>2018/11/20</c:v>
                </c:pt>
                <c:pt idx="51" c:formatCode="yyyy/m/d">
                  <c:v>2018/11/21</c:v>
                </c:pt>
                <c:pt idx="52" c:formatCode="yyyy/m/d">
                  <c:v>2018/11/22</c:v>
                </c:pt>
                <c:pt idx="53" c:formatCode="yyyy/m/d">
                  <c:v>2018/11/23</c:v>
                </c:pt>
                <c:pt idx="54" c:formatCode="yyyy/m/d">
                  <c:v>2018/11/24</c:v>
                </c:pt>
                <c:pt idx="55" c:formatCode="yyyy/m/d">
                  <c:v>2018/11/25</c:v>
                </c:pt>
                <c:pt idx="56" c:formatCode="yyyy/m/d">
                  <c:v>2018/11/26</c:v>
                </c:pt>
                <c:pt idx="57" c:formatCode="yyyy/m/d">
                  <c:v>2018/11/27</c:v>
                </c:pt>
                <c:pt idx="58" c:formatCode="yyyy/m/d">
                  <c:v>2018/11/28</c:v>
                </c:pt>
                <c:pt idx="59" c:formatCode="yyyy/m/d">
                  <c:v>2018/11/29</c:v>
                </c:pt>
                <c:pt idx="60" c:formatCode="yyyy/m/d">
                  <c:v>2018/11/30</c:v>
                </c:pt>
                <c:pt idx="61" c:formatCode="yyyy/m/d">
                  <c:v>2018/12/1</c:v>
                </c:pt>
                <c:pt idx="62" c:formatCode="yyyy/m/d">
                  <c:v>2018/12/2</c:v>
                </c:pt>
                <c:pt idx="63" c:formatCode="yyyy/m/d">
                  <c:v>2018/12/3</c:v>
                </c:pt>
                <c:pt idx="64" c:formatCode="yyyy/m/d">
                  <c:v>2018/12/4</c:v>
                </c:pt>
                <c:pt idx="65" c:formatCode="yyyy/m/d">
                  <c:v>2018/12/5</c:v>
                </c:pt>
                <c:pt idx="66" c:formatCode="yyyy/m/d">
                  <c:v>2018/12/6</c:v>
                </c:pt>
                <c:pt idx="67" c:formatCode="yyyy/m/d">
                  <c:v/>
                </c:pt>
                <c:pt idx="68" c:formatCode="yyyy/m/d">
                  <c:v/>
                </c:pt>
                <c:pt idx="69" c:formatCode="yyyy/m/d">
                  <c:v/>
                </c:pt>
                <c:pt idx="70" c:formatCode="yyyy/m/d">
                  <c:v/>
                </c:pt>
                <c:pt idx="71" c:formatCode="yyyy/m/d">
                  <c:v/>
                </c:pt>
                <c:pt idx="72" c:formatCode="yyyy/m/d">
                  <c:v/>
                </c:pt>
                <c:pt idx="73" c:formatCode="yyyy/m/d">
                  <c:v/>
                </c:pt>
                <c:pt idx="74" c:formatCode="yyyy/m/d">
                  <c:v/>
                </c:pt>
                <c:pt idx="75" c:formatCode="yyyy/m/d">
                  <c:v/>
                </c:pt>
                <c:pt idx="76" c:formatCode="yyyy/m/d">
                  <c:v/>
                </c:pt>
                <c:pt idx="77" c:formatCode="yyyy/m/d">
                  <c:v/>
                </c:pt>
                <c:pt idx="78" c:formatCode="yyyy/m/d">
                  <c:v/>
                </c:pt>
                <c:pt idx="79" c:formatCode="yyyy/m/d">
                  <c:v/>
                </c:pt>
                <c:pt idx="80" c:formatCode="yyyy/m/d">
                  <c:v/>
                </c:pt>
                <c:pt idx="81" c:formatCode="yyyy/m/d">
                  <c:v/>
                </c:pt>
                <c:pt idx="82" c:formatCode="yyyy/m/d">
                  <c:v/>
                </c:pt>
                <c:pt idx="83" c:formatCode="yyyy/m/d">
                  <c:v/>
                </c:pt>
                <c:pt idx="84" c:formatCode="yyyy/m/d">
                  <c:v/>
                </c:pt>
                <c:pt idx="85" c:formatCode="yyyy/m/d">
                  <c:v/>
                </c:pt>
                <c:pt idx="86" c:formatCode="yyyy/m/d">
                  <c:v/>
                </c:pt>
                <c:pt idx="87" c:formatCode="yyyy/m/d">
                  <c:v/>
                </c:pt>
                <c:pt idx="88" c:formatCode="yyyy/m/d">
                  <c:v/>
                </c:pt>
                <c:pt idx="89" c:formatCode="yyyy/m/d">
                  <c:v/>
                </c:pt>
                <c:pt idx="90" c:formatCode="yyyy/m/d">
                  <c:v/>
                </c:pt>
                <c:pt idx="91" c:formatCode="yyyy/m/d">
                  <c:v/>
                </c:pt>
                <c:pt idx="92" c:formatCode="yyyy/m/d">
                  <c:v/>
                </c:pt>
                <c:pt idx="93" c:formatCode="yyyy/m/d">
                  <c:v/>
                </c:pt>
                <c:pt idx="94" c:formatCode="yyyy/m/d">
                  <c:v/>
                </c:pt>
                <c:pt idx="95" c:formatCode="yyyy/m/d">
                  <c:v/>
                </c:pt>
                <c:pt idx="96" c:formatCode="yyyy/m/d">
                  <c:v/>
                </c:pt>
                <c:pt idx="97" c:formatCode="yyyy/m/d">
                  <c:v/>
                </c:pt>
                <c:pt idx="98" c:formatCode="yyyy/m/d">
                  <c:v/>
                </c:pt>
                <c:pt idx="99" c:formatCode="yyyy/m/d">
                  <c:v/>
                </c:pt>
                <c:pt idx="100" c:formatCode="yyyy/m/d">
                  <c:v/>
                </c:pt>
                <c:pt idx="101" c:formatCode="yyyy/m/d">
                  <c:v/>
                </c:pt>
                <c:pt idx="102" c:formatCode="yyyy/m/d">
                  <c:v/>
                </c:pt>
                <c:pt idx="103" c:formatCode="yyyy/m/d">
                  <c:v/>
                </c:pt>
                <c:pt idx="104" c:formatCode="yyyy/m/d">
                  <c:v/>
                </c:pt>
                <c:pt idx="105" c:formatCode="yyyy/m/d">
                  <c:v/>
                </c:pt>
                <c:pt idx="106" c:formatCode="yyyy/m/d">
                  <c:v/>
                </c:pt>
                <c:pt idx="107" c:formatCode="yyyy/m/d">
                  <c:v/>
                </c:pt>
                <c:pt idx="108" c:formatCode="yyyy/m/d">
                  <c:v/>
                </c:pt>
                <c:pt idx="109" c:formatCode="yyyy/m/d">
                  <c:v/>
                </c:pt>
                <c:pt idx="110" c:formatCode="yyyy/m/d">
                  <c:v/>
                </c:pt>
                <c:pt idx="111" c:formatCode="yyyy/m/d">
                  <c:v/>
                </c:pt>
                <c:pt idx="112" c:formatCode="yyyy/m/d">
                  <c:v/>
                </c:pt>
                <c:pt idx="113" c:formatCode="yyyy/m/d">
                  <c:v/>
                </c:pt>
                <c:pt idx="114" c:formatCode="yyyy/m/d">
                  <c:v/>
                </c:pt>
                <c:pt idx="115" c:formatCode="yyyy/m/d">
                  <c:v/>
                </c:pt>
                <c:pt idx="116" c:formatCode="yyyy/m/d">
                  <c:v/>
                </c:pt>
                <c:pt idx="117" c:formatCode="yyyy/m/d">
                  <c:v/>
                </c:pt>
                <c:pt idx="118" c:formatCode="yyyy/m/d">
                  <c:v/>
                </c:pt>
                <c:pt idx="119" c:formatCode="yyyy/m/d">
                  <c:v/>
                </c:pt>
                <c:pt idx="120" c:formatCode="yyyy/m/d">
                  <c:v/>
                </c:pt>
                <c:pt idx="121" c:formatCode="yyyy/m/d">
                  <c:v/>
                </c:pt>
                <c:pt idx="122" c:formatCode="yyyy/m/d">
                  <c:v/>
                </c:pt>
                <c:pt idx="123" c:formatCode="yyyy/m/d">
                  <c:v/>
                </c:pt>
                <c:pt idx="124" c:formatCode="yyyy/m/d">
                  <c:v/>
                </c:pt>
                <c:pt idx="125" c:formatCode="yyyy/m/d">
                  <c:v/>
                </c:pt>
                <c:pt idx="126" c:formatCode="yyyy/m/d">
                  <c:v/>
                </c:pt>
                <c:pt idx="127" c:formatCode="yyyy/m/d">
                  <c:v/>
                </c:pt>
                <c:pt idx="128" c:formatCode="yyyy/m/d">
                  <c:v/>
                </c:pt>
                <c:pt idx="129" c:formatCode="yyyy/m/d">
                  <c:v/>
                </c:pt>
                <c:pt idx="130" c:formatCode="yyyy/m/d">
                  <c:v/>
                </c:pt>
                <c:pt idx="131" c:formatCode="yyyy/m/d">
                  <c:v/>
                </c:pt>
                <c:pt idx="132" c:formatCode="yyyy/m/d">
                  <c:v/>
                </c:pt>
                <c:pt idx="133" c:formatCode="yyyy/m/d">
                  <c:v/>
                </c:pt>
                <c:pt idx="134" c:formatCode="yyyy/m/d">
                  <c:v/>
                </c:pt>
                <c:pt idx="135" c:formatCode="yyyy/m/d">
                  <c:v/>
                </c:pt>
                <c:pt idx="136" c:formatCode="yyyy/m/d">
                  <c:v/>
                </c:pt>
                <c:pt idx="137" c:formatCode="yyyy/m/d">
                  <c:v/>
                </c:pt>
                <c:pt idx="138" c:formatCode="yyyy/m/d">
                  <c:v/>
                </c:pt>
                <c:pt idx="139" c:formatCode="yyyy/m/d">
                  <c:v/>
                </c:pt>
                <c:pt idx="140" c:formatCode="yyyy/m/d">
                  <c:v/>
                </c:pt>
                <c:pt idx="141" c:formatCode="yyyy/m/d">
                  <c:v/>
                </c:pt>
                <c:pt idx="142" c:formatCode="yyyy/m/d">
                  <c:v/>
                </c:pt>
                <c:pt idx="143" c:formatCode="yyyy/m/d">
                  <c:v/>
                </c:pt>
                <c:pt idx="144" c:formatCode="yyyy/m/d">
                  <c:v/>
                </c:pt>
                <c:pt idx="145" c:formatCode="yyyy/m/d">
                  <c:v/>
                </c:pt>
                <c:pt idx="146" c:formatCode="yyyy/m/d">
                  <c:v/>
                </c:pt>
                <c:pt idx="147" c:formatCode="yyyy/m/d">
                  <c:v/>
                </c:pt>
                <c:pt idx="148" c:formatCode="yyyy/m/d">
                  <c:v/>
                </c:pt>
                <c:pt idx="149" c:formatCode="yyyy/m/d">
                  <c:v/>
                </c:pt>
                <c:pt idx="150" c:formatCode="yyyy/m/d">
                  <c:v/>
                </c:pt>
                <c:pt idx="151" c:formatCode="yyyy/m/d">
                  <c:v/>
                </c:pt>
                <c:pt idx="152" c:formatCode="yyyy/m/d">
                  <c:v/>
                </c:pt>
                <c:pt idx="153" c:formatCode="yyyy/m/d">
                  <c:v/>
                </c:pt>
                <c:pt idx="154" c:formatCode="yyyy/m/d">
                  <c:v/>
                </c:pt>
                <c:pt idx="155" c:formatCode="yyyy/m/d">
                  <c:v/>
                </c:pt>
                <c:pt idx="156" c:formatCode="yyyy/m/d">
                  <c:v/>
                </c:pt>
                <c:pt idx="157" c:formatCode="yyyy/m/d">
                  <c:v/>
                </c:pt>
                <c:pt idx="158" c:formatCode="yyyy/m/d">
                  <c:v/>
                </c:pt>
                <c:pt idx="159" c:formatCode="yyyy/m/d">
                  <c:v/>
                </c:pt>
                <c:pt idx="160" c:formatCode="yyyy/m/d">
                  <c:v/>
                </c:pt>
                <c:pt idx="161" c:formatCode="yyyy/m/d">
                  <c:v/>
                </c:pt>
                <c:pt idx="162" c:formatCode="yyyy/m/d">
                  <c:v/>
                </c:pt>
                <c:pt idx="163" c:formatCode="yyyy/m/d">
                  <c:v/>
                </c:pt>
                <c:pt idx="164" c:formatCode="yyyy/m/d">
                  <c:v/>
                </c:pt>
                <c:pt idx="165" c:formatCode="yyyy/m/d">
                  <c:v/>
                </c:pt>
                <c:pt idx="166" c:formatCode="yyyy/m/d">
                  <c:v/>
                </c:pt>
                <c:pt idx="167" c:formatCode="yyyy/m/d">
                  <c:v/>
                </c:pt>
                <c:pt idx="168" c:formatCode="yyyy/m/d">
                  <c:v/>
                </c:pt>
                <c:pt idx="169" c:formatCode="yyyy/m/d">
                  <c:v/>
                </c:pt>
                <c:pt idx="170" c:formatCode="yyyy/m/d">
                  <c:v/>
                </c:pt>
                <c:pt idx="171" c:formatCode="yyyy/m/d">
                  <c:v/>
                </c:pt>
                <c:pt idx="172" c:formatCode="yyyy/m/d">
                  <c:v/>
                </c:pt>
                <c:pt idx="173" c:formatCode="yyyy/m/d">
                  <c:v/>
                </c:pt>
                <c:pt idx="174" c:formatCode="yyyy/m/d">
                  <c:v/>
                </c:pt>
                <c:pt idx="175" c:formatCode="yyyy/m/d">
                  <c:v/>
                </c:pt>
                <c:pt idx="176" c:formatCode="yyyy/m/d">
                  <c:v/>
                </c:pt>
                <c:pt idx="177" c:formatCode="yyyy/m/d">
                  <c:v/>
                </c:pt>
                <c:pt idx="178" c:formatCode="yyyy/m/d">
                  <c:v/>
                </c:pt>
                <c:pt idx="179" c:formatCode="yyyy/m/d">
                  <c:v/>
                </c:pt>
                <c:pt idx="180" c:formatCode="yyyy/m/d">
                  <c:v/>
                </c:pt>
                <c:pt idx="181" c:formatCode="yyyy/m/d">
                  <c:v/>
                </c:pt>
                <c:pt idx="182" c:formatCode="yyyy/m/d">
                  <c:v/>
                </c:pt>
                <c:pt idx="183" c:formatCode="yyyy/m/d">
                  <c:v/>
                </c:pt>
                <c:pt idx="184" c:formatCode="yyyy/m/d">
                  <c:v/>
                </c:pt>
                <c:pt idx="185" c:formatCode="yyyy/m/d">
                  <c:v/>
                </c:pt>
                <c:pt idx="186" c:formatCode="yyyy/m/d">
                  <c:v/>
                </c:pt>
                <c:pt idx="187" c:formatCode="yyyy/m/d">
                  <c:v/>
                </c:pt>
                <c:pt idx="188" c:formatCode="yyyy/m/d">
                  <c:v/>
                </c:pt>
                <c:pt idx="189" c:formatCode="yyyy/m/d">
                  <c:v/>
                </c:pt>
                <c:pt idx="190" c:formatCode="yyyy/m/d">
                  <c:v/>
                </c:pt>
                <c:pt idx="191" c:formatCode="yyyy/m/d">
                  <c:v/>
                </c:pt>
                <c:pt idx="192" c:formatCode="yyyy/m/d">
                  <c:v/>
                </c:pt>
                <c:pt idx="193" c:formatCode="yyyy/m/d">
                  <c:v/>
                </c:pt>
                <c:pt idx="194" c:formatCode="yyyy/m/d">
                  <c:v/>
                </c:pt>
                <c:pt idx="195" c:formatCode="yyyy/m/d">
                  <c:v/>
                </c:pt>
                <c:pt idx="196" c:formatCode="yyyy/m/d">
                  <c:v/>
                </c:pt>
                <c:pt idx="197" c:formatCode="yyyy/m/d">
                  <c:v/>
                </c:pt>
                <c:pt idx="198" c:formatCode="yyyy/m/d">
                  <c:v/>
                </c:pt>
                <c:pt idx="199" c:formatCode="yyyy/m/d">
                  <c:v/>
                </c:pt>
                <c:pt idx="200" c:formatCode="yyyy/m/d">
                  <c:v/>
                </c:pt>
                <c:pt idx="201" c:formatCode="yyyy/m/d">
                  <c:v/>
                </c:pt>
                <c:pt idx="202" c:formatCode="yyyy/m/d">
                  <c:v/>
                </c:pt>
                <c:pt idx="203" c:formatCode="yyyy/m/d">
                  <c:v/>
                </c:pt>
                <c:pt idx="204" c:formatCode="yyyy/m/d">
                  <c:v/>
                </c:pt>
                <c:pt idx="205" c:formatCode="yyyy/m/d">
                  <c:v/>
                </c:pt>
                <c:pt idx="206" c:formatCode="yyyy/m/d">
                  <c:v/>
                </c:pt>
                <c:pt idx="207" c:formatCode="yyyy/m/d">
                  <c:v/>
                </c:pt>
                <c:pt idx="208" c:formatCode="yyyy/m/d">
                  <c:v/>
                </c:pt>
                <c:pt idx="209" c:formatCode="yyyy/m/d">
                  <c:v/>
                </c:pt>
                <c:pt idx="210" c:formatCode="yyyy/m/d">
                  <c:v/>
                </c:pt>
                <c:pt idx="211" c:formatCode="yyyy/m/d">
                  <c:v/>
                </c:pt>
                <c:pt idx="212" c:formatCode="yyyy/m/d">
                  <c:v/>
                </c:pt>
                <c:pt idx="213" c:formatCode="yyyy/m/d">
                  <c:v/>
                </c:pt>
                <c:pt idx="214" c:formatCode="yyyy/m/d">
                  <c:v/>
                </c:pt>
                <c:pt idx="215" c:formatCode="yyyy/m/d">
                  <c:v/>
                </c:pt>
                <c:pt idx="216" c:formatCode="yyyy/m/d">
                  <c:v/>
                </c:pt>
                <c:pt idx="217" c:formatCode="yyyy/m/d">
                  <c:v/>
                </c:pt>
                <c:pt idx="218" c:formatCode="yyyy/m/d">
                  <c:v/>
                </c:pt>
                <c:pt idx="219" c:formatCode="yyyy/m/d">
                  <c:v/>
                </c:pt>
                <c:pt idx="220" c:formatCode="yyyy/m/d">
                  <c:v/>
                </c:pt>
                <c:pt idx="221" c:formatCode="yyyy/m/d">
                  <c:v/>
                </c:pt>
                <c:pt idx="222" c:formatCode="yyyy/m/d">
                  <c:v/>
                </c:pt>
                <c:pt idx="223" c:formatCode="yyyy/m/d">
                  <c:v/>
                </c:pt>
                <c:pt idx="224" c:formatCode="yyyy/m/d">
                  <c:v/>
                </c:pt>
                <c:pt idx="225" c:formatCode="yyyy/m/d">
                  <c:v/>
                </c:pt>
                <c:pt idx="226" c:formatCode="yyyy/m/d">
                  <c:v/>
                </c:pt>
                <c:pt idx="227" c:formatCode="yyyy/m/d">
                  <c:v/>
                </c:pt>
                <c:pt idx="228" c:formatCode="yyyy/m/d">
                  <c:v/>
                </c:pt>
                <c:pt idx="229" c:formatCode="yyyy/m/d">
                  <c:v/>
                </c:pt>
                <c:pt idx="230" c:formatCode="yyyy/m/d">
                  <c:v/>
                </c:pt>
                <c:pt idx="231" c:formatCode="yyyy/m/d">
                  <c:v/>
                </c:pt>
                <c:pt idx="232" c:formatCode="yyyy/m/d">
                  <c:v/>
                </c:pt>
                <c:pt idx="233" c:formatCode="yyyy/m/d">
                  <c:v/>
                </c:pt>
                <c:pt idx="234" c:formatCode="yyyy/m/d">
                  <c:v/>
                </c:pt>
                <c:pt idx="235" c:formatCode="yyyy/m/d">
                  <c:v/>
                </c:pt>
                <c:pt idx="236" c:formatCode="yyyy/m/d">
                  <c:v/>
                </c:pt>
                <c:pt idx="237" c:formatCode="yyyy/m/d">
                  <c:v/>
                </c:pt>
                <c:pt idx="238" c:formatCode="yyyy/m/d">
                  <c:v/>
                </c:pt>
                <c:pt idx="239" c:formatCode="yyyy/m/d">
                  <c:v/>
                </c:pt>
                <c:pt idx="240" c:formatCode="yyyy/m/d">
                  <c:v/>
                </c:pt>
                <c:pt idx="241" c:formatCode="yyyy/m/d">
                  <c:v/>
                </c:pt>
                <c:pt idx="242" c:formatCode="yyyy/m/d">
                  <c:v/>
                </c:pt>
                <c:pt idx="243" c:formatCode="yyyy/m/d">
                  <c:v/>
                </c:pt>
                <c:pt idx="244" c:formatCode="yyyy/m/d">
                  <c:v/>
                </c:pt>
                <c:pt idx="245" c:formatCode="yyyy/m/d">
                  <c:v/>
                </c:pt>
                <c:pt idx="246" c:formatCode="yyyy/m/d">
                  <c:v/>
                </c:pt>
                <c:pt idx="247" c:formatCode="yyyy/m/d">
                  <c:v/>
                </c:pt>
                <c:pt idx="248" c:formatCode="yyyy/m/d">
                  <c:v/>
                </c:pt>
                <c:pt idx="249" c:formatCode="yyyy/m/d">
                  <c:v/>
                </c:pt>
                <c:pt idx="250" c:formatCode="yyyy/m/d">
                  <c:v/>
                </c:pt>
                <c:pt idx="251" c:formatCode="yyyy/m/d">
                  <c:v/>
                </c:pt>
                <c:pt idx="252" c:formatCode="yyyy/m/d">
                  <c:v/>
                </c:pt>
                <c:pt idx="253" c:formatCode="yyyy/m/d">
                  <c:v/>
                </c:pt>
                <c:pt idx="254" c:formatCode="yyyy/m/d">
                  <c:v/>
                </c:pt>
                <c:pt idx="255" c:formatCode="yyyy/m/d">
                  <c:v/>
                </c:pt>
                <c:pt idx="256" c:formatCode="yyyy/m/d">
                  <c:v/>
                </c:pt>
                <c:pt idx="257" c:formatCode="yyyy/m/d">
                  <c:v/>
                </c:pt>
                <c:pt idx="258" c:formatCode="yyyy/m/d">
                  <c:v/>
                </c:pt>
                <c:pt idx="259" c:formatCode="yyyy/m/d">
                  <c:v/>
                </c:pt>
                <c:pt idx="260" c:formatCode="yyyy/m/d">
                  <c:v/>
                </c:pt>
                <c:pt idx="261" c:formatCode="yyyy/m/d">
                  <c:v/>
                </c:pt>
                <c:pt idx="262" c:formatCode="yyyy/m/d">
                  <c:v/>
                </c:pt>
                <c:pt idx="263" c:formatCode="yyyy/m/d">
                  <c:v/>
                </c:pt>
                <c:pt idx="264" c:formatCode="yyyy/m/d">
                  <c:v/>
                </c:pt>
                <c:pt idx="265" c:formatCode="yyyy/m/d">
                  <c:v/>
                </c:pt>
                <c:pt idx="266" c:formatCode="yyyy/m/d">
                  <c:v/>
                </c:pt>
                <c:pt idx="267" c:formatCode="yyyy/m/d">
                  <c:v/>
                </c:pt>
                <c:pt idx="268" c:formatCode="yyyy/m/d">
                  <c:v/>
                </c:pt>
                <c:pt idx="269" c:formatCode="yyyy/m/d">
                  <c:v/>
                </c:pt>
                <c:pt idx="270" c:formatCode="yyyy/m/d">
                  <c:v/>
                </c:pt>
                <c:pt idx="271" c:formatCode="yyyy/m/d">
                  <c:v/>
                </c:pt>
                <c:pt idx="272" c:formatCode="yyyy/m/d">
                  <c:v/>
                </c:pt>
                <c:pt idx="273" c:formatCode="yyyy/m/d">
                  <c:v/>
                </c:pt>
                <c:pt idx="274" c:formatCode="yyyy/m/d">
                  <c:v/>
                </c:pt>
                <c:pt idx="275" c:formatCode="yyyy/m/d">
                  <c:v/>
                </c:pt>
                <c:pt idx="276" c:formatCode="yyyy/m/d">
                  <c:v/>
                </c:pt>
                <c:pt idx="277" c:formatCode="yyyy/m/d">
                  <c:v/>
                </c:pt>
                <c:pt idx="278" c:formatCode="yyyy/m/d">
                  <c:v/>
                </c:pt>
                <c:pt idx="279" c:formatCode="yyyy/m/d">
                  <c:v/>
                </c:pt>
                <c:pt idx="280" c:formatCode="yyyy/m/d">
                  <c:v/>
                </c:pt>
                <c:pt idx="281" c:formatCode="yyyy/m/d">
                  <c:v/>
                </c:pt>
                <c:pt idx="282" c:formatCode="yyyy/m/d">
                  <c:v/>
                </c:pt>
                <c:pt idx="283" c:formatCode="yyyy/m/d">
                  <c:v/>
                </c:pt>
                <c:pt idx="284" c:formatCode="yyyy/m/d">
                  <c:v/>
                </c:pt>
                <c:pt idx="285" c:formatCode="yyyy/m/d">
                  <c:v/>
                </c:pt>
                <c:pt idx="286" c:formatCode="yyyy/m/d">
                  <c:v/>
                </c:pt>
                <c:pt idx="287" c:formatCode="yyyy/m/d">
                  <c:v/>
                </c:pt>
                <c:pt idx="288" c:formatCode="yyyy/m/d">
                  <c:v/>
                </c:pt>
                <c:pt idx="289" c:formatCode="yyyy/m/d">
                  <c:v/>
                </c:pt>
                <c:pt idx="290" c:formatCode="yyyy/m/d">
                  <c:v/>
                </c:pt>
                <c:pt idx="291" c:formatCode="yyyy/m/d">
                  <c:v/>
                </c:pt>
                <c:pt idx="292" c:formatCode="yyyy/m/d">
                  <c:v/>
                </c:pt>
                <c:pt idx="293" c:formatCode="yyyy/m/d">
                  <c:v/>
                </c:pt>
              </c:strCache>
            </c:strRef>
          </c:cat>
          <c:val>
            <c:numRef>
              <c:f>day_控件!$P$2:$P$295</c:f>
              <c:numCache>
                <c:formatCode>0.00%</c:formatCode>
                <c:ptCount val="294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  <c:pt idx="197">
                  <c:v>#N/A</c:v>
                </c:pt>
                <c:pt idx="198">
                  <c:v>#N/A</c:v>
                </c:pt>
                <c:pt idx="199">
                  <c:v>#N/A</c:v>
                </c:pt>
                <c:pt idx="200">
                  <c:v>#N/A</c:v>
                </c:pt>
                <c:pt idx="201">
                  <c:v>#N/A</c:v>
                </c:pt>
                <c:pt idx="202">
                  <c:v>#N/A</c:v>
                </c:pt>
                <c:pt idx="203">
                  <c:v>#N/A</c:v>
                </c:pt>
                <c:pt idx="204">
                  <c:v>#N/A</c:v>
                </c:pt>
                <c:pt idx="205">
                  <c:v>#N/A</c:v>
                </c:pt>
                <c:pt idx="206">
                  <c:v>#N/A</c:v>
                </c:pt>
                <c:pt idx="207">
                  <c:v>#N/A</c:v>
                </c:pt>
                <c:pt idx="208">
                  <c:v>#N/A</c:v>
                </c:pt>
                <c:pt idx="209">
                  <c:v>#N/A</c:v>
                </c:pt>
                <c:pt idx="210">
                  <c:v>#N/A</c:v>
                </c:pt>
                <c:pt idx="211">
                  <c:v>#N/A</c:v>
                </c:pt>
                <c:pt idx="212">
                  <c:v>#N/A</c:v>
                </c:pt>
                <c:pt idx="213">
                  <c:v>#N/A</c:v>
                </c:pt>
                <c:pt idx="214">
                  <c:v>#N/A</c:v>
                </c:pt>
                <c:pt idx="215">
                  <c:v>#N/A</c:v>
                </c:pt>
                <c:pt idx="216">
                  <c:v>#N/A</c:v>
                </c:pt>
                <c:pt idx="217">
                  <c:v>#N/A</c:v>
                </c:pt>
                <c:pt idx="218">
                  <c:v>#N/A</c:v>
                </c:pt>
                <c:pt idx="219">
                  <c:v>#N/A</c:v>
                </c:pt>
                <c:pt idx="220">
                  <c:v>#N/A</c:v>
                </c:pt>
                <c:pt idx="221">
                  <c:v>#N/A</c:v>
                </c:pt>
                <c:pt idx="222">
                  <c:v>#N/A</c:v>
                </c:pt>
                <c:pt idx="223">
                  <c:v>#N/A</c:v>
                </c:pt>
                <c:pt idx="224">
                  <c:v>#N/A</c:v>
                </c:pt>
                <c:pt idx="225">
                  <c:v>#N/A</c:v>
                </c:pt>
                <c:pt idx="226">
                  <c:v>#N/A</c:v>
                </c:pt>
                <c:pt idx="227">
                  <c:v>#N/A</c:v>
                </c:pt>
                <c:pt idx="228">
                  <c:v>#N/A</c:v>
                </c:pt>
                <c:pt idx="229">
                  <c:v>#N/A</c:v>
                </c:pt>
                <c:pt idx="230">
                  <c:v>#N/A</c:v>
                </c:pt>
                <c:pt idx="231">
                  <c:v>#N/A</c:v>
                </c:pt>
                <c:pt idx="232">
                  <c:v>#N/A</c:v>
                </c:pt>
                <c:pt idx="233">
                  <c:v>#N/A</c:v>
                </c:pt>
                <c:pt idx="234">
                  <c:v>#N/A</c:v>
                </c:pt>
                <c:pt idx="235">
                  <c:v>#N/A</c:v>
                </c:pt>
                <c:pt idx="236">
                  <c:v>#N/A</c:v>
                </c:pt>
                <c:pt idx="237">
                  <c:v>#N/A</c:v>
                </c:pt>
                <c:pt idx="238">
                  <c:v>#N/A</c:v>
                </c:pt>
                <c:pt idx="239">
                  <c:v>#N/A</c:v>
                </c:pt>
                <c:pt idx="240">
                  <c:v>#N/A</c:v>
                </c:pt>
                <c:pt idx="241">
                  <c:v>#N/A</c:v>
                </c:pt>
                <c:pt idx="242">
                  <c:v>#N/A</c:v>
                </c:pt>
                <c:pt idx="243">
                  <c:v>#N/A</c:v>
                </c:pt>
                <c:pt idx="244">
                  <c:v>#N/A</c:v>
                </c:pt>
                <c:pt idx="245">
                  <c:v>#N/A</c:v>
                </c:pt>
                <c:pt idx="246">
                  <c:v>#N/A</c:v>
                </c:pt>
                <c:pt idx="247">
                  <c:v>#N/A</c:v>
                </c:pt>
                <c:pt idx="248">
                  <c:v>#N/A</c:v>
                </c:pt>
                <c:pt idx="249">
                  <c:v>#N/A</c:v>
                </c:pt>
                <c:pt idx="250">
                  <c:v>#N/A</c:v>
                </c:pt>
                <c:pt idx="251">
                  <c:v>#N/A</c:v>
                </c:pt>
                <c:pt idx="252">
                  <c:v>#N/A</c:v>
                </c:pt>
                <c:pt idx="253">
                  <c:v>#N/A</c:v>
                </c:pt>
                <c:pt idx="254">
                  <c:v>#N/A</c:v>
                </c:pt>
                <c:pt idx="255">
                  <c:v>#N/A</c:v>
                </c:pt>
                <c:pt idx="256">
                  <c:v>#N/A</c:v>
                </c:pt>
                <c:pt idx="257">
                  <c:v>#N/A</c:v>
                </c:pt>
                <c:pt idx="258">
                  <c:v>#N/A</c:v>
                </c:pt>
                <c:pt idx="259">
                  <c:v>#N/A</c:v>
                </c:pt>
                <c:pt idx="260">
                  <c:v>#N/A</c:v>
                </c:pt>
                <c:pt idx="261">
                  <c:v>#N/A</c:v>
                </c:pt>
                <c:pt idx="262">
                  <c:v>#N/A</c:v>
                </c:pt>
                <c:pt idx="263">
                  <c:v>#N/A</c:v>
                </c:pt>
                <c:pt idx="264">
                  <c:v>#N/A</c:v>
                </c:pt>
                <c:pt idx="265">
                  <c:v>#N/A</c:v>
                </c:pt>
                <c:pt idx="266">
                  <c:v>#N/A</c:v>
                </c:pt>
                <c:pt idx="267">
                  <c:v>#N/A</c:v>
                </c:pt>
                <c:pt idx="268">
                  <c:v>#N/A</c:v>
                </c:pt>
                <c:pt idx="269">
                  <c:v>#N/A</c:v>
                </c:pt>
                <c:pt idx="270">
                  <c:v>#N/A</c:v>
                </c:pt>
                <c:pt idx="271">
                  <c:v>#N/A</c:v>
                </c:pt>
                <c:pt idx="272">
                  <c:v>#N/A</c:v>
                </c:pt>
                <c:pt idx="273">
                  <c:v>#N/A</c:v>
                </c:pt>
                <c:pt idx="274">
                  <c:v>#N/A</c:v>
                </c:pt>
                <c:pt idx="275">
                  <c:v>#N/A</c:v>
                </c:pt>
                <c:pt idx="276">
                  <c:v>#N/A</c:v>
                </c:pt>
                <c:pt idx="277">
                  <c:v>#N/A</c:v>
                </c:pt>
                <c:pt idx="278">
                  <c:v>#N/A</c:v>
                </c:pt>
                <c:pt idx="279">
                  <c:v>#N/A</c:v>
                </c:pt>
                <c:pt idx="280">
                  <c:v>#N/A</c:v>
                </c:pt>
                <c:pt idx="281">
                  <c:v>#N/A</c:v>
                </c:pt>
                <c:pt idx="282">
                  <c:v>#N/A</c:v>
                </c:pt>
                <c:pt idx="283">
                  <c:v>#N/A</c:v>
                </c:pt>
                <c:pt idx="284">
                  <c:v>#N/A</c:v>
                </c:pt>
                <c:pt idx="285">
                  <c:v>#N/A</c:v>
                </c:pt>
                <c:pt idx="286">
                  <c:v>#N/A</c:v>
                </c:pt>
                <c:pt idx="287">
                  <c:v>#N/A</c:v>
                </c:pt>
                <c:pt idx="288">
                  <c:v>#N/A</c:v>
                </c:pt>
                <c:pt idx="289">
                  <c:v>#N/A</c:v>
                </c:pt>
                <c:pt idx="290">
                  <c:v>#N/A</c:v>
                </c:pt>
                <c:pt idx="291">
                  <c:v>#N/A</c:v>
                </c:pt>
                <c:pt idx="292">
                  <c:v>#N/A</c:v>
                </c:pt>
                <c:pt idx="293">
                  <c:v>#N/A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day_控件!$Q$1</c:f>
              <c:strCache>
                <c:ptCount val="1"/>
                <c:pt idx="0">
                  <c:v>Buybox率 </c:v>
                </c:pt>
              </c:strCache>
            </c:strRef>
          </c:tx>
          <c:spPr>
            <a:ln w="31750" cap="rnd">
              <a:solidFill>
                <a:srgbClr val="69A2AB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rgbClr val="FEF1E0"/>
              </a:solidFill>
              <a:ln w="19050">
                <a:solidFill>
                  <a:srgbClr val="69A2AB"/>
                </a:solidFill>
              </a:ln>
              <a:effectLst/>
            </c:spPr>
          </c:marker>
          <c:dLbls>
            <c:delete val="1"/>
          </c:dLbls>
          <c:cat>
            <c:strRef>
              <c:f>day_控件!$L$2:$L$295</c:f>
              <c:strCache>
                <c:ptCount val="294"/>
                <c:pt idx="0" c:formatCode="yyyy/m/d">
                  <c:v>2018/10/1</c:v>
                </c:pt>
                <c:pt idx="1" c:formatCode="yyyy/m/d">
                  <c:v>2018/10/2</c:v>
                </c:pt>
                <c:pt idx="2" c:formatCode="yyyy/m/d">
                  <c:v>2018/10/3</c:v>
                </c:pt>
                <c:pt idx="3" c:formatCode="yyyy/m/d">
                  <c:v>2018/10/4</c:v>
                </c:pt>
                <c:pt idx="4" c:formatCode="yyyy/m/d">
                  <c:v>2018/10/5</c:v>
                </c:pt>
                <c:pt idx="5" c:formatCode="yyyy/m/d">
                  <c:v>2018/10/6</c:v>
                </c:pt>
                <c:pt idx="6" c:formatCode="yyyy/m/d">
                  <c:v>2018/10/7</c:v>
                </c:pt>
                <c:pt idx="7" c:formatCode="yyyy/m/d">
                  <c:v>2018/10/8</c:v>
                </c:pt>
                <c:pt idx="8" c:formatCode="yyyy/m/d">
                  <c:v>2018/10/9</c:v>
                </c:pt>
                <c:pt idx="9" c:formatCode="yyyy/m/d">
                  <c:v>2018/10/10</c:v>
                </c:pt>
                <c:pt idx="10" c:formatCode="yyyy/m/d">
                  <c:v>2018/10/11</c:v>
                </c:pt>
                <c:pt idx="11" c:formatCode="yyyy/m/d">
                  <c:v>2018/10/12</c:v>
                </c:pt>
                <c:pt idx="12" c:formatCode="yyyy/m/d">
                  <c:v>2018/10/13</c:v>
                </c:pt>
                <c:pt idx="13" c:formatCode="yyyy/m/d">
                  <c:v>2018/10/14</c:v>
                </c:pt>
                <c:pt idx="14" c:formatCode="yyyy/m/d">
                  <c:v>2018/10/15</c:v>
                </c:pt>
                <c:pt idx="15" c:formatCode="yyyy/m/d">
                  <c:v>2018/10/16</c:v>
                </c:pt>
                <c:pt idx="16" c:formatCode="yyyy/m/d">
                  <c:v>2018/10/17</c:v>
                </c:pt>
                <c:pt idx="17" c:formatCode="yyyy/m/d">
                  <c:v>2018/10/18</c:v>
                </c:pt>
                <c:pt idx="18" c:formatCode="yyyy/m/d">
                  <c:v>2018/10/19</c:v>
                </c:pt>
                <c:pt idx="19" c:formatCode="yyyy/m/d">
                  <c:v>2018/10/20</c:v>
                </c:pt>
                <c:pt idx="20" c:formatCode="yyyy/m/d">
                  <c:v>2018/10/21</c:v>
                </c:pt>
                <c:pt idx="21" c:formatCode="yyyy/m/d">
                  <c:v>2018/10/22</c:v>
                </c:pt>
                <c:pt idx="22" c:formatCode="yyyy/m/d">
                  <c:v>2018/10/23</c:v>
                </c:pt>
                <c:pt idx="23" c:formatCode="yyyy/m/d">
                  <c:v>2018/10/24</c:v>
                </c:pt>
                <c:pt idx="24" c:formatCode="yyyy/m/d">
                  <c:v>2018/10/25</c:v>
                </c:pt>
                <c:pt idx="25" c:formatCode="yyyy/m/d">
                  <c:v>2018/10/26</c:v>
                </c:pt>
                <c:pt idx="26" c:formatCode="yyyy/m/d">
                  <c:v>2018/10/27</c:v>
                </c:pt>
                <c:pt idx="27" c:formatCode="yyyy/m/d">
                  <c:v>2018/10/28</c:v>
                </c:pt>
                <c:pt idx="28" c:formatCode="yyyy/m/d">
                  <c:v>2018/10/29</c:v>
                </c:pt>
                <c:pt idx="29" c:formatCode="yyyy/m/d">
                  <c:v>2018/10/30</c:v>
                </c:pt>
                <c:pt idx="30" c:formatCode="yyyy/m/d">
                  <c:v>2018/10/31</c:v>
                </c:pt>
                <c:pt idx="31" c:formatCode="yyyy/m/d">
                  <c:v>2018/11/1</c:v>
                </c:pt>
                <c:pt idx="32" c:formatCode="yyyy/m/d">
                  <c:v>2018/11/2</c:v>
                </c:pt>
                <c:pt idx="33" c:formatCode="yyyy/m/d">
                  <c:v>2018/11/3</c:v>
                </c:pt>
                <c:pt idx="34" c:formatCode="yyyy/m/d">
                  <c:v>2018/11/4</c:v>
                </c:pt>
                <c:pt idx="35" c:formatCode="yyyy/m/d">
                  <c:v>2018/11/5</c:v>
                </c:pt>
                <c:pt idx="36" c:formatCode="yyyy/m/d">
                  <c:v>2018/11/6</c:v>
                </c:pt>
                <c:pt idx="37" c:formatCode="yyyy/m/d">
                  <c:v>2018/11/7</c:v>
                </c:pt>
                <c:pt idx="38" c:formatCode="yyyy/m/d">
                  <c:v>2018/11/8</c:v>
                </c:pt>
                <c:pt idx="39" c:formatCode="yyyy/m/d">
                  <c:v>2018/11/9</c:v>
                </c:pt>
                <c:pt idx="40" c:formatCode="yyyy/m/d">
                  <c:v>2018/11/10</c:v>
                </c:pt>
                <c:pt idx="41" c:formatCode="yyyy/m/d">
                  <c:v>2018/11/11</c:v>
                </c:pt>
                <c:pt idx="42" c:formatCode="yyyy/m/d">
                  <c:v>2018/11/12</c:v>
                </c:pt>
                <c:pt idx="43" c:formatCode="yyyy/m/d">
                  <c:v>2018/11/13</c:v>
                </c:pt>
                <c:pt idx="44" c:formatCode="yyyy/m/d">
                  <c:v>2018/11/14</c:v>
                </c:pt>
                <c:pt idx="45" c:formatCode="yyyy/m/d">
                  <c:v>2018/11/15</c:v>
                </c:pt>
                <c:pt idx="46" c:formatCode="yyyy/m/d">
                  <c:v>2018/11/16</c:v>
                </c:pt>
                <c:pt idx="47" c:formatCode="yyyy/m/d">
                  <c:v>2018/11/17</c:v>
                </c:pt>
                <c:pt idx="48" c:formatCode="yyyy/m/d">
                  <c:v>2018/11/18</c:v>
                </c:pt>
                <c:pt idx="49" c:formatCode="yyyy/m/d">
                  <c:v>2018/11/19</c:v>
                </c:pt>
                <c:pt idx="50" c:formatCode="yyyy/m/d">
                  <c:v>2018/11/20</c:v>
                </c:pt>
                <c:pt idx="51" c:formatCode="yyyy/m/d">
                  <c:v>2018/11/21</c:v>
                </c:pt>
                <c:pt idx="52" c:formatCode="yyyy/m/d">
                  <c:v>2018/11/22</c:v>
                </c:pt>
                <c:pt idx="53" c:formatCode="yyyy/m/d">
                  <c:v>2018/11/23</c:v>
                </c:pt>
                <c:pt idx="54" c:formatCode="yyyy/m/d">
                  <c:v>2018/11/24</c:v>
                </c:pt>
                <c:pt idx="55" c:formatCode="yyyy/m/d">
                  <c:v>2018/11/25</c:v>
                </c:pt>
                <c:pt idx="56" c:formatCode="yyyy/m/d">
                  <c:v>2018/11/26</c:v>
                </c:pt>
                <c:pt idx="57" c:formatCode="yyyy/m/d">
                  <c:v>2018/11/27</c:v>
                </c:pt>
                <c:pt idx="58" c:formatCode="yyyy/m/d">
                  <c:v>2018/11/28</c:v>
                </c:pt>
                <c:pt idx="59" c:formatCode="yyyy/m/d">
                  <c:v>2018/11/29</c:v>
                </c:pt>
                <c:pt idx="60" c:formatCode="yyyy/m/d">
                  <c:v>2018/11/30</c:v>
                </c:pt>
                <c:pt idx="61" c:formatCode="yyyy/m/d">
                  <c:v>2018/12/1</c:v>
                </c:pt>
                <c:pt idx="62" c:formatCode="yyyy/m/d">
                  <c:v>2018/12/2</c:v>
                </c:pt>
                <c:pt idx="63" c:formatCode="yyyy/m/d">
                  <c:v>2018/12/3</c:v>
                </c:pt>
                <c:pt idx="64" c:formatCode="yyyy/m/d">
                  <c:v>2018/12/4</c:v>
                </c:pt>
                <c:pt idx="65" c:formatCode="yyyy/m/d">
                  <c:v>2018/12/5</c:v>
                </c:pt>
                <c:pt idx="66" c:formatCode="yyyy/m/d">
                  <c:v>2018/12/6</c:v>
                </c:pt>
                <c:pt idx="67" c:formatCode="yyyy/m/d">
                  <c:v/>
                </c:pt>
                <c:pt idx="68" c:formatCode="yyyy/m/d">
                  <c:v/>
                </c:pt>
                <c:pt idx="69" c:formatCode="yyyy/m/d">
                  <c:v/>
                </c:pt>
                <c:pt idx="70" c:formatCode="yyyy/m/d">
                  <c:v/>
                </c:pt>
                <c:pt idx="71" c:formatCode="yyyy/m/d">
                  <c:v/>
                </c:pt>
                <c:pt idx="72" c:formatCode="yyyy/m/d">
                  <c:v/>
                </c:pt>
                <c:pt idx="73" c:formatCode="yyyy/m/d">
                  <c:v/>
                </c:pt>
                <c:pt idx="74" c:formatCode="yyyy/m/d">
                  <c:v/>
                </c:pt>
                <c:pt idx="75" c:formatCode="yyyy/m/d">
                  <c:v/>
                </c:pt>
                <c:pt idx="76" c:formatCode="yyyy/m/d">
                  <c:v/>
                </c:pt>
                <c:pt idx="77" c:formatCode="yyyy/m/d">
                  <c:v/>
                </c:pt>
                <c:pt idx="78" c:formatCode="yyyy/m/d">
                  <c:v/>
                </c:pt>
                <c:pt idx="79" c:formatCode="yyyy/m/d">
                  <c:v/>
                </c:pt>
                <c:pt idx="80" c:formatCode="yyyy/m/d">
                  <c:v/>
                </c:pt>
                <c:pt idx="81" c:formatCode="yyyy/m/d">
                  <c:v/>
                </c:pt>
                <c:pt idx="82" c:formatCode="yyyy/m/d">
                  <c:v/>
                </c:pt>
                <c:pt idx="83" c:formatCode="yyyy/m/d">
                  <c:v/>
                </c:pt>
                <c:pt idx="84" c:formatCode="yyyy/m/d">
                  <c:v/>
                </c:pt>
                <c:pt idx="85" c:formatCode="yyyy/m/d">
                  <c:v/>
                </c:pt>
                <c:pt idx="86" c:formatCode="yyyy/m/d">
                  <c:v/>
                </c:pt>
                <c:pt idx="87" c:formatCode="yyyy/m/d">
                  <c:v/>
                </c:pt>
                <c:pt idx="88" c:formatCode="yyyy/m/d">
                  <c:v/>
                </c:pt>
                <c:pt idx="89" c:formatCode="yyyy/m/d">
                  <c:v/>
                </c:pt>
                <c:pt idx="90" c:formatCode="yyyy/m/d">
                  <c:v/>
                </c:pt>
                <c:pt idx="91" c:formatCode="yyyy/m/d">
                  <c:v/>
                </c:pt>
                <c:pt idx="92" c:formatCode="yyyy/m/d">
                  <c:v/>
                </c:pt>
                <c:pt idx="93" c:formatCode="yyyy/m/d">
                  <c:v/>
                </c:pt>
                <c:pt idx="94" c:formatCode="yyyy/m/d">
                  <c:v/>
                </c:pt>
                <c:pt idx="95" c:formatCode="yyyy/m/d">
                  <c:v/>
                </c:pt>
                <c:pt idx="96" c:formatCode="yyyy/m/d">
                  <c:v/>
                </c:pt>
                <c:pt idx="97" c:formatCode="yyyy/m/d">
                  <c:v/>
                </c:pt>
                <c:pt idx="98" c:formatCode="yyyy/m/d">
                  <c:v/>
                </c:pt>
                <c:pt idx="99" c:formatCode="yyyy/m/d">
                  <c:v/>
                </c:pt>
                <c:pt idx="100" c:formatCode="yyyy/m/d">
                  <c:v/>
                </c:pt>
                <c:pt idx="101" c:formatCode="yyyy/m/d">
                  <c:v/>
                </c:pt>
                <c:pt idx="102" c:formatCode="yyyy/m/d">
                  <c:v/>
                </c:pt>
                <c:pt idx="103" c:formatCode="yyyy/m/d">
                  <c:v/>
                </c:pt>
                <c:pt idx="104" c:formatCode="yyyy/m/d">
                  <c:v/>
                </c:pt>
                <c:pt idx="105" c:formatCode="yyyy/m/d">
                  <c:v/>
                </c:pt>
                <c:pt idx="106" c:formatCode="yyyy/m/d">
                  <c:v/>
                </c:pt>
                <c:pt idx="107" c:formatCode="yyyy/m/d">
                  <c:v/>
                </c:pt>
                <c:pt idx="108" c:formatCode="yyyy/m/d">
                  <c:v/>
                </c:pt>
                <c:pt idx="109" c:formatCode="yyyy/m/d">
                  <c:v/>
                </c:pt>
                <c:pt idx="110" c:formatCode="yyyy/m/d">
                  <c:v/>
                </c:pt>
                <c:pt idx="111" c:formatCode="yyyy/m/d">
                  <c:v/>
                </c:pt>
                <c:pt idx="112" c:formatCode="yyyy/m/d">
                  <c:v/>
                </c:pt>
                <c:pt idx="113" c:formatCode="yyyy/m/d">
                  <c:v/>
                </c:pt>
                <c:pt idx="114" c:formatCode="yyyy/m/d">
                  <c:v/>
                </c:pt>
                <c:pt idx="115" c:formatCode="yyyy/m/d">
                  <c:v/>
                </c:pt>
                <c:pt idx="116" c:formatCode="yyyy/m/d">
                  <c:v/>
                </c:pt>
                <c:pt idx="117" c:formatCode="yyyy/m/d">
                  <c:v/>
                </c:pt>
                <c:pt idx="118" c:formatCode="yyyy/m/d">
                  <c:v/>
                </c:pt>
                <c:pt idx="119" c:formatCode="yyyy/m/d">
                  <c:v/>
                </c:pt>
                <c:pt idx="120" c:formatCode="yyyy/m/d">
                  <c:v/>
                </c:pt>
                <c:pt idx="121" c:formatCode="yyyy/m/d">
                  <c:v/>
                </c:pt>
                <c:pt idx="122" c:formatCode="yyyy/m/d">
                  <c:v/>
                </c:pt>
                <c:pt idx="123" c:formatCode="yyyy/m/d">
                  <c:v/>
                </c:pt>
                <c:pt idx="124" c:formatCode="yyyy/m/d">
                  <c:v/>
                </c:pt>
                <c:pt idx="125" c:formatCode="yyyy/m/d">
                  <c:v/>
                </c:pt>
                <c:pt idx="126" c:formatCode="yyyy/m/d">
                  <c:v/>
                </c:pt>
                <c:pt idx="127" c:formatCode="yyyy/m/d">
                  <c:v/>
                </c:pt>
                <c:pt idx="128" c:formatCode="yyyy/m/d">
                  <c:v/>
                </c:pt>
                <c:pt idx="129" c:formatCode="yyyy/m/d">
                  <c:v/>
                </c:pt>
                <c:pt idx="130" c:formatCode="yyyy/m/d">
                  <c:v/>
                </c:pt>
                <c:pt idx="131" c:formatCode="yyyy/m/d">
                  <c:v/>
                </c:pt>
                <c:pt idx="132" c:formatCode="yyyy/m/d">
                  <c:v/>
                </c:pt>
                <c:pt idx="133" c:formatCode="yyyy/m/d">
                  <c:v/>
                </c:pt>
                <c:pt idx="134" c:formatCode="yyyy/m/d">
                  <c:v/>
                </c:pt>
                <c:pt idx="135" c:formatCode="yyyy/m/d">
                  <c:v/>
                </c:pt>
                <c:pt idx="136" c:formatCode="yyyy/m/d">
                  <c:v/>
                </c:pt>
                <c:pt idx="137" c:formatCode="yyyy/m/d">
                  <c:v/>
                </c:pt>
                <c:pt idx="138" c:formatCode="yyyy/m/d">
                  <c:v/>
                </c:pt>
                <c:pt idx="139" c:formatCode="yyyy/m/d">
                  <c:v/>
                </c:pt>
                <c:pt idx="140" c:formatCode="yyyy/m/d">
                  <c:v/>
                </c:pt>
                <c:pt idx="141" c:formatCode="yyyy/m/d">
                  <c:v/>
                </c:pt>
                <c:pt idx="142" c:formatCode="yyyy/m/d">
                  <c:v/>
                </c:pt>
                <c:pt idx="143" c:formatCode="yyyy/m/d">
                  <c:v/>
                </c:pt>
                <c:pt idx="144" c:formatCode="yyyy/m/d">
                  <c:v/>
                </c:pt>
                <c:pt idx="145" c:formatCode="yyyy/m/d">
                  <c:v/>
                </c:pt>
                <c:pt idx="146" c:formatCode="yyyy/m/d">
                  <c:v/>
                </c:pt>
                <c:pt idx="147" c:formatCode="yyyy/m/d">
                  <c:v/>
                </c:pt>
                <c:pt idx="148" c:formatCode="yyyy/m/d">
                  <c:v/>
                </c:pt>
                <c:pt idx="149" c:formatCode="yyyy/m/d">
                  <c:v/>
                </c:pt>
                <c:pt idx="150" c:formatCode="yyyy/m/d">
                  <c:v/>
                </c:pt>
                <c:pt idx="151" c:formatCode="yyyy/m/d">
                  <c:v/>
                </c:pt>
                <c:pt idx="152" c:formatCode="yyyy/m/d">
                  <c:v/>
                </c:pt>
                <c:pt idx="153" c:formatCode="yyyy/m/d">
                  <c:v/>
                </c:pt>
                <c:pt idx="154" c:formatCode="yyyy/m/d">
                  <c:v/>
                </c:pt>
                <c:pt idx="155" c:formatCode="yyyy/m/d">
                  <c:v/>
                </c:pt>
                <c:pt idx="156" c:formatCode="yyyy/m/d">
                  <c:v/>
                </c:pt>
                <c:pt idx="157" c:formatCode="yyyy/m/d">
                  <c:v/>
                </c:pt>
                <c:pt idx="158" c:formatCode="yyyy/m/d">
                  <c:v/>
                </c:pt>
                <c:pt idx="159" c:formatCode="yyyy/m/d">
                  <c:v/>
                </c:pt>
                <c:pt idx="160" c:formatCode="yyyy/m/d">
                  <c:v/>
                </c:pt>
                <c:pt idx="161" c:formatCode="yyyy/m/d">
                  <c:v/>
                </c:pt>
                <c:pt idx="162" c:formatCode="yyyy/m/d">
                  <c:v/>
                </c:pt>
                <c:pt idx="163" c:formatCode="yyyy/m/d">
                  <c:v/>
                </c:pt>
                <c:pt idx="164" c:formatCode="yyyy/m/d">
                  <c:v/>
                </c:pt>
                <c:pt idx="165" c:formatCode="yyyy/m/d">
                  <c:v/>
                </c:pt>
                <c:pt idx="166" c:formatCode="yyyy/m/d">
                  <c:v/>
                </c:pt>
                <c:pt idx="167" c:formatCode="yyyy/m/d">
                  <c:v/>
                </c:pt>
                <c:pt idx="168" c:formatCode="yyyy/m/d">
                  <c:v/>
                </c:pt>
                <c:pt idx="169" c:formatCode="yyyy/m/d">
                  <c:v/>
                </c:pt>
                <c:pt idx="170" c:formatCode="yyyy/m/d">
                  <c:v/>
                </c:pt>
                <c:pt idx="171" c:formatCode="yyyy/m/d">
                  <c:v/>
                </c:pt>
                <c:pt idx="172" c:formatCode="yyyy/m/d">
                  <c:v/>
                </c:pt>
                <c:pt idx="173" c:formatCode="yyyy/m/d">
                  <c:v/>
                </c:pt>
                <c:pt idx="174" c:formatCode="yyyy/m/d">
                  <c:v/>
                </c:pt>
                <c:pt idx="175" c:formatCode="yyyy/m/d">
                  <c:v/>
                </c:pt>
                <c:pt idx="176" c:formatCode="yyyy/m/d">
                  <c:v/>
                </c:pt>
                <c:pt idx="177" c:formatCode="yyyy/m/d">
                  <c:v/>
                </c:pt>
                <c:pt idx="178" c:formatCode="yyyy/m/d">
                  <c:v/>
                </c:pt>
                <c:pt idx="179" c:formatCode="yyyy/m/d">
                  <c:v/>
                </c:pt>
                <c:pt idx="180" c:formatCode="yyyy/m/d">
                  <c:v/>
                </c:pt>
                <c:pt idx="181" c:formatCode="yyyy/m/d">
                  <c:v/>
                </c:pt>
                <c:pt idx="182" c:formatCode="yyyy/m/d">
                  <c:v/>
                </c:pt>
                <c:pt idx="183" c:formatCode="yyyy/m/d">
                  <c:v/>
                </c:pt>
                <c:pt idx="184" c:formatCode="yyyy/m/d">
                  <c:v/>
                </c:pt>
                <c:pt idx="185" c:formatCode="yyyy/m/d">
                  <c:v/>
                </c:pt>
                <c:pt idx="186" c:formatCode="yyyy/m/d">
                  <c:v/>
                </c:pt>
                <c:pt idx="187" c:formatCode="yyyy/m/d">
                  <c:v/>
                </c:pt>
                <c:pt idx="188" c:formatCode="yyyy/m/d">
                  <c:v/>
                </c:pt>
                <c:pt idx="189" c:formatCode="yyyy/m/d">
                  <c:v/>
                </c:pt>
                <c:pt idx="190" c:formatCode="yyyy/m/d">
                  <c:v/>
                </c:pt>
                <c:pt idx="191" c:formatCode="yyyy/m/d">
                  <c:v/>
                </c:pt>
                <c:pt idx="192" c:formatCode="yyyy/m/d">
                  <c:v/>
                </c:pt>
                <c:pt idx="193" c:formatCode="yyyy/m/d">
                  <c:v/>
                </c:pt>
                <c:pt idx="194" c:formatCode="yyyy/m/d">
                  <c:v/>
                </c:pt>
                <c:pt idx="195" c:formatCode="yyyy/m/d">
                  <c:v/>
                </c:pt>
                <c:pt idx="196" c:formatCode="yyyy/m/d">
                  <c:v/>
                </c:pt>
                <c:pt idx="197" c:formatCode="yyyy/m/d">
                  <c:v/>
                </c:pt>
                <c:pt idx="198" c:formatCode="yyyy/m/d">
                  <c:v/>
                </c:pt>
                <c:pt idx="199" c:formatCode="yyyy/m/d">
                  <c:v/>
                </c:pt>
                <c:pt idx="200" c:formatCode="yyyy/m/d">
                  <c:v/>
                </c:pt>
                <c:pt idx="201" c:formatCode="yyyy/m/d">
                  <c:v/>
                </c:pt>
                <c:pt idx="202" c:formatCode="yyyy/m/d">
                  <c:v/>
                </c:pt>
                <c:pt idx="203" c:formatCode="yyyy/m/d">
                  <c:v/>
                </c:pt>
                <c:pt idx="204" c:formatCode="yyyy/m/d">
                  <c:v/>
                </c:pt>
                <c:pt idx="205" c:formatCode="yyyy/m/d">
                  <c:v/>
                </c:pt>
                <c:pt idx="206" c:formatCode="yyyy/m/d">
                  <c:v/>
                </c:pt>
                <c:pt idx="207" c:formatCode="yyyy/m/d">
                  <c:v/>
                </c:pt>
                <c:pt idx="208" c:formatCode="yyyy/m/d">
                  <c:v/>
                </c:pt>
                <c:pt idx="209" c:formatCode="yyyy/m/d">
                  <c:v/>
                </c:pt>
                <c:pt idx="210" c:formatCode="yyyy/m/d">
                  <c:v/>
                </c:pt>
                <c:pt idx="211" c:formatCode="yyyy/m/d">
                  <c:v/>
                </c:pt>
                <c:pt idx="212" c:formatCode="yyyy/m/d">
                  <c:v/>
                </c:pt>
                <c:pt idx="213" c:formatCode="yyyy/m/d">
                  <c:v/>
                </c:pt>
                <c:pt idx="214" c:formatCode="yyyy/m/d">
                  <c:v/>
                </c:pt>
                <c:pt idx="215" c:formatCode="yyyy/m/d">
                  <c:v/>
                </c:pt>
                <c:pt idx="216" c:formatCode="yyyy/m/d">
                  <c:v/>
                </c:pt>
                <c:pt idx="217" c:formatCode="yyyy/m/d">
                  <c:v/>
                </c:pt>
                <c:pt idx="218" c:formatCode="yyyy/m/d">
                  <c:v/>
                </c:pt>
                <c:pt idx="219" c:formatCode="yyyy/m/d">
                  <c:v/>
                </c:pt>
                <c:pt idx="220" c:formatCode="yyyy/m/d">
                  <c:v/>
                </c:pt>
                <c:pt idx="221" c:formatCode="yyyy/m/d">
                  <c:v/>
                </c:pt>
                <c:pt idx="222" c:formatCode="yyyy/m/d">
                  <c:v/>
                </c:pt>
                <c:pt idx="223" c:formatCode="yyyy/m/d">
                  <c:v/>
                </c:pt>
                <c:pt idx="224" c:formatCode="yyyy/m/d">
                  <c:v/>
                </c:pt>
                <c:pt idx="225" c:formatCode="yyyy/m/d">
                  <c:v/>
                </c:pt>
                <c:pt idx="226" c:formatCode="yyyy/m/d">
                  <c:v/>
                </c:pt>
                <c:pt idx="227" c:formatCode="yyyy/m/d">
                  <c:v/>
                </c:pt>
                <c:pt idx="228" c:formatCode="yyyy/m/d">
                  <c:v/>
                </c:pt>
                <c:pt idx="229" c:formatCode="yyyy/m/d">
                  <c:v/>
                </c:pt>
                <c:pt idx="230" c:formatCode="yyyy/m/d">
                  <c:v/>
                </c:pt>
                <c:pt idx="231" c:formatCode="yyyy/m/d">
                  <c:v/>
                </c:pt>
                <c:pt idx="232" c:formatCode="yyyy/m/d">
                  <c:v/>
                </c:pt>
                <c:pt idx="233" c:formatCode="yyyy/m/d">
                  <c:v/>
                </c:pt>
                <c:pt idx="234" c:formatCode="yyyy/m/d">
                  <c:v/>
                </c:pt>
                <c:pt idx="235" c:formatCode="yyyy/m/d">
                  <c:v/>
                </c:pt>
                <c:pt idx="236" c:formatCode="yyyy/m/d">
                  <c:v/>
                </c:pt>
                <c:pt idx="237" c:formatCode="yyyy/m/d">
                  <c:v/>
                </c:pt>
                <c:pt idx="238" c:formatCode="yyyy/m/d">
                  <c:v/>
                </c:pt>
                <c:pt idx="239" c:formatCode="yyyy/m/d">
                  <c:v/>
                </c:pt>
                <c:pt idx="240" c:formatCode="yyyy/m/d">
                  <c:v/>
                </c:pt>
                <c:pt idx="241" c:formatCode="yyyy/m/d">
                  <c:v/>
                </c:pt>
                <c:pt idx="242" c:formatCode="yyyy/m/d">
                  <c:v/>
                </c:pt>
                <c:pt idx="243" c:formatCode="yyyy/m/d">
                  <c:v/>
                </c:pt>
                <c:pt idx="244" c:formatCode="yyyy/m/d">
                  <c:v/>
                </c:pt>
                <c:pt idx="245" c:formatCode="yyyy/m/d">
                  <c:v/>
                </c:pt>
                <c:pt idx="246" c:formatCode="yyyy/m/d">
                  <c:v/>
                </c:pt>
                <c:pt idx="247" c:formatCode="yyyy/m/d">
                  <c:v/>
                </c:pt>
                <c:pt idx="248" c:formatCode="yyyy/m/d">
                  <c:v/>
                </c:pt>
                <c:pt idx="249" c:formatCode="yyyy/m/d">
                  <c:v/>
                </c:pt>
                <c:pt idx="250" c:formatCode="yyyy/m/d">
                  <c:v/>
                </c:pt>
                <c:pt idx="251" c:formatCode="yyyy/m/d">
                  <c:v/>
                </c:pt>
                <c:pt idx="252" c:formatCode="yyyy/m/d">
                  <c:v/>
                </c:pt>
                <c:pt idx="253" c:formatCode="yyyy/m/d">
                  <c:v/>
                </c:pt>
                <c:pt idx="254" c:formatCode="yyyy/m/d">
                  <c:v/>
                </c:pt>
                <c:pt idx="255" c:formatCode="yyyy/m/d">
                  <c:v/>
                </c:pt>
                <c:pt idx="256" c:formatCode="yyyy/m/d">
                  <c:v/>
                </c:pt>
                <c:pt idx="257" c:formatCode="yyyy/m/d">
                  <c:v/>
                </c:pt>
                <c:pt idx="258" c:formatCode="yyyy/m/d">
                  <c:v/>
                </c:pt>
                <c:pt idx="259" c:formatCode="yyyy/m/d">
                  <c:v/>
                </c:pt>
                <c:pt idx="260" c:formatCode="yyyy/m/d">
                  <c:v/>
                </c:pt>
                <c:pt idx="261" c:formatCode="yyyy/m/d">
                  <c:v/>
                </c:pt>
                <c:pt idx="262" c:formatCode="yyyy/m/d">
                  <c:v/>
                </c:pt>
                <c:pt idx="263" c:formatCode="yyyy/m/d">
                  <c:v/>
                </c:pt>
                <c:pt idx="264" c:formatCode="yyyy/m/d">
                  <c:v/>
                </c:pt>
                <c:pt idx="265" c:formatCode="yyyy/m/d">
                  <c:v/>
                </c:pt>
                <c:pt idx="266" c:formatCode="yyyy/m/d">
                  <c:v/>
                </c:pt>
                <c:pt idx="267" c:formatCode="yyyy/m/d">
                  <c:v/>
                </c:pt>
                <c:pt idx="268" c:formatCode="yyyy/m/d">
                  <c:v/>
                </c:pt>
                <c:pt idx="269" c:formatCode="yyyy/m/d">
                  <c:v/>
                </c:pt>
                <c:pt idx="270" c:formatCode="yyyy/m/d">
                  <c:v/>
                </c:pt>
                <c:pt idx="271" c:formatCode="yyyy/m/d">
                  <c:v/>
                </c:pt>
                <c:pt idx="272" c:formatCode="yyyy/m/d">
                  <c:v/>
                </c:pt>
                <c:pt idx="273" c:formatCode="yyyy/m/d">
                  <c:v/>
                </c:pt>
                <c:pt idx="274" c:formatCode="yyyy/m/d">
                  <c:v/>
                </c:pt>
                <c:pt idx="275" c:formatCode="yyyy/m/d">
                  <c:v/>
                </c:pt>
                <c:pt idx="276" c:formatCode="yyyy/m/d">
                  <c:v/>
                </c:pt>
                <c:pt idx="277" c:formatCode="yyyy/m/d">
                  <c:v/>
                </c:pt>
                <c:pt idx="278" c:formatCode="yyyy/m/d">
                  <c:v/>
                </c:pt>
                <c:pt idx="279" c:formatCode="yyyy/m/d">
                  <c:v/>
                </c:pt>
                <c:pt idx="280" c:formatCode="yyyy/m/d">
                  <c:v/>
                </c:pt>
                <c:pt idx="281" c:formatCode="yyyy/m/d">
                  <c:v/>
                </c:pt>
                <c:pt idx="282" c:formatCode="yyyy/m/d">
                  <c:v/>
                </c:pt>
                <c:pt idx="283" c:formatCode="yyyy/m/d">
                  <c:v/>
                </c:pt>
                <c:pt idx="284" c:formatCode="yyyy/m/d">
                  <c:v/>
                </c:pt>
                <c:pt idx="285" c:formatCode="yyyy/m/d">
                  <c:v/>
                </c:pt>
                <c:pt idx="286" c:formatCode="yyyy/m/d">
                  <c:v/>
                </c:pt>
                <c:pt idx="287" c:formatCode="yyyy/m/d">
                  <c:v/>
                </c:pt>
                <c:pt idx="288" c:formatCode="yyyy/m/d">
                  <c:v/>
                </c:pt>
                <c:pt idx="289" c:formatCode="yyyy/m/d">
                  <c:v/>
                </c:pt>
                <c:pt idx="290" c:formatCode="yyyy/m/d">
                  <c:v/>
                </c:pt>
                <c:pt idx="291" c:formatCode="yyyy/m/d">
                  <c:v/>
                </c:pt>
                <c:pt idx="292" c:formatCode="yyyy/m/d">
                  <c:v/>
                </c:pt>
                <c:pt idx="293" c:formatCode="yyyy/m/d">
                  <c:v/>
                </c:pt>
              </c:strCache>
            </c:strRef>
          </c:cat>
          <c:val>
            <c:numRef>
              <c:f>day_控件!$Q$2:$Q$295</c:f>
              <c:numCache>
                <c:formatCode>0%</c:formatCode>
                <c:ptCount val="294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  <c:pt idx="197">
                  <c:v>#N/A</c:v>
                </c:pt>
                <c:pt idx="198">
                  <c:v>#N/A</c:v>
                </c:pt>
                <c:pt idx="199">
                  <c:v>#N/A</c:v>
                </c:pt>
                <c:pt idx="200">
                  <c:v>#N/A</c:v>
                </c:pt>
                <c:pt idx="201">
                  <c:v>#N/A</c:v>
                </c:pt>
                <c:pt idx="202">
                  <c:v>#N/A</c:v>
                </c:pt>
                <c:pt idx="203">
                  <c:v>#N/A</c:v>
                </c:pt>
                <c:pt idx="204">
                  <c:v>#N/A</c:v>
                </c:pt>
                <c:pt idx="205">
                  <c:v>#N/A</c:v>
                </c:pt>
                <c:pt idx="206">
                  <c:v>#N/A</c:v>
                </c:pt>
                <c:pt idx="207">
                  <c:v>#N/A</c:v>
                </c:pt>
                <c:pt idx="208">
                  <c:v>#N/A</c:v>
                </c:pt>
                <c:pt idx="209">
                  <c:v>#N/A</c:v>
                </c:pt>
                <c:pt idx="210">
                  <c:v>#N/A</c:v>
                </c:pt>
                <c:pt idx="211">
                  <c:v>#N/A</c:v>
                </c:pt>
                <c:pt idx="212">
                  <c:v>#N/A</c:v>
                </c:pt>
                <c:pt idx="213">
                  <c:v>#N/A</c:v>
                </c:pt>
                <c:pt idx="214">
                  <c:v>#N/A</c:v>
                </c:pt>
                <c:pt idx="215">
                  <c:v>#N/A</c:v>
                </c:pt>
                <c:pt idx="216">
                  <c:v>#N/A</c:v>
                </c:pt>
                <c:pt idx="217">
                  <c:v>#N/A</c:v>
                </c:pt>
                <c:pt idx="218">
                  <c:v>#N/A</c:v>
                </c:pt>
                <c:pt idx="219">
                  <c:v>#N/A</c:v>
                </c:pt>
                <c:pt idx="220">
                  <c:v>#N/A</c:v>
                </c:pt>
                <c:pt idx="221">
                  <c:v>#N/A</c:v>
                </c:pt>
                <c:pt idx="222">
                  <c:v>#N/A</c:v>
                </c:pt>
                <c:pt idx="223">
                  <c:v>#N/A</c:v>
                </c:pt>
                <c:pt idx="224">
                  <c:v>#N/A</c:v>
                </c:pt>
                <c:pt idx="225">
                  <c:v>#N/A</c:v>
                </c:pt>
                <c:pt idx="226">
                  <c:v>#N/A</c:v>
                </c:pt>
                <c:pt idx="227">
                  <c:v>#N/A</c:v>
                </c:pt>
                <c:pt idx="228">
                  <c:v>#N/A</c:v>
                </c:pt>
                <c:pt idx="229">
                  <c:v>#N/A</c:v>
                </c:pt>
                <c:pt idx="230">
                  <c:v>#N/A</c:v>
                </c:pt>
                <c:pt idx="231">
                  <c:v>#N/A</c:v>
                </c:pt>
                <c:pt idx="232">
                  <c:v>#N/A</c:v>
                </c:pt>
                <c:pt idx="233">
                  <c:v>#N/A</c:v>
                </c:pt>
                <c:pt idx="234">
                  <c:v>#N/A</c:v>
                </c:pt>
                <c:pt idx="235">
                  <c:v>#N/A</c:v>
                </c:pt>
                <c:pt idx="236">
                  <c:v>#N/A</c:v>
                </c:pt>
                <c:pt idx="237">
                  <c:v>#N/A</c:v>
                </c:pt>
                <c:pt idx="238">
                  <c:v>#N/A</c:v>
                </c:pt>
                <c:pt idx="239">
                  <c:v>#N/A</c:v>
                </c:pt>
                <c:pt idx="240">
                  <c:v>#N/A</c:v>
                </c:pt>
                <c:pt idx="241">
                  <c:v>#N/A</c:v>
                </c:pt>
                <c:pt idx="242">
                  <c:v>#N/A</c:v>
                </c:pt>
                <c:pt idx="243">
                  <c:v>#N/A</c:v>
                </c:pt>
                <c:pt idx="244">
                  <c:v>#N/A</c:v>
                </c:pt>
                <c:pt idx="245">
                  <c:v>#N/A</c:v>
                </c:pt>
                <c:pt idx="246">
                  <c:v>#N/A</c:v>
                </c:pt>
                <c:pt idx="247">
                  <c:v>#N/A</c:v>
                </c:pt>
                <c:pt idx="248">
                  <c:v>#N/A</c:v>
                </c:pt>
                <c:pt idx="249">
                  <c:v>#N/A</c:v>
                </c:pt>
                <c:pt idx="250">
                  <c:v>#N/A</c:v>
                </c:pt>
                <c:pt idx="251">
                  <c:v>#N/A</c:v>
                </c:pt>
                <c:pt idx="252">
                  <c:v>#N/A</c:v>
                </c:pt>
                <c:pt idx="253">
                  <c:v>#N/A</c:v>
                </c:pt>
                <c:pt idx="254">
                  <c:v>#N/A</c:v>
                </c:pt>
                <c:pt idx="255">
                  <c:v>#N/A</c:v>
                </c:pt>
                <c:pt idx="256">
                  <c:v>#N/A</c:v>
                </c:pt>
                <c:pt idx="257">
                  <c:v>#N/A</c:v>
                </c:pt>
                <c:pt idx="258">
                  <c:v>#N/A</c:v>
                </c:pt>
                <c:pt idx="259">
                  <c:v>#N/A</c:v>
                </c:pt>
                <c:pt idx="260">
                  <c:v>#N/A</c:v>
                </c:pt>
                <c:pt idx="261">
                  <c:v>#N/A</c:v>
                </c:pt>
                <c:pt idx="262">
                  <c:v>#N/A</c:v>
                </c:pt>
                <c:pt idx="263">
                  <c:v>#N/A</c:v>
                </c:pt>
                <c:pt idx="264">
                  <c:v>#N/A</c:v>
                </c:pt>
                <c:pt idx="265">
                  <c:v>#N/A</c:v>
                </c:pt>
                <c:pt idx="266">
                  <c:v>#N/A</c:v>
                </c:pt>
                <c:pt idx="267">
                  <c:v>#N/A</c:v>
                </c:pt>
                <c:pt idx="268">
                  <c:v>#N/A</c:v>
                </c:pt>
                <c:pt idx="269">
                  <c:v>#N/A</c:v>
                </c:pt>
                <c:pt idx="270">
                  <c:v>#N/A</c:v>
                </c:pt>
                <c:pt idx="271">
                  <c:v>#N/A</c:v>
                </c:pt>
                <c:pt idx="272">
                  <c:v>#N/A</c:v>
                </c:pt>
                <c:pt idx="273">
                  <c:v>#N/A</c:v>
                </c:pt>
                <c:pt idx="274">
                  <c:v>#N/A</c:v>
                </c:pt>
                <c:pt idx="275">
                  <c:v>#N/A</c:v>
                </c:pt>
                <c:pt idx="276">
                  <c:v>#N/A</c:v>
                </c:pt>
                <c:pt idx="277">
                  <c:v>#N/A</c:v>
                </c:pt>
                <c:pt idx="278">
                  <c:v>#N/A</c:v>
                </c:pt>
                <c:pt idx="279">
                  <c:v>#N/A</c:v>
                </c:pt>
                <c:pt idx="280">
                  <c:v>#N/A</c:v>
                </c:pt>
                <c:pt idx="281">
                  <c:v>#N/A</c:v>
                </c:pt>
                <c:pt idx="282">
                  <c:v>#N/A</c:v>
                </c:pt>
                <c:pt idx="283">
                  <c:v>#N/A</c:v>
                </c:pt>
                <c:pt idx="284">
                  <c:v>#N/A</c:v>
                </c:pt>
                <c:pt idx="285">
                  <c:v>#N/A</c:v>
                </c:pt>
                <c:pt idx="286">
                  <c:v>#N/A</c:v>
                </c:pt>
                <c:pt idx="287">
                  <c:v>#N/A</c:v>
                </c:pt>
                <c:pt idx="288">
                  <c:v>#N/A</c:v>
                </c:pt>
                <c:pt idx="289">
                  <c:v>#N/A</c:v>
                </c:pt>
                <c:pt idx="290">
                  <c:v>#N/A</c:v>
                </c:pt>
                <c:pt idx="291">
                  <c:v>#N/A</c:v>
                </c:pt>
                <c:pt idx="292">
                  <c:v>#N/A</c:v>
                </c:pt>
                <c:pt idx="293">
                  <c:v>#N/A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day_控件!$S$1</c:f>
              <c:strCache>
                <c:ptCount val="1"/>
                <c:pt idx="0">
                  <c:v>转化率 </c:v>
                </c:pt>
              </c:strCache>
            </c:strRef>
          </c:tx>
          <c:spPr>
            <a:ln w="28575" cap="rnd">
              <a:solidFill>
                <a:srgbClr val="69A2AB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rgbClr val="FEF1E0"/>
              </a:solidFill>
              <a:ln w="15875">
                <a:solidFill>
                  <a:srgbClr val="69A2AB"/>
                </a:solidFill>
              </a:ln>
              <a:effectLst/>
            </c:spPr>
          </c:marker>
          <c:dLbls>
            <c:delete val="1"/>
          </c:dLbls>
          <c:trendline>
            <c:spPr>
              <a:ln w="19050" cap="rnd">
                <a:solidFill>
                  <a:schemeClr val="accent5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day_控件!$L$2:$L$295</c:f>
              <c:strCache>
                <c:ptCount val="294"/>
                <c:pt idx="0" c:formatCode="yyyy/m/d">
                  <c:v>2018/10/1</c:v>
                </c:pt>
                <c:pt idx="1" c:formatCode="yyyy/m/d">
                  <c:v>2018/10/2</c:v>
                </c:pt>
                <c:pt idx="2" c:formatCode="yyyy/m/d">
                  <c:v>2018/10/3</c:v>
                </c:pt>
                <c:pt idx="3" c:formatCode="yyyy/m/d">
                  <c:v>2018/10/4</c:v>
                </c:pt>
                <c:pt idx="4" c:formatCode="yyyy/m/d">
                  <c:v>2018/10/5</c:v>
                </c:pt>
                <c:pt idx="5" c:formatCode="yyyy/m/d">
                  <c:v>2018/10/6</c:v>
                </c:pt>
                <c:pt idx="6" c:formatCode="yyyy/m/d">
                  <c:v>2018/10/7</c:v>
                </c:pt>
                <c:pt idx="7" c:formatCode="yyyy/m/d">
                  <c:v>2018/10/8</c:v>
                </c:pt>
                <c:pt idx="8" c:formatCode="yyyy/m/d">
                  <c:v>2018/10/9</c:v>
                </c:pt>
                <c:pt idx="9" c:formatCode="yyyy/m/d">
                  <c:v>2018/10/10</c:v>
                </c:pt>
                <c:pt idx="10" c:formatCode="yyyy/m/d">
                  <c:v>2018/10/11</c:v>
                </c:pt>
                <c:pt idx="11" c:formatCode="yyyy/m/d">
                  <c:v>2018/10/12</c:v>
                </c:pt>
                <c:pt idx="12" c:formatCode="yyyy/m/d">
                  <c:v>2018/10/13</c:v>
                </c:pt>
                <c:pt idx="13" c:formatCode="yyyy/m/d">
                  <c:v>2018/10/14</c:v>
                </c:pt>
                <c:pt idx="14" c:formatCode="yyyy/m/d">
                  <c:v>2018/10/15</c:v>
                </c:pt>
                <c:pt idx="15" c:formatCode="yyyy/m/d">
                  <c:v>2018/10/16</c:v>
                </c:pt>
                <c:pt idx="16" c:formatCode="yyyy/m/d">
                  <c:v>2018/10/17</c:v>
                </c:pt>
                <c:pt idx="17" c:formatCode="yyyy/m/d">
                  <c:v>2018/10/18</c:v>
                </c:pt>
                <c:pt idx="18" c:formatCode="yyyy/m/d">
                  <c:v>2018/10/19</c:v>
                </c:pt>
                <c:pt idx="19" c:formatCode="yyyy/m/d">
                  <c:v>2018/10/20</c:v>
                </c:pt>
                <c:pt idx="20" c:formatCode="yyyy/m/d">
                  <c:v>2018/10/21</c:v>
                </c:pt>
                <c:pt idx="21" c:formatCode="yyyy/m/d">
                  <c:v>2018/10/22</c:v>
                </c:pt>
                <c:pt idx="22" c:formatCode="yyyy/m/d">
                  <c:v>2018/10/23</c:v>
                </c:pt>
                <c:pt idx="23" c:formatCode="yyyy/m/d">
                  <c:v>2018/10/24</c:v>
                </c:pt>
                <c:pt idx="24" c:formatCode="yyyy/m/d">
                  <c:v>2018/10/25</c:v>
                </c:pt>
                <c:pt idx="25" c:formatCode="yyyy/m/d">
                  <c:v>2018/10/26</c:v>
                </c:pt>
                <c:pt idx="26" c:formatCode="yyyy/m/d">
                  <c:v>2018/10/27</c:v>
                </c:pt>
                <c:pt idx="27" c:formatCode="yyyy/m/d">
                  <c:v>2018/10/28</c:v>
                </c:pt>
                <c:pt idx="28" c:formatCode="yyyy/m/d">
                  <c:v>2018/10/29</c:v>
                </c:pt>
                <c:pt idx="29" c:formatCode="yyyy/m/d">
                  <c:v>2018/10/30</c:v>
                </c:pt>
                <c:pt idx="30" c:formatCode="yyyy/m/d">
                  <c:v>2018/10/31</c:v>
                </c:pt>
                <c:pt idx="31" c:formatCode="yyyy/m/d">
                  <c:v>2018/11/1</c:v>
                </c:pt>
                <c:pt idx="32" c:formatCode="yyyy/m/d">
                  <c:v>2018/11/2</c:v>
                </c:pt>
                <c:pt idx="33" c:formatCode="yyyy/m/d">
                  <c:v>2018/11/3</c:v>
                </c:pt>
                <c:pt idx="34" c:formatCode="yyyy/m/d">
                  <c:v>2018/11/4</c:v>
                </c:pt>
                <c:pt idx="35" c:formatCode="yyyy/m/d">
                  <c:v>2018/11/5</c:v>
                </c:pt>
                <c:pt idx="36" c:formatCode="yyyy/m/d">
                  <c:v>2018/11/6</c:v>
                </c:pt>
                <c:pt idx="37" c:formatCode="yyyy/m/d">
                  <c:v>2018/11/7</c:v>
                </c:pt>
                <c:pt idx="38" c:formatCode="yyyy/m/d">
                  <c:v>2018/11/8</c:v>
                </c:pt>
                <c:pt idx="39" c:formatCode="yyyy/m/d">
                  <c:v>2018/11/9</c:v>
                </c:pt>
                <c:pt idx="40" c:formatCode="yyyy/m/d">
                  <c:v>2018/11/10</c:v>
                </c:pt>
                <c:pt idx="41" c:formatCode="yyyy/m/d">
                  <c:v>2018/11/11</c:v>
                </c:pt>
                <c:pt idx="42" c:formatCode="yyyy/m/d">
                  <c:v>2018/11/12</c:v>
                </c:pt>
                <c:pt idx="43" c:formatCode="yyyy/m/d">
                  <c:v>2018/11/13</c:v>
                </c:pt>
                <c:pt idx="44" c:formatCode="yyyy/m/d">
                  <c:v>2018/11/14</c:v>
                </c:pt>
                <c:pt idx="45" c:formatCode="yyyy/m/d">
                  <c:v>2018/11/15</c:v>
                </c:pt>
                <c:pt idx="46" c:formatCode="yyyy/m/d">
                  <c:v>2018/11/16</c:v>
                </c:pt>
                <c:pt idx="47" c:formatCode="yyyy/m/d">
                  <c:v>2018/11/17</c:v>
                </c:pt>
                <c:pt idx="48" c:formatCode="yyyy/m/d">
                  <c:v>2018/11/18</c:v>
                </c:pt>
                <c:pt idx="49" c:formatCode="yyyy/m/d">
                  <c:v>2018/11/19</c:v>
                </c:pt>
                <c:pt idx="50" c:formatCode="yyyy/m/d">
                  <c:v>2018/11/20</c:v>
                </c:pt>
                <c:pt idx="51" c:formatCode="yyyy/m/d">
                  <c:v>2018/11/21</c:v>
                </c:pt>
                <c:pt idx="52" c:formatCode="yyyy/m/d">
                  <c:v>2018/11/22</c:v>
                </c:pt>
                <c:pt idx="53" c:formatCode="yyyy/m/d">
                  <c:v>2018/11/23</c:v>
                </c:pt>
                <c:pt idx="54" c:formatCode="yyyy/m/d">
                  <c:v>2018/11/24</c:v>
                </c:pt>
                <c:pt idx="55" c:formatCode="yyyy/m/d">
                  <c:v>2018/11/25</c:v>
                </c:pt>
                <c:pt idx="56" c:formatCode="yyyy/m/d">
                  <c:v>2018/11/26</c:v>
                </c:pt>
                <c:pt idx="57" c:formatCode="yyyy/m/d">
                  <c:v>2018/11/27</c:v>
                </c:pt>
                <c:pt idx="58" c:formatCode="yyyy/m/d">
                  <c:v>2018/11/28</c:v>
                </c:pt>
                <c:pt idx="59" c:formatCode="yyyy/m/d">
                  <c:v>2018/11/29</c:v>
                </c:pt>
                <c:pt idx="60" c:formatCode="yyyy/m/d">
                  <c:v>2018/11/30</c:v>
                </c:pt>
                <c:pt idx="61" c:formatCode="yyyy/m/d">
                  <c:v>2018/12/1</c:v>
                </c:pt>
                <c:pt idx="62" c:formatCode="yyyy/m/d">
                  <c:v>2018/12/2</c:v>
                </c:pt>
                <c:pt idx="63" c:formatCode="yyyy/m/d">
                  <c:v>2018/12/3</c:v>
                </c:pt>
                <c:pt idx="64" c:formatCode="yyyy/m/d">
                  <c:v>2018/12/4</c:v>
                </c:pt>
                <c:pt idx="65" c:formatCode="yyyy/m/d">
                  <c:v>2018/12/5</c:v>
                </c:pt>
                <c:pt idx="66" c:formatCode="yyyy/m/d">
                  <c:v>2018/12/6</c:v>
                </c:pt>
                <c:pt idx="67" c:formatCode="yyyy/m/d">
                  <c:v/>
                </c:pt>
                <c:pt idx="68" c:formatCode="yyyy/m/d">
                  <c:v/>
                </c:pt>
                <c:pt idx="69" c:formatCode="yyyy/m/d">
                  <c:v/>
                </c:pt>
                <c:pt idx="70" c:formatCode="yyyy/m/d">
                  <c:v/>
                </c:pt>
                <c:pt idx="71" c:formatCode="yyyy/m/d">
                  <c:v/>
                </c:pt>
                <c:pt idx="72" c:formatCode="yyyy/m/d">
                  <c:v/>
                </c:pt>
                <c:pt idx="73" c:formatCode="yyyy/m/d">
                  <c:v/>
                </c:pt>
                <c:pt idx="74" c:formatCode="yyyy/m/d">
                  <c:v/>
                </c:pt>
                <c:pt idx="75" c:formatCode="yyyy/m/d">
                  <c:v/>
                </c:pt>
                <c:pt idx="76" c:formatCode="yyyy/m/d">
                  <c:v/>
                </c:pt>
                <c:pt idx="77" c:formatCode="yyyy/m/d">
                  <c:v/>
                </c:pt>
                <c:pt idx="78" c:formatCode="yyyy/m/d">
                  <c:v/>
                </c:pt>
                <c:pt idx="79" c:formatCode="yyyy/m/d">
                  <c:v/>
                </c:pt>
                <c:pt idx="80" c:formatCode="yyyy/m/d">
                  <c:v/>
                </c:pt>
                <c:pt idx="81" c:formatCode="yyyy/m/d">
                  <c:v/>
                </c:pt>
                <c:pt idx="82" c:formatCode="yyyy/m/d">
                  <c:v/>
                </c:pt>
                <c:pt idx="83" c:formatCode="yyyy/m/d">
                  <c:v/>
                </c:pt>
                <c:pt idx="84" c:formatCode="yyyy/m/d">
                  <c:v/>
                </c:pt>
                <c:pt idx="85" c:formatCode="yyyy/m/d">
                  <c:v/>
                </c:pt>
                <c:pt idx="86" c:formatCode="yyyy/m/d">
                  <c:v/>
                </c:pt>
                <c:pt idx="87" c:formatCode="yyyy/m/d">
                  <c:v/>
                </c:pt>
                <c:pt idx="88" c:formatCode="yyyy/m/d">
                  <c:v/>
                </c:pt>
                <c:pt idx="89" c:formatCode="yyyy/m/d">
                  <c:v/>
                </c:pt>
                <c:pt idx="90" c:formatCode="yyyy/m/d">
                  <c:v/>
                </c:pt>
                <c:pt idx="91" c:formatCode="yyyy/m/d">
                  <c:v/>
                </c:pt>
                <c:pt idx="92" c:formatCode="yyyy/m/d">
                  <c:v/>
                </c:pt>
                <c:pt idx="93" c:formatCode="yyyy/m/d">
                  <c:v/>
                </c:pt>
                <c:pt idx="94" c:formatCode="yyyy/m/d">
                  <c:v/>
                </c:pt>
                <c:pt idx="95" c:formatCode="yyyy/m/d">
                  <c:v/>
                </c:pt>
                <c:pt idx="96" c:formatCode="yyyy/m/d">
                  <c:v/>
                </c:pt>
                <c:pt idx="97" c:formatCode="yyyy/m/d">
                  <c:v/>
                </c:pt>
                <c:pt idx="98" c:formatCode="yyyy/m/d">
                  <c:v/>
                </c:pt>
                <c:pt idx="99" c:formatCode="yyyy/m/d">
                  <c:v/>
                </c:pt>
                <c:pt idx="100" c:formatCode="yyyy/m/d">
                  <c:v/>
                </c:pt>
                <c:pt idx="101" c:formatCode="yyyy/m/d">
                  <c:v/>
                </c:pt>
                <c:pt idx="102" c:formatCode="yyyy/m/d">
                  <c:v/>
                </c:pt>
                <c:pt idx="103" c:formatCode="yyyy/m/d">
                  <c:v/>
                </c:pt>
                <c:pt idx="104" c:formatCode="yyyy/m/d">
                  <c:v/>
                </c:pt>
                <c:pt idx="105" c:formatCode="yyyy/m/d">
                  <c:v/>
                </c:pt>
                <c:pt idx="106" c:formatCode="yyyy/m/d">
                  <c:v/>
                </c:pt>
                <c:pt idx="107" c:formatCode="yyyy/m/d">
                  <c:v/>
                </c:pt>
                <c:pt idx="108" c:formatCode="yyyy/m/d">
                  <c:v/>
                </c:pt>
                <c:pt idx="109" c:formatCode="yyyy/m/d">
                  <c:v/>
                </c:pt>
                <c:pt idx="110" c:formatCode="yyyy/m/d">
                  <c:v/>
                </c:pt>
                <c:pt idx="111" c:formatCode="yyyy/m/d">
                  <c:v/>
                </c:pt>
                <c:pt idx="112" c:formatCode="yyyy/m/d">
                  <c:v/>
                </c:pt>
                <c:pt idx="113" c:formatCode="yyyy/m/d">
                  <c:v/>
                </c:pt>
                <c:pt idx="114" c:formatCode="yyyy/m/d">
                  <c:v/>
                </c:pt>
                <c:pt idx="115" c:formatCode="yyyy/m/d">
                  <c:v/>
                </c:pt>
                <c:pt idx="116" c:formatCode="yyyy/m/d">
                  <c:v/>
                </c:pt>
                <c:pt idx="117" c:formatCode="yyyy/m/d">
                  <c:v/>
                </c:pt>
                <c:pt idx="118" c:formatCode="yyyy/m/d">
                  <c:v/>
                </c:pt>
                <c:pt idx="119" c:formatCode="yyyy/m/d">
                  <c:v/>
                </c:pt>
                <c:pt idx="120" c:formatCode="yyyy/m/d">
                  <c:v/>
                </c:pt>
                <c:pt idx="121" c:formatCode="yyyy/m/d">
                  <c:v/>
                </c:pt>
                <c:pt idx="122" c:formatCode="yyyy/m/d">
                  <c:v/>
                </c:pt>
                <c:pt idx="123" c:formatCode="yyyy/m/d">
                  <c:v/>
                </c:pt>
                <c:pt idx="124" c:formatCode="yyyy/m/d">
                  <c:v/>
                </c:pt>
                <c:pt idx="125" c:formatCode="yyyy/m/d">
                  <c:v/>
                </c:pt>
                <c:pt idx="126" c:formatCode="yyyy/m/d">
                  <c:v/>
                </c:pt>
                <c:pt idx="127" c:formatCode="yyyy/m/d">
                  <c:v/>
                </c:pt>
                <c:pt idx="128" c:formatCode="yyyy/m/d">
                  <c:v/>
                </c:pt>
                <c:pt idx="129" c:formatCode="yyyy/m/d">
                  <c:v/>
                </c:pt>
                <c:pt idx="130" c:formatCode="yyyy/m/d">
                  <c:v/>
                </c:pt>
                <c:pt idx="131" c:formatCode="yyyy/m/d">
                  <c:v/>
                </c:pt>
                <c:pt idx="132" c:formatCode="yyyy/m/d">
                  <c:v/>
                </c:pt>
                <c:pt idx="133" c:formatCode="yyyy/m/d">
                  <c:v/>
                </c:pt>
                <c:pt idx="134" c:formatCode="yyyy/m/d">
                  <c:v/>
                </c:pt>
                <c:pt idx="135" c:formatCode="yyyy/m/d">
                  <c:v/>
                </c:pt>
                <c:pt idx="136" c:formatCode="yyyy/m/d">
                  <c:v/>
                </c:pt>
                <c:pt idx="137" c:formatCode="yyyy/m/d">
                  <c:v/>
                </c:pt>
                <c:pt idx="138" c:formatCode="yyyy/m/d">
                  <c:v/>
                </c:pt>
                <c:pt idx="139" c:formatCode="yyyy/m/d">
                  <c:v/>
                </c:pt>
                <c:pt idx="140" c:formatCode="yyyy/m/d">
                  <c:v/>
                </c:pt>
                <c:pt idx="141" c:formatCode="yyyy/m/d">
                  <c:v/>
                </c:pt>
                <c:pt idx="142" c:formatCode="yyyy/m/d">
                  <c:v/>
                </c:pt>
                <c:pt idx="143" c:formatCode="yyyy/m/d">
                  <c:v/>
                </c:pt>
                <c:pt idx="144" c:formatCode="yyyy/m/d">
                  <c:v/>
                </c:pt>
                <c:pt idx="145" c:formatCode="yyyy/m/d">
                  <c:v/>
                </c:pt>
                <c:pt idx="146" c:formatCode="yyyy/m/d">
                  <c:v/>
                </c:pt>
                <c:pt idx="147" c:formatCode="yyyy/m/d">
                  <c:v/>
                </c:pt>
                <c:pt idx="148" c:formatCode="yyyy/m/d">
                  <c:v/>
                </c:pt>
                <c:pt idx="149" c:formatCode="yyyy/m/d">
                  <c:v/>
                </c:pt>
                <c:pt idx="150" c:formatCode="yyyy/m/d">
                  <c:v/>
                </c:pt>
                <c:pt idx="151" c:formatCode="yyyy/m/d">
                  <c:v/>
                </c:pt>
                <c:pt idx="152" c:formatCode="yyyy/m/d">
                  <c:v/>
                </c:pt>
                <c:pt idx="153" c:formatCode="yyyy/m/d">
                  <c:v/>
                </c:pt>
                <c:pt idx="154" c:formatCode="yyyy/m/d">
                  <c:v/>
                </c:pt>
                <c:pt idx="155" c:formatCode="yyyy/m/d">
                  <c:v/>
                </c:pt>
                <c:pt idx="156" c:formatCode="yyyy/m/d">
                  <c:v/>
                </c:pt>
                <c:pt idx="157" c:formatCode="yyyy/m/d">
                  <c:v/>
                </c:pt>
                <c:pt idx="158" c:formatCode="yyyy/m/d">
                  <c:v/>
                </c:pt>
                <c:pt idx="159" c:formatCode="yyyy/m/d">
                  <c:v/>
                </c:pt>
                <c:pt idx="160" c:formatCode="yyyy/m/d">
                  <c:v/>
                </c:pt>
                <c:pt idx="161" c:formatCode="yyyy/m/d">
                  <c:v/>
                </c:pt>
                <c:pt idx="162" c:formatCode="yyyy/m/d">
                  <c:v/>
                </c:pt>
                <c:pt idx="163" c:formatCode="yyyy/m/d">
                  <c:v/>
                </c:pt>
                <c:pt idx="164" c:formatCode="yyyy/m/d">
                  <c:v/>
                </c:pt>
                <c:pt idx="165" c:formatCode="yyyy/m/d">
                  <c:v/>
                </c:pt>
                <c:pt idx="166" c:formatCode="yyyy/m/d">
                  <c:v/>
                </c:pt>
                <c:pt idx="167" c:formatCode="yyyy/m/d">
                  <c:v/>
                </c:pt>
                <c:pt idx="168" c:formatCode="yyyy/m/d">
                  <c:v/>
                </c:pt>
                <c:pt idx="169" c:formatCode="yyyy/m/d">
                  <c:v/>
                </c:pt>
                <c:pt idx="170" c:formatCode="yyyy/m/d">
                  <c:v/>
                </c:pt>
                <c:pt idx="171" c:formatCode="yyyy/m/d">
                  <c:v/>
                </c:pt>
                <c:pt idx="172" c:formatCode="yyyy/m/d">
                  <c:v/>
                </c:pt>
                <c:pt idx="173" c:formatCode="yyyy/m/d">
                  <c:v/>
                </c:pt>
                <c:pt idx="174" c:formatCode="yyyy/m/d">
                  <c:v/>
                </c:pt>
                <c:pt idx="175" c:formatCode="yyyy/m/d">
                  <c:v/>
                </c:pt>
                <c:pt idx="176" c:formatCode="yyyy/m/d">
                  <c:v/>
                </c:pt>
                <c:pt idx="177" c:formatCode="yyyy/m/d">
                  <c:v/>
                </c:pt>
                <c:pt idx="178" c:formatCode="yyyy/m/d">
                  <c:v/>
                </c:pt>
                <c:pt idx="179" c:formatCode="yyyy/m/d">
                  <c:v/>
                </c:pt>
                <c:pt idx="180" c:formatCode="yyyy/m/d">
                  <c:v/>
                </c:pt>
                <c:pt idx="181" c:formatCode="yyyy/m/d">
                  <c:v/>
                </c:pt>
                <c:pt idx="182" c:formatCode="yyyy/m/d">
                  <c:v/>
                </c:pt>
                <c:pt idx="183" c:formatCode="yyyy/m/d">
                  <c:v/>
                </c:pt>
                <c:pt idx="184" c:formatCode="yyyy/m/d">
                  <c:v/>
                </c:pt>
                <c:pt idx="185" c:formatCode="yyyy/m/d">
                  <c:v/>
                </c:pt>
                <c:pt idx="186" c:formatCode="yyyy/m/d">
                  <c:v/>
                </c:pt>
                <c:pt idx="187" c:formatCode="yyyy/m/d">
                  <c:v/>
                </c:pt>
                <c:pt idx="188" c:formatCode="yyyy/m/d">
                  <c:v/>
                </c:pt>
                <c:pt idx="189" c:formatCode="yyyy/m/d">
                  <c:v/>
                </c:pt>
                <c:pt idx="190" c:formatCode="yyyy/m/d">
                  <c:v/>
                </c:pt>
                <c:pt idx="191" c:formatCode="yyyy/m/d">
                  <c:v/>
                </c:pt>
                <c:pt idx="192" c:formatCode="yyyy/m/d">
                  <c:v/>
                </c:pt>
                <c:pt idx="193" c:formatCode="yyyy/m/d">
                  <c:v/>
                </c:pt>
                <c:pt idx="194" c:formatCode="yyyy/m/d">
                  <c:v/>
                </c:pt>
                <c:pt idx="195" c:formatCode="yyyy/m/d">
                  <c:v/>
                </c:pt>
                <c:pt idx="196" c:formatCode="yyyy/m/d">
                  <c:v/>
                </c:pt>
                <c:pt idx="197" c:formatCode="yyyy/m/d">
                  <c:v/>
                </c:pt>
                <c:pt idx="198" c:formatCode="yyyy/m/d">
                  <c:v/>
                </c:pt>
                <c:pt idx="199" c:formatCode="yyyy/m/d">
                  <c:v/>
                </c:pt>
                <c:pt idx="200" c:formatCode="yyyy/m/d">
                  <c:v/>
                </c:pt>
                <c:pt idx="201" c:formatCode="yyyy/m/d">
                  <c:v/>
                </c:pt>
                <c:pt idx="202" c:formatCode="yyyy/m/d">
                  <c:v/>
                </c:pt>
                <c:pt idx="203" c:formatCode="yyyy/m/d">
                  <c:v/>
                </c:pt>
                <c:pt idx="204" c:formatCode="yyyy/m/d">
                  <c:v/>
                </c:pt>
                <c:pt idx="205" c:formatCode="yyyy/m/d">
                  <c:v/>
                </c:pt>
                <c:pt idx="206" c:formatCode="yyyy/m/d">
                  <c:v/>
                </c:pt>
                <c:pt idx="207" c:formatCode="yyyy/m/d">
                  <c:v/>
                </c:pt>
                <c:pt idx="208" c:formatCode="yyyy/m/d">
                  <c:v/>
                </c:pt>
                <c:pt idx="209" c:formatCode="yyyy/m/d">
                  <c:v/>
                </c:pt>
                <c:pt idx="210" c:formatCode="yyyy/m/d">
                  <c:v/>
                </c:pt>
                <c:pt idx="211" c:formatCode="yyyy/m/d">
                  <c:v/>
                </c:pt>
                <c:pt idx="212" c:formatCode="yyyy/m/d">
                  <c:v/>
                </c:pt>
                <c:pt idx="213" c:formatCode="yyyy/m/d">
                  <c:v/>
                </c:pt>
                <c:pt idx="214" c:formatCode="yyyy/m/d">
                  <c:v/>
                </c:pt>
                <c:pt idx="215" c:formatCode="yyyy/m/d">
                  <c:v/>
                </c:pt>
                <c:pt idx="216" c:formatCode="yyyy/m/d">
                  <c:v/>
                </c:pt>
                <c:pt idx="217" c:formatCode="yyyy/m/d">
                  <c:v/>
                </c:pt>
                <c:pt idx="218" c:formatCode="yyyy/m/d">
                  <c:v/>
                </c:pt>
                <c:pt idx="219" c:formatCode="yyyy/m/d">
                  <c:v/>
                </c:pt>
                <c:pt idx="220" c:formatCode="yyyy/m/d">
                  <c:v/>
                </c:pt>
                <c:pt idx="221" c:formatCode="yyyy/m/d">
                  <c:v/>
                </c:pt>
                <c:pt idx="222" c:formatCode="yyyy/m/d">
                  <c:v/>
                </c:pt>
                <c:pt idx="223" c:formatCode="yyyy/m/d">
                  <c:v/>
                </c:pt>
                <c:pt idx="224" c:formatCode="yyyy/m/d">
                  <c:v/>
                </c:pt>
                <c:pt idx="225" c:formatCode="yyyy/m/d">
                  <c:v/>
                </c:pt>
                <c:pt idx="226" c:formatCode="yyyy/m/d">
                  <c:v/>
                </c:pt>
                <c:pt idx="227" c:formatCode="yyyy/m/d">
                  <c:v/>
                </c:pt>
                <c:pt idx="228" c:formatCode="yyyy/m/d">
                  <c:v/>
                </c:pt>
                <c:pt idx="229" c:formatCode="yyyy/m/d">
                  <c:v/>
                </c:pt>
                <c:pt idx="230" c:formatCode="yyyy/m/d">
                  <c:v/>
                </c:pt>
                <c:pt idx="231" c:formatCode="yyyy/m/d">
                  <c:v/>
                </c:pt>
                <c:pt idx="232" c:formatCode="yyyy/m/d">
                  <c:v/>
                </c:pt>
                <c:pt idx="233" c:formatCode="yyyy/m/d">
                  <c:v/>
                </c:pt>
                <c:pt idx="234" c:formatCode="yyyy/m/d">
                  <c:v/>
                </c:pt>
                <c:pt idx="235" c:formatCode="yyyy/m/d">
                  <c:v/>
                </c:pt>
                <c:pt idx="236" c:formatCode="yyyy/m/d">
                  <c:v/>
                </c:pt>
                <c:pt idx="237" c:formatCode="yyyy/m/d">
                  <c:v/>
                </c:pt>
                <c:pt idx="238" c:formatCode="yyyy/m/d">
                  <c:v/>
                </c:pt>
                <c:pt idx="239" c:formatCode="yyyy/m/d">
                  <c:v/>
                </c:pt>
                <c:pt idx="240" c:formatCode="yyyy/m/d">
                  <c:v/>
                </c:pt>
                <c:pt idx="241" c:formatCode="yyyy/m/d">
                  <c:v/>
                </c:pt>
                <c:pt idx="242" c:formatCode="yyyy/m/d">
                  <c:v/>
                </c:pt>
                <c:pt idx="243" c:formatCode="yyyy/m/d">
                  <c:v/>
                </c:pt>
                <c:pt idx="244" c:formatCode="yyyy/m/d">
                  <c:v/>
                </c:pt>
                <c:pt idx="245" c:formatCode="yyyy/m/d">
                  <c:v/>
                </c:pt>
                <c:pt idx="246" c:formatCode="yyyy/m/d">
                  <c:v/>
                </c:pt>
                <c:pt idx="247" c:formatCode="yyyy/m/d">
                  <c:v/>
                </c:pt>
                <c:pt idx="248" c:formatCode="yyyy/m/d">
                  <c:v/>
                </c:pt>
                <c:pt idx="249" c:formatCode="yyyy/m/d">
                  <c:v/>
                </c:pt>
                <c:pt idx="250" c:formatCode="yyyy/m/d">
                  <c:v/>
                </c:pt>
                <c:pt idx="251" c:formatCode="yyyy/m/d">
                  <c:v/>
                </c:pt>
                <c:pt idx="252" c:formatCode="yyyy/m/d">
                  <c:v/>
                </c:pt>
                <c:pt idx="253" c:formatCode="yyyy/m/d">
                  <c:v/>
                </c:pt>
                <c:pt idx="254" c:formatCode="yyyy/m/d">
                  <c:v/>
                </c:pt>
                <c:pt idx="255" c:formatCode="yyyy/m/d">
                  <c:v/>
                </c:pt>
                <c:pt idx="256" c:formatCode="yyyy/m/d">
                  <c:v/>
                </c:pt>
                <c:pt idx="257" c:formatCode="yyyy/m/d">
                  <c:v/>
                </c:pt>
                <c:pt idx="258" c:formatCode="yyyy/m/d">
                  <c:v/>
                </c:pt>
                <c:pt idx="259" c:formatCode="yyyy/m/d">
                  <c:v/>
                </c:pt>
                <c:pt idx="260" c:formatCode="yyyy/m/d">
                  <c:v/>
                </c:pt>
                <c:pt idx="261" c:formatCode="yyyy/m/d">
                  <c:v/>
                </c:pt>
                <c:pt idx="262" c:formatCode="yyyy/m/d">
                  <c:v/>
                </c:pt>
                <c:pt idx="263" c:formatCode="yyyy/m/d">
                  <c:v/>
                </c:pt>
                <c:pt idx="264" c:formatCode="yyyy/m/d">
                  <c:v/>
                </c:pt>
                <c:pt idx="265" c:formatCode="yyyy/m/d">
                  <c:v/>
                </c:pt>
                <c:pt idx="266" c:formatCode="yyyy/m/d">
                  <c:v/>
                </c:pt>
                <c:pt idx="267" c:formatCode="yyyy/m/d">
                  <c:v/>
                </c:pt>
                <c:pt idx="268" c:formatCode="yyyy/m/d">
                  <c:v/>
                </c:pt>
                <c:pt idx="269" c:formatCode="yyyy/m/d">
                  <c:v/>
                </c:pt>
                <c:pt idx="270" c:formatCode="yyyy/m/d">
                  <c:v/>
                </c:pt>
                <c:pt idx="271" c:formatCode="yyyy/m/d">
                  <c:v/>
                </c:pt>
                <c:pt idx="272" c:formatCode="yyyy/m/d">
                  <c:v/>
                </c:pt>
                <c:pt idx="273" c:formatCode="yyyy/m/d">
                  <c:v/>
                </c:pt>
                <c:pt idx="274" c:formatCode="yyyy/m/d">
                  <c:v/>
                </c:pt>
                <c:pt idx="275" c:formatCode="yyyy/m/d">
                  <c:v/>
                </c:pt>
                <c:pt idx="276" c:formatCode="yyyy/m/d">
                  <c:v/>
                </c:pt>
                <c:pt idx="277" c:formatCode="yyyy/m/d">
                  <c:v/>
                </c:pt>
                <c:pt idx="278" c:formatCode="yyyy/m/d">
                  <c:v/>
                </c:pt>
                <c:pt idx="279" c:formatCode="yyyy/m/d">
                  <c:v/>
                </c:pt>
                <c:pt idx="280" c:formatCode="yyyy/m/d">
                  <c:v/>
                </c:pt>
                <c:pt idx="281" c:formatCode="yyyy/m/d">
                  <c:v/>
                </c:pt>
                <c:pt idx="282" c:formatCode="yyyy/m/d">
                  <c:v/>
                </c:pt>
                <c:pt idx="283" c:formatCode="yyyy/m/d">
                  <c:v/>
                </c:pt>
                <c:pt idx="284" c:formatCode="yyyy/m/d">
                  <c:v/>
                </c:pt>
                <c:pt idx="285" c:formatCode="yyyy/m/d">
                  <c:v/>
                </c:pt>
                <c:pt idx="286" c:formatCode="yyyy/m/d">
                  <c:v/>
                </c:pt>
                <c:pt idx="287" c:formatCode="yyyy/m/d">
                  <c:v/>
                </c:pt>
                <c:pt idx="288" c:formatCode="yyyy/m/d">
                  <c:v/>
                </c:pt>
                <c:pt idx="289" c:formatCode="yyyy/m/d">
                  <c:v/>
                </c:pt>
                <c:pt idx="290" c:formatCode="yyyy/m/d">
                  <c:v/>
                </c:pt>
                <c:pt idx="291" c:formatCode="yyyy/m/d">
                  <c:v/>
                </c:pt>
                <c:pt idx="292" c:formatCode="yyyy/m/d">
                  <c:v/>
                </c:pt>
                <c:pt idx="293" c:formatCode="yyyy/m/d">
                  <c:v/>
                </c:pt>
              </c:strCache>
            </c:strRef>
          </c:cat>
          <c:val>
            <c:numRef>
              <c:f>day_控件!$S$2:$S$295</c:f>
              <c:numCache>
                <c:formatCode>0.00%</c:formatCode>
                <c:ptCount val="294"/>
                <c:pt idx="0">
                  <c:v>0.0909090909090909</c:v>
                </c:pt>
                <c:pt idx="1">
                  <c:v>0.0731707317073171</c:v>
                </c:pt>
                <c:pt idx="2">
                  <c:v>0.133333333333333</c:v>
                </c:pt>
                <c:pt idx="3">
                  <c:v>0.0909090909090909</c:v>
                </c:pt>
                <c:pt idx="4">
                  <c:v>0.16</c:v>
                </c:pt>
                <c:pt idx="5">
                  <c:v>0</c:v>
                </c:pt>
                <c:pt idx="6">
                  <c:v>0.0263157894736842</c:v>
                </c:pt>
                <c:pt idx="7">
                  <c:v>0.17948717948718</c:v>
                </c:pt>
                <c:pt idx="8">
                  <c:v>0</c:v>
                </c:pt>
                <c:pt idx="9">
                  <c:v>0.0882352941176471</c:v>
                </c:pt>
                <c:pt idx="10">
                  <c:v>0.0606060606060606</c:v>
                </c:pt>
                <c:pt idx="11">
                  <c:v>0.172413793103448</c:v>
                </c:pt>
                <c:pt idx="12">
                  <c:v>0.037037037037037</c:v>
                </c:pt>
                <c:pt idx="13">
                  <c:v>0.133333333333333</c:v>
                </c:pt>
                <c:pt idx="14">
                  <c:v>0.129032258064516</c:v>
                </c:pt>
                <c:pt idx="15">
                  <c:v>0.0285714285714286</c:v>
                </c:pt>
                <c:pt idx="16">
                  <c:v>0.0857142857142857</c:v>
                </c:pt>
                <c:pt idx="17">
                  <c:v>0.0740740740740741</c:v>
                </c:pt>
                <c:pt idx="18">
                  <c:v>0.0588235294117647</c:v>
                </c:pt>
                <c:pt idx="19">
                  <c:v>0.0476190476190476</c:v>
                </c:pt>
                <c:pt idx="20">
                  <c:v>0.137931034482759</c:v>
                </c:pt>
                <c:pt idx="21">
                  <c:v>0.136363636363636</c:v>
                </c:pt>
                <c:pt idx="22">
                  <c:v>0.0384615384615385</c:v>
                </c:pt>
                <c:pt idx="23">
                  <c:v>0.0344827586206897</c:v>
                </c:pt>
                <c:pt idx="24">
                  <c:v>0.0384615384615385</c:v>
                </c:pt>
                <c:pt idx="25">
                  <c:v>0.0740740740740741</c:v>
                </c:pt>
                <c:pt idx="26">
                  <c:v>0.238095238095238</c:v>
                </c:pt>
                <c:pt idx="27">
                  <c:v>0.0476190476190476</c:v>
                </c:pt>
                <c:pt idx="28">
                  <c:v>0.0344827586206897</c:v>
                </c:pt>
                <c:pt idx="29">
                  <c:v>0.125</c:v>
                </c:pt>
                <c:pt idx="30">
                  <c:v>0.0526315789473684</c:v>
                </c:pt>
                <c:pt idx="31">
                  <c:v>0.2</c:v>
                </c:pt>
                <c:pt idx="32">
                  <c:v>0.227272727272727</c:v>
                </c:pt>
                <c:pt idx="33">
                  <c:v>0</c:v>
                </c:pt>
                <c:pt idx="34">
                  <c:v>0</c:v>
                </c:pt>
                <c:pt idx="35">
                  <c:v>0.0344827586206897</c:v>
                </c:pt>
                <c:pt idx="36">
                  <c:v>0</c:v>
                </c:pt>
                <c:pt idx="37">
                  <c:v>0.142857142857143</c:v>
                </c:pt>
                <c:pt idx="38">
                  <c:v>0.0476190476190476</c:v>
                </c:pt>
                <c:pt idx="39">
                  <c:v>0.0714285714285714</c:v>
                </c:pt>
                <c:pt idx="40">
                  <c:v>0</c:v>
                </c:pt>
                <c:pt idx="41">
                  <c:v>0.5</c:v>
                </c:pt>
                <c:pt idx="42">
                  <c:v>0</c:v>
                </c:pt>
                <c:pt idx="43">
                  <c:v>0</c:v>
                </c:pt>
                <c:pt idx="44">
                  <c:v>0.25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0.0909090909090909</c:v>
                </c:pt>
                <c:pt idx="50">
                  <c:v>0.0909090909090909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0.166666666666667</c:v>
                </c:pt>
                <c:pt idx="55">
                  <c:v>0</c:v>
                </c:pt>
                <c:pt idx="56">
                  <c:v>0.2</c:v>
                </c:pt>
                <c:pt idx="57">
                  <c:v>0.125</c:v>
                </c:pt>
                <c:pt idx="58">
                  <c:v>0</c:v>
                </c:pt>
                <c:pt idx="59">
                  <c:v>0.25</c:v>
                </c:pt>
                <c:pt idx="60">
                  <c:v>0</c:v>
                </c:pt>
                <c:pt idx="61">
                  <c:v>0</c:v>
                </c:pt>
                <c:pt idx="62">
                  <c:v>0.285714285714286</c:v>
                </c:pt>
                <c:pt idx="63">
                  <c:v>0</c:v>
                </c:pt>
                <c:pt idx="64">
                  <c:v>0.1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</c:numCache>
            </c:numRef>
          </c:val>
          <c:smooth val="0"/>
        </c:ser>
        <c:ser>
          <c:idx val="7"/>
          <c:order val="7"/>
          <c:tx>
            <c:strRef>
              <c:f>day_控件!$N$1</c:f>
              <c:strCache>
                <c:ptCount val="1"/>
                <c:pt idx="0">
                  <c:v>访客占比 </c:v>
                </c:pt>
              </c:strCache>
            </c:strRef>
          </c:tx>
          <c:spPr>
            <a:ln w="28575" cap="rnd">
              <a:solidFill>
                <a:srgbClr val="69A2AB"/>
              </a:solidFill>
              <a:prstDash val="solid"/>
              <a:round/>
            </a:ln>
            <a:effectLst/>
          </c:spPr>
          <c:marker>
            <c:symbol val="circle"/>
            <c:size val="7"/>
            <c:spPr>
              <a:solidFill>
                <a:srgbClr val="FEF1E0"/>
              </a:solidFill>
              <a:ln w="28575">
                <a:solidFill>
                  <a:srgbClr val="69A2AB"/>
                </a:solidFill>
              </a:ln>
              <a:effectLst/>
            </c:spPr>
          </c:marker>
          <c:dLbls>
            <c:delete val="1"/>
          </c:dLbls>
          <c:val>
            <c:numRef>
              <c:f>day_控件!$N$2:$N$295</c:f>
              <c:numCache>
                <c:formatCode>0.00%</c:formatCode>
                <c:ptCount val="294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  <c:pt idx="197">
                  <c:v>#N/A</c:v>
                </c:pt>
                <c:pt idx="198">
                  <c:v>#N/A</c:v>
                </c:pt>
                <c:pt idx="199">
                  <c:v>#N/A</c:v>
                </c:pt>
                <c:pt idx="200">
                  <c:v>#N/A</c:v>
                </c:pt>
                <c:pt idx="201">
                  <c:v>#N/A</c:v>
                </c:pt>
                <c:pt idx="202">
                  <c:v>#N/A</c:v>
                </c:pt>
                <c:pt idx="203">
                  <c:v>#N/A</c:v>
                </c:pt>
                <c:pt idx="204">
                  <c:v>#N/A</c:v>
                </c:pt>
                <c:pt idx="205">
                  <c:v>#N/A</c:v>
                </c:pt>
                <c:pt idx="206">
                  <c:v>#N/A</c:v>
                </c:pt>
                <c:pt idx="207">
                  <c:v>#N/A</c:v>
                </c:pt>
                <c:pt idx="208">
                  <c:v>#N/A</c:v>
                </c:pt>
                <c:pt idx="209">
                  <c:v>#N/A</c:v>
                </c:pt>
                <c:pt idx="210">
                  <c:v>#N/A</c:v>
                </c:pt>
                <c:pt idx="211">
                  <c:v>#N/A</c:v>
                </c:pt>
                <c:pt idx="212">
                  <c:v>#N/A</c:v>
                </c:pt>
                <c:pt idx="213">
                  <c:v>#N/A</c:v>
                </c:pt>
                <c:pt idx="214">
                  <c:v>#N/A</c:v>
                </c:pt>
                <c:pt idx="215">
                  <c:v>#N/A</c:v>
                </c:pt>
                <c:pt idx="216">
                  <c:v>#N/A</c:v>
                </c:pt>
                <c:pt idx="217">
                  <c:v>#N/A</c:v>
                </c:pt>
                <c:pt idx="218">
                  <c:v>#N/A</c:v>
                </c:pt>
                <c:pt idx="219">
                  <c:v>#N/A</c:v>
                </c:pt>
                <c:pt idx="220">
                  <c:v>#N/A</c:v>
                </c:pt>
                <c:pt idx="221">
                  <c:v>#N/A</c:v>
                </c:pt>
                <c:pt idx="222">
                  <c:v>#N/A</c:v>
                </c:pt>
                <c:pt idx="223">
                  <c:v>#N/A</c:v>
                </c:pt>
                <c:pt idx="224">
                  <c:v>#N/A</c:v>
                </c:pt>
                <c:pt idx="225">
                  <c:v>#N/A</c:v>
                </c:pt>
                <c:pt idx="226">
                  <c:v>#N/A</c:v>
                </c:pt>
                <c:pt idx="227">
                  <c:v>#N/A</c:v>
                </c:pt>
                <c:pt idx="228">
                  <c:v>#N/A</c:v>
                </c:pt>
                <c:pt idx="229">
                  <c:v>#N/A</c:v>
                </c:pt>
                <c:pt idx="230">
                  <c:v>#N/A</c:v>
                </c:pt>
                <c:pt idx="231">
                  <c:v>#N/A</c:v>
                </c:pt>
                <c:pt idx="232">
                  <c:v>#N/A</c:v>
                </c:pt>
                <c:pt idx="233">
                  <c:v>#N/A</c:v>
                </c:pt>
                <c:pt idx="234">
                  <c:v>#N/A</c:v>
                </c:pt>
                <c:pt idx="235">
                  <c:v>#N/A</c:v>
                </c:pt>
                <c:pt idx="236">
                  <c:v>#N/A</c:v>
                </c:pt>
                <c:pt idx="237">
                  <c:v>#N/A</c:v>
                </c:pt>
                <c:pt idx="238">
                  <c:v>#N/A</c:v>
                </c:pt>
                <c:pt idx="239">
                  <c:v>#N/A</c:v>
                </c:pt>
                <c:pt idx="240">
                  <c:v>#N/A</c:v>
                </c:pt>
                <c:pt idx="241">
                  <c:v>#N/A</c:v>
                </c:pt>
                <c:pt idx="242">
                  <c:v>#N/A</c:v>
                </c:pt>
                <c:pt idx="243">
                  <c:v>#N/A</c:v>
                </c:pt>
                <c:pt idx="244">
                  <c:v>#N/A</c:v>
                </c:pt>
                <c:pt idx="245">
                  <c:v>#N/A</c:v>
                </c:pt>
                <c:pt idx="246">
                  <c:v>#N/A</c:v>
                </c:pt>
                <c:pt idx="247">
                  <c:v>#N/A</c:v>
                </c:pt>
                <c:pt idx="248">
                  <c:v>#N/A</c:v>
                </c:pt>
                <c:pt idx="249">
                  <c:v>#N/A</c:v>
                </c:pt>
                <c:pt idx="250">
                  <c:v>#N/A</c:v>
                </c:pt>
                <c:pt idx="251">
                  <c:v>#N/A</c:v>
                </c:pt>
                <c:pt idx="252">
                  <c:v>#N/A</c:v>
                </c:pt>
                <c:pt idx="253">
                  <c:v>#N/A</c:v>
                </c:pt>
                <c:pt idx="254">
                  <c:v>#N/A</c:v>
                </c:pt>
                <c:pt idx="255">
                  <c:v>#N/A</c:v>
                </c:pt>
                <c:pt idx="256">
                  <c:v>#N/A</c:v>
                </c:pt>
                <c:pt idx="257">
                  <c:v>#N/A</c:v>
                </c:pt>
                <c:pt idx="258">
                  <c:v>#N/A</c:v>
                </c:pt>
                <c:pt idx="259">
                  <c:v>#N/A</c:v>
                </c:pt>
                <c:pt idx="260">
                  <c:v>#N/A</c:v>
                </c:pt>
                <c:pt idx="261">
                  <c:v>#N/A</c:v>
                </c:pt>
                <c:pt idx="262">
                  <c:v>#N/A</c:v>
                </c:pt>
                <c:pt idx="263">
                  <c:v>#N/A</c:v>
                </c:pt>
                <c:pt idx="264">
                  <c:v>#N/A</c:v>
                </c:pt>
                <c:pt idx="265">
                  <c:v>#N/A</c:v>
                </c:pt>
                <c:pt idx="266">
                  <c:v>#N/A</c:v>
                </c:pt>
                <c:pt idx="267">
                  <c:v>#N/A</c:v>
                </c:pt>
                <c:pt idx="268">
                  <c:v>#N/A</c:v>
                </c:pt>
                <c:pt idx="269">
                  <c:v>#N/A</c:v>
                </c:pt>
                <c:pt idx="270">
                  <c:v>#N/A</c:v>
                </c:pt>
                <c:pt idx="271">
                  <c:v>#N/A</c:v>
                </c:pt>
                <c:pt idx="272">
                  <c:v>#N/A</c:v>
                </c:pt>
                <c:pt idx="273">
                  <c:v>#N/A</c:v>
                </c:pt>
                <c:pt idx="274">
                  <c:v>#N/A</c:v>
                </c:pt>
                <c:pt idx="275">
                  <c:v>#N/A</c:v>
                </c:pt>
                <c:pt idx="276">
                  <c:v>#N/A</c:v>
                </c:pt>
                <c:pt idx="277">
                  <c:v>#N/A</c:v>
                </c:pt>
                <c:pt idx="278">
                  <c:v>#N/A</c:v>
                </c:pt>
                <c:pt idx="279">
                  <c:v>#N/A</c:v>
                </c:pt>
                <c:pt idx="280">
                  <c:v>#N/A</c:v>
                </c:pt>
                <c:pt idx="281">
                  <c:v>#N/A</c:v>
                </c:pt>
                <c:pt idx="282">
                  <c:v>#N/A</c:v>
                </c:pt>
                <c:pt idx="283">
                  <c:v>#N/A</c:v>
                </c:pt>
                <c:pt idx="284">
                  <c:v>#N/A</c:v>
                </c:pt>
                <c:pt idx="285">
                  <c:v>#N/A</c:v>
                </c:pt>
                <c:pt idx="286">
                  <c:v>#N/A</c:v>
                </c:pt>
                <c:pt idx="287">
                  <c:v>#N/A</c:v>
                </c:pt>
                <c:pt idx="288">
                  <c:v>#N/A</c:v>
                </c:pt>
                <c:pt idx="289">
                  <c:v>#N/A</c:v>
                </c:pt>
                <c:pt idx="290">
                  <c:v>#N/A</c:v>
                </c:pt>
                <c:pt idx="291">
                  <c:v>#N/A</c:v>
                </c:pt>
                <c:pt idx="292">
                  <c:v>#N/A</c:v>
                </c:pt>
                <c:pt idx="293">
                  <c:v>#N/A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07598512"/>
        <c:axId val="1107598184"/>
      </c:lineChart>
      <c:dateAx>
        <c:axId val="484458456"/>
        <c:scaling>
          <c:orientation val="minMax"/>
        </c:scaling>
        <c:delete val="0"/>
        <c:axPos val="b"/>
        <c:numFmt formatCode="yy\/m\/d;@" sourceLinked="0"/>
        <c:majorTickMark val="none"/>
        <c:minorTickMark val="none"/>
        <c:tickLblPos val="nextTo"/>
        <c:spPr>
          <a:noFill/>
          <a:ln w="12700" cap="flat" cmpd="sng" algn="ctr">
            <a:solidFill>
              <a:srgbClr val="C7BCAF"/>
            </a:solidFill>
            <a:round/>
          </a:ln>
          <a:effectLst/>
        </c:spPr>
        <c:txPr>
          <a:bodyPr rot="-5400000" spcFirstLastPara="0" vertOverflow="ellipsis" vert="horz" wrap="square" anchor="ctr" anchorCtr="0" forceAA="0"/>
          <a:lstStyle/>
          <a:p>
            <a:pPr>
              <a:defRPr lang="zh-CN" sz="11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j-lt"/>
                <a:ea typeface="宋体" panose="02010600030101010101" pitchFamily="7" charset="-122"/>
                <a:cs typeface="+mn-cs"/>
              </a:defRPr>
            </a:pPr>
          </a:p>
        </c:txPr>
        <c:crossAx val="484455320"/>
        <c:crosses val="autoZero"/>
        <c:auto val="1"/>
        <c:lblAlgn val="ctr"/>
        <c:lblOffset val="100"/>
        <c:baseTimeUnit val="days"/>
      </c:dateAx>
      <c:valAx>
        <c:axId val="48445532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84458456"/>
        <c:crosses val="autoZero"/>
        <c:crossBetween val="between"/>
      </c:valAx>
      <c:dateAx>
        <c:axId val="1107598512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107598184"/>
        <c:crosses val="autoZero"/>
        <c:auto val="1"/>
        <c:lblAlgn val="ctr"/>
        <c:lblOffset val="100"/>
        <c:baseTimeUnit val="days"/>
      </c:dateAx>
      <c:valAx>
        <c:axId val="1107598184"/>
        <c:scaling>
          <c:orientation val="minMax"/>
        </c:scaling>
        <c:delete val="0"/>
        <c:axPos val="r"/>
        <c:numFmt formatCode="0.0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107598512"/>
        <c:crosses val="max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d19d520e-e534-4914-90e4-41f0b5b8bcf0}"/>
      </c:ext>
    </c:extLst>
  </c:chart>
  <c:spPr>
    <a:solidFill>
      <a:schemeClr val="bg2"/>
    </a:solidFill>
    <a:ln w="9525" cap="flat" cmpd="sng" algn="ctr">
      <a:noFill/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09716816211927"/>
          <c:y val="0.0252873563218391"/>
          <c:w val="0.838034670084844"/>
          <c:h val="0.813496244003982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week_data!$R$1</c:f>
              <c:strCache>
                <c:ptCount val="1"/>
                <c:pt idx="0">
                  <c:v>周:访客量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zh-CN" sz="1400" b="0" i="0" u="none" strike="noStrike" kern="1200" baseline="0">
                    <a:solidFill>
                      <a:schemeClr val="tx1">
                        <a:lumMod val="95000"/>
                        <a:lumOff val="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[0]!week_list</c:f>
              <c:strCache>
                <c:ptCount val="17"/>
                <c:pt idx="0">
                  <c:v>2018-5-28 - 2018-6-3</c:v>
                </c:pt>
                <c:pt idx="1">
                  <c:v>2018-6-11 - 2018-6-17</c:v>
                </c:pt>
                <c:pt idx="2">
                  <c:v>2018-6-18 - 2018-6-24</c:v>
                </c:pt>
                <c:pt idx="3">
                  <c:v>2018-6-25 - 2018-7-1</c:v>
                </c:pt>
                <c:pt idx="4">
                  <c:v>2018-10-1 - 2018-10-7</c:v>
                </c:pt>
                <c:pt idx="5">
                  <c:v>2018-10-8 - 2018-10-14</c:v>
                </c:pt>
                <c:pt idx="6">
                  <c:v>2018-10-15 - 2018-10-21</c:v>
                </c:pt>
                <c:pt idx="7">
                  <c:v>2018-10-22 - 2018-10-28</c:v>
                </c:pt>
                <c:pt idx="8">
                  <c:v>2018-10-29 - 2018-11-4</c:v>
                </c:pt>
                <c:pt idx="9">
                  <c:v>2018-11-5 - 2018-11-11</c:v>
                </c:pt>
                <c:pt idx="10">
                  <c:v>2018-11-12 - 2018-11-18</c:v>
                </c:pt>
                <c:pt idx="11">
                  <c:v>2018-11-19 - 2018-11-25</c:v>
                </c:pt>
                <c:pt idx="12">
                  <c:v>2018-11-26 - 2018-12-2</c:v>
                </c:pt>
                <c:pt idx="13">
                  <c:v>2018-12-3 - 2018-12-9</c:v>
                </c:pt>
                <c:pt idx="14">
                  <c:v>2018-12-10 - 2018-12-16</c:v>
                </c:pt>
                <c:pt idx="15">
                  <c:v>2018-12-17 - 2018-12-23</c:v>
                </c:pt>
                <c:pt idx="16">
                  <c:v>2018-12-24 - 2018-12-25</c:v>
                </c:pt>
              </c:strCache>
            </c:strRef>
          </c:cat>
          <c:val>
            <c:numRef>
              <c:f>[0]!week_sessions</c:f>
              <c:numCache>
                <c:formatCode>General</c:formatCode>
                <c:ptCount val="17"/>
                <c:pt idx="0">
                  <c:v>3</c:v>
                </c:pt>
                <c:pt idx="1">
                  <c:v>53</c:v>
                </c:pt>
                <c:pt idx="2">
                  <c:v>60</c:v>
                </c:pt>
                <c:pt idx="3">
                  <c:v>91</c:v>
                </c:pt>
                <c:pt idx="4">
                  <c:v>227</c:v>
                </c:pt>
                <c:pt idx="5">
                  <c:v>227</c:v>
                </c:pt>
                <c:pt idx="6">
                  <c:v>212</c:v>
                </c:pt>
                <c:pt idx="7">
                  <c:v>172</c:v>
                </c:pt>
                <c:pt idx="8">
                  <c:v>159</c:v>
                </c:pt>
                <c:pt idx="9">
                  <c:v>109</c:v>
                </c:pt>
                <c:pt idx="10">
                  <c:v>37</c:v>
                </c:pt>
                <c:pt idx="11">
                  <c:v>80</c:v>
                </c:pt>
                <c:pt idx="12">
                  <c:v>38</c:v>
                </c:pt>
                <c:pt idx="13">
                  <c:v>63</c:v>
                </c:pt>
                <c:pt idx="14">
                  <c:v>85</c:v>
                </c:pt>
                <c:pt idx="15">
                  <c:v>68</c:v>
                </c:pt>
                <c:pt idx="16">
                  <c:v>17</c:v>
                </c:pt>
              </c:numCache>
            </c:numRef>
          </c:val>
        </c:ser>
        <c:ser>
          <c:idx val="2"/>
          <c:order val="2"/>
          <c:tx>
            <c:strRef>
              <c:f>week_data!$T$1</c:f>
              <c:strCache>
                <c:ptCount val="1"/>
                <c:pt idx="0">
                  <c:v>周:浏览次数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[0]!week_list</c:f>
              <c:strCache>
                <c:ptCount val="17"/>
                <c:pt idx="0">
                  <c:v>2018-5-28 - 2018-6-3</c:v>
                </c:pt>
                <c:pt idx="1">
                  <c:v>2018-6-11 - 2018-6-17</c:v>
                </c:pt>
                <c:pt idx="2">
                  <c:v>2018-6-18 - 2018-6-24</c:v>
                </c:pt>
                <c:pt idx="3">
                  <c:v>2018-6-25 - 2018-7-1</c:v>
                </c:pt>
                <c:pt idx="4">
                  <c:v>2018-10-1 - 2018-10-7</c:v>
                </c:pt>
                <c:pt idx="5">
                  <c:v>2018-10-8 - 2018-10-14</c:v>
                </c:pt>
                <c:pt idx="6">
                  <c:v>2018-10-15 - 2018-10-21</c:v>
                </c:pt>
                <c:pt idx="7">
                  <c:v>2018-10-22 - 2018-10-28</c:v>
                </c:pt>
                <c:pt idx="8">
                  <c:v>2018-10-29 - 2018-11-4</c:v>
                </c:pt>
                <c:pt idx="9">
                  <c:v>2018-11-5 - 2018-11-11</c:v>
                </c:pt>
                <c:pt idx="10">
                  <c:v>2018-11-12 - 2018-11-18</c:v>
                </c:pt>
                <c:pt idx="11">
                  <c:v>2018-11-19 - 2018-11-25</c:v>
                </c:pt>
                <c:pt idx="12">
                  <c:v>2018-11-26 - 2018-12-2</c:v>
                </c:pt>
                <c:pt idx="13">
                  <c:v>2018-12-3 - 2018-12-9</c:v>
                </c:pt>
                <c:pt idx="14">
                  <c:v>2018-12-10 - 2018-12-16</c:v>
                </c:pt>
                <c:pt idx="15">
                  <c:v>2018-12-17 - 2018-12-23</c:v>
                </c:pt>
                <c:pt idx="16">
                  <c:v>2018-12-24 - 2018-12-25</c:v>
                </c:pt>
              </c:strCache>
            </c:strRef>
          </c:cat>
          <c:val>
            <c:numRef>
              <c:f>[0]!week_view</c:f>
              <c:numCache>
                <c:formatCode>General</c:formatCode>
                <c:ptCount val="17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</c:numCache>
            </c:numRef>
          </c:val>
        </c:ser>
        <c:ser>
          <c:idx val="5"/>
          <c:order val="5"/>
          <c:tx>
            <c:strRef>
              <c:f>week_data!$W$1</c:f>
              <c:strCache>
                <c:ptCount val="1"/>
                <c:pt idx="0">
                  <c:v>购买件数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[0]!week_list</c:f>
              <c:strCache>
                <c:ptCount val="17"/>
                <c:pt idx="0">
                  <c:v>2018-5-28 - 2018-6-3</c:v>
                </c:pt>
                <c:pt idx="1">
                  <c:v>2018-6-11 - 2018-6-17</c:v>
                </c:pt>
                <c:pt idx="2">
                  <c:v>2018-6-18 - 2018-6-24</c:v>
                </c:pt>
                <c:pt idx="3">
                  <c:v>2018-6-25 - 2018-7-1</c:v>
                </c:pt>
                <c:pt idx="4">
                  <c:v>2018-10-1 - 2018-10-7</c:v>
                </c:pt>
                <c:pt idx="5">
                  <c:v>2018-10-8 - 2018-10-14</c:v>
                </c:pt>
                <c:pt idx="6">
                  <c:v>2018-10-15 - 2018-10-21</c:v>
                </c:pt>
                <c:pt idx="7">
                  <c:v>2018-10-22 - 2018-10-28</c:v>
                </c:pt>
                <c:pt idx="8">
                  <c:v>2018-10-29 - 2018-11-4</c:v>
                </c:pt>
                <c:pt idx="9">
                  <c:v>2018-11-5 - 2018-11-11</c:v>
                </c:pt>
                <c:pt idx="10">
                  <c:v>2018-11-12 - 2018-11-18</c:v>
                </c:pt>
                <c:pt idx="11">
                  <c:v>2018-11-19 - 2018-11-25</c:v>
                </c:pt>
                <c:pt idx="12">
                  <c:v>2018-11-26 - 2018-12-2</c:v>
                </c:pt>
                <c:pt idx="13">
                  <c:v>2018-12-3 - 2018-12-9</c:v>
                </c:pt>
                <c:pt idx="14">
                  <c:v>2018-12-10 - 2018-12-16</c:v>
                </c:pt>
                <c:pt idx="15">
                  <c:v>2018-12-17 - 2018-12-23</c:v>
                </c:pt>
                <c:pt idx="16">
                  <c:v>2018-12-24 - 2018-12-25</c:v>
                </c:pt>
              </c:strCache>
            </c:strRef>
          </c:cat>
          <c:val>
            <c:numRef>
              <c:f>[0]!week_purchase</c:f>
              <c:numCache>
                <c:formatCode>General</c:formatCode>
                <c:ptCount val="17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</c:numCache>
            </c:numRef>
          </c:val>
        </c:ser>
        <c:ser>
          <c:idx val="6"/>
          <c:order val="6"/>
          <c:tx>
            <c:strRef>
              <c:f>week_data!$X$1</c:f>
              <c:strCache>
                <c:ptCount val="1"/>
                <c:pt idx="0">
                  <c:v>周:销售金额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[0]!week_list</c:f>
              <c:strCache>
                <c:ptCount val="17"/>
                <c:pt idx="0">
                  <c:v>2018-5-28 - 2018-6-3</c:v>
                </c:pt>
                <c:pt idx="1">
                  <c:v>2018-6-11 - 2018-6-17</c:v>
                </c:pt>
                <c:pt idx="2">
                  <c:v>2018-6-18 - 2018-6-24</c:v>
                </c:pt>
                <c:pt idx="3">
                  <c:v>2018-6-25 - 2018-7-1</c:v>
                </c:pt>
                <c:pt idx="4">
                  <c:v>2018-10-1 - 2018-10-7</c:v>
                </c:pt>
                <c:pt idx="5">
                  <c:v>2018-10-8 - 2018-10-14</c:v>
                </c:pt>
                <c:pt idx="6">
                  <c:v>2018-10-15 - 2018-10-21</c:v>
                </c:pt>
                <c:pt idx="7">
                  <c:v>2018-10-22 - 2018-10-28</c:v>
                </c:pt>
                <c:pt idx="8">
                  <c:v>2018-10-29 - 2018-11-4</c:v>
                </c:pt>
                <c:pt idx="9">
                  <c:v>2018-11-5 - 2018-11-11</c:v>
                </c:pt>
                <c:pt idx="10">
                  <c:v>2018-11-12 - 2018-11-18</c:v>
                </c:pt>
                <c:pt idx="11">
                  <c:v>2018-11-19 - 2018-11-25</c:v>
                </c:pt>
                <c:pt idx="12">
                  <c:v>2018-11-26 - 2018-12-2</c:v>
                </c:pt>
                <c:pt idx="13">
                  <c:v>2018-12-3 - 2018-12-9</c:v>
                </c:pt>
                <c:pt idx="14">
                  <c:v>2018-12-10 - 2018-12-16</c:v>
                </c:pt>
                <c:pt idx="15">
                  <c:v>2018-12-17 - 2018-12-23</c:v>
                </c:pt>
                <c:pt idx="16">
                  <c:v>2018-12-24 - 2018-12-25</c:v>
                </c:pt>
              </c:strCache>
            </c:strRef>
          </c:cat>
          <c:val>
            <c:numRef>
              <c:f>[0]!week_sales</c:f>
              <c:numCache>
                <c:formatCode>"$"#,##0.00</c:formatCode>
                <c:ptCount val="17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100"/>
        <c:axId val="957773544"/>
        <c:axId val="957773872"/>
      </c:barChart>
      <c:lineChart>
        <c:grouping val="standard"/>
        <c:varyColors val="0"/>
        <c:ser>
          <c:idx val="4"/>
          <c:order val="4"/>
          <c:tx>
            <c:strRef>
              <c:f>week_data!$V$1</c:f>
              <c:strCache>
                <c:ptCount val="1"/>
                <c:pt idx="0">
                  <c:v>周:转化率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chemeClr val="bg2"/>
              </a:solidFill>
              <a:ln w="15875">
                <a:solidFill>
                  <a:schemeClr val="tx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95000"/>
                        <a:lumOff val="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[0]!week_list</c:f>
              <c:strCache>
                <c:ptCount val="17"/>
                <c:pt idx="0">
                  <c:v>2018-5-28 - 2018-6-3</c:v>
                </c:pt>
                <c:pt idx="1">
                  <c:v>2018-6-11 - 2018-6-17</c:v>
                </c:pt>
                <c:pt idx="2">
                  <c:v>2018-6-18 - 2018-6-24</c:v>
                </c:pt>
                <c:pt idx="3">
                  <c:v>2018-6-25 - 2018-7-1</c:v>
                </c:pt>
                <c:pt idx="4">
                  <c:v>2018-10-1 - 2018-10-7</c:v>
                </c:pt>
                <c:pt idx="5">
                  <c:v>2018-10-8 - 2018-10-14</c:v>
                </c:pt>
                <c:pt idx="6">
                  <c:v>2018-10-15 - 2018-10-21</c:v>
                </c:pt>
                <c:pt idx="7">
                  <c:v>2018-10-22 - 2018-10-28</c:v>
                </c:pt>
                <c:pt idx="8">
                  <c:v>2018-10-29 - 2018-11-4</c:v>
                </c:pt>
                <c:pt idx="9">
                  <c:v>2018-11-5 - 2018-11-11</c:v>
                </c:pt>
                <c:pt idx="10">
                  <c:v>2018-11-12 - 2018-11-18</c:v>
                </c:pt>
                <c:pt idx="11">
                  <c:v>2018-11-19 - 2018-11-25</c:v>
                </c:pt>
                <c:pt idx="12">
                  <c:v>2018-11-26 - 2018-12-2</c:v>
                </c:pt>
                <c:pt idx="13">
                  <c:v>2018-12-3 - 2018-12-9</c:v>
                </c:pt>
                <c:pt idx="14">
                  <c:v>2018-12-10 - 2018-12-16</c:v>
                </c:pt>
                <c:pt idx="15">
                  <c:v>2018-12-17 - 2018-12-23</c:v>
                </c:pt>
                <c:pt idx="16">
                  <c:v>2018-12-24 - 2018-12-25</c:v>
                </c:pt>
              </c:strCache>
            </c:strRef>
          </c:cat>
          <c:val>
            <c:numRef>
              <c:f>[0]!week_conversion</c:f>
              <c:numCache>
                <c:formatCode>0.00%</c:formatCode>
                <c:ptCount val="17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</c:numCache>
            </c:numRef>
          </c:val>
          <c:smooth val="0"/>
        </c:ser>
        <c:ser>
          <c:idx val="7"/>
          <c:order val="7"/>
          <c:tx>
            <c:strRef>
              <c:f>week_data!$Y$1</c:f>
              <c:strCache>
                <c:ptCount val="1"/>
                <c:pt idx="0">
                  <c:v>购物车获得率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chemeClr val="bg2"/>
              </a:solidFill>
              <a:ln w="12700">
                <a:solidFill>
                  <a:schemeClr val="tx2"/>
                </a:solidFill>
              </a:ln>
              <a:effectLst/>
            </c:spPr>
          </c:marker>
          <c:dLbls>
            <c:delete val="1"/>
          </c:dLbls>
          <c:cat>
            <c:strRef>
              <c:f>[0]!week_list</c:f>
              <c:strCache>
                <c:ptCount val="17"/>
                <c:pt idx="0">
                  <c:v>2018-5-28 - 2018-6-3</c:v>
                </c:pt>
                <c:pt idx="1">
                  <c:v>2018-6-11 - 2018-6-17</c:v>
                </c:pt>
                <c:pt idx="2">
                  <c:v>2018-6-18 - 2018-6-24</c:v>
                </c:pt>
                <c:pt idx="3">
                  <c:v>2018-6-25 - 2018-7-1</c:v>
                </c:pt>
                <c:pt idx="4">
                  <c:v>2018-10-1 - 2018-10-7</c:v>
                </c:pt>
                <c:pt idx="5">
                  <c:v>2018-10-8 - 2018-10-14</c:v>
                </c:pt>
                <c:pt idx="6">
                  <c:v>2018-10-15 - 2018-10-21</c:v>
                </c:pt>
                <c:pt idx="7">
                  <c:v>2018-10-22 - 2018-10-28</c:v>
                </c:pt>
                <c:pt idx="8">
                  <c:v>2018-10-29 - 2018-11-4</c:v>
                </c:pt>
                <c:pt idx="9">
                  <c:v>2018-11-5 - 2018-11-11</c:v>
                </c:pt>
                <c:pt idx="10">
                  <c:v>2018-11-12 - 2018-11-18</c:v>
                </c:pt>
                <c:pt idx="11">
                  <c:v>2018-11-19 - 2018-11-25</c:v>
                </c:pt>
                <c:pt idx="12">
                  <c:v>2018-11-26 - 2018-12-2</c:v>
                </c:pt>
                <c:pt idx="13">
                  <c:v>2018-12-3 - 2018-12-9</c:v>
                </c:pt>
                <c:pt idx="14">
                  <c:v>2018-12-10 - 2018-12-16</c:v>
                </c:pt>
                <c:pt idx="15">
                  <c:v>2018-12-17 - 2018-12-23</c:v>
                </c:pt>
                <c:pt idx="16">
                  <c:v>2018-12-24 - 2018-12-25</c:v>
                </c:pt>
              </c:strCache>
            </c:strRef>
          </c:cat>
          <c:val>
            <c:numRef>
              <c:f>[0]!week_buybox</c:f>
              <c:numCache>
                <c:formatCode>0%</c:formatCode>
                <c:ptCount val="17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</c:numCache>
            </c:numRef>
          </c:val>
          <c:smooth val="0"/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849654240"/>
        <c:axId val="860757984"/>
      </c:lineChart>
      <c:scatterChart>
        <c:scatterStyle val="smoothMarker"/>
        <c:varyColors val="0"/>
        <c:ser>
          <c:idx val="1"/>
          <c:order val="1"/>
          <c:tx>
            <c:strRef>
              <c:f>week_data!$S$1</c:f>
              <c:strCache>
                <c:ptCount val="1"/>
                <c:pt idx="0">
                  <c:v>访客环比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chemeClr val="bg2"/>
              </a:solidFill>
              <a:ln w="19050" cmpd="sng">
                <a:solidFill>
                  <a:schemeClr val="tx2"/>
                </a:solidFill>
                <a:prstDash val="solid"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zh-CN" sz="1200" b="0" i="0" u="none" strike="noStrike" kern="1200" baseline="0">
                    <a:solidFill>
                      <a:schemeClr val="tx1">
                        <a:lumMod val="95000"/>
                        <a:lumOff val="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strRef>
              <c:f>[0]!week_list</c:f>
              <c:strCache>
                <c:ptCount val="17"/>
                <c:pt idx="0">
                  <c:v>2018-5-28 - 2018-6-3</c:v>
                </c:pt>
                <c:pt idx="1">
                  <c:v>2018-6-11 - 2018-6-17</c:v>
                </c:pt>
                <c:pt idx="2">
                  <c:v>2018-6-18 - 2018-6-24</c:v>
                </c:pt>
                <c:pt idx="3">
                  <c:v>2018-6-25 - 2018-7-1</c:v>
                </c:pt>
                <c:pt idx="4">
                  <c:v>2018-10-1 - 2018-10-7</c:v>
                </c:pt>
                <c:pt idx="5">
                  <c:v>2018-10-8 - 2018-10-14</c:v>
                </c:pt>
                <c:pt idx="6">
                  <c:v>2018-10-15 - 2018-10-21</c:v>
                </c:pt>
                <c:pt idx="7">
                  <c:v>2018-10-22 - 2018-10-28</c:v>
                </c:pt>
                <c:pt idx="8">
                  <c:v>2018-10-29 - 2018-11-4</c:v>
                </c:pt>
                <c:pt idx="9">
                  <c:v>2018-11-5 - 2018-11-11</c:v>
                </c:pt>
                <c:pt idx="10">
                  <c:v>2018-11-12 - 2018-11-18</c:v>
                </c:pt>
                <c:pt idx="11">
                  <c:v>2018-11-19 - 2018-11-25</c:v>
                </c:pt>
                <c:pt idx="12">
                  <c:v>2018-11-26 - 2018-12-2</c:v>
                </c:pt>
                <c:pt idx="13">
                  <c:v>2018-12-3 - 2018-12-9</c:v>
                </c:pt>
                <c:pt idx="14">
                  <c:v>2018-12-10 - 2018-12-16</c:v>
                </c:pt>
                <c:pt idx="15">
                  <c:v>2018-12-17 - 2018-12-23</c:v>
                </c:pt>
                <c:pt idx="16">
                  <c:v>2018-12-24 - 2018-12-25</c:v>
                </c:pt>
              </c:strCache>
            </c:strRef>
          </c:xVal>
          <c:yVal>
            <c:numRef>
              <c:f>[0]!week_sessionsMOM</c:f>
              <c:numCache>
                <c:formatCode>0%</c:formatCode>
                <c:ptCount val="17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</c:numCache>
            </c:numRef>
          </c:yVal>
          <c:smooth val="1"/>
        </c:ser>
        <c:ser>
          <c:idx val="3"/>
          <c:order val="3"/>
          <c:tx>
            <c:strRef>
              <c:f>week_data!$U$1</c:f>
              <c:strCache>
                <c:ptCount val="1"/>
                <c:pt idx="0">
                  <c:v>浏览环比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chemeClr val="bg2"/>
              </a:solidFill>
              <a:ln w="12700">
                <a:solidFill>
                  <a:schemeClr val="tx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zh-CN" sz="1200" b="0" i="0" u="none" strike="noStrike" kern="1200" baseline="0">
                    <a:solidFill>
                      <a:schemeClr val="tx1">
                        <a:lumMod val="95000"/>
                        <a:lumOff val="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strRef>
              <c:f>[0]!week_list</c:f>
              <c:strCache>
                <c:ptCount val="17"/>
                <c:pt idx="0">
                  <c:v>2018-5-28 - 2018-6-3</c:v>
                </c:pt>
                <c:pt idx="1">
                  <c:v>2018-6-11 - 2018-6-17</c:v>
                </c:pt>
                <c:pt idx="2">
                  <c:v>2018-6-18 - 2018-6-24</c:v>
                </c:pt>
                <c:pt idx="3">
                  <c:v>2018-6-25 - 2018-7-1</c:v>
                </c:pt>
                <c:pt idx="4">
                  <c:v>2018-10-1 - 2018-10-7</c:v>
                </c:pt>
                <c:pt idx="5">
                  <c:v>2018-10-8 - 2018-10-14</c:v>
                </c:pt>
                <c:pt idx="6">
                  <c:v>2018-10-15 - 2018-10-21</c:v>
                </c:pt>
                <c:pt idx="7">
                  <c:v>2018-10-22 - 2018-10-28</c:v>
                </c:pt>
                <c:pt idx="8">
                  <c:v>2018-10-29 - 2018-11-4</c:v>
                </c:pt>
                <c:pt idx="9">
                  <c:v>2018-11-5 - 2018-11-11</c:v>
                </c:pt>
                <c:pt idx="10">
                  <c:v>2018-11-12 - 2018-11-18</c:v>
                </c:pt>
                <c:pt idx="11">
                  <c:v>2018-11-19 - 2018-11-25</c:v>
                </c:pt>
                <c:pt idx="12">
                  <c:v>2018-11-26 - 2018-12-2</c:v>
                </c:pt>
                <c:pt idx="13">
                  <c:v>2018-12-3 - 2018-12-9</c:v>
                </c:pt>
                <c:pt idx="14">
                  <c:v>2018-12-10 - 2018-12-16</c:v>
                </c:pt>
                <c:pt idx="15">
                  <c:v>2018-12-17 - 2018-12-23</c:v>
                </c:pt>
                <c:pt idx="16">
                  <c:v>2018-12-24 - 2018-12-25</c:v>
                </c:pt>
              </c:strCache>
            </c:strRef>
          </c:xVal>
          <c:yVal>
            <c:numRef>
              <c:f>[0]!week_viewMOM</c:f>
              <c:numCache>
                <c:formatCode>0%</c:formatCode>
                <c:ptCount val="17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</c:numCache>
            </c:numRef>
          </c:yVal>
          <c:smooth val="1"/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849654240"/>
        <c:axId val="860757984"/>
      </c:scatterChart>
      <c:catAx>
        <c:axId val="9577735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18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57773872"/>
        <c:crossesAt val="0"/>
        <c:auto val="1"/>
        <c:lblAlgn val="ctr"/>
        <c:lblOffset val="100"/>
        <c:noMultiLvlLbl val="0"/>
      </c:catAx>
      <c:valAx>
        <c:axId val="95777387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57773544"/>
        <c:crosses val="autoZero"/>
        <c:crossBetween val="between"/>
      </c:valAx>
      <c:catAx>
        <c:axId val="84965424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60757984"/>
        <c:crosses val="autoZero"/>
        <c:auto val="1"/>
        <c:lblAlgn val="ctr"/>
        <c:lblOffset val="100"/>
        <c:noMultiLvlLbl val="0"/>
      </c:catAx>
      <c:valAx>
        <c:axId val="860757984"/>
        <c:scaling>
          <c:orientation val="minMax"/>
        </c:scaling>
        <c:delete val="0"/>
        <c:axPos val="r"/>
        <c:numFmt formatCode="0.0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49654240"/>
        <c:crosses val="max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a26d008f-85e5-43fd-b053-51a720441dc5}"/>
      </c:ext>
    </c:extLst>
  </c:chart>
  <c:spPr>
    <a:solidFill>
      <a:schemeClr val="bg2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month_data!$W$1</c:f>
              <c:strCache>
                <c:ptCount val="1"/>
                <c:pt idx="0">
                  <c:v>月访客数 </c:v>
                </c:pt>
              </c:strCache>
            </c:strRef>
          </c:tx>
          <c:spPr>
            <a:solidFill>
              <a:srgbClr val="69A2AB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zh-CN"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[0]!month_list</c:f>
              <c:strCache>
                <c:ptCount val="8"/>
                <c:pt idx="0">
                  <c:v>18'6</c:v>
                </c:pt>
                <c:pt idx="1">
                  <c:v>18'7</c:v>
                </c:pt>
                <c:pt idx="2">
                  <c:v>18'8</c:v>
                </c:pt>
                <c:pt idx="3">
                  <c:v>18'9</c:v>
                </c:pt>
                <c:pt idx="4">
                  <c:v>18'10</c:v>
                </c:pt>
                <c:pt idx="5">
                  <c:v>18'11</c:v>
                </c:pt>
                <c:pt idx="6">
                  <c:v>18'12</c:v>
                </c:pt>
                <c:pt idx="7">
                  <c:v>19'1</c:v>
                </c:pt>
              </c:strCache>
            </c:strRef>
          </c:cat>
          <c:val>
            <c:numRef>
              <c:f>[0]!month_sessions</c:f>
              <c:numCache>
                <c:formatCode>General</c:formatCode>
                <c:ptCount val="8"/>
                <c:pt idx="0">
                  <c:v>248</c:v>
                </c:pt>
                <c:pt idx="1">
                  <c:v>339</c:v>
                </c:pt>
                <c:pt idx="2">
                  <c:v>668</c:v>
                </c:pt>
                <c:pt idx="3">
                  <c:v>832</c:v>
                </c:pt>
                <c:pt idx="4">
                  <c:v>910</c:v>
                </c:pt>
                <c:pt idx="5">
                  <c:v>342</c:v>
                </c:pt>
                <c:pt idx="6">
                  <c:v>280</c:v>
                </c:pt>
                <c:pt idx="7">
                  <c:v>118</c:v>
                </c:pt>
              </c:numCache>
            </c:numRef>
          </c:val>
        </c:ser>
        <c:ser>
          <c:idx val="3"/>
          <c:order val="3"/>
          <c:tx>
            <c:strRef>
              <c:f>month_data!$Z$1</c:f>
              <c:strCache>
                <c:ptCount val="1"/>
                <c:pt idx="0">
                  <c:v>月销售额</c:v>
                </c:pt>
              </c:strCache>
            </c:strRef>
          </c:tx>
          <c:spPr>
            <a:solidFill>
              <a:srgbClr val="D66B6A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[0]!month_list</c:f>
              <c:strCache>
                <c:ptCount val="8"/>
                <c:pt idx="0">
                  <c:v>18'6</c:v>
                </c:pt>
                <c:pt idx="1">
                  <c:v>18'7</c:v>
                </c:pt>
                <c:pt idx="2">
                  <c:v>18'8</c:v>
                </c:pt>
                <c:pt idx="3">
                  <c:v>18'9</c:v>
                </c:pt>
                <c:pt idx="4">
                  <c:v>18'10</c:v>
                </c:pt>
                <c:pt idx="5">
                  <c:v>18'11</c:v>
                </c:pt>
                <c:pt idx="6">
                  <c:v>18'12</c:v>
                </c:pt>
                <c:pt idx="7">
                  <c:v>19'1</c:v>
                </c:pt>
              </c:strCache>
            </c:strRef>
          </c:cat>
          <c:val>
            <c:numRef>
              <c:f>[0]!month_sales</c:f>
              <c:numCache>
                <c:formatCode>General</c:formatCode>
                <c:ptCount val="8"/>
                <c:pt idx="0">
                  <c:v>502.77</c:v>
                </c:pt>
                <c:pt idx="1">
                  <c:v>1088.48</c:v>
                </c:pt>
                <c:pt idx="2">
                  <c:v>1792.62</c:v>
                </c:pt>
                <c:pt idx="3">
                  <c:v>2238.97</c:v>
                </c:pt>
                <c:pt idx="4">
                  <c:v>2178.17</c:v>
                </c:pt>
                <c:pt idx="5">
                  <c:v>765.21</c:v>
                </c:pt>
                <c:pt idx="6">
                  <c:v>959.68</c:v>
                </c:pt>
                <c:pt idx="7">
                  <c:v>299.9</c:v>
                </c:pt>
              </c:numCache>
            </c:numRef>
          </c:val>
        </c:ser>
        <c:ser>
          <c:idx val="7"/>
          <c:order val="7"/>
          <c:tx>
            <c:strRef>
              <c:f>month_data!$AD$1</c:f>
              <c:strCache>
                <c:ptCount val="1"/>
                <c:pt idx="0">
                  <c:v>购买商品数</c:v>
                </c:pt>
              </c:strCache>
            </c:strRef>
          </c:tx>
          <c:spPr>
            <a:solidFill>
              <a:srgbClr val="CCC2C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zh-CN"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[0]!month_list</c:f>
              <c:strCache>
                <c:ptCount val="8"/>
                <c:pt idx="0">
                  <c:v>18'6</c:v>
                </c:pt>
                <c:pt idx="1">
                  <c:v>18'7</c:v>
                </c:pt>
                <c:pt idx="2">
                  <c:v>18'8</c:v>
                </c:pt>
                <c:pt idx="3">
                  <c:v>18'9</c:v>
                </c:pt>
                <c:pt idx="4">
                  <c:v>18'10</c:v>
                </c:pt>
                <c:pt idx="5">
                  <c:v>18'11</c:v>
                </c:pt>
                <c:pt idx="6">
                  <c:v>18'12</c:v>
                </c:pt>
                <c:pt idx="7">
                  <c:v>19'1</c:v>
                </c:pt>
              </c:strCache>
            </c:strRef>
          </c:cat>
          <c:val>
            <c:numRef>
              <c:f>[0]!month_purchase</c:f>
              <c:numCache>
                <c:formatCode>General</c:formatCode>
                <c:ptCount val="8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80"/>
        <c:overlap val="100"/>
        <c:axId val="484458456"/>
        <c:axId val="484455320"/>
      </c:barChart>
      <c:lineChart>
        <c:grouping val="standard"/>
        <c:varyColors val="0"/>
        <c:ser>
          <c:idx val="1"/>
          <c:order val="1"/>
          <c:tx>
            <c:strRef>
              <c:f>month_data!$X$1</c:f>
              <c:strCache>
                <c:ptCount val="1"/>
                <c:pt idx="0">
                  <c:v>月访客环比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rgbClr val="FEF1E0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zh-CN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[0]!month_list</c:f>
              <c:strCache>
                <c:ptCount val="8"/>
                <c:pt idx="0">
                  <c:v>18'6</c:v>
                </c:pt>
                <c:pt idx="1">
                  <c:v>18'7</c:v>
                </c:pt>
                <c:pt idx="2">
                  <c:v>18'8</c:v>
                </c:pt>
                <c:pt idx="3">
                  <c:v>18'9</c:v>
                </c:pt>
                <c:pt idx="4">
                  <c:v>18'10</c:v>
                </c:pt>
                <c:pt idx="5">
                  <c:v>18'11</c:v>
                </c:pt>
                <c:pt idx="6">
                  <c:v>18'12</c:v>
                </c:pt>
                <c:pt idx="7">
                  <c:v>19'1</c:v>
                </c:pt>
              </c:strCache>
            </c:strRef>
          </c:cat>
          <c:val>
            <c:numRef>
              <c:f>[0]!month_sessionsMOM</c:f>
              <c:numCache>
                <c:formatCode>0%</c:formatCode>
                <c:ptCount val="8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month_data!$Y$1</c:f>
              <c:strCache>
                <c:ptCount val="1"/>
                <c:pt idx="0">
                  <c:v>月访客同比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zh-CN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[0]!month_list</c:f>
              <c:strCache>
                <c:ptCount val="8"/>
                <c:pt idx="0">
                  <c:v>18'6</c:v>
                </c:pt>
                <c:pt idx="1">
                  <c:v>18'7</c:v>
                </c:pt>
                <c:pt idx="2">
                  <c:v>18'8</c:v>
                </c:pt>
                <c:pt idx="3">
                  <c:v>18'9</c:v>
                </c:pt>
                <c:pt idx="4">
                  <c:v>18'10</c:v>
                </c:pt>
                <c:pt idx="5">
                  <c:v>18'11</c:v>
                </c:pt>
                <c:pt idx="6">
                  <c:v>18'12</c:v>
                </c:pt>
                <c:pt idx="7">
                  <c:v>19'1</c:v>
                </c:pt>
              </c:strCache>
            </c:strRef>
          </c:cat>
          <c:val>
            <c:numRef>
              <c:f>[0]!month_sessionsYOY</c:f>
              <c:numCache>
                <c:formatCode>0%</c:formatCode>
                <c:ptCount val="8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month_data!$AA$1</c:f>
              <c:strCache>
                <c:ptCount val="1"/>
                <c:pt idx="0">
                  <c:v>月销售额环比</c:v>
                </c:pt>
              </c:strCache>
            </c:strRef>
          </c:tx>
          <c:spPr>
            <a:ln w="38100" cap="rnd">
              <a:solidFill>
                <a:srgbClr val="BB6E82"/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rgbClr val="FEF1E0"/>
              </a:solidFill>
              <a:ln w="9525">
                <a:solidFill>
                  <a:schemeClr val="accent5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zh-CN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[0]!month_list</c:f>
              <c:strCache>
                <c:ptCount val="8"/>
                <c:pt idx="0">
                  <c:v>18'6</c:v>
                </c:pt>
                <c:pt idx="1">
                  <c:v>18'7</c:v>
                </c:pt>
                <c:pt idx="2">
                  <c:v>18'8</c:v>
                </c:pt>
                <c:pt idx="3">
                  <c:v>18'9</c:v>
                </c:pt>
                <c:pt idx="4">
                  <c:v>18'10</c:v>
                </c:pt>
                <c:pt idx="5">
                  <c:v>18'11</c:v>
                </c:pt>
                <c:pt idx="6">
                  <c:v>18'12</c:v>
                </c:pt>
                <c:pt idx="7">
                  <c:v>19'1</c:v>
                </c:pt>
              </c:strCache>
            </c:strRef>
          </c:cat>
          <c:val>
            <c:numRef>
              <c:f>[0]!month_salesMOM</c:f>
              <c:numCache>
                <c:formatCode>0%</c:formatCode>
                <c:ptCount val="8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</c:numCache>
            </c:numRef>
          </c:val>
          <c:smooth val="0"/>
        </c:ser>
        <c:ser>
          <c:idx val="5"/>
          <c:order val="5"/>
          <c:tx>
            <c:strRef>
              <c:f>month_data!$AB$1</c:f>
              <c:strCache>
                <c:ptCount val="1"/>
                <c:pt idx="0">
                  <c:v>月销售额同比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zh-CN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[0]!month_list</c:f>
              <c:strCache>
                <c:ptCount val="8"/>
                <c:pt idx="0">
                  <c:v>18'6</c:v>
                </c:pt>
                <c:pt idx="1">
                  <c:v>18'7</c:v>
                </c:pt>
                <c:pt idx="2">
                  <c:v>18'8</c:v>
                </c:pt>
                <c:pt idx="3">
                  <c:v>18'9</c:v>
                </c:pt>
                <c:pt idx="4">
                  <c:v>18'10</c:v>
                </c:pt>
                <c:pt idx="5">
                  <c:v>18'11</c:v>
                </c:pt>
                <c:pt idx="6">
                  <c:v>18'12</c:v>
                </c:pt>
                <c:pt idx="7">
                  <c:v>19'1</c:v>
                </c:pt>
              </c:strCache>
            </c:strRef>
          </c:cat>
          <c:val>
            <c:numRef>
              <c:f>[0]!month_salesYOY</c:f>
              <c:numCache>
                <c:formatCode>0%</c:formatCode>
                <c:ptCount val="8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</c:numCache>
            </c:numRef>
          </c:val>
          <c:smooth val="0"/>
        </c:ser>
        <c:ser>
          <c:idx val="6"/>
          <c:order val="6"/>
          <c:tx>
            <c:strRef>
              <c:f>month_data!$AC$1</c:f>
              <c:strCache>
                <c:ptCount val="1"/>
                <c:pt idx="0">
                  <c:v>月累计销售额同比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zh-CN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[0]!month_list</c:f>
              <c:strCache>
                <c:ptCount val="8"/>
                <c:pt idx="0">
                  <c:v>18'6</c:v>
                </c:pt>
                <c:pt idx="1">
                  <c:v>18'7</c:v>
                </c:pt>
                <c:pt idx="2">
                  <c:v>18'8</c:v>
                </c:pt>
                <c:pt idx="3">
                  <c:v>18'9</c:v>
                </c:pt>
                <c:pt idx="4">
                  <c:v>18'10</c:v>
                </c:pt>
                <c:pt idx="5">
                  <c:v>18'11</c:v>
                </c:pt>
                <c:pt idx="6">
                  <c:v>18'12</c:v>
                </c:pt>
                <c:pt idx="7">
                  <c:v>19'1</c:v>
                </c:pt>
              </c:strCache>
            </c:strRef>
          </c:cat>
          <c:val>
            <c:numRef>
              <c:f>[0]!month_salesYTDYOY</c:f>
              <c:numCache>
                <c:formatCode>0%</c:formatCode>
                <c:ptCount val="8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</c:numCache>
            </c:numRef>
          </c:val>
          <c:smooth val="0"/>
        </c:ser>
        <c:ser>
          <c:idx val="8"/>
          <c:order val="8"/>
          <c:tx>
            <c:strRef>
              <c:f>month_data!$AE$1</c:f>
              <c:strCache>
                <c:ptCount val="1"/>
                <c:pt idx="0">
                  <c:v>转化率</c:v>
                </c:pt>
              </c:strCache>
            </c:strRef>
          </c:tx>
          <c:spPr>
            <a:ln w="28575" cap="rnd">
              <a:solidFill>
                <a:srgbClr val="D66B6A"/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rgbClr val="FEF1E0"/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zh-CN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[0]!month_list</c:f>
              <c:strCache>
                <c:ptCount val="8"/>
                <c:pt idx="0">
                  <c:v>18'6</c:v>
                </c:pt>
                <c:pt idx="1">
                  <c:v>18'7</c:v>
                </c:pt>
                <c:pt idx="2">
                  <c:v>18'8</c:v>
                </c:pt>
                <c:pt idx="3">
                  <c:v>18'9</c:v>
                </c:pt>
                <c:pt idx="4">
                  <c:v>18'10</c:v>
                </c:pt>
                <c:pt idx="5">
                  <c:v>18'11</c:v>
                </c:pt>
                <c:pt idx="6">
                  <c:v>18'12</c:v>
                </c:pt>
                <c:pt idx="7">
                  <c:v>19'1</c:v>
                </c:pt>
              </c:strCache>
            </c:strRef>
          </c:cat>
          <c:val>
            <c:numRef>
              <c:f>[0]!month_conversion</c:f>
              <c:numCache>
                <c:formatCode>0.00%</c:formatCode>
                <c:ptCount val="8"/>
                <c:pt idx="0">
                  <c:v>0.0936321848086554</c:v>
                </c:pt>
                <c:pt idx="1">
                  <c:v>0.127228110872363</c:v>
                </c:pt>
                <c:pt idx="2">
                  <c:v>0.0832010560877624</c:v>
                </c:pt>
                <c:pt idx="3">
                  <c:v>0.083217969137594</c:v>
                </c:pt>
                <c:pt idx="4">
                  <c:v>0.084748018103836</c:v>
                </c:pt>
                <c:pt idx="5">
                  <c:v>0.0799048365427676</c:v>
                </c:pt>
                <c:pt idx="6">
                  <c:v>0.0745835883529382</c:v>
                </c:pt>
                <c:pt idx="7">
                  <c:v>0.0902463549522372</c:v>
                </c:pt>
              </c:numCache>
            </c:numRef>
          </c:val>
          <c:smooth val="0"/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275503440"/>
        <c:axId val="1275503112"/>
      </c:lineChart>
      <c:catAx>
        <c:axId val="4844584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rgbClr val="C7BCAF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84455320"/>
        <c:crosses val="autoZero"/>
        <c:auto val="1"/>
        <c:lblAlgn val="ctr"/>
        <c:lblOffset val="100"/>
        <c:noMultiLvlLbl val="0"/>
      </c:catAx>
      <c:valAx>
        <c:axId val="48445532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84458456"/>
        <c:crosses val="autoZero"/>
        <c:crossBetween val="between"/>
      </c:valAx>
      <c:catAx>
        <c:axId val="127550344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275503112"/>
        <c:crosses val="autoZero"/>
        <c:auto val="1"/>
        <c:lblAlgn val="ctr"/>
        <c:lblOffset val="100"/>
        <c:noMultiLvlLbl val="0"/>
      </c:catAx>
      <c:valAx>
        <c:axId val="1275503112"/>
        <c:scaling>
          <c:orientation val="minMax"/>
        </c:scaling>
        <c:delete val="0"/>
        <c:axPos val="r"/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275503440"/>
        <c:crosses val="max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7777cab7-09c8-492b-8208-1bd30732dc07}"/>
      </c:ext>
    </c:extLst>
  </c:chart>
  <c:spPr>
    <a:solidFill>
      <a:schemeClr val="bg2"/>
    </a:solidFill>
    <a:ln w="9525" cap="flat" cmpd="sng" algn="ctr">
      <a:noFill/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trlProps/ctrlProp1.xml><?xml version="1.0" encoding="utf-8"?>
<formControlPr xmlns="http://schemas.microsoft.com/office/spreadsheetml/2009/9/main" objectType="Scroll" dx="22" fmlaLink="day_控件!$C$1" horiz="1" max="200" page="10" val="67"/>
</file>

<file path=xl/ctrlProps/ctrlProp2.xml><?xml version="1.0" encoding="utf-8"?>
<formControlPr xmlns="http://schemas.microsoft.com/office/spreadsheetml/2009/9/main" objectType="CheckBox" fmlaLink="day_控件!$F$2" val="0"/>
</file>

<file path=xl/ctrlProps/ctrlProp3.xml><?xml version="1.0" encoding="utf-8"?>
<formControlPr xmlns="http://schemas.microsoft.com/office/spreadsheetml/2009/9/main" objectType="CheckBox" fmlaLink="day_控件!$F$3" val="0"/>
</file>

<file path=xl/ctrlProps/ctrlProp4.xml><?xml version="1.0" encoding="utf-8"?>
<formControlPr xmlns="http://schemas.microsoft.com/office/spreadsheetml/2009/9/main" objectType="CheckBox" fmlaLink="day_控件!$F$4" val="0"/>
</file>

<file path=xl/ctrlProps/ctrlProp5.xml><?xml version="1.0" encoding="utf-8"?>
<formControlPr xmlns="http://schemas.microsoft.com/office/spreadsheetml/2009/9/main" objectType="CheckBox" checked="Checked" fmlaLink="day_控件!$F$1" val="0"/>
</file>

<file path=xl/ctrlProps/ctrlProp6.xml><?xml version="1.0" encoding="utf-8"?>
<formControlPr xmlns="http://schemas.microsoft.com/office/spreadsheetml/2009/9/main" objectType="CheckBox" fmlaLink="day_控件!$F$8" val="0"/>
</file>

<file path=xl/ctrlProps/ctrlProp7.xml><?xml version="1.0" encoding="utf-8"?>
<formControlPr xmlns="http://schemas.microsoft.com/office/spreadsheetml/2009/9/main" objectType="CheckBox" fmlaLink="day_控件!$F$6" val="0"/>
</file>

<file path=xl/ctrlProps/ctrlProp8.xml><?xml version="1.0" encoding="utf-8"?>
<formControlPr xmlns="http://schemas.microsoft.com/office/spreadsheetml/2009/9/main" objectType="CheckBox" checked="Checked" fmlaLink="day_控件!$F$5" val="0"/>
</file>

<file path=xl/ctrlProps/ctrlProp9.xml><?xml version="1.0" encoding="utf-8"?>
<formControlPr xmlns="http://schemas.microsoft.com/office/spreadsheetml/2009/9/main" objectType="CheckBox" fmlaLink="day_控件!$F$7" val="0"/>
</file>

<file path=xl/ctrlProps/ctrlProp10.xml><?xml version="1.0" encoding="utf-8"?>
<formControlPr xmlns="http://schemas.microsoft.com/office/spreadsheetml/2009/9/main" objectType="Scroll" dx="22" fmlaLink="day_控件!$B$1" horiz="1" max="200" page="10" val="0"/>
</file>

<file path=xl/ctrlProps/ctrlProp11.xml><?xml version="1.0" encoding="utf-8"?>
<formControlPr xmlns="http://schemas.microsoft.com/office/spreadsheetml/2009/9/main" objectType="CheckBox" checked="Checked" fmlaLink="week_data!$M$1" val="0"/>
</file>

<file path=xl/ctrlProps/ctrlProp12.xml><?xml version="1.0" encoding="utf-8"?>
<formControlPr xmlns="http://schemas.microsoft.com/office/spreadsheetml/2009/9/main" objectType="CheckBox" fmlaLink="week_data!$M$2" val="0"/>
</file>

<file path=xl/ctrlProps/ctrlProp13.xml><?xml version="1.0" encoding="utf-8"?>
<formControlPr xmlns="http://schemas.microsoft.com/office/spreadsheetml/2009/9/main" objectType="CheckBox" fmlaLink="week_data!$M$3" val="0"/>
</file>

<file path=xl/ctrlProps/ctrlProp14.xml><?xml version="1.0" encoding="utf-8"?>
<formControlPr xmlns="http://schemas.microsoft.com/office/spreadsheetml/2009/9/main" objectType="CheckBox" fmlaLink="week_data!$M$7" val="0"/>
</file>

<file path=xl/ctrlProps/ctrlProp15.xml><?xml version="1.0" encoding="utf-8"?>
<formControlPr xmlns="http://schemas.microsoft.com/office/spreadsheetml/2009/9/main" objectType="CheckBox" fmlaLink="week_data!$M$5" val="0"/>
</file>

<file path=xl/ctrlProps/ctrlProp16.xml><?xml version="1.0" encoding="utf-8"?>
<formControlPr xmlns="http://schemas.microsoft.com/office/spreadsheetml/2009/9/main" objectType="CheckBox" fmlaLink="week_data!$M$4" val="0"/>
</file>

<file path=xl/ctrlProps/ctrlProp17.xml><?xml version="1.0" encoding="utf-8"?>
<formControlPr xmlns="http://schemas.microsoft.com/office/spreadsheetml/2009/9/main" objectType="CheckBox" fmlaLink="week_data!$M$6" val="0"/>
</file>

<file path=xl/ctrlProps/ctrlProp18.xml><?xml version="1.0" encoding="utf-8"?>
<formControlPr xmlns="http://schemas.microsoft.com/office/spreadsheetml/2009/9/main" objectType="CheckBox" fmlaLink="week_data!$M$8" val="0"/>
</file>

<file path=xl/ctrlProps/ctrlProp19.xml><?xml version="1.0" encoding="utf-8"?>
<formControlPr xmlns="http://schemas.microsoft.com/office/spreadsheetml/2009/9/main" objectType="Scroll" dx="22" fmlaLink="week_data!$K$1" horiz="1" max="100" page="10" val="24"/>
</file>

<file path=xl/ctrlProps/ctrlProp20.xml><?xml version="1.0" encoding="utf-8"?>
<formControlPr xmlns="http://schemas.microsoft.com/office/spreadsheetml/2009/9/main" objectType="CheckBox" checked="Checked" fmlaLink="month_data!$Q$1" val="0"/>
</file>

<file path=xl/ctrlProps/ctrlProp21.xml><?xml version="1.0" encoding="utf-8"?>
<formControlPr xmlns="http://schemas.microsoft.com/office/spreadsheetml/2009/9/main" objectType="CheckBox" fmlaLink="month_data!$Q$2" val="0"/>
</file>

<file path=xl/ctrlProps/ctrlProp22.xml><?xml version="1.0" encoding="utf-8"?>
<formControlPr xmlns="http://schemas.microsoft.com/office/spreadsheetml/2009/9/main" objectType="CheckBox" fmlaLink="month_data!$Q$3" val="0"/>
</file>

<file path=xl/ctrlProps/ctrlProp23.xml><?xml version="1.0" encoding="utf-8"?>
<formControlPr xmlns="http://schemas.microsoft.com/office/spreadsheetml/2009/9/main" objectType="CheckBox" checked="Checked" fmlaLink="month_data!$Q$4" val="0"/>
</file>

<file path=xl/ctrlProps/ctrlProp24.xml><?xml version="1.0" encoding="utf-8"?>
<formControlPr xmlns="http://schemas.microsoft.com/office/spreadsheetml/2009/9/main" objectType="CheckBox" fmlaLink="month_data!$Q$5" val="0"/>
</file>

<file path=xl/ctrlProps/ctrlProp25.xml><?xml version="1.0" encoding="utf-8"?>
<formControlPr xmlns="http://schemas.microsoft.com/office/spreadsheetml/2009/9/main" objectType="CheckBox" fmlaLink="month_data!$Q$6" val="0"/>
</file>

<file path=xl/ctrlProps/ctrlProp26.xml><?xml version="1.0" encoding="utf-8"?>
<formControlPr xmlns="http://schemas.microsoft.com/office/spreadsheetml/2009/9/main" objectType="CheckBox" fmlaLink="month_data!$Q$7" val="0"/>
</file>

<file path=xl/ctrlProps/ctrlProp27.xml><?xml version="1.0" encoding="utf-8"?>
<formControlPr xmlns="http://schemas.microsoft.com/office/spreadsheetml/2009/9/main" objectType="CheckBox" fmlaLink="month_data!$Q$8" val="0"/>
</file>

<file path=xl/ctrlProps/ctrlProp28.xml><?xml version="1.0" encoding="utf-8"?>
<formControlPr xmlns="http://schemas.microsoft.com/office/spreadsheetml/2009/9/main" objectType="CheckBox" checked="Checked" fmlaLink="month_data!$Q$9" val="0"/>
</file>

<file path=xl/customStorage/customStorage.xml><?xml version="1.0" encoding="utf-8"?>
<customStorage xmlns="https://web.wps.cn/et/2018/main">
  <book/>
  <sheets/>
</customStorag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314325</xdr:colOff>
          <xdr:row>1</xdr:row>
          <xdr:rowOff>152400</xdr:rowOff>
        </xdr:from>
        <xdr:to>
          <xdr:col>13</xdr:col>
          <xdr:colOff>581025</xdr:colOff>
          <xdr:row>2</xdr:row>
          <xdr:rowOff>219075</xdr:rowOff>
        </xdr:to>
        <xdr:sp>
          <xdr:nvSpPr>
            <xdr:cNvPr id="9217" name="Scroll Bar 1" hidden="1">
              <a:extLst>
                <a:ext uri="{63B3BB69-23CF-44E3-9099-C40C66FF867C}">
                  <a14:compatExt spid="_x0000_s9217"/>
                </a:ext>
              </a:extLst>
            </xdr:cNvPr>
            <xdr:cNvSpPr/>
          </xdr:nvSpPr>
          <xdr:spPr>
            <a:xfrm>
              <a:off x="5362575" y="381000"/>
              <a:ext cx="3962400" cy="2476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276225</xdr:colOff>
          <xdr:row>6</xdr:row>
          <xdr:rowOff>0</xdr:rowOff>
        </xdr:from>
        <xdr:to>
          <xdr:col>3</xdr:col>
          <xdr:colOff>0</xdr:colOff>
          <xdr:row>7</xdr:row>
          <xdr:rowOff>0</xdr:rowOff>
        </xdr:to>
        <xdr:sp>
          <xdr:nvSpPr>
            <xdr:cNvPr id="9218" name="Check Box 2" hidden="1">
              <a:extLst>
                <a:ext uri="{63B3BB69-23CF-44E3-9099-C40C66FF867C}">
                  <a14:compatExt spid="_x0000_s9218"/>
                </a:ext>
              </a:extLst>
            </xdr:cNvPr>
            <xdr:cNvSpPr/>
          </xdr:nvSpPr>
          <xdr:spPr>
            <a:xfrm>
              <a:off x="276225" y="1514475"/>
              <a:ext cx="1085850" cy="438150"/>
            </a:xfrm>
            <a:prstGeom prst="rect">
              <a:avLst/>
            </a:prstGeom>
          </xdr:spPr>
          <xdr:txBody>
            <a:bodyPr/>
            <a:p>
              <a:endParaRPr lang="zh-CN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276225</xdr:colOff>
          <xdr:row>7</xdr:row>
          <xdr:rowOff>0</xdr:rowOff>
        </xdr:from>
        <xdr:to>
          <xdr:col>3</xdr:col>
          <xdr:colOff>0</xdr:colOff>
          <xdr:row>8</xdr:row>
          <xdr:rowOff>0</xdr:rowOff>
        </xdr:to>
        <xdr:sp>
          <xdr:nvSpPr>
            <xdr:cNvPr id="9219" name="Check Box 3" hidden="1">
              <a:extLst>
                <a:ext uri="{63B3BB69-23CF-44E3-9099-C40C66FF867C}">
                  <a14:compatExt spid="_x0000_s9219"/>
                </a:ext>
              </a:extLst>
            </xdr:cNvPr>
            <xdr:cNvSpPr/>
          </xdr:nvSpPr>
          <xdr:spPr>
            <a:xfrm>
              <a:off x="276225" y="1952625"/>
              <a:ext cx="1085850" cy="438150"/>
            </a:xfrm>
            <a:prstGeom prst="rect">
              <a:avLst/>
            </a:prstGeom>
          </xdr:spPr>
          <xdr:txBody>
            <a:bodyPr/>
            <a:p>
              <a:endParaRPr lang="zh-CN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276225</xdr:colOff>
          <xdr:row>8</xdr:row>
          <xdr:rowOff>0</xdr:rowOff>
        </xdr:from>
        <xdr:to>
          <xdr:col>3</xdr:col>
          <xdr:colOff>0</xdr:colOff>
          <xdr:row>9</xdr:row>
          <xdr:rowOff>0</xdr:rowOff>
        </xdr:to>
        <xdr:sp>
          <xdr:nvSpPr>
            <xdr:cNvPr id="9220" name="Check Box 4" hidden="1">
              <a:extLst>
                <a:ext uri="{63B3BB69-23CF-44E3-9099-C40C66FF867C}">
                  <a14:compatExt spid="_x0000_s9220"/>
                </a:ext>
              </a:extLst>
            </xdr:cNvPr>
            <xdr:cNvSpPr/>
          </xdr:nvSpPr>
          <xdr:spPr>
            <a:xfrm>
              <a:off x="276225" y="2390775"/>
              <a:ext cx="1085850" cy="438150"/>
            </a:xfrm>
            <a:prstGeom prst="rect">
              <a:avLst/>
            </a:prstGeom>
          </xdr:spPr>
          <xdr:txBody>
            <a:bodyPr/>
            <a:p>
              <a:endParaRPr lang="zh-CN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276225</xdr:colOff>
          <xdr:row>5</xdr:row>
          <xdr:rowOff>0</xdr:rowOff>
        </xdr:from>
        <xdr:to>
          <xdr:col>3</xdr:col>
          <xdr:colOff>0</xdr:colOff>
          <xdr:row>6</xdr:row>
          <xdr:rowOff>0</xdr:rowOff>
        </xdr:to>
        <xdr:sp>
          <xdr:nvSpPr>
            <xdr:cNvPr id="9221" name="Check Box 5" hidden="1">
              <a:extLst>
                <a:ext uri="{63B3BB69-23CF-44E3-9099-C40C66FF867C}">
                  <a14:compatExt spid="_x0000_s9221"/>
                </a:ext>
              </a:extLst>
            </xdr:cNvPr>
            <xdr:cNvSpPr/>
          </xdr:nvSpPr>
          <xdr:spPr>
            <a:xfrm>
              <a:off x="276225" y="1076325"/>
              <a:ext cx="1085850" cy="438150"/>
            </a:xfrm>
            <a:prstGeom prst="rect">
              <a:avLst/>
            </a:prstGeom>
          </xdr:spPr>
          <xdr:txBody>
            <a:bodyPr/>
            <a:p>
              <a:endParaRPr lang="zh-CN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11</xdr:row>
          <xdr:rowOff>438150</xdr:rowOff>
        </xdr:from>
        <xdr:to>
          <xdr:col>3</xdr:col>
          <xdr:colOff>19050</xdr:colOff>
          <xdr:row>13</xdr:row>
          <xdr:rowOff>0</xdr:rowOff>
        </xdr:to>
        <xdr:sp>
          <xdr:nvSpPr>
            <xdr:cNvPr id="9222" name="Check Box 6" hidden="1">
              <a:extLst>
                <a:ext uri="{63B3BB69-23CF-44E3-9099-C40C66FF867C}">
                  <a14:compatExt spid="_x0000_s9222"/>
                </a:ext>
              </a:extLst>
            </xdr:cNvPr>
            <xdr:cNvSpPr/>
          </xdr:nvSpPr>
          <xdr:spPr>
            <a:xfrm>
              <a:off x="276225" y="4143375"/>
              <a:ext cx="1104900" cy="438150"/>
            </a:xfrm>
            <a:prstGeom prst="rect">
              <a:avLst/>
            </a:prstGeom>
          </xdr:spPr>
          <xdr:txBody>
            <a:bodyPr/>
            <a:p>
              <a:endParaRPr lang="zh-CN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276225</xdr:colOff>
          <xdr:row>10</xdr:row>
          <xdr:rowOff>0</xdr:rowOff>
        </xdr:from>
        <xdr:to>
          <xdr:col>3</xdr:col>
          <xdr:colOff>0</xdr:colOff>
          <xdr:row>11</xdr:row>
          <xdr:rowOff>0</xdr:rowOff>
        </xdr:to>
        <xdr:sp>
          <xdr:nvSpPr>
            <xdr:cNvPr id="9223" name="Check Box 7" hidden="1">
              <a:extLst>
                <a:ext uri="{63B3BB69-23CF-44E3-9099-C40C66FF867C}">
                  <a14:compatExt spid="_x0000_s9223"/>
                </a:ext>
              </a:extLst>
            </xdr:cNvPr>
            <xdr:cNvSpPr/>
          </xdr:nvSpPr>
          <xdr:spPr>
            <a:xfrm>
              <a:off x="276225" y="3267075"/>
              <a:ext cx="1085850" cy="438150"/>
            </a:xfrm>
            <a:prstGeom prst="rect">
              <a:avLst/>
            </a:prstGeom>
          </xdr:spPr>
          <xdr:txBody>
            <a:bodyPr/>
            <a:p>
              <a:endParaRPr lang="zh-CN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276225</xdr:colOff>
          <xdr:row>9</xdr:row>
          <xdr:rowOff>0</xdr:rowOff>
        </xdr:from>
        <xdr:to>
          <xdr:col>3</xdr:col>
          <xdr:colOff>0</xdr:colOff>
          <xdr:row>10</xdr:row>
          <xdr:rowOff>0</xdr:rowOff>
        </xdr:to>
        <xdr:sp>
          <xdr:nvSpPr>
            <xdr:cNvPr id="9224" name="Check Box 8" hidden="1">
              <a:extLst>
                <a:ext uri="{63B3BB69-23CF-44E3-9099-C40C66FF867C}">
                  <a14:compatExt spid="_x0000_s9224"/>
                </a:ext>
              </a:extLst>
            </xdr:cNvPr>
            <xdr:cNvSpPr/>
          </xdr:nvSpPr>
          <xdr:spPr>
            <a:xfrm>
              <a:off x="276225" y="2828925"/>
              <a:ext cx="1085850" cy="438150"/>
            </a:xfrm>
            <a:prstGeom prst="rect">
              <a:avLst/>
            </a:prstGeom>
          </xdr:spPr>
          <xdr:txBody>
            <a:bodyPr/>
            <a:p>
              <a:endParaRPr lang="zh-CN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276225</xdr:colOff>
          <xdr:row>11</xdr:row>
          <xdr:rowOff>0</xdr:rowOff>
        </xdr:from>
        <xdr:to>
          <xdr:col>3</xdr:col>
          <xdr:colOff>0</xdr:colOff>
          <xdr:row>12</xdr:row>
          <xdr:rowOff>0</xdr:rowOff>
        </xdr:to>
        <xdr:sp>
          <xdr:nvSpPr>
            <xdr:cNvPr id="9225" name="Check Box 9" hidden="1">
              <a:extLst>
                <a:ext uri="{63B3BB69-23CF-44E3-9099-C40C66FF867C}">
                  <a14:compatExt spid="_x0000_s9225"/>
                </a:ext>
              </a:extLst>
            </xdr:cNvPr>
            <xdr:cNvSpPr/>
          </xdr:nvSpPr>
          <xdr:spPr>
            <a:xfrm>
              <a:off x="276225" y="3705225"/>
              <a:ext cx="1085850" cy="438150"/>
            </a:xfrm>
            <a:prstGeom prst="rect">
              <a:avLst/>
            </a:prstGeom>
          </xdr:spPr>
          <xdr:txBody>
            <a:bodyPr/>
            <a:p>
              <a:endParaRPr lang="zh-CN" altLang="en-US"/>
            </a:p>
          </xdr:txBody>
        </xdr:sp>
        <xdr:clientData/>
      </xdr:twoCellAnchor>
    </mc:Choice>
    <mc:Fallback/>
  </mc:AlternateContent>
  <xdr:twoCellAnchor editAs="oneCell">
    <xdr:from>
      <xdr:col>17</xdr:col>
      <xdr:colOff>997323</xdr:colOff>
      <xdr:row>0</xdr:row>
      <xdr:rowOff>22412</xdr:rowOff>
    </xdr:from>
    <xdr:to>
      <xdr:col>20</xdr:col>
      <xdr:colOff>121584</xdr:colOff>
      <xdr:row>15</xdr:row>
      <xdr:rowOff>11208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11" name="SKU 2"/>
            <xdr:cNvGraphicFramePr>
              <a:graphicFrameLocks noChangeAspect="1" noMove="1" noResize="1"/>
            </xdr:cNvGraphicFramePr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KU 2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3017500" y="22225"/>
              <a:ext cx="1734185" cy="493204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此形状表示切片器。
当前版本不支持切片器，请升级到最新版的WPS。</a:t>
              </a:r>
            </a:p>
          </xdr:txBody>
        </xdr:sp>
      </mc:Fallback>
    </mc:AlternateContent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>
      <xdr:nvSpPr>
        <xdr:cNvPr id="13" name="年月日 2"/>
        <xdr:cNvSpPr/>
      </xdr:nvSpPr>
      <xdr:spPr>
        <a:xfrm>
          <a:off x="0" y="0"/>
          <a:ext cx="0" cy="0"/>
        </a:xfrm>
      </xdr:spPr>
    </xdr:sp>
    <xdr:clientData/>
  </xdr:twoCellAnchor>
  <xdr:twoCellAnchor editAs="oneCell">
    <xdr:from>
      <xdr:col>0</xdr:col>
      <xdr:colOff>11203</xdr:colOff>
      <xdr:row>0</xdr:row>
      <xdr:rowOff>0</xdr:rowOff>
    </xdr:from>
    <xdr:to>
      <xdr:col>7</xdr:col>
      <xdr:colOff>647922</xdr:colOff>
      <xdr:row>4</xdr:row>
      <xdr:rowOff>44823</xdr:rowOff>
    </xdr:to>
    <xdr:sp>
      <xdr:nvSpPr>
        <xdr:cNvPr id="2" name="矩形 1"/>
        <xdr:cNvSpPr>
          <a:spLocks noTextEdit="1"/>
        </xdr:cNvSpPr>
      </xdr:nvSpPr>
      <xdr:spPr>
        <a:xfrm>
          <a:off x="10795" y="0"/>
          <a:ext cx="4875530" cy="939800"/>
        </a:xfrm>
        <a:prstGeom prst="rect">
          <a:avLst/>
        </a:prstGeom>
        <a:solidFill>
          <a:prstClr val="white"/>
        </a:solidFill>
        <a:ln w="1">
          <a:solidFill>
            <a:prstClr val="green"/>
          </a:solidFill>
        </a:ln>
      </xdr:spPr>
      <xdr:txBody>
        <a:bodyPr vertOverflow="clip" horzOverflow="clip"/>
        <a:lstStyle/>
        <a:p>
          <a:r>
            <a:rPr lang="zh-CN" altLang="en-US" sz="1100"/>
            <a:t>日程表: 适用于 Excel 或更高版本。请勿移动或调整大小。</a:t>
          </a:r>
          <a:endParaRPr lang="zh-CN" altLang="en-US" sz="1100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323850</xdr:colOff>
          <xdr:row>0</xdr:row>
          <xdr:rowOff>19050</xdr:rowOff>
        </xdr:from>
        <xdr:to>
          <xdr:col>13</xdr:col>
          <xdr:colOff>590550</xdr:colOff>
          <xdr:row>1</xdr:row>
          <xdr:rowOff>28575</xdr:rowOff>
        </xdr:to>
        <xdr:sp>
          <xdr:nvSpPr>
            <xdr:cNvPr id="9226" name="Scroll Bar 10" hidden="1">
              <a:extLst>
                <a:ext uri="{63B3BB69-23CF-44E3-9099-C40C66FF867C}">
                  <a14:compatExt spid="_x0000_s9226"/>
                </a:ext>
              </a:extLst>
            </xdr:cNvPr>
            <xdr:cNvSpPr/>
          </xdr:nvSpPr>
          <xdr:spPr>
            <a:xfrm>
              <a:off x="5372100" y="19050"/>
              <a:ext cx="3962400" cy="238125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>
    <xdr:from>
      <xdr:col>3</xdr:col>
      <xdr:colOff>12223</xdr:colOff>
      <xdr:row>4</xdr:row>
      <xdr:rowOff>145676</xdr:rowOff>
    </xdr:from>
    <xdr:to>
      <xdr:col>17</xdr:col>
      <xdr:colOff>941294</xdr:colOff>
      <xdr:row>14</xdr:row>
      <xdr:rowOff>89647</xdr:rowOff>
    </xdr:to>
    <xdr:graphicFrame>
      <xdr:nvGraphicFramePr>
        <xdr:cNvPr id="18" name="图表 17"/>
        <xdr:cNvGraphicFramePr>
          <a:graphicFrameLocks noChangeAspect="1"/>
        </xdr:cNvGraphicFramePr>
      </xdr:nvGraphicFramePr>
      <xdr:xfrm>
        <a:off x="1374140" y="1040765"/>
        <a:ext cx="11587480" cy="381127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7</xdr:col>
      <xdr:colOff>666750</xdr:colOff>
      <xdr:row>7</xdr:row>
      <xdr:rowOff>133350</xdr:rowOff>
    </xdr:from>
    <xdr:to>
      <xdr:col>9</xdr:col>
      <xdr:colOff>1028701</xdr:colOff>
      <xdr:row>20</xdr:row>
      <xdr:rowOff>19050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2" name="年月日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年月日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981825" y="1400175"/>
              <a:ext cx="2333625" cy="22383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此形状表示切片器。
当前版本不支持切片器，请升级到最新版的WPS。</a:t>
              </a:r>
            </a:p>
          </xdr:txBody>
        </xdr:sp>
      </mc:Fallback>
    </mc:AlternateContent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>
      <xdr:nvSpPr>
        <xdr:cNvPr id="2" name="年月日 1"/>
        <xdr:cNvSpPr>
          <a:spLocks noChangeAspect="1"/>
        </xdr:cNvSpPr>
      </xdr:nvSpPr>
      <xdr:spPr>
        <a:xfrm>
          <a:off x="0" y="0"/>
          <a:ext cx="0" cy="0"/>
        </a:xfrm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8</xdr:col>
      <xdr:colOff>342899</xdr:colOff>
      <xdr:row>4</xdr:row>
      <xdr:rowOff>114300</xdr:rowOff>
    </xdr:to>
    <xdr:sp>
      <xdr:nvSpPr>
        <xdr:cNvPr id="3" name="矩形 2"/>
        <xdr:cNvSpPr>
          <a:spLocks noTextEdit="1"/>
        </xdr:cNvSpPr>
      </xdr:nvSpPr>
      <xdr:spPr>
        <a:xfrm>
          <a:off x="0" y="0"/>
          <a:ext cx="4923790" cy="838200"/>
        </a:xfrm>
        <a:prstGeom prst="rect">
          <a:avLst/>
        </a:prstGeom>
        <a:solidFill>
          <a:prstClr val="white"/>
        </a:solidFill>
        <a:ln w="1">
          <a:solidFill>
            <a:prstClr val="green"/>
          </a:solidFill>
        </a:ln>
      </xdr:spPr>
      <xdr:txBody>
        <a:bodyPr vertOverflow="clip" horzOverflow="clip"/>
        <a:lstStyle/>
        <a:p>
          <a:r>
            <a:rPr lang="zh-CN" altLang="en-US" sz="1100"/>
            <a:t>日程表: 适用于 Excel 或更高版本。请勿移动或调整大小。</a:t>
          </a:r>
          <a:endParaRPr lang="zh-CN" altLang="en-US" sz="1100"/>
        </a:p>
      </xdr:txBody>
    </xdr:sp>
    <xdr:clientData/>
  </xdr:twoCellAnchor>
  <xdr:twoCellAnchor editAs="oneCell">
    <xdr:from>
      <xdr:col>19</xdr:col>
      <xdr:colOff>114300</xdr:colOff>
      <xdr:row>0</xdr:row>
      <xdr:rowOff>0</xdr:rowOff>
    </xdr:from>
    <xdr:to>
      <xdr:col>22</xdr:col>
      <xdr:colOff>19050</xdr:colOff>
      <xdr:row>18</xdr:row>
      <xdr:rowOff>57150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4" name="SKU 1"/>
            <xdr:cNvGraphicFramePr>
              <a:graphicFrameLocks noMove="1" noResize="1"/>
            </xdr:cNvGraphicFramePr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KU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239625" y="0"/>
              <a:ext cx="1962150" cy="49911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此形状表示切片器。
当前版本不支持切片器，请升级到最新版的WPS。</a:t>
              </a:r>
            </a:p>
          </xdr:txBody>
        </xdr:sp>
      </mc:Fallback>
    </mc:AlternateContent>
    <xdr:clientData/>
  </xdr:twoCellAnchor>
  <xdr:twoCellAnchor editAs="absolute">
    <xdr:from>
      <xdr:col>3</xdr:col>
      <xdr:colOff>247650</xdr:colOff>
      <xdr:row>6</xdr:row>
      <xdr:rowOff>0</xdr:rowOff>
    </xdr:from>
    <xdr:to>
      <xdr:col>15</xdr:col>
      <xdr:colOff>228600</xdr:colOff>
      <xdr:row>19</xdr:row>
      <xdr:rowOff>19050</xdr:rowOff>
    </xdr:to>
    <xdr:graphicFrame>
      <xdr:nvGraphicFramePr>
        <xdr:cNvPr id="5" name="图表 4"/>
        <xdr:cNvGraphicFramePr>
          <a:graphicFrameLocks noChangeAspect="1"/>
        </xdr:cNvGraphicFramePr>
      </xdr:nvGraphicFramePr>
      <xdr:xfrm>
        <a:off x="1400175" y="1085850"/>
        <a:ext cx="8210550" cy="40481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6</xdr:row>
          <xdr:rowOff>0</xdr:rowOff>
        </xdr:from>
        <xdr:to>
          <xdr:col>2</xdr:col>
          <xdr:colOff>428625</xdr:colOff>
          <xdr:row>7</xdr:row>
          <xdr:rowOff>0</xdr:rowOff>
        </xdr:to>
        <xdr:sp>
          <xdr:nvSpPr>
            <xdr:cNvPr id="11265" name="Check Box 2" hidden="1">
              <a:extLst>
                <a:ext uri="{63B3BB69-23CF-44E3-9099-C40C66FF867C}">
                  <a14:compatExt spid="_x0000_s11265"/>
                </a:ext>
              </a:extLst>
            </xdr:cNvPr>
            <xdr:cNvSpPr/>
          </xdr:nvSpPr>
          <xdr:spPr>
            <a:xfrm>
              <a:off x="209550" y="1085850"/>
              <a:ext cx="685800" cy="390525"/>
            </a:xfrm>
            <a:prstGeom prst="rect">
              <a:avLst/>
            </a:prstGeom>
          </xdr:spPr>
          <xdr:txBody>
            <a:bodyPr/>
            <a:p>
              <a:endParaRPr lang="zh-CN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7</xdr:row>
          <xdr:rowOff>0</xdr:rowOff>
        </xdr:from>
        <xdr:to>
          <xdr:col>2</xdr:col>
          <xdr:colOff>428625</xdr:colOff>
          <xdr:row>8</xdr:row>
          <xdr:rowOff>0</xdr:rowOff>
        </xdr:to>
        <xdr:sp>
          <xdr:nvSpPr>
            <xdr:cNvPr id="11266" name="Check Box 3" hidden="1">
              <a:extLst>
                <a:ext uri="{63B3BB69-23CF-44E3-9099-C40C66FF867C}">
                  <a14:compatExt spid="_x0000_s11266"/>
                </a:ext>
              </a:extLst>
            </xdr:cNvPr>
            <xdr:cNvSpPr/>
          </xdr:nvSpPr>
          <xdr:spPr>
            <a:xfrm>
              <a:off x="209550" y="1476375"/>
              <a:ext cx="685800" cy="390525"/>
            </a:xfrm>
            <a:prstGeom prst="rect">
              <a:avLst/>
            </a:prstGeom>
          </xdr:spPr>
          <xdr:txBody>
            <a:bodyPr/>
            <a:p>
              <a:endParaRPr lang="zh-CN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8</xdr:row>
          <xdr:rowOff>0</xdr:rowOff>
        </xdr:from>
        <xdr:to>
          <xdr:col>2</xdr:col>
          <xdr:colOff>428625</xdr:colOff>
          <xdr:row>9</xdr:row>
          <xdr:rowOff>0</xdr:rowOff>
        </xdr:to>
        <xdr:sp>
          <xdr:nvSpPr>
            <xdr:cNvPr id="11267" name="Check Box 4" hidden="1">
              <a:extLst>
                <a:ext uri="{63B3BB69-23CF-44E3-9099-C40C66FF867C}">
                  <a14:compatExt spid="_x0000_s11267"/>
                </a:ext>
              </a:extLst>
            </xdr:cNvPr>
            <xdr:cNvSpPr/>
          </xdr:nvSpPr>
          <xdr:spPr>
            <a:xfrm>
              <a:off x="209550" y="1866900"/>
              <a:ext cx="685800" cy="390525"/>
            </a:xfrm>
            <a:prstGeom prst="rect">
              <a:avLst/>
            </a:prstGeom>
          </xdr:spPr>
          <xdr:txBody>
            <a:bodyPr/>
            <a:p>
              <a:endParaRPr lang="zh-CN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12</xdr:row>
          <xdr:rowOff>0</xdr:rowOff>
        </xdr:from>
        <xdr:to>
          <xdr:col>2</xdr:col>
          <xdr:colOff>428625</xdr:colOff>
          <xdr:row>13</xdr:row>
          <xdr:rowOff>0</xdr:rowOff>
        </xdr:to>
        <xdr:sp>
          <xdr:nvSpPr>
            <xdr:cNvPr id="11269" name="Check Box 6" hidden="1">
              <a:extLst>
                <a:ext uri="{63B3BB69-23CF-44E3-9099-C40C66FF867C}">
                  <a14:compatExt spid="_x0000_s11269"/>
                </a:ext>
              </a:extLst>
            </xdr:cNvPr>
            <xdr:cNvSpPr/>
          </xdr:nvSpPr>
          <xdr:spPr>
            <a:xfrm>
              <a:off x="209550" y="3429000"/>
              <a:ext cx="685800" cy="390525"/>
            </a:xfrm>
            <a:prstGeom prst="rect">
              <a:avLst/>
            </a:prstGeom>
          </xdr:spPr>
          <xdr:txBody>
            <a:bodyPr/>
            <a:p>
              <a:endParaRPr lang="zh-CN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10</xdr:row>
          <xdr:rowOff>9525</xdr:rowOff>
        </xdr:from>
        <xdr:to>
          <xdr:col>2</xdr:col>
          <xdr:colOff>428625</xdr:colOff>
          <xdr:row>11</xdr:row>
          <xdr:rowOff>0</xdr:rowOff>
        </xdr:to>
        <xdr:sp>
          <xdr:nvSpPr>
            <xdr:cNvPr id="11270" name="Check Box 7" hidden="1">
              <a:extLst>
                <a:ext uri="{63B3BB69-23CF-44E3-9099-C40C66FF867C}">
                  <a14:compatExt spid="_x0000_s11270"/>
                </a:ext>
              </a:extLst>
            </xdr:cNvPr>
            <xdr:cNvSpPr/>
          </xdr:nvSpPr>
          <xdr:spPr>
            <a:xfrm>
              <a:off x="209550" y="2657475"/>
              <a:ext cx="685800" cy="381000"/>
            </a:xfrm>
            <a:prstGeom prst="rect">
              <a:avLst/>
            </a:prstGeom>
          </xdr:spPr>
          <xdr:txBody>
            <a:bodyPr/>
            <a:p>
              <a:endParaRPr lang="zh-CN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9</xdr:row>
          <xdr:rowOff>0</xdr:rowOff>
        </xdr:from>
        <xdr:to>
          <xdr:col>2</xdr:col>
          <xdr:colOff>428625</xdr:colOff>
          <xdr:row>10</xdr:row>
          <xdr:rowOff>0</xdr:rowOff>
        </xdr:to>
        <xdr:sp>
          <xdr:nvSpPr>
            <xdr:cNvPr id="11271" name="Check Box 8" hidden="1">
              <a:extLst>
                <a:ext uri="{63B3BB69-23CF-44E3-9099-C40C66FF867C}">
                  <a14:compatExt spid="_x0000_s11271"/>
                </a:ext>
              </a:extLst>
            </xdr:cNvPr>
            <xdr:cNvSpPr/>
          </xdr:nvSpPr>
          <xdr:spPr>
            <a:xfrm>
              <a:off x="209550" y="2257425"/>
              <a:ext cx="685800" cy="390525"/>
            </a:xfrm>
            <a:prstGeom prst="rect">
              <a:avLst/>
            </a:prstGeom>
          </xdr:spPr>
          <xdr:txBody>
            <a:bodyPr/>
            <a:p>
              <a:endParaRPr lang="zh-CN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11</xdr:row>
          <xdr:rowOff>0</xdr:rowOff>
        </xdr:from>
        <xdr:to>
          <xdr:col>2</xdr:col>
          <xdr:colOff>428625</xdr:colOff>
          <xdr:row>12</xdr:row>
          <xdr:rowOff>0</xdr:rowOff>
        </xdr:to>
        <xdr:sp>
          <xdr:nvSpPr>
            <xdr:cNvPr id="11272" name="Check Box 9" hidden="1">
              <a:extLst>
                <a:ext uri="{63B3BB69-23CF-44E3-9099-C40C66FF867C}">
                  <a14:compatExt spid="_x0000_s11272"/>
                </a:ext>
              </a:extLst>
            </xdr:cNvPr>
            <xdr:cNvSpPr/>
          </xdr:nvSpPr>
          <xdr:spPr>
            <a:xfrm>
              <a:off x="209550" y="3038475"/>
              <a:ext cx="685800" cy="390525"/>
            </a:xfrm>
            <a:prstGeom prst="rect">
              <a:avLst/>
            </a:prstGeom>
          </xdr:spPr>
          <xdr:txBody>
            <a:bodyPr/>
            <a:p>
              <a:endParaRPr lang="zh-CN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13</xdr:row>
          <xdr:rowOff>0</xdr:rowOff>
        </xdr:from>
        <xdr:to>
          <xdr:col>2</xdr:col>
          <xdr:colOff>428625</xdr:colOff>
          <xdr:row>14</xdr:row>
          <xdr:rowOff>0</xdr:rowOff>
        </xdr:to>
        <xdr:sp>
          <xdr:nvSpPr>
            <xdr:cNvPr id="11274" name="Check Box 6" hidden="1">
              <a:extLst>
                <a:ext uri="{63B3BB69-23CF-44E3-9099-C40C66FF867C}">
                  <a14:compatExt spid="_x0000_s11274"/>
                </a:ext>
              </a:extLst>
            </xdr:cNvPr>
            <xdr:cNvSpPr/>
          </xdr:nvSpPr>
          <xdr:spPr>
            <a:xfrm>
              <a:off x="209550" y="3819525"/>
              <a:ext cx="685800" cy="390525"/>
            </a:xfrm>
            <a:prstGeom prst="rect">
              <a:avLst/>
            </a:prstGeom>
          </xdr:spPr>
          <xdr:txBody>
            <a:bodyPr/>
            <a:p>
              <a:endParaRPr lang="zh-CN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0</xdr:row>
          <xdr:rowOff>104775</xdr:rowOff>
        </xdr:from>
        <xdr:to>
          <xdr:col>15</xdr:col>
          <xdr:colOff>0</xdr:colOff>
          <xdr:row>2</xdr:row>
          <xdr:rowOff>57150</xdr:rowOff>
        </xdr:to>
        <xdr:sp>
          <xdr:nvSpPr>
            <xdr:cNvPr id="11276" name="Scroll Bar 12" hidden="1">
              <a:extLst>
                <a:ext uri="{63B3BB69-23CF-44E3-9099-C40C66FF867C}">
                  <a14:compatExt spid="_x0000_s11276"/>
                </a:ext>
              </a:extLst>
            </xdr:cNvPr>
            <xdr:cNvSpPr/>
          </xdr:nvSpPr>
          <xdr:spPr>
            <a:xfrm>
              <a:off x="5267325" y="104775"/>
              <a:ext cx="4114800" cy="314325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15</xdr:col>
      <xdr:colOff>380999</xdr:colOff>
      <xdr:row>0</xdr:row>
      <xdr:rowOff>0</xdr:rowOff>
    </xdr:from>
    <xdr:to>
      <xdr:col>19</xdr:col>
      <xdr:colOff>95250</xdr:colOff>
      <xdr:row>19</xdr:row>
      <xdr:rowOff>47625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14" name="年月日 3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年月日 3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762490" y="0"/>
              <a:ext cx="2458085" cy="51625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此形状表示切片器。
当前版本不支持切片器，请升级到最新版的WPS。</a:t>
              </a:r>
            </a:p>
          </xdr:txBody>
        </xdr:sp>
      </mc:Fallback>
    </mc:AlternateContent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>
      <xdr:nvSpPr>
        <xdr:cNvPr id="2" name="Date 1"/>
        <xdr:cNvSpPr/>
      </xdr:nvSpPr>
      <xdr:spPr>
        <a:xfrm>
          <a:off x="0" y="0"/>
          <a:ext cx="0" cy="0"/>
        </a:xfrm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13</xdr:col>
      <xdr:colOff>466725</xdr:colOff>
      <xdr:row>5</xdr:row>
      <xdr:rowOff>142875</xdr:rowOff>
    </xdr:to>
    <xdr:sp>
      <xdr:nvSpPr>
        <xdr:cNvPr id="3" name="矩形 2"/>
        <xdr:cNvSpPr>
          <a:spLocks noTextEdit="1"/>
        </xdr:cNvSpPr>
      </xdr:nvSpPr>
      <xdr:spPr>
        <a:xfrm>
          <a:off x="0" y="0"/>
          <a:ext cx="9582150" cy="1047750"/>
        </a:xfrm>
        <a:prstGeom prst="rect">
          <a:avLst/>
        </a:prstGeom>
        <a:solidFill>
          <a:prstClr val="white"/>
        </a:solidFill>
        <a:ln w="1">
          <a:solidFill>
            <a:prstClr val="green"/>
          </a:solidFill>
        </a:ln>
      </xdr:spPr>
      <xdr:txBody>
        <a:bodyPr vertOverflow="clip" horzOverflow="clip"/>
        <a:lstStyle/>
        <a:p>
          <a:r>
            <a:rPr lang="zh-CN" altLang="en-US" sz="1100"/>
            <a:t>日程表: 适用于 Excel 或更高版本。请勿移动或调整大小。</a:t>
          </a:r>
          <a:endParaRPr lang="zh-CN" altLang="en-US" sz="1100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7</xdr:row>
          <xdr:rowOff>0</xdr:rowOff>
        </xdr:from>
        <xdr:to>
          <xdr:col>3</xdr:col>
          <xdr:colOff>0</xdr:colOff>
          <xdr:row>8</xdr:row>
          <xdr:rowOff>0</xdr:rowOff>
        </xdr:to>
        <xdr:sp>
          <xdr:nvSpPr>
            <xdr:cNvPr id="13313" name="Check Box 1" hidden="1">
              <a:extLst>
                <a:ext uri="{63B3BB69-23CF-44E3-9099-C40C66FF867C}">
                  <a14:compatExt spid="_x0000_s13313"/>
                </a:ext>
              </a:extLst>
            </xdr:cNvPr>
            <xdr:cNvSpPr/>
          </xdr:nvSpPr>
          <xdr:spPr>
            <a:xfrm>
              <a:off x="333375" y="1266825"/>
              <a:ext cx="1924050" cy="352425"/>
            </a:xfrm>
            <a:prstGeom prst="rect">
              <a:avLst/>
            </a:prstGeom>
          </xdr:spPr>
          <xdr:txBody>
            <a:bodyPr/>
            <a:p>
              <a:endParaRPr lang="zh-CN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8</xdr:row>
          <xdr:rowOff>0</xdr:rowOff>
        </xdr:from>
        <xdr:to>
          <xdr:col>3</xdr:col>
          <xdr:colOff>0</xdr:colOff>
          <xdr:row>9</xdr:row>
          <xdr:rowOff>0</xdr:rowOff>
        </xdr:to>
        <xdr:sp>
          <xdr:nvSpPr>
            <xdr:cNvPr id="13314" name="Check Box 2" hidden="1">
              <a:extLst>
                <a:ext uri="{63B3BB69-23CF-44E3-9099-C40C66FF867C}">
                  <a14:compatExt spid="_x0000_s13314"/>
                </a:ext>
              </a:extLst>
            </xdr:cNvPr>
            <xdr:cNvSpPr/>
          </xdr:nvSpPr>
          <xdr:spPr>
            <a:xfrm>
              <a:off x="333375" y="1619250"/>
              <a:ext cx="1924050" cy="352425"/>
            </a:xfrm>
            <a:prstGeom prst="rect">
              <a:avLst/>
            </a:prstGeom>
          </xdr:spPr>
          <xdr:txBody>
            <a:bodyPr/>
            <a:p>
              <a:endParaRPr lang="zh-CN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9</xdr:row>
          <xdr:rowOff>0</xdr:rowOff>
        </xdr:from>
        <xdr:to>
          <xdr:col>3</xdr:col>
          <xdr:colOff>0</xdr:colOff>
          <xdr:row>10</xdr:row>
          <xdr:rowOff>0</xdr:rowOff>
        </xdr:to>
        <xdr:sp>
          <xdr:nvSpPr>
            <xdr:cNvPr id="13315" name="Check Box 3" hidden="1">
              <a:extLst>
                <a:ext uri="{63B3BB69-23CF-44E3-9099-C40C66FF867C}">
                  <a14:compatExt spid="_x0000_s13315"/>
                </a:ext>
              </a:extLst>
            </xdr:cNvPr>
            <xdr:cNvSpPr/>
          </xdr:nvSpPr>
          <xdr:spPr>
            <a:xfrm>
              <a:off x="333375" y="1971675"/>
              <a:ext cx="1924050" cy="352425"/>
            </a:xfrm>
            <a:prstGeom prst="rect">
              <a:avLst/>
            </a:prstGeom>
          </xdr:spPr>
          <xdr:txBody>
            <a:bodyPr/>
            <a:p>
              <a:endParaRPr lang="zh-CN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10</xdr:row>
          <xdr:rowOff>0</xdr:rowOff>
        </xdr:from>
        <xdr:to>
          <xdr:col>3</xdr:col>
          <xdr:colOff>0</xdr:colOff>
          <xdr:row>11</xdr:row>
          <xdr:rowOff>0</xdr:rowOff>
        </xdr:to>
        <xdr:sp>
          <xdr:nvSpPr>
            <xdr:cNvPr id="13316" name="Check Box 4" hidden="1">
              <a:extLst>
                <a:ext uri="{63B3BB69-23CF-44E3-9099-C40C66FF867C}">
                  <a14:compatExt spid="_x0000_s13316"/>
                </a:ext>
              </a:extLst>
            </xdr:cNvPr>
            <xdr:cNvSpPr/>
          </xdr:nvSpPr>
          <xdr:spPr>
            <a:xfrm>
              <a:off x="333375" y="2324100"/>
              <a:ext cx="1924050" cy="352425"/>
            </a:xfrm>
            <a:prstGeom prst="rect">
              <a:avLst/>
            </a:prstGeom>
          </xdr:spPr>
          <xdr:txBody>
            <a:bodyPr/>
            <a:p>
              <a:endParaRPr lang="zh-CN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11</xdr:row>
          <xdr:rowOff>0</xdr:rowOff>
        </xdr:from>
        <xdr:to>
          <xdr:col>3</xdr:col>
          <xdr:colOff>0</xdr:colOff>
          <xdr:row>12</xdr:row>
          <xdr:rowOff>0</xdr:rowOff>
        </xdr:to>
        <xdr:sp>
          <xdr:nvSpPr>
            <xdr:cNvPr id="13317" name="Check Box 5" hidden="1">
              <a:extLst>
                <a:ext uri="{63B3BB69-23CF-44E3-9099-C40C66FF867C}">
                  <a14:compatExt spid="_x0000_s13317"/>
                </a:ext>
              </a:extLst>
            </xdr:cNvPr>
            <xdr:cNvSpPr/>
          </xdr:nvSpPr>
          <xdr:spPr>
            <a:xfrm>
              <a:off x="333375" y="2676525"/>
              <a:ext cx="1924050" cy="352425"/>
            </a:xfrm>
            <a:prstGeom prst="rect">
              <a:avLst/>
            </a:prstGeom>
          </xdr:spPr>
          <xdr:txBody>
            <a:bodyPr/>
            <a:p>
              <a:endParaRPr lang="zh-CN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12</xdr:row>
          <xdr:rowOff>0</xdr:rowOff>
        </xdr:from>
        <xdr:to>
          <xdr:col>3</xdr:col>
          <xdr:colOff>0</xdr:colOff>
          <xdr:row>13</xdr:row>
          <xdr:rowOff>0</xdr:rowOff>
        </xdr:to>
        <xdr:sp>
          <xdr:nvSpPr>
            <xdr:cNvPr id="13318" name="Check Box 6" hidden="1">
              <a:extLst>
                <a:ext uri="{63B3BB69-23CF-44E3-9099-C40C66FF867C}">
                  <a14:compatExt spid="_x0000_s13318"/>
                </a:ext>
              </a:extLst>
            </xdr:cNvPr>
            <xdr:cNvSpPr/>
          </xdr:nvSpPr>
          <xdr:spPr>
            <a:xfrm>
              <a:off x="333375" y="3028950"/>
              <a:ext cx="1924050" cy="352425"/>
            </a:xfrm>
            <a:prstGeom prst="rect">
              <a:avLst/>
            </a:prstGeom>
          </xdr:spPr>
          <xdr:txBody>
            <a:bodyPr/>
            <a:p>
              <a:endParaRPr lang="zh-CN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13</xdr:row>
          <xdr:rowOff>0</xdr:rowOff>
        </xdr:from>
        <xdr:to>
          <xdr:col>3</xdr:col>
          <xdr:colOff>0</xdr:colOff>
          <xdr:row>14</xdr:row>
          <xdr:rowOff>0</xdr:rowOff>
        </xdr:to>
        <xdr:sp>
          <xdr:nvSpPr>
            <xdr:cNvPr id="13319" name="Check Box 7" hidden="1">
              <a:extLst>
                <a:ext uri="{63B3BB69-23CF-44E3-9099-C40C66FF867C}">
                  <a14:compatExt spid="_x0000_s13319"/>
                </a:ext>
              </a:extLst>
            </xdr:cNvPr>
            <xdr:cNvSpPr/>
          </xdr:nvSpPr>
          <xdr:spPr>
            <a:xfrm>
              <a:off x="333375" y="3381375"/>
              <a:ext cx="1924050" cy="352425"/>
            </a:xfrm>
            <a:prstGeom prst="rect">
              <a:avLst/>
            </a:prstGeom>
          </xdr:spPr>
          <xdr:txBody>
            <a:bodyPr/>
            <a:p>
              <a:endParaRPr lang="zh-CN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14</xdr:row>
          <xdr:rowOff>0</xdr:rowOff>
        </xdr:from>
        <xdr:to>
          <xdr:col>3</xdr:col>
          <xdr:colOff>0</xdr:colOff>
          <xdr:row>15</xdr:row>
          <xdr:rowOff>0</xdr:rowOff>
        </xdr:to>
        <xdr:sp>
          <xdr:nvSpPr>
            <xdr:cNvPr id="13320" name="Check Box 8" hidden="1">
              <a:extLst>
                <a:ext uri="{63B3BB69-23CF-44E3-9099-C40C66FF867C}">
                  <a14:compatExt spid="_x0000_s13320"/>
                </a:ext>
              </a:extLst>
            </xdr:cNvPr>
            <xdr:cNvSpPr/>
          </xdr:nvSpPr>
          <xdr:spPr>
            <a:xfrm>
              <a:off x="333375" y="3733800"/>
              <a:ext cx="1924050" cy="352425"/>
            </a:xfrm>
            <a:prstGeom prst="rect">
              <a:avLst/>
            </a:prstGeom>
          </xdr:spPr>
          <xdr:txBody>
            <a:bodyPr/>
            <a:p>
              <a:endParaRPr lang="zh-CN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15</xdr:row>
          <xdr:rowOff>0</xdr:rowOff>
        </xdr:from>
        <xdr:to>
          <xdr:col>3</xdr:col>
          <xdr:colOff>0</xdr:colOff>
          <xdr:row>16</xdr:row>
          <xdr:rowOff>0</xdr:rowOff>
        </xdr:to>
        <xdr:sp>
          <xdr:nvSpPr>
            <xdr:cNvPr id="13321" name="Check Box 9" hidden="1">
              <a:extLst>
                <a:ext uri="{63B3BB69-23CF-44E3-9099-C40C66FF867C}">
                  <a14:compatExt spid="_x0000_s13321"/>
                </a:ext>
              </a:extLst>
            </xdr:cNvPr>
            <xdr:cNvSpPr/>
          </xdr:nvSpPr>
          <xdr:spPr>
            <a:xfrm>
              <a:off x="333375" y="4086225"/>
              <a:ext cx="1924050" cy="352425"/>
            </a:xfrm>
            <a:prstGeom prst="rect">
              <a:avLst/>
            </a:prstGeom>
          </xdr:spPr>
          <xdr:txBody>
            <a:bodyPr/>
            <a:p>
              <a:endParaRPr lang="zh-CN" altLang="en-US"/>
            </a:p>
          </xdr:txBody>
        </xdr:sp>
        <xdr:clientData/>
      </xdr:twoCellAnchor>
    </mc:Choice>
    <mc:Fallback/>
  </mc:AlternateContent>
  <xdr:twoCellAnchor>
    <xdr:from>
      <xdr:col>3</xdr:col>
      <xdr:colOff>38100</xdr:colOff>
      <xdr:row>6</xdr:row>
      <xdr:rowOff>47624</xdr:rowOff>
    </xdr:from>
    <xdr:to>
      <xdr:col>14</xdr:col>
      <xdr:colOff>133350</xdr:colOff>
      <xdr:row>15</xdr:row>
      <xdr:rowOff>161924</xdr:rowOff>
    </xdr:to>
    <xdr:graphicFrame>
      <xdr:nvGraphicFramePr>
        <xdr:cNvPr id="13" name="图表 12"/>
        <xdr:cNvGraphicFramePr/>
      </xdr:nvGraphicFramePr>
      <xdr:xfrm>
        <a:off x="2295525" y="1132840"/>
        <a:ext cx="7639050" cy="311467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14</xdr:col>
      <xdr:colOff>85725</xdr:colOff>
      <xdr:row>0</xdr:row>
      <xdr:rowOff>57149</xdr:rowOff>
    </xdr:from>
    <xdr:to>
      <xdr:col>16</xdr:col>
      <xdr:colOff>542925</xdr:colOff>
      <xdr:row>14</xdr:row>
      <xdr:rowOff>238124</xdr:rowOff>
    </xdr:to>
    <xdr:sp>
      <xdr:nvSpPr>
        <xdr:cNvPr id="14" name="SKU 3"/>
        <xdr:cNvSpPr>
          <a:spLocks noMove="1" noResize="1"/>
        </xdr:cNvSpPr>
      </xdr:nvSpPr>
      <xdr:spPr>
        <a:xfrm>
          <a:off x="9886950" y="56515"/>
          <a:ext cx="1828800" cy="3914775"/>
        </a:xfrm>
      </xdr:spPr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6" refreshedVersion="6" minRefreshableVersion="3" missingItemsLimit="0" refreshedDate="43482.720543287" refreshedBy="Dylan" recordCount="1256">
  <cacheSource type="worksheet">
    <worksheetSource ref="A1:L1048576" sheet="query"/>
  </cacheSource>
  <cacheFields count="12">
    <cacheField name="年月日" numFmtId="0">
      <sharedItems containsString="0" containsBlank="1" containsNonDate="0" containsDate="1" minDate="2018-05-02T00:00:00" maxDate="2019-01-13T00:00:00" count="258">
        <d v="2018-05-02T00:00:00"/>
        <d v="2018-05-03T00:00:00"/>
        <d v="2018-05-04T00:00:00"/>
        <d v="2018-05-05T00:00:00"/>
        <d v="2018-05-06T00:00:00"/>
        <d v="2018-05-07T00:00:00"/>
        <d v="2018-05-08T00:00:00"/>
        <d v="2018-05-09T00:00:00"/>
        <d v="2018-05-10T00:00:00"/>
        <d v="2018-05-11T00:00:00"/>
        <d v="2018-05-12T00:00:00"/>
        <d v="2018-05-13T00:00:00"/>
        <d v="2018-05-14T00:00:00"/>
        <d v="2018-05-15T00:00:00"/>
        <d v="2018-05-16T00:00:00"/>
        <d v="2018-05-17T00:00:00"/>
        <d v="2018-05-18T00:00:00"/>
        <d v="2018-05-19T00:00:00"/>
        <d v="2018-05-20T00:00:00"/>
        <d v="2018-05-21T00:00:00"/>
        <d v="2018-05-22T00:00:00"/>
        <d v="2018-05-23T00:00:00"/>
        <d v="2018-05-24T00:00:00"/>
        <d v="2018-05-25T00:00:00"/>
        <d v="2018-05-26T00:00:00"/>
        <d v="2018-05-27T00:00:00"/>
        <d v="2018-05-28T00:00:00"/>
        <d v="2018-05-29T00:00:00"/>
        <d v="2018-05-30T00:00:00"/>
        <d v="2018-05-31T00:00:00"/>
        <d v="2018-06-01T00:00:00"/>
        <d v="2018-06-02T00:00:00"/>
        <d v="2018-06-03T00:00:00"/>
        <d v="2018-06-04T00:00:00"/>
        <d v="2018-06-05T00:00:00"/>
        <d v="2018-06-06T00:00:00"/>
        <d v="2018-06-07T00:00:00"/>
        <d v="2018-06-08T00:00:00"/>
        <d v="2018-06-09T00:00:00"/>
        <d v="2018-06-10T00:00:00"/>
        <d v="2018-06-11T00:00:00"/>
        <d v="2018-06-12T00:00:00"/>
        <d v="2018-06-13T00:00:00"/>
        <d v="2018-06-14T00:00:00"/>
        <d v="2018-06-15T00:00:00"/>
        <d v="2018-06-16T00:00:00"/>
        <d v="2018-06-17T00:00:00"/>
        <d v="2018-06-18T00:00:00"/>
        <d v="2018-06-19T00:00:00"/>
        <d v="2018-06-20T00:00:00"/>
        <d v="2018-06-21T00:00:00"/>
        <d v="2018-06-22T00:00:00"/>
        <d v="2018-06-23T00:00:00"/>
        <d v="2018-06-24T00:00:00"/>
        <d v="2018-06-25T00:00:00"/>
        <d v="2018-06-26T00:00:00"/>
        <d v="2018-06-27T00:00:00"/>
        <d v="2018-06-28T00:00:00"/>
        <d v="2018-06-29T00:00:00"/>
        <d v="2018-06-30T00:00:00"/>
        <d v="2018-07-01T00:00:00"/>
        <d v="2018-07-02T00:00:00"/>
        <d v="2018-07-03T00:00:00"/>
        <d v="2018-07-04T00:00:00"/>
        <d v="2018-07-05T00:00:00"/>
        <d v="2018-07-06T00:00:00"/>
        <d v="2018-07-07T00:00:00"/>
        <d v="2018-07-08T00:00:00"/>
        <d v="2018-07-09T00:00:00"/>
        <d v="2018-07-10T00:00:00"/>
        <d v="2018-07-11T00:00:00"/>
        <d v="2018-07-12T00:00:00"/>
        <d v="2018-07-13T00:00:00"/>
        <d v="2018-07-14T00:00:00"/>
        <d v="2018-07-15T00:00:00"/>
        <d v="2018-07-16T00:00:00"/>
        <d v="2018-07-17T00:00:00"/>
        <d v="2018-07-18T00:00:00"/>
        <d v="2018-07-19T00:00:00"/>
        <d v="2018-07-20T00:00:00"/>
        <d v="2018-07-21T00:00:00"/>
        <d v="2018-07-22T00:00:00"/>
        <d v="2018-07-23T00:00:00"/>
        <d v="2018-07-24T00:00:00"/>
        <d v="2018-07-25T00:00:00"/>
        <d v="2018-07-26T00:00:00"/>
        <d v="2018-07-27T00:00:00"/>
        <d v="2018-07-28T00:00:00"/>
        <d v="2018-07-29T00:00:00"/>
        <d v="2018-07-30T00:00:00"/>
        <d v="2018-07-31T00:00:00"/>
        <d v="2018-08-01T00:00:00"/>
        <d v="2018-08-02T00:00:00"/>
        <d v="2018-08-03T00:00:00"/>
        <d v="2018-08-04T00:00:00"/>
        <d v="2018-08-05T00:00:00"/>
        <d v="2018-08-06T00:00:00"/>
        <d v="2018-08-07T00:00:00"/>
        <d v="2018-08-08T00:00:00"/>
        <d v="2018-08-09T00:00:00"/>
        <d v="2018-08-10T00:00:00"/>
        <d v="2018-08-11T00:00:00"/>
        <d v="2018-08-12T00:00:00"/>
        <d v="2018-08-13T00:00:00"/>
        <d v="2018-08-14T00:00:00"/>
        <d v="2018-08-15T00:00:00"/>
        <d v="2018-08-16T00:00:00"/>
        <d v="2018-08-17T00:00:00"/>
        <d v="2018-08-18T00:00:00"/>
        <d v="2018-08-19T00:00:00"/>
        <d v="2018-08-20T00:00:00"/>
        <d v="2018-08-21T00:00:00"/>
        <d v="2018-08-22T00:00:00"/>
        <d v="2018-08-23T00:00:00"/>
        <d v="2018-08-24T00:00:00"/>
        <d v="2018-08-25T00:00:00"/>
        <d v="2018-08-26T00:00:00"/>
        <d v="2018-08-27T00:00:00"/>
        <d v="2018-08-28T00:00:00"/>
        <d v="2018-08-29T00:00:00"/>
        <d v="2018-08-30T00:00:00"/>
        <d v="2018-08-31T00:00:00"/>
        <d v="2018-09-01T00:00:00"/>
        <d v="2018-09-02T00:00:00"/>
        <d v="2018-09-03T00:00:00"/>
        <d v="2018-09-04T00:00:00"/>
        <d v="2018-09-05T00:00:00"/>
        <d v="2018-09-06T00:00:00"/>
        <d v="2018-09-07T00:00:00"/>
        <d v="2018-09-08T00:00:00"/>
        <d v="2018-09-09T00:00:00"/>
        <d v="2018-09-10T00:00:00"/>
        <d v="2018-09-11T00:00:00"/>
        <d v="2018-09-12T00:00:00"/>
        <d v="2018-09-13T00:00:00"/>
        <d v="2018-09-14T00:00:00"/>
        <d v="2018-09-15T00:00:00"/>
        <d v="2018-09-16T00:00:00"/>
        <d v="2018-09-17T00:00:00"/>
        <d v="2018-09-18T00:00:00"/>
        <d v="2018-09-19T00:00:00"/>
        <d v="2018-09-20T00:00:00"/>
        <d v="2018-09-21T00:00:00"/>
        <d v="2018-09-22T00:00:00"/>
        <d v="2018-09-23T00:00:00"/>
        <d v="2018-09-24T00:00:00"/>
        <d v="2018-09-25T00:00:00"/>
        <d v="2018-09-26T00:00:00"/>
        <d v="2018-09-27T00:00:00"/>
        <d v="2018-09-28T00:00:00"/>
        <d v="2018-09-29T00:00:00"/>
        <d v="2018-09-30T00:00:00"/>
        <d v="2018-10-01T00:00:00"/>
        <d v="2018-10-02T00:00:00"/>
        <d v="2018-10-03T00:00:00"/>
        <d v="2018-10-04T00:00:00"/>
        <d v="2018-10-05T00:00:00"/>
        <d v="2018-10-06T00:00:00"/>
        <d v="2018-10-07T00:00:00"/>
        <d v="2018-10-08T00:00:00"/>
        <d v="2018-10-09T00:00:00"/>
        <d v="2018-10-10T00:00:00"/>
        <d v="2018-10-11T00:00:00"/>
        <d v="2018-10-12T00:00:00"/>
        <d v="2018-10-13T00:00:00"/>
        <d v="2018-10-14T00:00:00"/>
        <d v="2018-10-15T00:00:00"/>
        <d v="2018-10-16T00:00:00"/>
        <d v="2018-10-17T00:00:00"/>
        <d v="2018-10-18T00:00:00"/>
        <d v="2018-10-19T00:00:00"/>
        <d v="2018-10-20T00:00:00"/>
        <d v="2018-10-21T00:00:00"/>
        <d v="2018-10-22T00:00:00"/>
        <d v="2018-10-23T00:00:00"/>
        <d v="2018-10-24T00:00:00"/>
        <d v="2018-10-25T00:00:00"/>
        <d v="2018-10-26T00:00:00"/>
        <d v="2018-10-27T00:00:00"/>
        <d v="2018-10-28T00:00:00"/>
        <d v="2018-10-29T00:00:00"/>
        <d v="2018-10-30T00:00:00"/>
        <d v="2018-10-31T00:00:00"/>
        <d v="2018-11-01T00:00:00"/>
        <d v="2018-11-02T00:00:00"/>
        <d v="2018-11-03T00:00:00"/>
        <d v="2018-11-04T00:00:00"/>
        <d v="2018-11-05T00:00:00"/>
        <d v="2018-11-06T00:00:00"/>
        <d v="2018-11-07T00:00:00"/>
        <d v="2018-11-08T00:00:00"/>
        <d v="2018-11-09T00:00:00"/>
        <d v="2018-11-10T00:00:00"/>
        <d v="2018-11-11T00:00:00"/>
        <d v="2018-11-12T00:00:00"/>
        <d v="2018-11-13T00:00:00"/>
        <d v="2018-11-14T00:00:00"/>
        <d v="2018-11-15T00:00:00"/>
        <d v="2018-11-16T00:00:00"/>
        <d v="2018-11-17T00:00:00"/>
        <d v="2018-11-18T00:00:00"/>
        <d v="2018-11-19T00:00:00"/>
        <d v="2018-11-20T00:00:00"/>
        <d v="2018-11-21T00:00:00"/>
        <d v="2018-11-22T00:00:00"/>
        <d v="2018-11-23T00:00:00"/>
        <d v="2018-11-24T00:00:00"/>
        <d v="2018-11-25T00:00:00"/>
        <d v="2018-11-26T00:00:00"/>
        <d v="2018-11-27T00:00:00"/>
        <d v="2018-11-28T00:00:00"/>
        <d v="2018-11-29T00:00:00"/>
        <d v="2018-11-30T00:00:00"/>
        <d v="2018-12-01T00:00:00"/>
        <d v="2018-12-02T00:00:00"/>
        <d v="2018-12-03T00:00:00"/>
        <d v="2018-12-04T00:00:00"/>
        <d v="2018-12-05T00:00:00"/>
        <d v="2018-12-06T00:00:00"/>
        <d v="2018-12-07T00:00:00"/>
        <d v="2018-12-08T00:00:00"/>
        <d v="2018-12-09T00:00:00"/>
        <d v="2018-12-10T00:00:00"/>
        <d v="2018-12-11T00:00:00"/>
        <d v="2018-12-12T00:00:00"/>
        <d v="2018-12-13T00:00:00"/>
        <d v="2018-12-14T00:00:00"/>
        <d v="2018-12-15T00:00:00"/>
        <d v="2018-12-16T00:00:00"/>
        <d v="2018-12-17T00:00:00"/>
        <d v="2018-12-18T00:00:00"/>
        <d v="2018-12-19T00:00:00"/>
        <d v="2018-12-20T00:00:00"/>
        <d v="2018-12-21T00:00:00"/>
        <d v="2018-12-22T00:00:00"/>
        <d v="2018-12-23T00:00:00"/>
        <d v="2018-12-24T00:00:00"/>
        <d v="2018-12-25T00:00:00"/>
        <d v="2018-12-26T00:00:00"/>
        <d v="2018-12-27T00:00:00"/>
        <d v="2018-12-28T00:00:00"/>
        <d v="2018-12-29T00:00:00"/>
        <d v="2018-12-30T00:00:00"/>
        <d v="2018-12-31T00:00:00"/>
        <d v="2019-01-01T00:00:00"/>
        <d v="2019-01-02T00:00:00"/>
        <d v="2019-01-03T00:00:00"/>
        <d v="2019-01-04T00:00:00"/>
        <d v="2019-01-05T00:00:00"/>
        <d v="2019-01-06T00:00:00"/>
        <d v="2019-01-07T00:00:00"/>
        <d v="2019-01-08T00:00:00"/>
        <d v="2019-01-09T00:00:00"/>
        <d v="2019-01-10T00:00:00"/>
        <d v="2019-01-11T00:00:00"/>
        <d v="2019-01-12T00:00:00"/>
        <d v="2019-01-13T00:00:00"/>
        <m/>
      </sharedItems>
    </cacheField>
    <cacheField name="SKU" numFmtId="0">
      <sharedItems containsBlank="1" count="12">
        <s v="E"/>
        <s v="C"/>
        <s v="B"/>
        <s v="A"/>
        <s v="D"/>
        <s v="G"/>
        <s v="F"/>
        <s v="I"/>
        <s v="H"/>
        <s v="K"/>
        <s v="J"/>
        <m/>
      </sharedItems>
    </cacheField>
    <cacheField name="访问数" numFmtId="0"/>
    <cacheField name="访问次数百分比" numFmtId="0"/>
    <cacheField name="页面浏览次数" numFmtId="0"/>
    <cacheField name="页面浏览次数百分比" numFmtId="0"/>
    <cacheField name="BuyBox率" numFmtId="0"/>
    <cacheField name="商品数" numFmtId="0"/>
    <cacheField name="商品转化率" numFmtId="0"/>
    <cacheField name="销售额" numFmtId="0"/>
    <cacheField name="订单数" numFmtId="0"/>
    <cacheField name="订单转换率" numFmtId="0"/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createdVersion="6" refreshedVersion="6" minRefreshableVersion="3" missingItemsLimit="0" refreshedDate="43482.7205439815" refreshedBy="Dylan" recordCount="1255">
  <cacheSource type="worksheet">
    <worksheetSource name="数据_2"/>
  </cacheSource>
  <cacheFields count="12">
    <cacheField name="年月日" numFmtId="178">
      <sharedItems containsSemiMixedTypes="0" containsString="0" containsNonDate="0" containsDate="1" minDate="2018-05-02T00:00:00" maxDate="2019-01-13T00:00:00" count="257">
        <d v="2018-05-02T00:00:00"/>
        <d v="2018-05-03T00:00:00"/>
        <d v="2018-05-04T00:00:00"/>
        <d v="2018-05-05T00:00:00"/>
        <d v="2018-05-06T00:00:00"/>
        <d v="2018-05-07T00:00:00"/>
        <d v="2018-05-08T00:00:00"/>
        <d v="2018-05-09T00:00:00"/>
        <d v="2018-05-10T00:00:00"/>
        <d v="2018-05-11T00:00:00"/>
        <d v="2018-05-12T00:00:00"/>
        <d v="2018-05-13T00:00:00"/>
        <d v="2018-05-14T00:00:00"/>
        <d v="2018-05-15T00:00:00"/>
        <d v="2018-05-16T00:00:00"/>
        <d v="2018-05-17T00:00:00"/>
        <d v="2018-05-18T00:00:00"/>
        <d v="2018-05-19T00:00:00"/>
        <d v="2018-05-20T00:00:00"/>
        <d v="2018-05-21T00:00:00"/>
        <d v="2018-05-22T00:00:00"/>
        <d v="2018-05-23T00:00:00"/>
        <d v="2018-05-24T00:00:00"/>
        <d v="2018-05-25T00:00:00"/>
        <d v="2018-05-26T00:00:00"/>
        <d v="2018-05-27T00:00:00"/>
        <d v="2018-05-28T00:00:00"/>
        <d v="2018-05-29T00:00:00"/>
        <d v="2018-05-30T00:00:00"/>
        <d v="2018-05-31T00:00:00"/>
        <d v="2018-06-01T00:00:00"/>
        <d v="2018-06-02T00:00:00"/>
        <d v="2018-06-03T00:00:00"/>
        <d v="2018-06-04T00:00:00"/>
        <d v="2018-06-05T00:00:00"/>
        <d v="2018-06-06T00:00:00"/>
        <d v="2018-06-07T00:00:00"/>
        <d v="2018-06-08T00:00:00"/>
        <d v="2018-06-09T00:00:00"/>
        <d v="2018-06-10T00:00:00"/>
        <d v="2018-06-11T00:00:00"/>
        <d v="2018-06-12T00:00:00"/>
        <d v="2018-06-13T00:00:00"/>
        <d v="2018-06-14T00:00:00"/>
        <d v="2018-06-15T00:00:00"/>
        <d v="2018-06-16T00:00:00"/>
        <d v="2018-06-17T00:00:00"/>
        <d v="2018-06-18T00:00:00"/>
        <d v="2018-06-19T00:00:00"/>
        <d v="2018-06-20T00:00:00"/>
        <d v="2018-06-21T00:00:00"/>
        <d v="2018-06-22T00:00:00"/>
        <d v="2018-06-23T00:00:00"/>
        <d v="2018-06-24T00:00:00"/>
        <d v="2018-06-25T00:00:00"/>
        <d v="2018-06-26T00:00:00"/>
        <d v="2018-06-27T00:00:00"/>
        <d v="2018-06-28T00:00:00"/>
        <d v="2018-06-29T00:00:00"/>
        <d v="2018-06-30T00:00:00"/>
        <d v="2018-07-01T00:00:00"/>
        <d v="2018-07-02T00:00:00"/>
        <d v="2018-07-03T00:00:00"/>
        <d v="2018-07-04T00:00:00"/>
        <d v="2018-07-05T00:00:00"/>
        <d v="2018-07-06T00:00:00"/>
        <d v="2018-07-07T00:00:00"/>
        <d v="2018-07-08T00:00:00"/>
        <d v="2018-07-09T00:00:00"/>
        <d v="2018-07-10T00:00:00"/>
        <d v="2018-07-11T00:00:00"/>
        <d v="2018-07-12T00:00:00"/>
        <d v="2018-07-13T00:00:00"/>
        <d v="2018-07-14T00:00:00"/>
        <d v="2018-07-15T00:00:00"/>
        <d v="2018-07-16T00:00:00"/>
        <d v="2018-07-17T00:00:00"/>
        <d v="2018-07-18T00:00:00"/>
        <d v="2018-07-19T00:00:00"/>
        <d v="2018-07-20T00:00:00"/>
        <d v="2018-07-21T00:00:00"/>
        <d v="2018-07-22T00:00:00"/>
        <d v="2018-07-23T00:00:00"/>
        <d v="2018-07-24T00:00:00"/>
        <d v="2018-07-25T00:00:00"/>
        <d v="2018-07-26T00:00:00"/>
        <d v="2018-07-27T00:00:00"/>
        <d v="2018-07-28T00:00:00"/>
        <d v="2018-07-29T00:00:00"/>
        <d v="2018-07-30T00:00:00"/>
        <d v="2018-07-31T00:00:00"/>
        <d v="2018-08-01T00:00:00"/>
        <d v="2018-08-02T00:00:00"/>
        <d v="2018-08-03T00:00:00"/>
        <d v="2018-08-04T00:00:00"/>
        <d v="2018-08-05T00:00:00"/>
        <d v="2018-08-06T00:00:00"/>
        <d v="2018-08-07T00:00:00"/>
        <d v="2018-08-08T00:00:00"/>
        <d v="2018-08-09T00:00:00"/>
        <d v="2018-08-10T00:00:00"/>
        <d v="2018-08-11T00:00:00"/>
        <d v="2018-08-12T00:00:00"/>
        <d v="2018-08-13T00:00:00"/>
        <d v="2018-08-14T00:00:00"/>
        <d v="2018-08-15T00:00:00"/>
        <d v="2018-08-16T00:00:00"/>
        <d v="2018-08-17T00:00:00"/>
        <d v="2018-08-18T00:00:00"/>
        <d v="2018-08-19T00:00:00"/>
        <d v="2018-08-20T00:00:00"/>
        <d v="2018-08-21T00:00:00"/>
        <d v="2018-08-22T00:00:00"/>
        <d v="2018-08-23T00:00:00"/>
        <d v="2018-08-24T00:00:00"/>
        <d v="2018-08-25T00:00:00"/>
        <d v="2018-08-26T00:00:00"/>
        <d v="2018-08-27T00:00:00"/>
        <d v="2018-08-28T00:00:00"/>
        <d v="2018-08-29T00:00:00"/>
        <d v="2018-08-30T00:00:00"/>
        <d v="2018-08-31T00:00:00"/>
        <d v="2018-09-01T00:00:00"/>
        <d v="2018-09-02T00:00:00"/>
        <d v="2018-09-03T00:00:00"/>
        <d v="2018-09-04T00:00:00"/>
        <d v="2018-09-05T00:00:00"/>
        <d v="2018-09-06T00:00:00"/>
        <d v="2018-09-07T00:00:00"/>
        <d v="2018-09-08T00:00:00"/>
        <d v="2018-09-09T00:00:00"/>
        <d v="2018-09-10T00:00:00"/>
        <d v="2018-09-11T00:00:00"/>
        <d v="2018-09-12T00:00:00"/>
        <d v="2018-09-13T00:00:00"/>
        <d v="2018-09-14T00:00:00"/>
        <d v="2018-09-15T00:00:00"/>
        <d v="2018-09-16T00:00:00"/>
        <d v="2018-09-17T00:00:00"/>
        <d v="2018-09-18T00:00:00"/>
        <d v="2018-09-19T00:00:00"/>
        <d v="2018-09-20T00:00:00"/>
        <d v="2018-09-21T00:00:00"/>
        <d v="2018-09-22T00:00:00"/>
        <d v="2018-09-23T00:00:00"/>
        <d v="2018-09-24T00:00:00"/>
        <d v="2018-09-25T00:00:00"/>
        <d v="2018-09-26T00:00:00"/>
        <d v="2018-09-27T00:00:00"/>
        <d v="2018-09-28T00:00:00"/>
        <d v="2018-09-29T00:00:00"/>
        <d v="2018-09-30T00:00:00"/>
        <d v="2018-10-01T00:00:00"/>
        <d v="2018-10-02T00:00:00"/>
        <d v="2018-10-03T00:00:00"/>
        <d v="2018-10-04T00:00:00"/>
        <d v="2018-10-05T00:00:00"/>
        <d v="2018-10-06T00:00:00"/>
        <d v="2018-10-07T00:00:00"/>
        <d v="2018-10-08T00:00:00"/>
        <d v="2018-10-09T00:00:00"/>
        <d v="2018-10-10T00:00:00"/>
        <d v="2018-10-11T00:00:00"/>
        <d v="2018-10-12T00:00:00"/>
        <d v="2018-10-13T00:00:00"/>
        <d v="2018-10-14T00:00:00"/>
        <d v="2018-10-15T00:00:00"/>
        <d v="2018-10-16T00:00:00"/>
        <d v="2018-10-17T00:00:00"/>
        <d v="2018-10-18T00:00:00"/>
        <d v="2018-10-19T00:00:00"/>
        <d v="2018-10-20T00:00:00"/>
        <d v="2018-10-21T00:00:00"/>
        <d v="2018-10-22T00:00:00"/>
        <d v="2018-10-23T00:00:00"/>
        <d v="2018-10-24T00:00:00"/>
        <d v="2018-10-25T00:00:00"/>
        <d v="2018-10-26T00:00:00"/>
        <d v="2018-10-27T00:00:00"/>
        <d v="2018-10-28T00:00:00"/>
        <d v="2018-10-29T00:00:00"/>
        <d v="2018-10-30T00:00:00"/>
        <d v="2018-10-31T00:00:00"/>
        <d v="2018-11-01T00:00:00"/>
        <d v="2018-11-02T00:00:00"/>
        <d v="2018-11-03T00:00:00"/>
        <d v="2018-11-04T00:00:00"/>
        <d v="2018-11-05T00:00:00"/>
        <d v="2018-11-06T00:00:00"/>
        <d v="2018-11-07T00:00:00"/>
        <d v="2018-11-08T00:00:00"/>
        <d v="2018-11-09T00:00:00"/>
        <d v="2018-11-10T00:00:00"/>
        <d v="2018-11-11T00:00:00"/>
        <d v="2018-11-12T00:00:00"/>
        <d v="2018-11-13T00:00:00"/>
        <d v="2018-11-14T00:00:00"/>
        <d v="2018-11-15T00:00:00"/>
        <d v="2018-11-16T00:00:00"/>
        <d v="2018-11-17T00:00:00"/>
        <d v="2018-11-18T00:00:00"/>
        <d v="2018-11-19T00:00:00"/>
        <d v="2018-11-20T00:00:00"/>
        <d v="2018-11-21T00:00:00"/>
        <d v="2018-11-22T00:00:00"/>
        <d v="2018-11-23T00:00:00"/>
        <d v="2018-11-24T00:00:00"/>
        <d v="2018-11-25T00:00:00"/>
        <d v="2018-11-26T00:00:00"/>
        <d v="2018-11-27T00:00:00"/>
        <d v="2018-11-28T00:00:00"/>
        <d v="2018-11-29T00:00:00"/>
        <d v="2018-11-30T00:00:00"/>
        <d v="2018-12-01T00:00:00"/>
        <d v="2018-12-02T00:00:00"/>
        <d v="2018-12-03T00:00:00"/>
        <d v="2018-12-04T00:00:00"/>
        <d v="2018-12-05T00:00:00"/>
        <d v="2018-12-06T00:00:00"/>
        <d v="2018-12-07T00:00:00"/>
        <d v="2018-12-08T00:00:00"/>
        <d v="2018-12-09T00:00:00"/>
        <d v="2018-12-10T00:00:00"/>
        <d v="2018-12-11T00:00:00"/>
        <d v="2018-12-12T00:00:00"/>
        <d v="2018-12-13T00:00:00"/>
        <d v="2018-12-14T00:00:00"/>
        <d v="2018-12-15T00:00:00"/>
        <d v="2018-12-16T00:00:00"/>
        <d v="2018-12-17T00:00:00"/>
        <d v="2018-12-18T00:00:00"/>
        <d v="2018-12-19T00:00:00"/>
        <d v="2018-12-20T00:00:00"/>
        <d v="2018-12-21T00:00:00"/>
        <d v="2018-12-22T00:00:00"/>
        <d v="2018-12-23T00:00:00"/>
        <d v="2018-12-24T00:00:00"/>
        <d v="2018-12-25T00:00:00"/>
        <d v="2018-12-26T00:00:00"/>
        <d v="2018-12-27T00:00:00"/>
        <d v="2018-12-28T00:00:00"/>
        <d v="2018-12-29T00:00:00"/>
        <d v="2018-12-30T00:00:00"/>
        <d v="2018-12-31T00:00:00"/>
        <d v="2019-01-01T00:00:00"/>
        <d v="2019-01-02T00:00:00"/>
        <d v="2019-01-03T00:00:00"/>
        <d v="2019-01-04T00:00:00"/>
        <d v="2019-01-05T00:00:00"/>
        <d v="2019-01-06T00:00:00"/>
        <d v="2019-01-07T00:00:00"/>
        <d v="2019-01-08T00:00:00"/>
        <d v="2019-01-09T00:00:00"/>
        <d v="2019-01-10T00:00:00"/>
        <d v="2019-01-11T00:00:00"/>
        <d v="2019-01-12T00:00:00"/>
        <d v="2019-01-13T00:00:00"/>
      </sharedItems>
      <fieldGroup base="0">
        <rangePr autoStart="0" autoEnd="0" groupBy="days" startDate="2018-04-30T00:00:00" endDate="2018-12-25T00:00:00" groupInterval="7"/>
        <groupItems count="37">
          <s v="&lt;2018-4-30"/>
          <s v="2018-4-30 - 2018-5-6"/>
          <s v="2018-5-7 - 2018-5-13"/>
          <s v="2018-5-14 - 2018-5-20"/>
          <s v="2018-5-21 - 2018-5-27"/>
          <s v="2018-5-28 - 2018-6-3"/>
          <s v="2018-6-4 - 2018-6-10"/>
          <s v="2018-6-11 - 2018-6-17"/>
          <s v="2018-6-18 - 2018-6-24"/>
          <s v="2018-6-25 - 2018-7-1"/>
          <s v="2018-7-2 - 2018-7-8"/>
          <s v="2018-7-9 - 2018-7-15"/>
          <s v="2018-7-16 - 2018-7-22"/>
          <s v="2018-7-23 - 2018-7-29"/>
          <s v="2018-7-30 - 2018-8-5"/>
          <s v="2018-8-6 - 2018-8-12"/>
          <s v="2018-8-13 - 2018-8-19"/>
          <s v="2018-8-20 - 2018-8-26"/>
          <s v="2018-8-27 - 2018-9-2"/>
          <s v="2018-9-3 - 2018-9-9"/>
          <s v="2018-9-10 - 2018-9-16"/>
          <s v="2018-9-17 - 2018-9-23"/>
          <s v="2018-9-24 - 2018-9-30"/>
          <s v="2018-10-1 - 2018-10-7"/>
          <s v="2018-10-8 - 2018-10-14"/>
          <s v="2018-10-15 - 2018-10-21"/>
          <s v="2018-10-22 - 2018-10-28"/>
          <s v="2018-10-29 - 2018-11-4"/>
          <s v="2018-11-5 - 2018-11-11"/>
          <s v="2018-11-12 - 2018-11-18"/>
          <s v="2018-11-19 - 2018-11-25"/>
          <s v="2018-11-26 - 2018-12-2"/>
          <s v="2018-12-3 - 2018-12-9"/>
          <s v="2018-12-10 - 2018-12-16"/>
          <s v="2018-12-17 - 2018-12-23"/>
          <s v="2018-12-24 - 2018-12-25"/>
          <s v="&gt;2018-12-25"/>
        </groupItems>
      </fieldGroup>
    </cacheField>
    <cacheField name="SKU" numFmtId="0">
      <sharedItems count="11">
        <s v="E"/>
        <s v="C"/>
        <s v="B"/>
        <s v="A"/>
        <s v="D"/>
        <s v="G"/>
        <s v="F"/>
        <s v="I"/>
        <s v="H"/>
        <s v="K"/>
        <s v="J"/>
      </sharedItems>
    </cacheField>
    <cacheField name="访问数" numFmtId="0"/>
    <cacheField name="访问次数百分比" numFmtId="0"/>
    <cacheField name="页面浏览次数" numFmtId="0"/>
    <cacheField name="页面浏览次数百分比" numFmtId="0"/>
    <cacheField name="BuyBox率" numFmtId="0"/>
    <cacheField name="商品数" numFmtId="0"/>
    <cacheField name="商品转化率" numFmtId="0"/>
    <cacheField name="销售额" numFmtId="0"/>
    <cacheField name="订单数" numFmtId="0"/>
    <cacheField name="订单转换率" numFmtId="0"/>
  </cacheFields>
  <extLst>
    <ext xmlns:x14="http://schemas.microsoft.com/office/spreadsheetml/2009/9/main" uri="{725AE2AE-9491-48be-B2B4-4EB974FC3084}">
      <x14:pivotCacheDefinition pivotCacheId="2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56">
  <r>
    <x v="0"/>
    <x v="0"/>
    <n v="1"/>
    <n v="0.5"/>
    <n v="7"/>
    <n v="0.77780000000000005"/>
    <n v="0.71"/>
    <n v="0"/>
    <n v="0"/>
    <n v="0"/>
    <s v="0"/>
    <n v="0"/>
  </r>
  <r>
    <x v="0"/>
    <x v="1"/>
    <n v="1"/>
    <n v="0.5"/>
    <n v="2"/>
    <n v="0.22220000000000001"/>
    <n v="0"/>
    <n v="0"/>
    <n v="0"/>
    <n v="0"/>
    <s v="0"/>
    <n v="0"/>
  </r>
  <r>
    <x v="1"/>
    <x v="2"/>
    <n v="1"/>
    <n v="0.25"/>
    <n v="1"/>
    <n v="6.6699999999999995E-2"/>
    <n v="0"/>
    <n v="0"/>
    <n v="0"/>
    <n v="0"/>
    <s v="0"/>
    <n v="0"/>
  </r>
  <r>
    <x v="1"/>
    <x v="1"/>
    <n v="1"/>
    <n v="0.25"/>
    <n v="1"/>
    <n v="6.6699999999999995E-2"/>
    <n v="0"/>
    <n v="0"/>
    <n v="0"/>
    <n v="0"/>
    <s v="0"/>
    <n v="0"/>
  </r>
  <r>
    <x v="1"/>
    <x v="0"/>
    <n v="2"/>
    <n v="0.5"/>
    <n v="13"/>
    <n v="0.86670000000000003"/>
    <n v="1"/>
    <n v="1"/>
    <n v="0.5"/>
    <n v="12.99"/>
    <s v="1"/>
    <n v="0.5"/>
  </r>
  <r>
    <x v="2"/>
    <x v="1"/>
    <n v="2"/>
    <n v="0.18179999999999999"/>
    <n v="5"/>
    <n v="0.25"/>
    <n v="1"/>
    <n v="0"/>
    <n v="0"/>
    <n v="0"/>
    <s v="0"/>
    <n v="0"/>
  </r>
  <r>
    <x v="2"/>
    <x v="2"/>
    <n v="1"/>
    <n v="9.0899999999999995E-2"/>
    <n v="1"/>
    <n v="0.05"/>
    <n v="0"/>
    <n v="0"/>
    <n v="0"/>
    <n v="0"/>
    <s v="0"/>
    <n v="0"/>
  </r>
  <r>
    <x v="2"/>
    <x v="0"/>
    <n v="8"/>
    <n v="0.72729999999999995"/>
    <n v="14"/>
    <n v="0.7"/>
    <n v="1"/>
    <n v="3"/>
    <n v="0.375"/>
    <n v="38.97"/>
    <s v="2"/>
    <n v="0.25"/>
  </r>
  <r>
    <x v="3"/>
    <x v="0"/>
    <n v="9"/>
    <n v="1"/>
    <n v="11"/>
    <n v="1"/>
    <n v="1"/>
    <n v="1"/>
    <n v="0.1111"/>
    <n v="12.99"/>
    <s v="1"/>
    <n v="0.11111111111111099"/>
  </r>
  <r>
    <x v="4"/>
    <x v="0"/>
    <n v="10"/>
    <n v="0.71430000000000005"/>
    <n v="15"/>
    <n v="0.75"/>
    <n v="1"/>
    <n v="1"/>
    <n v="0.1"/>
    <n v="12.99"/>
    <s v="1"/>
    <n v="0.1"/>
  </r>
  <r>
    <x v="4"/>
    <x v="1"/>
    <n v="4"/>
    <n v="0.28570000000000001"/>
    <n v="5"/>
    <n v="0.25"/>
    <n v="1"/>
    <n v="1"/>
    <n v="0.25"/>
    <n v="17.989999999999998"/>
    <s v="1"/>
    <n v="0.25"/>
  </r>
  <r>
    <x v="5"/>
    <x v="1"/>
    <n v="14"/>
    <n v="0.66669999999999996"/>
    <n v="17"/>
    <n v="0.70830000000000004"/>
    <n v="1"/>
    <n v="0"/>
    <n v="0"/>
    <n v="0"/>
    <s v="0"/>
    <n v="0"/>
  </r>
  <r>
    <x v="5"/>
    <x v="0"/>
    <n v="7"/>
    <n v="0.33329999999999999"/>
    <n v="7"/>
    <n v="0.29170000000000001"/>
    <n v="1"/>
    <n v="2"/>
    <n v="0.28570000000000001"/>
    <n v="25.98"/>
    <s v="2"/>
    <n v="0.28571428571428598"/>
  </r>
  <r>
    <x v="6"/>
    <x v="1"/>
    <n v="10"/>
    <n v="0.55559999999999998"/>
    <n v="12"/>
    <n v="0.57140000000000002"/>
    <n v="1"/>
    <n v="0"/>
    <n v="0"/>
    <n v="0"/>
    <s v="0"/>
    <n v="0"/>
  </r>
  <r>
    <x v="6"/>
    <x v="0"/>
    <n v="8"/>
    <n v="0.44440000000000002"/>
    <n v="9"/>
    <n v="0.42859999999999998"/>
    <n v="1"/>
    <n v="1"/>
    <n v="0.125"/>
    <n v="12.99"/>
    <s v="1"/>
    <n v="0.125"/>
  </r>
  <r>
    <x v="7"/>
    <x v="1"/>
    <n v="1"/>
    <n v="0.16669999999999999"/>
    <n v="1"/>
    <n v="0.1429"/>
    <n v="1"/>
    <n v="0"/>
    <n v="0"/>
    <n v="0"/>
    <s v="0"/>
    <n v="0"/>
  </r>
  <r>
    <x v="7"/>
    <x v="0"/>
    <n v="5"/>
    <n v="0.83330000000000004"/>
    <n v="6"/>
    <n v="0.85709999999999997"/>
    <n v="1"/>
    <n v="3"/>
    <n v="0.6"/>
    <n v="38.97"/>
    <s v="3"/>
    <n v="0.6"/>
  </r>
  <r>
    <x v="8"/>
    <x v="2"/>
    <n v="1"/>
    <n v="0.1"/>
    <n v="1"/>
    <n v="0.1"/>
    <n v="1"/>
    <n v="0"/>
    <n v="0"/>
    <n v="0"/>
    <s v="0"/>
    <n v="0"/>
  </r>
  <r>
    <x v="8"/>
    <x v="0"/>
    <n v="9"/>
    <n v="0.9"/>
    <n v="9"/>
    <n v="0.9"/>
    <n v="1"/>
    <n v="0"/>
    <n v="0"/>
    <n v="0"/>
    <s v="0"/>
    <n v="0"/>
  </r>
  <r>
    <x v="9"/>
    <x v="0"/>
    <n v="7"/>
    <n v="1"/>
    <n v="11"/>
    <n v="1"/>
    <n v="1"/>
    <n v="1"/>
    <n v="0.1429"/>
    <n v="9.99"/>
    <s v="1"/>
    <n v="0.14285714285714299"/>
  </r>
  <r>
    <x v="10"/>
    <x v="0"/>
    <n v="4"/>
    <n v="1"/>
    <n v="5"/>
    <n v="1"/>
    <n v="1"/>
    <n v="0"/>
    <n v="0"/>
    <n v="0"/>
    <s v="0"/>
    <n v="0"/>
  </r>
  <r>
    <x v="11"/>
    <x v="1"/>
    <n v="2"/>
    <n v="0.25"/>
    <n v="2"/>
    <n v="0.22220000000000001"/>
    <n v="1"/>
    <n v="0"/>
    <n v="0"/>
    <n v="0"/>
    <s v="0"/>
    <n v="0"/>
  </r>
  <r>
    <x v="11"/>
    <x v="0"/>
    <n v="6"/>
    <n v="0.75"/>
    <n v="7"/>
    <n v="0.77780000000000005"/>
    <n v="1"/>
    <n v="1"/>
    <n v="0.16669999999999999"/>
    <n v="9.99"/>
    <s v="1"/>
    <n v="0.16666666666666699"/>
  </r>
  <r>
    <x v="12"/>
    <x v="0"/>
    <n v="22"/>
    <n v="1"/>
    <n v="28"/>
    <n v="1"/>
    <n v="1"/>
    <n v="8"/>
    <n v="0.36359999999999998"/>
    <n v="87.92"/>
    <s v="3"/>
    <n v="0.13636363636363599"/>
  </r>
  <r>
    <x v="13"/>
    <x v="0"/>
    <n v="10"/>
    <n v="1"/>
    <n v="11"/>
    <n v="1"/>
    <n v="1"/>
    <n v="2"/>
    <n v="0.2"/>
    <n v="21.98"/>
    <s v="2"/>
    <n v="0.2"/>
  </r>
  <r>
    <x v="14"/>
    <x v="2"/>
    <n v="1"/>
    <n v="9.0899999999999995E-2"/>
    <n v="1"/>
    <n v="7.6899999999999996E-2"/>
    <n v="1"/>
    <n v="0"/>
    <n v="0"/>
    <n v="0"/>
    <s v="0"/>
    <n v="0"/>
  </r>
  <r>
    <x v="14"/>
    <x v="0"/>
    <n v="10"/>
    <n v="0.90910000000000002"/>
    <n v="12"/>
    <n v="0.92310000000000003"/>
    <n v="1"/>
    <n v="4"/>
    <n v="0.4"/>
    <n v="43.96"/>
    <s v="4"/>
    <n v="0.4"/>
  </r>
  <r>
    <x v="15"/>
    <x v="0"/>
    <n v="13"/>
    <n v="0.92859999999999998"/>
    <n v="13"/>
    <n v="0.92859999999999998"/>
    <n v="1"/>
    <n v="2"/>
    <n v="0.15379999999999999"/>
    <n v="21.98"/>
    <s v="2"/>
    <n v="0.15384615384615399"/>
  </r>
  <r>
    <x v="15"/>
    <x v="2"/>
    <n v="1"/>
    <n v="7.1400000000000005E-2"/>
    <n v="1"/>
    <n v="7.1400000000000005E-2"/>
    <n v="1"/>
    <n v="1"/>
    <n v="1"/>
    <n v="15.99"/>
    <s v="1"/>
    <n v="1"/>
  </r>
  <r>
    <x v="16"/>
    <x v="1"/>
    <n v="1"/>
    <n v="0.1111"/>
    <n v="1"/>
    <n v="0.1111"/>
    <n v="1"/>
    <n v="0"/>
    <n v="0"/>
    <n v="0"/>
    <s v="0"/>
    <n v="0"/>
  </r>
  <r>
    <x v="16"/>
    <x v="0"/>
    <n v="8"/>
    <n v="0.88890000000000002"/>
    <n v="8"/>
    <n v="0.88890000000000002"/>
    <n v="1"/>
    <n v="28"/>
    <n v="3.5"/>
    <n v="307.72000000000003"/>
    <s v="5"/>
    <n v="0.625"/>
  </r>
  <r>
    <x v="17"/>
    <x v="2"/>
    <n v="1"/>
    <n v="0.1111"/>
    <n v="1"/>
    <n v="9.0899999999999995E-2"/>
    <n v="1"/>
    <n v="0"/>
    <n v="0"/>
    <n v="0"/>
    <s v="0"/>
    <n v="0"/>
  </r>
  <r>
    <x v="17"/>
    <x v="0"/>
    <n v="8"/>
    <n v="0.88890000000000002"/>
    <n v="10"/>
    <n v="0.90910000000000002"/>
    <n v="1"/>
    <n v="1"/>
    <n v="0.125"/>
    <n v="10.99"/>
    <s v="1"/>
    <n v="0.125"/>
  </r>
  <r>
    <x v="18"/>
    <x v="2"/>
    <n v="1"/>
    <n v="7.6899999999999996E-2"/>
    <n v="1"/>
    <n v="5.2600000000000001E-2"/>
    <n v="1"/>
    <n v="0"/>
    <n v="0"/>
    <n v="0"/>
    <s v="0"/>
    <n v="0"/>
  </r>
  <r>
    <x v="18"/>
    <x v="0"/>
    <n v="12"/>
    <n v="0.92310000000000003"/>
    <n v="18"/>
    <n v="0.94740000000000002"/>
    <n v="0.94"/>
    <n v="5"/>
    <n v="0.41670000000000001"/>
    <n v="54.95"/>
    <s v="5"/>
    <n v="0.41666666666666702"/>
  </r>
  <r>
    <x v="19"/>
    <x v="0"/>
    <n v="15"/>
    <n v="0.88239999999999996"/>
    <n v="21"/>
    <n v="0.91300000000000003"/>
    <n v="1"/>
    <n v="9"/>
    <n v="0.6"/>
    <n v="98.91"/>
    <s v="8"/>
    <n v="0.53333333333333299"/>
  </r>
  <r>
    <x v="19"/>
    <x v="2"/>
    <n v="2"/>
    <n v="0.1176"/>
    <n v="2"/>
    <n v="8.6999999999999994E-2"/>
    <n v="1"/>
    <n v="1"/>
    <n v="0.5"/>
    <n v="15.99"/>
    <s v="1"/>
    <n v="0.5"/>
  </r>
  <r>
    <x v="20"/>
    <x v="1"/>
    <n v="1"/>
    <n v="0.05"/>
    <n v="1"/>
    <n v="3.85E-2"/>
    <n v="1"/>
    <n v="0"/>
    <n v="0"/>
    <n v="0"/>
    <s v="0"/>
    <n v="0"/>
  </r>
  <r>
    <x v="20"/>
    <x v="2"/>
    <n v="3"/>
    <n v="0.15"/>
    <n v="4"/>
    <n v="0.15379999999999999"/>
    <n v="1"/>
    <n v="0"/>
    <n v="0"/>
    <n v="0"/>
    <s v="0"/>
    <n v="0"/>
  </r>
  <r>
    <x v="20"/>
    <x v="0"/>
    <n v="16"/>
    <n v="0.8"/>
    <n v="21"/>
    <n v="0.80769999999999997"/>
    <n v="1"/>
    <n v="7"/>
    <n v="0.4375"/>
    <n v="76.930000000000007"/>
    <s v="6"/>
    <n v="0.375"/>
  </r>
  <r>
    <x v="21"/>
    <x v="2"/>
    <n v="2"/>
    <n v="0.1429"/>
    <n v="3"/>
    <n v="0.13039999999999999"/>
    <n v="1"/>
    <n v="0"/>
    <n v="0"/>
    <n v="0"/>
    <s v="0"/>
    <n v="0"/>
  </r>
  <r>
    <x v="21"/>
    <x v="0"/>
    <n v="12"/>
    <n v="0.85709999999999997"/>
    <n v="20"/>
    <n v="0.86960000000000004"/>
    <n v="1"/>
    <n v="12"/>
    <n v="1"/>
    <n v="131.88"/>
    <s v="6"/>
    <n v="0.5"/>
  </r>
  <r>
    <x v="22"/>
    <x v="0"/>
    <n v="12"/>
    <n v="1"/>
    <n v="14"/>
    <n v="1"/>
    <n v="1"/>
    <n v="7"/>
    <n v="0.58330000000000004"/>
    <n v="76.930000000000007"/>
    <s v="6"/>
    <n v="0.5"/>
  </r>
  <r>
    <x v="23"/>
    <x v="0"/>
    <n v="13"/>
    <n v="1"/>
    <n v="20"/>
    <n v="1"/>
    <n v="0.95"/>
    <n v="9"/>
    <n v="0.69230000000000003"/>
    <n v="98.91"/>
    <s v="6"/>
    <n v="0.46153846153846201"/>
  </r>
  <r>
    <x v="23"/>
    <x v="2"/>
    <n v="0"/>
    <n v="0"/>
    <n v="0"/>
    <n v="0"/>
    <n v="0"/>
    <n v="1"/>
    <n v="0"/>
    <n v="15.99"/>
    <s v="1"/>
    <n v="0"/>
  </r>
  <r>
    <x v="24"/>
    <x v="1"/>
    <n v="1"/>
    <n v="0.1"/>
    <n v="1"/>
    <n v="0.1"/>
    <n v="1"/>
    <n v="0"/>
    <n v="0"/>
    <n v="0"/>
    <s v="0"/>
    <n v="0"/>
  </r>
  <r>
    <x v="24"/>
    <x v="0"/>
    <n v="9"/>
    <n v="0.9"/>
    <n v="9"/>
    <n v="0.9"/>
    <n v="1"/>
    <n v="0"/>
    <n v="0"/>
    <n v="0"/>
    <s v="0"/>
    <n v="0"/>
  </r>
  <r>
    <x v="25"/>
    <x v="0"/>
    <n v="14"/>
    <n v="1"/>
    <n v="19"/>
    <n v="1"/>
    <n v="1"/>
    <n v="2"/>
    <n v="0.1429"/>
    <n v="21.98"/>
    <s v="2"/>
    <n v="0.14285714285714299"/>
  </r>
  <r>
    <x v="26"/>
    <x v="2"/>
    <n v="0"/>
    <n v="0"/>
    <n v="0"/>
    <n v="0"/>
    <n v="0"/>
    <n v="1"/>
    <n v="0"/>
    <n v="15.99"/>
    <s v="1"/>
    <n v="0"/>
  </r>
  <r>
    <x v="26"/>
    <x v="0"/>
    <n v="22"/>
    <n v="1"/>
    <n v="29"/>
    <n v="1"/>
    <n v="1"/>
    <n v="9"/>
    <n v="0.40910000000000002"/>
    <n v="98.91"/>
    <s v="6"/>
    <n v="0.27272727272727298"/>
  </r>
  <r>
    <x v="27"/>
    <x v="1"/>
    <n v="1"/>
    <n v="3.85E-2"/>
    <n v="1"/>
    <n v="3.1300000000000001E-2"/>
    <n v="1"/>
    <n v="0"/>
    <n v="0"/>
    <n v="0"/>
    <s v="0"/>
    <n v="0"/>
  </r>
  <r>
    <x v="27"/>
    <x v="2"/>
    <n v="2"/>
    <n v="7.6899999999999996E-2"/>
    <n v="3"/>
    <n v="9.3799999999999994E-2"/>
    <n v="1"/>
    <n v="0"/>
    <n v="0"/>
    <n v="0"/>
    <s v="0"/>
    <n v="0"/>
  </r>
  <r>
    <x v="27"/>
    <x v="0"/>
    <n v="23"/>
    <n v="0.88460000000000005"/>
    <n v="28"/>
    <n v="0.875"/>
    <n v="0.93"/>
    <n v="12"/>
    <n v="0.52170000000000005"/>
    <n v="131.88"/>
    <s v="8"/>
    <n v="0.34782608695652201"/>
  </r>
  <r>
    <x v="28"/>
    <x v="0"/>
    <n v="23"/>
    <n v="0.95830000000000004"/>
    <n v="31"/>
    <n v="0.96879999999999999"/>
    <n v="1"/>
    <n v="12"/>
    <n v="0.52170000000000005"/>
    <n v="137.88"/>
    <s v="3"/>
    <n v="0.13043478260869601"/>
  </r>
  <r>
    <x v="28"/>
    <x v="2"/>
    <n v="1"/>
    <n v="4.1700000000000001E-2"/>
    <n v="1"/>
    <n v="3.1300000000000001E-2"/>
    <n v="1"/>
    <n v="1"/>
    <n v="1"/>
    <n v="15.99"/>
    <s v="1"/>
    <n v="1"/>
  </r>
  <r>
    <x v="29"/>
    <x v="1"/>
    <n v="1"/>
    <n v="4.1700000000000001E-2"/>
    <n v="1"/>
    <n v="3.3300000000000003E-2"/>
    <n v="0"/>
    <n v="0"/>
    <n v="0"/>
    <n v="0"/>
    <s v="0"/>
    <n v="0"/>
  </r>
  <r>
    <x v="29"/>
    <x v="0"/>
    <n v="19"/>
    <n v="0.79169999999999996"/>
    <n v="25"/>
    <n v="0.83330000000000004"/>
    <n v="1"/>
    <n v="14"/>
    <n v="0.73680000000000001"/>
    <n v="160.86000000000001"/>
    <s v="5"/>
    <n v="0.26315789473684198"/>
  </r>
  <r>
    <x v="29"/>
    <x v="2"/>
    <n v="4"/>
    <n v="0.16669999999999999"/>
    <n v="4"/>
    <n v="0.1333"/>
    <n v="1"/>
    <n v="1"/>
    <n v="0.25"/>
    <n v="15.99"/>
    <s v="1"/>
    <n v="0.25"/>
  </r>
  <r>
    <x v="30"/>
    <x v="0"/>
    <n v="18"/>
    <n v="1"/>
    <n v="24"/>
    <n v="1"/>
    <n v="0.96"/>
    <n v="7"/>
    <n v="0.38890000000000002"/>
    <n v="80.430000000000007"/>
    <s v="7"/>
    <n v="0.38888888888888901"/>
  </r>
  <r>
    <x v="31"/>
    <x v="0"/>
    <n v="19"/>
    <n v="1"/>
    <n v="21"/>
    <n v="1"/>
    <n v="1"/>
    <n v="15"/>
    <n v="0.78949999999999998"/>
    <n v="172.35"/>
    <s v="10"/>
    <n v="0.52631578947368396"/>
  </r>
  <r>
    <x v="32"/>
    <x v="1"/>
    <n v="1"/>
    <n v="4.1700000000000001E-2"/>
    <n v="1"/>
    <n v="3.6999999999999998E-2"/>
    <n v="1"/>
    <n v="0"/>
    <n v="0"/>
    <n v="0"/>
    <s v="0"/>
    <n v="0"/>
  </r>
  <r>
    <x v="32"/>
    <x v="2"/>
    <n v="2"/>
    <n v="8.3299999999999999E-2"/>
    <n v="2"/>
    <n v="7.4099999999999999E-2"/>
    <n v="1"/>
    <n v="0"/>
    <n v="0"/>
    <n v="0"/>
    <s v="0"/>
    <n v="0"/>
  </r>
  <r>
    <x v="32"/>
    <x v="3"/>
    <n v="3"/>
    <n v="0.125"/>
    <n v="4"/>
    <n v="0.14810000000000001"/>
    <n v="1"/>
    <n v="0"/>
    <n v="0"/>
    <n v="0"/>
    <s v="0"/>
    <n v="0"/>
  </r>
  <r>
    <x v="32"/>
    <x v="0"/>
    <n v="18"/>
    <n v="0.75"/>
    <n v="20"/>
    <n v="0.74070000000000003"/>
    <n v="1"/>
    <n v="8"/>
    <n v="0.44440000000000002"/>
    <n v="91.92"/>
    <s v="6"/>
    <n v="0.33333333333333298"/>
  </r>
  <r>
    <x v="33"/>
    <x v="3"/>
    <n v="14"/>
    <n v="0.4"/>
    <n v="17"/>
    <n v="0.39529999999999998"/>
    <n v="1"/>
    <n v="0"/>
    <n v="0"/>
    <n v="0"/>
    <s v="0"/>
    <n v="0"/>
  </r>
  <r>
    <x v="33"/>
    <x v="2"/>
    <n v="1"/>
    <n v="2.86E-2"/>
    <n v="1"/>
    <n v="2.3300000000000001E-2"/>
    <n v="1"/>
    <n v="2"/>
    <n v="2"/>
    <n v="31.98"/>
    <s v="1"/>
    <n v="1"/>
  </r>
  <r>
    <x v="33"/>
    <x v="0"/>
    <n v="20"/>
    <n v="0.57140000000000002"/>
    <n v="25"/>
    <n v="0.58140000000000003"/>
    <n v="1"/>
    <n v="9"/>
    <n v="0.45"/>
    <n v="103.41"/>
    <s v="9"/>
    <n v="0.45"/>
  </r>
  <r>
    <x v="34"/>
    <x v="1"/>
    <n v="1"/>
    <n v="2.7799999999999998E-2"/>
    <n v="1"/>
    <n v="2.4400000000000002E-2"/>
    <n v="1"/>
    <n v="0"/>
    <n v="0"/>
    <n v="0"/>
    <s v="0"/>
    <n v="0"/>
  </r>
  <r>
    <x v="34"/>
    <x v="0"/>
    <n v="30"/>
    <n v="0.83330000000000004"/>
    <n v="35"/>
    <n v="0.85370000000000001"/>
    <n v="1"/>
    <n v="13"/>
    <n v="0.43330000000000002"/>
    <n v="149.37"/>
    <s v="12"/>
    <n v="0.4"/>
  </r>
  <r>
    <x v="34"/>
    <x v="2"/>
    <n v="3"/>
    <n v="8.3299999999999999E-2"/>
    <n v="3"/>
    <n v="7.3200000000000001E-2"/>
    <n v="1"/>
    <n v="1"/>
    <n v="0.33329999999999999"/>
    <n v="15.99"/>
    <s v="1"/>
    <n v="0.33333333333333298"/>
  </r>
  <r>
    <x v="34"/>
    <x v="3"/>
    <n v="2"/>
    <n v="5.5599999999999997E-2"/>
    <n v="2"/>
    <n v="4.8800000000000003E-2"/>
    <n v="1"/>
    <n v="1"/>
    <n v="0.5"/>
    <n v="22.99"/>
    <s v="1"/>
    <n v="0.5"/>
  </r>
  <r>
    <x v="35"/>
    <x v="1"/>
    <n v="2"/>
    <n v="4.7600000000000003E-2"/>
    <n v="2"/>
    <n v="3.39E-2"/>
    <n v="1"/>
    <n v="0"/>
    <n v="0"/>
    <n v="0"/>
    <s v="0"/>
    <n v="0"/>
  </r>
  <r>
    <x v="35"/>
    <x v="2"/>
    <n v="4"/>
    <n v="9.5200000000000007E-2"/>
    <n v="7"/>
    <n v="0.1186"/>
    <n v="1"/>
    <n v="0"/>
    <n v="0"/>
    <n v="0"/>
    <s v="0"/>
    <n v="0"/>
  </r>
  <r>
    <x v="35"/>
    <x v="0"/>
    <n v="29"/>
    <n v="0.6905"/>
    <n v="43"/>
    <n v="0.7288"/>
    <n v="0.98"/>
    <n v="17"/>
    <n v="0.58620000000000005"/>
    <n v="195.33"/>
    <s v="15"/>
    <n v="0.51724137931034497"/>
  </r>
  <r>
    <x v="35"/>
    <x v="3"/>
    <n v="7"/>
    <n v="0.16669999999999999"/>
    <n v="7"/>
    <n v="0.1186"/>
    <n v="1"/>
    <n v="1"/>
    <n v="0.1429"/>
    <n v="22.99"/>
    <s v="1"/>
    <n v="0.14285714285714299"/>
  </r>
  <r>
    <x v="36"/>
    <x v="2"/>
    <n v="4"/>
    <n v="9.7600000000000006E-2"/>
    <n v="4"/>
    <n v="0.08"/>
    <n v="1"/>
    <n v="2"/>
    <n v="0.5"/>
    <n v="31.98"/>
    <s v="1"/>
    <n v="0.25"/>
  </r>
  <r>
    <x v="36"/>
    <x v="0"/>
    <n v="27"/>
    <n v="0.65849999999999997"/>
    <n v="35"/>
    <n v="0.7"/>
    <n v="1"/>
    <n v="23"/>
    <n v="0.85189999999999999"/>
    <n v="264.77"/>
    <s v="17"/>
    <n v="0.62962962962962998"/>
  </r>
  <r>
    <x v="36"/>
    <x v="3"/>
    <n v="10"/>
    <n v="0.24390000000000001"/>
    <n v="11"/>
    <n v="0.22"/>
    <n v="1"/>
    <n v="1"/>
    <n v="0.1"/>
    <n v="22.99"/>
    <s v="1"/>
    <n v="0.1"/>
  </r>
  <r>
    <x v="37"/>
    <x v="4"/>
    <n v="1"/>
    <n v="1.7899999999999999E-2"/>
    <n v="1"/>
    <n v="1.3899999999999999E-2"/>
    <n v="1"/>
    <n v="0"/>
    <n v="0"/>
    <n v="0"/>
    <s v="0"/>
    <n v="0"/>
  </r>
  <r>
    <x v="37"/>
    <x v="1"/>
    <n v="2"/>
    <n v="3.5700000000000003E-2"/>
    <n v="2"/>
    <n v="2.7799999999999998E-2"/>
    <n v="1"/>
    <n v="0"/>
    <n v="0"/>
    <n v="0"/>
    <s v="0"/>
    <n v="0"/>
  </r>
  <r>
    <x v="37"/>
    <x v="2"/>
    <n v="4"/>
    <n v="7.1400000000000005E-2"/>
    <n v="5"/>
    <n v="6.9400000000000003E-2"/>
    <n v="1"/>
    <n v="0"/>
    <n v="0"/>
    <n v="0"/>
    <s v="0"/>
    <n v="0"/>
  </r>
  <r>
    <x v="37"/>
    <x v="0"/>
    <n v="32"/>
    <n v="0.57140000000000002"/>
    <n v="42"/>
    <n v="0.58330000000000004"/>
    <n v="1"/>
    <n v="11"/>
    <n v="0.34379999999999999"/>
    <n v="131.88999999999999"/>
    <s v="10"/>
    <n v="0.3125"/>
  </r>
  <r>
    <x v="37"/>
    <x v="3"/>
    <n v="17"/>
    <n v="0.30359999999999998"/>
    <n v="22"/>
    <n v="0.30559999999999998"/>
    <n v="1"/>
    <n v="1"/>
    <n v="5.8799999999999998E-2"/>
    <n v="22.99"/>
    <s v="1"/>
    <n v="5.8823529411764698E-2"/>
  </r>
  <r>
    <x v="38"/>
    <x v="2"/>
    <n v="4"/>
    <n v="0.21049999999999999"/>
    <n v="6"/>
    <n v="0.2727"/>
    <n v="1"/>
    <n v="4"/>
    <n v="1"/>
    <n v="63.96"/>
    <s v="2"/>
    <n v="0.5"/>
  </r>
  <r>
    <x v="38"/>
    <x v="0"/>
    <n v="15"/>
    <n v="0.78949999999999998"/>
    <n v="16"/>
    <n v="0.72729999999999995"/>
    <n v="1"/>
    <n v="10"/>
    <n v="0.66669999999999996"/>
    <n v="119.9"/>
    <s v="7"/>
    <n v="0.46666666666666701"/>
  </r>
  <r>
    <x v="39"/>
    <x v="2"/>
    <n v="2"/>
    <n v="0.08"/>
    <n v="2"/>
    <n v="6.0600000000000001E-2"/>
    <n v="1"/>
    <n v="0"/>
    <n v="0"/>
    <n v="0"/>
    <s v="0"/>
    <n v="0"/>
  </r>
  <r>
    <x v="39"/>
    <x v="3"/>
    <n v="4"/>
    <n v="0.16"/>
    <n v="4"/>
    <n v="0.1212"/>
    <n v="1"/>
    <n v="0"/>
    <n v="0"/>
    <n v="0"/>
    <s v="0"/>
    <n v="0"/>
  </r>
  <r>
    <x v="39"/>
    <x v="0"/>
    <n v="19"/>
    <n v="0.76"/>
    <n v="27"/>
    <n v="0.81820000000000004"/>
    <n v="1"/>
    <n v="19"/>
    <n v="1"/>
    <n v="227.81"/>
    <s v="15"/>
    <n v="0.78947368421052599"/>
  </r>
  <r>
    <x v="40"/>
    <x v="2"/>
    <n v="1"/>
    <n v="2.9399999999999999E-2"/>
    <n v="1"/>
    <n v="2.4400000000000002E-2"/>
    <n v="1"/>
    <n v="0"/>
    <n v="0"/>
    <n v="0"/>
    <s v="0"/>
    <n v="0"/>
  </r>
  <r>
    <x v="40"/>
    <x v="0"/>
    <n v="27"/>
    <n v="0.79410000000000003"/>
    <n v="34"/>
    <n v="0.82930000000000004"/>
    <n v="1"/>
    <n v="28"/>
    <n v="1.0369999999999999"/>
    <n v="335.72"/>
    <s v="21"/>
    <n v="0.77777777777777801"/>
  </r>
  <r>
    <x v="40"/>
    <x v="3"/>
    <n v="6"/>
    <n v="0.17649999999999999"/>
    <n v="6"/>
    <n v="0.14630000000000001"/>
    <n v="1"/>
    <n v="1"/>
    <n v="0.16669999999999999"/>
    <n v="22.99"/>
    <s v="1"/>
    <n v="0.16666666666666699"/>
  </r>
  <r>
    <x v="41"/>
    <x v="3"/>
    <n v="8"/>
    <n v="0.2581"/>
    <n v="11"/>
    <n v="0.27500000000000002"/>
    <n v="1"/>
    <n v="0"/>
    <n v="0"/>
    <n v="0"/>
    <s v="0"/>
    <n v="0"/>
  </r>
  <r>
    <x v="41"/>
    <x v="2"/>
    <n v="1"/>
    <n v="3.2300000000000002E-2"/>
    <n v="1"/>
    <n v="2.5000000000000001E-2"/>
    <n v="0"/>
    <n v="0"/>
    <n v="0"/>
    <n v="0"/>
    <s v="0"/>
    <n v="0"/>
  </r>
  <r>
    <x v="41"/>
    <x v="1"/>
    <n v="1"/>
    <n v="3.2300000000000002E-2"/>
    <n v="1"/>
    <n v="2.5000000000000001E-2"/>
    <n v="0"/>
    <n v="0"/>
    <n v="0"/>
    <n v="0"/>
    <s v="0"/>
    <n v="0"/>
  </r>
  <r>
    <x v="41"/>
    <x v="0"/>
    <n v="21"/>
    <n v="0.6774"/>
    <n v="27"/>
    <n v="0.67500000000000004"/>
    <n v="1"/>
    <n v="9"/>
    <n v="0.42859999999999998"/>
    <n v="107.91"/>
    <s v="8"/>
    <n v="0.38095238095238099"/>
  </r>
  <r>
    <x v="42"/>
    <x v="3"/>
    <n v="11"/>
    <n v="0.31430000000000002"/>
    <n v="11"/>
    <n v="0.28949999999999998"/>
    <n v="1"/>
    <n v="2"/>
    <n v="0.18179999999999999"/>
    <n v="45.98"/>
    <s v="2"/>
    <n v="0.18181818181818199"/>
  </r>
  <r>
    <x v="42"/>
    <x v="0"/>
    <n v="22"/>
    <n v="0.62860000000000005"/>
    <n v="25"/>
    <n v="0.65790000000000004"/>
    <n v="1"/>
    <n v="19"/>
    <n v="0.86360000000000003"/>
    <n v="227.81"/>
    <s v="13"/>
    <n v="0.59090909090909105"/>
  </r>
  <r>
    <x v="42"/>
    <x v="2"/>
    <n v="2"/>
    <n v="5.7099999999999998E-2"/>
    <n v="2"/>
    <n v="5.2600000000000001E-2"/>
    <n v="1"/>
    <n v="1"/>
    <n v="0.5"/>
    <n v="15.99"/>
    <s v="1"/>
    <n v="0.5"/>
  </r>
  <r>
    <x v="43"/>
    <x v="2"/>
    <n v="0"/>
    <n v="0"/>
    <n v="0"/>
    <n v="0"/>
    <n v="0"/>
    <n v="1"/>
    <n v="0"/>
    <n v="15.99"/>
    <s v="1"/>
    <n v="0"/>
  </r>
  <r>
    <x v="43"/>
    <x v="0"/>
    <n v="24"/>
    <n v="0.92310000000000003"/>
    <n v="32"/>
    <n v="0.94120000000000004"/>
    <n v="1"/>
    <n v="12"/>
    <n v="0.5"/>
    <n v="143.88"/>
    <s v="11"/>
    <n v="0.45833333333333298"/>
  </r>
  <r>
    <x v="43"/>
    <x v="3"/>
    <n v="2"/>
    <n v="7.6899999999999996E-2"/>
    <n v="2"/>
    <n v="5.8799999999999998E-2"/>
    <n v="1"/>
    <n v="1"/>
    <n v="0.5"/>
    <n v="22.99"/>
    <s v="1"/>
    <n v="0.5"/>
  </r>
  <r>
    <x v="44"/>
    <x v="1"/>
    <n v="1"/>
    <n v="3.3300000000000003E-2"/>
    <n v="1"/>
    <n v="2.3800000000000002E-2"/>
    <n v="1"/>
    <n v="0"/>
    <n v="0"/>
    <n v="0"/>
    <s v="0"/>
    <n v="0"/>
  </r>
  <r>
    <x v="44"/>
    <x v="2"/>
    <n v="2"/>
    <n v="6.6699999999999995E-2"/>
    <n v="2"/>
    <n v="4.7600000000000003E-2"/>
    <n v="1"/>
    <n v="0"/>
    <n v="0"/>
    <n v="0"/>
    <s v="0"/>
    <n v="0"/>
  </r>
  <r>
    <x v="44"/>
    <x v="3"/>
    <n v="5"/>
    <n v="0.16669999999999999"/>
    <n v="7"/>
    <n v="0.16669999999999999"/>
    <n v="1"/>
    <n v="0"/>
    <n v="0"/>
    <n v="0"/>
    <s v="0"/>
    <n v="0"/>
  </r>
  <r>
    <x v="44"/>
    <x v="4"/>
    <n v="1"/>
    <n v="3.3300000000000003E-2"/>
    <n v="1"/>
    <n v="2.3800000000000002E-2"/>
    <n v="0"/>
    <n v="0"/>
    <n v="0"/>
    <n v="0"/>
    <s v="0"/>
    <n v="0"/>
  </r>
  <r>
    <x v="44"/>
    <x v="0"/>
    <n v="21"/>
    <n v="0.7"/>
    <n v="31"/>
    <n v="0.73809999999999998"/>
    <n v="1"/>
    <n v="9"/>
    <n v="0.42859999999999998"/>
    <n v="107.91"/>
    <s v="6"/>
    <n v="0.28571428571428598"/>
  </r>
  <r>
    <x v="45"/>
    <x v="3"/>
    <n v="6"/>
    <n v="0.28570000000000001"/>
    <n v="7"/>
    <n v="0.30430000000000001"/>
    <n v="1"/>
    <n v="0"/>
    <n v="0"/>
    <n v="0"/>
    <s v="0"/>
    <n v="0"/>
  </r>
  <r>
    <x v="45"/>
    <x v="2"/>
    <n v="3"/>
    <n v="0.1429"/>
    <n v="3"/>
    <n v="0.13039999999999999"/>
    <n v="1"/>
    <n v="0"/>
    <n v="0"/>
    <n v="0"/>
    <s v="0"/>
    <n v="0"/>
  </r>
  <r>
    <x v="45"/>
    <x v="0"/>
    <n v="12"/>
    <n v="0.57140000000000002"/>
    <n v="13"/>
    <n v="0.56520000000000004"/>
    <n v="1"/>
    <n v="3"/>
    <n v="0.25"/>
    <n v="35.97"/>
    <s v="3"/>
    <n v="0.25"/>
  </r>
  <r>
    <x v="46"/>
    <x v="3"/>
    <n v="15"/>
    <n v="0.44119999999999998"/>
    <n v="22"/>
    <n v="0.4889"/>
    <n v="1"/>
    <n v="2"/>
    <n v="0.1333"/>
    <n v="45.98"/>
    <s v="2"/>
    <n v="0.133333333333333"/>
  </r>
  <r>
    <x v="46"/>
    <x v="0"/>
    <n v="13"/>
    <n v="0.38240000000000002"/>
    <n v="17"/>
    <n v="0.37780000000000002"/>
    <n v="1"/>
    <n v="11"/>
    <n v="0.84619999999999995"/>
    <n v="131.88999999999999"/>
    <s v="10"/>
    <n v="0.76923076923076905"/>
  </r>
  <r>
    <x v="46"/>
    <x v="2"/>
    <n v="6"/>
    <n v="0.17649999999999999"/>
    <n v="6"/>
    <n v="0.1333"/>
    <n v="1"/>
    <n v="1"/>
    <n v="0.16669999999999999"/>
    <n v="15.99"/>
    <s v="1"/>
    <n v="0.16666666666666699"/>
  </r>
  <r>
    <x v="47"/>
    <x v="1"/>
    <n v="1"/>
    <n v="3.4500000000000003E-2"/>
    <n v="1"/>
    <n v="2.7799999999999998E-2"/>
    <n v="1"/>
    <n v="0"/>
    <n v="0"/>
    <n v="0"/>
    <s v="0"/>
    <n v="0"/>
  </r>
  <r>
    <x v="47"/>
    <x v="2"/>
    <n v="7"/>
    <n v="0.2414"/>
    <n v="8"/>
    <n v="0.22220000000000001"/>
    <n v="1"/>
    <n v="0"/>
    <n v="0"/>
    <n v="0"/>
    <s v="0"/>
    <n v="0"/>
  </r>
  <r>
    <x v="47"/>
    <x v="3"/>
    <n v="5"/>
    <n v="0.1724"/>
    <n v="7"/>
    <n v="0.19439999999999999"/>
    <n v="1"/>
    <n v="0"/>
    <n v="0"/>
    <n v="0"/>
    <s v="0"/>
    <n v="0"/>
  </r>
  <r>
    <x v="47"/>
    <x v="4"/>
    <n v="1"/>
    <n v="3.4500000000000003E-2"/>
    <n v="1"/>
    <n v="2.7799999999999998E-2"/>
    <n v="0"/>
    <n v="0"/>
    <n v="0"/>
    <n v="0"/>
    <s v="0"/>
    <n v="0"/>
  </r>
  <r>
    <x v="47"/>
    <x v="0"/>
    <n v="15"/>
    <n v="0.51719999999999999"/>
    <n v="19"/>
    <n v="0.52780000000000005"/>
    <n v="1"/>
    <n v="18"/>
    <n v="1.2"/>
    <n v="215.82"/>
    <s v="14"/>
    <n v="0.93333333333333302"/>
  </r>
  <r>
    <x v="48"/>
    <x v="3"/>
    <n v="19"/>
    <n v="0.34549999999999997"/>
    <n v="25"/>
    <n v="0.33779999999999999"/>
    <n v="1"/>
    <n v="0"/>
    <n v="0"/>
    <n v="0"/>
    <s v="0"/>
    <n v="0"/>
  </r>
  <r>
    <x v="48"/>
    <x v="0"/>
    <n v="30"/>
    <n v="0.54549999999999998"/>
    <n v="42"/>
    <n v="0.56759999999999999"/>
    <n v="1"/>
    <n v="24"/>
    <n v="0.8"/>
    <n v="287.76"/>
    <s v="21"/>
    <n v="0.7"/>
  </r>
  <r>
    <x v="48"/>
    <x v="2"/>
    <n v="6"/>
    <n v="0.1091"/>
    <n v="7"/>
    <n v="9.4600000000000004E-2"/>
    <n v="1"/>
    <n v="1"/>
    <n v="0.16669999999999999"/>
    <n v="15.99"/>
    <s v="1"/>
    <n v="0.16666666666666699"/>
  </r>
  <r>
    <x v="49"/>
    <x v="3"/>
    <n v="1"/>
    <n v="3.2300000000000002E-2"/>
    <n v="1"/>
    <n v="2.0400000000000001E-2"/>
    <n v="1"/>
    <n v="0"/>
    <n v="0"/>
    <n v="0"/>
    <s v="0"/>
    <n v="0"/>
  </r>
  <r>
    <x v="49"/>
    <x v="4"/>
    <n v="1"/>
    <n v="3.2300000000000002E-2"/>
    <n v="2"/>
    <n v="4.0800000000000003E-2"/>
    <n v="1"/>
    <n v="0"/>
    <n v="0"/>
    <n v="0"/>
    <s v="0"/>
    <n v="0"/>
  </r>
  <r>
    <x v="49"/>
    <x v="2"/>
    <n v="4"/>
    <n v="0.129"/>
    <n v="6"/>
    <n v="0.12239999999999999"/>
    <n v="1"/>
    <n v="0"/>
    <n v="0"/>
    <n v="0"/>
    <s v="0"/>
    <n v="0"/>
  </r>
  <r>
    <x v="49"/>
    <x v="0"/>
    <n v="25"/>
    <n v="0.80649999999999999"/>
    <n v="40"/>
    <n v="0.81630000000000003"/>
    <n v="1"/>
    <n v="8"/>
    <n v="0.32"/>
    <n v="95.92"/>
    <s v="8"/>
    <n v="0.32"/>
  </r>
  <r>
    <x v="50"/>
    <x v="3"/>
    <n v="2"/>
    <n v="0.1176"/>
    <n v="2"/>
    <n v="8.3299999999999999E-2"/>
    <n v="1"/>
    <n v="0"/>
    <n v="0"/>
    <n v="0"/>
    <s v="0"/>
    <n v="0"/>
  </r>
  <r>
    <x v="50"/>
    <x v="1"/>
    <n v="1"/>
    <n v="5.8799999999999998E-2"/>
    <n v="1"/>
    <n v="4.1700000000000001E-2"/>
    <n v="0"/>
    <n v="0"/>
    <n v="0"/>
    <n v="0"/>
    <s v="0"/>
    <n v="0"/>
  </r>
  <r>
    <x v="50"/>
    <x v="0"/>
    <n v="11"/>
    <n v="0.64710000000000001"/>
    <n v="16"/>
    <n v="0.66669999999999996"/>
    <n v="0.94"/>
    <n v="7"/>
    <n v="0.63639999999999997"/>
    <n v="83.93"/>
    <s v="7"/>
    <n v="0.63636363636363602"/>
  </r>
  <r>
    <x v="50"/>
    <x v="2"/>
    <n v="3"/>
    <n v="0.17649999999999999"/>
    <n v="5"/>
    <n v="0.20830000000000001"/>
    <n v="1"/>
    <n v="3"/>
    <n v="1"/>
    <n v="47.97"/>
    <s v="2"/>
    <n v="0.66666666666666696"/>
  </r>
  <r>
    <x v="51"/>
    <x v="4"/>
    <n v="2"/>
    <n v="8.3299999999999999E-2"/>
    <n v="2"/>
    <n v="6.25E-2"/>
    <n v="1"/>
    <n v="0"/>
    <n v="0"/>
    <n v="0"/>
    <s v="0"/>
    <n v="0"/>
  </r>
  <r>
    <x v="51"/>
    <x v="3"/>
    <n v="4"/>
    <n v="0.16669999999999999"/>
    <n v="6"/>
    <n v="0.1875"/>
    <n v="1"/>
    <n v="0"/>
    <n v="0"/>
    <n v="0"/>
    <s v="0"/>
    <n v="0"/>
  </r>
  <r>
    <x v="51"/>
    <x v="2"/>
    <n v="3"/>
    <n v="0.125"/>
    <n v="5"/>
    <n v="0.15629999999999999"/>
    <n v="1"/>
    <n v="0"/>
    <n v="0"/>
    <n v="0"/>
    <s v="0"/>
    <n v="0"/>
  </r>
  <r>
    <x v="51"/>
    <x v="0"/>
    <n v="15"/>
    <n v="0.625"/>
    <n v="19"/>
    <n v="0.59379999999999999"/>
    <n v="1"/>
    <n v="8"/>
    <n v="0.5333"/>
    <n v="99.92"/>
    <s v="7"/>
    <n v="0.46666666666666701"/>
  </r>
  <r>
    <x v="52"/>
    <x v="4"/>
    <n v="1"/>
    <n v="3.1300000000000001E-2"/>
    <n v="1"/>
    <n v="2.5600000000000001E-2"/>
    <n v="1"/>
    <n v="0"/>
    <n v="0"/>
    <n v="0"/>
    <s v="0"/>
    <n v="0"/>
  </r>
  <r>
    <x v="52"/>
    <x v="3"/>
    <n v="17"/>
    <n v="0.53129999999999999"/>
    <n v="21"/>
    <n v="0.53849999999999998"/>
    <n v="1"/>
    <n v="0"/>
    <n v="0"/>
    <n v="0"/>
    <s v="0"/>
    <n v="0"/>
  </r>
  <r>
    <x v="52"/>
    <x v="0"/>
    <n v="14"/>
    <n v="0.4375"/>
    <n v="17"/>
    <n v="0.43590000000000001"/>
    <n v="1"/>
    <n v="5"/>
    <n v="0.35709999999999997"/>
    <n v="62.45"/>
    <s v="4"/>
    <n v="0.28571428571428598"/>
  </r>
  <r>
    <x v="53"/>
    <x v="3"/>
    <n v="12"/>
    <n v="0.42859999999999998"/>
    <n v="12"/>
    <n v="0.3871"/>
    <n v="1"/>
    <n v="2"/>
    <n v="0.16669999999999999"/>
    <n v="41.98"/>
    <s v="2"/>
    <n v="0.16666666666666699"/>
  </r>
  <r>
    <x v="53"/>
    <x v="0"/>
    <n v="16"/>
    <n v="0.57140000000000002"/>
    <n v="19"/>
    <n v="0.6129"/>
    <n v="1"/>
    <n v="8"/>
    <n v="0.5"/>
    <n v="99.92"/>
    <s v="6"/>
    <n v="0.375"/>
  </r>
  <r>
    <x v="54"/>
    <x v="4"/>
    <n v="1"/>
    <n v="4.1700000000000001E-2"/>
    <n v="1"/>
    <n v="3.5700000000000003E-2"/>
    <n v="1"/>
    <n v="0"/>
    <n v="0"/>
    <n v="0"/>
    <s v="0"/>
    <n v="0"/>
  </r>
  <r>
    <x v="54"/>
    <x v="2"/>
    <n v="1"/>
    <n v="4.1700000000000001E-2"/>
    <n v="1"/>
    <n v="3.5700000000000003E-2"/>
    <n v="1"/>
    <n v="0"/>
    <n v="0"/>
    <n v="0"/>
    <s v="0"/>
    <n v="0"/>
  </r>
  <r>
    <x v="54"/>
    <x v="1"/>
    <n v="1"/>
    <n v="4.1700000000000001E-2"/>
    <n v="2"/>
    <n v="7.1400000000000005E-2"/>
    <n v="1"/>
    <n v="0"/>
    <n v="0"/>
    <n v="0"/>
    <s v="0"/>
    <n v="0"/>
  </r>
  <r>
    <x v="54"/>
    <x v="0"/>
    <n v="8"/>
    <n v="0.33329999999999999"/>
    <n v="10"/>
    <n v="0.35709999999999997"/>
    <n v="1"/>
    <n v="5"/>
    <n v="0.625"/>
    <n v="62.45"/>
    <s v="5"/>
    <n v="0.625"/>
  </r>
  <r>
    <x v="54"/>
    <x v="3"/>
    <n v="13"/>
    <n v="0.54169999999999996"/>
    <n v="14"/>
    <n v="0.5"/>
    <n v="1"/>
    <n v="1"/>
    <n v="7.6899999999999996E-2"/>
    <n v="20.99"/>
    <s v="1"/>
    <n v="7.69230769230769E-2"/>
  </r>
  <r>
    <x v="55"/>
    <x v="3"/>
    <n v="15"/>
    <n v="0.3659"/>
    <n v="20"/>
    <n v="0.36359999999999998"/>
    <n v="1"/>
    <n v="0"/>
    <n v="0"/>
    <n v="0"/>
    <s v="0"/>
    <n v="0"/>
  </r>
  <r>
    <x v="55"/>
    <x v="4"/>
    <n v="1"/>
    <n v="2.4400000000000002E-2"/>
    <n v="1"/>
    <n v="1.8200000000000001E-2"/>
    <n v="0"/>
    <n v="0"/>
    <n v="0"/>
    <n v="0"/>
    <s v="0"/>
    <n v="0"/>
  </r>
  <r>
    <x v="55"/>
    <x v="0"/>
    <n v="25"/>
    <n v="0.60980000000000001"/>
    <n v="34"/>
    <n v="0.61819999999999997"/>
    <n v="1"/>
    <n v="6"/>
    <n v="0.24"/>
    <n v="74.94"/>
    <s v="6"/>
    <n v="0.24"/>
  </r>
  <r>
    <x v="56"/>
    <x v="2"/>
    <n v="1"/>
    <n v="0.04"/>
    <n v="1"/>
    <n v="3.4500000000000003E-2"/>
    <n v="1"/>
    <n v="0"/>
    <n v="0"/>
    <n v="0"/>
    <s v="0"/>
    <n v="0"/>
  </r>
  <r>
    <x v="56"/>
    <x v="3"/>
    <n v="6"/>
    <n v="0.24"/>
    <n v="7"/>
    <n v="0.2414"/>
    <n v="1"/>
    <n v="0"/>
    <n v="0"/>
    <n v="0"/>
    <s v="0"/>
    <n v="0"/>
  </r>
  <r>
    <x v="56"/>
    <x v="4"/>
    <n v="1"/>
    <n v="0.04"/>
    <n v="1"/>
    <n v="3.4500000000000003E-2"/>
    <n v="0"/>
    <n v="0"/>
    <n v="0"/>
    <n v="0"/>
    <s v="0"/>
    <n v="0"/>
  </r>
  <r>
    <x v="56"/>
    <x v="0"/>
    <n v="17"/>
    <n v="0.68"/>
    <n v="20"/>
    <n v="0.68969999999999998"/>
    <n v="0.95"/>
    <n v="4"/>
    <n v="0.23530000000000001"/>
    <n v="49.96"/>
    <s v="3"/>
    <n v="0.17647058823529399"/>
  </r>
  <r>
    <x v="57"/>
    <x v="2"/>
    <n v="2"/>
    <n v="7.4099999999999999E-2"/>
    <n v="4"/>
    <n v="0.1111"/>
    <n v="1"/>
    <n v="0"/>
    <n v="0"/>
    <n v="0"/>
    <s v="0"/>
    <n v="0"/>
  </r>
  <r>
    <x v="57"/>
    <x v="1"/>
    <n v="3"/>
    <n v="0.1111"/>
    <n v="3"/>
    <n v="8.3299999999999999E-2"/>
    <n v="1"/>
    <n v="0"/>
    <n v="0"/>
    <n v="0"/>
    <s v="0"/>
    <n v="0"/>
  </r>
  <r>
    <x v="57"/>
    <x v="3"/>
    <n v="12"/>
    <n v="0.44440000000000002"/>
    <n v="18"/>
    <n v="0.5"/>
    <n v="1"/>
    <n v="6"/>
    <n v="0.5"/>
    <n v="125.94"/>
    <s v="3"/>
    <n v="0.25"/>
  </r>
  <r>
    <x v="57"/>
    <x v="0"/>
    <n v="10"/>
    <n v="0.37040000000000001"/>
    <n v="11"/>
    <n v="0.30559999999999998"/>
    <n v="1"/>
    <n v="3"/>
    <n v="0.3"/>
    <n v="37.47"/>
    <s v="3"/>
    <n v="0.3"/>
  </r>
  <r>
    <x v="58"/>
    <x v="2"/>
    <n v="2"/>
    <n v="4.8800000000000003E-2"/>
    <n v="2"/>
    <n v="3.85E-2"/>
    <n v="0"/>
    <n v="0"/>
    <n v="0"/>
    <n v="0"/>
    <s v="0"/>
    <n v="0"/>
  </r>
  <r>
    <x v="58"/>
    <x v="3"/>
    <n v="17"/>
    <n v="0.41460000000000002"/>
    <n v="22"/>
    <n v="0.42309999999999998"/>
    <n v="1"/>
    <n v="2"/>
    <n v="0.1176"/>
    <n v="41.98"/>
    <s v="2"/>
    <n v="0.11764705882352899"/>
  </r>
  <r>
    <x v="58"/>
    <x v="0"/>
    <n v="22"/>
    <n v="0.53659999999999997"/>
    <n v="28"/>
    <n v="0.53849999999999998"/>
    <n v="1"/>
    <n v="4"/>
    <n v="0.18179999999999999"/>
    <n v="49.96"/>
    <s v="3"/>
    <n v="0.13636363636363599"/>
  </r>
  <r>
    <x v="59"/>
    <x v="4"/>
    <n v="1"/>
    <n v="3.2300000000000002E-2"/>
    <n v="1"/>
    <n v="2.5600000000000001E-2"/>
    <n v="0"/>
    <n v="0"/>
    <n v="0"/>
    <n v="0"/>
    <s v="0"/>
    <n v="0"/>
  </r>
  <r>
    <x v="59"/>
    <x v="3"/>
    <n v="15"/>
    <n v="0.4839"/>
    <n v="19"/>
    <n v="0.48720000000000002"/>
    <n v="1"/>
    <n v="2"/>
    <n v="0.1333"/>
    <n v="41.98"/>
    <s v="2"/>
    <n v="0.133333333333333"/>
  </r>
  <r>
    <x v="59"/>
    <x v="0"/>
    <n v="15"/>
    <n v="0.4839"/>
    <n v="19"/>
    <n v="0.48720000000000002"/>
    <n v="1"/>
    <n v="1"/>
    <n v="6.6699999999999995E-2"/>
    <n v="12.49"/>
    <s v="1"/>
    <n v="6.6666666666666693E-2"/>
  </r>
  <r>
    <x v="60"/>
    <x v="1"/>
    <n v="2"/>
    <n v="5.4100000000000002E-2"/>
    <n v="2"/>
    <n v="4.65E-2"/>
    <n v="1"/>
    <n v="0"/>
    <n v="0"/>
    <n v="0"/>
    <s v="0"/>
    <n v="0"/>
  </r>
  <r>
    <x v="60"/>
    <x v="3"/>
    <n v="13"/>
    <n v="0.35139999999999999"/>
    <n v="13"/>
    <n v="0.30230000000000001"/>
    <n v="1"/>
    <n v="0"/>
    <n v="0"/>
    <n v="0"/>
    <s v="0"/>
    <n v="0"/>
  </r>
  <r>
    <x v="60"/>
    <x v="0"/>
    <n v="21"/>
    <n v="0.56759999999999999"/>
    <n v="25"/>
    <n v="0.58140000000000003"/>
    <n v="1"/>
    <n v="4"/>
    <n v="0.1905"/>
    <n v="49.96"/>
    <s v="2"/>
    <n v="9.5238095238095205E-2"/>
  </r>
  <r>
    <x v="60"/>
    <x v="2"/>
    <n v="1"/>
    <n v="2.7E-2"/>
    <n v="3"/>
    <n v="6.9800000000000001E-2"/>
    <n v="1"/>
    <n v="1"/>
    <n v="1"/>
    <n v="15.99"/>
    <s v="1"/>
    <n v="1"/>
  </r>
  <r>
    <x v="61"/>
    <x v="2"/>
    <n v="2"/>
    <n v="5.8799999999999998E-2"/>
    <n v="7"/>
    <n v="0.15559999999999999"/>
    <n v="1"/>
    <n v="0"/>
    <n v="0"/>
    <n v="0"/>
    <s v="0"/>
    <n v="0"/>
  </r>
  <r>
    <x v="61"/>
    <x v="1"/>
    <n v="2"/>
    <n v="5.8799999999999998E-2"/>
    <n v="4"/>
    <n v="8.8900000000000007E-2"/>
    <n v="1"/>
    <n v="0"/>
    <n v="0"/>
    <n v="0"/>
    <s v="0"/>
    <n v="0"/>
  </r>
  <r>
    <x v="61"/>
    <x v="3"/>
    <n v="15"/>
    <n v="0.44119999999999998"/>
    <n v="15"/>
    <n v="0.33329999999999999"/>
    <n v="1"/>
    <n v="7"/>
    <n v="0.4667"/>
    <n v="146.93"/>
    <s v="3"/>
    <n v="0.2"/>
  </r>
  <r>
    <x v="61"/>
    <x v="0"/>
    <n v="15"/>
    <n v="0.44119999999999998"/>
    <n v="19"/>
    <n v="0.42220000000000002"/>
    <n v="1"/>
    <n v="5"/>
    <n v="0.33329999999999999"/>
    <n v="62.45"/>
    <s v="4"/>
    <n v="0.266666666666667"/>
  </r>
  <r>
    <x v="62"/>
    <x v="2"/>
    <n v="1"/>
    <n v="3.4500000000000003E-2"/>
    <n v="2"/>
    <n v="5.2600000000000001E-2"/>
    <n v="1"/>
    <n v="0"/>
    <n v="0"/>
    <n v="0"/>
    <s v="0"/>
    <n v="0"/>
  </r>
  <r>
    <x v="62"/>
    <x v="3"/>
    <n v="15"/>
    <n v="0.51719999999999999"/>
    <n v="19"/>
    <n v="0.5"/>
    <n v="1"/>
    <n v="0"/>
    <n v="0"/>
    <n v="0"/>
    <s v="0"/>
    <n v="0"/>
  </r>
  <r>
    <x v="62"/>
    <x v="0"/>
    <n v="13"/>
    <n v="0.44829999999999998"/>
    <n v="17"/>
    <n v="0.44740000000000002"/>
    <n v="1"/>
    <n v="7"/>
    <n v="0.53849999999999998"/>
    <n v="87.43"/>
    <s v="7"/>
    <n v="0.53846153846153799"/>
  </r>
  <r>
    <x v="63"/>
    <x v="2"/>
    <n v="3"/>
    <n v="0.12"/>
    <n v="3"/>
    <n v="0.1"/>
    <n v="1"/>
    <n v="0"/>
    <n v="0"/>
    <n v="0"/>
    <s v="0"/>
    <n v="0"/>
  </r>
  <r>
    <x v="63"/>
    <x v="1"/>
    <n v="1"/>
    <n v="0.04"/>
    <n v="1"/>
    <n v="3.3300000000000003E-2"/>
    <n v="0"/>
    <n v="0"/>
    <n v="0"/>
    <n v="0"/>
    <s v="0"/>
    <n v="0"/>
  </r>
  <r>
    <x v="63"/>
    <x v="3"/>
    <n v="11"/>
    <n v="0.44"/>
    <n v="14"/>
    <n v="0.4667"/>
    <n v="1"/>
    <n v="4"/>
    <n v="0.36359999999999998"/>
    <n v="83.96"/>
    <s v="3"/>
    <n v="0.27272727272727298"/>
  </r>
  <r>
    <x v="63"/>
    <x v="0"/>
    <n v="10"/>
    <n v="0.4"/>
    <n v="12"/>
    <n v="0.4"/>
    <n v="1"/>
    <n v="3"/>
    <n v="0.3"/>
    <n v="37.47"/>
    <s v="3"/>
    <n v="0.3"/>
  </r>
  <r>
    <x v="64"/>
    <x v="1"/>
    <n v="1"/>
    <n v="4.5499999999999999E-2"/>
    <n v="1"/>
    <n v="3.0300000000000001E-2"/>
    <n v="1"/>
    <n v="0"/>
    <n v="0"/>
    <n v="0"/>
    <s v="0"/>
    <n v="0"/>
  </r>
  <r>
    <x v="64"/>
    <x v="2"/>
    <n v="1"/>
    <n v="4.5499999999999999E-2"/>
    <n v="2"/>
    <n v="6.0600000000000001E-2"/>
    <n v="1"/>
    <n v="0"/>
    <n v="0"/>
    <n v="0"/>
    <s v="0"/>
    <n v="0"/>
  </r>
  <r>
    <x v="64"/>
    <x v="3"/>
    <n v="8"/>
    <n v="0.36359999999999998"/>
    <n v="17"/>
    <n v="0.51519999999999999"/>
    <n v="1"/>
    <n v="3"/>
    <n v="0.375"/>
    <n v="62.97"/>
    <s v="2"/>
    <n v="0.25"/>
  </r>
  <r>
    <x v="64"/>
    <x v="0"/>
    <n v="12"/>
    <n v="0.54549999999999998"/>
    <n v="13"/>
    <n v="0.39389999999999997"/>
    <n v="1"/>
    <n v="4"/>
    <n v="0.33329999999999999"/>
    <n v="49.96"/>
    <s v="4"/>
    <n v="0.33333333333333298"/>
  </r>
  <r>
    <x v="65"/>
    <x v="4"/>
    <n v="1"/>
    <n v="3.4500000000000003E-2"/>
    <n v="1"/>
    <n v="2.86E-2"/>
    <n v="1"/>
    <n v="0"/>
    <n v="0"/>
    <n v="0"/>
    <s v="0"/>
    <n v="0"/>
  </r>
  <r>
    <x v="65"/>
    <x v="1"/>
    <n v="1"/>
    <n v="3.4500000000000003E-2"/>
    <n v="1"/>
    <n v="2.86E-2"/>
    <n v="1"/>
    <n v="0"/>
    <n v="0"/>
    <n v="0"/>
    <s v="0"/>
    <n v="0"/>
  </r>
  <r>
    <x v="65"/>
    <x v="3"/>
    <n v="16"/>
    <n v="0.55169999999999997"/>
    <n v="21"/>
    <n v="0.6"/>
    <n v="1"/>
    <n v="4"/>
    <n v="0.25"/>
    <n v="83.96"/>
    <s v="3"/>
    <n v="0.1875"/>
  </r>
  <r>
    <x v="65"/>
    <x v="0"/>
    <n v="10"/>
    <n v="0.3448"/>
    <n v="11"/>
    <n v="0.31430000000000002"/>
    <n v="1"/>
    <n v="4"/>
    <n v="0.4"/>
    <n v="49.96"/>
    <s v="4"/>
    <n v="0.4"/>
  </r>
  <r>
    <x v="65"/>
    <x v="2"/>
    <n v="1"/>
    <n v="3.4500000000000003E-2"/>
    <n v="1"/>
    <n v="2.86E-2"/>
    <n v="1"/>
    <n v="1"/>
    <n v="1"/>
    <n v="15.99"/>
    <s v="1"/>
    <n v="1"/>
  </r>
  <r>
    <x v="66"/>
    <x v="3"/>
    <n v="15"/>
    <n v="0.5"/>
    <n v="20"/>
    <n v="0.52629999999999999"/>
    <n v="1"/>
    <n v="2"/>
    <n v="0.1333"/>
    <n v="41.98"/>
    <s v="2"/>
    <n v="0.133333333333333"/>
  </r>
  <r>
    <x v="66"/>
    <x v="0"/>
    <n v="15"/>
    <n v="0.5"/>
    <n v="18"/>
    <n v="0.47370000000000001"/>
    <n v="1"/>
    <n v="8"/>
    <n v="0.5333"/>
    <n v="99.92"/>
    <s v="7"/>
    <n v="0.46666666666666701"/>
  </r>
  <r>
    <x v="67"/>
    <x v="3"/>
    <n v="18"/>
    <n v="0.45"/>
    <n v="19"/>
    <n v="0.3654"/>
    <n v="1"/>
    <n v="2"/>
    <n v="0.1111"/>
    <n v="41.98"/>
    <s v="2"/>
    <n v="0.11111111111111099"/>
  </r>
  <r>
    <x v="67"/>
    <x v="0"/>
    <n v="22"/>
    <n v="0.55000000000000004"/>
    <n v="33"/>
    <n v="0.63460000000000005"/>
    <n v="1"/>
    <n v="8"/>
    <n v="0.36359999999999998"/>
    <n v="99.92"/>
    <s v="5"/>
    <n v="0.22727272727272699"/>
  </r>
  <r>
    <x v="68"/>
    <x v="1"/>
    <n v="2"/>
    <n v="6.6699999999999995E-2"/>
    <n v="2"/>
    <n v="5.5599999999999997E-2"/>
    <n v="1"/>
    <n v="0"/>
    <n v="0"/>
    <n v="0"/>
    <s v="0"/>
    <n v="0"/>
  </r>
  <r>
    <x v="68"/>
    <x v="3"/>
    <n v="13"/>
    <n v="0.43330000000000002"/>
    <n v="17"/>
    <n v="0.47220000000000001"/>
    <n v="1"/>
    <n v="7"/>
    <n v="0.53849999999999998"/>
    <n v="146.93"/>
    <s v="3"/>
    <n v="0.230769230769231"/>
  </r>
  <r>
    <x v="68"/>
    <x v="0"/>
    <n v="15"/>
    <n v="0.5"/>
    <n v="17"/>
    <n v="0.47220000000000001"/>
    <n v="1"/>
    <n v="6"/>
    <n v="0.4"/>
    <n v="74.94"/>
    <s v="5"/>
    <n v="0.33333333333333298"/>
  </r>
  <r>
    <x v="69"/>
    <x v="2"/>
    <n v="1"/>
    <n v="2.86E-2"/>
    <n v="2"/>
    <n v="4.8800000000000003E-2"/>
    <n v="1"/>
    <n v="0"/>
    <n v="0"/>
    <n v="0"/>
    <s v="0"/>
    <n v="0"/>
  </r>
  <r>
    <x v="69"/>
    <x v="3"/>
    <n v="17"/>
    <n v="0.48570000000000002"/>
    <n v="20"/>
    <n v="0.48780000000000001"/>
    <n v="1"/>
    <n v="3"/>
    <n v="0.17649999999999999"/>
    <n v="62.97"/>
    <s v="3"/>
    <n v="0.17647058823529399"/>
  </r>
  <r>
    <x v="69"/>
    <x v="0"/>
    <n v="17"/>
    <n v="0.48570000000000002"/>
    <n v="19"/>
    <n v="0.46339999999999998"/>
    <n v="1"/>
    <n v="23"/>
    <n v="1.3529"/>
    <n v="287.27"/>
    <s v="4"/>
    <n v="0.23529411764705899"/>
  </r>
  <r>
    <x v="70"/>
    <x v="0"/>
    <n v="10"/>
    <n v="0.43480000000000002"/>
    <n v="18"/>
    <n v="0.5806"/>
    <n v="1"/>
    <n v="0"/>
    <n v="0"/>
    <n v="0"/>
    <s v="0"/>
    <n v="0"/>
  </r>
  <r>
    <x v="70"/>
    <x v="4"/>
    <n v="1"/>
    <n v="4.3499999999999997E-2"/>
    <n v="1"/>
    <n v="3.2300000000000002E-2"/>
    <n v="0"/>
    <n v="0"/>
    <n v="0"/>
    <n v="0"/>
    <s v="0"/>
    <n v="0"/>
  </r>
  <r>
    <x v="70"/>
    <x v="3"/>
    <n v="12"/>
    <n v="0.52170000000000005"/>
    <n v="12"/>
    <n v="0.3871"/>
    <n v="1"/>
    <n v="1"/>
    <n v="8.3299999999999999E-2"/>
    <n v="20.99"/>
    <s v="1"/>
    <n v="8.3333333333333301E-2"/>
  </r>
  <r>
    <x v="71"/>
    <x v="4"/>
    <n v="1"/>
    <n v="2.7799999999999998E-2"/>
    <n v="1"/>
    <n v="2.3300000000000001E-2"/>
    <n v="0"/>
    <n v="0"/>
    <n v="0"/>
    <n v="0"/>
    <s v="0"/>
    <n v="0"/>
  </r>
  <r>
    <x v="71"/>
    <x v="3"/>
    <n v="19"/>
    <n v="0.52780000000000005"/>
    <n v="22"/>
    <n v="0.51160000000000005"/>
    <n v="1"/>
    <n v="1"/>
    <n v="5.2600000000000001E-2"/>
    <n v="20.99"/>
    <s v="1"/>
    <n v="5.2631578947368397E-2"/>
  </r>
  <r>
    <x v="71"/>
    <x v="0"/>
    <n v="16"/>
    <n v="0.44440000000000002"/>
    <n v="20"/>
    <n v="0.46510000000000001"/>
    <n v="1"/>
    <n v="1"/>
    <n v="6.25E-2"/>
    <n v="12.49"/>
    <s v="1"/>
    <n v="6.25E-2"/>
  </r>
  <r>
    <x v="72"/>
    <x v="4"/>
    <n v="1"/>
    <n v="3.5700000000000003E-2"/>
    <n v="1"/>
    <n v="2.9399999999999999E-2"/>
    <n v="0"/>
    <n v="0"/>
    <n v="0"/>
    <n v="0"/>
    <s v="0"/>
    <n v="0"/>
  </r>
  <r>
    <x v="72"/>
    <x v="3"/>
    <n v="18"/>
    <n v="0.64290000000000003"/>
    <n v="23"/>
    <n v="0.67649999999999999"/>
    <n v="1"/>
    <n v="6"/>
    <n v="0.33329999999999999"/>
    <n v="125.94"/>
    <s v="6"/>
    <n v="0.33333333333333298"/>
  </r>
  <r>
    <x v="72"/>
    <x v="0"/>
    <n v="9"/>
    <n v="0.32140000000000002"/>
    <n v="10"/>
    <n v="0.29409999999999997"/>
    <n v="1"/>
    <n v="1"/>
    <n v="0.1111"/>
    <n v="12.49"/>
    <s v="1"/>
    <n v="0.11111111111111099"/>
  </r>
  <r>
    <x v="73"/>
    <x v="1"/>
    <n v="2"/>
    <n v="6.0600000000000001E-2"/>
    <n v="2"/>
    <n v="0.05"/>
    <n v="0"/>
    <n v="0"/>
    <n v="0"/>
    <n v="0"/>
    <s v="0"/>
    <n v="0"/>
  </r>
  <r>
    <x v="73"/>
    <x v="2"/>
    <n v="1"/>
    <n v="3.0300000000000001E-2"/>
    <n v="1"/>
    <n v="2.5000000000000001E-2"/>
    <n v="0"/>
    <n v="0"/>
    <n v="0"/>
    <n v="0"/>
    <s v="0"/>
    <n v="0"/>
  </r>
  <r>
    <x v="73"/>
    <x v="4"/>
    <n v="1"/>
    <n v="3.0300000000000001E-2"/>
    <n v="1"/>
    <n v="2.5000000000000001E-2"/>
    <n v="0"/>
    <n v="0"/>
    <n v="0"/>
    <n v="0"/>
    <s v="0"/>
    <n v="0"/>
  </r>
  <r>
    <x v="73"/>
    <x v="0"/>
    <n v="11"/>
    <n v="0.33329999999999999"/>
    <n v="15"/>
    <n v="0.375"/>
    <n v="1"/>
    <n v="5"/>
    <n v="0.45450000000000002"/>
    <n v="62.45"/>
    <s v="4"/>
    <n v="0.36363636363636398"/>
  </r>
  <r>
    <x v="73"/>
    <x v="3"/>
    <n v="18"/>
    <n v="0.54549999999999998"/>
    <n v="21"/>
    <n v="0.52500000000000002"/>
    <n v="1"/>
    <n v="1"/>
    <n v="5.5599999999999997E-2"/>
    <n v="20.99"/>
    <s v="1"/>
    <n v="5.5555555555555601E-2"/>
  </r>
  <r>
    <x v="74"/>
    <x v="0"/>
    <n v="17"/>
    <n v="0.42499999999999999"/>
    <n v="21"/>
    <n v="0.4375"/>
    <n v="1"/>
    <n v="4"/>
    <n v="0.23530000000000001"/>
    <n v="49.96"/>
    <s v="3"/>
    <n v="0.17647058823529399"/>
  </r>
  <r>
    <x v="74"/>
    <x v="3"/>
    <n v="23"/>
    <n v="0.57499999999999996"/>
    <n v="27"/>
    <n v="0.5625"/>
    <n v="1"/>
    <n v="1"/>
    <n v="4.3499999999999997E-2"/>
    <n v="20.99"/>
    <s v="1"/>
    <n v="4.3478260869565202E-2"/>
  </r>
  <r>
    <x v="75"/>
    <x v="4"/>
    <n v="1"/>
    <n v="2.4400000000000002E-2"/>
    <n v="1"/>
    <n v="2.0799999999999999E-2"/>
    <n v="1"/>
    <n v="0"/>
    <n v="0"/>
    <n v="0"/>
    <s v="0"/>
    <n v="0"/>
  </r>
  <r>
    <x v="75"/>
    <x v="1"/>
    <n v="2"/>
    <n v="4.8800000000000003E-2"/>
    <n v="2"/>
    <n v="4.1700000000000001E-2"/>
    <n v="1"/>
    <n v="0"/>
    <n v="0"/>
    <n v="0"/>
    <s v="0"/>
    <n v="0"/>
  </r>
  <r>
    <x v="75"/>
    <x v="2"/>
    <n v="3"/>
    <n v="7.3200000000000001E-2"/>
    <n v="4"/>
    <n v="8.3299999999999999E-2"/>
    <n v="1"/>
    <n v="0"/>
    <n v="0"/>
    <n v="0"/>
    <s v="0"/>
    <n v="0"/>
  </r>
  <r>
    <x v="75"/>
    <x v="0"/>
    <n v="22"/>
    <n v="0.53659999999999997"/>
    <n v="27"/>
    <n v="0.5625"/>
    <n v="1"/>
    <n v="6"/>
    <n v="0.2727"/>
    <n v="74.94"/>
    <s v="6"/>
    <n v="0.27272727272727298"/>
  </r>
  <r>
    <x v="75"/>
    <x v="3"/>
    <n v="13"/>
    <n v="0.31709999999999999"/>
    <n v="14"/>
    <n v="0.29170000000000001"/>
    <n v="1"/>
    <n v="1"/>
    <n v="7.6899999999999996E-2"/>
    <n v="20.99"/>
    <s v="1"/>
    <n v="7.69230769230769E-2"/>
  </r>
  <r>
    <x v="76"/>
    <x v="3"/>
    <n v="6"/>
    <n v="0.18179999999999999"/>
    <n v="8"/>
    <n v="0.22220000000000001"/>
    <n v="1"/>
    <n v="0"/>
    <n v="0"/>
    <n v="0"/>
    <s v="0"/>
    <n v="0"/>
  </r>
  <r>
    <x v="76"/>
    <x v="2"/>
    <n v="3"/>
    <n v="9.0899999999999995E-2"/>
    <n v="3"/>
    <n v="8.3299999999999999E-2"/>
    <n v="1"/>
    <n v="0"/>
    <n v="0"/>
    <n v="0"/>
    <s v="0"/>
    <n v="0"/>
  </r>
  <r>
    <x v="76"/>
    <x v="1"/>
    <n v="2"/>
    <n v="6.0600000000000001E-2"/>
    <n v="3"/>
    <n v="8.3299999999999999E-2"/>
    <n v="1"/>
    <n v="2"/>
    <n v="1"/>
    <n v="31.98"/>
    <s v="1"/>
    <n v="0.5"/>
  </r>
  <r>
    <x v="76"/>
    <x v="0"/>
    <n v="22"/>
    <n v="0.66669999999999996"/>
    <n v="22"/>
    <n v="0.61109999999999998"/>
    <n v="1"/>
    <n v="14"/>
    <n v="0.63639999999999997"/>
    <n v="174.86"/>
    <s v="12"/>
    <n v="0.54545454545454497"/>
  </r>
  <r>
    <x v="77"/>
    <x v="2"/>
    <n v="1"/>
    <n v="2.2700000000000001E-2"/>
    <n v="1"/>
    <n v="1.7500000000000002E-2"/>
    <n v="1"/>
    <n v="0"/>
    <n v="0"/>
    <n v="0"/>
    <s v="0"/>
    <n v="0"/>
  </r>
  <r>
    <x v="77"/>
    <x v="0"/>
    <n v="33"/>
    <n v="0.75"/>
    <n v="45"/>
    <n v="0.78949999999999998"/>
    <n v="1"/>
    <n v="6"/>
    <n v="0.18179999999999999"/>
    <n v="74.94"/>
    <s v="5"/>
    <n v="0.15151515151515199"/>
  </r>
  <r>
    <x v="77"/>
    <x v="3"/>
    <n v="10"/>
    <n v="0.2273"/>
    <n v="11"/>
    <n v="0.193"/>
    <n v="1"/>
    <n v="1"/>
    <n v="0.1"/>
    <n v="20.99"/>
    <s v="1"/>
    <n v="0.1"/>
  </r>
  <r>
    <x v="78"/>
    <x v="3"/>
    <n v="9"/>
    <n v="0.2"/>
    <n v="12"/>
    <n v="0.21820000000000001"/>
    <n v="1"/>
    <n v="0"/>
    <n v="0"/>
    <n v="0"/>
    <s v="0"/>
    <n v="0"/>
  </r>
  <r>
    <x v="78"/>
    <x v="0"/>
    <n v="36"/>
    <n v="0.8"/>
    <n v="43"/>
    <n v="0.78180000000000005"/>
    <n v="1"/>
    <n v="4"/>
    <n v="0.1111"/>
    <n v="49.96"/>
    <s v="4"/>
    <n v="0.11111111111111099"/>
  </r>
  <r>
    <x v="79"/>
    <x v="1"/>
    <n v="3"/>
    <n v="9.6799999999999997E-2"/>
    <n v="3"/>
    <n v="9.0899999999999995E-2"/>
    <n v="0"/>
    <n v="0"/>
    <n v="0"/>
    <n v="0"/>
    <s v="0"/>
    <n v="0"/>
  </r>
  <r>
    <x v="79"/>
    <x v="2"/>
    <n v="2"/>
    <n v="6.4500000000000002E-2"/>
    <n v="2"/>
    <n v="6.0600000000000001E-2"/>
    <n v="0"/>
    <n v="0"/>
    <n v="0"/>
    <n v="0"/>
    <s v="0"/>
    <n v="0"/>
  </r>
  <r>
    <x v="79"/>
    <x v="4"/>
    <n v="1"/>
    <n v="3.2300000000000002E-2"/>
    <n v="1"/>
    <n v="3.0300000000000001E-2"/>
    <n v="0"/>
    <n v="0"/>
    <n v="0"/>
    <n v="0"/>
    <s v="0"/>
    <n v="0"/>
  </r>
  <r>
    <x v="79"/>
    <x v="0"/>
    <n v="21"/>
    <n v="0.6774"/>
    <n v="23"/>
    <n v="0.69699999999999995"/>
    <n v="1"/>
    <n v="5"/>
    <n v="0.23810000000000001"/>
    <n v="62.45"/>
    <s v="3"/>
    <n v="0.14285714285714299"/>
  </r>
  <r>
    <x v="79"/>
    <x v="3"/>
    <n v="4"/>
    <n v="0.129"/>
    <n v="4"/>
    <n v="0.1212"/>
    <n v="1"/>
    <n v="1"/>
    <n v="0.25"/>
    <n v="20.99"/>
    <s v="1"/>
    <n v="0.25"/>
  </r>
  <r>
    <x v="80"/>
    <x v="3"/>
    <n v="10"/>
    <n v="0.4"/>
    <n v="13"/>
    <n v="0.44829999999999998"/>
    <n v="1"/>
    <n v="0"/>
    <n v="0"/>
    <n v="0"/>
    <s v="0"/>
    <n v="0"/>
  </r>
  <r>
    <x v="80"/>
    <x v="0"/>
    <n v="15"/>
    <n v="0.6"/>
    <n v="16"/>
    <n v="0.55169999999999997"/>
    <n v="1"/>
    <n v="4"/>
    <n v="0.26669999999999999"/>
    <n v="49.96"/>
    <s v="4"/>
    <n v="0.266666666666667"/>
  </r>
  <r>
    <x v="81"/>
    <x v="2"/>
    <n v="1"/>
    <n v="3.5700000000000003E-2"/>
    <n v="1"/>
    <n v="3.3300000000000003E-2"/>
    <n v="1"/>
    <n v="0"/>
    <n v="0"/>
    <n v="0"/>
    <s v="0"/>
    <n v="0"/>
  </r>
  <r>
    <x v="81"/>
    <x v="1"/>
    <n v="1"/>
    <n v="3.5700000000000003E-2"/>
    <n v="1"/>
    <n v="3.3300000000000003E-2"/>
    <n v="1"/>
    <n v="0"/>
    <n v="0"/>
    <n v="0"/>
    <s v="0"/>
    <n v="0"/>
  </r>
  <r>
    <x v="81"/>
    <x v="0"/>
    <n v="20"/>
    <n v="0.71430000000000005"/>
    <n v="22"/>
    <n v="0.73329999999999995"/>
    <n v="1"/>
    <n v="10"/>
    <n v="0.5"/>
    <n v="124.9"/>
    <s v="7"/>
    <n v="0.35"/>
  </r>
  <r>
    <x v="81"/>
    <x v="3"/>
    <n v="6"/>
    <n v="0.21429999999999999"/>
    <n v="6"/>
    <n v="0.2"/>
    <n v="1"/>
    <n v="1"/>
    <n v="0.16669999999999999"/>
    <n v="20.99"/>
    <s v="1"/>
    <n v="0.16666666666666699"/>
  </r>
  <r>
    <x v="82"/>
    <x v="1"/>
    <n v="1"/>
    <n v="2.5600000000000001E-2"/>
    <n v="1"/>
    <n v="2.2700000000000001E-2"/>
    <n v="1"/>
    <n v="0"/>
    <n v="0"/>
    <n v="0"/>
    <s v="0"/>
    <n v="0"/>
  </r>
  <r>
    <x v="82"/>
    <x v="4"/>
    <n v="2"/>
    <n v="5.1299999999999998E-2"/>
    <n v="2"/>
    <n v="4.5499999999999999E-2"/>
    <n v="1"/>
    <n v="0"/>
    <n v="0"/>
    <n v="0"/>
    <s v="0"/>
    <n v="0"/>
  </r>
  <r>
    <x v="82"/>
    <x v="0"/>
    <n v="27"/>
    <n v="0.69230000000000003"/>
    <n v="32"/>
    <n v="0.72729999999999995"/>
    <n v="1"/>
    <n v="0"/>
    <n v="0"/>
    <n v="0"/>
    <s v="0"/>
    <n v="0"/>
  </r>
  <r>
    <x v="82"/>
    <x v="3"/>
    <n v="9"/>
    <n v="0.23080000000000001"/>
    <n v="9"/>
    <n v="0.20449999999999999"/>
    <n v="1"/>
    <n v="0"/>
    <n v="0"/>
    <n v="0"/>
    <s v="0"/>
    <n v="0"/>
  </r>
  <r>
    <x v="83"/>
    <x v="4"/>
    <n v="1"/>
    <n v="3.6999999999999998E-2"/>
    <n v="1"/>
    <n v="3.2300000000000002E-2"/>
    <n v="1"/>
    <n v="0"/>
    <n v="0"/>
    <n v="0"/>
    <s v="0"/>
    <n v="0"/>
  </r>
  <r>
    <x v="83"/>
    <x v="2"/>
    <n v="1"/>
    <n v="3.6999999999999998E-2"/>
    <n v="1"/>
    <n v="3.2300000000000002E-2"/>
    <n v="1"/>
    <n v="0"/>
    <n v="0"/>
    <n v="0"/>
    <s v="0"/>
    <n v="0"/>
  </r>
  <r>
    <x v="83"/>
    <x v="1"/>
    <n v="1"/>
    <n v="3.6999999999999998E-2"/>
    <n v="1"/>
    <n v="3.2300000000000002E-2"/>
    <n v="1"/>
    <n v="0"/>
    <n v="0"/>
    <n v="0"/>
    <s v="0"/>
    <n v="0"/>
  </r>
  <r>
    <x v="83"/>
    <x v="3"/>
    <n v="7"/>
    <n v="0.25929999999999997"/>
    <n v="7"/>
    <n v="0.2258"/>
    <n v="1"/>
    <n v="3"/>
    <n v="0.42859999999999998"/>
    <n v="62.97"/>
    <s v="3"/>
    <n v="0.42857142857142899"/>
  </r>
  <r>
    <x v="83"/>
    <x v="0"/>
    <n v="17"/>
    <n v="0.62960000000000005"/>
    <n v="21"/>
    <n v="0.6774"/>
    <n v="1"/>
    <n v="2"/>
    <n v="0.1176"/>
    <n v="23.98"/>
    <s v="1"/>
    <n v="5.8823529411764698E-2"/>
  </r>
  <r>
    <x v="84"/>
    <x v="0"/>
    <n v="15"/>
    <n v="0.6522"/>
    <n v="21"/>
    <n v="0.72409999999999997"/>
    <n v="1"/>
    <n v="5"/>
    <n v="0.33329999999999999"/>
    <n v="59.95"/>
    <s v="5"/>
    <n v="0.33333333333333298"/>
  </r>
  <r>
    <x v="84"/>
    <x v="3"/>
    <n v="8"/>
    <n v="0.3478"/>
    <n v="8"/>
    <n v="0.27589999999999998"/>
    <n v="1"/>
    <n v="1"/>
    <n v="0.125"/>
    <n v="19.989999999999998"/>
    <s v="1"/>
    <n v="0.125"/>
  </r>
  <r>
    <x v="85"/>
    <x v="2"/>
    <n v="2"/>
    <n v="8.6999999999999994E-2"/>
    <n v="2"/>
    <n v="6.9000000000000006E-2"/>
    <n v="1"/>
    <n v="0"/>
    <n v="0"/>
    <n v="0"/>
    <s v="0"/>
    <n v="0"/>
  </r>
  <r>
    <x v="85"/>
    <x v="0"/>
    <n v="18"/>
    <n v="0.78259999999999996"/>
    <n v="24"/>
    <n v="0.8276"/>
    <n v="1"/>
    <n v="0"/>
    <n v="0"/>
    <n v="0"/>
    <s v="0"/>
    <n v="0"/>
  </r>
  <r>
    <x v="85"/>
    <x v="3"/>
    <n v="3"/>
    <n v="0.13039999999999999"/>
    <n v="3"/>
    <n v="0.10340000000000001"/>
    <n v="1"/>
    <n v="2"/>
    <n v="0.66669999999999996"/>
    <n v="39.979999999999997"/>
    <s v="2"/>
    <n v="0.66666666666666696"/>
  </r>
  <r>
    <x v="86"/>
    <x v="3"/>
    <n v="7"/>
    <n v="0.2059"/>
    <n v="8"/>
    <n v="0.18179999999999999"/>
    <n v="1"/>
    <n v="0"/>
    <n v="0"/>
    <n v="0"/>
    <s v="0"/>
    <n v="0"/>
  </r>
  <r>
    <x v="86"/>
    <x v="2"/>
    <n v="1"/>
    <n v="2.9399999999999999E-2"/>
    <n v="1"/>
    <n v="2.2700000000000001E-2"/>
    <n v="0"/>
    <n v="0"/>
    <n v="0"/>
    <n v="0"/>
    <s v="0"/>
    <n v="0"/>
  </r>
  <r>
    <x v="86"/>
    <x v="0"/>
    <n v="26"/>
    <n v="0.76470000000000005"/>
    <n v="35"/>
    <n v="0.79549999999999998"/>
    <n v="1"/>
    <n v="7"/>
    <n v="0.26919999999999999"/>
    <n v="83.93"/>
    <s v="4"/>
    <n v="0.15384615384615399"/>
  </r>
  <r>
    <x v="87"/>
    <x v="3"/>
    <n v="4"/>
    <n v="0.125"/>
    <n v="5"/>
    <n v="0.125"/>
    <n v="1"/>
    <n v="0"/>
    <n v="0"/>
    <n v="0"/>
    <s v="0"/>
    <n v="0"/>
  </r>
  <r>
    <x v="87"/>
    <x v="4"/>
    <n v="1"/>
    <n v="3.1300000000000001E-2"/>
    <n v="1"/>
    <n v="2.5000000000000001E-2"/>
    <n v="0"/>
    <n v="0"/>
    <n v="0"/>
    <n v="0"/>
    <s v="0"/>
    <n v="0"/>
  </r>
  <r>
    <x v="87"/>
    <x v="0"/>
    <n v="27"/>
    <n v="0.84379999999999999"/>
    <n v="34"/>
    <n v="0.85"/>
    <n v="1"/>
    <n v="4"/>
    <n v="0.14810000000000001"/>
    <n v="47.96"/>
    <s v="4"/>
    <n v="0.148148148148148"/>
  </r>
  <r>
    <x v="88"/>
    <x v="1"/>
    <n v="1"/>
    <n v="0.04"/>
    <n v="1"/>
    <n v="2.63E-2"/>
    <n v="1"/>
    <n v="0"/>
    <n v="0"/>
    <n v="0"/>
    <s v="0"/>
    <n v="0"/>
  </r>
  <r>
    <x v="88"/>
    <x v="3"/>
    <n v="5"/>
    <n v="0.2"/>
    <n v="8"/>
    <n v="0.21049999999999999"/>
    <n v="1"/>
    <n v="0"/>
    <n v="0"/>
    <n v="0"/>
    <s v="0"/>
    <n v="0"/>
  </r>
  <r>
    <x v="88"/>
    <x v="0"/>
    <n v="19"/>
    <n v="0.76"/>
    <n v="29"/>
    <n v="0.76319999999999999"/>
    <n v="1"/>
    <n v="5"/>
    <n v="0.26319999999999999"/>
    <n v="59.95"/>
    <s v="5"/>
    <n v="0.26315789473684198"/>
  </r>
  <r>
    <x v="89"/>
    <x v="3"/>
    <n v="5"/>
    <n v="0.125"/>
    <n v="6"/>
    <n v="0.13039999999999999"/>
    <n v="1"/>
    <n v="0"/>
    <n v="0"/>
    <n v="0"/>
    <s v="0"/>
    <n v="0"/>
  </r>
  <r>
    <x v="89"/>
    <x v="0"/>
    <n v="34"/>
    <n v="0.85"/>
    <n v="39"/>
    <n v="0.8478"/>
    <n v="1"/>
    <n v="4"/>
    <n v="0.1176"/>
    <n v="47.96"/>
    <s v="4"/>
    <n v="0.11764705882352899"/>
  </r>
  <r>
    <x v="89"/>
    <x v="2"/>
    <n v="1"/>
    <n v="2.5000000000000001E-2"/>
    <n v="1"/>
    <n v="2.1700000000000001E-2"/>
    <n v="1"/>
    <n v="1"/>
    <n v="1"/>
    <n v="15.99"/>
    <s v="1"/>
    <n v="1"/>
  </r>
  <r>
    <x v="90"/>
    <x v="4"/>
    <n v="2"/>
    <n v="6.0600000000000001E-2"/>
    <n v="2"/>
    <n v="4.1700000000000001E-2"/>
    <n v="1"/>
    <n v="0"/>
    <n v="0"/>
    <n v="0"/>
    <s v="0"/>
    <n v="0"/>
  </r>
  <r>
    <x v="90"/>
    <x v="3"/>
    <n v="2"/>
    <n v="6.0600000000000001E-2"/>
    <n v="2"/>
    <n v="4.1700000000000001E-2"/>
    <n v="1"/>
    <n v="0"/>
    <n v="0"/>
    <n v="0"/>
    <s v="0"/>
    <n v="0"/>
  </r>
  <r>
    <x v="90"/>
    <x v="1"/>
    <n v="1"/>
    <n v="3.0300000000000001E-2"/>
    <n v="1"/>
    <n v="2.0799999999999999E-2"/>
    <n v="0"/>
    <n v="0"/>
    <n v="0"/>
    <n v="0"/>
    <s v="0"/>
    <n v="0"/>
  </r>
  <r>
    <x v="90"/>
    <x v="0"/>
    <n v="28"/>
    <n v="0.84850000000000003"/>
    <n v="43"/>
    <n v="0.89580000000000004"/>
    <n v="0.98"/>
    <n v="4"/>
    <n v="0.1429"/>
    <n v="47.96"/>
    <s v="4"/>
    <n v="0.14285714285714299"/>
  </r>
  <r>
    <x v="91"/>
    <x v="4"/>
    <n v="1"/>
    <n v="5.2600000000000001E-2"/>
    <n v="1"/>
    <n v="4.1700000000000001E-2"/>
    <n v="1"/>
    <n v="0"/>
    <n v="0"/>
    <n v="0"/>
    <s v="0"/>
    <n v="0"/>
  </r>
  <r>
    <x v="91"/>
    <x v="3"/>
    <n v="2"/>
    <n v="0.1053"/>
    <n v="3"/>
    <n v="0.125"/>
    <n v="1"/>
    <n v="0"/>
    <n v="0"/>
    <n v="0"/>
    <s v="0"/>
    <n v="0"/>
  </r>
  <r>
    <x v="91"/>
    <x v="0"/>
    <n v="16"/>
    <n v="0.84209999999999996"/>
    <n v="20"/>
    <n v="0.83330000000000004"/>
    <n v="1"/>
    <n v="8"/>
    <n v="0.5"/>
    <n v="87.92"/>
    <s v="7"/>
    <n v="0.4375"/>
  </r>
  <r>
    <x v="92"/>
    <x v="3"/>
    <n v="6"/>
    <n v="0.28570000000000001"/>
    <n v="7"/>
    <n v="0.25"/>
    <n v="1"/>
    <n v="0"/>
    <n v="0"/>
    <n v="0"/>
    <s v="0"/>
    <n v="0"/>
  </r>
  <r>
    <x v="92"/>
    <x v="0"/>
    <n v="15"/>
    <n v="0.71430000000000005"/>
    <n v="21"/>
    <n v="0.75"/>
    <n v="1"/>
    <n v="8"/>
    <n v="0.5333"/>
    <n v="87.92"/>
    <s v="8"/>
    <n v="0.53333333333333299"/>
  </r>
  <r>
    <x v="93"/>
    <x v="4"/>
    <n v="1"/>
    <n v="3.4500000000000003E-2"/>
    <n v="1"/>
    <n v="2.63E-2"/>
    <n v="1"/>
    <n v="0"/>
    <n v="0"/>
    <n v="0"/>
    <s v="0"/>
    <n v="0"/>
  </r>
  <r>
    <x v="93"/>
    <x v="3"/>
    <n v="4"/>
    <n v="0.13789999999999999"/>
    <n v="4"/>
    <n v="0.1053"/>
    <n v="1"/>
    <n v="0"/>
    <n v="0"/>
    <n v="0"/>
    <s v="0"/>
    <n v="0"/>
  </r>
  <r>
    <x v="93"/>
    <x v="0"/>
    <n v="24"/>
    <n v="0.8276"/>
    <n v="33"/>
    <n v="0.86839999999999995"/>
    <n v="1"/>
    <n v="7"/>
    <n v="0.29170000000000001"/>
    <n v="76.930000000000007"/>
    <s v="7"/>
    <n v="0.29166666666666702"/>
  </r>
  <r>
    <x v="94"/>
    <x v="2"/>
    <n v="2"/>
    <n v="6.6699999999999995E-2"/>
    <n v="2"/>
    <n v="6.0600000000000001E-2"/>
    <n v="1"/>
    <n v="0"/>
    <n v="0"/>
    <n v="0"/>
    <s v="0"/>
    <n v="0"/>
  </r>
  <r>
    <x v="94"/>
    <x v="3"/>
    <n v="9"/>
    <n v="0.3"/>
    <n v="10"/>
    <n v="0.30299999999999999"/>
    <n v="0.9"/>
    <n v="2"/>
    <n v="0.22220000000000001"/>
    <n v="37.979999999999997"/>
    <s v="2"/>
    <n v="0.22222222222222199"/>
  </r>
  <r>
    <x v="94"/>
    <x v="0"/>
    <n v="19"/>
    <n v="0.63329999999999997"/>
    <n v="21"/>
    <n v="0.63639999999999997"/>
    <n v="1"/>
    <n v="2"/>
    <n v="0.1053"/>
    <n v="21.98"/>
    <s v="2"/>
    <n v="0.105263157894737"/>
  </r>
  <r>
    <x v="95"/>
    <x v="4"/>
    <n v="1"/>
    <n v="3.5700000000000003E-2"/>
    <n v="1"/>
    <n v="2.4400000000000002E-2"/>
    <n v="1"/>
    <n v="0"/>
    <n v="0"/>
    <n v="0"/>
    <s v="0"/>
    <n v="0"/>
  </r>
  <r>
    <x v="95"/>
    <x v="3"/>
    <n v="3"/>
    <n v="0.1071"/>
    <n v="3"/>
    <n v="7.3200000000000001E-2"/>
    <n v="1"/>
    <n v="2"/>
    <n v="0.66669999999999996"/>
    <n v="37.979999999999997"/>
    <s v="2"/>
    <n v="0.66666666666666696"/>
  </r>
  <r>
    <x v="95"/>
    <x v="0"/>
    <n v="24"/>
    <n v="0.85709999999999997"/>
    <n v="37"/>
    <n v="0.90239999999999998"/>
    <n v="1"/>
    <n v="2"/>
    <n v="8.3299999999999999E-2"/>
    <n v="22.98"/>
    <s v="2"/>
    <n v="8.3333333333333301E-2"/>
  </r>
  <r>
    <x v="96"/>
    <x v="3"/>
    <n v="8"/>
    <n v="0.2051"/>
    <n v="8"/>
    <n v="0.1633"/>
    <n v="1"/>
    <n v="0"/>
    <n v="0"/>
    <n v="0"/>
    <s v="0"/>
    <n v="0"/>
  </r>
  <r>
    <x v="96"/>
    <x v="0"/>
    <n v="31"/>
    <n v="0.79490000000000005"/>
    <n v="41"/>
    <n v="0.8367"/>
    <n v="1"/>
    <n v="7"/>
    <n v="0.2258"/>
    <n v="80.430000000000007"/>
    <s v="6"/>
    <n v="0.19354838709677399"/>
  </r>
  <r>
    <x v="97"/>
    <x v="4"/>
    <n v="1"/>
    <n v="2.2200000000000001E-2"/>
    <n v="1"/>
    <n v="1.52E-2"/>
    <n v="0"/>
    <n v="0"/>
    <n v="0"/>
    <n v="0"/>
    <s v="0"/>
    <n v="0"/>
  </r>
  <r>
    <x v="97"/>
    <x v="0"/>
    <n v="31"/>
    <n v="0.68889999999999996"/>
    <n v="48"/>
    <n v="0.72729999999999995"/>
    <n v="1"/>
    <n v="5"/>
    <n v="0.1613"/>
    <n v="57.45"/>
    <s v="4"/>
    <n v="0.12903225806451599"/>
  </r>
  <r>
    <x v="97"/>
    <x v="3"/>
    <n v="13"/>
    <n v="0.28889999999999999"/>
    <n v="17"/>
    <n v="0.2576"/>
    <n v="1"/>
    <n v="1"/>
    <n v="7.6899999999999996E-2"/>
    <n v="18.989999999999998"/>
    <s v="1"/>
    <n v="7.69230769230769E-2"/>
  </r>
  <r>
    <x v="98"/>
    <x v="3"/>
    <n v="20"/>
    <n v="0.35709999999999997"/>
    <n v="23"/>
    <n v="0.3286"/>
    <n v="1"/>
    <n v="3"/>
    <n v="0.15"/>
    <n v="56.97"/>
    <s v="2"/>
    <n v="0.1"/>
  </r>
  <r>
    <x v="98"/>
    <x v="0"/>
    <n v="36"/>
    <n v="0.64290000000000003"/>
    <n v="47"/>
    <n v="0.6714"/>
    <n v="1"/>
    <n v="8"/>
    <n v="0.22220000000000001"/>
    <n v="91.92"/>
    <s v="8"/>
    <n v="0.22222222222222199"/>
  </r>
  <r>
    <x v="99"/>
    <x v="2"/>
    <n v="1"/>
    <n v="1.43E-2"/>
    <n v="1"/>
    <n v="1.01E-2"/>
    <n v="1"/>
    <n v="0"/>
    <n v="0"/>
    <n v="0"/>
    <s v="0"/>
    <n v="0"/>
  </r>
  <r>
    <x v="99"/>
    <x v="1"/>
    <n v="1"/>
    <n v="1.43E-2"/>
    <n v="1"/>
    <n v="1.01E-2"/>
    <n v="0"/>
    <n v="0"/>
    <n v="0"/>
    <n v="0"/>
    <s v="0"/>
    <n v="0"/>
  </r>
  <r>
    <x v="99"/>
    <x v="3"/>
    <n v="29"/>
    <n v="0.4143"/>
    <n v="37"/>
    <n v="0.37369999999999998"/>
    <n v="1"/>
    <n v="2"/>
    <n v="6.9000000000000006E-2"/>
    <n v="37.979999999999997"/>
    <s v="1"/>
    <n v="3.4482758620689703E-2"/>
  </r>
  <r>
    <x v="99"/>
    <x v="0"/>
    <n v="39"/>
    <n v="0.55710000000000004"/>
    <n v="60"/>
    <n v="0.60609999999999997"/>
    <n v="1"/>
    <n v="6"/>
    <n v="0.15379999999999999"/>
    <n v="68.94"/>
    <s v="6"/>
    <n v="0.15384615384615399"/>
  </r>
  <r>
    <x v="100"/>
    <x v="2"/>
    <n v="2"/>
    <n v="4.3499999999999997E-2"/>
    <n v="2"/>
    <n v="3.6999999999999998E-2"/>
    <n v="1"/>
    <n v="0"/>
    <n v="0"/>
    <n v="0"/>
    <s v="0"/>
    <n v="0"/>
  </r>
  <r>
    <x v="100"/>
    <x v="3"/>
    <n v="16"/>
    <n v="0.3478"/>
    <n v="22"/>
    <n v="0.40739999999999998"/>
    <n v="1"/>
    <n v="0"/>
    <n v="0"/>
    <n v="0"/>
    <s v="0"/>
    <n v="0"/>
  </r>
  <r>
    <x v="100"/>
    <x v="1"/>
    <n v="1"/>
    <n v="2.1700000000000001E-2"/>
    <n v="1"/>
    <n v="1.8499999999999999E-2"/>
    <n v="0"/>
    <n v="0"/>
    <n v="0"/>
    <n v="0"/>
    <s v="0"/>
    <n v="0"/>
  </r>
  <r>
    <x v="100"/>
    <x v="0"/>
    <n v="27"/>
    <n v="0.58699999999999997"/>
    <n v="29"/>
    <n v="0.53700000000000003"/>
    <n v="1"/>
    <n v="8"/>
    <n v="0.29630000000000001"/>
    <n v="91.92"/>
    <s v="8"/>
    <n v="0.296296296296296"/>
  </r>
  <r>
    <x v="101"/>
    <x v="1"/>
    <n v="1"/>
    <n v="1.4500000000000001E-2"/>
    <n v="1"/>
    <n v="1.2200000000000001E-2"/>
    <n v="1"/>
    <n v="0"/>
    <n v="0"/>
    <n v="0"/>
    <s v="0"/>
    <n v="0"/>
  </r>
  <r>
    <x v="101"/>
    <x v="4"/>
    <n v="1"/>
    <n v="1.4500000000000001E-2"/>
    <n v="1"/>
    <n v="1.2200000000000001E-2"/>
    <n v="1"/>
    <n v="0"/>
    <n v="0"/>
    <n v="0"/>
    <s v="0"/>
    <n v="0"/>
  </r>
  <r>
    <x v="101"/>
    <x v="2"/>
    <n v="2"/>
    <n v="2.9000000000000001E-2"/>
    <n v="2"/>
    <n v="2.4400000000000002E-2"/>
    <n v="1"/>
    <n v="0"/>
    <n v="0"/>
    <n v="0"/>
    <s v="0"/>
    <n v="0"/>
  </r>
  <r>
    <x v="101"/>
    <x v="0"/>
    <n v="45"/>
    <n v="0.6522"/>
    <n v="56"/>
    <n v="0.68289999999999995"/>
    <n v="1"/>
    <n v="4"/>
    <n v="8.8900000000000007E-2"/>
    <n v="45.96"/>
    <s v="3"/>
    <n v="6.6666666666666693E-2"/>
  </r>
  <r>
    <x v="101"/>
    <x v="3"/>
    <n v="20"/>
    <n v="0.28989999999999999"/>
    <n v="22"/>
    <n v="0.26829999999999998"/>
    <n v="1"/>
    <n v="1"/>
    <n v="0.05"/>
    <n v="19.66"/>
    <s v="1"/>
    <n v="0.05"/>
  </r>
  <r>
    <x v="102"/>
    <x v="2"/>
    <n v="1"/>
    <n v="1.3299999999999999E-2"/>
    <n v="1"/>
    <n v="9.5999999999999992E-3"/>
    <n v="0"/>
    <n v="0"/>
    <n v="0"/>
    <n v="0"/>
    <s v="0"/>
    <n v="0"/>
  </r>
  <r>
    <x v="102"/>
    <x v="1"/>
    <n v="1"/>
    <n v="1.3299999999999999E-2"/>
    <n v="1"/>
    <n v="9.5999999999999992E-3"/>
    <n v="0"/>
    <n v="0"/>
    <n v="0"/>
    <n v="0"/>
    <s v="0"/>
    <n v="0"/>
  </r>
  <r>
    <x v="102"/>
    <x v="0"/>
    <n v="51"/>
    <n v="0.68"/>
    <n v="72"/>
    <n v="0.69230000000000003"/>
    <n v="0.99"/>
    <n v="11"/>
    <n v="0.2157"/>
    <n v="126.39"/>
    <s v="11"/>
    <n v="0.21568627450980399"/>
  </r>
  <r>
    <x v="102"/>
    <x v="3"/>
    <n v="22"/>
    <n v="0.29330000000000001"/>
    <n v="30"/>
    <n v="0.28849999999999998"/>
    <n v="1"/>
    <n v="4"/>
    <n v="0.18179999999999999"/>
    <n v="78.64"/>
    <s v="4"/>
    <n v="0.18181818181818199"/>
  </r>
  <r>
    <x v="103"/>
    <x v="4"/>
    <n v="1"/>
    <n v="1.23E-2"/>
    <n v="1"/>
    <n v="9.1000000000000004E-3"/>
    <n v="1"/>
    <n v="0"/>
    <n v="0"/>
    <n v="0"/>
    <s v="0"/>
    <n v="0"/>
  </r>
  <r>
    <x v="103"/>
    <x v="2"/>
    <n v="5"/>
    <n v="6.1699999999999998E-2"/>
    <n v="8"/>
    <n v="7.2700000000000001E-2"/>
    <n v="1"/>
    <n v="0"/>
    <n v="0"/>
    <n v="0"/>
    <s v="0"/>
    <n v="0"/>
  </r>
  <r>
    <x v="103"/>
    <x v="1"/>
    <n v="3"/>
    <n v="3.6999999999999998E-2"/>
    <n v="3"/>
    <n v="2.7300000000000001E-2"/>
    <n v="1"/>
    <n v="0"/>
    <n v="0"/>
    <n v="0"/>
    <s v="0"/>
    <n v="0"/>
  </r>
  <r>
    <x v="103"/>
    <x v="3"/>
    <n v="23"/>
    <n v="0.28399999999999997"/>
    <n v="31"/>
    <n v="0.28179999999999999"/>
    <n v="0.97"/>
    <n v="2"/>
    <n v="8.6999999999999994E-2"/>
    <n v="39.32"/>
    <s v="2"/>
    <n v="8.6956521739130405E-2"/>
  </r>
  <r>
    <x v="103"/>
    <x v="0"/>
    <n v="49"/>
    <n v="0.60489999999999999"/>
    <n v="67"/>
    <n v="0.60909999999999997"/>
    <n v="1"/>
    <n v="6"/>
    <n v="0.12239999999999999"/>
    <n v="68.94"/>
    <s v="6"/>
    <n v="0.122448979591837"/>
  </r>
  <r>
    <x v="104"/>
    <x v="4"/>
    <n v="2"/>
    <n v="2.1100000000000001E-2"/>
    <n v="2"/>
    <n v="1.44E-2"/>
    <n v="1"/>
    <n v="0"/>
    <n v="0"/>
    <n v="0"/>
    <s v="0"/>
    <n v="0"/>
  </r>
  <r>
    <x v="104"/>
    <x v="3"/>
    <n v="30"/>
    <n v="0.31580000000000003"/>
    <n v="44"/>
    <n v="0.3165"/>
    <n v="1"/>
    <n v="0"/>
    <n v="0"/>
    <n v="0"/>
    <s v="0"/>
    <n v="0"/>
  </r>
  <r>
    <x v="104"/>
    <x v="0"/>
    <n v="62"/>
    <n v="0.65259999999999996"/>
    <n v="92"/>
    <n v="0.66190000000000004"/>
    <n v="0.99"/>
    <n v="16"/>
    <n v="0.2581"/>
    <n v="183.84"/>
    <s v="13"/>
    <n v="0.209677419354839"/>
  </r>
  <r>
    <x v="104"/>
    <x v="2"/>
    <n v="1"/>
    <n v="1.0500000000000001E-2"/>
    <n v="1"/>
    <n v="7.1999999999999998E-3"/>
    <n v="1"/>
    <n v="1"/>
    <n v="1"/>
    <n v="14.99"/>
    <s v="1"/>
    <n v="1"/>
  </r>
  <r>
    <x v="105"/>
    <x v="2"/>
    <n v="1"/>
    <n v="1.2999999999999999E-2"/>
    <n v="1"/>
    <n v="8.0999999999999996E-3"/>
    <n v="1"/>
    <n v="0"/>
    <n v="0"/>
    <n v="0"/>
    <s v="0"/>
    <n v="0"/>
  </r>
  <r>
    <x v="105"/>
    <x v="1"/>
    <n v="1"/>
    <n v="1.2999999999999999E-2"/>
    <n v="3"/>
    <n v="2.4400000000000002E-2"/>
    <n v="0.67"/>
    <n v="0"/>
    <n v="0"/>
    <n v="0"/>
    <s v="0"/>
    <n v="0"/>
  </r>
  <r>
    <x v="105"/>
    <x v="0"/>
    <n v="49"/>
    <n v="0.63639999999999997"/>
    <n v="76"/>
    <n v="0.6179"/>
    <n v="0.99"/>
    <n v="5"/>
    <n v="0.10199999999999999"/>
    <n v="57.45"/>
    <s v="3"/>
    <n v="6.1224489795918401E-2"/>
  </r>
  <r>
    <x v="105"/>
    <x v="3"/>
    <n v="26"/>
    <n v="0.3377"/>
    <n v="43"/>
    <n v="0.34960000000000002"/>
    <n v="0.98"/>
    <n v="1"/>
    <n v="3.85E-2"/>
    <n v="19.66"/>
    <s v="1"/>
    <n v="3.8461538461538498E-2"/>
  </r>
  <r>
    <x v="106"/>
    <x v="2"/>
    <n v="2"/>
    <n v="2.9399999999999999E-2"/>
    <n v="3"/>
    <n v="2.8799999999999999E-2"/>
    <n v="1"/>
    <n v="0"/>
    <n v="0"/>
    <n v="0"/>
    <s v="0"/>
    <n v="0"/>
  </r>
  <r>
    <x v="106"/>
    <x v="3"/>
    <n v="18"/>
    <n v="0.26469999999999999"/>
    <n v="22"/>
    <n v="0.21149999999999999"/>
    <n v="1"/>
    <n v="0"/>
    <n v="0"/>
    <n v="0"/>
    <s v="0"/>
    <n v="0"/>
  </r>
  <r>
    <x v="106"/>
    <x v="0"/>
    <n v="48"/>
    <n v="0.70589999999999997"/>
    <n v="79"/>
    <n v="0.75960000000000005"/>
    <n v="0.99"/>
    <n v="5"/>
    <n v="0.1042"/>
    <n v="57.45"/>
    <s v="5"/>
    <n v="0.104166666666667"/>
  </r>
  <r>
    <x v="107"/>
    <x v="2"/>
    <n v="3"/>
    <n v="4.2299999999999997E-2"/>
    <n v="3"/>
    <n v="3.0599999999999999E-2"/>
    <n v="1"/>
    <n v="0"/>
    <n v="0"/>
    <n v="0"/>
    <s v="0"/>
    <n v="0"/>
  </r>
  <r>
    <x v="107"/>
    <x v="1"/>
    <n v="1"/>
    <n v="1.41E-2"/>
    <n v="1"/>
    <n v="1.0200000000000001E-2"/>
    <n v="0"/>
    <n v="0"/>
    <n v="0"/>
    <n v="0"/>
    <s v="0"/>
    <n v="0"/>
  </r>
  <r>
    <x v="107"/>
    <x v="3"/>
    <n v="23"/>
    <n v="0.32390000000000002"/>
    <n v="32"/>
    <n v="0.32650000000000001"/>
    <n v="1"/>
    <n v="2"/>
    <n v="8.6999999999999994E-2"/>
    <n v="39.32"/>
    <s v="1"/>
    <n v="4.3478260869565202E-2"/>
  </r>
  <r>
    <x v="107"/>
    <x v="0"/>
    <n v="44"/>
    <n v="0.61970000000000003"/>
    <n v="62"/>
    <n v="0.63270000000000004"/>
    <n v="1"/>
    <n v="17"/>
    <n v="0.38640000000000002"/>
    <n v="195.33"/>
    <s v="10"/>
    <n v="0.22727272727272699"/>
  </r>
  <r>
    <x v="108"/>
    <x v="2"/>
    <n v="2"/>
    <n v="2.6700000000000002E-2"/>
    <n v="4"/>
    <n v="0.04"/>
    <n v="1"/>
    <n v="0"/>
    <n v="0"/>
    <n v="0"/>
    <s v="0"/>
    <n v="0"/>
  </r>
  <r>
    <x v="108"/>
    <x v="1"/>
    <n v="2"/>
    <n v="2.6700000000000002E-2"/>
    <n v="2"/>
    <n v="0.02"/>
    <n v="1"/>
    <n v="0"/>
    <n v="0"/>
    <n v="0"/>
    <s v="0"/>
    <n v="0"/>
  </r>
  <r>
    <x v="108"/>
    <x v="3"/>
    <n v="20"/>
    <n v="0.26669999999999999"/>
    <n v="26"/>
    <n v="0.26"/>
    <n v="1"/>
    <n v="0"/>
    <n v="0"/>
    <n v="0"/>
    <s v="0"/>
    <n v="0"/>
  </r>
  <r>
    <x v="108"/>
    <x v="0"/>
    <n v="51"/>
    <n v="0.68"/>
    <n v="68"/>
    <n v="0.68"/>
    <n v="1"/>
    <n v="9"/>
    <n v="0.17649999999999999"/>
    <n v="103.41"/>
    <s v="8"/>
    <n v="0.15686274509803899"/>
  </r>
  <r>
    <x v="109"/>
    <x v="2"/>
    <n v="2"/>
    <n v="2.53E-2"/>
    <n v="3"/>
    <n v="2.6100000000000002E-2"/>
    <n v="1"/>
    <n v="0"/>
    <n v="0"/>
    <n v="0"/>
    <s v="0"/>
    <n v="0"/>
  </r>
  <r>
    <x v="109"/>
    <x v="0"/>
    <n v="50"/>
    <n v="0.63290000000000002"/>
    <n v="75"/>
    <n v="0.6522"/>
    <n v="1"/>
    <n v="16"/>
    <n v="0.32"/>
    <n v="183.84"/>
    <s v="11"/>
    <n v="0.22"/>
  </r>
  <r>
    <x v="109"/>
    <x v="3"/>
    <n v="27"/>
    <n v="0.34179999999999999"/>
    <n v="37"/>
    <n v="0.32169999999999999"/>
    <n v="1"/>
    <n v="1"/>
    <n v="3.6999999999999998E-2"/>
    <n v="19.66"/>
    <s v="1"/>
    <n v="3.7037037037037E-2"/>
  </r>
  <r>
    <x v="110"/>
    <x v="2"/>
    <n v="4"/>
    <n v="4.0800000000000003E-2"/>
    <n v="5"/>
    <n v="3.27E-2"/>
    <n v="1"/>
    <n v="0"/>
    <n v="0"/>
    <n v="0"/>
    <s v="0"/>
    <n v="0"/>
  </r>
  <r>
    <x v="110"/>
    <x v="4"/>
    <n v="3"/>
    <n v="3.0599999999999999E-2"/>
    <n v="4"/>
    <n v="2.6100000000000002E-2"/>
    <n v="1"/>
    <n v="0"/>
    <n v="0"/>
    <n v="0"/>
    <s v="0"/>
    <n v="0"/>
  </r>
  <r>
    <x v="110"/>
    <x v="1"/>
    <n v="2"/>
    <n v="2.0400000000000001E-2"/>
    <n v="2"/>
    <n v="1.3100000000000001E-2"/>
    <n v="0"/>
    <n v="0"/>
    <n v="0"/>
    <n v="0"/>
    <s v="0"/>
    <n v="0"/>
  </r>
  <r>
    <x v="110"/>
    <x v="0"/>
    <n v="58"/>
    <n v="0.59179999999999999"/>
    <n v="94"/>
    <n v="0.61439999999999995"/>
    <n v="0.99"/>
    <n v="13"/>
    <n v="0.22409999999999999"/>
    <n v="149.37"/>
    <s v="9"/>
    <n v="0.15517241379310301"/>
  </r>
  <r>
    <x v="110"/>
    <x v="3"/>
    <n v="31"/>
    <n v="0.31630000000000003"/>
    <n v="48"/>
    <n v="0.31369999999999998"/>
    <n v="1"/>
    <n v="2"/>
    <n v="6.4500000000000002E-2"/>
    <n v="45.32"/>
    <s v="2"/>
    <n v="6.4516129032258104E-2"/>
  </r>
  <r>
    <x v="111"/>
    <x v="4"/>
    <n v="1"/>
    <n v="9.1999999999999998E-3"/>
    <n v="1"/>
    <n v="6.7000000000000002E-3"/>
    <n v="1"/>
    <n v="0"/>
    <n v="0"/>
    <n v="0"/>
    <s v="0"/>
    <n v="0"/>
  </r>
  <r>
    <x v="111"/>
    <x v="1"/>
    <n v="2"/>
    <n v="1.83E-2"/>
    <n v="2"/>
    <n v="1.34E-2"/>
    <n v="1"/>
    <n v="0"/>
    <n v="0"/>
    <n v="0"/>
    <s v="0"/>
    <n v="0"/>
  </r>
  <r>
    <x v="111"/>
    <x v="0"/>
    <n v="60"/>
    <n v="0.55049999999999999"/>
    <n v="85"/>
    <n v="0.57050000000000001"/>
    <n v="0.98"/>
    <n v="13"/>
    <n v="0.2167"/>
    <n v="149.37"/>
    <s v="12"/>
    <n v="0.2"/>
  </r>
  <r>
    <x v="111"/>
    <x v="3"/>
    <n v="38"/>
    <n v="0.34860000000000002"/>
    <n v="52"/>
    <n v="0.34899999999999998"/>
    <n v="0.94"/>
    <n v="1"/>
    <n v="2.63E-2"/>
    <n v="22.66"/>
    <s v="1"/>
    <n v="2.6315789473684199E-2"/>
  </r>
  <r>
    <x v="111"/>
    <x v="2"/>
    <n v="8"/>
    <n v="7.3400000000000007E-2"/>
    <n v="9"/>
    <n v="6.0400000000000002E-2"/>
    <n v="1"/>
    <n v="2"/>
    <n v="0.25"/>
    <n v="29.98"/>
    <s v="1"/>
    <n v="0.125"/>
  </r>
  <r>
    <x v="112"/>
    <x v="1"/>
    <n v="2"/>
    <n v="1.7899999999999999E-2"/>
    <n v="2"/>
    <n v="1.2500000000000001E-2"/>
    <n v="1"/>
    <n v="0"/>
    <n v="0"/>
    <n v="0"/>
    <s v="0"/>
    <n v="0"/>
  </r>
  <r>
    <x v="112"/>
    <x v="4"/>
    <n v="4"/>
    <n v="3.5700000000000003E-2"/>
    <n v="5"/>
    <n v="3.1300000000000001E-2"/>
    <n v="1"/>
    <n v="0"/>
    <n v="0"/>
    <n v="0"/>
    <s v="0"/>
    <n v="0"/>
  </r>
  <r>
    <x v="112"/>
    <x v="0"/>
    <n v="66"/>
    <n v="0.58930000000000005"/>
    <n v="99"/>
    <n v="0.61880000000000002"/>
    <n v="0.95"/>
    <n v="36"/>
    <n v="0.54549999999999998"/>
    <n v="413.64"/>
    <s v="16"/>
    <n v="0.24242424242424199"/>
  </r>
  <r>
    <x v="112"/>
    <x v="3"/>
    <n v="34"/>
    <n v="0.30359999999999998"/>
    <n v="48"/>
    <n v="0.3"/>
    <n v="1"/>
    <n v="2"/>
    <n v="5.8799999999999998E-2"/>
    <n v="45.32"/>
    <s v="2"/>
    <n v="5.8823529411764698E-2"/>
  </r>
  <r>
    <x v="112"/>
    <x v="2"/>
    <n v="6"/>
    <n v="5.3600000000000002E-2"/>
    <n v="6"/>
    <n v="3.7499999999999999E-2"/>
    <n v="1"/>
    <n v="2"/>
    <n v="0.33329999999999999"/>
    <n v="29.98"/>
    <s v="2"/>
    <n v="0.33333333333333298"/>
  </r>
  <r>
    <x v="113"/>
    <x v="1"/>
    <n v="1"/>
    <n v="8.9999999999999993E-3"/>
    <n v="1"/>
    <n v="6.7999999999999996E-3"/>
    <n v="1"/>
    <n v="0"/>
    <n v="0"/>
    <n v="0"/>
    <s v="0"/>
    <n v="0"/>
  </r>
  <r>
    <x v="113"/>
    <x v="4"/>
    <n v="9"/>
    <n v="8.1100000000000005E-2"/>
    <n v="10"/>
    <n v="6.8500000000000005E-2"/>
    <n v="1"/>
    <n v="0"/>
    <n v="0"/>
    <n v="0"/>
    <s v="0"/>
    <n v="0"/>
  </r>
  <r>
    <x v="113"/>
    <x v="2"/>
    <n v="4"/>
    <n v="3.5999999999999997E-2"/>
    <n v="6"/>
    <n v="4.1099999999999998E-2"/>
    <n v="1"/>
    <n v="0"/>
    <n v="0"/>
    <n v="0"/>
    <s v="0"/>
    <n v="0"/>
  </r>
  <r>
    <x v="113"/>
    <x v="3"/>
    <n v="33"/>
    <n v="0.29730000000000001"/>
    <n v="44"/>
    <n v="0.3014"/>
    <n v="1"/>
    <n v="4"/>
    <n v="0.1212"/>
    <n v="90.64"/>
    <s v="4"/>
    <n v="0.12121212121212099"/>
  </r>
  <r>
    <x v="113"/>
    <x v="0"/>
    <n v="64"/>
    <n v="0.5766"/>
    <n v="85"/>
    <n v="0.58220000000000005"/>
    <n v="1"/>
    <n v="10"/>
    <n v="0.15629999999999999"/>
    <n v="114.9"/>
    <s v="9"/>
    <n v="0.140625"/>
  </r>
  <r>
    <x v="114"/>
    <x v="1"/>
    <n v="2"/>
    <n v="0.02"/>
    <n v="2"/>
    <n v="1.43E-2"/>
    <n v="1"/>
    <n v="0"/>
    <n v="0"/>
    <n v="0"/>
    <s v="0"/>
    <n v="0"/>
  </r>
  <r>
    <x v="114"/>
    <x v="4"/>
    <n v="3"/>
    <n v="0.03"/>
    <n v="3"/>
    <n v="2.1399999999999999E-2"/>
    <n v="1"/>
    <n v="0"/>
    <n v="0"/>
    <n v="0"/>
    <s v="0"/>
    <n v="0"/>
  </r>
  <r>
    <x v="114"/>
    <x v="3"/>
    <n v="32"/>
    <n v="0.32"/>
    <n v="49"/>
    <n v="0.35"/>
    <n v="1"/>
    <n v="2"/>
    <n v="6.25E-2"/>
    <n v="45.32"/>
    <s v="2"/>
    <n v="6.25E-2"/>
  </r>
  <r>
    <x v="114"/>
    <x v="0"/>
    <n v="58"/>
    <n v="0.57999999999999996"/>
    <n v="80"/>
    <n v="0.57140000000000002"/>
    <n v="1"/>
    <n v="12"/>
    <n v="0.2069"/>
    <n v="137.88"/>
    <s v="9"/>
    <n v="0.15517241379310301"/>
  </r>
  <r>
    <x v="114"/>
    <x v="2"/>
    <n v="5"/>
    <n v="0.05"/>
    <n v="6"/>
    <n v="4.2900000000000001E-2"/>
    <n v="1"/>
    <n v="1"/>
    <n v="0.2"/>
    <n v="15.99"/>
    <s v="1"/>
    <n v="0.2"/>
  </r>
  <r>
    <x v="115"/>
    <x v="4"/>
    <n v="2"/>
    <n v="2.4400000000000002E-2"/>
    <n v="2"/>
    <n v="1.7999999999999999E-2"/>
    <n v="1"/>
    <n v="0"/>
    <n v="0"/>
    <n v="0"/>
    <s v="0"/>
    <n v="0"/>
  </r>
  <r>
    <x v="115"/>
    <x v="1"/>
    <n v="3"/>
    <n v="3.6600000000000001E-2"/>
    <n v="5"/>
    <n v="4.4999999999999998E-2"/>
    <n v="0.8"/>
    <n v="0"/>
    <n v="0"/>
    <n v="0"/>
    <s v="0"/>
    <n v="0"/>
  </r>
  <r>
    <x v="115"/>
    <x v="0"/>
    <n v="47"/>
    <n v="0.57320000000000004"/>
    <n v="66"/>
    <n v="0.59460000000000002"/>
    <n v="0.98"/>
    <n v="12"/>
    <n v="0.25530000000000003"/>
    <n v="137.88"/>
    <s v="10"/>
    <n v="0.21276595744680801"/>
  </r>
  <r>
    <x v="115"/>
    <x v="3"/>
    <n v="26"/>
    <n v="0.31709999999999999"/>
    <n v="32"/>
    <n v="0.2883"/>
    <n v="1"/>
    <n v="1"/>
    <n v="3.85E-2"/>
    <n v="22.66"/>
    <s v="1"/>
    <n v="3.8461538461538498E-2"/>
  </r>
  <r>
    <x v="115"/>
    <x v="2"/>
    <n v="4"/>
    <n v="4.8800000000000003E-2"/>
    <n v="6"/>
    <n v="5.4100000000000002E-2"/>
    <n v="1"/>
    <n v="1"/>
    <n v="0.25"/>
    <n v="15.99"/>
    <s v="1"/>
    <n v="0.25"/>
  </r>
  <r>
    <x v="116"/>
    <x v="4"/>
    <n v="2"/>
    <n v="1.9199999999999998E-2"/>
    <n v="2"/>
    <n v="1.32E-2"/>
    <n v="1"/>
    <n v="0"/>
    <n v="0"/>
    <n v="0"/>
    <s v="0"/>
    <n v="0"/>
  </r>
  <r>
    <x v="116"/>
    <x v="2"/>
    <n v="8"/>
    <n v="7.6899999999999996E-2"/>
    <n v="11"/>
    <n v="7.2400000000000006E-2"/>
    <n v="1"/>
    <n v="0"/>
    <n v="0"/>
    <n v="0"/>
    <s v="0"/>
    <n v="0"/>
  </r>
  <r>
    <x v="116"/>
    <x v="3"/>
    <n v="33"/>
    <n v="0.31730000000000003"/>
    <n v="51"/>
    <n v="0.33550000000000002"/>
    <n v="0.9"/>
    <n v="3"/>
    <n v="9.0899999999999995E-2"/>
    <n v="67.98"/>
    <s v="3"/>
    <n v="9.0909090909090898E-2"/>
  </r>
  <r>
    <x v="116"/>
    <x v="0"/>
    <n v="61"/>
    <n v="0.58650000000000002"/>
    <n v="88"/>
    <n v="0.57889999999999997"/>
    <n v="1"/>
    <n v="13"/>
    <n v="0.21310000000000001"/>
    <n v="149.37"/>
    <s v="12"/>
    <n v="0.19672131147541"/>
  </r>
  <r>
    <x v="117"/>
    <x v="4"/>
    <n v="1"/>
    <n v="9.7000000000000003E-3"/>
    <n v="1"/>
    <n v="6.7000000000000002E-3"/>
    <n v="1"/>
    <n v="0"/>
    <n v="0"/>
    <n v="0"/>
    <s v="0"/>
    <n v="0"/>
  </r>
  <r>
    <x v="117"/>
    <x v="1"/>
    <n v="3"/>
    <n v="2.9100000000000001E-2"/>
    <n v="3"/>
    <n v="2.01E-2"/>
    <n v="1"/>
    <n v="0"/>
    <n v="0"/>
    <n v="0"/>
    <s v="0"/>
    <n v="0"/>
  </r>
  <r>
    <x v="117"/>
    <x v="2"/>
    <n v="7"/>
    <n v="6.8000000000000005E-2"/>
    <n v="11"/>
    <n v="7.3800000000000004E-2"/>
    <n v="0.91"/>
    <n v="0"/>
    <n v="0"/>
    <n v="0"/>
    <s v="0"/>
    <n v="0"/>
  </r>
  <r>
    <x v="117"/>
    <x v="0"/>
    <n v="63"/>
    <n v="0.61170000000000002"/>
    <n v="86"/>
    <n v="0.57720000000000005"/>
    <n v="0.99"/>
    <n v="6"/>
    <n v="9.5200000000000007E-2"/>
    <n v="68.94"/>
    <s v="6"/>
    <n v="9.5238095238095205E-2"/>
  </r>
  <r>
    <x v="117"/>
    <x v="3"/>
    <n v="29"/>
    <n v="0.28160000000000002"/>
    <n v="48"/>
    <n v="0.3221"/>
    <n v="1"/>
    <n v="3"/>
    <n v="0.10340000000000001"/>
    <n v="67.98"/>
    <s v="3"/>
    <n v="0.10344827586206901"/>
  </r>
  <r>
    <x v="118"/>
    <x v="4"/>
    <n v="2"/>
    <n v="1.8200000000000001E-2"/>
    <n v="2"/>
    <n v="1.37E-2"/>
    <n v="1"/>
    <n v="0"/>
    <n v="0"/>
    <n v="0"/>
    <s v="0"/>
    <n v="0"/>
  </r>
  <r>
    <x v="118"/>
    <x v="1"/>
    <n v="4"/>
    <n v="3.6400000000000002E-2"/>
    <n v="9"/>
    <n v="6.1600000000000002E-2"/>
    <n v="0.78"/>
    <n v="0"/>
    <n v="0"/>
    <n v="0"/>
    <s v="0"/>
    <n v="0"/>
  </r>
  <r>
    <x v="118"/>
    <x v="2"/>
    <n v="7"/>
    <n v="6.3600000000000004E-2"/>
    <n v="8"/>
    <n v="5.4800000000000001E-2"/>
    <n v="1"/>
    <n v="2"/>
    <n v="0.28570000000000001"/>
    <n v="31.98"/>
    <s v="2"/>
    <n v="0.28571428571428598"/>
  </r>
  <r>
    <x v="118"/>
    <x v="0"/>
    <n v="73"/>
    <n v="0.66359999999999997"/>
    <n v="98"/>
    <n v="0.67120000000000002"/>
    <n v="1"/>
    <n v="9"/>
    <n v="0.12330000000000001"/>
    <n v="103.41"/>
    <s v="8"/>
    <n v="0.10958904109589"/>
  </r>
  <r>
    <x v="118"/>
    <x v="3"/>
    <n v="24"/>
    <n v="0.21820000000000001"/>
    <n v="29"/>
    <n v="0.1986"/>
    <n v="1"/>
    <n v="1"/>
    <n v="4.1700000000000001E-2"/>
    <n v="22.66"/>
    <s v="1"/>
    <n v="4.1666666666666699E-2"/>
  </r>
  <r>
    <x v="119"/>
    <x v="1"/>
    <n v="2"/>
    <n v="1.8700000000000001E-2"/>
    <n v="4"/>
    <n v="2.76E-2"/>
    <n v="1"/>
    <n v="0"/>
    <n v="0"/>
    <n v="0"/>
    <s v="0"/>
    <n v="0"/>
  </r>
  <r>
    <x v="119"/>
    <x v="4"/>
    <n v="4"/>
    <n v="3.7400000000000003E-2"/>
    <n v="5"/>
    <n v="3.4500000000000003E-2"/>
    <n v="1"/>
    <n v="0"/>
    <n v="0"/>
    <n v="0"/>
    <s v="0"/>
    <n v="0"/>
  </r>
  <r>
    <x v="119"/>
    <x v="5"/>
    <n v="1"/>
    <n v="9.2999999999999992E-3"/>
    <n v="3"/>
    <n v="2.07E-2"/>
    <n v="0.33"/>
    <n v="0"/>
    <n v="0"/>
    <n v="0"/>
    <s v="0"/>
    <n v="0"/>
  </r>
  <r>
    <x v="119"/>
    <x v="0"/>
    <n v="70"/>
    <n v="0.6542"/>
    <n v="94"/>
    <n v="0.64829999999999999"/>
    <n v="0.99"/>
    <n v="18"/>
    <n v="0.2571"/>
    <n v="206.82"/>
    <s v="17"/>
    <n v="0.24285714285714299"/>
  </r>
  <r>
    <x v="119"/>
    <x v="3"/>
    <n v="18"/>
    <n v="0.16819999999999999"/>
    <n v="21"/>
    <n v="0.14480000000000001"/>
    <n v="0.9"/>
    <n v="1"/>
    <n v="5.5599999999999997E-2"/>
    <n v="22.66"/>
    <s v="1"/>
    <n v="5.5555555555555601E-2"/>
  </r>
  <r>
    <x v="119"/>
    <x v="2"/>
    <n v="12"/>
    <n v="0.11210000000000001"/>
    <n v="18"/>
    <n v="0.1241"/>
    <n v="1"/>
    <n v="1"/>
    <n v="8.3299999999999999E-2"/>
    <n v="15.99"/>
    <s v="1"/>
    <n v="8.3333333333333301E-2"/>
  </r>
  <r>
    <x v="120"/>
    <x v="6"/>
    <n v="1"/>
    <n v="6.6E-3"/>
    <n v="1"/>
    <n v="4.7000000000000002E-3"/>
    <n v="1"/>
    <n v="0"/>
    <n v="0"/>
    <n v="0"/>
    <s v="0"/>
    <n v="0"/>
  </r>
  <r>
    <x v="120"/>
    <x v="5"/>
    <n v="2"/>
    <n v="1.32E-2"/>
    <n v="2"/>
    <n v="9.4000000000000004E-3"/>
    <n v="1"/>
    <n v="0"/>
    <n v="0"/>
    <n v="0"/>
    <s v="0"/>
    <n v="0"/>
  </r>
  <r>
    <x v="120"/>
    <x v="1"/>
    <n v="6"/>
    <n v="3.95E-2"/>
    <n v="7"/>
    <n v="3.2899999999999999E-2"/>
    <n v="1"/>
    <n v="0"/>
    <n v="0"/>
    <n v="0"/>
    <s v="0"/>
    <n v="0"/>
  </r>
  <r>
    <x v="120"/>
    <x v="4"/>
    <n v="4"/>
    <n v="2.63E-2"/>
    <n v="5"/>
    <n v="2.35E-2"/>
    <n v="1"/>
    <n v="0"/>
    <n v="0"/>
    <n v="0"/>
    <s v="0"/>
    <n v="0"/>
  </r>
  <r>
    <x v="120"/>
    <x v="3"/>
    <n v="36"/>
    <n v="0.23680000000000001"/>
    <n v="43"/>
    <n v="0.2019"/>
    <n v="1"/>
    <n v="23"/>
    <n v="0.63890000000000002"/>
    <n v="521.78"/>
    <s v="4"/>
    <n v="0.11111111111111099"/>
  </r>
  <r>
    <x v="120"/>
    <x v="2"/>
    <n v="23"/>
    <n v="0.15129999999999999"/>
    <n v="41"/>
    <n v="0.1925"/>
    <n v="1"/>
    <n v="4"/>
    <n v="0.1739"/>
    <n v="63.96"/>
    <s v="3"/>
    <n v="0.13043478260869601"/>
  </r>
  <r>
    <x v="120"/>
    <x v="0"/>
    <n v="80"/>
    <n v="0.52629999999999999"/>
    <n v="114"/>
    <n v="0.53520000000000001"/>
    <n v="1"/>
    <n v="15"/>
    <n v="0.1875"/>
    <n v="174.9"/>
    <s v="10"/>
    <n v="0.125"/>
  </r>
  <r>
    <x v="121"/>
    <x v="6"/>
    <n v="1"/>
    <n v="1.0999999999999999E-2"/>
    <n v="1"/>
    <n v="7.6E-3"/>
    <n v="1"/>
    <n v="0"/>
    <n v="0"/>
    <n v="0"/>
    <s v="0"/>
    <n v="0"/>
  </r>
  <r>
    <x v="121"/>
    <x v="3"/>
    <n v="15"/>
    <n v="0.1648"/>
    <n v="19"/>
    <n v="0.14499999999999999"/>
    <n v="0.95"/>
    <n v="18"/>
    <n v="1.2"/>
    <n v="411.48"/>
    <s v="4"/>
    <n v="0.266666666666667"/>
  </r>
  <r>
    <x v="121"/>
    <x v="1"/>
    <n v="4"/>
    <n v="4.3999999999999997E-2"/>
    <n v="7"/>
    <n v="5.3400000000000003E-2"/>
    <n v="0.86"/>
    <n v="1"/>
    <n v="0.25"/>
    <n v="14.99"/>
    <s v="1"/>
    <n v="0.25"/>
  </r>
  <r>
    <x v="121"/>
    <x v="0"/>
    <n v="53"/>
    <n v="0.58240000000000003"/>
    <n v="79"/>
    <n v="0.60309999999999997"/>
    <n v="1"/>
    <n v="13"/>
    <n v="0.24529999999999999"/>
    <n v="151.58000000000001"/>
    <s v="13"/>
    <n v="0.245283018867925"/>
  </r>
  <r>
    <x v="121"/>
    <x v="2"/>
    <n v="18"/>
    <n v="0.1978"/>
    <n v="25"/>
    <n v="0.1908"/>
    <n v="1"/>
    <n v="1"/>
    <n v="5.5599999999999997E-2"/>
    <n v="15.99"/>
    <s v="1"/>
    <n v="5.5555555555555601E-2"/>
  </r>
  <r>
    <x v="122"/>
    <x v="4"/>
    <n v="1"/>
    <n v="1.52E-2"/>
    <n v="1"/>
    <n v="1.12E-2"/>
    <n v="1"/>
    <n v="0"/>
    <n v="0"/>
    <n v="0"/>
    <s v="0"/>
    <n v="0"/>
  </r>
  <r>
    <x v="122"/>
    <x v="3"/>
    <n v="23"/>
    <n v="0.34849999999999998"/>
    <n v="33"/>
    <n v="0.37080000000000002"/>
    <n v="1"/>
    <n v="3"/>
    <n v="0.13039999999999999"/>
    <n v="68.58"/>
    <s v="3"/>
    <n v="0.13043478260869601"/>
  </r>
  <r>
    <x v="122"/>
    <x v="2"/>
    <n v="16"/>
    <n v="0.2424"/>
    <n v="18"/>
    <n v="0.20219999999999999"/>
    <n v="1"/>
    <n v="2"/>
    <n v="0.125"/>
    <n v="31.98"/>
    <s v="2"/>
    <n v="0.125"/>
  </r>
  <r>
    <x v="122"/>
    <x v="0"/>
    <n v="26"/>
    <n v="0.39389999999999997"/>
    <n v="37"/>
    <n v="0.41570000000000001"/>
    <n v="1"/>
    <n v="12"/>
    <n v="0.46150000000000002"/>
    <n v="139.91999999999999"/>
    <s v="11"/>
    <n v="0.42307692307692302"/>
  </r>
  <r>
    <x v="123"/>
    <x v="5"/>
    <n v="1"/>
    <n v="1.32E-2"/>
    <n v="1"/>
    <n v="8.6E-3"/>
    <n v="1"/>
    <n v="0"/>
    <n v="0"/>
    <n v="0"/>
    <s v="0"/>
    <n v="0"/>
  </r>
  <r>
    <x v="123"/>
    <x v="6"/>
    <n v="1"/>
    <n v="1.32E-2"/>
    <n v="2"/>
    <n v="1.72E-2"/>
    <n v="1"/>
    <n v="0"/>
    <n v="0"/>
    <n v="0"/>
    <s v="0"/>
    <n v="0"/>
  </r>
  <r>
    <x v="123"/>
    <x v="1"/>
    <n v="3"/>
    <n v="3.95E-2"/>
    <n v="5"/>
    <n v="4.3099999999999999E-2"/>
    <n v="1"/>
    <n v="0"/>
    <n v="0"/>
    <n v="0"/>
    <s v="0"/>
    <n v="0"/>
  </r>
  <r>
    <x v="123"/>
    <x v="0"/>
    <n v="33"/>
    <n v="0.43419999999999997"/>
    <n v="56"/>
    <n v="0.48280000000000001"/>
    <n v="0.98"/>
    <n v="10"/>
    <n v="0.30299999999999999"/>
    <n v="116.82"/>
    <s v="9"/>
    <n v="0.27272727272727298"/>
  </r>
  <r>
    <x v="123"/>
    <x v="2"/>
    <n v="21"/>
    <n v="0.27629999999999999"/>
    <n v="27"/>
    <n v="0.23280000000000001"/>
    <n v="1"/>
    <n v="3"/>
    <n v="0.1429"/>
    <n v="47.97"/>
    <s v="3"/>
    <n v="0.14285714285714299"/>
  </r>
  <r>
    <x v="123"/>
    <x v="3"/>
    <n v="17"/>
    <n v="0.22370000000000001"/>
    <n v="25"/>
    <n v="0.2155"/>
    <n v="1"/>
    <n v="3"/>
    <n v="0.17649999999999999"/>
    <n v="68.58"/>
    <s v="3"/>
    <n v="0.17647058823529399"/>
  </r>
  <r>
    <x v="124"/>
    <x v="4"/>
    <n v="1"/>
    <n v="9.1000000000000004E-3"/>
    <n v="1"/>
    <n v="5.8999999999999999E-3"/>
    <n v="1"/>
    <n v="0"/>
    <n v="0"/>
    <n v="0"/>
    <s v="0"/>
    <n v="0"/>
  </r>
  <r>
    <x v="124"/>
    <x v="6"/>
    <n v="4"/>
    <n v="3.6400000000000002E-2"/>
    <n v="4"/>
    <n v="2.35E-2"/>
    <n v="1"/>
    <n v="0"/>
    <n v="0"/>
    <n v="0"/>
    <s v="0"/>
    <n v="0"/>
  </r>
  <r>
    <x v="124"/>
    <x v="1"/>
    <n v="4"/>
    <n v="3.6400000000000002E-2"/>
    <n v="9"/>
    <n v="5.2900000000000003E-2"/>
    <n v="1"/>
    <n v="0"/>
    <n v="0"/>
    <n v="0"/>
    <s v="0"/>
    <n v="0"/>
  </r>
  <r>
    <x v="124"/>
    <x v="2"/>
    <n v="20"/>
    <n v="0.18179999999999999"/>
    <n v="28"/>
    <n v="0.16470000000000001"/>
    <n v="1"/>
    <n v="3"/>
    <n v="0.15"/>
    <n v="47.97"/>
    <s v="3"/>
    <n v="0.15"/>
  </r>
  <r>
    <x v="124"/>
    <x v="0"/>
    <n v="44"/>
    <n v="0.4"/>
    <n v="73"/>
    <n v="0.4294"/>
    <n v="1"/>
    <n v="10"/>
    <n v="0.2273"/>
    <n v="118.8"/>
    <s v="9"/>
    <n v="0.204545454545455"/>
  </r>
  <r>
    <x v="124"/>
    <x v="3"/>
    <n v="29"/>
    <n v="0.2636"/>
    <n v="46"/>
    <n v="0.27060000000000001"/>
    <n v="1"/>
    <n v="1"/>
    <n v="3.4500000000000003E-2"/>
    <n v="22.98"/>
    <s v="1"/>
    <n v="3.4482758620689703E-2"/>
  </r>
  <r>
    <x v="124"/>
    <x v="5"/>
    <n v="8"/>
    <n v="7.2700000000000001E-2"/>
    <n v="9"/>
    <n v="5.2900000000000003E-2"/>
    <n v="1"/>
    <n v="1"/>
    <n v="0.125"/>
    <n v="12.99"/>
    <s v="1"/>
    <n v="0.125"/>
  </r>
  <r>
    <x v="125"/>
    <x v="4"/>
    <n v="1"/>
    <n v="7.4000000000000003E-3"/>
    <n v="1"/>
    <n v="5.1000000000000004E-3"/>
    <n v="1"/>
    <n v="0"/>
    <n v="0"/>
    <n v="0"/>
    <s v="0"/>
    <n v="0"/>
  </r>
  <r>
    <x v="125"/>
    <x v="5"/>
    <n v="15"/>
    <n v="0.1103"/>
    <n v="17"/>
    <n v="8.6699999999999999E-2"/>
    <n v="1"/>
    <n v="0"/>
    <n v="0"/>
    <n v="0"/>
    <s v="0"/>
    <n v="0"/>
  </r>
  <r>
    <x v="125"/>
    <x v="6"/>
    <n v="5"/>
    <n v="3.6799999999999999E-2"/>
    <n v="5"/>
    <n v="2.5499999999999998E-2"/>
    <n v="1"/>
    <n v="0"/>
    <n v="0"/>
    <n v="0"/>
    <s v="0"/>
    <n v="0"/>
  </r>
  <r>
    <x v="125"/>
    <x v="0"/>
    <n v="58"/>
    <n v="0.42649999999999999"/>
    <n v="91"/>
    <n v="0.46429999999999999"/>
    <n v="0.99"/>
    <n v="19"/>
    <n v="0.3276"/>
    <n v="225.72"/>
    <s v="10"/>
    <n v="0.17241379310344801"/>
  </r>
  <r>
    <x v="125"/>
    <x v="2"/>
    <n v="24"/>
    <n v="0.17649999999999999"/>
    <n v="38"/>
    <n v="0.19389999999999999"/>
    <n v="1"/>
    <n v="6"/>
    <n v="0.25"/>
    <n v="95.94"/>
    <s v="4"/>
    <n v="0.16666666666666699"/>
  </r>
  <r>
    <x v="125"/>
    <x v="3"/>
    <n v="25"/>
    <n v="0.18379999999999999"/>
    <n v="29"/>
    <n v="0.14799999999999999"/>
    <n v="1"/>
    <n v="3"/>
    <n v="0.12"/>
    <n v="68.94"/>
    <s v="3"/>
    <n v="0.12"/>
  </r>
  <r>
    <x v="125"/>
    <x v="1"/>
    <n v="8"/>
    <n v="5.8799999999999998E-2"/>
    <n v="15"/>
    <n v="7.6499999999999999E-2"/>
    <n v="1"/>
    <n v="1"/>
    <n v="0.125"/>
    <n v="14.99"/>
    <s v="1"/>
    <n v="0.125"/>
  </r>
  <r>
    <x v="126"/>
    <x v="1"/>
    <n v="4"/>
    <n v="2.9399999999999999E-2"/>
    <n v="9"/>
    <n v="4.5699999999999998E-2"/>
    <n v="1"/>
    <n v="0"/>
    <n v="0"/>
    <n v="0"/>
    <s v="0"/>
    <n v="0"/>
  </r>
  <r>
    <x v="126"/>
    <x v="6"/>
    <n v="3"/>
    <n v="2.2100000000000002E-2"/>
    <n v="3"/>
    <n v="1.52E-2"/>
    <n v="1"/>
    <n v="0"/>
    <n v="0"/>
    <n v="0"/>
    <s v="0"/>
    <n v="0"/>
  </r>
  <r>
    <x v="126"/>
    <x v="2"/>
    <n v="22"/>
    <n v="0.1618"/>
    <n v="32"/>
    <n v="0.16239999999999999"/>
    <n v="0.97"/>
    <n v="0"/>
    <n v="0"/>
    <n v="0"/>
    <s v="0"/>
    <n v="0"/>
  </r>
  <r>
    <x v="126"/>
    <x v="0"/>
    <n v="58"/>
    <n v="0.42649999999999999"/>
    <n v="88"/>
    <n v="0.44669999999999999"/>
    <n v="0.98"/>
    <n v="27"/>
    <n v="0.46550000000000002"/>
    <n v="329.23"/>
    <s v="12"/>
    <n v="0.20689655172413801"/>
  </r>
  <r>
    <x v="126"/>
    <x v="5"/>
    <n v="18"/>
    <n v="0.13239999999999999"/>
    <n v="23"/>
    <n v="0.1168"/>
    <n v="0.96"/>
    <n v="1"/>
    <n v="5.5599999999999997E-2"/>
    <n v="12.99"/>
    <s v="1"/>
    <n v="5.5555555555555601E-2"/>
  </r>
  <r>
    <x v="126"/>
    <x v="3"/>
    <n v="31"/>
    <n v="0.22789999999999999"/>
    <n v="42"/>
    <n v="0.2132"/>
    <n v="1"/>
    <n v="2"/>
    <n v="6.4500000000000002E-2"/>
    <n v="45.96"/>
    <s v="2"/>
    <n v="6.4516129032258104E-2"/>
  </r>
  <r>
    <x v="127"/>
    <x v="6"/>
    <n v="2"/>
    <n v="1.9400000000000001E-2"/>
    <n v="2"/>
    <n v="1.3899999999999999E-2"/>
    <n v="1"/>
    <n v="0"/>
    <n v="0"/>
    <n v="0"/>
    <s v="0"/>
    <n v="0"/>
  </r>
  <r>
    <x v="127"/>
    <x v="2"/>
    <n v="21"/>
    <n v="0.2039"/>
    <n v="26"/>
    <n v="0.18060000000000001"/>
    <n v="1"/>
    <n v="0"/>
    <n v="0"/>
    <n v="0"/>
    <s v="0"/>
    <n v="0"/>
  </r>
  <r>
    <x v="127"/>
    <x v="5"/>
    <n v="8"/>
    <n v="7.7700000000000005E-2"/>
    <n v="11"/>
    <n v="7.6399999999999996E-2"/>
    <n v="1"/>
    <n v="0"/>
    <n v="0"/>
    <n v="0"/>
    <s v="0"/>
    <n v="0"/>
  </r>
  <r>
    <x v="127"/>
    <x v="1"/>
    <n v="4"/>
    <n v="3.8800000000000001E-2"/>
    <n v="7"/>
    <n v="4.8599999999999997E-2"/>
    <n v="1"/>
    <n v="0"/>
    <n v="0"/>
    <n v="0"/>
    <s v="0"/>
    <n v="0"/>
  </r>
  <r>
    <x v="127"/>
    <x v="0"/>
    <n v="47"/>
    <n v="0.45629999999999998"/>
    <n v="72"/>
    <n v="0.5"/>
    <n v="0.99"/>
    <n v="9"/>
    <n v="0.1915"/>
    <n v="110.61"/>
    <s v="9"/>
    <n v="0.19148936170212799"/>
  </r>
  <r>
    <x v="127"/>
    <x v="3"/>
    <n v="21"/>
    <n v="0.2039"/>
    <n v="26"/>
    <n v="0.18060000000000001"/>
    <n v="1"/>
    <n v="2"/>
    <n v="9.5200000000000007E-2"/>
    <n v="46.38"/>
    <s v="2"/>
    <n v="9.5238095238095205E-2"/>
  </r>
  <r>
    <x v="128"/>
    <x v="6"/>
    <n v="3"/>
    <n v="2.4E-2"/>
    <n v="7"/>
    <n v="4.1399999999999999E-2"/>
    <n v="1"/>
    <n v="0"/>
    <n v="0"/>
    <n v="0"/>
    <s v="0"/>
    <n v="0"/>
  </r>
  <r>
    <x v="128"/>
    <x v="2"/>
    <n v="24"/>
    <n v="0.192"/>
    <n v="41"/>
    <n v="0.24260000000000001"/>
    <n v="1"/>
    <n v="3"/>
    <n v="0.125"/>
    <n v="47.97"/>
    <s v="3"/>
    <n v="0.125"/>
  </r>
  <r>
    <x v="128"/>
    <x v="3"/>
    <n v="21"/>
    <n v="0.16800000000000001"/>
    <n v="26"/>
    <n v="0.15379999999999999"/>
    <n v="1"/>
    <n v="3"/>
    <n v="0.1429"/>
    <n v="69.569999999999993"/>
    <s v="3"/>
    <n v="0.14285714285714299"/>
  </r>
  <r>
    <x v="128"/>
    <x v="0"/>
    <n v="46"/>
    <n v="0.36799999999999999"/>
    <n v="58"/>
    <n v="0.34320000000000001"/>
    <n v="1"/>
    <n v="11"/>
    <n v="0.23910000000000001"/>
    <n v="135.19"/>
    <s v="5"/>
    <n v="0.108695652173913"/>
  </r>
  <r>
    <x v="128"/>
    <x v="5"/>
    <n v="20"/>
    <n v="0.16"/>
    <n v="24"/>
    <n v="0.14199999999999999"/>
    <n v="1"/>
    <n v="1"/>
    <n v="0.05"/>
    <n v="12.99"/>
    <s v="1"/>
    <n v="0.05"/>
  </r>
  <r>
    <x v="128"/>
    <x v="1"/>
    <n v="11"/>
    <n v="8.7999999999999995E-2"/>
    <n v="13"/>
    <n v="7.6899999999999996E-2"/>
    <n v="1"/>
    <n v="1"/>
    <n v="9.0899999999999995E-2"/>
    <n v="14.99"/>
    <s v="1"/>
    <n v="9.0909090909090898E-2"/>
  </r>
  <r>
    <x v="129"/>
    <x v="6"/>
    <n v="2"/>
    <n v="1.47E-2"/>
    <n v="2"/>
    <n v="1.06E-2"/>
    <n v="1"/>
    <n v="0"/>
    <n v="0"/>
    <n v="0"/>
    <s v="0"/>
    <n v="0"/>
  </r>
  <r>
    <x v="129"/>
    <x v="1"/>
    <n v="5"/>
    <n v="3.6799999999999999E-2"/>
    <n v="5"/>
    <n v="2.6599999999999999E-2"/>
    <n v="1"/>
    <n v="0"/>
    <n v="0"/>
    <n v="0"/>
    <s v="0"/>
    <n v="0"/>
  </r>
  <r>
    <x v="129"/>
    <x v="4"/>
    <n v="3"/>
    <n v="2.2100000000000002E-2"/>
    <n v="3"/>
    <n v="1.6E-2"/>
    <n v="1"/>
    <n v="0"/>
    <n v="0"/>
    <n v="0"/>
    <s v="0"/>
    <n v="0"/>
  </r>
  <r>
    <x v="129"/>
    <x v="0"/>
    <n v="65"/>
    <n v="0.47789999999999999"/>
    <n v="96"/>
    <n v="0.51060000000000005"/>
    <n v="0.99"/>
    <n v="14"/>
    <n v="0.21540000000000001"/>
    <n v="172.06"/>
    <s v="14"/>
    <n v="0.21538461538461501"/>
  </r>
  <r>
    <x v="129"/>
    <x v="3"/>
    <n v="23"/>
    <n v="0.1691"/>
    <n v="30"/>
    <n v="0.15959999999999999"/>
    <n v="1"/>
    <n v="5"/>
    <n v="0.21740000000000001"/>
    <n v="115.95"/>
    <s v="5"/>
    <n v="0.217391304347826"/>
  </r>
  <r>
    <x v="129"/>
    <x v="5"/>
    <n v="17"/>
    <n v="0.125"/>
    <n v="21"/>
    <n v="0.11169999999999999"/>
    <n v="1"/>
    <n v="2"/>
    <n v="0.1176"/>
    <n v="25.98"/>
    <s v="2"/>
    <n v="0.11764705882352899"/>
  </r>
  <r>
    <x v="129"/>
    <x v="2"/>
    <n v="21"/>
    <n v="0.15440000000000001"/>
    <n v="31"/>
    <n v="0.16489999999999999"/>
    <n v="1"/>
    <n v="1"/>
    <n v="4.7600000000000003E-2"/>
    <n v="15.99"/>
    <s v="1"/>
    <n v="4.7619047619047603E-2"/>
  </r>
  <r>
    <x v="130"/>
    <x v="3"/>
    <n v="18"/>
    <n v="0.14879999999999999"/>
    <n v="22"/>
    <n v="0.12570000000000001"/>
    <n v="1"/>
    <n v="0"/>
    <n v="0"/>
    <n v="0"/>
    <s v="0"/>
    <n v="0"/>
  </r>
  <r>
    <x v="130"/>
    <x v="4"/>
    <n v="5"/>
    <n v="4.1300000000000003E-2"/>
    <n v="6"/>
    <n v="3.4299999999999997E-2"/>
    <n v="1"/>
    <n v="0"/>
    <n v="0"/>
    <n v="0"/>
    <s v="0"/>
    <n v="0"/>
  </r>
  <r>
    <x v="130"/>
    <x v="1"/>
    <n v="3"/>
    <n v="2.4799999999999999E-2"/>
    <n v="4"/>
    <n v="2.29E-2"/>
    <n v="1"/>
    <n v="0"/>
    <n v="0"/>
    <n v="0"/>
    <s v="0"/>
    <n v="0"/>
  </r>
  <r>
    <x v="130"/>
    <x v="0"/>
    <n v="47"/>
    <n v="0.38840000000000002"/>
    <n v="79"/>
    <n v="0.45140000000000002"/>
    <n v="0.96"/>
    <n v="7"/>
    <n v="0.1489"/>
    <n v="86.03"/>
    <s v="6"/>
    <n v="0.12765957446808501"/>
  </r>
  <r>
    <x v="130"/>
    <x v="5"/>
    <n v="21"/>
    <n v="0.1736"/>
    <n v="26"/>
    <n v="0.14860000000000001"/>
    <n v="0.92"/>
    <n v="1"/>
    <n v="4.7600000000000003E-2"/>
    <n v="12.99"/>
    <s v="1"/>
    <n v="4.7619047619047603E-2"/>
  </r>
  <r>
    <x v="130"/>
    <x v="6"/>
    <n v="12"/>
    <n v="9.9199999999999997E-2"/>
    <n v="15"/>
    <n v="8.5699999999999998E-2"/>
    <n v="1"/>
    <n v="3"/>
    <n v="0.25"/>
    <n v="38.97"/>
    <s v="3"/>
    <n v="0.25"/>
  </r>
  <r>
    <x v="130"/>
    <x v="2"/>
    <n v="15"/>
    <n v="0.124"/>
    <n v="23"/>
    <n v="0.13139999999999999"/>
    <n v="1"/>
    <n v="1"/>
    <n v="6.6699999999999995E-2"/>
    <n v="15.99"/>
    <s v="1"/>
    <n v="6.6666666666666693E-2"/>
  </r>
  <r>
    <x v="131"/>
    <x v="4"/>
    <n v="2"/>
    <n v="1.46E-2"/>
    <n v="2"/>
    <n v="1.03E-2"/>
    <n v="1"/>
    <n v="0"/>
    <n v="0"/>
    <n v="0"/>
    <s v="0"/>
    <n v="0"/>
  </r>
  <r>
    <x v="131"/>
    <x v="6"/>
    <n v="15"/>
    <n v="0.1095"/>
    <n v="16"/>
    <n v="8.2500000000000004E-2"/>
    <n v="1"/>
    <n v="0"/>
    <n v="0"/>
    <n v="0"/>
    <s v="0"/>
    <n v="0"/>
  </r>
  <r>
    <x v="131"/>
    <x v="1"/>
    <n v="4"/>
    <n v="2.92E-2"/>
    <n v="4"/>
    <n v="2.06E-2"/>
    <n v="1"/>
    <n v="0"/>
    <n v="0"/>
    <n v="0"/>
    <s v="0"/>
    <n v="0"/>
  </r>
  <r>
    <x v="131"/>
    <x v="0"/>
    <n v="50"/>
    <n v="0.36499999999999999"/>
    <n v="76"/>
    <n v="0.39179999999999998"/>
    <n v="0.97"/>
    <n v="39"/>
    <n v="0.78"/>
    <n v="479.31"/>
    <s v="15"/>
    <n v="0.3"/>
  </r>
  <r>
    <x v="131"/>
    <x v="2"/>
    <n v="13"/>
    <n v="9.4899999999999998E-2"/>
    <n v="23"/>
    <n v="0.1186"/>
    <n v="1"/>
    <n v="4"/>
    <n v="0.30769999999999997"/>
    <n v="63.96"/>
    <s v="4"/>
    <n v="0.30769230769230799"/>
  </r>
  <r>
    <x v="131"/>
    <x v="3"/>
    <n v="33"/>
    <n v="0.2409"/>
    <n v="45"/>
    <n v="0.23200000000000001"/>
    <n v="1"/>
    <n v="2"/>
    <n v="6.0600000000000001E-2"/>
    <n v="46.38"/>
    <s v="2"/>
    <n v="6.0606060606060601E-2"/>
  </r>
  <r>
    <x v="131"/>
    <x v="5"/>
    <n v="20"/>
    <n v="0.14599999999999999"/>
    <n v="28"/>
    <n v="0.14430000000000001"/>
    <n v="1"/>
    <n v="2"/>
    <n v="0.1"/>
    <n v="25.98"/>
    <s v="2"/>
    <n v="0.1"/>
  </r>
  <r>
    <x v="132"/>
    <x v="4"/>
    <n v="1"/>
    <n v="8.5000000000000006E-3"/>
    <n v="1"/>
    <n v="6.1000000000000004E-3"/>
    <n v="1"/>
    <n v="0"/>
    <n v="0"/>
    <n v="0"/>
    <s v="0"/>
    <n v="0"/>
  </r>
  <r>
    <x v="132"/>
    <x v="1"/>
    <n v="2"/>
    <n v="1.6899999999999998E-2"/>
    <n v="6"/>
    <n v="3.6799999999999999E-2"/>
    <n v="1"/>
    <n v="0"/>
    <n v="0"/>
    <n v="0"/>
    <s v="0"/>
    <n v="0"/>
  </r>
  <r>
    <x v="132"/>
    <x v="2"/>
    <n v="18"/>
    <n v="0.1525"/>
    <n v="22"/>
    <n v="0.13500000000000001"/>
    <n v="1"/>
    <n v="0"/>
    <n v="0"/>
    <n v="0"/>
    <s v="0"/>
    <n v="0"/>
  </r>
  <r>
    <x v="132"/>
    <x v="5"/>
    <n v="13"/>
    <n v="0.11020000000000001"/>
    <n v="19"/>
    <n v="0.1166"/>
    <n v="1"/>
    <n v="0"/>
    <n v="0"/>
    <n v="0"/>
    <s v="0"/>
    <n v="0"/>
  </r>
  <r>
    <x v="132"/>
    <x v="6"/>
    <n v="12"/>
    <n v="0.1017"/>
    <n v="12"/>
    <n v="7.3599999999999999E-2"/>
    <n v="1"/>
    <n v="0"/>
    <n v="0"/>
    <n v="0"/>
    <s v="0"/>
    <n v="0"/>
  </r>
  <r>
    <x v="132"/>
    <x v="0"/>
    <n v="55"/>
    <n v="0.46610000000000001"/>
    <n v="80"/>
    <n v="0.49080000000000001"/>
    <n v="0.99"/>
    <n v="27"/>
    <n v="0.4909"/>
    <n v="331.83"/>
    <s v="8"/>
    <n v="0.145454545454545"/>
  </r>
  <r>
    <x v="132"/>
    <x v="3"/>
    <n v="17"/>
    <n v="0.14410000000000001"/>
    <n v="23"/>
    <n v="0.1411"/>
    <n v="1"/>
    <n v="2"/>
    <n v="0.1176"/>
    <n v="46.38"/>
    <s v="2"/>
    <n v="0.11764705882352899"/>
  </r>
  <r>
    <x v="133"/>
    <x v="4"/>
    <n v="1"/>
    <n v="1.18E-2"/>
    <n v="2"/>
    <n v="1.5900000000000001E-2"/>
    <n v="1"/>
    <n v="0"/>
    <n v="0"/>
    <n v="0"/>
    <s v="0"/>
    <n v="0"/>
  </r>
  <r>
    <x v="133"/>
    <x v="3"/>
    <n v="16"/>
    <n v="0.18820000000000001"/>
    <n v="19"/>
    <n v="0.15079999999999999"/>
    <n v="1"/>
    <n v="0"/>
    <n v="0"/>
    <n v="0"/>
    <s v="0"/>
    <n v="0"/>
  </r>
  <r>
    <x v="133"/>
    <x v="2"/>
    <n v="11"/>
    <n v="0.12939999999999999"/>
    <n v="17"/>
    <n v="0.13489999999999999"/>
    <n v="1"/>
    <n v="0"/>
    <n v="0"/>
    <n v="0"/>
    <s v="0"/>
    <n v="0"/>
  </r>
  <r>
    <x v="133"/>
    <x v="0"/>
    <n v="48"/>
    <n v="0.56469999999999998"/>
    <n v="76"/>
    <n v="0.60319999999999996"/>
    <n v="1"/>
    <n v="14"/>
    <n v="0.29170000000000001"/>
    <n v="172.06"/>
    <s v="12"/>
    <n v="0.25"/>
  </r>
  <r>
    <x v="133"/>
    <x v="5"/>
    <n v="5"/>
    <n v="5.8799999999999998E-2"/>
    <n v="6"/>
    <n v="4.7600000000000003E-2"/>
    <n v="1"/>
    <n v="1"/>
    <n v="0.2"/>
    <n v="12.99"/>
    <s v="1"/>
    <n v="0.2"/>
  </r>
  <r>
    <x v="133"/>
    <x v="1"/>
    <n v="4"/>
    <n v="4.7100000000000003E-2"/>
    <n v="6"/>
    <n v="4.7600000000000003E-2"/>
    <n v="1"/>
    <n v="1"/>
    <n v="0.25"/>
    <n v="14.99"/>
    <s v="1"/>
    <n v="0.25"/>
  </r>
  <r>
    <x v="134"/>
    <x v="4"/>
    <n v="1"/>
    <n v="7.4999999999999997E-3"/>
    <n v="1"/>
    <n v="5.4999999999999997E-3"/>
    <n v="1"/>
    <n v="0"/>
    <n v="0"/>
    <n v="0"/>
    <s v="0"/>
    <n v="0"/>
  </r>
  <r>
    <x v="134"/>
    <x v="5"/>
    <n v="14"/>
    <n v="0.1053"/>
    <n v="16"/>
    <n v="8.7400000000000005E-2"/>
    <n v="1"/>
    <n v="0"/>
    <n v="0"/>
    <n v="0"/>
    <s v="0"/>
    <n v="0"/>
  </r>
  <r>
    <x v="134"/>
    <x v="1"/>
    <n v="3"/>
    <n v="2.2599999999999999E-2"/>
    <n v="3"/>
    <n v="1.6400000000000001E-2"/>
    <n v="1"/>
    <n v="0"/>
    <n v="0"/>
    <n v="0"/>
    <s v="0"/>
    <n v="0"/>
  </r>
  <r>
    <x v="134"/>
    <x v="2"/>
    <n v="22"/>
    <n v="0.16539999999999999"/>
    <n v="29"/>
    <n v="0.1585"/>
    <n v="1"/>
    <n v="3"/>
    <n v="0.13639999999999999"/>
    <n v="47.97"/>
    <s v="3"/>
    <n v="0.13636363636363599"/>
  </r>
  <r>
    <x v="134"/>
    <x v="3"/>
    <n v="27"/>
    <n v="0.20300000000000001"/>
    <n v="36"/>
    <n v="0.19670000000000001"/>
    <n v="1"/>
    <n v="2"/>
    <n v="7.4099999999999999E-2"/>
    <n v="46.38"/>
    <s v="2"/>
    <n v="7.4074074074074098E-2"/>
  </r>
  <r>
    <x v="134"/>
    <x v="6"/>
    <n v="5"/>
    <n v="3.7600000000000001E-2"/>
    <n v="5"/>
    <n v="2.7300000000000001E-2"/>
    <n v="1"/>
    <n v="2"/>
    <n v="0.4"/>
    <n v="25.98"/>
    <s v="1"/>
    <n v="0.2"/>
  </r>
  <r>
    <x v="134"/>
    <x v="0"/>
    <n v="61"/>
    <n v="0.45860000000000001"/>
    <n v="93"/>
    <n v="0.50819999999999999"/>
    <n v="1"/>
    <n v="10"/>
    <n v="0.16389999999999999"/>
    <n v="122.9"/>
    <s v="7"/>
    <n v="0.114754098360656"/>
  </r>
  <r>
    <x v="135"/>
    <x v="4"/>
    <n v="1"/>
    <n v="8.5000000000000006E-3"/>
    <n v="1"/>
    <n v="6.0000000000000001E-3"/>
    <n v="1"/>
    <n v="0"/>
    <n v="0"/>
    <n v="0"/>
    <s v="0"/>
    <n v="0"/>
  </r>
  <r>
    <x v="135"/>
    <x v="1"/>
    <n v="5"/>
    <n v="4.2700000000000002E-2"/>
    <n v="6"/>
    <n v="3.61E-2"/>
    <n v="1"/>
    <n v="0"/>
    <n v="0"/>
    <n v="0"/>
    <s v="0"/>
    <n v="0"/>
  </r>
  <r>
    <x v="135"/>
    <x v="6"/>
    <n v="0"/>
    <n v="0"/>
    <n v="0"/>
    <n v="0"/>
    <n v="0"/>
    <n v="1"/>
    <n v="0"/>
    <n v="12.99"/>
    <s v="1"/>
    <n v="0"/>
  </r>
  <r>
    <x v="135"/>
    <x v="5"/>
    <n v="12"/>
    <n v="0.1026"/>
    <n v="12"/>
    <n v="7.2300000000000003E-2"/>
    <n v="1"/>
    <n v="2"/>
    <n v="0.16669999999999999"/>
    <n v="25.98"/>
    <s v="2"/>
    <n v="0.16666666666666699"/>
  </r>
  <r>
    <x v="135"/>
    <x v="0"/>
    <n v="49"/>
    <n v="0.41880000000000001"/>
    <n v="79"/>
    <n v="0.47589999999999999"/>
    <n v="1"/>
    <n v="5"/>
    <n v="0.10199999999999999"/>
    <n v="62.95"/>
    <s v="5"/>
    <n v="0.102040816326531"/>
  </r>
  <r>
    <x v="135"/>
    <x v="3"/>
    <n v="31"/>
    <n v="0.26500000000000001"/>
    <n v="43"/>
    <n v="0.25900000000000001"/>
    <n v="1"/>
    <n v="1"/>
    <n v="3.2300000000000002E-2"/>
    <n v="25.49"/>
    <s v="1"/>
    <n v="3.2258064516128997E-2"/>
  </r>
  <r>
    <x v="135"/>
    <x v="2"/>
    <n v="19"/>
    <n v="0.16239999999999999"/>
    <n v="25"/>
    <n v="0.15060000000000001"/>
    <n v="1"/>
    <n v="1"/>
    <n v="5.2600000000000001E-2"/>
    <n v="15.99"/>
    <s v="1"/>
    <n v="5.2631578947368397E-2"/>
  </r>
  <r>
    <x v="136"/>
    <x v="4"/>
    <n v="1"/>
    <n v="1.01E-2"/>
    <n v="1"/>
    <n v="7.7999999999999996E-3"/>
    <n v="1"/>
    <n v="0"/>
    <n v="0"/>
    <n v="0"/>
    <s v="0"/>
    <n v="0"/>
  </r>
  <r>
    <x v="136"/>
    <x v="3"/>
    <n v="24"/>
    <n v="0.2424"/>
    <n v="34"/>
    <n v="0.2656"/>
    <n v="1"/>
    <n v="0"/>
    <n v="0"/>
    <n v="0"/>
    <s v="0"/>
    <n v="0"/>
  </r>
  <r>
    <x v="136"/>
    <x v="2"/>
    <n v="18"/>
    <n v="0.18179999999999999"/>
    <n v="26"/>
    <n v="0.2031"/>
    <n v="1"/>
    <n v="0"/>
    <n v="0"/>
    <n v="0"/>
    <s v="0"/>
    <n v="0"/>
  </r>
  <r>
    <x v="136"/>
    <x v="6"/>
    <n v="6"/>
    <n v="6.0600000000000001E-2"/>
    <n v="7"/>
    <n v="5.4699999999999999E-2"/>
    <n v="1"/>
    <n v="0"/>
    <n v="0"/>
    <n v="0"/>
    <s v="0"/>
    <n v="0"/>
  </r>
  <r>
    <x v="136"/>
    <x v="0"/>
    <n v="37"/>
    <n v="0.37369999999999998"/>
    <n v="44"/>
    <n v="0.34379999999999999"/>
    <n v="1"/>
    <n v="6"/>
    <n v="0.16220000000000001"/>
    <n v="75.540000000000006"/>
    <s v="6"/>
    <n v="0.162162162162162"/>
  </r>
  <r>
    <x v="136"/>
    <x v="5"/>
    <n v="13"/>
    <n v="0.1313"/>
    <n v="16"/>
    <n v="0.125"/>
    <n v="1"/>
    <n v="1"/>
    <n v="7.6899999999999996E-2"/>
    <n v="12.99"/>
    <s v="1"/>
    <n v="7.69230769230769E-2"/>
  </r>
  <r>
    <x v="137"/>
    <x v="6"/>
    <n v="2"/>
    <n v="1.8499999999999999E-2"/>
    <n v="2"/>
    <n v="1.32E-2"/>
    <n v="1"/>
    <n v="0"/>
    <n v="0"/>
    <n v="0"/>
    <s v="0"/>
    <n v="0"/>
  </r>
  <r>
    <x v="137"/>
    <x v="4"/>
    <n v="2"/>
    <n v="1.8499999999999999E-2"/>
    <n v="4"/>
    <n v="2.63E-2"/>
    <n v="1"/>
    <n v="0"/>
    <n v="0"/>
    <n v="0"/>
    <s v="0"/>
    <n v="0"/>
  </r>
  <r>
    <x v="137"/>
    <x v="1"/>
    <n v="3"/>
    <n v="2.7799999999999998E-2"/>
    <n v="4"/>
    <n v="2.63E-2"/>
    <n v="1"/>
    <n v="0"/>
    <n v="0"/>
    <n v="0"/>
    <s v="0"/>
    <n v="0"/>
  </r>
  <r>
    <x v="137"/>
    <x v="0"/>
    <n v="56"/>
    <n v="0.51849999999999996"/>
    <n v="76"/>
    <n v="0.5"/>
    <n v="0.97"/>
    <n v="5"/>
    <n v="8.9300000000000004E-2"/>
    <n v="62.95"/>
    <s v="4"/>
    <n v="7.1428571428571397E-2"/>
  </r>
  <r>
    <x v="137"/>
    <x v="2"/>
    <n v="16"/>
    <n v="0.14810000000000001"/>
    <n v="25"/>
    <n v="0.16450000000000001"/>
    <n v="1"/>
    <n v="7"/>
    <n v="0.4375"/>
    <n v="111.93"/>
    <s v="4"/>
    <n v="0.25"/>
  </r>
  <r>
    <x v="137"/>
    <x v="3"/>
    <n v="19"/>
    <n v="0.1759"/>
    <n v="27"/>
    <n v="0.17760000000000001"/>
    <n v="1"/>
    <n v="3"/>
    <n v="0.15790000000000001"/>
    <n v="76.47"/>
    <s v="2"/>
    <n v="0.105263157894737"/>
  </r>
  <r>
    <x v="137"/>
    <x v="5"/>
    <n v="10"/>
    <n v="9.2600000000000002E-2"/>
    <n v="14"/>
    <n v="9.2100000000000001E-2"/>
    <n v="1"/>
    <n v="1"/>
    <n v="0.1"/>
    <n v="12.99"/>
    <s v="1"/>
    <n v="0.1"/>
  </r>
  <r>
    <x v="138"/>
    <x v="1"/>
    <n v="10"/>
    <n v="5.9200000000000003E-2"/>
    <n v="13"/>
    <n v="5.4600000000000003E-2"/>
    <n v="1"/>
    <n v="0"/>
    <n v="0"/>
    <n v="0"/>
    <s v="0"/>
    <n v="0"/>
  </r>
  <r>
    <x v="138"/>
    <x v="4"/>
    <n v="7"/>
    <n v="4.1399999999999999E-2"/>
    <n v="9"/>
    <n v="3.78E-2"/>
    <n v="1"/>
    <n v="0"/>
    <n v="0"/>
    <n v="0"/>
    <s v="0"/>
    <n v="0"/>
  </r>
  <r>
    <x v="138"/>
    <x v="6"/>
    <n v="4"/>
    <n v="2.3699999999999999E-2"/>
    <n v="4"/>
    <n v="1.6799999999999999E-2"/>
    <n v="1"/>
    <n v="0"/>
    <n v="0"/>
    <n v="0"/>
    <s v="0"/>
    <n v="0"/>
  </r>
  <r>
    <x v="138"/>
    <x v="0"/>
    <n v="74"/>
    <n v="0.43790000000000001"/>
    <n v="106"/>
    <n v="0.44540000000000002"/>
    <n v="0.99"/>
    <n v="10"/>
    <n v="0.1351"/>
    <n v="126.8"/>
    <s v="9"/>
    <n v="0.121621621621622"/>
  </r>
  <r>
    <x v="138"/>
    <x v="3"/>
    <n v="30"/>
    <n v="0.17749999999999999"/>
    <n v="37"/>
    <n v="0.1555"/>
    <n v="1"/>
    <n v="7"/>
    <n v="0.23330000000000001"/>
    <n v="178.43"/>
    <s v="4"/>
    <n v="0.133333333333333"/>
  </r>
  <r>
    <x v="138"/>
    <x v="2"/>
    <n v="27"/>
    <n v="0.1598"/>
    <n v="46"/>
    <n v="0.1933"/>
    <n v="1"/>
    <n v="1"/>
    <n v="3.6999999999999998E-2"/>
    <n v="16.489999999999998"/>
    <s v="1"/>
    <n v="3.7037037037037E-2"/>
  </r>
  <r>
    <x v="138"/>
    <x v="5"/>
    <n v="17"/>
    <n v="0.10059999999999999"/>
    <n v="23"/>
    <n v="9.6600000000000005E-2"/>
    <n v="1"/>
    <n v="1"/>
    <n v="5.8799999999999998E-2"/>
    <n v="12.99"/>
    <s v="1"/>
    <n v="5.8823529411764698E-2"/>
  </r>
  <r>
    <x v="139"/>
    <x v="6"/>
    <n v="1"/>
    <n v="7.4999999999999997E-3"/>
    <n v="1"/>
    <n v="5.4000000000000003E-3"/>
    <n v="1"/>
    <n v="0"/>
    <n v="0"/>
    <n v="0"/>
    <s v="0"/>
    <n v="0"/>
  </r>
  <r>
    <x v="139"/>
    <x v="1"/>
    <n v="7"/>
    <n v="5.2200000000000003E-2"/>
    <n v="12"/>
    <n v="6.4899999999999999E-2"/>
    <n v="1"/>
    <n v="0"/>
    <n v="0"/>
    <n v="0"/>
    <s v="0"/>
    <n v="0"/>
  </r>
  <r>
    <x v="139"/>
    <x v="5"/>
    <n v="6"/>
    <n v="4.48E-2"/>
    <n v="7"/>
    <n v="3.78E-2"/>
    <n v="1"/>
    <n v="0"/>
    <n v="0"/>
    <n v="0"/>
    <s v="0"/>
    <n v="0"/>
  </r>
  <r>
    <x v="139"/>
    <x v="0"/>
    <n v="63"/>
    <n v="0.47010000000000002"/>
    <n v="95"/>
    <n v="0.51349999999999996"/>
    <n v="0.99"/>
    <n v="12"/>
    <n v="0.1905"/>
    <n v="152.28"/>
    <s v="10"/>
    <n v="0.158730158730159"/>
  </r>
  <r>
    <x v="139"/>
    <x v="3"/>
    <n v="34"/>
    <n v="0.25369999999999998"/>
    <n v="41"/>
    <n v="0.22159999999999999"/>
    <n v="1"/>
    <n v="20"/>
    <n v="0.58819999999999995"/>
    <n v="509.8"/>
    <s v="4"/>
    <n v="0.11764705882352899"/>
  </r>
  <r>
    <x v="139"/>
    <x v="2"/>
    <n v="23"/>
    <n v="0.1716"/>
    <n v="29"/>
    <n v="0.15679999999999999"/>
    <n v="1"/>
    <n v="2"/>
    <n v="8.6999999999999994E-2"/>
    <n v="32.979999999999997"/>
    <s v="2"/>
    <n v="8.6956521739130405E-2"/>
  </r>
  <r>
    <x v="140"/>
    <x v="4"/>
    <n v="1"/>
    <n v="5.1000000000000004E-3"/>
    <n v="1"/>
    <n v="3.3E-3"/>
    <n v="1"/>
    <n v="0"/>
    <n v="0"/>
    <n v="0"/>
    <s v="0"/>
    <n v="0"/>
  </r>
  <r>
    <x v="140"/>
    <x v="3"/>
    <n v="28"/>
    <n v="0.1414"/>
    <n v="31"/>
    <n v="0.1026"/>
    <n v="1"/>
    <n v="0"/>
    <n v="0"/>
    <n v="0"/>
    <s v="0"/>
    <n v="0"/>
  </r>
  <r>
    <x v="140"/>
    <x v="1"/>
    <n v="9"/>
    <n v="4.5499999999999999E-2"/>
    <n v="15"/>
    <n v="4.9700000000000001E-2"/>
    <n v="1"/>
    <n v="0"/>
    <n v="0"/>
    <n v="0"/>
    <s v="0"/>
    <n v="0"/>
  </r>
  <r>
    <x v="140"/>
    <x v="6"/>
    <n v="3"/>
    <n v="1.52E-2"/>
    <n v="4"/>
    <n v="1.32E-2"/>
    <n v="1"/>
    <n v="0"/>
    <n v="0"/>
    <n v="0"/>
    <s v="0"/>
    <n v="0"/>
  </r>
  <r>
    <x v="140"/>
    <x v="2"/>
    <n v="20"/>
    <n v="0.10100000000000001"/>
    <n v="32"/>
    <n v="0.106"/>
    <n v="1"/>
    <n v="4"/>
    <n v="0.2"/>
    <n v="65.959999999999994"/>
    <s v="4"/>
    <n v="0.2"/>
  </r>
  <r>
    <x v="140"/>
    <x v="5"/>
    <n v="13"/>
    <n v="6.5699999999999995E-2"/>
    <n v="17"/>
    <n v="5.6300000000000003E-2"/>
    <n v="1"/>
    <n v="2"/>
    <n v="0.15379999999999999"/>
    <n v="25.98"/>
    <s v="2"/>
    <n v="0.15384615384615399"/>
  </r>
  <r>
    <x v="140"/>
    <x v="0"/>
    <n v="124"/>
    <n v="0.62629999999999997"/>
    <n v="202"/>
    <n v="0.66890000000000005"/>
    <n v="1"/>
    <n v="35"/>
    <n v="0.2823"/>
    <n v="444.15"/>
    <s v="35"/>
    <n v="0.282258064516129"/>
  </r>
  <r>
    <x v="141"/>
    <x v="4"/>
    <n v="1"/>
    <n v="7.0000000000000001E-3"/>
    <n v="1"/>
    <n v="4.4000000000000003E-3"/>
    <n v="1"/>
    <n v="0"/>
    <n v="0"/>
    <n v="0"/>
    <s v="0"/>
    <n v="0"/>
  </r>
  <r>
    <x v="141"/>
    <x v="5"/>
    <n v="24"/>
    <n v="0.1678"/>
    <n v="35"/>
    <n v="0.15490000000000001"/>
    <n v="0.97"/>
    <n v="0"/>
    <n v="0"/>
    <n v="0"/>
    <s v="0"/>
    <n v="0"/>
  </r>
  <r>
    <x v="141"/>
    <x v="2"/>
    <n v="18"/>
    <n v="0.12590000000000001"/>
    <n v="21"/>
    <n v="9.2899999999999996E-2"/>
    <n v="1"/>
    <n v="3"/>
    <n v="0.16669999999999999"/>
    <n v="49.47"/>
    <s v="3"/>
    <n v="0.16666666666666699"/>
  </r>
  <r>
    <x v="141"/>
    <x v="0"/>
    <n v="65"/>
    <n v="0.45450000000000002"/>
    <n v="110"/>
    <n v="0.48670000000000002"/>
    <n v="1"/>
    <n v="28"/>
    <n v="0.43080000000000002"/>
    <n v="355.32"/>
    <s v="15"/>
    <n v="0.230769230769231"/>
  </r>
  <r>
    <x v="141"/>
    <x v="3"/>
    <n v="31"/>
    <n v="0.21679999999999999"/>
    <n v="53"/>
    <n v="0.23449999999999999"/>
    <n v="1"/>
    <n v="1"/>
    <n v="3.2300000000000002E-2"/>
    <n v="25.49"/>
    <s v="1"/>
    <n v="3.2258064516128997E-2"/>
  </r>
  <r>
    <x v="141"/>
    <x v="6"/>
    <n v="2"/>
    <n v="1.4E-2"/>
    <n v="3"/>
    <n v="1.3299999999999999E-2"/>
    <n v="1"/>
    <n v="1"/>
    <n v="0.5"/>
    <n v="12.99"/>
    <s v="1"/>
    <n v="0.5"/>
  </r>
  <r>
    <x v="141"/>
    <x v="1"/>
    <n v="2"/>
    <n v="1.4E-2"/>
    <n v="3"/>
    <n v="1.3299999999999999E-2"/>
    <n v="1"/>
    <n v="1"/>
    <n v="0.5"/>
    <n v="15.99"/>
    <s v="1"/>
    <n v="0.5"/>
  </r>
  <r>
    <x v="142"/>
    <x v="6"/>
    <n v="1"/>
    <n v="9.5999999999999992E-3"/>
    <n v="1"/>
    <n v="7.1999999999999998E-3"/>
    <n v="1"/>
    <n v="0"/>
    <n v="0"/>
    <n v="0"/>
    <s v="0"/>
    <n v="0"/>
  </r>
  <r>
    <x v="142"/>
    <x v="1"/>
    <n v="4"/>
    <n v="3.85E-2"/>
    <n v="4"/>
    <n v="2.9000000000000001E-2"/>
    <n v="1"/>
    <n v="0"/>
    <n v="0"/>
    <n v="0"/>
    <s v="0"/>
    <n v="0"/>
  </r>
  <r>
    <x v="142"/>
    <x v="0"/>
    <n v="42"/>
    <n v="0.40379999999999999"/>
    <n v="56"/>
    <n v="0.40579999999999999"/>
    <n v="0.98"/>
    <n v="10"/>
    <n v="0.23810000000000001"/>
    <n v="126.9"/>
    <s v="10"/>
    <n v="0.238095238095238"/>
  </r>
  <r>
    <x v="142"/>
    <x v="2"/>
    <n v="16"/>
    <n v="0.15379999999999999"/>
    <n v="22"/>
    <n v="0.15939999999999999"/>
    <n v="0.95"/>
    <n v="1"/>
    <n v="6.25E-2"/>
    <n v="16.489999999999998"/>
    <s v="1"/>
    <n v="6.25E-2"/>
  </r>
  <r>
    <x v="142"/>
    <x v="3"/>
    <n v="30"/>
    <n v="0.28849999999999998"/>
    <n v="40"/>
    <n v="0.28989999999999999"/>
    <n v="1"/>
    <n v="1"/>
    <n v="3.3300000000000003E-2"/>
    <n v="25.49"/>
    <s v="1"/>
    <n v="3.3333333333333298E-2"/>
  </r>
  <r>
    <x v="142"/>
    <x v="5"/>
    <n v="11"/>
    <n v="0.10580000000000001"/>
    <n v="15"/>
    <n v="0.1087"/>
    <n v="1"/>
    <n v="1"/>
    <n v="9.0899999999999995E-2"/>
    <n v="12.99"/>
    <s v="1"/>
    <n v="9.0909090909090898E-2"/>
  </r>
  <r>
    <x v="143"/>
    <x v="6"/>
    <n v="1"/>
    <n v="9.1000000000000004E-3"/>
    <n v="2"/>
    <n v="1.32E-2"/>
    <n v="1"/>
    <n v="0"/>
    <n v="0"/>
    <n v="0"/>
    <s v="0"/>
    <n v="0"/>
  </r>
  <r>
    <x v="143"/>
    <x v="3"/>
    <n v="31"/>
    <n v="0.28179999999999999"/>
    <n v="53"/>
    <n v="0.34870000000000001"/>
    <n v="0.98"/>
    <n v="3"/>
    <n v="9.6799999999999997E-2"/>
    <n v="76.47"/>
    <s v="3"/>
    <n v="9.6774193548387094E-2"/>
  </r>
  <r>
    <x v="143"/>
    <x v="2"/>
    <n v="17"/>
    <n v="0.1545"/>
    <n v="25"/>
    <n v="0.16450000000000001"/>
    <n v="1"/>
    <n v="5"/>
    <n v="0.29409999999999997"/>
    <n v="82.45"/>
    <s v="5"/>
    <n v="0.29411764705882398"/>
  </r>
  <r>
    <x v="143"/>
    <x v="5"/>
    <n v="10"/>
    <n v="9.0899999999999995E-2"/>
    <n v="10"/>
    <n v="6.5799999999999997E-2"/>
    <n v="1"/>
    <n v="3"/>
    <n v="0.3"/>
    <n v="38.97"/>
    <s v="3"/>
    <n v="0.3"/>
  </r>
  <r>
    <x v="143"/>
    <x v="0"/>
    <n v="47"/>
    <n v="0.42730000000000001"/>
    <n v="57"/>
    <n v="0.375"/>
    <n v="1"/>
    <n v="6"/>
    <n v="0.12770000000000001"/>
    <n v="76.14"/>
    <s v="5"/>
    <n v="0.10638297872340401"/>
  </r>
  <r>
    <x v="143"/>
    <x v="1"/>
    <n v="4"/>
    <n v="3.6400000000000002E-2"/>
    <n v="5"/>
    <n v="3.2899999999999999E-2"/>
    <n v="1"/>
    <n v="1"/>
    <n v="0.25"/>
    <n v="15.99"/>
    <s v="1"/>
    <n v="0.25"/>
  </r>
  <r>
    <x v="144"/>
    <x v="4"/>
    <n v="1"/>
    <n v="7.6E-3"/>
    <n v="8"/>
    <n v="4.3700000000000003E-2"/>
    <n v="1"/>
    <n v="0"/>
    <n v="0"/>
    <n v="0"/>
    <s v="0"/>
    <n v="0"/>
  </r>
  <r>
    <x v="144"/>
    <x v="2"/>
    <n v="17"/>
    <n v="0.1298"/>
    <n v="25"/>
    <n v="0.1366"/>
    <n v="1"/>
    <n v="0"/>
    <n v="0"/>
    <n v="0"/>
    <s v="0"/>
    <n v="0"/>
  </r>
  <r>
    <x v="144"/>
    <x v="5"/>
    <n v="15"/>
    <n v="0.1145"/>
    <n v="21"/>
    <n v="0.1148"/>
    <n v="1"/>
    <n v="0"/>
    <n v="0"/>
    <n v="0"/>
    <s v="0"/>
    <n v="0"/>
  </r>
  <r>
    <x v="144"/>
    <x v="6"/>
    <n v="5"/>
    <n v="3.8199999999999998E-2"/>
    <n v="9"/>
    <n v="4.9200000000000001E-2"/>
    <n v="1"/>
    <n v="0"/>
    <n v="0"/>
    <n v="0"/>
    <s v="0"/>
    <n v="0"/>
  </r>
  <r>
    <x v="144"/>
    <x v="1"/>
    <n v="3"/>
    <n v="2.29E-2"/>
    <n v="5"/>
    <n v="2.7300000000000001E-2"/>
    <n v="1"/>
    <n v="0"/>
    <n v="0"/>
    <n v="0"/>
    <s v="0"/>
    <n v="0"/>
  </r>
  <r>
    <x v="144"/>
    <x v="3"/>
    <n v="37"/>
    <n v="0.28239999999999998"/>
    <n v="43"/>
    <n v="0.23499999999999999"/>
    <n v="1"/>
    <n v="3"/>
    <n v="8.1100000000000005E-2"/>
    <n v="76.47"/>
    <s v="3"/>
    <n v="8.1081081081081099E-2"/>
  </r>
  <r>
    <x v="144"/>
    <x v="0"/>
    <n v="53"/>
    <n v="0.40460000000000002"/>
    <n v="72"/>
    <n v="0.39340000000000003"/>
    <n v="1"/>
    <n v="7"/>
    <n v="0.1321"/>
    <n v="88.83"/>
    <s v="6"/>
    <n v="0.113207547169811"/>
  </r>
  <r>
    <x v="145"/>
    <x v="1"/>
    <n v="3"/>
    <n v="2.2599999999999999E-2"/>
    <n v="3"/>
    <n v="1.6E-2"/>
    <n v="1"/>
    <n v="0"/>
    <n v="0"/>
    <n v="0"/>
    <s v="0"/>
    <n v="0"/>
  </r>
  <r>
    <x v="145"/>
    <x v="6"/>
    <n v="3"/>
    <n v="2.2599999999999999E-2"/>
    <n v="4"/>
    <n v="2.1299999999999999E-2"/>
    <n v="1"/>
    <n v="0"/>
    <n v="0"/>
    <n v="0"/>
    <s v="0"/>
    <n v="0"/>
  </r>
  <r>
    <x v="145"/>
    <x v="0"/>
    <n v="63"/>
    <n v="0.47370000000000001"/>
    <n v="99"/>
    <n v="0.52659999999999996"/>
    <n v="0.99"/>
    <n v="21"/>
    <n v="0.33329999999999999"/>
    <n v="267.29000000000002"/>
    <s v="15"/>
    <n v="0.238095238095238"/>
  </r>
  <r>
    <x v="145"/>
    <x v="2"/>
    <n v="14"/>
    <n v="0.1053"/>
    <n v="19"/>
    <n v="0.1011"/>
    <n v="1"/>
    <n v="4"/>
    <n v="0.28570000000000001"/>
    <n v="65.959999999999994"/>
    <s v="4"/>
    <n v="0.28571428571428598"/>
  </r>
  <r>
    <x v="145"/>
    <x v="5"/>
    <n v="13"/>
    <n v="9.7699999999999995E-2"/>
    <n v="15"/>
    <n v="7.9799999999999996E-2"/>
    <n v="1"/>
    <n v="6"/>
    <n v="0.46150000000000002"/>
    <n v="77.94"/>
    <s v="6"/>
    <n v="0.46153846153846201"/>
  </r>
  <r>
    <x v="145"/>
    <x v="3"/>
    <n v="37"/>
    <n v="0.2782"/>
    <n v="48"/>
    <n v="0.25530000000000003"/>
    <n v="1"/>
    <n v="3"/>
    <n v="8.1100000000000005E-2"/>
    <n v="76.47"/>
    <s v="3"/>
    <n v="8.1081081081081099E-2"/>
  </r>
  <r>
    <x v="146"/>
    <x v="4"/>
    <n v="1"/>
    <n v="8.0999999999999996E-3"/>
    <n v="1"/>
    <n v="6.1000000000000004E-3"/>
    <n v="1"/>
    <n v="0"/>
    <n v="0"/>
    <n v="0"/>
    <s v="0"/>
    <n v="0"/>
  </r>
  <r>
    <x v="146"/>
    <x v="6"/>
    <n v="2"/>
    <n v="1.61E-2"/>
    <n v="2"/>
    <n v="1.21E-2"/>
    <n v="1"/>
    <n v="0"/>
    <n v="0"/>
    <n v="0"/>
    <s v="0"/>
    <n v="0"/>
  </r>
  <r>
    <x v="146"/>
    <x v="1"/>
    <n v="6"/>
    <n v="4.8399999999999999E-2"/>
    <n v="6"/>
    <n v="3.6400000000000002E-2"/>
    <n v="1"/>
    <n v="0"/>
    <n v="0"/>
    <n v="0"/>
    <s v="0"/>
    <n v="0"/>
  </r>
  <r>
    <x v="146"/>
    <x v="0"/>
    <n v="53"/>
    <n v="0.4274"/>
    <n v="77"/>
    <n v="0.4667"/>
    <n v="0.99"/>
    <n v="11"/>
    <n v="0.20749999999999999"/>
    <n v="142.03"/>
    <s v="11"/>
    <n v="0.20754716981132099"/>
  </r>
  <r>
    <x v="146"/>
    <x v="3"/>
    <n v="34"/>
    <n v="0.2742"/>
    <n v="46"/>
    <n v="0.27879999999999999"/>
    <n v="1"/>
    <n v="2"/>
    <n v="5.8799999999999998E-2"/>
    <n v="54.98"/>
    <s v="2"/>
    <n v="5.8823529411764698E-2"/>
  </r>
  <r>
    <x v="146"/>
    <x v="5"/>
    <n v="16"/>
    <n v="0.129"/>
    <n v="18"/>
    <n v="0.1091"/>
    <n v="1"/>
    <n v="2"/>
    <n v="0.125"/>
    <n v="25.98"/>
    <s v="2"/>
    <n v="0.125"/>
  </r>
  <r>
    <x v="146"/>
    <x v="2"/>
    <n v="12"/>
    <n v="9.6799999999999997E-2"/>
    <n v="15"/>
    <n v="9.0899999999999995E-2"/>
    <n v="1"/>
    <n v="1"/>
    <n v="8.3299999999999999E-2"/>
    <n v="16.489999999999998"/>
    <s v="1"/>
    <n v="8.3333333333333301E-2"/>
  </r>
  <r>
    <x v="147"/>
    <x v="3"/>
    <n v="27"/>
    <n v="0.23080000000000001"/>
    <n v="41"/>
    <n v="0.2412"/>
    <n v="1"/>
    <n v="0"/>
    <n v="0"/>
    <n v="0"/>
    <s v="0"/>
    <n v="0"/>
  </r>
  <r>
    <x v="147"/>
    <x v="5"/>
    <n v="10"/>
    <n v="8.5500000000000007E-2"/>
    <n v="10"/>
    <n v="5.8799999999999998E-2"/>
    <n v="1"/>
    <n v="0"/>
    <n v="0"/>
    <n v="0"/>
    <s v="0"/>
    <n v="0"/>
  </r>
  <r>
    <x v="147"/>
    <x v="1"/>
    <n v="3"/>
    <n v="2.5600000000000001E-2"/>
    <n v="5"/>
    <n v="2.9399999999999999E-2"/>
    <n v="1"/>
    <n v="0"/>
    <n v="0"/>
    <n v="0"/>
    <s v="0"/>
    <n v="0"/>
  </r>
  <r>
    <x v="147"/>
    <x v="0"/>
    <n v="63"/>
    <n v="0.53849999999999998"/>
    <n v="92"/>
    <n v="0.54120000000000001"/>
    <n v="1"/>
    <n v="28"/>
    <n v="0.44440000000000002"/>
    <n v="363.16"/>
    <s v="8"/>
    <n v="0.126984126984127"/>
  </r>
  <r>
    <x v="147"/>
    <x v="2"/>
    <n v="14"/>
    <n v="0.1197"/>
    <n v="22"/>
    <n v="0.12939999999999999"/>
    <n v="1"/>
    <n v="1"/>
    <n v="7.1400000000000005E-2"/>
    <n v="16.489999999999998"/>
    <s v="1"/>
    <n v="7.1428571428571397E-2"/>
  </r>
  <r>
    <x v="148"/>
    <x v="2"/>
    <n v="10"/>
    <n v="8.8499999999999995E-2"/>
    <n v="10"/>
    <n v="7.1900000000000006E-2"/>
    <n v="1"/>
    <n v="0"/>
    <n v="0"/>
    <n v="0"/>
    <s v="0"/>
    <n v="0"/>
  </r>
  <r>
    <x v="148"/>
    <x v="1"/>
    <n v="3"/>
    <n v="2.6499999999999999E-2"/>
    <n v="3"/>
    <n v="2.1600000000000001E-2"/>
    <n v="1"/>
    <n v="0"/>
    <n v="0"/>
    <n v="0"/>
    <s v="0"/>
    <n v="0"/>
  </r>
  <r>
    <x v="148"/>
    <x v="6"/>
    <n v="3"/>
    <n v="2.6499999999999999E-2"/>
    <n v="3"/>
    <n v="2.1600000000000001E-2"/>
    <n v="1"/>
    <n v="0"/>
    <n v="0"/>
    <n v="0"/>
    <s v="0"/>
    <n v="0"/>
  </r>
  <r>
    <x v="148"/>
    <x v="0"/>
    <n v="63"/>
    <n v="0.5575"/>
    <n v="84"/>
    <n v="0.60429999999999995"/>
    <n v="0.99"/>
    <n v="14"/>
    <n v="0.22220000000000001"/>
    <n v="181.58"/>
    <s v="10"/>
    <n v="0.158730158730159"/>
  </r>
  <r>
    <x v="148"/>
    <x v="3"/>
    <n v="26"/>
    <n v="0.2301"/>
    <n v="31"/>
    <n v="0.223"/>
    <n v="1"/>
    <n v="3"/>
    <n v="0.1154"/>
    <n v="82.47"/>
    <s v="3"/>
    <n v="0.115384615384615"/>
  </r>
  <r>
    <x v="148"/>
    <x v="5"/>
    <n v="8"/>
    <n v="7.0800000000000002E-2"/>
    <n v="8"/>
    <n v="5.7599999999999998E-2"/>
    <n v="1"/>
    <n v="3"/>
    <n v="0.375"/>
    <n v="38.97"/>
    <s v="3"/>
    <n v="0.375"/>
  </r>
  <r>
    <x v="149"/>
    <x v="4"/>
    <n v="1"/>
    <n v="6.8999999999999999E-3"/>
    <n v="2"/>
    <n v="9.5999999999999992E-3"/>
    <n v="1"/>
    <n v="0"/>
    <n v="0"/>
    <n v="0"/>
    <s v="0"/>
    <n v="0"/>
  </r>
  <r>
    <x v="149"/>
    <x v="6"/>
    <n v="8"/>
    <n v="5.5599999999999997E-2"/>
    <n v="13"/>
    <n v="6.2199999999999998E-2"/>
    <n v="1"/>
    <n v="0"/>
    <n v="0"/>
    <n v="0"/>
    <s v="0"/>
    <n v="0"/>
  </r>
  <r>
    <x v="149"/>
    <x v="1"/>
    <n v="4"/>
    <n v="2.7799999999999998E-2"/>
    <n v="5"/>
    <n v="2.3900000000000001E-2"/>
    <n v="1"/>
    <n v="0"/>
    <n v="0"/>
    <n v="0"/>
    <s v="0"/>
    <n v="0"/>
  </r>
  <r>
    <x v="149"/>
    <x v="3"/>
    <n v="36"/>
    <n v="0.25"/>
    <n v="49"/>
    <n v="0.2344"/>
    <n v="1"/>
    <n v="5"/>
    <n v="0.1389"/>
    <n v="137.44999999999999"/>
    <s v="5"/>
    <n v="0.13888888888888901"/>
  </r>
  <r>
    <x v="149"/>
    <x v="2"/>
    <n v="20"/>
    <n v="0.1389"/>
    <n v="32"/>
    <n v="0.15310000000000001"/>
    <n v="1"/>
    <n v="4"/>
    <n v="0.2"/>
    <n v="65.959999999999994"/>
    <s v="2"/>
    <n v="0.1"/>
  </r>
  <r>
    <x v="149"/>
    <x v="5"/>
    <n v="14"/>
    <n v="9.7199999999999995E-2"/>
    <n v="18"/>
    <n v="8.6099999999999996E-2"/>
    <n v="1"/>
    <n v="2"/>
    <n v="0.1429"/>
    <n v="25.98"/>
    <s v="2"/>
    <n v="0.14285714285714299"/>
  </r>
  <r>
    <x v="149"/>
    <x v="0"/>
    <n v="61"/>
    <n v="0.42359999999999998"/>
    <n v="90"/>
    <n v="0.43059999999999998"/>
    <n v="1"/>
    <n v="25"/>
    <n v="0.4098"/>
    <n v="324.25"/>
    <s v="5"/>
    <n v="8.1967213114754106E-2"/>
  </r>
  <r>
    <x v="150"/>
    <x v="4"/>
    <n v="1"/>
    <n v="8.8000000000000005E-3"/>
    <n v="1"/>
    <n v="6.7000000000000002E-3"/>
    <n v="1"/>
    <n v="0"/>
    <n v="0"/>
    <n v="0"/>
    <s v="0"/>
    <n v="0"/>
  </r>
  <r>
    <x v="150"/>
    <x v="6"/>
    <n v="1"/>
    <n v="8.8000000000000005E-3"/>
    <n v="1"/>
    <n v="6.7000000000000002E-3"/>
    <n v="1"/>
    <n v="0"/>
    <n v="0"/>
    <n v="0"/>
    <s v="0"/>
    <n v="0"/>
  </r>
  <r>
    <x v="150"/>
    <x v="5"/>
    <n v="9"/>
    <n v="7.8899999999999998E-2"/>
    <n v="11"/>
    <n v="7.3800000000000004E-2"/>
    <n v="1"/>
    <n v="0"/>
    <n v="0"/>
    <n v="0"/>
    <s v="0"/>
    <n v="0"/>
  </r>
  <r>
    <x v="150"/>
    <x v="1"/>
    <n v="4"/>
    <n v="3.5099999999999999E-2"/>
    <n v="5"/>
    <n v="3.3599999999999998E-2"/>
    <n v="1"/>
    <n v="0"/>
    <n v="0"/>
    <n v="0"/>
    <s v="0"/>
    <n v="0"/>
  </r>
  <r>
    <x v="150"/>
    <x v="3"/>
    <n v="42"/>
    <n v="0.36840000000000001"/>
    <n v="54"/>
    <n v="0.3624"/>
    <n v="1"/>
    <n v="5"/>
    <n v="0.11899999999999999"/>
    <n v="137.44999999999999"/>
    <s v="5"/>
    <n v="0.119047619047619"/>
  </r>
  <r>
    <x v="150"/>
    <x v="2"/>
    <n v="9"/>
    <n v="7.8899999999999998E-2"/>
    <n v="15"/>
    <n v="0.1007"/>
    <n v="1"/>
    <n v="3"/>
    <n v="0.33329999999999999"/>
    <n v="50.91"/>
    <s v="2"/>
    <n v="0.22222222222222199"/>
  </r>
  <r>
    <x v="150"/>
    <x v="0"/>
    <n v="48"/>
    <n v="0.42109999999999997"/>
    <n v="62"/>
    <n v="0.41610000000000003"/>
    <n v="1"/>
    <n v="10"/>
    <n v="0.20830000000000001"/>
    <n v="129.69999999999999"/>
    <s v="10"/>
    <n v="0.20833333333333301"/>
  </r>
  <r>
    <x v="151"/>
    <x v="6"/>
    <n v="2"/>
    <n v="8.8000000000000005E-3"/>
    <n v="2"/>
    <n v="7.1000000000000004E-3"/>
    <n v="1"/>
    <n v="0"/>
    <n v="0"/>
    <n v="0"/>
    <s v="0"/>
    <n v="0"/>
  </r>
  <r>
    <x v="151"/>
    <x v="1"/>
    <n v="4"/>
    <n v="1.77E-2"/>
    <n v="4"/>
    <n v="1.43E-2"/>
    <n v="1"/>
    <n v="0"/>
    <n v="0"/>
    <n v="0"/>
    <s v="0"/>
    <n v="0"/>
  </r>
  <r>
    <x v="151"/>
    <x v="3"/>
    <n v="34"/>
    <n v="0.15040000000000001"/>
    <n v="44"/>
    <n v="0.15709999999999999"/>
    <n v="1"/>
    <n v="4"/>
    <n v="0.1176"/>
    <n v="109.96"/>
    <s v="4"/>
    <n v="0.11764705882352899"/>
  </r>
  <r>
    <x v="151"/>
    <x v="2"/>
    <n v="15"/>
    <n v="6.6400000000000001E-2"/>
    <n v="21"/>
    <n v="7.4999999999999997E-2"/>
    <n v="1"/>
    <n v="2"/>
    <n v="0.1333"/>
    <n v="33.94"/>
    <s v="2"/>
    <n v="0.133333333333333"/>
  </r>
  <r>
    <x v="151"/>
    <x v="0"/>
    <n v="157"/>
    <n v="0.69469999999999998"/>
    <n v="192"/>
    <n v="0.68569999999999998"/>
    <n v="1"/>
    <n v="33"/>
    <n v="0.2102"/>
    <n v="428.01"/>
    <s v="32"/>
    <n v="0.20382165605095501"/>
  </r>
  <r>
    <x v="151"/>
    <x v="5"/>
    <n v="14"/>
    <n v="6.1899999999999997E-2"/>
    <n v="17"/>
    <n v="6.0699999999999997E-2"/>
    <n v="1"/>
    <n v="1"/>
    <n v="7.1400000000000005E-2"/>
    <n v="12.99"/>
    <s v="1"/>
    <n v="7.1428571428571397E-2"/>
  </r>
  <r>
    <x v="152"/>
    <x v="1"/>
    <n v="6"/>
    <n v="2.3099999999999999E-2"/>
    <n v="7"/>
    <n v="2.1299999999999999E-2"/>
    <n v="1"/>
    <n v="0"/>
    <n v="0"/>
    <n v="0"/>
    <s v="0"/>
    <n v="0"/>
  </r>
  <r>
    <x v="152"/>
    <x v="5"/>
    <n v="11"/>
    <n v="4.2299999999999997E-2"/>
    <n v="13"/>
    <n v="3.9600000000000003E-2"/>
    <n v="0.92"/>
    <n v="0"/>
    <n v="0"/>
    <n v="0"/>
    <s v="0"/>
    <n v="0"/>
  </r>
  <r>
    <x v="152"/>
    <x v="0"/>
    <n v="196"/>
    <n v="0.75380000000000003"/>
    <n v="249"/>
    <n v="0.7591"/>
    <n v="0.99"/>
    <n v="54"/>
    <n v="0.27550000000000002"/>
    <n v="700.38"/>
    <s v="49"/>
    <n v="0.25"/>
  </r>
  <r>
    <x v="152"/>
    <x v="3"/>
    <n v="33"/>
    <n v="0.12690000000000001"/>
    <n v="40"/>
    <n v="0.122"/>
    <n v="1"/>
    <n v="3"/>
    <n v="9.0899999999999995E-2"/>
    <n v="82.47"/>
    <s v="3"/>
    <n v="9.0909090909090898E-2"/>
  </r>
  <r>
    <x v="152"/>
    <x v="2"/>
    <n v="14"/>
    <n v="5.3800000000000001E-2"/>
    <n v="19"/>
    <n v="5.79E-2"/>
    <n v="1"/>
    <n v="1"/>
    <n v="7.1400000000000005E-2"/>
    <n v="16.97"/>
    <s v="1"/>
    <n v="7.1428571428571397E-2"/>
  </r>
  <r>
    <x v="153"/>
    <x v="1"/>
    <n v="2"/>
    <n v="1.4200000000000001E-2"/>
    <n v="2"/>
    <n v="1.04E-2"/>
    <n v="1"/>
    <n v="0"/>
    <n v="0"/>
    <n v="0"/>
    <s v="0"/>
    <n v="0"/>
  </r>
  <r>
    <x v="153"/>
    <x v="5"/>
    <n v="19"/>
    <n v="0.1348"/>
    <n v="25"/>
    <n v="0.13020000000000001"/>
    <n v="0.96"/>
    <n v="2"/>
    <n v="0.1053"/>
    <n v="25.98"/>
    <s v="2"/>
    <n v="0.105263157894737"/>
  </r>
  <r>
    <x v="153"/>
    <x v="6"/>
    <n v="0"/>
    <n v="0"/>
    <n v="0"/>
    <n v="0"/>
    <n v="0"/>
    <n v="2"/>
    <n v="0"/>
    <n v="23.98"/>
    <s v="1"/>
    <n v="0"/>
  </r>
  <r>
    <x v="153"/>
    <x v="3"/>
    <n v="41"/>
    <n v="0.2908"/>
    <n v="65"/>
    <n v="0.33850000000000002"/>
    <n v="1"/>
    <n v="3"/>
    <n v="7.3200000000000001E-2"/>
    <n v="82.47"/>
    <s v="3"/>
    <n v="7.3170731707317097E-2"/>
  </r>
  <r>
    <x v="153"/>
    <x v="2"/>
    <n v="15"/>
    <n v="0.10639999999999999"/>
    <n v="17"/>
    <n v="8.8499999999999995E-2"/>
    <n v="1"/>
    <n v="2"/>
    <n v="0.1333"/>
    <n v="33.94"/>
    <s v="2"/>
    <n v="0.133333333333333"/>
  </r>
  <r>
    <x v="153"/>
    <x v="0"/>
    <n v="64"/>
    <n v="0.45390000000000003"/>
    <n v="83"/>
    <n v="0.43230000000000002"/>
    <n v="1"/>
    <n v="9"/>
    <n v="0.1406"/>
    <n v="116.73"/>
    <s v="7"/>
    <n v="0.109375"/>
  </r>
  <r>
    <x v="154"/>
    <x v="1"/>
    <n v="4"/>
    <n v="3.6700000000000003E-2"/>
    <n v="4"/>
    <n v="2.9000000000000001E-2"/>
    <n v="1"/>
    <n v="0"/>
    <n v="0"/>
    <n v="0"/>
    <s v="0"/>
    <n v="0"/>
  </r>
  <r>
    <x v="154"/>
    <x v="0"/>
    <n v="47"/>
    <n v="0.43120000000000003"/>
    <n v="62"/>
    <n v="0.44929999999999998"/>
    <n v="0.98"/>
    <n v="12"/>
    <n v="0.25530000000000003"/>
    <n v="155.63999999999999"/>
    <s v="10"/>
    <n v="0.21276595744680801"/>
  </r>
  <r>
    <x v="154"/>
    <x v="3"/>
    <n v="30"/>
    <n v="0.2752"/>
    <n v="40"/>
    <n v="0.28989999999999999"/>
    <n v="1"/>
    <n v="4"/>
    <n v="0.1333"/>
    <n v="109.96"/>
    <s v="4"/>
    <n v="0.133333333333333"/>
  </r>
  <r>
    <x v="154"/>
    <x v="2"/>
    <n v="17"/>
    <n v="0.156"/>
    <n v="20"/>
    <n v="0.1449"/>
    <n v="1"/>
    <n v="3"/>
    <n v="0.17649999999999999"/>
    <n v="50.91"/>
    <s v="2"/>
    <n v="0.11764705882352899"/>
  </r>
  <r>
    <x v="154"/>
    <x v="5"/>
    <n v="11"/>
    <n v="0.1009"/>
    <n v="12"/>
    <n v="8.6999999999999994E-2"/>
    <n v="1"/>
    <n v="2"/>
    <n v="0.18179999999999999"/>
    <n v="25.98"/>
    <s v="2"/>
    <n v="0.18181818181818199"/>
  </r>
  <r>
    <x v="155"/>
    <x v="5"/>
    <n v="8"/>
    <n v="6.6699999999999995E-2"/>
    <n v="8"/>
    <n v="3.9600000000000003E-2"/>
    <n v="1"/>
    <n v="4"/>
    <n v="0.5"/>
    <n v="51.96"/>
    <s v="4"/>
    <n v="0.5"/>
  </r>
  <r>
    <x v="155"/>
    <x v="3"/>
    <n v="33"/>
    <n v="0.27500000000000002"/>
    <n v="64"/>
    <n v="0.31680000000000003"/>
    <n v="1"/>
    <n v="3"/>
    <n v="9.0899999999999995E-2"/>
    <n v="82.47"/>
    <s v="3"/>
    <n v="9.0909090909090898E-2"/>
  </r>
  <r>
    <x v="155"/>
    <x v="2"/>
    <n v="21"/>
    <n v="0.17499999999999999"/>
    <n v="36"/>
    <n v="0.1782"/>
    <n v="1"/>
    <n v="2"/>
    <n v="9.5200000000000007E-2"/>
    <n v="33.94"/>
    <s v="2"/>
    <n v="9.5238095238095205E-2"/>
  </r>
  <r>
    <x v="155"/>
    <x v="0"/>
    <n v="55"/>
    <n v="0.45829999999999999"/>
    <n v="91"/>
    <n v="0.45050000000000001"/>
    <n v="1"/>
    <n v="6"/>
    <n v="0.1091"/>
    <n v="77.819999999999993"/>
    <s v="6"/>
    <n v="0.109090909090909"/>
  </r>
  <r>
    <x v="155"/>
    <x v="1"/>
    <n v="3"/>
    <n v="2.5000000000000001E-2"/>
    <n v="3"/>
    <n v="1.49E-2"/>
    <n v="1"/>
    <n v="1"/>
    <n v="0.33329999999999999"/>
    <n v="15.99"/>
    <s v="1"/>
    <n v="0.33333333333333298"/>
  </r>
  <r>
    <x v="156"/>
    <x v="1"/>
    <n v="1"/>
    <n v="9.1999999999999998E-3"/>
    <n v="3"/>
    <n v="1.3299999999999999E-2"/>
    <n v="1"/>
    <n v="0"/>
    <n v="0"/>
    <n v="0"/>
    <s v="0"/>
    <n v="0"/>
  </r>
  <r>
    <x v="156"/>
    <x v="5"/>
    <n v="17"/>
    <n v="0.156"/>
    <n v="21"/>
    <n v="9.3299999999999994E-2"/>
    <n v="0.95"/>
    <n v="3"/>
    <n v="0.17649999999999999"/>
    <n v="38.97"/>
    <s v="3"/>
    <n v="0.17647058823529399"/>
  </r>
  <r>
    <x v="156"/>
    <x v="3"/>
    <n v="25"/>
    <n v="0.22939999999999999"/>
    <n v="61"/>
    <n v="0.27110000000000001"/>
    <n v="1"/>
    <n v="4"/>
    <n v="0.16"/>
    <n v="109.96"/>
    <s v="4"/>
    <n v="0.16"/>
  </r>
  <r>
    <x v="156"/>
    <x v="2"/>
    <n v="14"/>
    <n v="0.12839999999999999"/>
    <n v="29"/>
    <n v="0.12889999999999999"/>
    <n v="1"/>
    <n v="3"/>
    <n v="0.21429999999999999"/>
    <n v="50.91"/>
    <s v="3"/>
    <n v="0.214285714285714"/>
  </r>
  <r>
    <x v="156"/>
    <x v="0"/>
    <n v="52"/>
    <n v="0.47710000000000002"/>
    <n v="111"/>
    <n v="0.49330000000000002"/>
    <n v="1"/>
    <n v="7"/>
    <n v="0.1346"/>
    <n v="90.79"/>
    <s v="6"/>
    <n v="0.115384615384615"/>
  </r>
  <r>
    <x v="157"/>
    <x v="3"/>
    <n v="27"/>
    <n v="0.2477"/>
    <n v="42"/>
    <n v="0.16869999999999999"/>
    <n v="1"/>
    <n v="0"/>
    <n v="0"/>
    <n v="0"/>
    <s v="0"/>
    <n v="0"/>
  </r>
  <r>
    <x v="157"/>
    <x v="5"/>
    <n v="15"/>
    <n v="0.1376"/>
    <n v="19"/>
    <n v="7.6300000000000007E-2"/>
    <n v="1"/>
    <n v="3"/>
    <n v="0.2"/>
    <n v="38.97"/>
    <s v="3"/>
    <n v="0.2"/>
  </r>
  <r>
    <x v="157"/>
    <x v="0"/>
    <n v="42"/>
    <n v="0.38529999999999998"/>
    <n v="125"/>
    <n v="0.502"/>
    <n v="1"/>
    <n v="7"/>
    <n v="0.16669999999999999"/>
    <n v="90.79"/>
    <s v="6"/>
    <n v="0.14285714285714299"/>
  </r>
  <r>
    <x v="157"/>
    <x v="2"/>
    <n v="22"/>
    <n v="0.20180000000000001"/>
    <n v="56"/>
    <n v="0.22489999999999999"/>
    <n v="1"/>
    <n v="1"/>
    <n v="4.5499999999999999E-2"/>
    <n v="16.97"/>
    <s v="1"/>
    <n v="4.5454545454545497E-2"/>
  </r>
  <r>
    <x v="157"/>
    <x v="1"/>
    <n v="3"/>
    <n v="2.75E-2"/>
    <n v="7"/>
    <n v="2.81E-2"/>
    <n v="1"/>
    <n v="1"/>
    <n v="0.33329999999999999"/>
    <n v="15.99"/>
    <s v="1"/>
    <n v="0.33333333333333298"/>
  </r>
  <r>
    <x v="158"/>
    <x v="1"/>
    <n v="4"/>
    <n v="3.1300000000000001E-2"/>
    <n v="21"/>
    <n v="6.6500000000000004E-2"/>
    <n v="1"/>
    <n v="0"/>
    <n v="0"/>
    <n v="0"/>
    <s v="0"/>
    <n v="0"/>
  </r>
  <r>
    <x v="158"/>
    <x v="0"/>
    <n v="49"/>
    <n v="0.38279999999999997"/>
    <n v="135"/>
    <n v="0.42720000000000002"/>
    <n v="0.99"/>
    <n v="6"/>
    <n v="0.12239999999999999"/>
    <n v="77.819999999999993"/>
    <s v="5"/>
    <n v="0.102040816326531"/>
  </r>
  <r>
    <x v="158"/>
    <x v="2"/>
    <n v="15"/>
    <n v="0.1172"/>
    <n v="36"/>
    <n v="0.1139"/>
    <n v="1"/>
    <n v="2"/>
    <n v="0.1333"/>
    <n v="33.94"/>
    <s v="2"/>
    <n v="0.133333333333333"/>
  </r>
  <r>
    <x v="158"/>
    <x v="3"/>
    <n v="38"/>
    <n v="0.2969"/>
    <n v="95"/>
    <n v="0.30059999999999998"/>
    <n v="1"/>
    <n v="1"/>
    <n v="2.63E-2"/>
    <n v="27.49"/>
    <s v="1"/>
    <n v="2.6315789473684199E-2"/>
  </r>
  <r>
    <x v="158"/>
    <x v="5"/>
    <n v="22"/>
    <n v="0.1719"/>
    <n v="29"/>
    <n v="9.1800000000000007E-2"/>
    <n v="1"/>
    <n v="1"/>
    <n v="4.5499999999999999E-2"/>
    <n v="12.99"/>
    <s v="1"/>
    <n v="4.5454545454545497E-2"/>
  </r>
  <r>
    <x v="159"/>
    <x v="1"/>
    <n v="5"/>
    <n v="3.73E-2"/>
    <n v="6"/>
    <n v="2.3300000000000001E-2"/>
    <n v="1"/>
    <n v="0"/>
    <n v="0"/>
    <n v="0"/>
    <s v="0"/>
    <n v="0"/>
  </r>
  <r>
    <x v="159"/>
    <x v="0"/>
    <n v="64"/>
    <n v="0.47760000000000002"/>
    <n v="152"/>
    <n v="0.58909999999999996"/>
    <n v="0.99"/>
    <n v="6"/>
    <n v="9.3799999999999994E-2"/>
    <n v="77.819999999999993"/>
    <s v="6"/>
    <n v="9.375E-2"/>
  </r>
  <r>
    <x v="159"/>
    <x v="5"/>
    <n v="9"/>
    <n v="6.7199999999999996E-2"/>
    <n v="19"/>
    <n v="7.3599999999999999E-2"/>
    <n v="0.95"/>
    <n v="3"/>
    <n v="0.33329999999999999"/>
    <n v="38.97"/>
    <s v="2"/>
    <n v="0.22222222222222199"/>
  </r>
  <r>
    <x v="159"/>
    <x v="3"/>
    <n v="39"/>
    <n v="0.29099999999999998"/>
    <n v="52"/>
    <n v="0.2016"/>
    <n v="1"/>
    <n v="7"/>
    <n v="0.17949999999999999"/>
    <n v="192.43"/>
    <s v="7"/>
    <n v="0.17948717948717999"/>
  </r>
  <r>
    <x v="159"/>
    <x v="2"/>
    <n v="17"/>
    <n v="0.12690000000000001"/>
    <n v="29"/>
    <n v="0.1124"/>
    <n v="1"/>
    <n v="6"/>
    <n v="0.35289999999999999"/>
    <n v="101.82"/>
    <s v="4"/>
    <n v="0.23529411764705899"/>
  </r>
  <r>
    <x v="160"/>
    <x v="3"/>
    <n v="35"/>
    <n v="0.18820000000000001"/>
    <n v="72"/>
    <n v="0.1973"/>
    <n v="1"/>
    <n v="0"/>
    <n v="0"/>
    <n v="0"/>
    <s v="0"/>
    <n v="0"/>
  </r>
  <r>
    <x v="160"/>
    <x v="2"/>
    <n v="16"/>
    <n v="8.5999999999999993E-2"/>
    <n v="26"/>
    <n v="7.1199999999999999E-2"/>
    <n v="1"/>
    <n v="0"/>
    <n v="0"/>
    <n v="0"/>
    <s v="0"/>
    <n v="0"/>
  </r>
  <r>
    <x v="160"/>
    <x v="1"/>
    <n v="3"/>
    <n v="1.61E-2"/>
    <n v="7"/>
    <n v="1.9199999999999998E-2"/>
    <n v="1"/>
    <n v="0"/>
    <n v="0"/>
    <n v="0"/>
    <s v="0"/>
    <n v="0"/>
  </r>
  <r>
    <x v="160"/>
    <x v="6"/>
    <n v="1"/>
    <n v="5.4000000000000003E-3"/>
    <n v="3"/>
    <n v="8.2000000000000007E-3"/>
    <n v="0"/>
    <n v="0"/>
    <n v="0"/>
    <n v="0"/>
    <s v="0"/>
    <n v="0"/>
  </r>
  <r>
    <x v="160"/>
    <x v="4"/>
    <n v="1"/>
    <n v="5.4000000000000003E-3"/>
    <n v="3"/>
    <n v="8.2000000000000007E-3"/>
    <n v="0"/>
    <n v="0"/>
    <n v="0"/>
    <n v="0"/>
    <s v="0"/>
    <n v="0"/>
  </r>
  <r>
    <x v="160"/>
    <x v="0"/>
    <n v="96"/>
    <n v="0.5161"/>
    <n v="188"/>
    <n v="0.5151"/>
    <n v="0.99"/>
    <n v="26"/>
    <n v="0.27079999999999999"/>
    <n v="337.22"/>
    <s v="25"/>
    <n v="0.26041666666666702"/>
  </r>
  <r>
    <x v="160"/>
    <x v="5"/>
    <n v="34"/>
    <n v="0.18279999999999999"/>
    <n v="66"/>
    <n v="0.18079999999999999"/>
    <n v="0.98"/>
    <n v="4"/>
    <n v="0.1176"/>
    <n v="51.96"/>
    <s v="4"/>
    <n v="0.11764705882352899"/>
  </r>
  <r>
    <x v="161"/>
    <x v="2"/>
    <n v="20"/>
    <n v="0.1653"/>
    <n v="30"/>
    <n v="0.16569999999999999"/>
    <n v="1"/>
    <n v="0"/>
    <n v="0"/>
    <n v="0"/>
    <s v="0"/>
    <n v="0"/>
  </r>
  <r>
    <x v="161"/>
    <x v="5"/>
    <n v="12"/>
    <n v="9.9199999999999997E-2"/>
    <n v="18"/>
    <n v="9.9400000000000002E-2"/>
    <n v="1"/>
    <n v="0"/>
    <n v="0"/>
    <n v="0"/>
    <s v="0"/>
    <n v="0"/>
  </r>
  <r>
    <x v="161"/>
    <x v="3"/>
    <n v="34"/>
    <n v="0.28100000000000003"/>
    <n v="48"/>
    <n v="0.26519999999999999"/>
    <n v="1"/>
    <n v="3"/>
    <n v="8.8200000000000001E-2"/>
    <n v="82.47"/>
    <s v="3"/>
    <n v="8.8235294117647106E-2"/>
  </r>
  <r>
    <x v="161"/>
    <x v="0"/>
    <n v="51"/>
    <n v="0.42149999999999999"/>
    <n v="81"/>
    <n v="0.44750000000000001"/>
    <n v="1"/>
    <n v="3"/>
    <n v="5.8799999999999998E-2"/>
    <n v="38.909999999999997"/>
    <s v="3"/>
    <n v="5.8823529411764698E-2"/>
  </r>
  <r>
    <x v="161"/>
    <x v="1"/>
    <n v="4"/>
    <n v="3.3099999999999997E-2"/>
    <n v="4"/>
    <n v="2.2100000000000002E-2"/>
    <n v="1"/>
    <n v="1"/>
    <n v="0.25"/>
    <n v="15.99"/>
    <s v="1"/>
    <n v="0.25"/>
  </r>
  <r>
    <x v="162"/>
    <x v="5"/>
    <n v="13"/>
    <n v="0.11020000000000001"/>
    <n v="20"/>
    <n v="0.1163"/>
    <n v="1"/>
    <n v="0"/>
    <n v="0"/>
    <n v="0"/>
    <s v="0"/>
    <n v="0"/>
  </r>
  <r>
    <x v="162"/>
    <x v="1"/>
    <n v="5"/>
    <n v="4.24E-2"/>
    <n v="7"/>
    <n v="4.07E-2"/>
    <n v="1"/>
    <n v="0"/>
    <n v="0"/>
    <n v="0"/>
    <s v="0"/>
    <n v="0"/>
  </r>
  <r>
    <x v="162"/>
    <x v="3"/>
    <n v="33"/>
    <n v="0.2797"/>
    <n v="49"/>
    <n v="0.28489999999999999"/>
    <n v="1"/>
    <n v="2"/>
    <n v="6.0600000000000001E-2"/>
    <n v="54.98"/>
    <s v="2"/>
    <n v="6.0606060606060601E-2"/>
  </r>
  <r>
    <x v="162"/>
    <x v="0"/>
    <n v="51"/>
    <n v="0.43219999999999997"/>
    <n v="69"/>
    <n v="0.4012"/>
    <n v="1"/>
    <n v="18"/>
    <n v="0.35289999999999999"/>
    <n v="233.46"/>
    <s v="8"/>
    <n v="0.15686274509803899"/>
  </r>
  <r>
    <x v="162"/>
    <x v="2"/>
    <n v="16"/>
    <n v="0.1356"/>
    <n v="27"/>
    <n v="0.157"/>
    <n v="1"/>
    <n v="1"/>
    <n v="6.25E-2"/>
    <n v="16.97"/>
    <s v="1"/>
    <n v="6.25E-2"/>
  </r>
  <r>
    <x v="163"/>
    <x v="1"/>
    <n v="3"/>
    <n v="2.8299999999999999E-2"/>
    <n v="3"/>
    <n v="2.1000000000000001E-2"/>
    <n v="1"/>
    <n v="0"/>
    <n v="0"/>
    <n v="0"/>
    <s v="0"/>
    <n v="0"/>
  </r>
  <r>
    <x v="163"/>
    <x v="2"/>
    <n v="19"/>
    <n v="0.1792"/>
    <n v="22"/>
    <n v="0.15379999999999999"/>
    <n v="0.95"/>
    <n v="3"/>
    <n v="0.15790000000000001"/>
    <n v="50.91"/>
    <s v="3"/>
    <n v="0.157894736842105"/>
  </r>
  <r>
    <x v="163"/>
    <x v="3"/>
    <n v="29"/>
    <n v="0.27360000000000001"/>
    <n v="48"/>
    <n v="0.3357"/>
    <n v="1"/>
    <n v="6"/>
    <n v="0.2069"/>
    <n v="164.94"/>
    <s v="5"/>
    <n v="0.17241379310344801"/>
  </r>
  <r>
    <x v="163"/>
    <x v="5"/>
    <n v="9"/>
    <n v="8.4900000000000003E-2"/>
    <n v="9"/>
    <n v="6.2899999999999998E-2"/>
    <n v="1"/>
    <n v="2"/>
    <n v="0.22220000000000001"/>
    <n v="25.98"/>
    <s v="2"/>
    <n v="0.22222222222222199"/>
  </r>
  <r>
    <x v="163"/>
    <x v="0"/>
    <n v="46"/>
    <n v="0.434"/>
    <n v="61"/>
    <n v="0.42659999999999998"/>
    <n v="1"/>
    <n v="7"/>
    <n v="0.1522"/>
    <n v="90.79"/>
    <s v="7"/>
    <n v="0.15217391304347799"/>
  </r>
  <r>
    <x v="164"/>
    <x v="1"/>
    <n v="1"/>
    <n v="1.23E-2"/>
    <n v="1"/>
    <n v="9.9000000000000008E-3"/>
    <n v="1"/>
    <n v="0"/>
    <n v="0"/>
    <n v="0"/>
    <s v="0"/>
    <n v="0"/>
  </r>
  <r>
    <x v="164"/>
    <x v="2"/>
    <n v="18"/>
    <n v="0.22220000000000001"/>
    <n v="23"/>
    <n v="0.22770000000000001"/>
    <n v="0.96"/>
    <n v="1"/>
    <n v="5.5599999999999997E-2"/>
    <n v="16.97"/>
    <s v="1"/>
    <n v="5.5555555555555601E-2"/>
  </r>
  <r>
    <x v="164"/>
    <x v="3"/>
    <n v="27"/>
    <n v="0.33329999999999999"/>
    <n v="29"/>
    <n v="0.28710000000000002"/>
    <n v="1"/>
    <n v="2"/>
    <n v="7.4099999999999999E-2"/>
    <n v="54.98"/>
    <s v="1"/>
    <n v="3.7037037037037E-2"/>
  </r>
  <r>
    <x v="164"/>
    <x v="0"/>
    <n v="29"/>
    <n v="0.35799999999999998"/>
    <n v="42"/>
    <n v="0.4158"/>
    <n v="1"/>
    <n v="23"/>
    <n v="0.79310000000000003"/>
    <n v="298.31"/>
    <s v="12"/>
    <n v="0.41379310344827602"/>
  </r>
  <r>
    <x v="164"/>
    <x v="5"/>
    <n v="6"/>
    <n v="7.4099999999999999E-2"/>
    <n v="6"/>
    <n v="5.9400000000000001E-2"/>
    <n v="1"/>
    <n v="1"/>
    <n v="0.16669999999999999"/>
    <n v="12.99"/>
    <s v="1"/>
    <n v="0.16666666666666699"/>
  </r>
  <r>
    <x v="165"/>
    <x v="1"/>
    <n v="2"/>
    <n v="2.0199999999999999E-2"/>
    <n v="2"/>
    <n v="1.4800000000000001E-2"/>
    <n v="1"/>
    <n v="0"/>
    <n v="0"/>
    <n v="0"/>
    <s v="0"/>
    <n v="0"/>
  </r>
  <r>
    <x v="165"/>
    <x v="4"/>
    <n v="0"/>
    <n v="0"/>
    <n v="0"/>
    <n v="0"/>
    <n v="0"/>
    <n v="1"/>
    <n v="0"/>
    <n v="14.99"/>
    <s v="1"/>
    <n v="0"/>
  </r>
  <r>
    <x v="165"/>
    <x v="3"/>
    <n v="30"/>
    <n v="0.30299999999999999"/>
    <n v="42"/>
    <n v="0.31109999999999999"/>
    <n v="1"/>
    <n v="5"/>
    <n v="0.16669999999999999"/>
    <n v="137.44999999999999"/>
    <s v="4"/>
    <n v="0.133333333333333"/>
  </r>
  <r>
    <x v="165"/>
    <x v="2"/>
    <n v="13"/>
    <n v="0.1313"/>
    <n v="19"/>
    <n v="0.14069999999999999"/>
    <n v="1"/>
    <n v="2"/>
    <n v="0.15379999999999999"/>
    <n v="33.94"/>
    <s v="2"/>
    <n v="0.15384615384615399"/>
  </r>
  <r>
    <x v="165"/>
    <x v="0"/>
    <n v="48"/>
    <n v="0.48480000000000001"/>
    <n v="65"/>
    <n v="0.48149999999999998"/>
    <n v="1"/>
    <n v="6"/>
    <n v="0.125"/>
    <n v="77.819999999999993"/>
    <s v="6"/>
    <n v="0.125"/>
  </r>
  <r>
    <x v="165"/>
    <x v="5"/>
    <n v="6"/>
    <n v="6.0600000000000001E-2"/>
    <n v="7"/>
    <n v="5.1900000000000002E-2"/>
    <n v="1"/>
    <n v="1"/>
    <n v="0.16669999999999999"/>
    <n v="12.99"/>
    <s v="1"/>
    <n v="0.16666666666666699"/>
  </r>
  <r>
    <x v="166"/>
    <x v="1"/>
    <n v="3"/>
    <n v="2.86E-2"/>
    <n v="4"/>
    <n v="2.76E-2"/>
    <n v="1"/>
    <n v="0"/>
    <n v="0"/>
    <n v="0"/>
    <s v="0"/>
    <n v="0"/>
  </r>
  <r>
    <x v="166"/>
    <x v="3"/>
    <n v="31"/>
    <n v="0.29520000000000002"/>
    <n v="42"/>
    <n v="0.28970000000000001"/>
    <n v="1"/>
    <n v="4"/>
    <n v="0.129"/>
    <n v="109.96"/>
    <s v="4"/>
    <n v="0.12903225806451599"/>
  </r>
  <r>
    <x v="166"/>
    <x v="2"/>
    <n v="22"/>
    <n v="0.20949999999999999"/>
    <n v="27"/>
    <n v="0.1862"/>
    <n v="1"/>
    <n v="4"/>
    <n v="0.18179999999999999"/>
    <n v="67.88"/>
    <s v="2"/>
    <n v="9.0909090909090898E-2"/>
  </r>
  <r>
    <x v="166"/>
    <x v="0"/>
    <n v="43"/>
    <n v="0.40949999999999998"/>
    <n v="64"/>
    <n v="0.44140000000000001"/>
    <n v="1"/>
    <n v="15"/>
    <n v="0.3488"/>
    <n v="194.55"/>
    <s v="12"/>
    <n v="0.27906976744186002"/>
  </r>
  <r>
    <x v="166"/>
    <x v="5"/>
    <n v="6"/>
    <n v="5.7099999999999998E-2"/>
    <n v="8"/>
    <n v="5.5199999999999999E-2"/>
    <n v="1"/>
    <n v="1"/>
    <n v="0.16669999999999999"/>
    <n v="12.99"/>
    <s v="1"/>
    <n v="0.16666666666666699"/>
  </r>
  <r>
    <x v="167"/>
    <x v="6"/>
    <n v="1"/>
    <n v="1.11E-2"/>
    <n v="1"/>
    <n v="8.9999999999999993E-3"/>
    <n v="1"/>
    <n v="0"/>
    <n v="0"/>
    <n v="0"/>
    <s v="0"/>
    <n v="0"/>
  </r>
  <r>
    <x v="167"/>
    <x v="1"/>
    <n v="2"/>
    <n v="2.2200000000000001E-2"/>
    <n v="2"/>
    <n v="1.7999999999999999E-2"/>
    <n v="1"/>
    <n v="0"/>
    <n v="0"/>
    <n v="0"/>
    <s v="0"/>
    <n v="0"/>
  </r>
  <r>
    <x v="167"/>
    <x v="3"/>
    <n v="35"/>
    <n v="0.38890000000000002"/>
    <n v="41"/>
    <n v="0.36940000000000001"/>
    <n v="1"/>
    <n v="1"/>
    <n v="0"/>
    <n v="0"/>
    <s v="1"/>
    <n v="2.8571428571428598E-2"/>
  </r>
  <r>
    <x v="167"/>
    <x v="0"/>
    <n v="33"/>
    <n v="0.36670000000000003"/>
    <n v="40"/>
    <n v="0.3604"/>
    <n v="1"/>
    <n v="9"/>
    <n v="0"/>
    <n v="0"/>
    <s v="8"/>
    <n v="0.24242424242424199"/>
  </r>
  <r>
    <x v="167"/>
    <x v="2"/>
    <n v="16"/>
    <n v="0.17780000000000001"/>
    <n v="23"/>
    <n v="0.2072"/>
    <n v="1"/>
    <n v="2"/>
    <n v="0"/>
    <n v="0"/>
    <s v="2"/>
    <n v="0.125"/>
  </r>
  <r>
    <x v="167"/>
    <x v="5"/>
    <n v="3"/>
    <n v="3.3300000000000003E-2"/>
    <n v="4"/>
    <n v="3.5999999999999997E-2"/>
    <n v="0.75"/>
    <n v="2"/>
    <n v="0"/>
    <n v="0"/>
    <s v="2"/>
    <n v="0.66666666666666696"/>
  </r>
  <r>
    <x v="168"/>
    <x v="6"/>
    <n v="1"/>
    <n v="7.1000000000000004E-3"/>
    <n v="1"/>
    <n v="5.1000000000000004E-3"/>
    <n v="0"/>
    <n v="0"/>
    <n v="0"/>
    <n v="0"/>
    <s v="0"/>
    <n v="0"/>
  </r>
  <r>
    <x v="168"/>
    <x v="2"/>
    <n v="29"/>
    <n v="0.20569999999999999"/>
    <n v="34"/>
    <n v="0.1744"/>
    <n v="0.97"/>
    <n v="2"/>
    <n v="6.9000000000000006E-2"/>
    <n v="33.94"/>
    <s v="2"/>
    <n v="6.8965517241379296E-2"/>
  </r>
  <r>
    <x v="168"/>
    <x v="3"/>
    <n v="35"/>
    <n v="0.2482"/>
    <n v="47"/>
    <n v="0.24099999999999999"/>
    <n v="1"/>
    <n v="3"/>
    <n v="8.5699999999999998E-2"/>
    <n v="82.47"/>
    <s v="3"/>
    <n v="8.5714285714285701E-2"/>
  </r>
  <r>
    <x v="168"/>
    <x v="1"/>
    <n v="5"/>
    <n v="3.5499999999999997E-2"/>
    <n v="6"/>
    <n v="3.0800000000000001E-2"/>
    <n v="1"/>
    <n v="3"/>
    <n v="0.6"/>
    <n v="47.97"/>
    <s v="2"/>
    <n v="0.4"/>
  </r>
  <r>
    <x v="168"/>
    <x v="0"/>
    <n v="63"/>
    <n v="0.44679999999999997"/>
    <n v="95"/>
    <n v="0.48720000000000002"/>
    <n v="1"/>
    <n v="17"/>
    <n v="0.26979999999999998"/>
    <n v="220.49"/>
    <s v="12"/>
    <n v="0.19047619047618999"/>
  </r>
  <r>
    <x v="168"/>
    <x v="5"/>
    <n v="8"/>
    <n v="5.67E-2"/>
    <n v="12"/>
    <n v="6.1499999999999999E-2"/>
    <n v="1"/>
    <n v="1"/>
    <n v="0.125"/>
    <n v="12.99"/>
    <s v="1"/>
    <n v="0.125"/>
  </r>
  <r>
    <x v="169"/>
    <x v="2"/>
    <n v="25"/>
    <n v="0.20830000000000001"/>
    <n v="34"/>
    <n v="0.21249999999999999"/>
    <n v="1"/>
    <n v="0"/>
    <n v="0"/>
    <n v="0"/>
    <s v="0"/>
    <n v="0"/>
  </r>
  <r>
    <x v="169"/>
    <x v="1"/>
    <n v="4"/>
    <n v="3.3300000000000003E-2"/>
    <n v="4"/>
    <n v="2.5000000000000001E-2"/>
    <n v="1"/>
    <n v="0"/>
    <n v="0"/>
    <n v="0"/>
    <s v="0"/>
    <n v="0"/>
  </r>
  <r>
    <x v="169"/>
    <x v="3"/>
    <n v="27"/>
    <n v="0.22500000000000001"/>
    <n v="33"/>
    <n v="0.20630000000000001"/>
    <n v="1"/>
    <n v="2"/>
    <n v="7.4099999999999999E-2"/>
    <n v="54.98"/>
    <s v="2"/>
    <n v="7.4074074074074098E-2"/>
  </r>
  <r>
    <x v="169"/>
    <x v="0"/>
    <n v="58"/>
    <n v="0.48330000000000001"/>
    <n v="81"/>
    <n v="0.50629999999999997"/>
    <n v="1"/>
    <n v="15"/>
    <n v="0.2586"/>
    <n v="194.55"/>
    <s v="15"/>
    <n v="0.25862068965517199"/>
  </r>
  <r>
    <x v="169"/>
    <x v="5"/>
    <n v="6"/>
    <n v="0.05"/>
    <n v="8"/>
    <n v="0.05"/>
    <n v="1"/>
    <n v="1"/>
    <n v="0.16669999999999999"/>
    <n v="12.99"/>
    <s v="1"/>
    <n v="0.16666666666666699"/>
  </r>
  <r>
    <x v="170"/>
    <x v="4"/>
    <n v="1"/>
    <n v="5.1999999999999998E-3"/>
    <n v="1"/>
    <n v="4.0000000000000001E-3"/>
    <n v="1"/>
    <n v="0"/>
    <n v="0"/>
    <n v="0"/>
    <s v="0"/>
    <n v="0"/>
  </r>
  <r>
    <x v="170"/>
    <x v="1"/>
    <n v="8"/>
    <n v="4.19E-2"/>
    <n v="8"/>
    <n v="3.2300000000000002E-2"/>
    <n v="1"/>
    <n v="0"/>
    <n v="0"/>
    <n v="0"/>
    <s v="0"/>
    <n v="0"/>
  </r>
  <r>
    <x v="170"/>
    <x v="2"/>
    <n v="25"/>
    <n v="0.13089999999999999"/>
    <n v="40"/>
    <n v="0.1613"/>
    <n v="0.95"/>
    <n v="1"/>
    <n v="0.04"/>
    <n v="16.97"/>
    <s v="1"/>
    <n v="0.04"/>
  </r>
  <r>
    <x v="170"/>
    <x v="3"/>
    <n v="34"/>
    <n v="0.17799999999999999"/>
    <n v="42"/>
    <n v="0.1694"/>
    <n v="1"/>
    <n v="2"/>
    <n v="5.8799999999999998E-2"/>
    <n v="54.98"/>
    <s v="2"/>
    <n v="5.8823529411764698E-2"/>
  </r>
  <r>
    <x v="170"/>
    <x v="0"/>
    <n v="107"/>
    <n v="0.56020000000000003"/>
    <n v="139"/>
    <n v="0.5605"/>
    <n v="1"/>
    <n v="24"/>
    <n v="0.2243"/>
    <n v="311.27999999999997"/>
    <s v="24"/>
    <n v="0.22429906542056099"/>
  </r>
  <r>
    <x v="170"/>
    <x v="5"/>
    <n v="16"/>
    <n v="8.3799999999999999E-2"/>
    <n v="18"/>
    <n v="7.2599999999999998E-2"/>
    <n v="1"/>
    <n v="1"/>
    <n v="6.25E-2"/>
    <n v="12.99"/>
    <s v="1"/>
    <n v="6.25E-2"/>
  </r>
  <r>
    <x v="171"/>
    <x v="1"/>
    <n v="4"/>
    <n v="3.5700000000000003E-2"/>
    <n v="5"/>
    <n v="3.1800000000000002E-2"/>
    <n v="1"/>
    <n v="0"/>
    <n v="0"/>
    <n v="0"/>
    <s v="0"/>
    <n v="0"/>
  </r>
  <r>
    <x v="171"/>
    <x v="2"/>
    <n v="25"/>
    <n v="0.22320000000000001"/>
    <n v="35"/>
    <n v="0.22289999999999999"/>
    <n v="1"/>
    <n v="2"/>
    <n v="0.08"/>
    <n v="33.94"/>
    <s v="2"/>
    <n v="0.08"/>
  </r>
  <r>
    <x v="171"/>
    <x v="5"/>
    <n v="13"/>
    <n v="0.11609999999999999"/>
    <n v="20"/>
    <n v="0.12740000000000001"/>
    <n v="1"/>
    <n v="2"/>
    <n v="0.15379999999999999"/>
    <n v="25.98"/>
    <s v="2"/>
    <n v="0.15384615384615399"/>
  </r>
  <r>
    <x v="171"/>
    <x v="0"/>
    <n v="49"/>
    <n v="0.4375"/>
    <n v="72"/>
    <n v="0.45860000000000001"/>
    <n v="1"/>
    <n v="3"/>
    <n v="6.1199999999999997E-2"/>
    <n v="38.909999999999997"/>
    <s v="2"/>
    <n v="4.08163265306122E-2"/>
  </r>
  <r>
    <x v="171"/>
    <x v="3"/>
    <n v="21"/>
    <n v="0.1875"/>
    <n v="25"/>
    <n v="0.15920000000000001"/>
    <n v="1"/>
    <n v="1"/>
    <n v="4.7600000000000003E-2"/>
    <n v="27.49"/>
    <s v="1"/>
    <n v="4.7619047619047603E-2"/>
  </r>
  <r>
    <x v="172"/>
    <x v="1"/>
    <n v="1"/>
    <n v="8.3000000000000001E-3"/>
    <n v="1"/>
    <n v="6.1999999999999998E-3"/>
    <n v="1"/>
    <n v="0"/>
    <n v="0"/>
    <n v="0"/>
    <s v="0"/>
    <n v="0"/>
  </r>
  <r>
    <x v="172"/>
    <x v="4"/>
    <n v="1"/>
    <n v="8.3000000000000001E-3"/>
    <n v="1"/>
    <n v="6.1999999999999998E-3"/>
    <n v="0"/>
    <n v="0"/>
    <n v="0"/>
    <n v="0"/>
    <s v="0"/>
    <n v="0"/>
  </r>
  <r>
    <x v="172"/>
    <x v="6"/>
    <n v="1"/>
    <n v="8.3000000000000001E-3"/>
    <n v="1"/>
    <n v="6.1999999999999998E-3"/>
    <n v="0"/>
    <n v="0"/>
    <n v="0"/>
    <n v="0"/>
    <s v="0"/>
    <n v="0"/>
  </r>
  <r>
    <x v="172"/>
    <x v="2"/>
    <n v="17"/>
    <n v="0.14050000000000001"/>
    <n v="24"/>
    <n v="0.14910000000000001"/>
    <n v="0.96"/>
    <n v="1"/>
    <n v="5.8799999999999998E-2"/>
    <n v="16.97"/>
    <s v="1"/>
    <n v="5.8823529411764698E-2"/>
  </r>
  <r>
    <x v="172"/>
    <x v="3"/>
    <n v="29"/>
    <n v="0.2397"/>
    <n v="43"/>
    <n v="0.2671"/>
    <n v="1"/>
    <n v="4"/>
    <n v="0.13789999999999999"/>
    <n v="109.96"/>
    <s v="4"/>
    <n v="0.13793103448275901"/>
  </r>
  <r>
    <x v="172"/>
    <x v="0"/>
    <n v="58"/>
    <n v="0.4793"/>
    <n v="72"/>
    <n v="0.44719999999999999"/>
    <n v="1"/>
    <n v="17"/>
    <n v="0.29310000000000003"/>
    <n v="220.49"/>
    <s v="17"/>
    <n v="0.29310344827586199"/>
  </r>
  <r>
    <x v="172"/>
    <x v="5"/>
    <n v="14"/>
    <n v="0.1157"/>
    <n v="19"/>
    <n v="0.11799999999999999"/>
    <n v="1"/>
    <n v="1"/>
    <n v="7.1400000000000005E-2"/>
    <n v="12.99"/>
    <s v="1"/>
    <n v="7.1428571428571397E-2"/>
  </r>
  <r>
    <x v="173"/>
    <x v="6"/>
    <n v="1"/>
    <n v="7.1000000000000004E-3"/>
    <n v="1"/>
    <n v="5.4000000000000003E-3"/>
    <n v="1"/>
    <n v="0"/>
    <n v="0"/>
    <n v="0"/>
    <s v="0"/>
    <n v="0"/>
  </r>
  <r>
    <x v="173"/>
    <x v="2"/>
    <n v="21"/>
    <n v="0.15"/>
    <n v="35"/>
    <n v="0.19020000000000001"/>
    <n v="1"/>
    <n v="0"/>
    <n v="0"/>
    <n v="0"/>
    <s v="0"/>
    <n v="0"/>
  </r>
  <r>
    <x v="173"/>
    <x v="1"/>
    <n v="3"/>
    <n v="2.1399999999999999E-2"/>
    <n v="4"/>
    <n v="2.1700000000000001E-2"/>
    <n v="1"/>
    <n v="0"/>
    <n v="0"/>
    <n v="0"/>
    <s v="0"/>
    <n v="0"/>
  </r>
  <r>
    <x v="173"/>
    <x v="5"/>
    <n v="19"/>
    <n v="0.13569999999999999"/>
    <n v="23"/>
    <n v="0.125"/>
    <n v="1"/>
    <n v="4"/>
    <n v="0.21049999999999999"/>
    <n v="51.96"/>
    <s v="4"/>
    <n v="0.21052631578947401"/>
  </r>
  <r>
    <x v="173"/>
    <x v="3"/>
    <n v="22"/>
    <n v="0.15709999999999999"/>
    <n v="26"/>
    <n v="0.14130000000000001"/>
    <n v="1"/>
    <n v="3"/>
    <n v="0.13639999999999999"/>
    <n v="82.47"/>
    <s v="3"/>
    <n v="0.13636363636363599"/>
  </r>
  <r>
    <x v="173"/>
    <x v="0"/>
    <n v="74"/>
    <n v="0.52859999999999996"/>
    <n v="95"/>
    <n v="0.51629999999999998"/>
    <n v="1"/>
    <n v="14"/>
    <n v="0.18920000000000001"/>
    <n v="181.58"/>
    <s v="13"/>
    <n v="0.17567567567567599"/>
  </r>
  <r>
    <x v="174"/>
    <x v="1"/>
    <n v="3"/>
    <n v="2.63E-2"/>
    <n v="4"/>
    <n v="2.4799999999999999E-2"/>
    <n v="1"/>
    <n v="0"/>
    <n v="0"/>
    <n v="0"/>
    <s v="0"/>
    <n v="0"/>
  </r>
  <r>
    <x v="174"/>
    <x v="3"/>
    <n v="26"/>
    <n v="0.2281"/>
    <n v="37"/>
    <n v="0.2298"/>
    <n v="0.97"/>
    <n v="1"/>
    <n v="3.85E-2"/>
    <n v="27.87"/>
    <s v="1"/>
    <n v="3.8461538461538498E-2"/>
  </r>
  <r>
    <x v="174"/>
    <x v="2"/>
    <n v="24"/>
    <n v="0.21049999999999999"/>
    <n v="33"/>
    <n v="0.20499999999999999"/>
    <n v="0.97"/>
    <n v="1"/>
    <n v="4.1700000000000001E-2"/>
    <n v="16.97"/>
    <s v="1"/>
    <n v="4.1666666666666699E-2"/>
  </r>
  <r>
    <x v="174"/>
    <x v="5"/>
    <n v="11"/>
    <n v="9.6500000000000002E-2"/>
    <n v="17"/>
    <n v="0.1056"/>
    <n v="1"/>
    <n v="4"/>
    <n v="0.36359999999999998"/>
    <n v="51.96"/>
    <s v="4"/>
    <n v="0.36363636363636398"/>
  </r>
  <r>
    <x v="174"/>
    <x v="0"/>
    <n v="50"/>
    <n v="0.43859999999999999"/>
    <n v="70"/>
    <n v="0.43480000000000002"/>
    <n v="1"/>
    <n v="6"/>
    <n v="0.12"/>
    <n v="80.819999999999993"/>
    <s v="6"/>
    <n v="0.12"/>
  </r>
  <r>
    <x v="175"/>
    <x v="5"/>
    <n v="21"/>
    <n v="0.21210000000000001"/>
    <n v="28"/>
    <n v="0.2014"/>
    <n v="1"/>
    <n v="0"/>
    <n v="0"/>
    <n v="0"/>
    <s v="0"/>
    <n v="0"/>
  </r>
  <r>
    <x v="175"/>
    <x v="2"/>
    <n v="20"/>
    <n v="0.20200000000000001"/>
    <n v="30"/>
    <n v="0.21579999999999999"/>
    <n v="1"/>
    <n v="0"/>
    <n v="0"/>
    <n v="0"/>
    <s v="0"/>
    <n v="0"/>
  </r>
  <r>
    <x v="175"/>
    <x v="1"/>
    <n v="3"/>
    <n v="3.0300000000000001E-2"/>
    <n v="3"/>
    <n v="2.1600000000000001E-2"/>
    <n v="1"/>
    <n v="0"/>
    <n v="0"/>
    <n v="0"/>
    <s v="0"/>
    <n v="0"/>
  </r>
  <r>
    <x v="175"/>
    <x v="0"/>
    <n v="26"/>
    <n v="0.2626"/>
    <n v="38"/>
    <n v="0.27339999999999998"/>
    <n v="0.95"/>
    <n v="8"/>
    <n v="0.30769999999999997"/>
    <n v="107.76"/>
    <s v="7"/>
    <n v="0.269230769230769"/>
  </r>
  <r>
    <x v="175"/>
    <x v="3"/>
    <n v="29"/>
    <n v="0.29289999999999999"/>
    <n v="40"/>
    <n v="0.2878"/>
    <n v="1"/>
    <n v="1"/>
    <n v="3.4500000000000003E-2"/>
    <n v="27.87"/>
    <s v="1"/>
    <n v="3.4482758620689703E-2"/>
  </r>
  <r>
    <x v="176"/>
    <x v="6"/>
    <n v="1"/>
    <n v="9.2999999999999992E-3"/>
    <n v="1"/>
    <n v="7.0000000000000001E-3"/>
    <n v="1"/>
    <n v="0"/>
    <n v="0"/>
    <n v="0"/>
    <s v="0"/>
    <n v="0"/>
  </r>
  <r>
    <x v="176"/>
    <x v="1"/>
    <n v="3"/>
    <n v="2.7799999999999998E-2"/>
    <n v="3"/>
    <n v="2.1100000000000001E-2"/>
    <n v="1"/>
    <n v="0"/>
    <n v="0"/>
    <n v="0"/>
    <s v="0"/>
    <n v="0"/>
  </r>
  <r>
    <x v="176"/>
    <x v="2"/>
    <n v="23"/>
    <n v="0.21299999999999999"/>
    <n v="33"/>
    <n v="0.2324"/>
    <n v="1"/>
    <n v="2"/>
    <n v="8.6999999999999994E-2"/>
    <n v="33.94"/>
    <s v="2"/>
    <n v="8.6956521739130405E-2"/>
  </r>
  <r>
    <x v="176"/>
    <x v="0"/>
    <n v="42"/>
    <n v="0.38890000000000002"/>
    <n v="58"/>
    <n v="0.40849999999999997"/>
    <n v="1"/>
    <n v="3"/>
    <n v="7.1400000000000005E-2"/>
    <n v="41.01"/>
    <s v="2"/>
    <n v="4.7619047619047603E-2"/>
  </r>
  <r>
    <x v="176"/>
    <x v="3"/>
    <n v="26"/>
    <n v="0.2407"/>
    <n v="32"/>
    <n v="0.22539999999999999"/>
    <n v="1"/>
    <n v="1"/>
    <n v="3.85E-2"/>
    <n v="27.87"/>
    <s v="1"/>
    <n v="3.8461538461538498E-2"/>
  </r>
  <r>
    <x v="176"/>
    <x v="5"/>
    <n v="13"/>
    <n v="0.12039999999999999"/>
    <n v="15"/>
    <n v="0.1056"/>
    <n v="1"/>
    <n v="1"/>
    <n v="7.6899999999999996E-2"/>
    <n v="12.99"/>
    <s v="1"/>
    <n v="7.69230769230769E-2"/>
  </r>
  <r>
    <x v="177"/>
    <x v="1"/>
    <n v="5"/>
    <n v="5.62E-2"/>
    <n v="7"/>
    <n v="5.5100000000000003E-2"/>
    <n v="1"/>
    <n v="0"/>
    <n v="0"/>
    <n v="0"/>
    <s v="0"/>
    <n v="0"/>
  </r>
  <r>
    <x v="177"/>
    <x v="3"/>
    <n v="27"/>
    <n v="0.3034"/>
    <n v="34"/>
    <n v="0.26769999999999999"/>
    <n v="0.97"/>
    <n v="2"/>
    <n v="7.4099999999999999E-2"/>
    <n v="55.74"/>
    <s v="2"/>
    <n v="7.4074074074074098E-2"/>
  </r>
  <r>
    <x v="177"/>
    <x v="4"/>
    <n v="0"/>
    <n v="0"/>
    <n v="0"/>
    <n v="0"/>
    <n v="0"/>
    <n v="3"/>
    <n v="0"/>
    <n v="44.97"/>
    <s v="1"/>
    <n v="0"/>
  </r>
  <r>
    <x v="177"/>
    <x v="2"/>
    <n v="15"/>
    <n v="0.16850000000000001"/>
    <n v="22"/>
    <n v="0.17319999999999999"/>
    <n v="1"/>
    <n v="2"/>
    <n v="0.1333"/>
    <n v="33.94"/>
    <s v="1"/>
    <n v="6.6666666666666693E-2"/>
  </r>
  <r>
    <x v="177"/>
    <x v="0"/>
    <n v="31"/>
    <n v="0.3483"/>
    <n v="51"/>
    <n v="0.40160000000000001"/>
    <n v="1"/>
    <n v="4"/>
    <n v="0.129"/>
    <n v="51.88"/>
    <s v="4"/>
    <n v="0.12903225806451599"/>
  </r>
  <r>
    <x v="177"/>
    <x v="5"/>
    <n v="11"/>
    <n v="0.1236"/>
    <n v="13"/>
    <n v="0.1024"/>
    <n v="1"/>
    <n v="1"/>
    <n v="9.0899999999999995E-2"/>
    <n v="12.99"/>
    <s v="1"/>
    <n v="9.0909090909090898E-2"/>
  </r>
  <r>
    <x v="178"/>
    <x v="1"/>
    <n v="3"/>
    <n v="3.1899999999999998E-2"/>
    <n v="4"/>
    <n v="3.3599999999999998E-2"/>
    <n v="1"/>
    <n v="0"/>
    <n v="0"/>
    <n v="0"/>
    <s v="0"/>
    <n v="0"/>
  </r>
  <r>
    <x v="178"/>
    <x v="5"/>
    <n v="8"/>
    <n v="8.5099999999999995E-2"/>
    <n v="12"/>
    <n v="0.1008"/>
    <n v="0.92"/>
    <n v="4"/>
    <n v="0.5"/>
    <n v="51.96"/>
    <s v="4"/>
    <n v="0.5"/>
  </r>
  <r>
    <x v="178"/>
    <x v="3"/>
    <n v="21"/>
    <n v="0.22339999999999999"/>
    <n v="30"/>
    <n v="0.25209999999999999"/>
    <n v="1"/>
    <n v="6"/>
    <n v="0.28570000000000001"/>
    <n v="167.22"/>
    <s v="5"/>
    <n v="0.238095238095238"/>
  </r>
  <r>
    <x v="178"/>
    <x v="0"/>
    <n v="44"/>
    <n v="0.46810000000000002"/>
    <n v="52"/>
    <n v="0.437"/>
    <n v="1"/>
    <n v="4"/>
    <n v="9.0899999999999995E-2"/>
    <n v="55.48"/>
    <s v="4"/>
    <n v="9.0909090909090898E-2"/>
  </r>
  <r>
    <x v="178"/>
    <x v="2"/>
    <n v="18"/>
    <n v="0.1915"/>
    <n v="21"/>
    <n v="0.17649999999999999"/>
    <n v="1"/>
    <n v="1"/>
    <n v="5.5599999999999997E-2"/>
    <n v="16.97"/>
    <s v="1"/>
    <n v="5.5555555555555601E-2"/>
  </r>
  <r>
    <x v="179"/>
    <x v="6"/>
    <n v="1"/>
    <n v="8.6E-3"/>
    <n v="2"/>
    <n v="1.29E-2"/>
    <n v="1"/>
    <n v="0"/>
    <n v="0"/>
    <n v="0"/>
    <s v="0"/>
    <n v="0"/>
  </r>
  <r>
    <x v="179"/>
    <x v="1"/>
    <n v="5"/>
    <n v="4.3099999999999999E-2"/>
    <n v="8"/>
    <n v="5.16E-2"/>
    <n v="1"/>
    <n v="0"/>
    <n v="0"/>
    <n v="0"/>
    <s v="0"/>
    <n v="0"/>
  </r>
  <r>
    <x v="179"/>
    <x v="5"/>
    <n v="12"/>
    <n v="0.10340000000000001"/>
    <n v="14"/>
    <n v="9.0300000000000005E-2"/>
    <n v="1"/>
    <n v="2"/>
    <n v="0.16669999999999999"/>
    <n v="25.98"/>
    <s v="2"/>
    <n v="0.16666666666666699"/>
  </r>
  <r>
    <x v="179"/>
    <x v="0"/>
    <n v="58"/>
    <n v="0.5"/>
    <n v="78"/>
    <n v="0.50319999999999998"/>
    <n v="1"/>
    <n v="12"/>
    <n v="0.2069"/>
    <n v="166.44"/>
    <s v="11"/>
    <n v="0.18965517241379301"/>
  </r>
  <r>
    <x v="179"/>
    <x v="3"/>
    <n v="21"/>
    <n v="0.18099999999999999"/>
    <n v="26"/>
    <n v="0.16769999999999999"/>
    <n v="1"/>
    <n v="1"/>
    <n v="4.7600000000000003E-2"/>
    <n v="27.87"/>
    <s v="1"/>
    <n v="4.7619047619047603E-2"/>
  </r>
  <r>
    <x v="179"/>
    <x v="2"/>
    <n v="19"/>
    <n v="0.1638"/>
    <n v="27"/>
    <n v="0.17419999999999999"/>
    <n v="1"/>
    <n v="1"/>
    <n v="5.2600000000000001E-2"/>
    <n v="16.97"/>
    <s v="1"/>
    <n v="5.2631578947368397E-2"/>
  </r>
  <r>
    <x v="180"/>
    <x v="6"/>
    <n v="4"/>
    <n v="3.1300000000000001E-2"/>
    <n v="4"/>
    <n v="2.29E-2"/>
    <n v="1"/>
    <n v="0"/>
    <n v="0"/>
    <n v="0"/>
    <s v="0"/>
    <n v="0"/>
  </r>
  <r>
    <x v="180"/>
    <x v="1"/>
    <n v="3"/>
    <n v="2.3400000000000001E-2"/>
    <n v="3"/>
    <n v="1.7100000000000001E-2"/>
    <n v="1"/>
    <n v="0"/>
    <n v="0"/>
    <n v="0"/>
    <s v="0"/>
    <n v="0"/>
  </r>
  <r>
    <x v="180"/>
    <x v="0"/>
    <n v="51"/>
    <n v="0.39839999999999998"/>
    <n v="68"/>
    <n v="0.3886"/>
    <n v="0.99"/>
    <n v="19"/>
    <n v="0.3725"/>
    <n v="263.52999999999997"/>
    <s v="8"/>
    <n v="0.15686274509803899"/>
  </r>
  <r>
    <x v="180"/>
    <x v="2"/>
    <n v="23"/>
    <n v="0.1797"/>
    <n v="36"/>
    <n v="0.20569999999999999"/>
    <n v="1"/>
    <n v="3"/>
    <n v="0.13039999999999999"/>
    <n v="50.91"/>
    <s v="2"/>
    <n v="8.6956521739130405E-2"/>
  </r>
  <r>
    <x v="180"/>
    <x v="5"/>
    <n v="18"/>
    <n v="0.1406"/>
    <n v="28"/>
    <n v="0.16"/>
    <n v="1"/>
    <n v="3"/>
    <n v="0.16669999999999999"/>
    <n v="38.97"/>
    <s v="3"/>
    <n v="0.16666666666666699"/>
  </r>
  <r>
    <x v="180"/>
    <x v="3"/>
    <n v="29"/>
    <n v="0.2266"/>
    <n v="36"/>
    <n v="0.20569999999999999"/>
    <n v="1"/>
    <n v="1"/>
    <n v="3.4500000000000003E-2"/>
    <n v="27.87"/>
    <s v="1"/>
    <n v="3.4482758620689703E-2"/>
  </r>
  <r>
    <x v="181"/>
    <x v="1"/>
    <n v="4"/>
    <n v="4.2599999999999999E-2"/>
    <n v="4"/>
    <n v="3.0099999999999998E-2"/>
    <n v="1"/>
    <n v="0"/>
    <n v="0"/>
    <n v="0"/>
    <s v="0"/>
    <n v="0"/>
  </r>
  <r>
    <x v="181"/>
    <x v="5"/>
    <n v="11"/>
    <n v="0.11700000000000001"/>
    <n v="17"/>
    <n v="0.1278"/>
    <n v="1"/>
    <n v="5"/>
    <n v="0.45450000000000002"/>
    <n v="64.95"/>
    <s v="4"/>
    <n v="0.36363636363636398"/>
  </r>
  <r>
    <x v="181"/>
    <x v="3"/>
    <n v="24"/>
    <n v="0.25530000000000003"/>
    <n v="32"/>
    <n v="0.24060000000000001"/>
    <n v="1"/>
    <n v="3"/>
    <n v="0.125"/>
    <n v="83.61"/>
    <s v="3"/>
    <n v="0.125"/>
  </r>
  <r>
    <x v="181"/>
    <x v="2"/>
    <n v="12"/>
    <n v="0.12770000000000001"/>
    <n v="17"/>
    <n v="0.1278"/>
    <n v="1"/>
    <n v="3"/>
    <n v="0.25"/>
    <n v="50.91"/>
    <s v="2"/>
    <n v="0.16666666666666699"/>
  </r>
  <r>
    <x v="181"/>
    <x v="0"/>
    <n v="43"/>
    <n v="0.45739999999999997"/>
    <n v="63"/>
    <n v="0.47370000000000001"/>
    <n v="1"/>
    <n v="11"/>
    <n v="0.25580000000000003"/>
    <n v="152.57"/>
    <s v="8"/>
    <n v="0.186046511627907"/>
  </r>
  <r>
    <x v="182"/>
    <x v="1"/>
    <n v="2"/>
    <n v="2.2700000000000001E-2"/>
    <n v="2"/>
    <n v="1.8499999999999999E-2"/>
    <n v="1"/>
    <n v="0"/>
    <n v="0"/>
    <n v="0"/>
    <s v="0"/>
    <n v="0"/>
  </r>
  <r>
    <x v="182"/>
    <x v="6"/>
    <n v="3"/>
    <n v="3.4099999999999998E-2"/>
    <n v="3"/>
    <n v="2.7799999999999998E-2"/>
    <n v="1"/>
    <n v="2"/>
    <n v="0.66669999999999996"/>
    <n v="23.98"/>
    <s v="2"/>
    <n v="0.66666666666666696"/>
  </r>
  <r>
    <x v="182"/>
    <x v="0"/>
    <n v="42"/>
    <n v="0.4773"/>
    <n v="51"/>
    <n v="0.47220000000000001"/>
    <n v="1"/>
    <n v="4"/>
    <n v="9.5200000000000007E-2"/>
    <n v="55.48"/>
    <s v="4"/>
    <n v="9.5238095238095205E-2"/>
  </r>
  <r>
    <x v="182"/>
    <x v="3"/>
    <n v="19"/>
    <n v="0.21590000000000001"/>
    <n v="24"/>
    <n v="0.22220000000000001"/>
    <n v="1"/>
    <n v="1"/>
    <n v="5.2600000000000001E-2"/>
    <n v="27.87"/>
    <s v="1"/>
    <n v="5.2631578947368397E-2"/>
  </r>
  <r>
    <x v="182"/>
    <x v="2"/>
    <n v="11"/>
    <n v="0.125"/>
    <n v="14"/>
    <n v="0.12959999999999999"/>
    <n v="1"/>
    <n v="1"/>
    <n v="9.0899999999999995E-2"/>
    <n v="16.97"/>
    <s v="1"/>
    <n v="9.0909090909090898E-2"/>
  </r>
  <r>
    <x v="182"/>
    <x v="5"/>
    <n v="11"/>
    <n v="0.125"/>
    <n v="14"/>
    <n v="0.12959999999999999"/>
    <n v="1"/>
    <n v="1"/>
    <n v="9.0899999999999995E-2"/>
    <n v="12.99"/>
    <s v="1"/>
    <n v="9.0909090909090898E-2"/>
  </r>
  <r>
    <x v="183"/>
    <x v="1"/>
    <n v="1"/>
    <n v="1.01E-2"/>
    <n v="1"/>
    <n v="7.9000000000000008E-3"/>
    <n v="1"/>
    <n v="0"/>
    <n v="0"/>
    <n v="0"/>
    <s v="0"/>
    <n v="0"/>
  </r>
  <r>
    <x v="183"/>
    <x v="6"/>
    <n v="3"/>
    <n v="3.0300000000000001E-2"/>
    <n v="5"/>
    <n v="3.9399999999999998E-2"/>
    <n v="1"/>
    <n v="6"/>
    <n v="2"/>
    <n v="71.94"/>
    <s v="2"/>
    <n v="0.66666666666666696"/>
  </r>
  <r>
    <x v="183"/>
    <x v="2"/>
    <n v="22"/>
    <n v="0.22220000000000001"/>
    <n v="35"/>
    <n v="0.27560000000000001"/>
    <n v="1"/>
    <n v="3"/>
    <n v="0.13639999999999999"/>
    <n v="50.91"/>
    <s v="2"/>
    <n v="9.0909090909090898E-2"/>
  </r>
  <r>
    <x v="183"/>
    <x v="3"/>
    <n v="15"/>
    <n v="0.1515"/>
    <n v="17"/>
    <n v="0.13389999999999999"/>
    <n v="1"/>
    <n v="3"/>
    <n v="0.2"/>
    <n v="83.61"/>
    <s v="3"/>
    <n v="0.2"/>
  </r>
  <r>
    <x v="183"/>
    <x v="5"/>
    <n v="18"/>
    <n v="0.18179999999999999"/>
    <n v="20"/>
    <n v="0.1575"/>
    <n v="1"/>
    <n v="2"/>
    <n v="0.1111"/>
    <n v="25.98"/>
    <s v="2"/>
    <n v="0.11111111111111099"/>
  </r>
  <r>
    <x v="183"/>
    <x v="0"/>
    <n v="40"/>
    <n v="0.40400000000000003"/>
    <n v="49"/>
    <n v="0.38579999999999998"/>
    <n v="1"/>
    <n v="9"/>
    <n v="0.22500000000000001"/>
    <n v="124.83"/>
    <s v="7"/>
    <n v="0.17499999999999999"/>
  </r>
  <r>
    <x v="184"/>
    <x v="1"/>
    <n v="6"/>
    <n v="6.7400000000000002E-2"/>
    <n v="8"/>
    <n v="6.1100000000000002E-2"/>
    <n v="1"/>
    <n v="0"/>
    <n v="0"/>
    <n v="0"/>
    <s v="0"/>
    <n v="0"/>
  </r>
  <r>
    <x v="184"/>
    <x v="3"/>
    <n v="22"/>
    <n v="0.2472"/>
    <n v="25"/>
    <n v="0.1908"/>
    <n v="1"/>
    <n v="6"/>
    <n v="0.2727"/>
    <n v="167.22"/>
    <s v="5"/>
    <n v="0.22727272727272699"/>
  </r>
  <r>
    <x v="184"/>
    <x v="5"/>
    <n v="14"/>
    <n v="0.1573"/>
    <n v="25"/>
    <n v="0.1908"/>
    <n v="1"/>
    <n v="6"/>
    <n v="0.42859999999999998"/>
    <n v="77.94"/>
    <s v="5"/>
    <n v="0.35714285714285698"/>
  </r>
  <r>
    <x v="184"/>
    <x v="6"/>
    <n v="9"/>
    <n v="0.1011"/>
    <n v="9"/>
    <n v="6.8699999999999997E-2"/>
    <n v="1"/>
    <n v="2"/>
    <n v="0.22220000000000001"/>
    <n v="23.98"/>
    <s v="2"/>
    <n v="0.22222222222222199"/>
  </r>
  <r>
    <x v="184"/>
    <x v="0"/>
    <n v="27"/>
    <n v="0.3034"/>
    <n v="44"/>
    <n v="0.33589999999999998"/>
    <n v="1"/>
    <n v="8"/>
    <n v="0.29630000000000001"/>
    <n v="110.96"/>
    <s v="7"/>
    <n v="0.25925925925925902"/>
  </r>
  <r>
    <x v="184"/>
    <x v="2"/>
    <n v="11"/>
    <n v="0.1236"/>
    <n v="20"/>
    <n v="0.1527"/>
    <n v="1"/>
    <n v="1"/>
    <n v="9.0899999999999995E-2"/>
    <n v="16.97"/>
    <s v="1"/>
    <n v="9.0909090909090898E-2"/>
  </r>
  <r>
    <x v="185"/>
    <x v="1"/>
    <n v="2"/>
    <n v="2.3800000000000002E-2"/>
    <n v="2"/>
    <n v="1.7999999999999999E-2"/>
    <n v="1"/>
    <n v="0"/>
    <n v="0"/>
    <n v="0"/>
    <s v="0"/>
    <n v="0"/>
  </r>
  <r>
    <x v="185"/>
    <x v="3"/>
    <n v="23"/>
    <n v="0.27379999999999999"/>
    <n v="26"/>
    <n v="0.23419999999999999"/>
    <n v="1"/>
    <n v="0"/>
    <n v="0"/>
    <n v="0"/>
    <s v="0"/>
    <n v="0"/>
  </r>
  <r>
    <x v="185"/>
    <x v="2"/>
    <n v="2"/>
    <n v="2.3800000000000002E-2"/>
    <n v="5"/>
    <n v="4.4999999999999998E-2"/>
    <n v="1"/>
    <n v="6"/>
    <n v="3"/>
    <n v="101.82"/>
    <s v="5"/>
    <n v="2.5"/>
  </r>
  <r>
    <x v="185"/>
    <x v="5"/>
    <n v="16"/>
    <n v="0.1905"/>
    <n v="25"/>
    <n v="0.22520000000000001"/>
    <n v="1"/>
    <n v="3"/>
    <n v="0.1875"/>
    <n v="38.97"/>
    <s v="2"/>
    <n v="0.125"/>
  </r>
  <r>
    <x v="185"/>
    <x v="0"/>
    <n v="37"/>
    <n v="0.4405"/>
    <n v="48"/>
    <n v="0.43240000000000001"/>
    <n v="1"/>
    <n v="8"/>
    <n v="0.2162"/>
    <n v="110.96"/>
    <s v="8"/>
    <n v="0.21621621621621601"/>
  </r>
  <r>
    <x v="185"/>
    <x v="6"/>
    <n v="4"/>
    <n v="4.7600000000000003E-2"/>
    <n v="5"/>
    <n v="4.4999999999999998E-2"/>
    <n v="1"/>
    <n v="1"/>
    <n v="0.25"/>
    <n v="11.99"/>
    <s v="1"/>
    <n v="0.25"/>
  </r>
  <r>
    <x v="186"/>
    <x v="3"/>
    <n v="27"/>
    <n v="0.2596"/>
    <n v="34"/>
    <n v="0.2787"/>
    <n v="1"/>
    <n v="0"/>
    <n v="0"/>
    <n v="0"/>
    <s v="0"/>
    <n v="0"/>
  </r>
  <r>
    <x v="186"/>
    <x v="6"/>
    <n v="9"/>
    <n v="8.6499999999999994E-2"/>
    <n v="9"/>
    <n v="7.3800000000000004E-2"/>
    <n v="1"/>
    <n v="0"/>
    <n v="0"/>
    <n v="0"/>
    <s v="0"/>
    <n v="0"/>
  </r>
  <r>
    <x v="186"/>
    <x v="1"/>
    <n v="0"/>
    <n v="0"/>
    <n v="0"/>
    <n v="0"/>
    <n v="0"/>
    <n v="2"/>
    <n v="0"/>
    <n v="31.98"/>
    <s v="2"/>
    <n v="0"/>
  </r>
  <r>
    <x v="186"/>
    <x v="5"/>
    <n v="4"/>
    <n v="3.85E-2"/>
    <n v="5"/>
    <n v="4.1000000000000002E-2"/>
    <n v="1"/>
    <n v="3"/>
    <n v="0.75"/>
    <n v="38.97"/>
    <s v="3"/>
    <n v="0.75"/>
  </r>
  <r>
    <x v="186"/>
    <x v="2"/>
    <n v="12"/>
    <n v="0.1154"/>
    <n v="14"/>
    <n v="0.1148"/>
    <n v="1"/>
    <n v="2"/>
    <n v="0.16669999999999999"/>
    <n v="33.94"/>
    <s v="2"/>
    <n v="0.16666666666666699"/>
  </r>
  <r>
    <x v="186"/>
    <x v="0"/>
    <n v="52"/>
    <n v="0.5"/>
    <n v="60"/>
    <n v="0.49180000000000001"/>
    <n v="1"/>
    <n v="15"/>
    <n v="0.28849999999999998"/>
    <n v="208.05"/>
    <s v="14"/>
    <n v="0.269230769230769"/>
  </r>
  <r>
    <x v="187"/>
    <x v="1"/>
    <n v="4"/>
    <n v="3.1E-2"/>
    <n v="5"/>
    <n v="2.8400000000000002E-2"/>
    <n v="1"/>
    <n v="0"/>
    <n v="0"/>
    <n v="0"/>
    <s v="0"/>
    <n v="0"/>
  </r>
  <r>
    <x v="187"/>
    <x v="2"/>
    <n v="15"/>
    <n v="0.1163"/>
    <n v="17"/>
    <n v="9.6600000000000005E-2"/>
    <n v="0.94"/>
    <n v="2"/>
    <n v="0.1333"/>
    <n v="33.94"/>
    <s v="2"/>
    <n v="0.133333333333333"/>
  </r>
  <r>
    <x v="187"/>
    <x v="5"/>
    <n v="13"/>
    <n v="0.1008"/>
    <n v="25"/>
    <n v="0.14199999999999999"/>
    <n v="1"/>
    <n v="5"/>
    <n v="0.3846"/>
    <n v="64.95"/>
    <s v="4"/>
    <n v="0.30769230769230799"/>
  </r>
  <r>
    <x v="187"/>
    <x v="6"/>
    <n v="10"/>
    <n v="7.7499999999999999E-2"/>
    <n v="14"/>
    <n v="7.9500000000000001E-2"/>
    <n v="1"/>
    <n v="2"/>
    <n v="0.2"/>
    <n v="23.98"/>
    <s v="2"/>
    <n v="0.2"/>
  </r>
  <r>
    <x v="187"/>
    <x v="0"/>
    <n v="58"/>
    <n v="0.4496"/>
    <n v="78"/>
    <n v="0.44319999999999998"/>
    <n v="1"/>
    <n v="9"/>
    <n v="0.1552"/>
    <n v="124.83"/>
    <s v="7"/>
    <n v="0.12068965517241401"/>
  </r>
  <r>
    <x v="187"/>
    <x v="3"/>
    <n v="29"/>
    <n v="0.2248"/>
    <n v="37"/>
    <n v="0.2102"/>
    <n v="1"/>
    <n v="1"/>
    <n v="3.4500000000000003E-2"/>
    <n v="27.87"/>
    <s v="1"/>
    <n v="3.4482758620689703E-2"/>
  </r>
  <r>
    <x v="188"/>
    <x v="3"/>
    <n v="13"/>
    <n v="0.12620000000000001"/>
    <n v="17"/>
    <n v="0.1172"/>
    <n v="1"/>
    <n v="0"/>
    <n v="0"/>
    <n v="0"/>
    <s v="0"/>
    <n v="0"/>
  </r>
  <r>
    <x v="188"/>
    <x v="2"/>
    <n v="12"/>
    <n v="0.11650000000000001"/>
    <n v="16"/>
    <n v="0.1103"/>
    <n v="1"/>
    <n v="0"/>
    <n v="0"/>
    <n v="0"/>
    <s v="0"/>
    <n v="0"/>
  </r>
  <r>
    <x v="188"/>
    <x v="6"/>
    <n v="7"/>
    <n v="6.8000000000000005E-2"/>
    <n v="12"/>
    <n v="8.2799999999999999E-2"/>
    <n v="1"/>
    <n v="0"/>
    <n v="0"/>
    <n v="0"/>
    <s v="0"/>
    <n v="0"/>
  </r>
  <r>
    <x v="188"/>
    <x v="5"/>
    <n v="23"/>
    <n v="0.2233"/>
    <n v="30"/>
    <n v="0.2069"/>
    <n v="1"/>
    <n v="2"/>
    <n v="8.6999999999999994E-2"/>
    <n v="25.98"/>
    <s v="2"/>
    <n v="8.6956521739130405E-2"/>
  </r>
  <r>
    <x v="188"/>
    <x v="1"/>
    <n v="2"/>
    <n v="1.9400000000000001E-2"/>
    <n v="2"/>
    <n v="1.38E-2"/>
    <n v="1"/>
    <n v="2"/>
    <n v="1"/>
    <n v="31.98"/>
    <s v="2"/>
    <n v="1"/>
  </r>
  <r>
    <x v="188"/>
    <x v="0"/>
    <n v="46"/>
    <n v="0.4466"/>
    <n v="68"/>
    <n v="0.46899999999999997"/>
    <n v="1"/>
    <n v="9"/>
    <n v="0.19570000000000001"/>
    <n v="124.83"/>
    <s v="9"/>
    <n v="0.19565217391304399"/>
  </r>
  <r>
    <x v="189"/>
    <x v="5"/>
    <n v="38"/>
    <n v="0.28789999999999999"/>
    <n v="44"/>
    <n v="0.25430000000000003"/>
    <n v="1"/>
    <n v="6"/>
    <n v="0.15790000000000001"/>
    <n v="64.95"/>
    <s v="6"/>
    <n v="0.157894736842105"/>
  </r>
  <r>
    <x v="189"/>
    <x v="3"/>
    <n v="21"/>
    <n v="0.15909999999999999"/>
    <n v="28"/>
    <n v="0.1618"/>
    <n v="1"/>
    <n v="6"/>
    <n v="0.28570000000000001"/>
    <n v="167.22"/>
    <s v="3"/>
    <n v="0.14285714285714299"/>
  </r>
  <r>
    <x v="189"/>
    <x v="6"/>
    <n v="13"/>
    <n v="9.8500000000000004E-2"/>
    <n v="16"/>
    <n v="9.2499999999999999E-2"/>
    <n v="1"/>
    <n v="4"/>
    <n v="0.30769999999999997"/>
    <n v="47.96"/>
    <s v="3"/>
    <n v="0.230769230769231"/>
  </r>
  <r>
    <x v="189"/>
    <x v="2"/>
    <n v="10"/>
    <n v="7.5800000000000006E-2"/>
    <n v="12"/>
    <n v="6.9400000000000003E-2"/>
    <n v="1"/>
    <n v="3"/>
    <n v="0.3"/>
    <n v="50.91"/>
    <s v="3"/>
    <n v="0.3"/>
  </r>
  <r>
    <x v="189"/>
    <x v="0"/>
    <n v="50"/>
    <n v="0.37880000000000003"/>
    <n v="73"/>
    <n v="0.42199999999999999"/>
    <n v="1"/>
    <n v="14"/>
    <n v="0.28000000000000003"/>
    <n v="194.18"/>
    <s v="11"/>
    <n v="0.22"/>
  </r>
  <r>
    <x v="190"/>
    <x v="2"/>
    <n v="12"/>
    <n v="0.15579999999999999"/>
    <n v="13"/>
    <n v="0.1275"/>
    <n v="1"/>
    <n v="4"/>
    <n v="0.33329999999999999"/>
    <n v="67.88"/>
    <s v="3"/>
    <n v="0.25"/>
  </r>
  <r>
    <x v="190"/>
    <x v="0"/>
    <n v="36"/>
    <n v="0.46750000000000003"/>
    <n v="54"/>
    <n v="0.52939999999999998"/>
    <n v="1"/>
    <n v="49"/>
    <n v="1.3611"/>
    <n v="679.63"/>
    <s v="9"/>
    <n v="0.25"/>
  </r>
  <r>
    <x v="190"/>
    <x v="3"/>
    <n v="21"/>
    <n v="0.2727"/>
    <n v="23"/>
    <n v="0.22550000000000001"/>
    <n v="1"/>
    <n v="1"/>
    <n v="4.7600000000000003E-2"/>
    <n v="27.87"/>
    <s v="1"/>
    <n v="4.7619047619047603E-2"/>
  </r>
  <r>
    <x v="190"/>
    <x v="5"/>
    <n v="5"/>
    <n v="6.4899999999999999E-2"/>
    <n v="9"/>
    <n v="8.8200000000000001E-2"/>
    <n v="1"/>
    <n v="1"/>
    <n v="0.2"/>
    <n v="12.99"/>
    <s v="1"/>
    <n v="0.2"/>
  </r>
  <r>
    <x v="190"/>
    <x v="6"/>
    <n v="3"/>
    <n v="3.9E-2"/>
    <n v="3"/>
    <n v="2.9399999999999999E-2"/>
    <n v="1"/>
    <n v="1"/>
    <n v="0.33329999999999999"/>
    <n v="11.99"/>
    <s v="1"/>
    <n v="0.33333333333333298"/>
  </r>
  <r>
    <x v="191"/>
    <x v="6"/>
    <n v="3"/>
    <n v="4.1700000000000001E-2"/>
    <n v="3"/>
    <n v="3.09E-2"/>
    <n v="1"/>
    <n v="0"/>
    <n v="0"/>
    <n v="0"/>
    <s v="0"/>
    <n v="0"/>
  </r>
  <r>
    <x v="191"/>
    <x v="5"/>
    <n v="9"/>
    <n v="0.125"/>
    <n v="11"/>
    <n v="0.1134"/>
    <n v="1"/>
    <n v="3"/>
    <n v="0.33329999999999999"/>
    <n v="38.97"/>
    <s v="3"/>
    <n v="0.33333333333333298"/>
  </r>
  <r>
    <x v="191"/>
    <x v="2"/>
    <n v="7"/>
    <n v="9.7199999999999995E-2"/>
    <n v="10"/>
    <n v="0.1031"/>
    <n v="1"/>
    <n v="3"/>
    <n v="0.42859999999999998"/>
    <n v="50.91"/>
    <s v="3"/>
    <n v="0.42857142857142899"/>
  </r>
  <r>
    <x v="191"/>
    <x v="0"/>
    <n v="39"/>
    <n v="0.54169999999999996"/>
    <n v="58"/>
    <n v="0.59789999999999999"/>
    <n v="1"/>
    <n v="8"/>
    <n v="0.2051"/>
    <n v="110.96"/>
    <s v="7"/>
    <n v="0.17948717948717999"/>
  </r>
  <r>
    <x v="191"/>
    <x v="3"/>
    <n v="14"/>
    <n v="0.19439999999999999"/>
    <n v="15"/>
    <n v="0.15459999999999999"/>
    <n v="1"/>
    <n v="1"/>
    <n v="7.1400000000000005E-2"/>
    <n v="27.87"/>
    <s v="1"/>
    <n v="7.1428571428571397E-2"/>
  </r>
  <r>
    <x v="192"/>
    <x v="3"/>
    <n v="9"/>
    <n v="0.1406"/>
    <n v="10"/>
    <n v="0.1149"/>
    <n v="1"/>
    <n v="0"/>
    <n v="0"/>
    <n v="0"/>
    <s v="0"/>
    <n v="0"/>
  </r>
  <r>
    <x v="192"/>
    <x v="6"/>
    <n v="4"/>
    <n v="6.25E-2"/>
    <n v="4"/>
    <n v="4.5999999999999999E-2"/>
    <n v="1"/>
    <n v="0"/>
    <n v="0"/>
    <n v="0"/>
    <s v="0"/>
    <n v="0"/>
  </r>
  <r>
    <x v="192"/>
    <x v="2"/>
    <n v="13"/>
    <n v="0.2031"/>
    <n v="15"/>
    <n v="0.1724"/>
    <n v="1"/>
    <n v="2"/>
    <n v="0.15379999999999999"/>
    <n v="33.94"/>
    <s v="1"/>
    <n v="7.69230769230769E-2"/>
  </r>
  <r>
    <x v="192"/>
    <x v="5"/>
    <n v="6"/>
    <n v="9.3799999999999994E-2"/>
    <n v="12"/>
    <n v="0.13789999999999999"/>
    <n v="1"/>
    <n v="2"/>
    <n v="0.33329999999999999"/>
    <n v="25.98"/>
    <s v="2"/>
    <n v="0.33333333333333298"/>
  </r>
  <r>
    <x v="192"/>
    <x v="0"/>
    <n v="32"/>
    <n v="0.5"/>
    <n v="46"/>
    <n v="0.52869999999999995"/>
    <n v="1"/>
    <n v="11"/>
    <n v="0.34379999999999999"/>
    <n v="152.57"/>
    <s v="9"/>
    <n v="0.28125"/>
  </r>
  <r>
    <x v="193"/>
    <x v="6"/>
    <n v="17"/>
    <n v="0.156"/>
    <n v="18"/>
    <n v="0.1208"/>
    <n v="1"/>
    <n v="0"/>
    <n v="0"/>
    <n v="0"/>
    <s v="0"/>
    <n v="0"/>
  </r>
  <r>
    <x v="193"/>
    <x v="2"/>
    <n v="9"/>
    <n v="8.2600000000000007E-2"/>
    <n v="13"/>
    <n v="8.72E-2"/>
    <n v="1"/>
    <n v="0"/>
    <n v="0"/>
    <n v="0"/>
    <s v="0"/>
    <n v="0"/>
  </r>
  <r>
    <x v="193"/>
    <x v="0"/>
    <n v="60"/>
    <n v="0.55049999999999999"/>
    <n v="90"/>
    <n v="0.60399999999999998"/>
    <n v="0.98"/>
    <n v="17"/>
    <n v="0.2833"/>
    <n v="235.79"/>
    <s v="10"/>
    <n v="0.16666666666666699"/>
  </r>
  <r>
    <x v="193"/>
    <x v="5"/>
    <n v="21"/>
    <n v="0.19270000000000001"/>
    <n v="25"/>
    <n v="0.1678"/>
    <n v="1"/>
    <n v="3"/>
    <n v="0.1429"/>
    <n v="38.97"/>
    <s v="3"/>
    <n v="0.14285714285714299"/>
  </r>
  <r>
    <x v="193"/>
    <x v="3"/>
    <n v="2"/>
    <n v="1.83E-2"/>
    <n v="3"/>
    <n v="2.01E-2"/>
    <n v="1"/>
    <n v="1"/>
    <n v="0.5"/>
    <n v="27.87"/>
    <s v="1"/>
    <n v="0.5"/>
  </r>
  <r>
    <x v="194"/>
    <x v="3"/>
    <n v="4"/>
    <n v="3.8100000000000002E-2"/>
    <n v="4"/>
    <n v="2.8799999999999999E-2"/>
    <n v="1"/>
    <n v="0"/>
    <n v="0"/>
    <n v="0"/>
    <s v="0"/>
    <n v="0"/>
  </r>
  <r>
    <x v="194"/>
    <x v="5"/>
    <n v="18"/>
    <n v="0.1714"/>
    <n v="19"/>
    <n v="0.13669999999999999"/>
    <n v="1"/>
    <n v="4"/>
    <n v="0.22220000000000001"/>
    <n v="51.96"/>
    <s v="4"/>
    <n v="0.22222222222222199"/>
  </r>
  <r>
    <x v="194"/>
    <x v="6"/>
    <n v="16"/>
    <n v="0.15240000000000001"/>
    <n v="22"/>
    <n v="0.1583"/>
    <n v="1"/>
    <n v="2"/>
    <n v="0.125"/>
    <n v="23.98"/>
    <s v="2"/>
    <n v="0.125"/>
  </r>
  <r>
    <x v="194"/>
    <x v="0"/>
    <n v="61"/>
    <n v="0.58099999999999996"/>
    <n v="85"/>
    <n v="0.61150000000000004"/>
    <n v="1"/>
    <n v="10"/>
    <n v="0.16389999999999999"/>
    <n v="138.69999999999999"/>
    <s v="10"/>
    <n v="0.16393442622950799"/>
  </r>
  <r>
    <x v="194"/>
    <x v="2"/>
    <n v="6"/>
    <n v="5.7099999999999998E-2"/>
    <n v="9"/>
    <n v="6.4699999999999994E-2"/>
    <n v="1"/>
    <n v="1"/>
    <n v="0.16669999999999999"/>
    <n v="16.97"/>
    <s v="1"/>
    <n v="0.16666666666666699"/>
  </r>
  <r>
    <x v="195"/>
    <x v="6"/>
    <n v="13"/>
    <n v="0.13980000000000001"/>
    <n v="15"/>
    <n v="0.1154"/>
    <n v="1"/>
    <n v="0"/>
    <n v="0"/>
    <n v="0"/>
    <s v="0"/>
    <n v="0"/>
  </r>
  <r>
    <x v="195"/>
    <x v="2"/>
    <n v="7"/>
    <n v="7.5300000000000006E-2"/>
    <n v="11"/>
    <n v="8.4599999999999995E-2"/>
    <n v="1"/>
    <n v="0"/>
    <n v="0"/>
    <n v="0"/>
    <s v="0"/>
    <n v="0"/>
  </r>
  <r>
    <x v="195"/>
    <x v="3"/>
    <n v="7"/>
    <n v="7.5300000000000006E-2"/>
    <n v="11"/>
    <n v="8.4599999999999995E-2"/>
    <n v="1"/>
    <n v="0"/>
    <n v="0"/>
    <n v="0"/>
    <s v="0"/>
    <n v="0"/>
  </r>
  <r>
    <x v="195"/>
    <x v="0"/>
    <n v="52"/>
    <n v="0.55910000000000004"/>
    <n v="73"/>
    <n v="0.5615"/>
    <n v="0.97"/>
    <n v="11"/>
    <n v="0.21149999999999999"/>
    <n v="152.57"/>
    <s v="9"/>
    <n v="0.17307692307692299"/>
  </r>
  <r>
    <x v="195"/>
    <x v="5"/>
    <n v="14"/>
    <n v="0.15049999999999999"/>
    <n v="20"/>
    <n v="0.15379999999999999"/>
    <n v="1"/>
    <n v="1"/>
    <n v="7.1400000000000005E-2"/>
    <n v="12.99"/>
    <s v="1"/>
    <n v="7.1428571428571397E-2"/>
  </r>
  <r>
    <x v="196"/>
    <x v="6"/>
    <n v="9"/>
    <n v="0.1071"/>
    <n v="10"/>
    <n v="0.10100000000000001"/>
    <n v="1"/>
    <n v="0"/>
    <n v="0"/>
    <n v="0"/>
    <s v="0"/>
    <n v="0"/>
  </r>
  <r>
    <x v="196"/>
    <x v="2"/>
    <n v="5"/>
    <n v="5.9499999999999997E-2"/>
    <n v="6"/>
    <n v="6.0600000000000001E-2"/>
    <n v="1"/>
    <n v="0"/>
    <n v="0"/>
    <n v="0"/>
    <s v="0"/>
    <n v="0"/>
  </r>
  <r>
    <x v="196"/>
    <x v="5"/>
    <n v="17"/>
    <n v="0.2024"/>
    <n v="20"/>
    <n v="0.20200000000000001"/>
    <n v="1"/>
    <n v="4"/>
    <n v="0.23530000000000001"/>
    <n v="51.96"/>
    <s v="4"/>
    <n v="0.23529411764705899"/>
  </r>
  <r>
    <x v="196"/>
    <x v="0"/>
    <n v="49"/>
    <n v="0.58330000000000004"/>
    <n v="57"/>
    <n v="0.57579999999999998"/>
    <n v="1"/>
    <n v="12"/>
    <n v="0.24490000000000001"/>
    <n v="166.44"/>
    <s v="12"/>
    <n v="0.24489795918367299"/>
  </r>
  <r>
    <x v="196"/>
    <x v="3"/>
    <n v="4"/>
    <n v="4.7600000000000003E-2"/>
    <n v="6"/>
    <n v="6.0600000000000001E-2"/>
    <n v="1"/>
    <n v="1"/>
    <n v="0.25"/>
    <n v="27.87"/>
    <s v="1"/>
    <n v="0.25"/>
  </r>
  <r>
    <x v="197"/>
    <x v="4"/>
    <n v="1"/>
    <n v="1.0800000000000001E-2"/>
    <n v="1"/>
    <n v="7.7999999999999996E-3"/>
    <n v="1"/>
    <n v="0"/>
    <n v="0"/>
    <n v="0"/>
    <s v="0"/>
    <n v="0"/>
  </r>
  <r>
    <x v="197"/>
    <x v="3"/>
    <n v="9"/>
    <n v="9.6799999999999997E-2"/>
    <n v="14"/>
    <n v="0.1085"/>
    <n v="1"/>
    <n v="0"/>
    <n v="0"/>
    <n v="0"/>
    <s v="0"/>
    <n v="0"/>
  </r>
  <r>
    <x v="197"/>
    <x v="2"/>
    <n v="6"/>
    <n v="6.4500000000000002E-2"/>
    <n v="10"/>
    <n v="7.7499999999999999E-2"/>
    <n v="1"/>
    <n v="0"/>
    <n v="0"/>
    <n v="0"/>
    <s v="0"/>
    <n v="0"/>
  </r>
  <r>
    <x v="197"/>
    <x v="7"/>
    <n v="3"/>
    <n v="3.2300000000000002E-2"/>
    <n v="4"/>
    <n v="3.1E-2"/>
    <n v="1"/>
    <n v="0"/>
    <n v="0"/>
    <n v="0"/>
    <s v="0"/>
    <n v="0"/>
  </r>
  <r>
    <x v="197"/>
    <x v="5"/>
    <n v="13"/>
    <n v="0.13980000000000001"/>
    <n v="22"/>
    <n v="0.17050000000000001"/>
    <n v="1"/>
    <n v="3"/>
    <n v="0.23080000000000001"/>
    <n v="38.97"/>
    <s v="3"/>
    <n v="0.230769230769231"/>
  </r>
  <r>
    <x v="197"/>
    <x v="6"/>
    <n v="15"/>
    <n v="0.1613"/>
    <n v="16"/>
    <n v="0.124"/>
    <n v="1"/>
    <n v="2"/>
    <n v="0.1333"/>
    <n v="23.98"/>
    <s v="2"/>
    <n v="0.133333333333333"/>
  </r>
  <r>
    <x v="197"/>
    <x v="0"/>
    <n v="46"/>
    <n v="0.49459999999999998"/>
    <n v="62"/>
    <n v="0.48060000000000003"/>
    <n v="1"/>
    <n v="7"/>
    <n v="0.1522"/>
    <n v="97.09"/>
    <s v="6"/>
    <n v="0.13043478260869601"/>
  </r>
  <r>
    <x v="198"/>
    <x v="1"/>
    <n v="1"/>
    <n v="1.0500000000000001E-2"/>
    <n v="1"/>
    <n v="8.0999999999999996E-3"/>
    <n v="1"/>
    <n v="0"/>
    <n v="0"/>
    <n v="0"/>
    <s v="0"/>
    <n v="0"/>
  </r>
  <r>
    <x v="198"/>
    <x v="7"/>
    <n v="1"/>
    <n v="1.0500000000000001E-2"/>
    <n v="1"/>
    <n v="8.0999999999999996E-3"/>
    <n v="1"/>
    <n v="0"/>
    <n v="0"/>
    <n v="0"/>
    <s v="0"/>
    <n v="0"/>
  </r>
  <r>
    <x v="198"/>
    <x v="2"/>
    <n v="7"/>
    <n v="7.3700000000000002E-2"/>
    <n v="9"/>
    <n v="7.3200000000000001E-2"/>
    <n v="1"/>
    <n v="0"/>
    <n v="0"/>
    <n v="0"/>
    <s v="0"/>
    <n v="0"/>
  </r>
  <r>
    <x v="198"/>
    <x v="4"/>
    <n v="4"/>
    <n v="4.2099999999999999E-2"/>
    <n v="4"/>
    <n v="3.2500000000000001E-2"/>
    <n v="1"/>
    <n v="0"/>
    <n v="0"/>
    <n v="0"/>
    <s v="0"/>
    <n v="0"/>
  </r>
  <r>
    <x v="198"/>
    <x v="3"/>
    <n v="3"/>
    <n v="3.1600000000000003E-2"/>
    <n v="3"/>
    <n v="2.4400000000000002E-2"/>
    <n v="1"/>
    <n v="0"/>
    <n v="0"/>
    <n v="0"/>
    <s v="0"/>
    <n v="0"/>
  </r>
  <r>
    <x v="198"/>
    <x v="6"/>
    <n v="16"/>
    <n v="0.16839999999999999"/>
    <n v="24"/>
    <n v="0.1951"/>
    <n v="1"/>
    <n v="4"/>
    <n v="0.25"/>
    <n v="47.96"/>
    <s v="2"/>
    <n v="0.125"/>
  </r>
  <r>
    <x v="198"/>
    <x v="5"/>
    <n v="21"/>
    <n v="0.22109999999999999"/>
    <n v="28"/>
    <n v="0.2276"/>
    <n v="1"/>
    <n v="3"/>
    <n v="0.1429"/>
    <n v="38.97"/>
    <s v="2"/>
    <n v="9.5238095238095205E-2"/>
  </r>
  <r>
    <x v="198"/>
    <x v="0"/>
    <n v="42"/>
    <n v="0.44209999999999999"/>
    <n v="53"/>
    <n v="0.43090000000000001"/>
    <n v="1"/>
    <n v="10"/>
    <n v="0.23810000000000001"/>
    <n v="138.69999999999999"/>
    <s v="9"/>
    <n v="0.214285714285714"/>
  </r>
  <r>
    <x v="199"/>
    <x v="2"/>
    <n v="1"/>
    <n v="1.4500000000000001E-2"/>
    <n v="1"/>
    <n v="1.09E-2"/>
    <n v="1"/>
    <n v="0"/>
    <n v="0"/>
    <n v="0"/>
    <s v="0"/>
    <n v="0"/>
  </r>
  <r>
    <x v="199"/>
    <x v="1"/>
    <n v="1"/>
    <n v="1.4500000000000001E-2"/>
    <n v="1"/>
    <n v="1.09E-2"/>
    <n v="1"/>
    <n v="0"/>
    <n v="0"/>
    <n v="0"/>
    <s v="0"/>
    <n v="0"/>
  </r>
  <r>
    <x v="199"/>
    <x v="8"/>
    <n v="2"/>
    <n v="2.9000000000000001E-2"/>
    <n v="3"/>
    <n v="3.2599999999999997E-2"/>
    <n v="1"/>
    <n v="0"/>
    <n v="0"/>
    <n v="0"/>
    <s v="0"/>
    <n v="0"/>
  </r>
  <r>
    <x v="199"/>
    <x v="4"/>
    <n v="5"/>
    <n v="7.2499999999999995E-2"/>
    <n v="6"/>
    <n v="6.5199999999999994E-2"/>
    <n v="1"/>
    <n v="0"/>
    <n v="0"/>
    <n v="0"/>
    <s v="0"/>
    <n v="0"/>
  </r>
  <r>
    <x v="199"/>
    <x v="3"/>
    <n v="3"/>
    <n v="4.3499999999999997E-2"/>
    <n v="6"/>
    <n v="6.5199999999999994E-2"/>
    <n v="1"/>
    <n v="0"/>
    <n v="0"/>
    <n v="0"/>
    <s v="0"/>
    <n v="0"/>
  </r>
  <r>
    <x v="199"/>
    <x v="0"/>
    <n v="36"/>
    <n v="0.52170000000000005"/>
    <n v="46"/>
    <n v="0.5"/>
    <n v="0.98"/>
    <n v="9"/>
    <n v="0.25"/>
    <n v="124.83"/>
    <s v="9"/>
    <n v="0.25"/>
  </r>
  <r>
    <x v="199"/>
    <x v="5"/>
    <n v="12"/>
    <n v="0.1739"/>
    <n v="13"/>
    <n v="0.14130000000000001"/>
    <n v="1"/>
    <n v="4"/>
    <n v="0.33329999999999999"/>
    <n v="51.96"/>
    <s v="4"/>
    <n v="0.33333333333333298"/>
  </r>
  <r>
    <x v="199"/>
    <x v="6"/>
    <n v="9"/>
    <n v="0.13039999999999999"/>
    <n v="16"/>
    <n v="0.1739"/>
    <n v="1"/>
    <n v="1"/>
    <n v="0.1111"/>
    <n v="11.99"/>
    <s v="1"/>
    <n v="0.11111111111111099"/>
  </r>
  <r>
    <x v="200"/>
    <x v="7"/>
    <n v="2"/>
    <n v="1.8700000000000001E-2"/>
    <n v="4"/>
    <n v="2.7199999999999998E-2"/>
    <n v="1"/>
    <n v="0"/>
    <n v="0"/>
    <n v="0"/>
    <s v="0"/>
    <n v="0"/>
  </r>
  <r>
    <x v="200"/>
    <x v="3"/>
    <n v="7"/>
    <n v="6.54E-2"/>
    <n v="11"/>
    <n v="7.4800000000000005E-2"/>
    <n v="1"/>
    <n v="0"/>
    <n v="0"/>
    <n v="0"/>
    <s v="0"/>
    <n v="0"/>
  </r>
  <r>
    <x v="200"/>
    <x v="2"/>
    <n v="4"/>
    <n v="3.7400000000000003E-2"/>
    <n v="6"/>
    <n v="4.0800000000000003E-2"/>
    <n v="1"/>
    <n v="0"/>
    <n v="0"/>
    <n v="0"/>
    <s v="0"/>
    <n v="0"/>
  </r>
  <r>
    <x v="200"/>
    <x v="5"/>
    <n v="14"/>
    <n v="0.1308"/>
    <n v="19"/>
    <n v="0.1293"/>
    <n v="0.95"/>
    <n v="0"/>
    <n v="0"/>
    <n v="0"/>
    <s v="0"/>
    <n v="0"/>
  </r>
  <r>
    <x v="200"/>
    <x v="0"/>
    <n v="56"/>
    <n v="0.52339999999999998"/>
    <n v="75"/>
    <n v="0.51019999999999999"/>
    <n v="0.99"/>
    <n v="14"/>
    <n v="0.25"/>
    <n v="194.18"/>
    <s v="10"/>
    <n v="0.17857142857142899"/>
  </r>
  <r>
    <x v="200"/>
    <x v="4"/>
    <n v="10"/>
    <n v="9.35E-2"/>
    <n v="16"/>
    <n v="0.10879999999999999"/>
    <n v="0.94"/>
    <n v="1"/>
    <n v="0.1"/>
    <n v="24.99"/>
    <s v="1"/>
    <n v="0.1"/>
  </r>
  <r>
    <x v="200"/>
    <x v="1"/>
    <n v="0"/>
    <n v="0"/>
    <n v="0"/>
    <n v="0"/>
    <n v="0"/>
    <n v="1"/>
    <n v="0"/>
    <n v="15.99"/>
    <s v="1"/>
    <n v="0"/>
  </r>
  <r>
    <x v="200"/>
    <x v="6"/>
    <n v="14"/>
    <n v="0.1308"/>
    <n v="16"/>
    <n v="0.10879999999999999"/>
    <n v="1"/>
    <n v="1"/>
    <n v="7.1400000000000005E-2"/>
    <n v="11.99"/>
    <s v="1"/>
    <n v="7.1428571428571397E-2"/>
  </r>
  <r>
    <x v="201"/>
    <x v="7"/>
    <n v="2"/>
    <n v="2.1700000000000001E-2"/>
    <n v="6"/>
    <n v="4.0800000000000003E-2"/>
    <n v="1"/>
    <n v="0"/>
    <n v="0"/>
    <n v="0"/>
    <s v="0"/>
    <n v="0"/>
  </r>
  <r>
    <x v="201"/>
    <x v="4"/>
    <n v="6"/>
    <n v="6.5199999999999994E-2"/>
    <n v="9"/>
    <n v="6.1199999999999997E-2"/>
    <n v="1"/>
    <n v="0"/>
    <n v="0"/>
    <n v="0"/>
    <s v="0"/>
    <n v="0"/>
  </r>
  <r>
    <x v="201"/>
    <x v="2"/>
    <n v="7"/>
    <n v="7.6100000000000001E-2"/>
    <n v="13"/>
    <n v="8.8400000000000006E-2"/>
    <n v="0.92"/>
    <n v="2"/>
    <n v="0.28570000000000001"/>
    <n v="33.94"/>
    <s v="2"/>
    <n v="0.28571428571428598"/>
  </r>
  <r>
    <x v="201"/>
    <x v="5"/>
    <n v="10"/>
    <n v="0.1087"/>
    <n v="13"/>
    <n v="8.8400000000000006E-2"/>
    <n v="1"/>
    <n v="4"/>
    <n v="0.4"/>
    <n v="51.96"/>
    <s v="4"/>
    <n v="0.4"/>
  </r>
  <r>
    <x v="201"/>
    <x v="6"/>
    <n v="13"/>
    <n v="0.14130000000000001"/>
    <n v="20"/>
    <n v="0.1361"/>
    <n v="1"/>
    <n v="2"/>
    <n v="0.15379999999999999"/>
    <n v="23.98"/>
    <s v="2"/>
    <n v="0.15384615384615399"/>
  </r>
  <r>
    <x v="201"/>
    <x v="0"/>
    <n v="42"/>
    <n v="0.45650000000000002"/>
    <n v="59"/>
    <n v="0.40139999999999998"/>
    <n v="1"/>
    <n v="11"/>
    <n v="0.26190000000000002"/>
    <n v="152.57"/>
    <s v="10"/>
    <n v="0.238095238095238"/>
  </r>
  <r>
    <x v="201"/>
    <x v="3"/>
    <n v="11"/>
    <n v="0.1196"/>
    <n v="26"/>
    <n v="0.1769"/>
    <n v="1"/>
    <n v="1"/>
    <n v="9.0899999999999995E-2"/>
    <n v="27.87"/>
    <s v="1"/>
    <n v="9.0909090909090898E-2"/>
  </r>
  <r>
    <x v="201"/>
    <x v="8"/>
    <n v="1"/>
    <n v="1.09E-2"/>
    <n v="1"/>
    <n v="6.7999999999999996E-3"/>
    <n v="1"/>
    <n v="1"/>
    <n v="1"/>
    <n v="36.99"/>
    <s v="1"/>
    <n v="1"/>
  </r>
  <r>
    <x v="202"/>
    <x v="4"/>
    <n v="12"/>
    <n v="0.1143"/>
    <n v="16"/>
    <n v="0.1168"/>
    <n v="1"/>
    <n v="0"/>
    <n v="0"/>
    <n v="0"/>
    <s v="0"/>
    <n v="0"/>
  </r>
  <r>
    <x v="202"/>
    <x v="7"/>
    <n v="4"/>
    <n v="3.8100000000000002E-2"/>
    <n v="4"/>
    <n v="2.92E-2"/>
    <n v="1"/>
    <n v="0"/>
    <n v="0"/>
    <n v="0"/>
    <s v="0"/>
    <n v="0"/>
  </r>
  <r>
    <x v="202"/>
    <x v="6"/>
    <n v="13"/>
    <n v="0.12379999999999999"/>
    <n v="15"/>
    <n v="0.1095"/>
    <n v="1"/>
    <n v="3"/>
    <n v="0.23080000000000001"/>
    <n v="35.97"/>
    <s v="2"/>
    <n v="0.15384615384615399"/>
  </r>
  <r>
    <x v="202"/>
    <x v="2"/>
    <n v="5"/>
    <n v="4.7600000000000003E-2"/>
    <n v="6"/>
    <n v="4.3799999999999999E-2"/>
    <n v="1"/>
    <n v="3"/>
    <n v="0.6"/>
    <n v="50.91"/>
    <s v="2"/>
    <n v="0.4"/>
  </r>
  <r>
    <x v="202"/>
    <x v="5"/>
    <n v="7"/>
    <n v="6.6699999999999995E-2"/>
    <n v="13"/>
    <n v="9.4899999999999998E-2"/>
    <n v="1"/>
    <n v="2"/>
    <n v="0.28570000000000001"/>
    <n v="25.98"/>
    <s v="2"/>
    <n v="0.28571428571428598"/>
  </r>
  <r>
    <x v="202"/>
    <x v="0"/>
    <n v="53"/>
    <n v="0.50480000000000003"/>
    <n v="72"/>
    <n v="0.52549999999999997"/>
    <n v="1"/>
    <n v="8"/>
    <n v="0.15090000000000001"/>
    <n v="110.96"/>
    <s v="8"/>
    <n v="0.15094339622641501"/>
  </r>
  <r>
    <x v="202"/>
    <x v="3"/>
    <n v="11"/>
    <n v="0.1048"/>
    <n v="11"/>
    <n v="8.0299999999999996E-2"/>
    <n v="1"/>
    <n v="1"/>
    <n v="9.0899999999999995E-2"/>
    <n v="29.99"/>
    <s v="1"/>
    <n v="9.0909090909090898E-2"/>
  </r>
  <r>
    <x v="203"/>
    <x v="1"/>
    <n v="1"/>
    <n v="1.1900000000000001E-2"/>
    <n v="1"/>
    <n v="8.6E-3"/>
    <n v="1"/>
    <n v="0"/>
    <n v="0"/>
    <n v="0"/>
    <s v="0"/>
    <n v="0"/>
  </r>
  <r>
    <x v="203"/>
    <x v="2"/>
    <n v="1"/>
    <n v="1.1900000000000001E-2"/>
    <n v="1"/>
    <n v="8.6E-3"/>
    <n v="1"/>
    <n v="0"/>
    <n v="0"/>
    <n v="0"/>
    <s v="0"/>
    <n v="0"/>
  </r>
  <r>
    <x v="203"/>
    <x v="8"/>
    <n v="1"/>
    <n v="1.1900000000000001E-2"/>
    <n v="1"/>
    <n v="8.6E-3"/>
    <n v="1"/>
    <n v="0"/>
    <n v="0"/>
    <n v="0"/>
    <s v="0"/>
    <n v="0"/>
  </r>
  <r>
    <x v="203"/>
    <x v="1"/>
    <n v="1"/>
    <n v="1.1900000000000001E-2"/>
    <n v="6"/>
    <n v="5.1700000000000003E-2"/>
    <n v="1"/>
    <n v="0"/>
    <n v="0"/>
    <n v="0"/>
    <s v="0"/>
    <n v="0"/>
  </r>
  <r>
    <x v="203"/>
    <x v="9"/>
    <n v="2"/>
    <n v="2.3800000000000002E-2"/>
    <n v="2"/>
    <n v="1.72E-2"/>
    <n v="1"/>
    <n v="0"/>
    <n v="0"/>
    <n v="0"/>
    <s v="0"/>
    <n v="0"/>
  </r>
  <r>
    <x v="203"/>
    <x v="6"/>
    <n v="11"/>
    <n v="0.13100000000000001"/>
    <n v="14"/>
    <n v="0.1207"/>
    <n v="1"/>
    <n v="0"/>
    <n v="0"/>
    <n v="0"/>
    <s v="0"/>
    <n v="0"/>
  </r>
  <r>
    <x v="203"/>
    <x v="4"/>
    <n v="7"/>
    <n v="8.3299999999999999E-2"/>
    <n v="8"/>
    <n v="6.9000000000000006E-2"/>
    <n v="1"/>
    <n v="0"/>
    <n v="0"/>
    <n v="0"/>
    <s v="0"/>
    <n v="0"/>
  </r>
  <r>
    <x v="203"/>
    <x v="3"/>
    <n v="7"/>
    <n v="8.3299999999999999E-2"/>
    <n v="12"/>
    <n v="0.10340000000000001"/>
    <n v="1"/>
    <n v="0"/>
    <n v="0"/>
    <n v="0"/>
    <s v="0"/>
    <n v="0"/>
  </r>
  <r>
    <x v="203"/>
    <x v="7"/>
    <n v="3"/>
    <n v="3.5700000000000003E-2"/>
    <n v="6"/>
    <n v="5.1700000000000003E-2"/>
    <n v="1"/>
    <n v="0"/>
    <n v="0"/>
    <n v="0"/>
    <s v="0"/>
    <n v="0"/>
  </r>
  <r>
    <x v="203"/>
    <x v="1"/>
    <n v="1"/>
    <n v="1.1900000000000001E-2"/>
    <n v="1"/>
    <n v="8.6E-3"/>
    <n v="0"/>
    <n v="0"/>
    <n v="0"/>
    <n v="0"/>
    <s v="0"/>
    <n v="0"/>
  </r>
  <r>
    <x v="203"/>
    <x v="0"/>
    <n v="37"/>
    <n v="0.4405"/>
    <n v="50"/>
    <n v="0.43099999999999999"/>
    <n v="1"/>
    <n v="38"/>
    <n v="1.0269999999999999"/>
    <n v="527.05999999999995"/>
    <s v="8"/>
    <n v="0.21621621621621601"/>
  </r>
  <r>
    <x v="203"/>
    <x v="5"/>
    <n v="12"/>
    <n v="0.1429"/>
    <n v="14"/>
    <n v="0.1207"/>
    <n v="1"/>
    <n v="1"/>
    <n v="8.3299999999999999E-2"/>
    <n v="12.99"/>
    <s v="1"/>
    <n v="8.3333333333333301E-2"/>
  </r>
  <r>
    <x v="204"/>
    <x v="1"/>
    <n v="1"/>
    <n v="1.2200000000000001E-2"/>
    <n v="1"/>
    <n v="9.1000000000000004E-3"/>
    <n v="1"/>
    <n v="0"/>
    <n v="0"/>
    <n v="0"/>
    <s v="0"/>
    <n v="0"/>
  </r>
  <r>
    <x v="204"/>
    <x v="7"/>
    <n v="1"/>
    <n v="1.2200000000000001E-2"/>
    <n v="1"/>
    <n v="9.1000000000000004E-3"/>
    <n v="1"/>
    <n v="0"/>
    <n v="0"/>
    <n v="0"/>
    <s v="0"/>
    <n v="0"/>
  </r>
  <r>
    <x v="204"/>
    <x v="1"/>
    <n v="1"/>
    <n v="1.2200000000000001E-2"/>
    <n v="1"/>
    <n v="9.1000000000000004E-3"/>
    <n v="1"/>
    <n v="0"/>
    <n v="0"/>
    <n v="0"/>
    <s v="0"/>
    <n v="0"/>
  </r>
  <r>
    <x v="204"/>
    <x v="1"/>
    <n v="1"/>
    <n v="1.2200000000000001E-2"/>
    <n v="1"/>
    <n v="9.1000000000000004E-3"/>
    <n v="1"/>
    <n v="0"/>
    <n v="0"/>
    <n v="0"/>
    <s v="0"/>
    <n v="0"/>
  </r>
  <r>
    <x v="204"/>
    <x v="9"/>
    <n v="1"/>
    <n v="1.2200000000000001E-2"/>
    <n v="1"/>
    <n v="9.1000000000000004E-3"/>
    <n v="1"/>
    <n v="0"/>
    <n v="0"/>
    <n v="0"/>
    <s v="0"/>
    <n v="0"/>
  </r>
  <r>
    <x v="204"/>
    <x v="8"/>
    <n v="1"/>
    <n v="1.2200000000000001E-2"/>
    <n v="2"/>
    <n v="1.8200000000000001E-2"/>
    <n v="1"/>
    <n v="0"/>
    <n v="0"/>
    <n v="0"/>
    <s v="0"/>
    <n v="0"/>
  </r>
  <r>
    <x v="204"/>
    <x v="4"/>
    <n v="2"/>
    <n v="2.4400000000000002E-2"/>
    <n v="7"/>
    <n v="6.3600000000000004E-2"/>
    <n v="1"/>
    <n v="0"/>
    <n v="0"/>
    <n v="0"/>
    <s v="0"/>
    <n v="0"/>
  </r>
  <r>
    <x v="204"/>
    <x v="3"/>
    <n v="12"/>
    <n v="0.14630000000000001"/>
    <n v="13"/>
    <n v="0.1182"/>
    <n v="1"/>
    <n v="0"/>
    <n v="0"/>
    <n v="0"/>
    <s v="0"/>
    <n v="0"/>
  </r>
  <r>
    <x v="204"/>
    <x v="2"/>
    <n v="3"/>
    <n v="3.6600000000000001E-2"/>
    <n v="8"/>
    <n v="7.2700000000000001E-2"/>
    <n v="1"/>
    <n v="0"/>
    <n v="0"/>
    <n v="0"/>
    <s v="0"/>
    <n v="0"/>
  </r>
  <r>
    <x v="204"/>
    <x v="0"/>
    <n v="43"/>
    <n v="0.52439999999999998"/>
    <n v="58"/>
    <n v="0.52729999999999999"/>
    <n v="0.98"/>
    <n v="6"/>
    <n v="0.13950000000000001"/>
    <n v="83.22"/>
    <s v="6"/>
    <n v="0.13953488372093001"/>
  </r>
  <r>
    <x v="204"/>
    <x v="5"/>
    <n v="10"/>
    <n v="0.122"/>
    <n v="11"/>
    <n v="0.1"/>
    <n v="1"/>
    <n v="2"/>
    <n v="0.2"/>
    <n v="25.98"/>
    <s v="2"/>
    <n v="0.2"/>
  </r>
  <r>
    <x v="204"/>
    <x v="6"/>
    <n v="6"/>
    <n v="7.3200000000000001E-2"/>
    <n v="6"/>
    <n v="5.45E-2"/>
    <n v="1"/>
    <n v="1"/>
    <n v="0.16669999999999999"/>
    <n v="11.99"/>
    <s v="1"/>
    <n v="0.16666666666666699"/>
  </r>
  <r>
    <x v="205"/>
    <x v="4"/>
    <n v="1"/>
    <n v="3.3E-3"/>
    <n v="1"/>
    <n v="2.3E-3"/>
    <n v="1"/>
    <n v="0"/>
    <n v="0"/>
    <n v="0"/>
    <s v="0"/>
    <n v="0"/>
  </r>
  <r>
    <x v="205"/>
    <x v="2"/>
    <n v="7"/>
    <n v="2.3199999999999998E-2"/>
    <n v="14"/>
    <n v="3.2000000000000001E-2"/>
    <n v="1"/>
    <n v="0"/>
    <n v="0"/>
    <n v="0"/>
    <s v="0"/>
    <n v="0"/>
  </r>
  <r>
    <x v="205"/>
    <x v="3"/>
    <n v="18"/>
    <n v="5.96E-2"/>
    <n v="31"/>
    <n v="7.0900000000000005E-2"/>
    <n v="0.97"/>
    <n v="0"/>
    <n v="0"/>
    <n v="0"/>
    <s v="0"/>
    <n v="0"/>
  </r>
  <r>
    <x v="205"/>
    <x v="5"/>
    <n v="14"/>
    <n v="4.6399999999999997E-2"/>
    <n v="29"/>
    <n v="6.6400000000000001E-2"/>
    <n v="0.97"/>
    <n v="3"/>
    <n v="0.21429999999999999"/>
    <n v="38.97"/>
    <s v="3"/>
    <n v="0.214285714285714"/>
  </r>
  <r>
    <x v="205"/>
    <x v="6"/>
    <n v="12"/>
    <n v="3.9699999999999999E-2"/>
    <n v="18"/>
    <n v="4.1200000000000001E-2"/>
    <n v="1"/>
    <n v="4"/>
    <n v="0.33329999999999999"/>
    <n v="47.96"/>
    <s v="3"/>
    <n v="0.25"/>
  </r>
  <r>
    <x v="205"/>
    <x v="0"/>
    <n v="250"/>
    <n v="0.82779999999999998"/>
    <n v="344"/>
    <n v="0.78720000000000001"/>
    <n v="1"/>
    <n v="114"/>
    <n v="0.45600000000000002"/>
    <n v="1581.18"/>
    <s v="111"/>
    <n v="0.44400000000000001"/>
  </r>
  <r>
    <x v="206"/>
    <x v="1"/>
    <n v="1"/>
    <n v="1.03E-2"/>
    <n v="1"/>
    <n v="7.6E-3"/>
    <n v="1"/>
    <n v="0"/>
    <n v="0"/>
    <n v="0"/>
    <s v="0"/>
    <n v="0"/>
  </r>
  <r>
    <x v="206"/>
    <x v="2"/>
    <n v="4"/>
    <n v="4.1200000000000001E-2"/>
    <n v="6"/>
    <n v="4.58E-2"/>
    <n v="1"/>
    <n v="0"/>
    <n v="0"/>
    <n v="0"/>
    <s v="0"/>
    <n v="0"/>
  </r>
  <r>
    <x v="206"/>
    <x v="4"/>
    <n v="3"/>
    <n v="3.09E-2"/>
    <n v="3"/>
    <n v="2.29E-2"/>
    <n v="1"/>
    <n v="0"/>
    <n v="0"/>
    <n v="0"/>
    <s v="0"/>
    <n v="0"/>
  </r>
  <r>
    <x v="206"/>
    <x v="0"/>
    <n v="59"/>
    <n v="0.60819999999999996"/>
    <n v="85"/>
    <n v="0.64890000000000003"/>
    <n v="0.99"/>
    <n v="7"/>
    <n v="0.1186"/>
    <n v="97.09"/>
    <s v="7"/>
    <n v="0.11864406779661001"/>
  </r>
  <r>
    <x v="206"/>
    <x v="3"/>
    <n v="12"/>
    <n v="0.1237"/>
    <n v="14"/>
    <n v="0.1069"/>
    <n v="1"/>
    <n v="2"/>
    <n v="0.16669999999999999"/>
    <n v="59.98"/>
    <s v="2"/>
    <n v="0.16666666666666699"/>
  </r>
  <r>
    <x v="206"/>
    <x v="6"/>
    <n v="10"/>
    <n v="0.1031"/>
    <n v="13"/>
    <n v="9.9199999999999997E-2"/>
    <n v="1"/>
    <n v="2"/>
    <n v="0.2"/>
    <n v="23.98"/>
    <s v="1"/>
    <n v="0.1"/>
  </r>
  <r>
    <x v="206"/>
    <x v="5"/>
    <n v="8"/>
    <n v="8.2500000000000004E-2"/>
    <n v="9"/>
    <n v="6.8699999999999997E-2"/>
    <n v="1"/>
    <n v="1"/>
    <n v="0.125"/>
    <n v="12.99"/>
    <s v="1"/>
    <n v="0.125"/>
  </r>
  <r>
    <x v="207"/>
    <x v="4"/>
    <n v="2"/>
    <n v="2.35E-2"/>
    <n v="2"/>
    <n v="1.8700000000000001E-2"/>
    <n v="1"/>
    <n v="0"/>
    <n v="0"/>
    <n v="0"/>
    <s v="0"/>
    <n v="0"/>
  </r>
  <r>
    <x v="207"/>
    <x v="3"/>
    <n v="9"/>
    <n v="0.10589999999999999"/>
    <n v="9"/>
    <n v="8.4099999999999994E-2"/>
    <n v="1"/>
    <n v="0"/>
    <n v="0"/>
    <n v="0"/>
    <s v="0"/>
    <n v="0"/>
  </r>
  <r>
    <x v="207"/>
    <x v="8"/>
    <n v="1"/>
    <n v="1.18E-2"/>
    <n v="1"/>
    <n v="9.2999999999999992E-3"/>
    <n v="0"/>
    <n v="0"/>
    <n v="0"/>
    <n v="0"/>
    <s v="0"/>
    <n v="0"/>
  </r>
  <r>
    <x v="207"/>
    <x v="5"/>
    <n v="10"/>
    <n v="0.1176"/>
    <n v="15"/>
    <n v="0.14019999999999999"/>
    <n v="0.93"/>
    <n v="1"/>
    <n v="0.1"/>
    <n v="12.99"/>
    <s v="1"/>
    <n v="0.1"/>
  </r>
  <r>
    <x v="207"/>
    <x v="6"/>
    <n v="6"/>
    <n v="7.0599999999999996E-2"/>
    <n v="8"/>
    <n v="7.4800000000000005E-2"/>
    <n v="0.88"/>
    <n v="5"/>
    <n v="0.83330000000000004"/>
    <n v="59.95"/>
    <s v="2"/>
    <n v="0.33333333333333298"/>
  </r>
  <r>
    <x v="207"/>
    <x v="0"/>
    <n v="54"/>
    <n v="0.63529999999999998"/>
    <n v="69"/>
    <n v="0.64490000000000003"/>
    <n v="1"/>
    <n v="12"/>
    <n v="0.22220000000000001"/>
    <n v="166.44"/>
    <s v="11"/>
    <n v="0.203703703703704"/>
  </r>
  <r>
    <x v="207"/>
    <x v="2"/>
    <n v="3"/>
    <n v="3.5299999999999998E-2"/>
    <n v="3"/>
    <n v="2.8000000000000001E-2"/>
    <n v="1"/>
    <n v="1"/>
    <n v="0.33329999999999999"/>
    <n v="16.97"/>
    <s v="1"/>
    <n v="0.33333333333333298"/>
  </r>
  <r>
    <x v="208"/>
    <x v="1"/>
    <n v="1"/>
    <n v="6.8999999999999999E-3"/>
    <n v="1"/>
    <n v="4.7999999999999996E-3"/>
    <n v="1"/>
    <n v="0"/>
    <n v="0"/>
    <n v="0"/>
    <s v="0"/>
    <n v="0"/>
  </r>
  <r>
    <x v="208"/>
    <x v="6"/>
    <n v="14"/>
    <n v="9.6600000000000005E-2"/>
    <n v="17"/>
    <n v="8.2100000000000006E-2"/>
    <n v="1"/>
    <n v="0"/>
    <n v="0"/>
    <n v="0"/>
    <s v="0"/>
    <n v="0"/>
  </r>
  <r>
    <x v="208"/>
    <x v="5"/>
    <n v="18"/>
    <n v="0.1241"/>
    <n v="27"/>
    <n v="0.13039999999999999"/>
    <n v="1"/>
    <n v="6"/>
    <n v="0.33329999999999999"/>
    <n v="77.94"/>
    <s v="6"/>
    <n v="0.33333333333333298"/>
  </r>
  <r>
    <x v="208"/>
    <x v="2"/>
    <n v="6"/>
    <n v="4.1399999999999999E-2"/>
    <n v="11"/>
    <n v="5.3100000000000001E-2"/>
    <n v="1"/>
    <n v="2"/>
    <n v="0.33329999999999999"/>
    <n v="33.94"/>
    <s v="2"/>
    <n v="0.33333333333333298"/>
  </r>
  <r>
    <x v="208"/>
    <x v="0"/>
    <n v="101"/>
    <n v="0.6966"/>
    <n v="145"/>
    <n v="0.70050000000000001"/>
    <n v="1"/>
    <n v="31"/>
    <n v="0.30690000000000001"/>
    <n v="429.97"/>
    <s v="27"/>
    <n v="0.26732673267326701"/>
  </r>
  <r>
    <x v="208"/>
    <x v="3"/>
    <n v="5"/>
    <n v="3.4500000000000003E-2"/>
    <n v="6"/>
    <n v="2.9000000000000001E-2"/>
    <n v="1"/>
    <n v="1"/>
    <n v="0.2"/>
    <n v="29.99"/>
    <s v="1"/>
    <n v="0.2"/>
  </r>
  <r>
    <x v="209"/>
    <x v="10"/>
    <n v="1"/>
    <n v="6.4000000000000003E-3"/>
    <n v="2"/>
    <n v="1.01E-2"/>
    <n v="1"/>
    <n v="0"/>
    <n v="0"/>
    <n v="0"/>
    <s v="0"/>
    <n v="0"/>
  </r>
  <r>
    <x v="209"/>
    <x v="4"/>
    <n v="2"/>
    <n v="1.2699999999999999E-2"/>
    <n v="2"/>
    <n v="1.01E-2"/>
    <n v="1"/>
    <n v="0"/>
    <n v="0"/>
    <n v="0"/>
    <s v="0"/>
    <n v="0"/>
  </r>
  <r>
    <x v="209"/>
    <x v="5"/>
    <n v="10"/>
    <n v="6.3700000000000007E-2"/>
    <n v="10"/>
    <n v="5.0500000000000003E-2"/>
    <n v="1"/>
    <n v="0"/>
    <n v="0"/>
    <n v="0"/>
    <s v="0"/>
    <n v="0"/>
  </r>
  <r>
    <x v="209"/>
    <x v="2"/>
    <n v="6"/>
    <n v="3.8199999999999998E-2"/>
    <n v="7"/>
    <n v="3.5400000000000001E-2"/>
    <n v="1"/>
    <n v="0"/>
    <n v="0"/>
    <n v="0"/>
    <s v="0"/>
    <n v="0"/>
  </r>
  <r>
    <x v="209"/>
    <x v="8"/>
    <n v="0"/>
    <n v="0"/>
    <n v="0"/>
    <n v="0"/>
    <n v="0"/>
    <n v="1"/>
    <n v="0"/>
    <n v="40.98"/>
    <s v="1"/>
    <n v="0"/>
  </r>
  <r>
    <x v="209"/>
    <x v="0"/>
    <n v="125"/>
    <n v="0.79620000000000002"/>
    <n v="161"/>
    <n v="0.81310000000000004"/>
    <n v="1"/>
    <n v="25"/>
    <n v="0.2"/>
    <n v="346.75"/>
    <s v="23"/>
    <n v="0.184"/>
  </r>
  <r>
    <x v="209"/>
    <x v="3"/>
    <n v="8"/>
    <n v="5.0999999999999997E-2"/>
    <n v="9"/>
    <n v="4.5499999999999999E-2"/>
    <n v="1"/>
    <n v="1"/>
    <n v="0.125"/>
    <n v="29.99"/>
    <s v="1"/>
    <n v="0.125"/>
  </r>
  <r>
    <x v="209"/>
    <x v="6"/>
    <n v="5"/>
    <n v="3.1800000000000002E-2"/>
    <n v="7"/>
    <n v="3.5400000000000001E-2"/>
    <n v="1"/>
    <n v="1"/>
    <n v="0.2"/>
    <n v="11.99"/>
    <s v="1"/>
    <n v="0.2"/>
  </r>
  <r>
    <x v="210"/>
    <x v="8"/>
    <n v="1"/>
    <n v="1.14E-2"/>
    <n v="1"/>
    <n v="8.8000000000000005E-3"/>
    <n v="1"/>
    <n v="0"/>
    <n v="0"/>
    <n v="0"/>
    <s v="0"/>
    <n v="0"/>
  </r>
  <r>
    <x v="210"/>
    <x v="10"/>
    <n v="1"/>
    <n v="1.14E-2"/>
    <n v="1"/>
    <n v="8.8000000000000005E-3"/>
    <n v="1"/>
    <n v="0"/>
    <n v="0"/>
    <n v="0"/>
    <s v="0"/>
    <n v="0"/>
  </r>
  <r>
    <x v="210"/>
    <x v="1"/>
    <n v="2"/>
    <n v="2.2700000000000001E-2"/>
    <n v="2"/>
    <n v="1.7500000000000002E-2"/>
    <n v="1"/>
    <n v="0"/>
    <n v="0"/>
    <n v="0"/>
    <s v="0"/>
    <n v="0"/>
  </r>
  <r>
    <x v="210"/>
    <x v="5"/>
    <n v="7"/>
    <n v="7.9500000000000001E-2"/>
    <n v="8"/>
    <n v="7.0199999999999999E-2"/>
    <n v="1"/>
    <n v="0"/>
    <n v="0"/>
    <n v="0"/>
    <s v="0"/>
    <n v="0"/>
  </r>
  <r>
    <x v="210"/>
    <x v="3"/>
    <n v="6"/>
    <n v="6.8199999999999997E-2"/>
    <n v="9"/>
    <n v="7.8899999999999998E-2"/>
    <n v="1"/>
    <n v="0"/>
    <n v="0"/>
    <n v="0"/>
    <s v="0"/>
    <n v="0"/>
  </r>
  <r>
    <x v="210"/>
    <x v="2"/>
    <n v="5"/>
    <n v="5.6800000000000003E-2"/>
    <n v="6"/>
    <n v="5.2600000000000001E-2"/>
    <n v="1"/>
    <n v="0"/>
    <n v="0"/>
    <n v="0"/>
    <s v="0"/>
    <n v="0"/>
  </r>
  <r>
    <x v="210"/>
    <x v="4"/>
    <n v="4"/>
    <n v="4.5499999999999999E-2"/>
    <n v="4"/>
    <n v="3.5099999999999999E-2"/>
    <n v="1"/>
    <n v="0"/>
    <n v="0"/>
    <n v="0"/>
    <s v="0"/>
    <n v="0"/>
  </r>
  <r>
    <x v="210"/>
    <x v="6"/>
    <n v="9"/>
    <n v="0.1023"/>
    <n v="9"/>
    <n v="7.8899999999999998E-2"/>
    <n v="1"/>
    <n v="4"/>
    <n v="0.44440000000000002"/>
    <n v="47.96"/>
    <s v="2"/>
    <n v="0.22222222222222199"/>
  </r>
  <r>
    <x v="210"/>
    <x v="0"/>
    <n v="53"/>
    <n v="0.60229999999999995"/>
    <n v="74"/>
    <n v="0.64910000000000001"/>
    <n v="1"/>
    <n v="21"/>
    <n v="0.3962"/>
    <n v="291.27"/>
    <s v="15"/>
    <n v="0.28301886792452802"/>
  </r>
  <r>
    <x v="211"/>
    <x v="1"/>
    <n v="1"/>
    <n v="9.4999999999999998E-3"/>
    <n v="1"/>
    <n v="7.4000000000000003E-3"/>
    <n v="1"/>
    <n v="0"/>
    <n v="0"/>
    <n v="0"/>
    <s v="0"/>
    <n v="0"/>
  </r>
  <r>
    <x v="211"/>
    <x v="8"/>
    <n v="2"/>
    <n v="1.9E-2"/>
    <n v="2"/>
    <n v="1.47E-2"/>
    <n v="1"/>
    <n v="0"/>
    <n v="0"/>
    <n v="0"/>
    <s v="0"/>
    <n v="0"/>
  </r>
  <r>
    <x v="211"/>
    <x v="10"/>
    <n v="2"/>
    <n v="1.9E-2"/>
    <n v="2"/>
    <n v="1.47E-2"/>
    <n v="1"/>
    <n v="0"/>
    <n v="0"/>
    <n v="0"/>
    <s v="0"/>
    <n v="0"/>
  </r>
  <r>
    <x v="211"/>
    <x v="5"/>
    <n v="12"/>
    <n v="0.1143"/>
    <n v="15"/>
    <n v="0.1103"/>
    <n v="1"/>
    <n v="0"/>
    <n v="0"/>
    <n v="0"/>
    <s v="0"/>
    <n v="0"/>
  </r>
  <r>
    <x v="211"/>
    <x v="4"/>
    <n v="9"/>
    <n v="8.5699999999999998E-2"/>
    <n v="13"/>
    <n v="9.5600000000000004E-2"/>
    <n v="1"/>
    <n v="0"/>
    <n v="0"/>
    <n v="0"/>
    <s v="0"/>
    <n v="0"/>
  </r>
  <r>
    <x v="211"/>
    <x v="2"/>
    <n v="4"/>
    <n v="3.8100000000000002E-2"/>
    <n v="6"/>
    <n v="4.41E-2"/>
    <n v="1"/>
    <n v="0"/>
    <n v="0"/>
    <n v="0"/>
    <s v="0"/>
    <n v="0"/>
  </r>
  <r>
    <x v="211"/>
    <x v="0"/>
    <n v="61"/>
    <n v="0.58099999999999996"/>
    <n v="76"/>
    <n v="0.55879999999999996"/>
    <n v="0.99"/>
    <n v="16"/>
    <n v="0.26229999999999998"/>
    <n v="221.92"/>
    <s v="13"/>
    <n v="0.213114754098361"/>
  </r>
  <r>
    <x v="211"/>
    <x v="6"/>
    <n v="10"/>
    <n v="9.5200000000000007E-2"/>
    <n v="16"/>
    <n v="0.1176"/>
    <n v="1"/>
    <n v="3"/>
    <n v="0.3"/>
    <n v="35.97"/>
    <s v="1"/>
    <n v="0.1"/>
  </r>
  <r>
    <x v="211"/>
    <x v="3"/>
    <n v="4"/>
    <n v="3.8100000000000002E-2"/>
    <n v="5"/>
    <n v="3.6799999999999999E-2"/>
    <n v="1"/>
    <n v="1"/>
    <n v="0.25"/>
    <n v="29.99"/>
    <s v="1"/>
    <n v="0.25"/>
  </r>
  <r>
    <x v="212"/>
    <x v="8"/>
    <n v="1"/>
    <n v="9.7999999999999997E-3"/>
    <n v="1"/>
    <n v="7.1999999999999998E-3"/>
    <n v="1"/>
    <n v="0"/>
    <n v="0"/>
    <n v="0"/>
    <s v="0"/>
    <n v="0"/>
  </r>
  <r>
    <x v="212"/>
    <x v="10"/>
    <n v="12"/>
    <n v="0.1176"/>
    <n v="16"/>
    <n v="0.11509999999999999"/>
    <n v="1"/>
    <n v="0"/>
    <n v="0"/>
    <n v="0"/>
    <s v="0"/>
    <n v="0"/>
  </r>
  <r>
    <x v="212"/>
    <x v="6"/>
    <n v="10"/>
    <n v="9.8000000000000004E-2"/>
    <n v="12"/>
    <n v="8.6300000000000002E-2"/>
    <n v="1"/>
    <n v="0"/>
    <n v="0"/>
    <n v="0"/>
    <s v="0"/>
    <n v="0"/>
  </r>
  <r>
    <x v="212"/>
    <x v="3"/>
    <n v="6"/>
    <n v="5.8799999999999998E-2"/>
    <n v="6"/>
    <n v="4.3200000000000002E-2"/>
    <n v="1"/>
    <n v="0"/>
    <n v="0"/>
    <n v="0"/>
    <s v="0"/>
    <n v="0"/>
  </r>
  <r>
    <x v="212"/>
    <x v="4"/>
    <n v="4"/>
    <n v="3.9199999999999999E-2"/>
    <n v="6"/>
    <n v="4.3200000000000002E-2"/>
    <n v="1"/>
    <n v="0"/>
    <n v="0"/>
    <n v="0"/>
    <s v="0"/>
    <n v="0"/>
  </r>
  <r>
    <x v="212"/>
    <x v="2"/>
    <n v="3"/>
    <n v="2.9399999999999999E-2"/>
    <n v="9"/>
    <n v="6.4699999999999994E-2"/>
    <n v="1"/>
    <n v="0"/>
    <n v="0"/>
    <n v="0"/>
    <s v="0"/>
    <n v="0"/>
  </r>
  <r>
    <x v="212"/>
    <x v="0"/>
    <n v="54"/>
    <n v="0.52939999999999998"/>
    <n v="75"/>
    <n v="0.53959999999999997"/>
    <n v="0.99"/>
    <n v="18"/>
    <n v="0.33329999999999999"/>
    <n v="249.66"/>
    <s v="15"/>
    <n v="0.27777777777777801"/>
  </r>
  <r>
    <x v="212"/>
    <x v="5"/>
    <n v="12"/>
    <n v="0.1176"/>
    <n v="14"/>
    <n v="0.1007"/>
    <n v="1"/>
    <n v="4"/>
    <n v="0.33329999999999999"/>
    <n v="51.96"/>
    <s v="4"/>
    <n v="0.33333333333333298"/>
  </r>
  <r>
    <x v="213"/>
    <x v="3"/>
    <n v="2"/>
    <n v="2.2700000000000001E-2"/>
    <n v="3"/>
    <n v="2.6800000000000001E-2"/>
    <n v="1"/>
    <n v="0"/>
    <n v="0"/>
    <n v="0"/>
    <s v="0"/>
    <n v="0"/>
  </r>
  <r>
    <x v="213"/>
    <x v="10"/>
    <n v="8"/>
    <n v="9.0899999999999995E-2"/>
    <n v="10"/>
    <n v="8.9300000000000004E-2"/>
    <n v="1"/>
    <n v="0"/>
    <n v="0"/>
    <n v="0"/>
    <s v="0"/>
    <n v="0"/>
  </r>
  <r>
    <x v="213"/>
    <x v="6"/>
    <n v="7"/>
    <n v="7.9500000000000001E-2"/>
    <n v="7"/>
    <n v="6.25E-2"/>
    <n v="1"/>
    <n v="0"/>
    <n v="0"/>
    <n v="0"/>
    <s v="0"/>
    <n v="0"/>
  </r>
  <r>
    <x v="213"/>
    <x v="8"/>
    <n v="4"/>
    <n v="4.5499999999999999E-2"/>
    <n v="4"/>
    <n v="3.5700000000000003E-2"/>
    <n v="1"/>
    <n v="0"/>
    <n v="0"/>
    <n v="0"/>
    <s v="0"/>
    <n v="0"/>
  </r>
  <r>
    <x v="213"/>
    <x v="5"/>
    <n v="15"/>
    <n v="0.17050000000000001"/>
    <n v="21"/>
    <n v="0.1875"/>
    <n v="1"/>
    <n v="3"/>
    <n v="0.2"/>
    <n v="38.97"/>
    <s v="3"/>
    <n v="0.2"/>
  </r>
  <r>
    <x v="213"/>
    <x v="0"/>
    <n v="38"/>
    <n v="0.43180000000000002"/>
    <n v="49"/>
    <n v="0.4375"/>
    <n v="1"/>
    <n v="5"/>
    <n v="0.13159999999999999"/>
    <n v="69.349999999999994"/>
    <s v="4"/>
    <n v="0.105263157894737"/>
  </r>
  <r>
    <x v="213"/>
    <x v="4"/>
    <n v="9"/>
    <n v="0.1023"/>
    <n v="10"/>
    <n v="8.9300000000000004E-2"/>
    <n v="1"/>
    <n v="1"/>
    <n v="0.1111"/>
    <n v="22.98"/>
    <s v="1"/>
    <n v="0.11111111111111099"/>
  </r>
  <r>
    <x v="213"/>
    <x v="2"/>
    <n v="5"/>
    <n v="5.6800000000000003E-2"/>
    <n v="8"/>
    <n v="7.1400000000000005E-2"/>
    <n v="1"/>
    <n v="1"/>
    <n v="0.2"/>
    <n v="16.97"/>
    <s v="1"/>
    <n v="0.2"/>
  </r>
  <r>
    <x v="214"/>
    <x v="1"/>
    <n v="1"/>
    <n v="9.7000000000000003E-3"/>
    <n v="2"/>
    <n v="1.5699999999999999E-2"/>
    <n v="1"/>
    <n v="0"/>
    <n v="0"/>
    <n v="0"/>
    <s v="0"/>
    <n v="0"/>
  </r>
  <r>
    <x v="214"/>
    <x v="8"/>
    <n v="1"/>
    <n v="9.7000000000000003E-3"/>
    <n v="2"/>
    <n v="1.5699999999999999E-2"/>
    <n v="1"/>
    <n v="0"/>
    <n v="0"/>
    <n v="0"/>
    <s v="0"/>
    <n v="0"/>
  </r>
  <r>
    <x v="214"/>
    <x v="10"/>
    <n v="10"/>
    <n v="9.7100000000000006E-2"/>
    <n v="10"/>
    <n v="7.8700000000000006E-2"/>
    <n v="1"/>
    <n v="0"/>
    <n v="0"/>
    <n v="0"/>
    <s v="0"/>
    <n v="0"/>
  </r>
  <r>
    <x v="214"/>
    <x v="4"/>
    <n v="7"/>
    <n v="6.8000000000000005E-2"/>
    <n v="13"/>
    <n v="0.1024"/>
    <n v="1"/>
    <n v="0"/>
    <n v="0"/>
    <n v="0"/>
    <s v="0"/>
    <n v="0"/>
  </r>
  <r>
    <x v="214"/>
    <x v="3"/>
    <n v="7"/>
    <n v="6.8000000000000005E-2"/>
    <n v="7"/>
    <n v="5.5100000000000003E-2"/>
    <n v="1"/>
    <n v="2"/>
    <n v="0.28570000000000001"/>
    <n v="59.98"/>
    <s v="2"/>
    <n v="0.28571428571428598"/>
  </r>
  <r>
    <x v="214"/>
    <x v="2"/>
    <n v="5"/>
    <n v="4.8500000000000001E-2"/>
    <n v="8"/>
    <n v="6.3E-2"/>
    <n v="1"/>
    <n v="2"/>
    <n v="0.4"/>
    <n v="33.94"/>
    <s v="2"/>
    <n v="0.4"/>
  </r>
  <r>
    <x v="214"/>
    <x v="0"/>
    <n v="52"/>
    <n v="0.50490000000000002"/>
    <n v="64"/>
    <n v="0.50390000000000001"/>
    <n v="1"/>
    <n v="21"/>
    <n v="0.40379999999999999"/>
    <n v="291.27"/>
    <s v="15"/>
    <n v="0.28846153846153799"/>
  </r>
  <r>
    <x v="214"/>
    <x v="5"/>
    <n v="12"/>
    <n v="0.11650000000000001"/>
    <n v="13"/>
    <n v="0.1024"/>
    <n v="1"/>
    <n v="1"/>
    <n v="8.3299999999999999E-2"/>
    <n v="12.99"/>
    <s v="1"/>
    <n v="8.3333333333333301E-2"/>
  </r>
  <r>
    <x v="214"/>
    <x v="6"/>
    <n v="8"/>
    <n v="7.7700000000000005E-2"/>
    <n v="8"/>
    <n v="6.3E-2"/>
    <n v="1"/>
    <n v="1"/>
    <n v="0.125"/>
    <n v="11.99"/>
    <s v="1"/>
    <n v="0.125"/>
  </r>
  <r>
    <x v="215"/>
    <x v="1"/>
    <n v="2"/>
    <n v="2.9000000000000001E-2"/>
    <n v="2"/>
    <n v="1.9400000000000001E-2"/>
    <n v="1"/>
    <n v="0"/>
    <n v="0"/>
    <n v="0"/>
    <s v="0"/>
    <n v="0"/>
  </r>
  <r>
    <x v="215"/>
    <x v="4"/>
    <n v="7"/>
    <n v="0.1014"/>
    <n v="8"/>
    <n v="7.7700000000000005E-2"/>
    <n v="1"/>
    <n v="0"/>
    <n v="0"/>
    <n v="0"/>
    <s v="0"/>
    <n v="0"/>
  </r>
  <r>
    <x v="215"/>
    <x v="10"/>
    <n v="10"/>
    <n v="0.1449"/>
    <n v="14"/>
    <n v="0.13589999999999999"/>
    <n v="0.93"/>
    <n v="0"/>
    <n v="0"/>
    <n v="0"/>
    <s v="0"/>
    <n v="0"/>
  </r>
  <r>
    <x v="215"/>
    <x v="6"/>
    <n v="0"/>
    <n v="0"/>
    <n v="0"/>
    <n v="0"/>
    <n v="0"/>
    <n v="3"/>
    <n v="0"/>
    <n v="35.97"/>
    <s v="1"/>
    <n v="0"/>
  </r>
  <r>
    <x v="215"/>
    <x v="5"/>
    <n v="0"/>
    <n v="0"/>
    <n v="0"/>
    <n v="0"/>
    <n v="0"/>
    <n v="2"/>
    <n v="0"/>
    <n v="25.98"/>
    <s v="2"/>
    <n v="0"/>
  </r>
  <r>
    <x v="215"/>
    <x v="0"/>
    <n v="47"/>
    <n v="0.68120000000000003"/>
    <n v="72"/>
    <n v="0.69899999999999995"/>
    <n v="1"/>
    <n v="10"/>
    <n v="0.21279999999999999"/>
    <n v="138.69999999999999"/>
    <s v="8"/>
    <n v="0.170212765957447"/>
  </r>
  <r>
    <x v="215"/>
    <x v="2"/>
    <n v="3"/>
    <n v="4.3499999999999997E-2"/>
    <n v="7"/>
    <n v="6.8000000000000005E-2"/>
    <n v="1"/>
    <n v="1"/>
    <n v="0.33329999999999999"/>
    <n v="16.97"/>
    <s v="1"/>
    <n v="0.33333333333333298"/>
  </r>
  <r>
    <x v="216"/>
    <x v="1"/>
    <n v="2"/>
    <n v="1.6799999999999999E-2"/>
    <n v="3"/>
    <n v="1.8599999999999998E-2"/>
    <n v="1"/>
    <n v="0"/>
    <n v="0"/>
    <n v="0"/>
    <s v="0"/>
    <n v="0"/>
  </r>
  <r>
    <x v="216"/>
    <x v="2"/>
    <n v="5"/>
    <n v="4.2000000000000003E-2"/>
    <n v="7"/>
    <n v="4.3499999999999997E-2"/>
    <n v="1"/>
    <n v="0"/>
    <n v="0"/>
    <n v="0"/>
    <s v="0"/>
    <n v="0"/>
  </r>
  <r>
    <x v="216"/>
    <x v="8"/>
    <n v="3"/>
    <n v="2.52E-2"/>
    <n v="4"/>
    <n v="2.4799999999999999E-2"/>
    <n v="1"/>
    <n v="0"/>
    <n v="0"/>
    <n v="0"/>
    <s v="0"/>
    <n v="0"/>
  </r>
  <r>
    <x v="216"/>
    <x v="10"/>
    <n v="10"/>
    <n v="8.4000000000000005E-2"/>
    <n v="12"/>
    <n v="7.4499999999999997E-2"/>
    <n v="0.92"/>
    <n v="0"/>
    <n v="0"/>
    <n v="0"/>
    <s v="0"/>
    <n v="0"/>
  </r>
  <r>
    <x v="216"/>
    <x v="5"/>
    <n v="13"/>
    <n v="0.10920000000000001"/>
    <n v="15"/>
    <n v="9.3200000000000005E-2"/>
    <n v="1"/>
    <n v="5"/>
    <n v="0.3846"/>
    <n v="64.95"/>
    <s v="4"/>
    <n v="0.30769230769230799"/>
  </r>
  <r>
    <x v="216"/>
    <x v="6"/>
    <n v="12"/>
    <n v="0.1008"/>
    <n v="16"/>
    <n v="9.9400000000000002E-2"/>
    <n v="1"/>
    <n v="3"/>
    <n v="0.25"/>
    <n v="35.97"/>
    <s v="2"/>
    <n v="0.16666666666666699"/>
  </r>
  <r>
    <x v="216"/>
    <x v="0"/>
    <n v="56"/>
    <n v="0.47060000000000002"/>
    <n v="78"/>
    <n v="0.48449999999999999"/>
    <n v="1"/>
    <n v="19"/>
    <n v="0.33929999999999999"/>
    <n v="263.52999999999997"/>
    <s v="18"/>
    <n v="0.32142857142857101"/>
  </r>
  <r>
    <x v="216"/>
    <x v="3"/>
    <n v="10"/>
    <n v="8.4000000000000005E-2"/>
    <n v="15"/>
    <n v="9.3200000000000005E-2"/>
    <n v="1"/>
    <n v="1"/>
    <n v="0.1"/>
    <n v="29.99"/>
    <s v="1"/>
    <n v="0.1"/>
  </r>
  <r>
    <x v="216"/>
    <x v="4"/>
    <n v="8"/>
    <n v="6.7199999999999996E-2"/>
    <n v="11"/>
    <n v="6.83E-2"/>
    <n v="1"/>
    <n v="1"/>
    <n v="0.125"/>
    <n v="22.98"/>
    <s v="1"/>
    <n v="0.125"/>
  </r>
  <r>
    <x v="217"/>
    <x v="8"/>
    <n v="1"/>
    <n v="1.67E-2"/>
    <n v="1"/>
    <n v="1.32E-2"/>
    <n v="1"/>
    <n v="0"/>
    <n v="0"/>
    <n v="0"/>
    <s v="0"/>
    <n v="0"/>
  </r>
  <r>
    <x v="217"/>
    <x v="10"/>
    <n v="2"/>
    <n v="3.3300000000000003E-2"/>
    <n v="2"/>
    <n v="2.63E-2"/>
    <n v="1"/>
    <n v="0"/>
    <n v="0"/>
    <n v="0"/>
    <s v="0"/>
    <n v="0"/>
  </r>
  <r>
    <x v="217"/>
    <x v="2"/>
    <n v="7"/>
    <n v="0.1167"/>
    <n v="11"/>
    <n v="0.1447"/>
    <n v="1"/>
    <n v="0"/>
    <n v="0"/>
    <n v="0"/>
    <s v="0"/>
    <n v="0"/>
  </r>
  <r>
    <x v="217"/>
    <x v="6"/>
    <n v="7"/>
    <n v="0.1167"/>
    <n v="7"/>
    <n v="9.2100000000000001E-2"/>
    <n v="1"/>
    <n v="0"/>
    <n v="0"/>
    <n v="0"/>
    <s v="0"/>
    <n v="0"/>
  </r>
  <r>
    <x v="217"/>
    <x v="3"/>
    <n v="5"/>
    <n v="8.3299999999999999E-2"/>
    <n v="6"/>
    <n v="7.8899999999999998E-2"/>
    <n v="1"/>
    <n v="0"/>
    <n v="0"/>
    <n v="0"/>
    <s v="0"/>
    <n v="0"/>
  </r>
  <r>
    <x v="217"/>
    <x v="4"/>
    <n v="3"/>
    <n v="0.05"/>
    <n v="4"/>
    <n v="5.2600000000000001E-2"/>
    <n v="1"/>
    <n v="0"/>
    <n v="0"/>
    <n v="0"/>
    <s v="0"/>
    <n v="0"/>
  </r>
  <r>
    <x v="217"/>
    <x v="5"/>
    <n v="0"/>
    <n v="0"/>
    <n v="0"/>
    <n v="0"/>
    <n v="0"/>
    <n v="2"/>
    <n v="0"/>
    <n v="25.98"/>
    <s v="2"/>
    <n v="0"/>
  </r>
  <r>
    <x v="217"/>
    <x v="0"/>
    <n v="35"/>
    <n v="0.58330000000000004"/>
    <n v="45"/>
    <n v="0.59209999999999996"/>
    <n v="1"/>
    <n v="20"/>
    <n v="0.57140000000000002"/>
    <n v="277.39999999999998"/>
    <s v="8"/>
    <n v="0.22857142857142901"/>
  </r>
  <r>
    <x v="218"/>
    <x v="3"/>
    <n v="14"/>
    <n v="0.16669999999999999"/>
    <n v="20"/>
    <n v="0.1724"/>
    <n v="1"/>
    <n v="0"/>
    <n v="0"/>
    <n v="0"/>
    <s v="0"/>
    <n v="0"/>
  </r>
  <r>
    <x v="218"/>
    <x v="4"/>
    <n v="7"/>
    <n v="8.3299999999999999E-2"/>
    <n v="8"/>
    <n v="6.9000000000000006E-2"/>
    <n v="1"/>
    <n v="0"/>
    <n v="0"/>
    <n v="0"/>
    <s v="0"/>
    <n v="0"/>
  </r>
  <r>
    <x v="218"/>
    <x v="5"/>
    <n v="7"/>
    <n v="8.3299999999999999E-2"/>
    <n v="7"/>
    <n v="6.0299999999999999E-2"/>
    <n v="1"/>
    <n v="0"/>
    <n v="0"/>
    <n v="0"/>
    <s v="0"/>
    <n v="0"/>
  </r>
  <r>
    <x v="218"/>
    <x v="2"/>
    <n v="5"/>
    <n v="5.9499999999999997E-2"/>
    <n v="7"/>
    <n v="6.0299999999999999E-2"/>
    <n v="1"/>
    <n v="0"/>
    <n v="0"/>
    <n v="0"/>
    <s v="0"/>
    <n v="0"/>
  </r>
  <r>
    <x v="218"/>
    <x v="6"/>
    <n v="5"/>
    <n v="5.9499999999999997E-2"/>
    <n v="6"/>
    <n v="5.1700000000000003E-2"/>
    <n v="1"/>
    <n v="0"/>
    <n v="0"/>
    <n v="0"/>
    <s v="0"/>
    <n v="0"/>
  </r>
  <r>
    <x v="218"/>
    <x v="1"/>
    <n v="3"/>
    <n v="3.5700000000000003E-2"/>
    <n v="4"/>
    <n v="3.4500000000000003E-2"/>
    <n v="1"/>
    <n v="0"/>
    <n v="0"/>
    <n v="0"/>
    <s v="0"/>
    <n v="0"/>
  </r>
  <r>
    <x v="218"/>
    <x v="0"/>
    <n v="43"/>
    <n v="0.51190000000000002"/>
    <n v="64"/>
    <n v="0.55169999999999997"/>
    <n v="1"/>
    <n v="8"/>
    <n v="0.186"/>
    <n v="110.96"/>
    <s v="7"/>
    <n v="0.162790697674419"/>
  </r>
  <r>
    <x v="219"/>
    <x v="1"/>
    <n v="2"/>
    <n v="2.7799999999999998E-2"/>
    <n v="2"/>
    <n v="2.1100000000000001E-2"/>
    <n v="1"/>
    <n v="0"/>
    <n v="0"/>
    <n v="0"/>
    <s v="0"/>
    <n v="0"/>
  </r>
  <r>
    <x v="219"/>
    <x v="2"/>
    <n v="6"/>
    <n v="8.3299999999999999E-2"/>
    <n v="9"/>
    <n v="9.4700000000000006E-2"/>
    <n v="1"/>
    <n v="0"/>
    <n v="0"/>
    <n v="0"/>
    <s v="0"/>
    <n v="0"/>
  </r>
  <r>
    <x v="219"/>
    <x v="3"/>
    <n v="6"/>
    <n v="8.3299999999999999E-2"/>
    <n v="7"/>
    <n v="7.3700000000000002E-2"/>
    <n v="1"/>
    <n v="0"/>
    <n v="0"/>
    <n v="0"/>
    <s v="0"/>
    <n v="0"/>
  </r>
  <r>
    <x v="219"/>
    <x v="10"/>
    <n v="3"/>
    <n v="4.1700000000000001E-2"/>
    <n v="3"/>
    <n v="3.1600000000000003E-2"/>
    <n v="1"/>
    <n v="0"/>
    <n v="0"/>
    <n v="0"/>
    <s v="0"/>
    <n v="0"/>
  </r>
  <r>
    <x v="219"/>
    <x v="5"/>
    <n v="15"/>
    <n v="0.20830000000000001"/>
    <n v="18"/>
    <n v="0.1895"/>
    <n v="1"/>
    <n v="3"/>
    <n v="0.2"/>
    <n v="38.97"/>
    <s v="3"/>
    <n v="0.2"/>
  </r>
  <r>
    <x v="219"/>
    <x v="0"/>
    <n v="37"/>
    <n v="0.51390000000000002"/>
    <n v="52"/>
    <n v="0.5474"/>
    <n v="1"/>
    <n v="10"/>
    <n v="0.27029999999999998"/>
    <n v="149.69999999999999"/>
    <s v="8"/>
    <n v="0.21621621621621601"/>
  </r>
  <r>
    <x v="219"/>
    <x v="6"/>
    <n v="3"/>
    <n v="4.1700000000000001E-2"/>
    <n v="4"/>
    <n v="4.2099999999999999E-2"/>
    <n v="1"/>
    <n v="1"/>
    <n v="0.33329999999999999"/>
    <n v="11.99"/>
    <s v="1"/>
    <n v="0.33333333333333298"/>
  </r>
  <r>
    <x v="220"/>
    <x v="2"/>
    <n v="1"/>
    <n v="1.37E-2"/>
    <n v="1"/>
    <n v="1.0500000000000001E-2"/>
    <n v="1"/>
    <n v="0"/>
    <n v="0"/>
    <n v="0"/>
    <s v="0"/>
    <n v="0"/>
  </r>
  <r>
    <x v="220"/>
    <x v="4"/>
    <n v="1"/>
    <n v="1.37E-2"/>
    <n v="1"/>
    <n v="1.0500000000000001E-2"/>
    <n v="1"/>
    <n v="0"/>
    <n v="0"/>
    <n v="0"/>
    <s v="0"/>
    <n v="0"/>
  </r>
  <r>
    <x v="220"/>
    <x v="10"/>
    <n v="8"/>
    <n v="0.1096"/>
    <n v="9"/>
    <n v="9.4700000000000006E-2"/>
    <n v="1"/>
    <n v="0"/>
    <n v="0"/>
    <n v="0"/>
    <s v="0"/>
    <n v="0"/>
  </r>
  <r>
    <x v="220"/>
    <x v="6"/>
    <n v="7"/>
    <n v="9.5899999999999999E-2"/>
    <n v="9"/>
    <n v="9.4700000000000006E-2"/>
    <n v="1"/>
    <n v="0"/>
    <n v="0"/>
    <n v="0"/>
    <s v="0"/>
    <n v="0"/>
  </r>
  <r>
    <x v="220"/>
    <x v="5"/>
    <n v="7"/>
    <n v="9.5899999999999999E-2"/>
    <n v="8"/>
    <n v="8.4199999999999997E-2"/>
    <n v="1"/>
    <n v="0"/>
    <n v="0"/>
    <n v="0"/>
    <s v="0"/>
    <n v="0"/>
  </r>
  <r>
    <x v="220"/>
    <x v="3"/>
    <n v="12"/>
    <n v="0.16439999999999999"/>
    <n v="17"/>
    <n v="0.1789"/>
    <n v="1"/>
    <n v="2"/>
    <n v="0.16669999999999999"/>
    <n v="59.98"/>
    <s v="1"/>
    <n v="8.3333333333333301E-2"/>
  </r>
  <r>
    <x v="220"/>
    <x v="0"/>
    <n v="37"/>
    <n v="0.50680000000000003"/>
    <n v="50"/>
    <n v="0.52629999999999999"/>
    <n v="1"/>
    <n v="8"/>
    <n v="0.2162"/>
    <n v="119.76"/>
    <s v="8"/>
    <n v="0.21621621621621601"/>
  </r>
  <r>
    <x v="221"/>
    <x v="10"/>
    <n v="2"/>
    <n v="1.8499999999999999E-2"/>
    <n v="2"/>
    <n v="1.46E-2"/>
    <n v="1"/>
    <n v="0"/>
    <n v="0"/>
    <n v="0"/>
    <s v="0"/>
    <n v="0"/>
  </r>
  <r>
    <x v="221"/>
    <x v="2"/>
    <n v="4"/>
    <n v="3.6999999999999998E-2"/>
    <n v="5"/>
    <n v="3.6499999999999998E-2"/>
    <n v="1"/>
    <n v="0"/>
    <n v="0"/>
    <n v="0"/>
    <s v="0"/>
    <n v="0"/>
  </r>
  <r>
    <x v="221"/>
    <x v="4"/>
    <n v="1"/>
    <n v="9.2999999999999992E-3"/>
    <n v="2"/>
    <n v="1.46E-2"/>
    <n v="0"/>
    <n v="0"/>
    <n v="0"/>
    <n v="0"/>
    <s v="0"/>
    <n v="0"/>
  </r>
  <r>
    <x v="221"/>
    <x v="6"/>
    <n v="7"/>
    <n v="6.4799999999999996E-2"/>
    <n v="12"/>
    <n v="8.7599999999999997E-2"/>
    <n v="1"/>
    <n v="2"/>
    <n v="0.28570000000000001"/>
    <n v="23.98"/>
    <s v="2"/>
    <n v="0.28571428571428598"/>
  </r>
  <r>
    <x v="221"/>
    <x v="0"/>
    <n v="65"/>
    <n v="0.60189999999999999"/>
    <n v="83"/>
    <n v="0.60580000000000001"/>
    <n v="1"/>
    <n v="14"/>
    <n v="0.21540000000000001"/>
    <n v="209.58"/>
    <s v="11"/>
    <n v="0.16923076923076899"/>
  </r>
  <r>
    <x v="221"/>
    <x v="3"/>
    <n v="16"/>
    <n v="0.14810000000000001"/>
    <n v="17"/>
    <n v="0.1241"/>
    <n v="1"/>
    <n v="1"/>
    <n v="6.25E-2"/>
    <n v="29.99"/>
    <s v="1"/>
    <n v="6.25E-2"/>
  </r>
  <r>
    <x v="221"/>
    <x v="5"/>
    <n v="13"/>
    <n v="0.12039999999999999"/>
    <n v="16"/>
    <n v="0.1168"/>
    <n v="1"/>
    <n v="1"/>
    <n v="7.6899999999999996E-2"/>
    <n v="12.99"/>
    <s v="1"/>
    <n v="7.69230769230769E-2"/>
  </r>
  <r>
    <x v="222"/>
    <x v="1"/>
    <n v="1"/>
    <n v="1.0200000000000001E-2"/>
    <n v="2"/>
    <n v="1.54E-2"/>
    <n v="1"/>
    <n v="0"/>
    <n v="0"/>
    <n v="0"/>
    <s v="0"/>
    <n v="0"/>
  </r>
  <r>
    <x v="222"/>
    <x v="4"/>
    <n v="2"/>
    <n v="2.0400000000000001E-2"/>
    <n v="3"/>
    <n v="2.3099999999999999E-2"/>
    <n v="1"/>
    <n v="0"/>
    <n v="0"/>
    <n v="0"/>
    <s v="0"/>
    <n v="0"/>
  </r>
  <r>
    <x v="222"/>
    <x v="10"/>
    <n v="4"/>
    <n v="4.0800000000000003E-2"/>
    <n v="4"/>
    <n v="3.0800000000000001E-2"/>
    <n v="0.75"/>
    <n v="0"/>
    <n v="0"/>
    <n v="0"/>
    <s v="0"/>
    <n v="0"/>
  </r>
  <r>
    <x v="222"/>
    <x v="0"/>
    <n v="56"/>
    <n v="0.57140000000000002"/>
    <n v="68"/>
    <n v="0.52310000000000001"/>
    <n v="0.99"/>
    <n v="11"/>
    <n v="0.19639999999999999"/>
    <n v="164.67"/>
    <s v="11"/>
    <n v="0.19642857142857101"/>
  </r>
  <r>
    <x v="222"/>
    <x v="6"/>
    <n v="9"/>
    <n v="9.1800000000000007E-2"/>
    <n v="18"/>
    <n v="0.13850000000000001"/>
    <n v="1"/>
    <n v="4"/>
    <n v="0.44440000000000002"/>
    <n v="47.96"/>
    <s v="1"/>
    <n v="0.11111111111111099"/>
  </r>
  <r>
    <x v="222"/>
    <x v="5"/>
    <n v="7"/>
    <n v="7.1400000000000005E-2"/>
    <n v="10"/>
    <n v="7.6899999999999996E-2"/>
    <n v="1"/>
    <n v="7"/>
    <n v="1"/>
    <n v="90.93"/>
    <s v="5"/>
    <n v="0.71428571428571397"/>
  </r>
  <r>
    <x v="222"/>
    <x v="3"/>
    <n v="17"/>
    <n v="0.17349999999999999"/>
    <n v="23"/>
    <n v="0.1769"/>
    <n v="1"/>
    <n v="3"/>
    <n v="0.17649999999999999"/>
    <n v="89.97"/>
    <s v="3"/>
    <n v="0.17647058823529399"/>
  </r>
  <r>
    <x v="222"/>
    <x v="2"/>
    <n v="2"/>
    <n v="2.0400000000000001E-2"/>
    <n v="2"/>
    <n v="1.54E-2"/>
    <n v="1"/>
    <n v="2"/>
    <n v="1"/>
    <n v="35.94"/>
    <s v="2"/>
    <n v="1"/>
  </r>
  <r>
    <x v="223"/>
    <x v="2"/>
    <n v="2"/>
    <n v="3.39E-2"/>
    <n v="2"/>
    <n v="2.7E-2"/>
    <n v="1"/>
    <n v="0"/>
    <n v="0"/>
    <n v="0"/>
    <s v="0"/>
    <n v="0"/>
  </r>
  <r>
    <x v="223"/>
    <x v="6"/>
    <n v="4"/>
    <n v="6.7799999999999999E-2"/>
    <n v="4"/>
    <n v="5.4100000000000002E-2"/>
    <n v="1"/>
    <n v="0"/>
    <n v="0"/>
    <n v="0"/>
    <s v="0"/>
    <n v="0"/>
  </r>
  <r>
    <x v="223"/>
    <x v="3"/>
    <n v="10"/>
    <n v="0.16950000000000001"/>
    <n v="12"/>
    <n v="0.16220000000000001"/>
    <n v="1"/>
    <n v="1"/>
    <n v="0.1"/>
    <n v="0"/>
    <s v="1"/>
    <n v="0.1"/>
  </r>
  <r>
    <x v="223"/>
    <x v="0"/>
    <n v="38"/>
    <n v="0.64410000000000001"/>
    <n v="49"/>
    <n v="0.66220000000000001"/>
    <n v="1"/>
    <n v="11"/>
    <n v="0.28949999999999998"/>
    <n v="164.67"/>
    <s v="10"/>
    <n v="0.26315789473684198"/>
  </r>
  <r>
    <x v="223"/>
    <x v="5"/>
    <n v="5"/>
    <n v="8.4699999999999998E-2"/>
    <n v="7"/>
    <n v="9.4600000000000004E-2"/>
    <n v="1"/>
    <n v="1"/>
    <n v="0.2"/>
    <n v="12.99"/>
    <s v="1"/>
    <n v="0.2"/>
  </r>
  <r>
    <x v="224"/>
    <x v="10"/>
    <n v="1"/>
    <n v="1.49E-2"/>
    <n v="1"/>
    <n v="1.0800000000000001E-2"/>
    <n v="1"/>
    <n v="0"/>
    <n v="0"/>
    <n v="0"/>
    <s v="0"/>
    <n v="0"/>
  </r>
  <r>
    <x v="224"/>
    <x v="1"/>
    <n v="2"/>
    <n v="2.9899999999999999E-2"/>
    <n v="3"/>
    <n v="3.2300000000000002E-2"/>
    <n v="1"/>
    <n v="0"/>
    <n v="0"/>
    <n v="0"/>
    <s v="0"/>
    <n v="0"/>
  </r>
  <r>
    <x v="224"/>
    <x v="2"/>
    <n v="3"/>
    <n v="4.48E-2"/>
    <n v="3"/>
    <n v="3.2300000000000002E-2"/>
    <n v="1"/>
    <n v="0"/>
    <n v="0"/>
    <n v="0"/>
    <s v="0"/>
    <n v="0"/>
  </r>
  <r>
    <x v="224"/>
    <x v="4"/>
    <n v="1"/>
    <n v="1.49E-2"/>
    <n v="2"/>
    <n v="2.1499999999999998E-2"/>
    <n v="0.5"/>
    <n v="0"/>
    <n v="0"/>
    <n v="0"/>
    <s v="0"/>
    <n v="0"/>
  </r>
  <r>
    <x v="224"/>
    <x v="6"/>
    <n v="8"/>
    <n v="0.11940000000000001"/>
    <n v="12"/>
    <n v="0.129"/>
    <n v="1"/>
    <n v="3"/>
    <n v="0.375"/>
    <n v="35.97"/>
    <s v="3"/>
    <n v="0.375"/>
  </r>
  <r>
    <x v="224"/>
    <x v="5"/>
    <n v="11"/>
    <n v="0.16420000000000001"/>
    <n v="14"/>
    <n v="0.15049999999999999"/>
    <n v="1"/>
    <n v="2"/>
    <n v="0.18179999999999999"/>
    <n v="25.98"/>
    <s v="2"/>
    <n v="0.18181818181818199"/>
  </r>
  <r>
    <x v="224"/>
    <x v="3"/>
    <n v="8"/>
    <n v="0.11940000000000001"/>
    <n v="12"/>
    <n v="0.129"/>
    <n v="1"/>
    <n v="2"/>
    <n v="0.25"/>
    <n v="59.98"/>
    <s v="2"/>
    <n v="0.25"/>
  </r>
  <r>
    <x v="224"/>
    <x v="0"/>
    <n v="33"/>
    <n v="0.49249999999999999"/>
    <n v="46"/>
    <n v="0.49459999999999998"/>
    <n v="1"/>
    <n v="18"/>
    <n v="0.54549999999999998"/>
    <n v="269.45999999999998"/>
    <s v="13"/>
    <n v="0.39393939393939398"/>
  </r>
  <r>
    <x v="225"/>
    <x v="2"/>
    <n v="1"/>
    <n v="1.3899999999999999E-2"/>
    <n v="1"/>
    <n v="1.11E-2"/>
    <n v="1"/>
    <n v="0"/>
    <n v="0"/>
    <n v="0"/>
    <s v="0"/>
    <n v="0"/>
  </r>
  <r>
    <x v="225"/>
    <x v="4"/>
    <n v="4"/>
    <n v="5.5599999999999997E-2"/>
    <n v="6"/>
    <n v="6.6699999999999995E-2"/>
    <n v="1"/>
    <n v="0"/>
    <n v="0"/>
    <n v="0"/>
    <s v="0"/>
    <n v="0"/>
  </r>
  <r>
    <x v="225"/>
    <x v="6"/>
    <n v="4"/>
    <n v="5.5599999999999997E-2"/>
    <n v="5"/>
    <n v="5.5599999999999997E-2"/>
    <n v="1"/>
    <n v="0"/>
    <n v="0"/>
    <n v="0"/>
    <s v="0"/>
    <n v="0"/>
  </r>
  <r>
    <x v="225"/>
    <x v="10"/>
    <n v="2"/>
    <n v="2.7799999999999998E-2"/>
    <n v="3"/>
    <n v="3.3300000000000003E-2"/>
    <n v="0"/>
    <n v="0"/>
    <n v="0"/>
    <n v="0"/>
    <s v="0"/>
    <n v="0"/>
  </r>
  <r>
    <x v="225"/>
    <x v="5"/>
    <n v="7"/>
    <n v="9.7199999999999995E-2"/>
    <n v="8"/>
    <n v="8.8900000000000007E-2"/>
    <n v="1"/>
    <n v="5"/>
    <n v="0.71430000000000005"/>
    <n v="64.95"/>
    <s v="5"/>
    <n v="0.71428571428571397"/>
  </r>
  <r>
    <x v="225"/>
    <x v="3"/>
    <n v="16"/>
    <n v="0.22220000000000001"/>
    <n v="20"/>
    <n v="0.22220000000000001"/>
    <n v="1"/>
    <n v="3"/>
    <n v="0.1875"/>
    <n v="89.97"/>
    <s v="3"/>
    <n v="0.1875"/>
  </r>
  <r>
    <x v="225"/>
    <x v="0"/>
    <n v="38"/>
    <n v="0.52780000000000005"/>
    <n v="47"/>
    <n v="0.5222"/>
    <n v="1"/>
    <n v="9"/>
    <n v="0.23680000000000001"/>
    <n v="134.72999999999999"/>
    <s v="8"/>
    <n v="0.21052631578947401"/>
  </r>
  <r>
    <x v="226"/>
    <x v="6"/>
    <n v="14"/>
    <n v="0.19439999999999999"/>
    <n v="20"/>
    <n v="0.1923"/>
    <n v="0.95"/>
    <n v="3"/>
    <n v="0.21429999999999999"/>
    <n v="35.97"/>
    <s v="2"/>
    <n v="0.14285714285714299"/>
  </r>
  <r>
    <x v="226"/>
    <x v="10"/>
    <n v="3"/>
    <n v="4.1700000000000001E-2"/>
    <n v="6"/>
    <n v="5.7700000000000001E-2"/>
    <n v="0.33"/>
    <n v="1"/>
    <n v="0.33329999999999999"/>
    <n v="19.989999999999998"/>
    <s v="1"/>
    <n v="0.33333333333333298"/>
  </r>
  <r>
    <x v="226"/>
    <x v="2"/>
    <n v="0"/>
    <n v="0"/>
    <n v="0"/>
    <n v="0"/>
    <n v="0"/>
    <n v="1"/>
    <n v="0"/>
    <n v="17.97"/>
    <s v="1"/>
    <n v="0"/>
  </r>
  <r>
    <x v="226"/>
    <x v="5"/>
    <n v="5"/>
    <n v="6.9400000000000003E-2"/>
    <n v="10"/>
    <n v="9.6199999999999994E-2"/>
    <n v="1"/>
    <n v="2"/>
    <n v="0.4"/>
    <n v="25.98"/>
    <s v="1"/>
    <n v="0.2"/>
  </r>
  <r>
    <x v="226"/>
    <x v="0"/>
    <n v="39"/>
    <n v="0.54169999999999996"/>
    <n v="53"/>
    <n v="0.50960000000000005"/>
    <n v="1"/>
    <n v="13"/>
    <n v="0.33329999999999999"/>
    <n v="194.61"/>
    <s v="12"/>
    <n v="0.30769230769230799"/>
  </r>
  <r>
    <x v="226"/>
    <x v="3"/>
    <n v="11"/>
    <n v="0.15279999999999999"/>
    <n v="15"/>
    <n v="0.14419999999999999"/>
    <n v="1"/>
    <n v="1"/>
    <n v="9.0899999999999995E-2"/>
    <n v="29.99"/>
    <s v="1"/>
    <n v="9.0909090909090898E-2"/>
  </r>
  <r>
    <x v="227"/>
    <x v="10"/>
    <n v="1"/>
    <n v="1.5599999999999999E-2"/>
    <n v="2"/>
    <n v="2.3300000000000001E-2"/>
    <n v="1"/>
    <n v="0"/>
    <n v="0"/>
    <n v="0"/>
    <s v="0"/>
    <n v="0"/>
  </r>
  <r>
    <x v="227"/>
    <x v="3"/>
    <n v="9"/>
    <n v="0.1406"/>
    <n v="19"/>
    <n v="0.22090000000000001"/>
    <n v="1"/>
    <n v="0"/>
    <n v="0"/>
    <n v="0"/>
    <s v="0"/>
    <n v="0"/>
  </r>
  <r>
    <x v="227"/>
    <x v="2"/>
    <n v="3"/>
    <n v="4.6899999999999997E-2"/>
    <n v="3"/>
    <n v="3.49E-2"/>
    <n v="1"/>
    <n v="0"/>
    <n v="0"/>
    <n v="0"/>
    <s v="0"/>
    <n v="0"/>
  </r>
  <r>
    <x v="227"/>
    <x v="5"/>
    <n v="5"/>
    <n v="7.8100000000000003E-2"/>
    <n v="5"/>
    <n v="5.8099999999999999E-2"/>
    <n v="1"/>
    <n v="5"/>
    <n v="1"/>
    <n v="64.95"/>
    <s v="3"/>
    <n v="0.6"/>
  </r>
  <r>
    <x v="227"/>
    <x v="6"/>
    <n v="5"/>
    <n v="7.8100000000000003E-2"/>
    <n v="6"/>
    <n v="6.9800000000000001E-2"/>
    <n v="1"/>
    <n v="3"/>
    <n v="0.6"/>
    <n v="35.97"/>
    <s v="2"/>
    <n v="0.4"/>
  </r>
  <r>
    <x v="227"/>
    <x v="0"/>
    <n v="41"/>
    <n v="0.64059999999999995"/>
    <n v="51"/>
    <n v="0.59299999999999997"/>
    <n v="1"/>
    <n v="10"/>
    <n v="0.24390000000000001"/>
    <n v="149.69999999999999"/>
    <s v="7"/>
    <n v="0.17073170731707299"/>
  </r>
  <r>
    <x v="228"/>
    <x v="10"/>
    <n v="1"/>
    <n v="1.3299999999999999E-2"/>
    <n v="1"/>
    <n v="1.0500000000000001E-2"/>
    <n v="1"/>
    <n v="0"/>
    <n v="0"/>
    <n v="0"/>
    <s v="0"/>
    <n v="0"/>
  </r>
  <r>
    <x v="228"/>
    <x v="2"/>
    <n v="4"/>
    <n v="5.33E-2"/>
    <n v="5"/>
    <n v="5.2600000000000001E-2"/>
    <n v="1"/>
    <n v="0"/>
    <n v="0"/>
    <n v="0"/>
    <s v="0"/>
    <n v="0"/>
  </r>
  <r>
    <x v="228"/>
    <x v="6"/>
    <n v="7"/>
    <n v="9.3299999999999994E-2"/>
    <n v="7"/>
    <n v="7.3700000000000002E-2"/>
    <n v="1"/>
    <n v="4"/>
    <n v="0.57140000000000002"/>
    <n v="47.96"/>
    <s v="3"/>
    <n v="0.42857142857142899"/>
  </r>
  <r>
    <x v="228"/>
    <x v="5"/>
    <n v="5"/>
    <n v="6.6699999999999995E-2"/>
    <n v="5"/>
    <n v="5.2600000000000001E-2"/>
    <n v="1"/>
    <n v="3"/>
    <n v="0.6"/>
    <n v="38.97"/>
    <s v="1"/>
    <n v="0.2"/>
  </r>
  <r>
    <x v="228"/>
    <x v="0"/>
    <n v="44"/>
    <n v="0.5867"/>
    <n v="58"/>
    <n v="0.61050000000000004"/>
    <n v="1"/>
    <n v="14"/>
    <n v="0.31819999999999998"/>
    <n v="209.58"/>
    <s v="13"/>
    <n v="0.29545454545454602"/>
  </r>
  <r>
    <x v="228"/>
    <x v="3"/>
    <n v="14"/>
    <n v="0.1867"/>
    <n v="19"/>
    <n v="0.2"/>
    <n v="1"/>
    <n v="1"/>
    <n v="7.1400000000000005E-2"/>
    <n v="29.99"/>
    <s v="1"/>
    <n v="7.1428571428571397E-2"/>
  </r>
  <r>
    <x v="229"/>
    <x v="1"/>
    <n v="1"/>
    <n v="1.12E-2"/>
    <n v="1"/>
    <n v="8.5000000000000006E-3"/>
    <n v="1"/>
    <n v="0"/>
    <n v="0"/>
    <n v="0"/>
    <s v="0"/>
    <n v="0"/>
  </r>
  <r>
    <x v="229"/>
    <x v="10"/>
    <n v="3"/>
    <n v="3.3700000000000001E-2"/>
    <n v="4"/>
    <n v="3.39E-2"/>
    <n v="1"/>
    <n v="0"/>
    <n v="0"/>
    <n v="0"/>
    <s v="0"/>
    <n v="0"/>
  </r>
  <r>
    <x v="229"/>
    <x v="0"/>
    <n v="50"/>
    <n v="0.56179999999999997"/>
    <n v="61"/>
    <n v="0.51690000000000003"/>
    <n v="0.98"/>
    <n v="38"/>
    <n v="0.76"/>
    <n v="568.86"/>
    <s v="22"/>
    <n v="0.44"/>
  </r>
  <r>
    <x v="229"/>
    <x v="5"/>
    <n v="8"/>
    <n v="8.9899999999999994E-2"/>
    <n v="12"/>
    <n v="0.1017"/>
    <n v="1"/>
    <n v="3"/>
    <n v="0.375"/>
    <n v="38.97"/>
    <s v="3"/>
    <n v="0.375"/>
  </r>
  <r>
    <x v="229"/>
    <x v="3"/>
    <n v="19"/>
    <n v="0.2135"/>
    <n v="26"/>
    <n v="0.2203"/>
    <n v="1"/>
    <n v="1"/>
    <n v="5.2600000000000001E-2"/>
    <n v="29.99"/>
    <s v="1"/>
    <n v="5.2631578947368397E-2"/>
  </r>
  <r>
    <x v="229"/>
    <x v="6"/>
    <n v="6"/>
    <n v="6.7400000000000002E-2"/>
    <n v="10"/>
    <n v="8.4699999999999998E-2"/>
    <n v="1"/>
    <n v="1"/>
    <n v="0.16669999999999999"/>
    <n v="11.99"/>
    <s v="1"/>
    <n v="0.16666666666666699"/>
  </r>
  <r>
    <x v="229"/>
    <x v="2"/>
    <n v="2"/>
    <n v="2.2499999999999999E-2"/>
    <n v="4"/>
    <n v="3.39E-2"/>
    <n v="1"/>
    <n v="1"/>
    <n v="0.5"/>
    <n v="17.97"/>
    <s v="1"/>
    <n v="0.5"/>
  </r>
  <r>
    <x v="230"/>
    <x v="10"/>
    <n v="1"/>
    <n v="1.4500000000000001E-2"/>
    <n v="1"/>
    <n v="8.8999999999999999E-3"/>
    <n v="1"/>
    <n v="0"/>
    <n v="0"/>
    <n v="0"/>
    <s v="0"/>
    <n v="0"/>
  </r>
  <r>
    <x v="230"/>
    <x v="4"/>
    <n v="1"/>
    <n v="1.4500000000000001E-2"/>
    <n v="2"/>
    <n v="1.7899999999999999E-2"/>
    <n v="1"/>
    <n v="0"/>
    <n v="0"/>
    <n v="0"/>
    <s v="0"/>
    <n v="0"/>
  </r>
  <r>
    <x v="230"/>
    <x v="6"/>
    <n v="8"/>
    <n v="0.1159"/>
    <n v="23"/>
    <n v="0.2054"/>
    <n v="1"/>
    <n v="0"/>
    <n v="0"/>
    <n v="0"/>
    <s v="0"/>
    <n v="0"/>
  </r>
  <r>
    <x v="230"/>
    <x v="3"/>
    <n v="4"/>
    <n v="5.8000000000000003E-2"/>
    <n v="7"/>
    <n v="6.25E-2"/>
    <n v="1"/>
    <n v="0"/>
    <n v="0"/>
    <n v="0"/>
    <s v="0"/>
    <n v="0"/>
  </r>
  <r>
    <x v="230"/>
    <x v="5"/>
    <n v="9"/>
    <n v="0.13039999999999999"/>
    <n v="13"/>
    <n v="0.11609999999999999"/>
    <n v="0.92"/>
    <n v="0"/>
    <n v="0"/>
    <n v="0"/>
    <s v="0"/>
    <n v="0"/>
  </r>
  <r>
    <x v="230"/>
    <x v="0"/>
    <n v="46"/>
    <n v="0.66669999999999996"/>
    <n v="66"/>
    <n v="0.58930000000000005"/>
    <n v="1"/>
    <n v="18"/>
    <n v="0.39129999999999998"/>
    <n v="269.45999999999998"/>
    <s v="13"/>
    <n v="0.282608695652174"/>
  </r>
  <r>
    <x v="231"/>
    <x v="1"/>
    <n v="2"/>
    <n v="2.47E-2"/>
    <n v="2"/>
    <n v="1.9E-2"/>
    <n v="1"/>
    <n v="0"/>
    <n v="0"/>
    <n v="0"/>
    <s v="0"/>
    <n v="0"/>
  </r>
  <r>
    <x v="231"/>
    <x v="5"/>
    <n v="15"/>
    <n v="0.1852"/>
    <n v="17"/>
    <n v="0.16189999999999999"/>
    <n v="1"/>
    <n v="0"/>
    <n v="0"/>
    <n v="0"/>
    <s v="0"/>
    <n v="0"/>
  </r>
  <r>
    <x v="231"/>
    <x v="3"/>
    <n v="10"/>
    <n v="0.1235"/>
    <n v="14"/>
    <n v="0.1333"/>
    <n v="1"/>
    <n v="0"/>
    <n v="0"/>
    <n v="0"/>
    <s v="0"/>
    <n v="0"/>
  </r>
  <r>
    <x v="231"/>
    <x v="6"/>
    <n v="7"/>
    <n v="8.6400000000000005E-2"/>
    <n v="8"/>
    <n v="7.6200000000000004E-2"/>
    <n v="1"/>
    <n v="0"/>
    <n v="0"/>
    <n v="0"/>
    <s v="0"/>
    <n v="0"/>
  </r>
  <r>
    <x v="231"/>
    <x v="2"/>
    <n v="4"/>
    <n v="4.9399999999999999E-2"/>
    <n v="6"/>
    <n v="5.7099999999999998E-2"/>
    <n v="1"/>
    <n v="0"/>
    <n v="0"/>
    <n v="0"/>
    <s v="0"/>
    <n v="0"/>
  </r>
  <r>
    <x v="231"/>
    <x v="4"/>
    <n v="1"/>
    <n v="1.23E-2"/>
    <n v="1"/>
    <n v="9.4999999999999998E-3"/>
    <n v="0"/>
    <n v="0"/>
    <n v="0"/>
    <n v="0"/>
    <s v="0"/>
    <n v="0"/>
  </r>
  <r>
    <x v="231"/>
    <x v="10"/>
    <n v="4"/>
    <n v="4.9399999999999999E-2"/>
    <n v="8"/>
    <n v="7.6200000000000004E-2"/>
    <n v="0.62"/>
    <n v="1"/>
    <n v="0.25"/>
    <n v="19.989999999999998"/>
    <s v="1"/>
    <n v="0.25"/>
  </r>
  <r>
    <x v="231"/>
    <x v="0"/>
    <n v="38"/>
    <n v="0.46910000000000002"/>
    <n v="49"/>
    <n v="0.4667"/>
    <n v="1"/>
    <n v="14"/>
    <n v="0.36840000000000001"/>
    <n v="209.58"/>
    <s v="14"/>
    <n v="0.36842105263157898"/>
  </r>
  <r>
    <x v="232"/>
    <x v="10"/>
    <n v="1"/>
    <n v="1.4500000000000001E-2"/>
    <n v="1"/>
    <n v="1.0999999999999999E-2"/>
    <n v="1"/>
    <n v="0"/>
    <n v="0"/>
    <n v="0"/>
    <s v="0"/>
    <n v="0"/>
  </r>
  <r>
    <x v="232"/>
    <x v="2"/>
    <n v="2"/>
    <n v="2.9000000000000001E-2"/>
    <n v="7"/>
    <n v="7.6899999999999996E-2"/>
    <n v="1"/>
    <n v="0"/>
    <n v="0"/>
    <n v="0"/>
    <s v="0"/>
    <n v="0"/>
  </r>
  <r>
    <x v="232"/>
    <x v="3"/>
    <n v="9"/>
    <n v="0.13039999999999999"/>
    <n v="10"/>
    <n v="0.1099"/>
    <n v="1"/>
    <n v="0"/>
    <n v="0"/>
    <n v="0"/>
    <s v="0"/>
    <n v="0"/>
  </r>
  <r>
    <x v="232"/>
    <x v="0"/>
    <n v="45"/>
    <n v="0.6522"/>
    <n v="59"/>
    <n v="0.64839999999999998"/>
    <n v="0.98"/>
    <n v="12"/>
    <n v="0.26669999999999999"/>
    <n v="179.64"/>
    <s v="7"/>
    <n v="0.155555555555556"/>
  </r>
  <r>
    <x v="232"/>
    <x v="6"/>
    <n v="10"/>
    <n v="0.1449"/>
    <n v="11"/>
    <n v="0.12089999999999999"/>
    <n v="1"/>
    <n v="1"/>
    <n v="0.1"/>
    <n v="11.99"/>
    <s v="1"/>
    <n v="0.1"/>
  </r>
  <r>
    <x v="232"/>
    <x v="5"/>
    <n v="2"/>
    <n v="2.9000000000000001E-2"/>
    <n v="3"/>
    <n v="3.3000000000000002E-2"/>
    <n v="1"/>
    <n v="1"/>
    <n v="0.5"/>
    <n v="12.99"/>
    <s v="1"/>
    <n v="0.5"/>
  </r>
  <r>
    <x v="233"/>
    <x v="4"/>
    <n v="1"/>
    <n v="2.63E-2"/>
    <n v="1"/>
    <n v="1.8499999999999999E-2"/>
    <n v="1"/>
    <n v="0"/>
    <n v="0"/>
    <n v="0"/>
    <s v="0"/>
    <n v="0"/>
  </r>
  <r>
    <x v="233"/>
    <x v="2"/>
    <n v="2"/>
    <n v="5.2600000000000001E-2"/>
    <n v="9"/>
    <n v="0.16669999999999999"/>
    <n v="1"/>
    <n v="0"/>
    <n v="0"/>
    <n v="0"/>
    <s v="0"/>
    <n v="0"/>
  </r>
  <r>
    <x v="233"/>
    <x v="6"/>
    <n v="2"/>
    <n v="5.2600000000000001E-2"/>
    <n v="2"/>
    <n v="3.6999999999999998E-2"/>
    <n v="1"/>
    <n v="0"/>
    <n v="0"/>
    <n v="0"/>
    <s v="0"/>
    <n v="0"/>
  </r>
  <r>
    <x v="233"/>
    <x v="3"/>
    <n v="6"/>
    <n v="0.15790000000000001"/>
    <n v="7"/>
    <n v="0.12959999999999999"/>
    <n v="1"/>
    <n v="0"/>
    <n v="0"/>
    <n v="0"/>
    <s v="0"/>
    <n v="0"/>
  </r>
  <r>
    <x v="233"/>
    <x v="5"/>
    <n v="3"/>
    <n v="7.8899999999999998E-2"/>
    <n v="5"/>
    <n v="9.2600000000000002E-2"/>
    <n v="1"/>
    <n v="0"/>
    <n v="0"/>
    <n v="0"/>
    <s v="0"/>
    <n v="0"/>
  </r>
  <r>
    <x v="233"/>
    <x v="0"/>
    <n v="24"/>
    <n v="0.63160000000000005"/>
    <n v="30"/>
    <n v="0.55559999999999998"/>
    <n v="1"/>
    <n v="9"/>
    <n v="0.375"/>
    <n v="134.72999999999999"/>
    <s v="9"/>
    <n v="0.375"/>
  </r>
  <r>
    <x v="234"/>
    <x v="4"/>
    <n v="1"/>
    <n v="2.3800000000000002E-2"/>
    <n v="1"/>
    <n v="1.72E-2"/>
    <n v="1"/>
    <n v="0"/>
    <n v="0"/>
    <n v="0"/>
    <s v="0"/>
    <n v="0"/>
  </r>
  <r>
    <x v="234"/>
    <x v="2"/>
    <n v="1"/>
    <n v="2.3800000000000002E-2"/>
    <n v="1"/>
    <n v="1.72E-2"/>
    <n v="1"/>
    <n v="0"/>
    <n v="0"/>
    <n v="0"/>
    <s v="0"/>
    <n v="0"/>
  </r>
  <r>
    <x v="234"/>
    <x v="10"/>
    <n v="0"/>
    <n v="0"/>
    <n v="0"/>
    <n v="0"/>
    <n v="0"/>
    <n v="1"/>
    <n v="0"/>
    <n v="19.989999999999998"/>
    <s v="1"/>
    <n v="0"/>
  </r>
  <r>
    <x v="234"/>
    <x v="0"/>
    <n v="24"/>
    <n v="0.57140000000000002"/>
    <n v="36"/>
    <n v="0.62070000000000003"/>
    <n v="1"/>
    <n v="8"/>
    <n v="0.33329999999999999"/>
    <n v="119.76"/>
    <s v="6"/>
    <n v="0.25"/>
  </r>
  <r>
    <x v="234"/>
    <x v="3"/>
    <n v="11"/>
    <n v="0.26190000000000002"/>
    <n v="14"/>
    <n v="0.2414"/>
    <n v="1"/>
    <n v="1"/>
    <n v="9.0899999999999995E-2"/>
    <n v="29.99"/>
    <s v="1"/>
    <n v="9.0909090909090898E-2"/>
  </r>
  <r>
    <x v="234"/>
    <x v="6"/>
    <n v="3"/>
    <n v="7.1400000000000005E-2"/>
    <n v="3"/>
    <n v="5.1700000000000003E-2"/>
    <n v="1"/>
    <n v="1"/>
    <n v="0.33329999999999999"/>
    <n v="11.99"/>
    <s v="1"/>
    <n v="0.33333333333333298"/>
  </r>
  <r>
    <x v="234"/>
    <x v="5"/>
    <n v="2"/>
    <n v="4.7600000000000003E-2"/>
    <n v="3"/>
    <n v="5.1700000000000003E-2"/>
    <n v="1"/>
    <n v="1"/>
    <n v="0.5"/>
    <n v="12.99"/>
    <s v="1"/>
    <n v="0.5"/>
  </r>
  <r>
    <x v="235"/>
    <x v="2"/>
    <n v="1"/>
    <n v="2.5000000000000001E-2"/>
    <n v="1"/>
    <n v="1.6400000000000001E-2"/>
    <n v="1"/>
    <n v="0"/>
    <n v="0"/>
    <n v="0"/>
    <s v="0"/>
    <n v="0"/>
  </r>
  <r>
    <x v="235"/>
    <x v="4"/>
    <n v="2"/>
    <n v="0.05"/>
    <n v="2"/>
    <n v="3.2800000000000003E-2"/>
    <n v="1"/>
    <n v="0"/>
    <n v="0"/>
    <n v="0"/>
    <s v="0"/>
    <n v="0"/>
  </r>
  <r>
    <x v="235"/>
    <x v="3"/>
    <n v="9"/>
    <n v="0.22500000000000001"/>
    <n v="12"/>
    <n v="0.19670000000000001"/>
    <n v="1"/>
    <n v="0"/>
    <n v="0"/>
    <n v="0"/>
    <s v="0"/>
    <n v="0"/>
  </r>
  <r>
    <x v="235"/>
    <x v="6"/>
    <n v="7"/>
    <n v="0.17499999999999999"/>
    <n v="13"/>
    <n v="0.21310000000000001"/>
    <n v="1"/>
    <n v="0"/>
    <n v="0"/>
    <n v="0"/>
    <s v="0"/>
    <n v="0"/>
  </r>
  <r>
    <x v="235"/>
    <x v="10"/>
    <n v="3"/>
    <n v="7.4999999999999997E-2"/>
    <n v="4"/>
    <n v="6.5600000000000006E-2"/>
    <n v="0.75"/>
    <n v="0"/>
    <n v="0"/>
    <n v="0"/>
    <s v="0"/>
    <n v="0"/>
  </r>
  <r>
    <x v="235"/>
    <x v="0"/>
    <n v="17"/>
    <n v="0.42499999999999999"/>
    <n v="28"/>
    <n v="0.45900000000000002"/>
    <n v="1"/>
    <n v="8"/>
    <n v="0.47060000000000002"/>
    <n v="119.76"/>
    <s v="4"/>
    <n v="0.23529411764705899"/>
  </r>
  <r>
    <x v="235"/>
    <x v="5"/>
    <n v="1"/>
    <n v="2.5000000000000001E-2"/>
    <n v="1"/>
    <n v="1.6400000000000001E-2"/>
    <n v="1"/>
    <n v="1"/>
    <n v="1"/>
    <n v="12.99"/>
    <s v="1"/>
    <n v="1"/>
  </r>
  <r>
    <x v="236"/>
    <x v="10"/>
    <n v="1"/>
    <n v="3.0300000000000001E-2"/>
    <n v="1"/>
    <n v="2.2200000000000001E-2"/>
    <n v="1"/>
    <n v="0"/>
    <n v="0"/>
    <n v="0"/>
    <s v="0"/>
    <n v="0"/>
  </r>
  <r>
    <x v="236"/>
    <x v="5"/>
    <n v="4"/>
    <n v="0.1212"/>
    <n v="4"/>
    <n v="8.8900000000000007E-2"/>
    <n v="1"/>
    <n v="0"/>
    <n v="0"/>
    <n v="0"/>
    <s v="0"/>
    <n v="0"/>
  </r>
  <r>
    <x v="236"/>
    <x v="0"/>
    <n v="19"/>
    <n v="0.57579999999999998"/>
    <n v="26"/>
    <n v="0.57779999999999998"/>
    <n v="1"/>
    <n v="3"/>
    <n v="0.15790000000000001"/>
    <n v="44.91"/>
    <s v="2"/>
    <n v="0.105263157894737"/>
  </r>
  <r>
    <x v="236"/>
    <x v="3"/>
    <n v="9"/>
    <n v="0.2727"/>
    <n v="14"/>
    <n v="0.31109999999999999"/>
    <n v="1"/>
    <n v="1"/>
    <n v="0.1111"/>
    <n v="29.99"/>
    <s v="1"/>
    <n v="0.11111111111111099"/>
  </r>
  <r>
    <x v="237"/>
    <x v="2"/>
    <n v="4"/>
    <n v="6.25E-2"/>
    <n v="5"/>
    <n v="5.7500000000000002E-2"/>
    <n v="1"/>
    <n v="0"/>
    <n v="0"/>
    <n v="0"/>
    <s v="0"/>
    <n v="0"/>
  </r>
  <r>
    <x v="237"/>
    <x v="5"/>
    <n v="3"/>
    <n v="4.6899999999999997E-2"/>
    <n v="4"/>
    <n v="4.5999999999999999E-2"/>
    <n v="1"/>
    <n v="0"/>
    <n v="0"/>
    <n v="0"/>
    <s v="0"/>
    <n v="0"/>
  </r>
  <r>
    <x v="237"/>
    <x v="10"/>
    <n v="3"/>
    <n v="4.6899999999999997E-2"/>
    <n v="3"/>
    <n v="3.4500000000000003E-2"/>
    <n v="0.67"/>
    <n v="0"/>
    <n v="0"/>
    <n v="0"/>
    <s v="0"/>
    <n v="0"/>
  </r>
  <r>
    <x v="237"/>
    <x v="0"/>
    <n v="37"/>
    <n v="0.57809999999999995"/>
    <n v="51"/>
    <n v="0.58620000000000005"/>
    <n v="0.98"/>
    <n v="1"/>
    <n v="2.7E-2"/>
    <n v="14.97"/>
    <s v="1"/>
    <n v="2.7027027027027001E-2"/>
  </r>
  <r>
    <x v="237"/>
    <x v="6"/>
    <n v="9"/>
    <n v="0.1406"/>
    <n v="11"/>
    <n v="0.12640000000000001"/>
    <n v="1"/>
    <n v="3"/>
    <n v="0.33329999999999999"/>
    <n v="29.97"/>
    <s v="1"/>
    <n v="0.11111111111111099"/>
  </r>
  <r>
    <x v="237"/>
    <x v="3"/>
    <n v="8"/>
    <n v="0.125"/>
    <n v="13"/>
    <n v="0.14940000000000001"/>
    <n v="1"/>
    <n v="1"/>
    <n v="0.125"/>
    <n v="29.99"/>
    <s v="1"/>
    <n v="0.125"/>
  </r>
  <r>
    <x v="238"/>
    <x v="10"/>
    <n v="1"/>
    <n v="1.37E-2"/>
    <n v="1"/>
    <n v="1.06E-2"/>
    <n v="1"/>
    <n v="0"/>
    <n v="0"/>
    <n v="0"/>
    <s v="0"/>
    <n v="0"/>
  </r>
  <r>
    <x v="238"/>
    <x v="5"/>
    <n v="2"/>
    <n v="2.7400000000000001E-2"/>
    <n v="2"/>
    <n v="2.1299999999999999E-2"/>
    <n v="1"/>
    <n v="0"/>
    <n v="0"/>
    <n v="0"/>
    <s v="0"/>
    <n v="0"/>
  </r>
  <r>
    <x v="238"/>
    <x v="3"/>
    <n v="7"/>
    <n v="9.5899999999999999E-2"/>
    <n v="8"/>
    <n v="8.5099999999999995E-2"/>
    <n v="1"/>
    <n v="0"/>
    <n v="0"/>
    <n v="0"/>
    <s v="0"/>
    <n v="0"/>
  </r>
  <r>
    <x v="238"/>
    <x v="2"/>
    <n v="3"/>
    <n v="4.1099999999999998E-2"/>
    <n v="3"/>
    <n v="3.1899999999999998E-2"/>
    <n v="1"/>
    <n v="0"/>
    <n v="0"/>
    <n v="0"/>
    <s v="0"/>
    <n v="0"/>
  </r>
  <r>
    <x v="238"/>
    <x v="6"/>
    <n v="13"/>
    <n v="0.17810000000000001"/>
    <n v="13"/>
    <n v="0.13830000000000001"/>
    <n v="1"/>
    <n v="3"/>
    <n v="0.23080000000000001"/>
    <n v="29.97"/>
    <s v="1"/>
    <n v="7.69230769230769E-2"/>
  </r>
  <r>
    <x v="238"/>
    <x v="0"/>
    <n v="47"/>
    <n v="0.64380000000000004"/>
    <n v="67"/>
    <n v="0.71279999999999999"/>
    <n v="1"/>
    <n v="9"/>
    <n v="0.1915"/>
    <n v="134.72999999999999"/>
    <s v="8"/>
    <n v="0.170212765957447"/>
  </r>
  <r>
    <x v="239"/>
    <x v="1"/>
    <n v="1"/>
    <n v="1.47E-2"/>
    <n v="2"/>
    <n v="2.4400000000000002E-2"/>
    <n v="1"/>
    <n v="0"/>
    <n v="0"/>
    <n v="0"/>
    <s v="0"/>
    <n v="0"/>
  </r>
  <r>
    <x v="239"/>
    <x v="3"/>
    <n v="4"/>
    <n v="5.8799999999999998E-2"/>
    <n v="7"/>
    <n v="8.5400000000000004E-2"/>
    <n v="1"/>
    <n v="0"/>
    <n v="0"/>
    <n v="0"/>
    <s v="0"/>
    <n v="0"/>
  </r>
  <r>
    <x v="239"/>
    <x v="10"/>
    <n v="1"/>
    <n v="1.47E-2"/>
    <n v="1"/>
    <n v="1.2200000000000001E-2"/>
    <n v="0"/>
    <n v="0"/>
    <n v="0"/>
    <n v="0"/>
    <s v="0"/>
    <n v="0"/>
  </r>
  <r>
    <x v="239"/>
    <x v="5"/>
    <n v="0"/>
    <n v="0"/>
    <n v="0"/>
    <n v="0"/>
    <n v="0"/>
    <n v="1"/>
    <n v="0"/>
    <n v="12.99"/>
    <s v="1"/>
    <n v="0"/>
  </r>
  <r>
    <x v="239"/>
    <x v="6"/>
    <n v="14"/>
    <n v="0.2059"/>
    <n v="14"/>
    <n v="0.17069999999999999"/>
    <n v="1"/>
    <n v="2"/>
    <n v="0.1429"/>
    <n v="19.98"/>
    <s v="1"/>
    <n v="7.1428571428571397E-2"/>
  </r>
  <r>
    <x v="239"/>
    <x v="0"/>
    <n v="44"/>
    <n v="0.64710000000000001"/>
    <n v="53"/>
    <n v="0.64629999999999999"/>
    <n v="1"/>
    <n v="9"/>
    <n v="0.20449999999999999"/>
    <n v="134.72999999999999"/>
    <s v="9"/>
    <n v="0.204545454545455"/>
  </r>
  <r>
    <x v="239"/>
    <x v="2"/>
    <n v="4"/>
    <n v="5.8799999999999998E-2"/>
    <n v="5"/>
    <n v="6.0999999999999999E-2"/>
    <n v="1"/>
    <n v="1"/>
    <n v="0.25"/>
    <n v="17.97"/>
    <s v="1"/>
    <n v="0.25"/>
  </r>
  <r>
    <x v="240"/>
    <x v="4"/>
    <n v="2"/>
    <n v="2.5600000000000001E-2"/>
    <n v="2"/>
    <n v="2.06E-2"/>
    <n v="1"/>
    <n v="0"/>
    <n v="0"/>
    <n v="0"/>
    <s v="0"/>
    <n v="0"/>
  </r>
  <r>
    <x v="240"/>
    <x v="10"/>
    <n v="4"/>
    <n v="5.1299999999999998E-2"/>
    <n v="4"/>
    <n v="4.1200000000000001E-2"/>
    <n v="1"/>
    <n v="0"/>
    <n v="0"/>
    <n v="0"/>
    <s v="0"/>
    <n v="0"/>
  </r>
  <r>
    <x v="240"/>
    <x v="2"/>
    <n v="3"/>
    <n v="3.85E-2"/>
    <n v="3"/>
    <n v="3.09E-2"/>
    <n v="1"/>
    <n v="1"/>
    <n v="0.33329999999999999"/>
    <n v="0"/>
    <s v="1"/>
    <n v="0.33333333333333298"/>
  </r>
  <r>
    <x v="240"/>
    <x v="6"/>
    <n v="12"/>
    <n v="0.15379999999999999"/>
    <n v="13"/>
    <n v="0.13400000000000001"/>
    <n v="0.92"/>
    <n v="1"/>
    <n v="8.3299999999999999E-2"/>
    <n v="9.99"/>
    <s v="1"/>
    <n v="8.3333333333333301E-2"/>
  </r>
  <r>
    <x v="240"/>
    <x v="3"/>
    <n v="8"/>
    <n v="0.1026"/>
    <n v="13"/>
    <n v="0.13400000000000001"/>
    <n v="1"/>
    <n v="2"/>
    <n v="0.25"/>
    <n v="59.98"/>
    <s v="2"/>
    <n v="0.25"/>
  </r>
  <r>
    <x v="240"/>
    <x v="0"/>
    <n v="45"/>
    <n v="0.57689999999999997"/>
    <n v="56"/>
    <n v="0.57730000000000004"/>
    <n v="1"/>
    <n v="7"/>
    <n v="0.15559999999999999"/>
    <n v="104.79"/>
    <s v="7"/>
    <n v="0.155555555555556"/>
  </r>
  <r>
    <x v="240"/>
    <x v="5"/>
    <n v="4"/>
    <n v="5.1299999999999998E-2"/>
    <n v="6"/>
    <n v="6.1899999999999997E-2"/>
    <n v="1"/>
    <n v="1"/>
    <n v="0.25"/>
    <n v="12.99"/>
    <s v="1"/>
    <n v="0.25"/>
  </r>
  <r>
    <x v="241"/>
    <x v="4"/>
    <n v="1"/>
    <n v="1.7500000000000002E-2"/>
    <n v="4"/>
    <n v="5.4800000000000001E-2"/>
    <n v="1"/>
    <n v="0"/>
    <n v="0"/>
    <n v="0"/>
    <s v="0"/>
    <n v="0"/>
  </r>
  <r>
    <x v="241"/>
    <x v="3"/>
    <n v="8"/>
    <n v="0.1404"/>
    <n v="15"/>
    <n v="0.20549999999999999"/>
    <n v="1"/>
    <n v="0"/>
    <n v="0"/>
    <n v="0"/>
    <s v="0"/>
    <n v="0"/>
  </r>
  <r>
    <x v="241"/>
    <x v="5"/>
    <n v="4"/>
    <n v="7.0199999999999999E-2"/>
    <n v="4"/>
    <n v="5.4800000000000001E-2"/>
    <n v="1"/>
    <n v="0"/>
    <n v="0"/>
    <n v="0"/>
    <s v="0"/>
    <n v="0"/>
  </r>
  <r>
    <x v="241"/>
    <x v="10"/>
    <n v="4"/>
    <n v="7.0199999999999999E-2"/>
    <n v="5"/>
    <n v="6.8500000000000005E-2"/>
    <n v="1"/>
    <n v="0"/>
    <n v="0"/>
    <n v="0"/>
    <s v="0"/>
    <n v="0"/>
  </r>
  <r>
    <x v="241"/>
    <x v="2"/>
    <n v="2"/>
    <n v="3.5099999999999999E-2"/>
    <n v="4"/>
    <n v="5.4800000000000001E-2"/>
    <n v="1"/>
    <n v="2"/>
    <n v="1"/>
    <n v="35.94"/>
    <s v="2"/>
    <n v="1"/>
  </r>
  <r>
    <x v="241"/>
    <x v="0"/>
    <n v="24"/>
    <n v="0.42109999999999997"/>
    <n v="26"/>
    <n v="0.35620000000000002"/>
    <n v="1"/>
    <n v="5"/>
    <n v="0.20830000000000001"/>
    <n v="74.849999999999994"/>
    <s v="3"/>
    <n v="0.125"/>
  </r>
  <r>
    <x v="241"/>
    <x v="6"/>
    <n v="14"/>
    <n v="0.24560000000000001"/>
    <n v="15"/>
    <n v="0.20549999999999999"/>
    <n v="1"/>
    <n v="1"/>
    <n v="7.1400000000000005E-2"/>
    <n v="9.99"/>
    <s v="1"/>
    <n v="7.1428571428571397E-2"/>
  </r>
  <r>
    <x v="242"/>
    <x v="2"/>
    <n v="1"/>
    <n v="1.4500000000000001E-2"/>
    <n v="3"/>
    <n v="3.6600000000000001E-2"/>
    <n v="1"/>
    <n v="0"/>
    <n v="0"/>
    <n v="0"/>
    <s v="0"/>
    <n v="0"/>
  </r>
  <r>
    <x v="242"/>
    <x v="4"/>
    <n v="2"/>
    <n v="2.9000000000000001E-2"/>
    <n v="2"/>
    <n v="2.4400000000000002E-2"/>
    <n v="1"/>
    <n v="0"/>
    <n v="0"/>
    <n v="0"/>
    <s v="0"/>
    <n v="0"/>
  </r>
  <r>
    <x v="242"/>
    <x v="10"/>
    <n v="2"/>
    <n v="2.9000000000000001E-2"/>
    <n v="5"/>
    <n v="6.0999999999999999E-2"/>
    <n v="1"/>
    <n v="0"/>
    <n v="0"/>
    <n v="0"/>
    <s v="0"/>
    <n v="0"/>
  </r>
  <r>
    <x v="242"/>
    <x v="6"/>
    <n v="8"/>
    <n v="0.1159"/>
    <n v="9"/>
    <n v="0.10979999999999999"/>
    <n v="1"/>
    <n v="0"/>
    <n v="0"/>
    <n v="0"/>
    <s v="0"/>
    <n v="0"/>
  </r>
  <r>
    <x v="242"/>
    <x v="3"/>
    <n v="6"/>
    <n v="8.6999999999999994E-2"/>
    <n v="6"/>
    <n v="7.3200000000000001E-2"/>
    <n v="1"/>
    <n v="0"/>
    <n v="0"/>
    <n v="0"/>
    <s v="0"/>
    <n v="0"/>
  </r>
  <r>
    <x v="242"/>
    <x v="5"/>
    <n v="3"/>
    <n v="4.3499999999999997E-2"/>
    <n v="3"/>
    <n v="3.6600000000000001E-2"/>
    <n v="1"/>
    <n v="0"/>
    <n v="0"/>
    <n v="0"/>
    <s v="0"/>
    <n v="0"/>
  </r>
  <r>
    <x v="242"/>
    <x v="0"/>
    <n v="47"/>
    <n v="0.68120000000000003"/>
    <n v="54"/>
    <n v="0.65849999999999997"/>
    <n v="1"/>
    <n v="8"/>
    <n v="0.17019999999999999"/>
    <n v="119.76"/>
    <s v="8"/>
    <n v="0.170212765957447"/>
  </r>
  <r>
    <x v="243"/>
    <x v="10"/>
    <n v="1"/>
    <n v="1.7899999999999999E-2"/>
    <n v="1"/>
    <n v="1.32E-2"/>
    <n v="1"/>
    <n v="0"/>
    <n v="0"/>
    <n v="0"/>
    <s v="0"/>
    <n v="0"/>
  </r>
  <r>
    <x v="243"/>
    <x v="4"/>
    <n v="1"/>
    <n v="1.7899999999999999E-2"/>
    <n v="3"/>
    <n v="3.95E-2"/>
    <n v="1"/>
    <n v="0"/>
    <n v="0"/>
    <n v="0"/>
    <s v="0"/>
    <n v="0"/>
  </r>
  <r>
    <x v="243"/>
    <x v="5"/>
    <n v="2"/>
    <n v="3.5700000000000003E-2"/>
    <n v="3"/>
    <n v="3.95E-2"/>
    <n v="1"/>
    <n v="0"/>
    <n v="0"/>
    <n v="0"/>
    <s v="0"/>
    <n v="0"/>
  </r>
  <r>
    <x v="243"/>
    <x v="2"/>
    <n v="3"/>
    <n v="5.3600000000000002E-2"/>
    <n v="3"/>
    <n v="3.95E-2"/>
    <n v="1"/>
    <n v="0"/>
    <n v="0"/>
    <n v="0"/>
    <s v="0"/>
    <n v="0"/>
  </r>
  <r>
    <x v="243"/>
    <x v="3"/>
    <n v="5"/>
    <n v="8.9300000000000004E-2"/>
    <n v="6"/>
    <n v="7.8899999999999998E-2"/>
    <n v="1"/>
    <n v="10"/>
    <n v="2"/>
    <n v="299.89999999999998"/>
    <s v="1"/>
    <n v="0.2"/>
  </r>
  <r>
    <x v="243"/>
    <x v="6"/>
    <n v="16"/>
    <n v="0.28570000000000001"/>
    <n v="16"/>
    <n v="0.21049999999999999"/>
    <n v="1"/>
    <n v="2"/>
    <n v="0.125"/>
    <n v="19.98"/>
    <s v="2"/>
    <n v="0.125"/>
  </r>
  <r>
    <x v="243"/>
    <x v="0"/>
    <n v="28"/>
    <n v="0.5"/>
    <n v="44"/>
    <n v="0.57889999999999997"/>
    <n v="1"/>
    <n v="7"/>
    <n v="0.25"/>
    <n v="104.79"/>
    <s v="7"/>
    <n v="0.25"/>
  </r>
  <r>
    <x v="244"/>
    <x v="10"/>
    <n v="1"/>
    <n v="1.12E-2"/>
    <n v="1"/>
    <n v="8.0999999999999996E-3"/>
    <n v="1"/>
    <n v="0"/>
    <n v="0"/>
    <n v="0"/>
    <s v="0"/>
    <n v="0"/>
  </r>
  <r>
    <x v="244"/>
    <x v="2"/>
    <n v="1"/>
    <n v="1.12E-2"/>
    <n v="3"/>
    <n v="2.4400000000000002E-2"/>
    <n v="1"/>
    <n v="0"/>
    <n v="0"/>
    <n v="0"/>
    <s v="0"/>
    <n v="0"/>
  </r>
  <r>
    <x v="244"/>
    <x v="6"/>
    <n v="30"/>
    <n v="0.33710000000000001"/>
    <n v="33"/>
    <n v="0.26829999999999998"/>
    <n v="1"/>
    <n v="5"/>
    <n v="0.16669999999999999"/>
    <n v="49.95"/>
    <s v="5"/>
    <n v="0.16666666666666699"/>
  </r>
  <r>
    <x v="244"/>
    <x v="3"/>
    <n v="6"/>
    <n v="6.7400000000000002E-2"/>
    <n v="7"/>
    <n v="5.6899999999999999E-2"/>
    <n v="1"/>
    <n v="2"/>
    <n v="0.33329999999999999"/>
    <n v="59.98"/>
    <s v="2"/>
    <n v="0.33333333333333298"/>
  </r>
  <r>
    <x v="244"/>
    <x v="5"/>
    <n v="2"/>
    <n v="2.2499999999999999E-2"/>
    <n v="3"/>
    <n v="2.4400000000000002E-2"/>
    <n v="1"/>
    <n v="2"/>
    <n v="1"/>
    <n v="25.98"/>
    <s v="2"/>
    <n v="1"/>
  </r>
  <r>
    <x v="244"/>
    <x v="0"/>
    <n v="49"/>
    <n v="0.55059999999999998"/>
    <n v="76"/>
    <n v="0.6179"/>
    <n v="1"/>
    <n v="6"/>
    <n v="0.12239999999999999"/>
    <n v="89.82"/>
    <s v="6"/>
    <n v="0.122448979591837"/>
  </r>
  <r>
    <x v="245"/>
    <x v="4"/>
    <n v="2"/>
    <n v="2.6700000000000002E-2"/>
    <n v="2"/>
    <n v="2.1499999999999998E-2"/>
    <n v="1"/>
    <n v="0"/>
    <n v="0"/>
    <n v="0"/>
    <s v="0"/>
    <n v="0"/>
  </r>
  <r>
    <x v="245"/>
    <x v="10"/>
    <n v="5"/>
    <n v="6.6699999999999995E-2"/>
    <n v="5"/>
    <n v="5.3800000000000001E-2"/>
    <n v="1"/>
    <n v="0"/>
    <n v="0"/>
    <n v="0"/>
    <s v="0"/>
    <n v="0"/>
  </r>
  <r>
    <x v="245"/>
    <x v="5"/>
    <n v="2"/>
    <n v="2.6700000000000002E-2"/>
    <n v="4"/>
    <n v="4.2999999999999997E-2"/>
    <n v="1"/>
    <n v="5"/>
    <n v="2.5"/>
    <n v="64.95"/>
    <s v="3"/>
    <n v="1.5"/>
  </r>
  <r>
    <x v="245"/>
    <x v="0"/>
    <n v="46"/>
    <n v="0.61329999999999996"/>
    <n v="59"/>
    <n v="0.63439999999999996"/>
    <n v="1"/>
    <n v="8"/>
    <n v="0.1739"/>
    <n v="89.82"/>
    <s v="8"/>
    <n v="0.173913043478261"/>
  </r>
  <r>
    <x v="245"/>
    <x v="6"/>
    <n v="14"/>
    <n v="0.1867"/>
    <n v="15"/>
    <n v="0.1613"/>
    <n v="1"/>
    <n v="1"/>
    <n v="7.1400000000000005E-2"/>
    <n v="9.99"/>
    <s v="1"/>
    <n v="7.1428571428571397E-2"/>
  </r>
  <r>
    <x v="245"/>
    <x v="3"/>
    <n v="6"/>
    <n v="0.08"/>
    <n v="8"/>
    <n v="8.5999999999999993E-2"/>
    <n v="1"/>
    <n v="1"/>
    <n v="0.16669999999999999"/>
    <n v="29.99"/>
    <s v="1"/>
    <n v="0.16666666666666699"/>
  </r>
  <r>
    <x v="246"/>
    <x v="2"/>
    <n v="1"/>
    <n v="1.09E-2"/>
    <n v="1"/>
    <n v="8.6E-3"/>
    <n v="1"/>
    <n v="0"/>
    <n v="0"/>
    <n v="0"/>
    <s v="0"/>
    <n v="0"/>
  </r>
  <r>
    <x v="246"/>
    <x v="3"/>
    <n v="4"/>
    <n v="4.3499999999999997E-2"/>
    <n v="7"/>
    <n v="6.0299999999999999E-2"/>
    <n v="1"/>
    <n v="0"/>
    <n v="0"/>
    <n v="0"/>
    <s v="0"/>
    <n v="0"/>
  </r>
  <r>
    <x v="246"/>
    <x v="5"/>
    <n v="3"/>
    <n v="3.2599999999999997E-2"/>
    <n v="4"/>
    <n v="3.4500000000000003E-2"/>
    <n v="1"/>
    <n v="0"/>
    <n v="0"/>
    <n v="0"/>
    <s v="0"/>
    <n v="0"/>
  </r>
  <r>
    <x v="246"/>
    <x v="10"/>
    <n v="3"/>
    <n v="3.2599999999999997E-2"/>
    <n v="3"/>
    <n v="2.5899999999999999E-2"/>
    <n v="1"/>
    <n v="0"/>
    <n v="0"/>
    <n v="0"/>
    <s v="0"/>
    <n v="0"/>
  </r>
  <r>
    <x v="246"/>
    <x v="6"/>
    <n v="21"/>
    <n v="0.2283"/>
    <n v="22"/>
    <n v="0.18970000000000001"/>
    <n v="1"/>
    <n v="2"/>
    <n v="9.5200000000000007E-2"/>
    <n v="19.98"/>
    <s v="2"/>
    <n v="9.5238095238095205E-2"/>
  </r>
  <r>
    <x v="246"/>
    <x v="0"/>
    <n v="59"/>
    <n v="0.64129999999999998"/>
    <n v="78"/>
    <n v="0.6724"/>
    <n v="1"/>
    <n v="12"/>
    <n v="0.2034"/>
    <n v="164.67"/>
    <s v="8"/>
    <n v="0.13559322033898299"/>
  </r>
  <r>
    <x v="246"/>
    <x v="4"/>
    <n v="1"/>
    <n v="1.09E-2"/>
    <n v="1"/>
    <n v="8.6E-3"/>
    <n v="1"/>
    <n v="1"/>
    <n v="1"/>
    <n v="16.98"/>
    <s v="1"/>
    <n v="1"/>
  </r>
  <r>
    <x v="247"/>
    <x v="4"/>
    <n v="1"/>
    <n v="1.72E-2"/>
    <n v="1"/>
    <n v="1.37E-2"/>
    <n v="1"/>
    <n v="0"/>
    <n v="0"/>
    <n v="0"/>
    <s v="0"/>
    <n v="0"/>
  </r>
  <r>
    <x v="247"/>
    <x v="10"/>
    <n v="6"/>
    <n v="0.10340000000000001"/>
    <n v="8"/>
    <n v="0.1096"/>
    <n v="1"/>
    <n v="0"/>
    <n v="0"/>
    <n v="0"/>
    <s v="0"/>
    <n v="0"/>
  </r>
  <r>
    <x v="247"/>
    <x v="3"/>
    <n v="4"/>
    <n v="6.9000000000000006E-2"/>
    <n v="7"/>
    <n v="9.5899999999999999E-2"/>
    <n v="1"/>
    <n v="0"/>
    <n v="0"/>
    <n v="0"/>
    <s v="0"/>
    <n v="0"/>
  </r>
  <r>
    <x v="247"/>
    <x v="2"/>
    <n v="3"/>
    <n v="5.1700000000000003E-2"/>
    <n v="3"/>
    <n v="4.1099999999999998E-2"/>
    <n v="1"/>
    <n v="0"/>
    <n v="0"/>
    <n v="0"/>
    <s v="0"/>
    <n v="0"/>
  </r>
  <r>
    <x v="247"/>
    <x v="5"/>
    <n v="5"/>
    <n v="8.6199999999999999E-2"/>
    <n v="5"/>
    <n v="6.8500000000000005E-2"/>
    <n v="1"/>
    <n v="5"/>
    <n v="1"/>
    <n v="64.95"/>
    <s v="4"/>
    <n v="0.8"/>
  </r>
  <r>
    <x v="247"/>
    <x v="0"/>
    <n v="32"/>
    <n v="0.55169999999999997"/>
    <n v="41"/>
    <n v="0.56159999999999999"/>
    <n v="1"/>
    <n v="5"/>
    <n v="0.15629999999999999"/>
    <n v="59.88"/>
    <s v="5"/>
    <n v="0.15625"/>
  </r>
  <r>
    <x v="247"/>
    <x v="6"/>
    <n v="7"/>
    <n v="0.1207"/>
    <n v="8"/>
    <n v="0.1096"/>
    <n v="1"/>
    <n v="1"/>
    <n v="0.1429"/>
    <n v="9.99"/>
    <s v="1"/>
    <n v="0.14285714285714299"/>
  </r>
  <r>
    <x v="248"/>
    <x v="2"/>
    <n v="1"/>
    <n v="2.7E-2"/>
    <n v="1"/>
    <n v="2.1700000000000001E-2"/>
    <n v="1"/>
    <n v="0"/>
    <n v="0"/>
    <n v="0"/>
    <s v="0"/>
    <n v="0"/>
  </r>
  <r>
    <x v="248"/>
    <x v="4"/>
    <n v="1"/>
    <n v="2.7E-2"/>
    <n v="1"/>
    <n v="2.1700000000000001E-2"/>
    <n v="1"/>
    <n v="0"/>
    <n v="0"/>
    <n v="0"/>
    <s v="0"/>
    <n v="0"/>
  </r>
  <r>
    <x v="248"/>
    <x v="3"/>
    <n v="7"/>
    <n v="0.18920000000000001"/>
    <n v="7"/>
    <n v="0.1522"/>
    <n v="1"/>
    <n v="0"/>
    <n v="0"/>
    <n v="0"/>
    <s v="0"/>
    <n v="0"/>
  </r>
  <r>
    <x v="248"/>
    <x v="5"/>
    <n v="6"/>
    <n v="0.16220000000000001"/>
    <n v="7"/>
    <n v="0.1522"/>
    <n v="1"/>
    <n v="0"/>
    <n v="0"/>
    <n v="0"/>
    <s v="0"/>
    <n v="0"/>
  </r>
  <r>
    <x v="248"/>
    <x v="10"/>
    <n v="4"/>
    <n v="0.1081"/>
    <n v="4"/>
    <n v="8.6999999999999994E-2"/>
    <n v="1"/>
    <n v="0"/>
    <n v="0"/>
    <n v="0"/>
    <s v="0"/>
    <n v="0"/>
  </r>
  <r>
    <x v="248"/>
    <x v="0"/>
    <n v="6"/>
    <n v="0.16220000000000001"/>
    <n v="8"/>
    <n v="0.1739"/>
    <n v="0.5"/>
    <n v="1"/>
    <n v="0.16669999999999999"/>
    <n v="14.97"/>
    <s v="1"/>
    <n v="0.16666666666666699"/>
  </r>
  <r>
    <x v="248"/>
    <x v="6"/>
    <n v="12"/>
    <n v="0.32429999999999998"/>
    <n v="18"/>
    <n v="0.39129999999999998"/>
    <n v="1"/>
    <n v="5"/>
    <n v="0.41670000000000001"/>
    <n v="49.95"/>
    <s v="2"/>
    <n v="0.16666666666666699"/>
  </r>
  <r>
    <x v="249"/>
    <x v="10"/>
    <n v="1"/>
    <n v="2.86E-2"/>
    <n v="1"/>
    <n v="2.5600000000000001E-2"/>
    <n v="1"/>
    <n v="0"/>
    <n v="0"/>
    <n v="0"/>
    <s v="0"/>
    <n v="0"/>
  </r>
  <r>
    <x v="249"/>
    <x v="4"/>
    <n v="2"/>
    <n v="5.7099999999999998E-2"/>
    <n v="4"/>
    <n v="0.1026"/>
    <n v="1"/>
    <n v="0"/>
    <n v="0"/>
    <n v="0"/>
    <s v="0"/>
    <n v="0"/>
  </r>
  <r>
    <x v="249"/>
    <x v="3"/>
    <n v="16"/>
    <n v="0.45710000000000001"/>
    <n v="18"/>
    <n v="0.46150000000000002"/>
    <n v="1"/>
    <n v="0"/>
    <n v="0"/>
    <n v="0"/>
    <s v="0"/>
    <n v="0"/>
  </r>
  <r>
    <x v="249"/>
    <x v="6"/>
    <n v="15"/>
    <n v="0.42859999999999998"/>
    <n v="15"/>
    <n v="0.3846"/>
    <n v="1"/>
    <n v="3"/>
    <n v="0.2"/>
    <n v="29.97"/>
    <s v="2"/>
    <n v="0.133333333333333"/>
  </r>
  <r>
    <x v="249"/>
    <x v="5"/>
    <n v="1"/>
    <n v="2.86E-2"/>
    <n v="1"/>
    <n v="2.5600000000000001E-2"/>
    <n v="1"/>
    <n v="2"/>
    <n v="2"/>
    <n v="25.98"/>
    <s v="2"/>
    <n v="2"/>
  </r>
  <r>
    <x v="250"/>
    <x v="2"/>
    <n v="1"/>
    <n v="3.0300000000000001E-2"/>
    <n v="1"/>
    <n v="2.2200000000000001E-2"/>
    <n v="1"/>
    <n v="0"/>
    <n v="0"/>
    <n v="0"/>
    <s v="0"/>
    <n v="0"/>
  </r>
  <r>
    <x v="250"/>
    <x v="4"/>
    <n v="1"/>
    <n v="3.0300000000000001E-2"/>
    <n v="2"/>
    <n v="4.4400000000000002E-2"/>
    <n v="1"/>
    <n v="0"/>
    <n v="0"/>
    <n v="0"/>
    <s v="0"/>
    <n v="0"/>
  </r>
  <r>
    <x v="250"/>
    <x v="3"/>
    <n v="9"/>
    <n v="0.2727"/>
    <n v="11"/>
    <n v="0.24440000000000001"/>
    <n v="1"/>
    <n v="0"/>
    <n v="0"/>
    <n v="0"/>
    <s v="0"/>
    <n v="0"/>
  </r>
  <r>
    <x v="250"/>
    <x v="10"/>
    <n v="6"/>
    <n v="0.18179999999999999"/>
    <n v="7"/>
    <n v="0.15559999999999999"/>
    <n v="0.86"/>
    <n v="0"/>
    <n v="0"/>
    <n v="0"/>
    <s v="0"/>
    <n v="0"/>
  </r>
  <r>
    <x v="250"/>
    <x v="5"/>
    <n v="2"/>
    <n v="6.0600000000000001E-2"/>
    <n v="6"/>
    <n v="0.1333"/>
    <n v="1"/>
    <n v="4"/>
    <n v="2"/>
    <n v="51.96"/>
    <s v="3"/>
    <n v="1.5"/>
  </r>
  <r>
    <x v="250"/>
    <x v="6"/>
    <n v="14"/>
    <n v="0.42420000000000002"/>
    <n v="18"/>
    <n v="0.4"/>
    <n v="1"/>
    <n v="2"/>
    <n v="0.1429"/>
    <n v="19.98"/>
    <s v="1"/>
    <n v="7.1428571428571397E-2"/>
  </r>
  <r>
    <x v="251"/>
    <x v="4"/>
    <n v="1"/>
    <n v="3.3300000000000003E-2"/>
    <n v="1"/>
    <n v="2.7799999999999998E-2"/>
    <n v="1"/>
    <n v="0"/>
    <n v="0"/>
    <n v="0"/>
    <s v="0"/>
    <n v="0"/>
  </r>
  <r>
    <x v="251"/>
    <x v="6"/>
    <n v="14"/>
    <n v="0.4667"/>
    <n v="17"/>
    <n v="0.47220000000000001"/>
    <n v="1"/>
    <n v="6"/>
    <n v="0.42859999999999998"/>
    <n v="59.94"/>
    <s v="5"/>
    <n v="0.35714285714285698"/>
  </r>
  <r>
    <x v="251"/>
    <x v="3"/>
    <n v="9"/>
    <n v="0.3"/>
    <n v="12"/>
    <n v="0.33329999999999999"/>
    <n v="1"/>
    <n v="3"/>
    <n v="0.33329999999999999"/>
    <n v="89.97"/>
    <s v="2"/>
    <n v="0.22222222222222199"/>
  </r>
  <r>
    <x v="251"/>
    <x v="5"/>
    <n v="3"/>
    <n v="0.1"/>
    <n v="3"/>
    <n v="8.3299999999999999E-2"/>
    <n v="1"/>
    <n v="2"/>
    <n v="0.66669999999999996"/>
    <n v="25.98"/>
    <s v="1"/>
    <n v="0.33333333333333298"/>
  </r>
  <r>
    <x v="251"/>
    <x v="10"/>
    <n v="3"/>
    <n v="0.1"/>
    <n v="3"/>
    <n v="8.3299999999999999E-2"/>
    <n v="1"/>
    <n v="1"/>
    <n v="0.33329999999999999"/>
    <n v="19.989999999999998"/>
    <s v="1"/>
    <n v="0.33333333333333298"/>
  </r>
  <r>
    <x v="252"/>
    <x v="4"/>
    <n v="1"/>
    <n v="1.5900000000000001E-2"/>
    <n v="1"/>
    <n v="1.2E-2"/>
    <n v="1"/>
    <n v="0"/>
    <n v="0"/>
    <n v="0"/>
    <s v="0"/>
    <n v="0"/>
  </r>
  <r>
    <x v="252"/>
    <x v="2"/>
    <n v="2"/>
    <n v="3.1699999999999999E-2"/>
    <n v="2"/>
    <n v="2.41E-2"/>
    <n v="1"/>
    <n v="0"/>
    <n v="0"/>
    <n v="0"/>
    <s v="0"/>
    <n v="0"/>
  </r>
  <r>
    <x v="252"/>
    <x v="3"/>
    <n v="11"/>
    <n v="0.17460000000000001"/>
    <n v="12"/>
    <n v="0.14460000000000001"/>
    <n v="1"/>
    <n v="0"/>
    <n v="0"/>
    <n v="0"/>
    <s v="0"/>
    <n v="0"/>
  </r>
  <r>
    <x v="252"/>
    <x v="5"/>
    <n v="8"/>
    <n v="0.127"/>
    <n v="8"/>
    <n v="9.64E-2"/>
    <n v="1"/>
    <n v="2"/>
    <n v="0.25"/>
    <n v="0"/>
    <s v="1"/>
    <n v="0.125"/>
  </r>
  <r>
    <x v="252"/>
    <x v="0"/>
    <n v="26"/>
    <n v="0.41270000000000001"/>
    <n v="36"/>
    <n v="0.43369999999999997"/>
    <n v="1"/>
    <n v="4"/>
    <n v="0.15379999999999999"/>
    <n v="59.88"/>
    <s v="4"/>
    <n v="0.15384615384615399"/>
  </r>
  <r>
    <x v="252"/>
    <x v="6"/>
    <n v="12"/>
    <n v="0.1905"/>
    <n v="16"/>
    <n v="0.1928"/>
    <n v="1"/>
    <n v="1"/>
    <n v="8.3299999999999999E-2"/>
    <n v="11.99"/>
    <s v="1"/>
    <n v="8.3333333333333301E-2"/>
  </r>
  <r>
    <x v="252"/>
    <x v="10"/>
    <n v="3"/>
    <n v="4.7600000000000003E-2"/>
    <n v="8"/>
    <n v="9.64E-2"/>
    <n v="1"/>
    <n v="1"/>
    <n v="0.33329999999999999"/>
    <n v="19.989999999999998"/>
    <s v="1"/>
    <n v="0.33333333333333298"/>
  </r>
  <r>
    <x v="253"/>
    <x v="1"/>
    <n v="1"/>
    <n v="1.2800000000000001E-2"/>
    <n v="1"/>
    <n v="1.03E-2"/>
    <n v="1"/>
    <n v="0"/>
    <n v="0"/>
    <n v="0"/>
    <s v="0"/>
    <n v="0"/>
  </r>
  <r>
    <x v="253"/>
    <x v="4"/>
    <n v="2"/>
    <n v="2.5600000000000001E-2"/>
    <n v="4"/>
    <n v="4.1200000000000001E-2"/>
    <n v="1"/>
    <n v="0"/>
    <n v="0"/>
    <n v="0"/>
    <s v="0"/>
    <n v="0"/>
  </r>
  <r>
    <x v="253"/>
    <x v="2"/>
    <n v="3"/>
    <n v="3.85E-2"/>
    <n v="4"/>
    <n v="4.1200000000000001E-2"/>
    <n v="1"/>
    <n v="0"/>
    <n v="0"/>
    <n v="0"/>
    <s v="0"/>
    <n v="0"/>
  </r>
  <r>
    <x v="253"/>
    <x v="5"/>
    <n v="7"/>
    <n v="8.9700000000000002E-2"/>
    <n v="8"/>
    <n v="8.2500000000000004E-2"/>
    <n v="0.88"/>
    <n v="0"/>
    <n v="0"/>
    <n v="0"/>
    <s v="0"/>
    <n v="0"/>
  </r>
  <r>
    <x v="253"/>
    <x v="3"/>
    <n v="6"/>
    <n v="7.6899999999999996E-2"/>
    <n v="10"/>
    <n v="0.1031"/>
    <n v="1"/>
    <n v="2"/>
    <n v="0.33329999999999999"/>
    <n v="59.98"/>
    <s v="2"/>
    <n v="0.33333333333333298"/>
  </r>
  <r>
    <x v="253"/>
    <x v="0"/>
    <n v="42"/>
    <n v="0.53849999999999998"/>
    <n v="50"/>
    <n v="0.51549999999999996"/>
    <n v="1"/>
    <n v="6"/>
    <n v="0.1429"/>
    <n v="89.82"/>
    <s v="5"/>
    <n v="0.119047619047619"/>
  </r>
  <r>
    <x v="253"/>
    <x v="6"/>
    <n v="13"/>
    <n v="0.16669999999999999"/>
    <n v="15"/>
    <n v="0.15459999999999999"/>
    <n v="1"/>
    <n v="1"/>
    <n v="7.6899999999999996E-2"/>
    <n v="11.99"/>
    <s v="1"/>
    <n v="7.69230769230769E-2"/>
  </r>
  <r>
    <x v="253"/>
    <x v="10"/>
    <n v="4"/>
    <n v="5.1299999999999998E-2"/>
    <n v="5"/>
    <n v="5.1499999999999997E-2"/>
    <n v="1"/>
    <n v="1"/>
    <n v="0.25"/>
    <n v="19.989999999999998"/>
    <s v="1"/>
    <n v="0.25"/>
  </r>
  <r>
    <x v="254"/>
    <x v="2"/>
    <n v="1"/>
    <n v="1.3299999999999999E-2"/>
    <n v="2"/>
    <n v="1.9400000000000001E-2"/>
    <n v="1"/>
    <n v="0"/>
    <n v="0"/>
    <n v="0"/>
    <s v="0"/>
    <n v="0"/>
  </r>
  <r>
    <x v="254"/>
    <x v="3"/>
    <n v="14"/>
    <n v="0.1867"/>
    <n v="19"/>
    <n v="0.1845"/>
    <n v="1"/>
    <n v="0"/>
    <n v="0"/>
    <n v="0"/>
    <s v="0"/>
    <n v="0"/>
  </r>
  <r>
    <x v="254"/>
    <x v="5"/>
    <n v="10"/>
    <n v="0.1333"/>
    <n v="14"/>
    <n v="0.13589999999999999"/>
    <n v="1"/>
    <n v="3"/>
    <n v="0.3"/>
    <n v="38.97"/>
    <s v="3"/>
    <n v="0.3"/>
  </r>
  <r>
    <x v="254"/>
    <x v="6"/>
    <n v="11"/>
    <n v="0.1467"/>
    <n v="14"/>
    <n v="0.13589999999999999"/>
    <n v="1"/>
    <n v="2"/>
    <n v="0.18179999999999999"/>
    <n v="23.98"/>
    <s v="2"/>
    <n v="0.18181818181818199"/>
  </r>
  <r>
    <x v="254"/>
    <x v="0"/>
    <n v="39"/>
    <n v="0.52"/>
    <n v="54"/>
    <n v="0.52429999999999999"/>
    <n v="1"/>
    <n v="12"/>
    <n v="0.30769999999999997"/>
    <n v="179.64"/>
    <s v="7"/>
    <n v="0.17948717948717999"/>
  </r>
  <r>
    <x v="255"/>
    <x v="4"/>
    <n v="1"/>
    <n v="1.41E-2"/>
    <n v="1"/>
    <n v="1.09E-2"/>
    <n v="1"/>
    <n v="0"/>
    <n v="0"/>
    <n v="0"/>
    <s v="0"/>
    <n v="0"/>
  </r>
  <r>
    <x v="255"/>
    <x v="6"/>
    <n v="15"/>
    <n v="0.21129999999999999"/>
    <n v="19"/>
    <n v="0.20649999999999999"/>
    <n v="1"/>
    <n v="0"/>
    <n v="0"/>
    <n v="0"/>
    <s v="0"/>
    <n v="0"/>
  </r>
  <r>
    <x v="255"/>
    <x v="3"/>
    <n v="9"/>
    <n v="0.1268"/>
    <n v="12"/>
    <n v="0.13039999999999999"/>
    <n v="1"/>
    <n v="0"/>
    <n v="0"/>
    <n v="0"/>
    <s v="0"/>
    <n v="0"/>
  </r>
  <r>
    <x v="255"/>
    <x v="5"/>
    <n v="7"/>
    <n v="9.8599999999999993E-2"/>
    <n v="7"/>
    <n v="7.6100000000000001E-2"/>
    <n v="1"/>
    <n v="0"/>
    <n v="0"/>
    <n v="0"/>
    <s v="0"/>
    <n v="0"/>
  </r>
  <r>
    <x v="255"/>
    <x v="10"/>
    <n v="3"/>
    <n v="4.2299999999999997E-2"/>
    <n v="4"/>
    <n v="4.3499999999999997E-2"/>
    <n v="1"/>
    <n v="0"/>
    <n v="0"/>
    <n v="0"/>
    <s v="0"/>
    <n v="0"/>
  </r>
  <r>
    <x v="255"/>
    <x v="0"/>
    <n v="36"/>
    <n v="0.50700000000000001"/>
    <n v="49"/>
    <n v="0.53259999999999996"/>
    <n v="0.98"/>
    <n v="0"/>
    <n v="0"/>
    <n v="0"/>
    <s v="0"/>
    <n v="0"/>
  </r>
  <r>
    <x v="256"/>
    <x v="4"/>
    <n v="2"/>
    <n v="2.1700000000000001E-2"/>
    <n v="4"/>
    <n v="3.2300000000000002E-2"/>
    <n v="1"/>
    <n v="0"/>
    <n v="0"/>
    <n v="0"/>
    <s v="0"/>
    <n v="0"/>
  </r>
  <r>
    <x v="256"/>
    <x v="2"/>
    <n v="2"/>
    <n v="2.1700000000000001E-2"/>
    <n v="3"/>
    <n v="2.4199999999999999E-2"/>
    <n v="1"/>
    <n v="0"/>
    <n v="0"/>
    <n v="0"/>
    <s v="0"/>
    <n v="0"/>
  </r>
  <r>
    <x v="256"/>
    <x v="10"/>
    <n v="3"/>
    <n v="3.2599999999999997E-2"/>
    <n v="3"/>
    <n v="2.4199999999999999E-2"/>
    <n v="1"/>
    <n v="0"/>
    <n v="0"/>
    <n v="0"/>
    <s v="0"/>
    <n v="0"/>
  </r>
  <r>
    <x v="256"/>
    <x v="6"/>
    <n v="20"/>
    <n v="0.21740000000000001"/>
    <n v="29"/>
    <n v="0.2339"/>
    <n v="1"/>
    <n v="7"/>
    <n v="0.35"/>
    <n v="83.93"/>
    <s v="6"/>
    <n v="0.3"/>
  </r>
  <r>
    <x v="256"/>
    <x v="3"/>
    <n v="17"/>
    <n v="0.18479999999999999"/>
    <n v="22"/>
    <n v="0.1774"/>
    <n v="1"/>
    <n v="2"/>
    <n v="0.1176"/>
    <n v="59.98"/>
    <s v="2"/>
    <n v="0.11764705882352899"/>
  </r>
  <r>
    <x v="256"/>
    <x v="0"/>
    <n v="41"/>
    <n v="0.44569999999999999"/>
    <n v="56"/>
    <n v="0.4516"/>
    <n v="1"/>
    <n v="11"/>
    <n v="0.26829999999999998"/>
    <n v="164.67"/>
    <s v="6"/>
    <n v="0.146341463414634"/>
  </r>
  <r>
    <x v="256"/>
    <x v="5"/>
    <n v="7"/>
    <n v="7.6100000000000001E-2"/>
    <n v="7"/>
    <n v="5.6500000000000002E-2"/>
    <n v="1"/>
    <n v="1"/>
    <n v="0.1429"/>
    <n v="12.99"/>
    <s v="1"/>
    <n v="0.14285714285714299"/>
  </r>
  <r>
    <x v="257"/>
    <x v="11"/>
    <m/>
    <m/>
    <m/>
    <m/>
    <m/>
    <m/>
    <m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55">
  <r>
    <x v="0"/>
    <x v="0"/>
    <n v="1"/>
    <n v="0.5"/>
    <n v="7"/>
    <n v="0.77780000000000005"/>
    <n v="0.71"/>
    <n v="0"/>
    <n v="0"/>
    <n v="0"/>
    <s v="0"/>
    <n v="0"/>
  </r>
  <r>
    <x v="0"/>
    <x v="1"/>
    <n v="1"/>
    <n v="0.5"/>
    <n v="2"/>
    <n v="0.22220000000000001"/>
    <n v="0"/>
    <n v="0"/>
    <n v="0"/>
    <n v="0"/>
    <s v="0"/>
    <n v="0"/>
  </r>
  <r>
    <x v="1"/>
    <x v="2"/>
    <n v="1"/>
    <n v="0.25"/>
    <n v="1"/>
    <n v="6.6699999999999995E-2"/>
    <n v="0"/>
    <n v="0"/>
    <n v="0"/>
    <n v="0"/>
    <s v="0"/>
    <n v="0"/>
  </r>
  <r>
    <x v="1"/>
    <x v="1"/>
    <n v="1"/>
    <n v="0.25"/>
    <n v="1"/>
    <n v="6.6699999999999995E-2"/>
    <n v="0"/>
    <n v="0"/>
    <n v="0"/>
    <n v="0"/>
    <s v="0"/>
    <n v="0"/>
  </r>
  <r>
    <x v="1"/>
    <x v="0"/>
    <n v="2"/>
    <n v="0.5"/>
    <n v="13"/>
    <n v="0.86670000000000003"/>
    <n v="1"/>
    <n v="1"/>
    <n v="0.5"/>
    <n v="12.99"/>
    <s v="1"/>
    <n v="0.5"/>
  </r>
  <r>
    <x v="2"/>
    <x v="1"/>
    <n v="2"/>
    <n v="0.18179999999999999"/>
    <n v="5"/>
    <n v="0.25"/>
    <n v="1"/>
    <n v="0"/>
    <n v="0"/>
    <n v="0"/>
    <s v="0"/>
    <n v="0"/>
  </r>
  <r>
    <x v="2"/>
    <x v="2"/>
    <n v="1"/>
    <n v="9.0899999999999995E-2"/>
    <n v="1"/>
    <n v="0.05"/>
    <n v="0"/>
    <n v="0"/>
    <n v="0"/>
    <n v="0"/>
    <s v="0"/>
    <n v="0"/>
  </r>
  <r>
    <x v="2"/>
    <x v="0"/>
    <n v="8"/>
    <n v="0.72729999999999995"/>
    <n v="14"/>
    <n v="0.7"/>
    <n v="1"/>
    <n v="3"/>
    <n v="0.375"/>
    <n v="38.97"/>
    <s v="2"/>
    <n v="0.25"/>
  </r>
  <r>
    <x v="3"/>
    <x v="0"/>
    <n v="9"/>
    <n v="1"/>
    <n v="11"/>
    <n v="1"/>
    <n v="1"/>
    <n v="1"/>
    <n v="0.1111"/>
    <n v="12.99"/>
    <s v="1"/>
    <n v="0.11111111111111099"/>
  </r>
  <r>
    <x v="4"/>
    <x v="0"/>
    <n v="10"/>
    <n v="0.71430000000000005"/>
    <n v="15"/>
    <n v="0.75"/>
    <n v="1"/>
    <n v="1"/>
    <n v="0.1"/>
    <n v="12.99"/>
    <s v="1"/>
    <n v="0.1"/>
  </r>
  <r>
    <x v="4"/>
    <x v="1"/>
    <n v="4"/>
    <n v="0.28570000000000001"/>
    <n v="5"/>
    <n v="0.25"/>
    <n v="1"/>
    <n v="1"/>
    <n v="0.25"/>
    <n v="17.989999999999998"/>
    <s v="1"/>
    <n v="0.25"/>
  </r>
  <r>
    <x v="5"/>
    <x v="1"/>
    <n v="14"/>
    <n v="0.66669999999999996"/>
    <n v="17"/>
    <n v="0.70830000000000004"/>
    <n v="1"/>
    <n v="0"/>
    <n v="0"/>
    <n v="0"/>
    <s v="0"/>
    <n v="0"/>
  </r>
  <r>
    <x v="5"/>
    <x v="0"/>
    <n v="7"/>
    <n v="0.33329999999999999"/>
    <n v="7"/>
    <n v="0.29170000000000001"/>
    <n v="1"/>
    <n v="2"/>
    <n v="0.28570000000000001"/>
    <n v="25.98"/>
    <s v="2"/>
    <n v="0.28571428571428598"/>
  </r>
  <r>
    <x v="6"/>
    <x v="1"/>
    <n v="10"/>
    <n v="0.55559999999999998"/>
    <n v="12"/>
    <n v="0.57140000000000002"/>
    <n v="1"/>
    <n v="0"/>
    <n v="0"/>
    <n v="0"/>
    <s v="0"/>
    <n v="0"/>
  </r>
  <r>
    <x v="6"/>
    <x v="0"/>
    <n v="8"/>
    <n v="0.44440000000000002"/>
    <n v="9"/>
    <n v="0.42859999999999998"/>
    <n v="1"/>
    <n v="1"/>
    <n v="0.125"/>
    <n v="12.99"/>
    <s v="1"/>
    <n v="0.125"/>
  </r>
  <r>
    <x v="7"/>
    <x v="1"/>
    <n v="1"/>
    <n v="0.16669999999999999"/>
    <n v="1"/>
    <n v="0.1429"/>
    <n v="1"/>
    <n v="0"/>
    <n v="0"/>
    <n v="0"/>
    <s v="0"/>
    <n v="0"/>
  </r>
  <r>
    <x v="7"/>
    <x v="0"/>
    <n v="5"/>
    <n v="0.83330000000000004"/>
    <n v="6"/>
    <n v="0.85709999999999997"/>
    <n v="1"/>
    <n v="3"/>
    <n v="0.6"/>
    <n v="38.97"/>
    <s v="3"/>
    <n v="0.6"/>
  </r>
  <r>
    <x v="8"/>
    <x v="2"/>
    <n v="1"/>
    <n v="0.1"/>
    <n v="1"/>
    <n v="0.1"/>
    <n v="1"/>
    <n v="0"/>
    <n v="0"/>
    <n v="0"/>
    <s v="0"/>
    <n v="0"/>
  </r>
  <r>
    <x v="8"/>
    <x v="0"/>
    <n v="9"/>
    <n v="0.9"/>
    <n v="9"/>
    <n v="0.9"/>
    <n v="1"/>
    <n v="0"/>
    <n v="0"/>
    <n v="0"/>
    <s v="0"/>
    <n v="0"/>
  </r>
  <r>
    <x v="9"/>
    <x v="0"/>
    <n v="7"/>
    <n v="1"/>
    <n v="11"/>
    <n v="1"/>
    <n v="1"/>
    <n v="1"/>
    <n v="0.1429"/>
    <n v="9.99"/>
    <s v="1"/>
    <n v="0.14285714285714299"/>
  </r>
  <r>
    <x v="10"/>
    <x v="0"/>
    <n v="4"/>
    <n v="1"/>
    <n v="5"/>
    <n v="1"/>
    <n v="1"/>
    <n v="0"/>
    <n v="0"/>
    <n v="0"/>
    <s v="0"/>
    <n v="0"/>
  </r>
  <r>
    <x v="11"/>
    <x v="1"/>
    <n v="2"/>
    <n v="0.25"/>
    <n v="2"/>
    <n v="0.22220000000000001"/>
    <n v="1"/>
    <n v="0"/>
    <n v="0"/>
    <n v="0"/>
    <s v="0"/>
    <n v="0"/>
  </r>
  <r>
    <x v="11"/>
    <x v="0"/>
    <n v="6"/>
    <n v="0.75"/>
    <n v="7"/>
    <n v="0.77780000000000005"/>
    <n v="1"/>
    <n v="1"/>
    <n v="0.16669999999999999"/>
    <n v="9.99"/>
    <s v="1"/>
    <n v="0.16666666666666699"/>
  </r>
  <r>
    <x v="12"/>
    <x v="0"/>
    <n v="22"/>
    <n v="1"/>
    <n v="28"/>
    <n v="1"/>
    <n v="1"/>
    <n v="8"/>
    <n v="0.36359999999999998"/>
    <n v="87.92"/>
    <s v="3"/>
    <n v="0.13636363636363599"/>
  </r>
  <r>
    <x v="13"/>
    <x v="0"/>
    <n v="10"/>
    <n v="1"/>
    <n v="11"/>
    <n v="1"/>
    <n v="1"/>
    <n v="2"/>
    <n v="0.2"/>
    <n v="21.98"/>
    <s v="2"/>
    <n v="0.2"/>
  </r>
  <r>
    <x v="14"/>
    <x v="2"/>
    <n v="1"/>
    <n v="9.0899999999999995E-2"/>
    <n v="1"/>
    <n v="7.6899999999999996E-2"/>
    <n v="1"/>
    <n v="0"/>
    <n v="0"/>
    <n v="0"/>
    <s v="0"/>
    <n v="0"/>
  </r>
  <r>
    <x v="14"/>
    <x v="0"/>
    <n v="10"/>
    <n v="0.90910000000000002"/>
    <n v="12"/>
    <n v="0.92310000000000003"/>
    <n v="1"/>
    <n v="4"/>
    <n v="0.4"/>
    <n v="43.96"/>
    <s v="4"/>
    <n v="0.4"/>
  </r>
  <r>
    <x v="15"/>
    <x v="0"/>
    <n v="13"/>
    <n v="0.92859999999999998"/>
    <n v="13"/>
    <n v="0.92859999999999998"/>
    <n v="1"/>
    <n v="2"/>
    <n v="0.15379999999999999"/>
    <n v="21.98"/>
    <s v="2"/>
    <n v="0.15384615384615399"/>
  </r>
  <r>
    <x v="15"/>
    <x v="2"/>
    <n v="1"/>
    <n v="7.1400000000000005E-2"/>
    <n v="1"/>
    <n v="7.1400000000000005E-2"/>
    <n v="1"/>
    <n v="1"/>
    <n v="1"/>
    <n v="15.99"/>
    <s v="1"/>
    <n v="1"/>
  </r>
  <r>
    <x v="16"/>
    <x v="1"/>
    <n v="1"/>
    <n v="0.1111"/>
    <n v="1"/>
    <n v="0.1111"/>
    <n v="1"/>
    <n v="0"/>
    <n v="0"/>
    <n v="0"/>
    <s v="0"/>
    <n v="0"/>
  </r>
  <r>
    <x v="16"/>
    <x v="0"/>
    <n v="8"/>
    <n v="0.88890000000000002"/>
    <n v="8"/>
    <n v="0.88890000000000002"/>
    <n v="1"/>
    <n v="28"/>
    <n v="3.5"/>
    <n v="307.72000000000003"/>
    <s v="5"/>
    <n v="0.625"/>
  </r>
  <r>
    <x v="17"/>
    <x v="2"/>
    <n v="1"/>
    <n v="0.1111"/>
    <n v="1"/>
    <n v="9.0899999999999995E-2"/>
    <n v="1"/>
    <n v="0"/>
    <n v="0"/>
    <n v="0"/>
    <s v="0"/>
    <n v="0"/>
  </r>
  <r>
    <x v="17"/>
    <x v="0"/>
    <n v="8"/>
    <n v="0.88890000000000002"/>
    <n v="10"/>
    <n v="0.90910000000000002"/>
    <n v="1"/>
    <n v="1"/>
    <n v="0.125"/>
    <n v="10.99"/>
    <s v="1"/>
    <n v="0.125"/>
  </r>
  <r>
    <x v="18"/>
    <x v="2"/>
    <n v="1"/>
    <n v="7.6899999999999996E-2"/>
    <n v="1"/>
    <n v="5.2600000000000001E-2"/>
    <n v="1"/>
    <n v="0"/>
    <n v="0"/>
    <n v="0"/>
    <s v="0"/>
    <n v="0"/>
  </r>
  <r>
    <x v="18"/>
    <x v="0"/>
    <n v="12"/>
    <n v="0.92310000000000003"/>
    <n v="18"/>
    <n v="0.94740000000000002"/>
    <n v="0.94"/>
    <n v="5"/>
    <n v="0.41670000000000001"/>
    <n v="54.95"/>
    <s v="5"/>
    <n v="0.41666666666666702"/>
  </r>
  <r>
    <x v="19"/>
    <x v="0"/>
    <n v="15"/>
    <n v="0.88239999999999996"/>
    <n v="21"/>
    <n v="0.91300000000000003"/>
    <n v="1"/>
    <n v="9"/>
    <n v="0.6"/>
    <n v="98.91"/>
    <s v="8"/>
    <n v="0.53333333333333299"/>
  </r>
  <r>
    <x v="19"/>
    <x v="2"/>
    <n v="2"/>
    <n v="0.1176"/>
    <n v="2"/>
    <n v="8.6999999999999994E-2"/>
    <n v="1"/>
    <n v="1"/>
    <n v="0.5"/>
    <n v="15.99"/>
    <s v="1"/>
    <n v="0.5"/>
  </r>
  <r>
    <x v="20"/>
    <x v="1"/>
    <n v="1"/>
    <n v="0.05"/>
    <n v="1"/>
    <n v="3.85E-2"/>
    <n v="1"/>
    <n v="0"/>
    <n v="0"/>
    <n v="0"/>
    <s v="0"/>
    <n v="0"/>
  </r>
  <r>
    <x v="20"/>
    <x v="2"/>
    <n v="3"/>
    <n v="0.15"/>
    <n v="4"/>
    <n v="0.15379999999999999"/>
    <n v="1"/>
    <n v="0"/>
    <n v="0"/>
    <n v="0"/>
    <s v="0"/>
    <n v="0"/>
  </r>
  <r>
    <x v="20"/>
    <x v="0"/>
    <n v="16"/>
    <n v="0.8"/>
    <n v="21"/>
    <n v="0.80769999999999997"/>
    <n v="1"/>
    <n v="7"/>
    <n v="0.4375"/>
    <n v="76.930000000000007"/>
    <s v="6"/>
    <n v="0.375"/>
  </r>
  <r>
    <x v="21"/>
    <x v="2"/>
    <n v="2"/>
    <n v="0.1429"/>
    <n v="3"/>
    <n v="0.13039999999999999"/>
    <n v="1"/>
    <n v="0"/>
    <n v="0"/>
    <n v="0"/>
    <s v="0"/>
    <n v="0"/>
  </r>
  <r>
    <x v="21"/>
    <x v="0"/>
    <n v="12"/>
    <n v="0.85709999999999997"/>
    <n v="20"/>
    <n v="0.86960000000000004"/>
    <n v="1"/>
    <n v="12"/>
    <n v="1"/>
    <n v="131.88"/>
    <s v="6"/>
    <n v="0.5"/>
  </r>
  <r>
    <x v="22"/>
    <x v="0"/>
    <n v="12"/>
    <n v="1"/>
    <n v="14"/>
    <n v="1"/>
    <n v="1"/>
    <n v="7"/>
    <n v="0.58330000000000004"/>
    <n v="76.930000000000007"/>
    <s v="6"/>
    <n v="0.5"/>
  </r>
  <r>
    <x v="23"/>
    <x v="0"/>
    <n v="13"/>
    <n v="1"/>
    <n v="20"/>
    <n v="1"/>
    <n v="0.95"/>
    <n v="9"/>
    <n v="0.69230000000000003"/>
    <n v="98.91"/>
    <s v="6"/>
    <n v="0.46153846153846201"/>
  </r>
  <r>
    <x v="23"/>
    <x v="2"/>
    <n v="0"/>
    <n v="0"/>
    <n v="0"/>
    <n v="0"/>
    <n v="0"/>
    <n v="1"/>
    <n v="0"/>
    <n v="15.99"/>
    <s v="1"/>
    <n v="0"/>
  </r>
  <r>
    <x v="24"/>
    <x v="1"/>
    <n v="1"/>
    <n v="0.1"/>
    <n v="1"/>
    <n v="0.1"/>
    <n v="1"/>
    <n v="0"/>
    <n v="0"/>
    <n v="0"/>
    <s v="0"/>
    <n v="0"/>
  </r>
  <r>
    <x v="24"/>
    <x v="0"/>
    <n v="9"/>
    <n v="0.9"/>
    <n v="9"/>
    <n v="0.9"/>
    <n v="1"/>
    <n v="0"/>
    <n v="0"/>
    <n v="0"/>
    <s v="0"/>
    <n v="0"/>
  </r>
  <r>
    <x v="25"/>
    <x v="0"/>
    <n v="14"/>
    <n v="1"/>
    <n v="19"/>
    <n v="1"/>
    <n v="1"/>
    <n v="2"/>
    <n v="0.1429"/>
    <n v="21.98"/>
    <s v="2"/>
    <n v="0.14285714285714299"/>
  </r>
  <r>
    <x v="26"/>
    <x v="2"/>
    <n v="0"/>
    <n v="0"/>
    <n v="0"/>
    <n v="0"/>
    <n v="0"/>
    <n v="1"/>
    <n v="0"/>
    <n v="15.99"/>
    <s v="1"/>
    <n v="0"/>
  </r>
  <r>
    <x v="26"/>
    <x v="0"/>
    <n v="22"/>
    <n v="1"/>
    <n v="29"/>
    <n v="1"/>
    <n v="1"/>
    <n v="9"/>
    <n v="0.40910000000000002"/>
    <n v="98.91"/>
    <s v="6"/>
    <n v="0.27272727272727298"/>
  </r>
  <r>
    <x v="27"/>
    <x v="1"/>
    <n v="1"/>
    <n v="3.85E-2"/>
    <n v="1"/>
    <n v="3.1300000000000001E-2"/>
    <n v="1"/>
    <n v="0"/>
    <n v="0"/>
    <n v="0"/>
    <s v="0"/>
    <n v="0"/>
  </r>
  <r>
    <x v="27"/>
    <x v="2"/>
    <n v="2"/>
    <n v="7.6899999999999996E-2"/>
    <n v="3"/>
    <n v="9.3799999999999994E-2"/>
    <n v="1"/>
    <n v="0"/>
    <n v="0"/>
    <n v="0"/>
    <s v="0"/>
    <n v="0"/>
  </r>
  <r>
    <x v="27"/>
    <x v="0"/>
    <n v="23"/>
    <n v="0.88460000000000005"/>
    <n v="28"/>
    <n v="0.875"/>
    <n v="0.93"/>
    <n v="12"/>
    <n v="0.52170000000000005"/>
    <n v="131.88"/>
    <s v="8"/>
    <n v="0.34782608695652201"/>
  </r>
  <r>
    <x v="28"/>
    <x v="0"/>
    <n v="23"/>
    <n v="0.95830000000000004"/>
    <n v="31"/>
    <n v="0.96879999999999999"/>
    <n v="1"/>
    <n v="12"/>
    <n v="0.52170000000000005"/>
    <n v="137.88"/>
    <s v="3"/>
    <n v="0.13043478260869601"/>
  </r>
  <r>
    <x v="28"/>
    <x v="2"/>
    <n v="1"/>
    <n v="4.1700000000000001E-2"/>
    <n v="1"/>
    <n v="3.1300000000000001E-2"/>
    <n v="1"/>
    <n v="1"/>
    <n v="1"/>
    <n v="15.99"/>
    <s v="1"/>
    <n v="1"/>
  </r>
  <r>
    <x v="29"/>
    <x v="1"/>
    <n v="1"/>
    <n v="4.1700000000000001E-2"/>
    <n v="1"/>
    <n v="3.3300000000000003E-2"/>
    <n v="0"/>
    <n v="0"/>
    <n v="0"/>
    <n v="0"/>
    <s v="0"/>
    <n v="0"/>
  </r>
  <r>
    <x v="29"/>
    <x v="0"/>
    <n v="19"/>
    <n v="0.79169999999999996"/>
    <n v="25"/>
    <n v="0.83330000000000004"/>
    <n v="1"/>
    <n v="14"/>
    <n v="0.73680000000000001"/>
    <n v="160.86000000000001"/>
    <s v="5"/>
    <n v="0.26315789473684198"/>
  </r>
  <r>
    <x v="29"/>
    <x v="2"/>
    <n v="4"/>
    <n v="0.16669999999999999"/>
    <n v="4"/>
    <n v="0.1333"/>
    <n v="1"/>
    <n v="1"/>
    <n v="0.25"/>
    <n v="15.99"/>
    <s v="1"/>
    <n v="0.25"/>
  </r>
  <r>
    <x v="30"/>
    <x v="0"/>
    <n v="18"/>
    <n v="1"/>
    <n v="24"/>
    <n v="1"/>
    <n v="0.96"/>
    <n v="7"/>
    <n v="0.38890000000000002"/>
    <n v="80.430000000000007"/>
    <s v="7"/>
    <n v="0.38888888888888901"/>
  </r>
  <r>
    <x v="31"/>
    <x v="0"/>
    <n v="19"/>
    <n v="1"/>
    <n v="21"/>
    <n v="1"/>
    <n v="1"/>
    <n v="15"/>
    <n v="0.78949999999999998"/>
    <n v="172.35"/>
    <s v="10"/>
    <n v="0.52631578947368396"/>
  </r>
  <r>
    <x v="32"/>
    <x v="1"/>
    <n v="1"/>
    <n v="4.1700000000000001E-2"/>
    <n v="1"/>
    <n v="3.6999999999999998E-2"/>
    <n v="1"/>
    <n v="0"/>
    <n v="0"/>
    <n v="0"/>
    <s v="0"/>
    <n v="0"/>
  </r>
  <r>
    <x v="32"/>
    <x v="2"/>
    <n v="2"/>
    <n v="8.3299999999999999E-2"/>
    <n v="2"/>
    <n v="7.4099999999999999E-2"/>
    <n v="1"/>
    <n v="0"/>
    <n v="0"/>
    <n v="0"/>
    <s v="0"/>
    <n v="0"/>
  </r>
  <r>
    <x v="32"/>
    <x v="3"/>
    <n v="3"/>
    <n v="0.125"/>
    <n v="4"/>
    <n v="0.14810000000000001"/>
    <n v="1"/>
    <n v="0"/>
    <n v="0"/>
    <n v="0"/>
    <s v="0"/>
    <n v="0"/>
  </r>
  <r>
    <x v="32"/>
    <x v="0"/>
    <n v="18"/>
    <n v="0.75"/>
    <n v="20"/>
    <n v="0.74070000000000003"/>
    <n v="1"/>
    <n v="8"/>
    <n v="0.44440000000000002"/>
    <n v="91.92"/>
    <s v="6"/>
    <n v="0.33333333333333298"/>
  </r>
  <r>
    <x v="33"/>
    <x v="3"/>
    <n v="14"/>
    <n v="0.4"/>
    <n v="17"/>
    <n v="0.39529999999999998"/>
    <n v="1"/>
    <n v="0"/>
    <n v="0"/>
    <n v="0"/>
    <s v="0"/>
    <n v="0"/>
  </r>
  <r>
    <x v="33"/>
    <x v="2"/>
    <n v="1"/>
    <n v="2.86E-2"/>
    <n v="1"/>
    <n v="2.3300000000000001E-2"/>
    <n v="1"/>
    <n v="2"/>
    <n v="2"/>
    <n v="31.98"/>
    <s v="1"/>
    <n v="1"/>
  </r>
  <r>
    <x v="33"/>
    <x v="0"/>
    <n v="20"/>
    <n v="0.57140000000000002"/>
    <n v="25"/>
    <n v="0.58140000000000003"/>
    <n v="1"/>
    <n v="9"/>
    <n v="0.45"/>
    <n v="103.41"/>
    <s v="9"/>
    <n v="0.45"/>
  </r>
  <r>
    <x v="34"/>
    <x v="1"/>
    <n v="1"/>
    <n v="2.7799999999999998E-2"/>
    <n v="1"/>
    <n v="2.4400000000000002E-2"/>
    <n v="1"/>
    <n v="0"/>
    <n v="0"/>
    <n v="0"/>
    <s v="0"/>
    <n v="0"/>
  </r>
  <r>
    <x v="34"/>
    <x v="0"/>
    <n v="30"/>
    <n v="0.83330000000000004"/>
    <n v="35"/>
    <n v="0.85370000000000001"/>
    <n v="1"/>
    <n v="13"/>
    <n v="0.43330000000000002"/>
    <n v="149.37"/>
    <s v="12"/>
    <n v="0.4"/>
  </r>
  <r>
    <x v="34"/>
    <x v="2"/>
    <n v="3"/>
    <n v="8.3299999999999999E-2"/>
    <n v="3"/>
    <n v="7.3200000000000001E-2"/>
    <n v="1"/>
    <n v="1"/>
    <n v="0.33329999999999999"/>
    <n v="15.99"/>
    <s v="1"/>
    <n v="0.33333333333333298"/>
  </r>
  <r>
    <x v="34"/>
    <x v="3"/>
    <n v="2"/>
    <n v="5.5599999999999997E-2"/>
    <n v="2"/>
    <n v="4.8800000000000003E-2"/>
    <n v="1"/>
    <n v="1"/>
    <n v="0.5"/>
    <n v="22.99"/>
    <s v="1"/>
    <n v="0.5"/>
  </r>
  <r>
    <x v="35"/>
    <x v="1"/>
    <n v="2"/>
    <n v="4.7600000000000003E-2"/>
    <n v="2"/>
    <n v="3.39E-2"/>
    <n v="1"/>
    <n v="0"/>
    <n v="0"/>
    <n v="0"/>
    <s v="0"/>
    <n v="0"/>
  </r>
  <r>
    <x v="35"/>
    <x v="2"/>
    <n v="4"/>
    <n v="9.5200000000000007E-2"/>
    <n v="7"/>
    <n v="0.1186"/>
    <n v="1"/>
    <n v="0"/>
    <n v="0"/>
    <n v="0"/>
    <s v="0"/>
    <n v="0"/>
  </r>
  <r>
    <x v="35"/>
    <x v="0"/>
    <n v="29"/>
    <n v="0.6905"/>
    <n v="43"/>
    <n v="0.7288"/>
    <n v="0.98"/>
    <n v="17"/>
    <n v="0.58620000000000005"/>
    <n v="195.33"/>
    <s v="15"/>
    <n v="0.51724137931034497"/>
  </r>
  <r>
    <x v="35"/>
    <x v="3"/>
    <n v="7"/>
    <n v="0.16669999999999999"/>
    <n v="7"/>
    <n v="0.1186"/>
    <n v="1"/>
    <n v="1"/>
    <n v="0.1429"/>
    <n v="22.99"/>
    <s v="1"/>
    <n v="0.14285714285714299"/>
  </r>
  <r>
    <x v="36"/>
    <x v="2"/>
    <n v="4"/>
    <n v="9.7600000000000006E-2"/>
    <n v="4"/>
    <n v="0.08"/>
    <n v="1"/>
    <n v="2"/>
    <n v="0.5"/>
    <n v="31.98"/>
    <s v="1"/>
    <n v="0.25"/>
  </r>
  <r>
    <x v="36"/>
    <x v="0"/>
    <n v="27"/>
    <n v="0.65849999999999997"/>
    <n v="35"/>
    <n v="0.7"/>
    <n v="1"/>
    <n v="23"/>
    <n v="0.85189999999999999"/>
    <n v="264.77"/>
    <s v="17"/>
    <n v="0.62962962962962998"/>
  </r>
  <r>
    <x v="36"/>
    <x v="3"/>
    <n v="10"/>
    <n v="0.24390000000000001"/>
    <n v="11"/>
    <n v="0.22"/>
    <n v="1"/>
    <n v="1"/>
    <n v="0.1"/>
    <n v="22.99"/>
    <s v="1"/>
    <n v="0.1"/>
  </r>
  <r>
    <x v="37"/>
    <x v="4"/>
    <n v="1"/>
    <n v="1.7899999999999999E-2"/>
    <n v="1"/>
    <n v="1.3899999999999999E-2"/>
    <n v="1"/>
    <n v="0"/>
    <n v="0"/>
    <n v="0"/>
    <s v="0"/>
    <n v="0"/>
  </r>
  <r>
    <x v="37"/>
    <x v="1"/>
    <n v="2"/>
    <n v="3.5700000000000003E-2"/>
    <n v="2"/>
    <n v="2.7799999999999998E-2"/>
    <n v="1"/>
    <n v="0"/>
    <n v="0"/>
    <n v="0"/>
    <s v="0"/>
    <n v="0"/>
  </r>
  <r>
    <x v="37"/>
    <x v="2"/>
    <n v="4"/>
    <n v="7.1400000000000005E-2"/>
    <n v="5"/>
    <n v="6.9400000000000003E-2"/>
    <n v="1"/>
    <n v="0"/>
    <n v="0"/>
    <n v="0"/>
    <s v="0"/>
    <n v="0"/>
  </r>
  <r>
    <x v="37"/>
    <x v="0"/>
    <n v="32"/>
    <n v="0.57140000000000002"/>
    <n v="42"/>
    <n v="0.58330000000000004"/>
    <n v="1"/>
    <n v="11"/>
    <n v="0.34379999999999999"/>
    <n v="131.88999999999999"/>
    <s v="10"/>
    <n v="0.3125"/>
  </r>
  <r>
    <x v="37"/>
    <x v="3"/>
    <n v="17"/>
    <n v="0.30359999999999998"/>
    <n v="22"/>
    <n v="0.30559999999999998"/>
    <n v="1"/>
    <n v="1"/>
    <n v="5.8799999999999998E-2"/>
    <n v="22.99"/>
    <s v="1"/>
    <n v="5.8823529411764698E-2"/>
  </r>
  <r>
    <x v="38"/>
    <x v="2"/>
    <n v="4"/>
    <n v="0.21049999999999999"/>
    <n v="6"/>
    <n v="0.2727"/>
    <n v="1"/>
    <n v="4"/>
    <n v="1"/>
    <n v="63.96"/>
    <s v="2"/>
    <n v="0.5"/>
  </r>
  <r>
    <x v="38"/>
    <x v="0"/>
    <n v="15"/>
    <n v="0.78949999999999998"/>
    <n v="16"/>
    <n v="0.72729999999999995"/>
    <n v="1"/>
    <n v="10"/>
    <n v="0.66669999999999996"/>
    <n v="119.9"/>
    <s v="7"/>
    <n v="0.46666666666666701"/>
  </r>
  <r>
    <x v="39"/>
    <x v="2"/>
    <n v="2"/>
    <n v="0.08"/>
    <n v="2"/>
    <n v="6.0600000000000001E-2"/>
    <n v="1"/>
    <n v="0"/>
    <n v="0"/>
    <n v="0"/>
    <s v="0"/>
    <n v="0"/>
  </r>
  <r>
    <x v="39"/>
    <x v="3"/>
    <n v="4"/>
    <n v="0.16"/>
    <n v="4"/>
    <n v="0.1212"/>
    <n v="1"/>
    <n v="0"/>
    <n v="0"/>
    <n v="0"/>
    <s v="0"/>
    <n v="0"/>
  </r>
  <r>
    <x v="39"/>
    <x v="0"/>
    <n v="19"/>
    <n v="0.76"/>
    <n v="27"/>
    <n v="0.81820000000000004"/>
    <n v="1"/>
    <n v="19"/>
    <n v="1"/>
    <n v="227.81"/>
    <s v="15"/>
    <n v="0.78947368421052599"/>
  </r>
  <r>
    <x v="40"/>
    <x v="2"/>
    <n v="1"/>
    <n v="2.9399999999999999E-2"/>
    <n v="1"/>
    <n v="2.4400000000000002E-2"/>
    <n v="1"/>
    <n v="0"/>
    <n v="0"/>
    <n v="0"/>
    <s v="0"/>
    <n v="0"/>
  </r>
  <r>
    <x v="40"/>
    <x v="0"/>
    <n v="27"/>
    <n v="0.79410000000000003"/>
    <n v="34"/>
    <n v="0.82930000000000004"/>
    <n v="1"/>
    <n v="28"/>
    <n v="1.0369999999999999"/>
    <n v="335.72"/>
    <s v="21"/>
    <n v="0.77777777777777801"/>
  </r>
  <r>
    <x v="40"/>
    <x v="3"/>
    <n v="6"/>
    <n v="0.17649999999999999"/>
    <n v="6"/>
    <n v="0.14630000000000001"/>
    <n v="1"/>
    <n v="1"/>
    <n v="0.16669999999999999"/>
    <n v="22.99"/>
    <s v="1"/>
    <n v="0.16666666666666699"/>
  </r>
  <r>
    <x v="41"/>
    <x v="3"/>
    <n v="8"/>
    <n v="0.2581"/>
    <n v="11"/>
    <n v="0.27500000000000002"/>
    <n v="1"/>
    <n v="0"/>
    <n v="0"/>
    <n v="0"/>
    <s v="0"/>
    <n v="0"/>
  </r>
  <r>
    <x v="41"/>
    <x v="2"/>
    <n v="1"/>
    <n v="3.2300000000000002E-2"/>
    <n v="1"/>
    <n v="2.5000000000000001E-2"/>
    <n v="0"/>
    <n v="0"/>
    <n v="0"/>
    <n v="0"/>
    <s v="0"/>
    <n v="0"/>
  </r>
  <r>
    <x v="41"/>
    <x v="1"/>
    <n v="1"/>
    <n v="3.2300000000000002E-2"/>
    <n v="1"/>
    <n v="2.5000000000000001E-2"/>
    <n v="0"/>
    <n v="0"/>
    <n v="0"/>
    <n v="0"/>
    <s v="0"/>
    <n v="0"/>
  </r>
  <r>
    <x v="41"/>
    <x v="0"/>
    <n v="21"/>
    <n v="0.6774"/>
    <n v="27"/>
    <n v="0.67500000000000004"/>
    <n v="1"/>
    <n v="9"/>
    <n v="0.42859999999999998"/>
    <n v="107.91"/>
    <s v="8"/>
    <n v="0.38095238095238099"/>
  </r>
  <r>
    <x v="42"/>
    <x v="3"/>
    <n v="11"/>
    <n v="0.31430000000000002"/>
    <n v="11"/>
    <n v="0.28949999999999998"/>
    <n v="1"/>
    <n v="2"/>
    <n v="0.18179999999999999"/>
    <n v="45.98"/>
    <s v="2"/>
    <n v="0.18181818181818199"/>
  </r>
  <r>
    <x v="42"/>
    <x v="0"/>
    <n v="22"/>
    <n v="0.62860000000000005"/>
    <n v="25"/>
    <n v="0.65790000000000004"/>
    <n v="1"/>
    <n v="19"/>
    <n v="0.86360000000000003"/>
    <n v="227.81"/>
    <s v="13"/>
    <n v="0.59090909090909105"/>
  </r>
  <r>
    <x v="42"/>
    <x v="2"/>
    <n v="2"/>
    <n v="5.7099999999999998E-2"/>
    <n v="2"/>
    <n v="5.2600000000000001E-2"/>
    <n v="1"/>
    <n v="1"/>
    <n v="0.5"/>
    <n v="15.99"/>
    <s v="1"/>
    <n v="0.5"/>
  </r>
  <r>
    <x v="43"/>
    <x v="2"/>
    <n v="0"/>
    <n v="0"/>
    <n v="0"/>
    <n v="0"/>
    <n v="0"/>
    <n v="1"/>
    <n v="0"/>
    <n v="15.99"/>
    <s v="1"/>
    <n v="0"/>
  </r>
  <r>
    <x v="43"/>
    <x v="0"/>
    <n v="24"/>
    <n v="0.92310000000000003"/>
    <n v="32"/>
    <n v="0.94120000000000004"/>
    <n v="1"/>
    <n v="12"/>
    <n v="0.5"/>
    <n v="143.88"/>
    <s v="11"/>
    <n v="0.45833333333333298"/>
  </r>
  <r>
    <x v="43"/>
    <x v="3"/>
    <n v="2"/>
    <n v="7.6899999999999996E-2"/>
    <n v="2"/>
    <n v="5.8799999999999998E-2"/>
    <n v="1"/>
    <n v="1"/>
    <n v="0.5"/>
    <n v="22.99"/>
    <s v="1"/>
    <n v="0.5"/>
  </r>
  <r>
    <x v="44"/>
    <x v="1"/>
    <n v="1"/>
    <n v="3.3300000000000003E-2"/>
    <n v="1"/>
    <n v="2.3800000000000002E-2"/>
    <n v="1"/>
    <n v="0"/>
    <n v="0"/>
    <n v="0"/>
    <s v="0"/>
    <n v="0"/>
  </r>
  <r>
    <x v="44"/>
    <x v="2"/>
    <n v="2"/>
    <n v="6.6699999999999995E-2"/>
    <n v="2"/>
    <n v="4.7600000000000003E-2"/>
    <n v="1"/>
    <n v="0"/>
    <n v="0"/>
    <n v="0"/>
    <s v="0"/>
    <n v="0"/>
  </r>
  <r>
    <x v="44"/>
    <x v="3"/>
    <n v="5"/>
    <n v="0.16669999999999999"/>
    <n v="7"/>
    <n v="0.16669999999999999"/>
    <n v="1"/>
    <n v="0"/>
    <n v="0"/>
    <n v="0"/>
    <s v="0"/>
    <n v="0"/>
  </r>
  <r>
    <x v="44"/>
    <x v="4"/>
    <n v="1"/>
    <n v="3.3300000000000003E-2"/>
    <n v="1"/>
    <n v="2.3800000000000002E-2"/>
    <n v="0"/>
    <n v="0"/>
    <n v="0"/>
    <n v="0"/>
    <s v="0"/>
    <n v="0"/>
  </r>
  <r>
    <x v="44"/>
    <x v="0"/>
    <n v="21"/>
    <n v="0.7"/>
    <n v="31"/>
    <n v="0.73809999999999998"/>
    <n v="1"/>
    <n v="9"/>
    <n v="0.42859999999999998"/>
    <n v="107.91"/>
    <s v="6"/>
    <n v="0.28571428571428598"/>
  </r>
  <r>
    <x v="45"/>
    <x v="3"/>
    <n v="6"/>
    <n v="0.28570000000000001"/>
    <n v="7"/>
    <n v="0.30430000000000001"/>
    <n v="1"/>
    <n v="0"/>
    <n v="0"/>
    <n v="0"/>
    <s v="0"/>
    <n v="0"/>
  </r>
  <r>
    <x v="45"/>
    <x v="2"/>
    <n v="3"/>
    <n v="0.1429"/>
    <n v="3"/>
    <n v="0.13039999999999999"/>
    <n v="1"/>
    <n v="0"/>
    <n v="0"/>
    <n v="0"/>
    <s v="0"/>
    <n v="0"/>
  </r>
  <r>
    <x v="45"/>
    <x v="0"/>
    <n v="12"/>
    <n v="0.57140000000000002"/>
    <n v="13"/>
    <n v="0.56520000000000004"/>
    <n v="1"/>
    <n v="3"/>
    <n v="0.25"/>
    <n v="35.97"/>
    <s v="3"/>
    <n v="0.25"/>
  </r>
  <r>
    <x v="46"/>
    <x v="3"/>
    <n v="15"/>
    <n v="0.44119999999999998"/>
    <n v="22"/>
    <n v="0.4889"/>
    <n v="1"/>
    <n v="2"/>
    <n v="0.1333"/>
    <n v="45.98"/>
    <s v="2"/>
    <n v="0.133333333333333"/>
  </r>
  <r>
    <x v="46"/>
    <x v="0"/>
    <n v="13"/>
    <n v="0.38240000000000002"/>
    <n v="17"/>
    <n v="0.37780000000000002"/>
    <n v="1"/>
    <n v="11"/>
    <n v="0.84619999999999995"/>
    <n v="131.88999999999999"/>
    <s v="10"/>
    <n v="0.76923076923076905"/>
  </r>
  <r>
    <x v="46"/>
    <x v="2"/>
    <n v="6"/>
    <n v="0.17649999999999999"/>
    <n v="6"/>
    <n v="0.1333"/>
    <n v="1"/>
    <n v="1"/>
    <n v="0.16669999999999999"/>
    <n v="15.99"/>
    <s v="1"/>
    <n v="0.16666666666666699"/>
  </r>
  <r>
    <x v="47"/>
    <x v="1"/>
    <n v="1"/>
    <n v="3.4500000000000003E-2"/>
    <n v="1"/>
    <n v="2.7799999999999998E-2"/>
    <n v="1"/>
    <n v="0"/>
    <n v="0"/>
    <n v="0"/>
    <s v="0"/>
    <n v="0"/>
  </r>
  <r>
    <x v="47"/>
    <x v="2"/>
    <n v="7"/>
    <n v="0.2414"/>
    <n v="8"/>
    <n v="0.22220000000000001"/>
    <n v="1"/>
    <n v="0"/>
    <n v="0"/>
    <n v="0"/>
    <s v="0"/>
    <n v="0"/>
  </r>
  <r>
    <x v="47"/>
    <x v="3"/>
    <n v="5"/>
    <n v="0.1724"/>
    <n v="7"/>
    <n v="0.19439999999999999"/>
    <n v="1"/>
    <n v="0"/>
    <n v="0"/>
    <n v="0"/>
    <s v="0"/>
    <n v="0"/>
  </r>
  <r>
    <x v="47"/>
    <x v="4"/>
    <n v="1"/>
    <n v="3.4500000000000003E-2"/>
    <n v="1"/>
    <n v="2.7799999999999998E-2"/>
    <n v="0"/>
    <n v="0"/>
    <n v="0"/>
    <n v="0"/>
    <s v="0"/>
    <n v="0"/>
  </r>
  <r>
    <x v="47"/>
    <x v="0"/>
    <n v="15"/>
    <n v="0.51719999999999999"/>
    <n v="19"/>
    <n v="0.52780000000000005"/>
    <n v="1"/>
    <n v="18"/>
    <n v="1.2"/>
    <n v="215.82"/>
    <s v="14"/>
    <n v="0.93333333333333302"/>
  </r>
  <r>
    <x v="48"/>
    <x v="3"/>
    <n v="19"/>
    <n v="0.34549999999999997"/>
    <n v="25"/>
    <n v="0.33779999999999999"/>
    <n v="1"/>
    <n v="0"/>
    <n v="0"/>
    <n v="0"/>
    <s v="0"/>
    <n v="0"/>
  </r>
  <r>
    <x v="48"/>
    <x v="0"/>
    <n v="30"/>
    <n v="0.54549999999999998"/>
    <n v="42"/>
    <n v="0.56759999999999999"/>
    <n v="1"/>
    <n v="24"/>
    <n v="0.8"/>
    <n v="287.76"/>
    <s v="21"/>
    <n v="0.7"/>
  </r>
  <r>
    <x v="48"/>
    <x v="2"/>
    <n v="6"/>
    <n v="0.1091"/>
    <n v="7"/>
    <n v="9.4600000000000004E-2"/>
    <n v="1"/>
    <n v="1"/>
    <n v="0.16669999999999999"/>
    <n v="15.99"/>
    <s v="1"/>
    <n v="0.16666666666666699"/>
  </r>
  <r>
    <x v="49"/>
    <x v="3"/>
    <n v="1"/>
    <n v="3.2300000000000002E-2"/>
    <n v="1"/>
    <n v="2.0400000000000001E-2"/>
    <n v="1"/>
    <n v="0"/>
    <n v="0"/>
    <n v="0"/>
    <s v="0"/>
    <n v="0"/>
  </r>
  <r>
    <x v="49"/>
    <x v="4"/>
    <n v="1"/>
    <n v="3.2300000000000002E-2"/>
    <n v="2"/>
    <n v="4.0800000000000003E-2"/>
    <n v="1"/>
    <n v="0"/>
    <n v="0"/>
    <n v="0"/>
    <s v="0"/>
    <n v="0"/>
  </r>
  <r>
    <x v="49"/>
    <x v="2"/>
    <n v="4"/>
    <n v="0.129"/>
    <n v="6"/>
    <n v="0.12239999999999999"/>
    <n v="1"/>
    <n v="0"/>
    <n v="0"/>
    <n v="0"/>
    <s v="0"/>
    <n v="0"/>
  </r>
  <r>
    <x v="49"/>
    <x v="0"/>
    <n v="25"/>
    <n v="0.80649999999999999"/>
    <n v="40"/>
    <n v="0.81630000000000003"/>
    <n v="1"/>
    <n v="8"/>
    <n v="0.32"/>
    <n v="95.92"/>
    <s v="8"/>
    <n v="0.32"/>
  </r>
  <r>
    <x v="50"/>
    <x v="3"/>
    <n v="2"/>
    <n v="0.1176"/>
    <n v="2"/>
    <n v="8.3299999999999999E-2"/>
    <n v="1"/>
    <n v="0"/>
    <n v="0"/>
    <n v="0"/>
    <s v="0"/>
    <n v="0"/>
  </r>
  <r>
    <x v="50"/>
    <x v="1"/>
    <n v="1"/>
    <n v="5.8799999999999998E-2"/>
    <n v="1"/>
    <n v="4.1700000000000001E-2"/>
    <n v="0"/>
    <n v="0"/>
    <n v="0"/>
    <n v="0"/>
    <s v="0"/>
    <n v="0"/>
  </r>
  <r>
    <x v="50"/>
    <x v="0"/>
    <n v="11"/>
    <n v="0.64710000000000001"/>
    <n v="16"/>
    <n v="0.66669999999999996"/>
    <n v="0.94"/>
    <n v="7"/>
    <n v="0.63639999999999997"/>
    <n v="83.93"/>
    <s v="7"/>
    <n v="0.63636363636363602"/>
  </r>
  <r>
    <x v="50"/>
    <x v="2"/>
    <n v="3"/>
    <n v="0.17649999999999999"/>
    <n v="5"/>
    <n v="0.20830000000000001"/>
    <n v="1"/>
    <n v="3"/>
    <n v="1"/>
    <n v="47.97"/>
    <s v="2"/>
    <n v="0.66666666666666696"/>
  </r>
  <r>
    <x v="51"/>
    <x v="4"/>
    <n v="2"/>
    <n v="8.3299999999999999E-2"/>
    <n v="2"/>
    <n v="6.25E-2"/>
    <n v="1"/>
    <n v="0"/>
    <n v="0"/>
    <n v="0"/>
    <s v="0"/>
    <n v="0"/>
  </r>
  <r>
    <x v="51"/>
    <x v="3"/>
    <n v="4"/>
    <n v="0.16669999999999999"/>
    <n v="6"/>
    <n v="0.1875"/>
    <n v="1"/>
    <n v="0"/>
    <n v="0"/>
    <n v="0"/>
    <s v="0"/>
    <n v="0"/>
  </r>
  <r>
    <x v="51"/>
    <x v="2"/>
    <n v="3"/>
    <n v="0.125"/>
    <n v="5"/>
    <n v="0.15629999999999999"/>
    <n v="1"/>
    <n v="0"/>
    <n v="0"/>
    <n v="0"/>
    <s v="0"/>
    <n v="0"/>
  </r>
  <r>
    <x v="51"/>
    <x v="0"/>
    <n v="15"/>
    <n v="0.625"/>
    <n v="19"/>
    <n v="0.59379999999999999"/>
    <n v="1"/>
    <n v="8"/>
    <n v="0.5333"/>
    <n v="99.92"/>
    <s v="7"/>
    <n v="0.46666666666666701"/>
  </r>
  <r>
    <x v="52"/>
    <x v="4"/>
    <n v="1"/>
    <n v="3.1300000000000001E-2"/>
    <n v="1"/>
    <n v="2.5600000000000001E-2"/>
    <n v="1"/>
    <n v="0"/>
    <n v="0"/>
    <n v="0"/>
    <s v="0"/>
    <n v="0"/>
  </r>
  <r>
    <x v="52"/>
    <x v="3"/>
    <n v="17"/>
    <n v="0.53129999999999999"/>
    <n v="21"/>
    <n v="0.53849999999999998"/>
    <n v="1"/>
    <n v="0"/>
    <n v="0"/>
    <n v="0"/>
    <s v="0"/>
    <n v="0"/>
  </r>
  <r>
    <x v="52"/>
    <x v="0"/>
    <n v="14"/>
    <n v="0.4375"/>
    <n v="17"/>
    <n v="0.43590000000000001"/>
    <n v="1"/>
    <n v="5"/>
    <n v="0.35709999999999997"/>
    <n v="62.45"/>
    <s v="4"/>
    <n v="0.28571428571428598"/>
  </r>
  <r>
    <x v="53"/>
    <x v="3"/>
    <n v="12"/>
    <n v="0.42859999999999998"/>
    <n v="12"/>
    <n v="0.3871"/>
    <n v="1"/>
    <n v="2"/>
    <n v="0.16669999999999999"/>
    <n v="41.98"/>
    <s v="2"/>
    <n v="0.16666666666666699"/>
  </r>
  <r>
    <x v="53"/>
    <x v="0"/>
    <n v="16"/>
    <n v="0.57140000000000002"/>
    <n v="19"/>
    <n v="0.6129"/>
    <n v="1"/>
    <n v="8"/>
    <n v="0.5"/>
    <n v="99.92"/>
    <s v="6"/>
    <n v="0.375"/>
  </r>
  <r>
    <x v="54"/>
    <x v="4"/>
    <n v="1"/>
    <n v="4.1700000000000001E-2"/>
    <n v="1"/>
    <n v="3.5700000000000003E-2"/>
    <n v="1"/>
    <n v="0"/>
    <n v="0"/>
    <n v="0"/>
    <s v="0"/>
    <n v="0"/>
  </r>
  <r>
    <x v="54"/>
    <x v="2"/>
    <n v="1"/>
    <n v="4.1700000000000001E-2"/>
    <n v="1"/>
    <n v="3.5700000000000003E-2"/>
    <n v="1"/>
    <n v="0"/>
    <n v="0"/>
    <n v="0"/>
    <s v="0"/>
    <n v="0"/>
  </r>
  <r>
    <x v="54"/>
    <x v="1"/>
    <n v="1"/>
    <n v="4.1700000000000001E-2"/>
    <n v="2"/>
    <n v="7.1400000000000005E-2"/>
    <n v="1"/>
    <n v="0"/>
    <n v="0"/>
    <n v="0"/>
    <s v="0"/>
    <n v="0"/>
  </r>
  <r>
    <x v="54"/>
    <x v="0"/>
    <n v="8"/>
    <n v="0.33329999999999999"/>
    <n v="10"/>
    <n v="0.35709999999999997"/>
    <n v="1"/>
    <n v="5"/>
    <n v="0.625"/>
    <n v="62.45"/>
    <s v="5"/>
    <n v="0.625"/>
  </r>
  <r>
    <x v="54"/>
    <x v="3"/>
    <n v="13"/>
    <n v="0.54169999999999996"/>
    <n v="14"/>
    <n v="0.5"/>
    <n v="1"/>
    <n v="1"/>
    <n v="7.6899999999999996E-2"/>
    <n v="20.99"/>
    <s v="1"/>
    <n v="7.69230769230769E-2"/>
  </r>
  <r>
    <x v="55"/>
    <x v="3"/>
    <n v="15"/>
    <n v="0.3659"/>
    <n v="20"/>
    <n v="0.36359999999999998"/>
    <n v="1"/>
    <n v="0"/>
    <n v="0"/>
    <n v="0"/>
    <s v="0"/>
    <n v="0"/>
  </r>
  <r>
    <x v="55"/>
    <x v="4"/>
    <n v="1"/>
    <n v="2.4400000000000002E-2"/>
    <n v="1"/>
    <n v="1.8200000000000001E-2"/>
    <n v="0"/>
    <n v="0"/>
    <n v="0"/>
    <n v="0"/>
    <s v="0"/>
    <n v="0"/>
  </r>
  <r>
    <x v="55"/>
    <x v="0"/>
    <n v="25"/>
    <n v="0.60980000000000001"/>
    <n v="34"/>
    <n v="0.61819999999999997"/>
    <n v="1"/>
    <n v="6"/>
    <n v="0.24"/>
    <n v="74.94"/>
    <s v="6"/>
    <n v="0.24"/>
  </r>
  <r>
    <x v="56"/>
    <x v="2"/>
    <n v="1"/>
    <n v="0.04"/>
    <n v="1"/>
    <n v="3.4500000000000003E-2"/>
    <n v="1"/>
    <n v="0"/>
    <n v="0"/>
    <n v="0"/>
    <s v="0"/>
    <n v="0"/>
  </r>
  <r>
    <x v="56"/>
    <x v="3"/>
    <n v="6"/>
    <n v="0.24"/>
    <n v="7"/>
    <n v="0.2414"/>
    <n v="1"/>
    <n v="0"/>
    <n v="0"/>
    <n v="0"/>
    <s v="0"/>
    <n v="0"/>
  </r>
  <r>
    <x v="56"/>
    <x v="4"/>
    <n v="1"/>
    <n v="0.04"/>
    <n v="1"/>
    <n v="3.4500000000000003E-2"/>
    <n v="0"/>
    <n v="0"/>
    <n v="0"/>
    <n v="0"/>
    <s v="0"/>
    <n v="0"/>
  </r>
  <r>
    <x v="56"/>
    <x v="0"/>
    <n v="17"/>
    <n v="0.68"/>
    <n v="20"/>
    <n v="0.68969999999999998"/>
    <n v="0.95"/>
    <n v="4"/>
    <n v="0.23530000000000001"/>
    <n v="49.96"/>
    <s v="3"/>
    <n v="0.17647058823529399"/>
  </r>
  <r>
    <x v="57"/>
    <x v="2"/>
    <n v="2"/>
    <n v="7.4099999999999999E-2"/>
    <n v="4"/>
    <n v="0.1111"/>
    <n v="1"/>
    <n v="0"/>
    <n v="0"/>
    <n v="0"/>
    <s v="0"/>
    <n v="0"/>
  </r>
  <r>
    <x v="57"/>
    <x v="1"/>
    <n v="3"/>
    <n v="0.1111"/>
    <n v="3"/>
    <n v="8.3299999999999999E-2"/>
    <n v="1"/>
    <n v="0"/>
    <n v="0"/>
    <n v="0"/>
    <s v="0"/>
    <n v="0"/>
  </r>
  <r>
    <x v="57"/>
    <x v="3"/>
    <n v="12"/>
    <n v="0.44440000000000002"/>
    <n v="18"/>
    <n v="0.5"/>
    <n v="1"/>
    <n v="6"/>
    <n v="0.5"/>
    <n v="125.94"/>
    <s v="3"/>
    <n v="0.25"/>
  </r>
  <r>
    <x v="57"/>
    <x v="0"/>
    <n v="10"/>
    <n v="0.37040000000000001"/>
    <n v="11"/>
    <n v="0.30559999999999998"/>
    <n v="1"/>
    <n v="3"/>
    <n v="0.3"/>
    <n v="37.47"/>
    <s v="3"/>
    <n v="0.3"/>
  </r>
  <r>
    <x v="58"/>
    <x v="2"/>
    <n v="2"/>
    <n v="4.8800000000000003E-2"/>
    <n v="2"/>
    <n v="3.85E-2"/>
    <n v="0"/>
    <n v="0"/>
    <n v="0"/>
    <n v="0"/>
    <s v="0"/>
    <n v="0"/>
  </r>
  <r>
    <x v="58"/>
    <x v="3"/>
    <n v="17"/>
    <n v="0.41460000000000002"/>
    <n v="22"/>
    <n v="0.42309999999999998"/>
    <n v="1"/>
    <n v="2"/>
    <n v="0.1176"/>
    <n v="41.98"/>
    <s v="2"/>
    <n v="0.11764705882352899"/>
  </r>
  <r>
    <x v="58"/>
    <x v="0"/>
    <n v="22"/>
    <n v="0.53659999999999997"/>
    <n v="28"/>
    <n v="0.53849999999999998"/>
    <n v="1"/>
    <n v="4"/>
    <n v="0.18179999999999999"/>
    <n v="49.96"/>
    <s v="3"/>
    <n v="0.13636363636363599"/>
  </r>
  <r>
    <x v="59"/>
    <x v="4"/>
    <n v="1"/>
    <n v="3.2300000000000002E-2"/>
    <n v="1"/>
    <n v="2.5600000000000001E-2"/>
    <n v="0"/>
    <n v="0"/>
    <n v="0"/>
    <n v="0"/>
    <s v="0"/>
    <n v="0"/>
  </r>
  <r>
    <x v="59"/>
    <x v="3"/>
    <n v="15"/>
    <n v="0.4839"/>
    <n v="19"/>
    <n v="0.48720000000000002"/>
    <n v="1"/>
    <n v="2"/>
    <n v="0.1333"/>
    <n v="41.98"/>
    <s v="2"/>
    <n v="0.133333333333333"/>
  </r>
  <r>
    <x v="59"/>
    <x v="0"/>
    <n v="15"/>
    <n v="0.4839"/>
    <n v="19"/>
    <n v="0.48720000000000002"/>
    <n v="1"/>
    <n v="1"/>
    <n v="6.6699999999999995E-2"/>
    <n v="12.49"/>
    <s v="1"/>
    <n v="6.6666666666666693E-2"/>
  </r>
  <r>
    <x v="60"/>
    <x v="1"/>
    <n v="2"/>
    <n v="5.4100000000000002E-2"/>
    <n v="2"/>
    <n v="4.65E-2"/>
    <n v="1"/>
    <n v="0"/>
    <n v="0"/>
    <n v="0"/>
    <s v="0"/>
    <n v="0"/>
  </r>
  <r>
    <x v="60"/>
    <x v="3"/>
    <n v="13"/>
    <n v="0.35139999999999999"/>
    <n v="13"/>
    <n v="0.30230000000000001"/>
    <n v="1"/>
    <n v="0"/>
    <n v="0"/>
    <n v="0"/>
    <s v="0"/>
    <n v="0"/>
  </r>
  <r>
    <x v="60"/>
    <x v="0"/>
    <n v="21"/>
    <n v="0.56759999999999999"/>
    <n v="25"/>
    <n v="0.58140000000000003"/>
    <n v="1"/>
    <n v="4"/>
    <n v="0.1905"/>
    <n v="49.96"/>
    <s v="2"/>
    <n v="9.5238095238095205E-2"/>
  </r>
  <r>
    <x v="60"/>
    <x v="2"/>
    <n v="1"/>
    <n v="2.7E-2"/>
    <n v="3"/>
    <n v="6.9800000000000001E-2"/>
    <n v="1"/>
    <n v="1"/>
    <n v="1"/>
    <n v="15.99"/>
    <s v="1"/>
    <n v="1"/>
  </r>
  <r>
    <x v="61"/>
    <x v="2"/>
    <n v="2"/>
    <n v="5.8799999999999998E-2"/>
    <n v="7"/>
    <n v="0.15559999999999999"/>
    <n v="1"/>
    <n v="0"/>
    <n v="0"/>
    <n v="0"/>
    <s v="0"/>
    <n v="0"/>
  </r>
  <r>
    <x v="61"/>
    <x v="1"/>
    <n v="2"/>
    <n v="5.8799999999999998E-2"/>
    <n v="4"/>
    <n v="8.8900000000000007E-2"/>
    <n v="1"/>
    <n v="0"/>
    <n v="0"/>
    <n v="0"/>
    <s v="0"/>
    <n v="0"/>
  </r>
  <r>
    <x v="61"/>
    <x v="3"/>
    <n v="15"/>
    <n v="0.44119999999999998"/>
    <n v="15"/>
    <n v="0.33329999999999999"/>
    <n v="1"/>
    <n v="7"/>
    <n v="0.4667"/>
    <n v="146.93"/>
    <s v="3"/>
    <n v="0.2"/>
  </r>
  <r>
    <x v="61"/>
    <x v="0"/>
    <n v="15"/>
    <n v="0.44119999999999998"/>
    <n v="19"/>
    <n v="0.42220000000000002"/>
    <n v="1"/>
    <n v="5"/>
    <n v="0.33329999999999999"/>
    <n v="62.45"/>
    <s v="4"/>
    <n v="0.266666666666667"/>
  </r>
  <r>
    <x v="62"/>
    <x v="2"/>
    <n v="1"/>
    <n v="3.4500000000000003E-2"/>
    <n v="2"/>
    <n v="5.2600000000000001E-2"/>
    <n v="1"/>
    <n v="0"/>
    <n v="0"/>
    <n v="0"/>
    <s v="0"/>
    <n v="0"/>
  </r>
  <r>
    <x v="62"/>
    <x v="3"/>
    <n v="15"/>
    <n v="0.51719999999999999"/>
    <n v="19"/>
    <n v="0.5"/>
    <n v="1"/>
    <n v="0"/>
    <n v="0"/>
    <n v="0"/>
    <s v="0"/>
    <n v="0"/>
  </r>
  <r>
    <x v="62"/>
    <x v="0"/>
    <n v="13"/>
    <n v="0.44829999999999998"/>
    <n v="17"/>
    <n v="0.44740000000000002"/>
    <n v="1"/>
    <n v="7"/>
    <n v="0.53849999999999998"/>
    <n v="87.43"/>
    <s v="7"/>
    <n v="0.53846153846153799"/>
  </r>
  <r>
    <x v="63"/>
    <x v="2"/>
    <n v="3"/>
    <n v="0.12"/>
    <n v="3"/>
    <n v="0.1"/>
    <n v="1"/>
    <n v="0"/>
    <n v="0"/>
    <n v="0"/>
    <s v="0"/>
    <n v="0"/>
  </r>
  <r>
    <x v="63"/>
    <x v="1"/>
    <n v="1"/>
    <n v="0.04"/>
    <n v="1"/>
    <n v="3.3300000000000003E-2"/>
    <n v="0"/>
    <n v="0"/>
    <n v="0"/>
    <n v="0"/>
    <s v="0"/>
    <n v="0"/>
  </r>
  <r>
    <x v="63"/>
    <x v="3"/>
    <n v="11"/>
    <n v="0.44"/>
    <n v="14"/>
    <n v="0.4667"/>
    <n v="1"/>
    <n v="4"/>
    <n v="0.36359999999999998"/>
    <n v="83.96"/>
    <s v="3"/>
    <n v="0.27272727272727298"/>
  </r>
  <r>
    <x v="63"/>
    <x v="0"/>
    <n v="10"/>
    <n v="0.4"/>
    <n v="12"/>
    <n v="0.4"/>
    <n v="1"/>
    <n v="3"/>
    <n v="0.3"/>
    <n v="37.47"/>
    <s v="3"/>
    <n v="0.3"/>
  </r>
  <r>
    <x v="64"/>
    <x v="1"/>
    <n v="1"/>
    <n v="4.5499999999999999E-2"/>
    <n v="1"/>
    <n v="3.0300000000000001E-2"/>
    <n v="1"/>
    <n v="0"/>
    <n v="0"/>
    <n v="0"/>
    <s v="0"/>
    <n v="0"/>
  </r>
  <r>
    <x v="64"/>
    <x v="2"/>
    <n v="1"/>
    <n v="4.5499999999999999E-2"/>
    <n v="2"/>
    <n v="6.0600000000000001E-2"/>
    <n v="1"/>
    <n v="0"/>
    <n v="0"/>
    <n v="0"/>
    <s v="0"/>
    <n v="0"/>
  </r>
  <r>
    <x v="64"/>
    <x v="3"/>
    <n v="8"/>
    <n v="0.36359999999999998"/>
    <n v="17"/>
    <n v="0.51519999999999999"/>
    <n v="1"/>
    <n v="3"/>
    <n v="0.375"/>
    <n v="62.97"/>
    <s v="2"/>
    <n v="0.25"/>
  </r>
  <r>
    <x v="64"/>
    <x v="0"/>
    <n v="12"/>
    <n v="0.54549999999999998"/>
    <n v="13"/>
    <n v="0.39389999999999997"/>
    <n v="1"/>
    <n v="4"/>
    <n v="0.33329999999999999"/>
    <n v="49.96"/>
    <s v="4"/>
    <n v="0.33333333333333298"/>
  </r>
  <r>
    <x v="65"/>
    <x v="4"/>
    <n v="1"/>
    <n v="3.4500000000000003E-2"/>
    <n v="1"/>
    <n v="2.86E-2"/>
    <n v="1"/>
    <n v="0"/>
    <n v="0"/>
    <n v="0"/>
    <s v="0"/>
    <n v="0"/>
  </r>
  <r>
    <x v="65"/>
    <x v="1"/>
    <n v="1"/>
    <n v="3.4500000000000003E-2"/>
    <n v="1"/>
    <n v="2.86E-2"/>
    <n v="1"/>
    <n v="0"/>
    <n v="0"/>
    <n v="0"/>
    <s v="0"/>
    <n v="0"/>
  </r>
  <r>
    <x v="65"/>
    <x v="3"/>
    <n v="16"/>
    <n v="0.55169999999999997"/>
    <n v="21"/>
    <n v="0.6"/>
    <n v="1"/>
    <n v="4"/>
    <n v="0.25"/>
    <n v="83.96"/>
    <s v="3"/>
    <n v="0.1875"/>
  </r>
  <r>
    <x v="65"/>
    <x v="0"/>
    <n v="10"/>
    <n v="0.3448"/>
    <n v="11"/>
    <n v="0.31430000000000002"/>
    <n v="1"/>
    <n v="4"/>
    <n v="0.4"/>
    <n v="49.96"/>
    <s v="4"/>
    <n v="0.4"/>
  </r>
  <r>
    <x v="65"/>
    <x v="2"/>
    <n v="1"/>
    <n v="3.4500000000000003E-2"/>
    <n v="1"/>
    <n v="2.86E-2"/>
    <n v="1"/>
    <n v="1"/>
    <n v="1"/>
    <n v="15.99"/>
    <s v="1"/>
    <n v="1"/>
  </r>
  <r>
    <x v="66"/>
    <x v="3"/>
    <n v="15"/>
    <n v="0.5"/>
    <n v="20"/>
    <n v="0.52629999999999999"/>
    <n v="1"/>
    <n v="2"/>
    <n v="0.1333"/>
    <n v="41.98"/>
    <s v="2"/>
    <n v="0.133333333333333"/>
  </r>
  <r>
    <x v="66"/>
    <x v="0"/>
    <n v="15"/>
    <n v="0.5"/>
    <n v="18"/>
    <n v="0.47370000000000001"/>
    <n v="1"/>
    <n v="8"/>
    <n v="0.5333"/>
    <n v="99.92"/>
    <s v="7"/>
    <n v="0.46666666666666701"/>
  </r>
  <r>
    <x v="67"/>
    <x v="3"/>
    <n v="18"/>
    <n v="0.45"/>
    <n v="19"/>
    <n v="0.3654"/>
    <n v="1"/>
    <n v="2"/>
    <n v="0.1111"/>
    <n v="41.98"/>
    <s v="2"/>
    <n v="0.11111111111111099"/>
  </r>
  <r>
    <x v="67"/>
    <x v="0"/>
    <n v="22"/>
    <n v="0.55000000000000004"/>
    <n v="33"/>
    <n v="0.63460000000000005"/>
    <n v="1"/>
    <n v="8"/>
    <n v="0.36359999999999998"/>
    <n v="99.92"/>
    <s v="5"/>
    <n v="0.22727272727272699"/>
  </r>
  <r>
    <x v="68"/>
    <x v="1"/>
    <n v="2"/>
    <n v="6.6699999999999995E-2"/>
    <n v="2"/>
    <n v="5.5599999999999997E-2"/>
    <n v="1"/>
    <n v="0"/>
    <n v="0"/>
    <n v="0"/>
    <s v="0"/>
    <n v="0"/>
  </r>
  <r>
    <x v="68"/>
    <x v="3"/>
    <n v="13"/>
    <n v="0.43330000000000002"/>
    <n v="17"/>
    <n v="0.47220000000000001"/>
    <n v="1"/>
    <n v="7"/>
    <n v="0.53849999999999998"/>
    <n v="146.93"/>
    <s v="3"/>
    <n v="0.230769230769231"/>
  </r>
  <r>
    <x v="68"/>
    <x v="0"/>
    <n v="15"/>
    <n v="0.5"/>
    <n v="17"/>
    <n v="0.47220000000000001"/>
    <n v="1"/>
    <n v="6"/>
    <n v="0.4"/>
    <n v="74.94"/>
    <s v="5"/>
    <n v="0.33333333333333298"/>
  </r>
  <r>
    <x v="69"/>
    <x v="2"/>
    <n v="1"/>
    <n v="2.86E-2"/>
    <n v="2"/>
    <n v="4.8800000000000003E-2"/>
    <n v="1"/>
    <n v="0"/>
    <n v="0"/>
    <n v="0"/>
    <s v="0"/>
    <n v="0"/>
  </r>
  <r>
    <x v="69"/>
    <x v="3"/>
    <n v="17"/>
    <n v="0.48570000000000002"/>
    <n v="20"/>
    <n v="0.48780000000000001"/>
    <n v="1"/>
    <n v="3"/>
    <n v="0.17649999999999999"/>
    <n v="62.97"/>
    <s v="3"/>
    <n v="0.17647058823529399"/>
  </r>
  <r>
    <x v="69"/>
    <x v="0"/>
    <n v="17"/>
    <n v="0.48570000000000002"/>
    <n v="19"/>
    <n v="0.46339999999999998"/>
    <n v="1"/>
    <n v="23"/>
    <n v="1.3529"/>
    <n v="287.27"/>
    <s v="4"/>
    <n v="0.23529411764705899"/>
  </r>
  <r>
    <x v="70"/>
    <x v="0"/>
    <n v="10"/>
    <n v="0.43480000000000002"/>
    <n v="18"/>
    <n v="0.5806"/>
    <n v="1"/>
    <n v="0"/>
    <n v="0"/>
    <n v="0"/>
    <s v="0"/>
    <n v="0"/>
  </r>
  <r>
    <x v="70"/>
    <x v="4"/>
    <n v="1"/>
    <n v="4.3499999999999997E-2"/>
    <n v="1"/>
    <n v="3.2300000000000002E-2"/>
    <n v="0"/>
    <n v="0"/>
    <n v="0"/>
    <n v="0"/>
    <s v="0"/>
    <n v="0"/>
  </r>
  <r>
    <x v="70"/>
    <x v="3"/>
    <n v="12"/>
    <n v="0.52170000000000005"/>
    <n v="12"/>
    <n v="0.3871"/>
    <n v="1"/>
    <n v="1"/>
    <n v="8.3299999999999999E-2"/>
    <n v="20.99"/>
    <s v="1"/>
    <n v="8.3333333333333301E-2"/>
  </r>
  <r>
    <x v="71"/>
    <x v="4"/>
    <n v="1"/>
    <n v="2.7799999999999998E-2"/>
    <n v="1"/>
    <n v="2.3300000000000001E-2"/>
    <n v="0"/>
    <n v="0"/>
    <n v="0"/>
    <n v="0"/>
    <s v="0"/>
    <n v="0"/>
  </r>
  <r>
    <x v="71"/>
    <x v="3"/>
    <n v="19"/>
    <n v="0.52780000000000005"/>
    <n v="22"/>
    <n v="0.51160000000000005"/>
    <n v="1"/>
    <n v="1"/>
    <n v="5.2600000000000001E-2"/>
    <n v="20.99"/>
    <s v="1"/>
    <n v="5.2631578947368397E-2"/>
  </r>
  <r>
    <x v="71"/>
    <x v="0"/>
    <n v="16"/>
    <n v="0.44440000000000002"/>
    <n v="20"/>
    <n v="0.46510000000000001"/>
    <n v="1"/>
    <n v="1"/>
    <n v="6.25E-2"/>
    <n v="12.49"/>
    <s v="1"/>
    <n v="6.25E-2"/>
  </r>
  <r>
    <x v="72"/>
    <x v="4"/>
    <n v="1"/>
    <n v="3.5700000000000003E-2"/>
    <n v="1"/>
    <n v="2.9399999999999999E-2"/>
    <n v="0"/>
    <n v="0"/>
    <n v="0"/>
    <n v="0"/>
    <s v="0"/>
    <n v="0"/>
  </r>
  <r>
    <x v="72"/>
    <x v="3"/>
    <n v="18"/>
    <n v="0.64290000000000003"/>
    <n v="23"/>
    <n v="0.67649999999999999"/>
    <n v="1"/>
    <n v="6"/>
    <n v="0.33329999999999999"/>
    <n v="125.94"/>
    <s v="6"/>
    <n v="0.33333333333333298"/>
  </r>
  <r>
    <x v="72"/>
    <x v="0"/>
    <n v="9"/>
    <n v="0.32140000000000002"/>
    <n v="10"/>
    <n v="0.29409999999999997"/>
    <n v="1"/>
    <n v="1"/>
    <n v="0.1111"/>
    <n v="12.49"/>
    <s v="1"/>
    <n v="0.11111111111111099"/>
  </r>
  <r>
    <x v="73"/>
    <x v="1"/>
    <n v="2"/>
    <n v="6.0600000000000001E-2"/>
    <n v="2"/>
    <n v="0.05"/>
    <n v="0"/>
    <n v="0"/>
    <n v="0"/>
    <n v="0"/>
    <s v="0"/>
    <n v="0"/>
  </r>
  <r>
    <x v="73"/>
    <x v="2"/>
    <n v="1"/>
    <n v="3.0300000000000001E-2"/>
    <n v="1"/>
    <n v="2.5000000000000001E-2"/>
    <n v="0"/>
    <n v="0"/>
    <n v="0"/>
    <n v="0"/>
    <s v="0"/>
    <n v="0"/>
  </r>
  <r>
    <x v="73"/>
    <x v="4"/>
    <n v="1"/>
    <n v="3.0300000000000001E-2"/>
    <n v="1"/>
    <n v="2.5000000000000001E-2"/>
    <n v="0"/>
    <n v="0"/>
    <n v="0"/>
    <n v="0"/>
    <s v="0"/>
    <n v="0"/>
  </r>
  <r>
    <x v="73"/>
    <x v="0"/>
    <n v="11"/>
    <n v="0.33329999999999999"/>
    <n v="15"/>
    <n v="0.375"/>
    <n v="1"/>
    <n v="5"/>
    <n v="0.45450000000000002"/>
    <n v="62.45"/>
    <s v="4"/>
    <n v="0.36363636363636398"/>
  </r>
  <r>
    <x v="73"/>
    <x v="3"/>
    <n v="18"/>
    <n v="0.54549999999999998"/>
    <n v="21"/>
    <n v="0.52500000000000002"/>
    <n v="1"/>
    <n v="1"/>
    <n v="5.5599999999999997E-2"/>
    <n v="20.99"/>
    <s v="1"/>
    <n v="5.5555555555555601E-2"/>
  </r>
  <r>
    <x v="74"/>
    <x v="0"/>
    <n v="17"/>
    <n v="0.42499999999999999"/>
    <n v="21"/>
    <n v="0.4375"/>
    <n v="1"/>
    <n v="4"/>
    <n v="0.23530000000000001"/>
    <n v="49.96"/>
    <s v="3"/>
    <n v="0.17647058823529399"/>
  </r>
  <r>
    <x v="74"/>
    <x v="3"/>
    <n v="23"/>
    <n v="0.57499999999999996"/>
    <n v="27"/>
    <n v="0.5625"/>
    <n v="1"/>
    <n v="1"/>
    <n v="4.3499999999999997E-2"/>
    <n v="20.99"/>
    <s v="1"/>
    <n v="4.3478260869565202E-2"/>
  </r>
  <r>
    <x v="75"/>
    <x v="4"/>
    <n v="1"/>
    <n v="2.4400000000000002E-2"/>
    <n v="1"/>
    <n v="2.0799999999999999E-2"/>
    <n v="1"/>
    <n v="0"/>
    <n v="0"/>
    <n v="0"/>
    <s v="0"/>
    <n v="0"/>
  </r>
  <r>
    <x v="75"/>
    <x v="1"/>
    <n v="2"/>
    <n v="4.8800000000000003E-2"/>
    <n v="2"/>
    <n v="4.1700000000000001E-2"/>
    <n v="1"/>
    <n v="0"/>
    <n v="0"/>
    <n v="0"/>
    <s v="0"/>
    <n v="0"/>
  </r>
  <r>
    <x v="75"/>
    <x v="2"/>
    <n v="3"/>
    <n v="7.3200000000000001E-2"/>
    <n v="4"/>
    <n v="8.3299999999999999E-2"/>
    <n v="1"/>
    <n v="0"/>
    <n v="0"/>
    <n v="0"/>
    <s v="0"/>
    <n v="0"/>
  </r>
  <r>
    <x v="75"/>
    <x v="0"/>
    <n v="22"/>
    <n v="0.53659999999999997"/>
    <n v="27"/>
    <n v="0.5625"/>
    <n v="1"/>
    <n v="6"/>
    <n v="0.2727"/>
    <n v="74.94"/>
    <s v="6"/>
    <n v="0.27272727272727298"/>
  </r>
  <r>
    <x v="75"/>
    <x v="3"/>
    <n v="13"/>
    <n v="0.31709999999999999"/>
    <n v="14"/>
    <n v="0.29170000000000001"/>
    <n v="1"/>
    <n v="1"/>
    <n v="7.6899999999999996E-2"/>
    <n v="20.99"/>
    <s v="1"/>
    <n v="7.69230769230769E-2"/>
  </r>
  <r>
    <x v="76"/>
    <x v="3"/>
    <n v="6"/>
    <n v="0.18179999999999999"/>
    <n v="8"/>
    <n v="0.22220000000000001"/>
    <n v="1"/>
    <n v="0"/>
    <n v="0"/>
    <n v="0"/>
    <s v="0"/>
    <n v="0"/>
  </r>
  <r>
    <x v="76"/>
    <x v="2"/>
    <n v="3"/>
    <n v="9.0899999999999995E-2"/>
    <n v="3"/>
    <n v="8.3299999999999999E-2"/>
    <n v="1"/>
    <n v="0"/>
    <n v="0"/>
    <n v="0"/>
    <s v="0"/>
    <n v="0"/>
  </r>
  <r>
    <x v="76"/>
    <x v="1"/>
    <n v="2"/>
    <n v="6.0600000000000001E-2"/>
    <n v="3"/>
    <n v="8.3299999999999999E-2"/>
    <n v="1"/>
    <n v="2"/>
    <n v="1"/>
    <n v="31.98"/>
    <s v="1"/>
    <n v="0.5"/>
  </r>
  <r>
    <x v="76"/>
    <x v="0"/>
    <n v="22"/>
    <n v="0.66669999999999996"/>
    <n v="22"/>
    <n v="0.61109999999999998"/>
    <n v="1"/>
    <n v="14"/>
    <n v="0.63639999999999997"/>
    <n v="174.86"/>
    <s v="12"/>
    <n v="0.54545454545454497"/>
  </r>
  <r>
    <x v="77"/>
    <x v="2"/>
    <n v="1"/>
    <n v="2.2700000000000001E-2"/>
    <n v="1"/>
    <n v="1.7500000000000002E-2"/>
    <n v="1"/>
    <n v="0"/>
    <n v="0"/>
    <n v="0"/>
    <s v="0"/>
    <n v="0"/>
  </r>
  <r>
    <x v="77"/>
    <x v="0"/>
    <n v="33"/>
    <n v="0.75"/>
    <n v="45"/>
    <n v="0.78949999999999998"/>
    <n v="1"/>
    <n v="6"/>
    <n v="0.18179999999999999"/>
    <n v="74.94"/>
    <s v="5"/>
    <n v="0.15151515151515199"/>
  </r>
  <r>
    <x v="77"/>
    <x v="3"/>
    <n v="10"/>
    <n v="0.2273"/>
    <n v="11"/>
    <n v="0.193"/>
    <n v="1"/>
    <n v="1"/>
    <n v="0.1"/>
    <n v="20.99"/>
    <s v="1"/>
    <n v="0.1"/>
  </r>
  <r>
    <x v="78"/>
    <x v="3"/>
    <n v="9"/>
    <n v="0.2"/>
    <n v="12"/>
    <n v="0.21820000000000001"/>
    <n v="1"/>
    <n v="0"/>
    <n v="0"/>
    <n v="0"/>
    <s v="0"/>
    <n v="0"/>
  </r>
  <r>
    <x v="78"/>
    <x v="0"/>
    <n v="36"/>
    <n v="0.8"/>
    <n v="43"/>
    <n v="0.78180000000000005"/>
    <n v="1"/>
    <n v="4"/>
    <n v="0.1111"/>
    <n v="49.96"/>
    <s v="4"/>
    <n v="0.11111111111111099"/>
  </r>
  <r>
    <x v="79"/>
    <x v="1"/>
    <n v="3"/>
    <n v="9.6799999999999997E-2"/>
    <n v="3"/>
    <n v="9.0899999999999995E-2"/>
    <n v="0"/>
    <n v="0"/>
    <n v="0"/>
    <n v="0"/>
    <s v="0"/>
    <n v="0"/>
  </r>
  <r>
    <x v="79"/>
    <x v="2"/>
    <n v="2"/>
    <n v="6.4500000000000002E-2"/>
    <n v="2"/>
    <n v="6.0600000000000001E-2"/>
    <n v="0"/>
    <n v="0"/>
    <n v="0"/>
    <n v="0"/>
    <s v="0"/>
    <n v="0"/>
  </r>
  <r>
    <x v="79"/>
    <x v="4"/>
    <n v="1"/>
    <n v="3.2300000000000002E-2"/>
    <n v="1"/>
    <n v="3.0300000000000001E-2"/>
    <n v="0"/>
    <n v="0"/>
    <n v="0"/>
    <n v="0"/>
    <s v="0"/>
    <n v="0"/>
  </r>
  <r>
    <x v="79"/>
    <x v="0"/>
    <n v="21"/>
    <n v="0.6774"/>
    <n v="23"/>
    <n v="0.69699999999999995"/>
    <n v="1"/>
    <n v="5"/>
    <n v="0.23810000000000001"/>
    <n v="62.45"/>
    <s v="3"/>
    <n v="0.14285714285714299"/>
  </r>
  <r>
    <x v="79"/>
    <x v="3"/>
    <n v="4"/>
    <n v="0.129"/>
    <n v="4"/>
    <n v="0.1212"/>
    <n v="1"/>
    <n v="1"/>
    <n v="0.25"/>
    <n v="20.99"/>
    <s v="1"/>
    <n v="0.25"/>
  </r>
  <r>
    <x v="80"/>
    <x v="3"/>
    <n v="10"/>
    <n v="0.4"/>
    <n v="13"/>
    <n v="0.44829999999999998"/>
    <n v="1"/>
    <n v="0"/>
    <n v="0"/>
    <n v="0"/>
    <s v="0"/>
    <n v="0"/>
  </r>
  <r>
    <x v="80"/>
    <x v="0"/>
    <n v="15"/>
    <n v="0.6"/>
    <n v="16"/>
    <n v="0.55169999999999997"/>
    <n v="1"/>
    <n v="4"/>
    <n v="0.26669999999999999"/>
    <n v="49.96"/>
    <s v="4"/>
    <n v="0.266666666666667"/>
  </r>
  <r>
    <x v="81"/>
    <x v="2"/>
    <n v="1"/>
    <n v="3.5700000000000003E-2"/>
    <n v="1"/>
    <n v="3.3300000000000003E-2"/>
    <n v="1"/>
    <n v="0"/>
    <n v="0"/>
    <n v="0"/>
    <s v="0"/>
    <n v="0"/>
  </r>
  <r>
    <x v="81"/>
    <x v="1"/>
    <n v="1"/>
    <n v="3.5700000000000003E-2"/>
    <n v="1"/>
    <n v="3.3300000000000003E-2"/>
    <n v="1"/>
    <n v="0"/>
    <n v="0"/>
    <n v="0"/>
    <s v="0"/>
    <n v="0"/>
  </r>
  <r>
    <x v="81"/>
    <x v="0"/>
    <n v="20"/>
    <n v="0.71430000000000005"/>
    <n v="22"/>
    <n v="0.73329999999999995"/>
    <n v="1"/>
    <n v="10"/>
    <n v="0.5"/>
    <n v="124.9"/>
    <s v="7"/>
    <n v="0.35"/>
  </r>
  <r>
    <x v="81"/>
    <x v="3"/>
    <n v="6"/>
    <n v="0.21429999999999999"/>
    <n v="6"/>
    <n v="0.2"/>
    <n v="1"/>
    <n v="1"/>
    <n v="0.16669999999999999"/>
    <n v="20.99"/>
    <s v="1"/>
    <n v="0.16666666666666699"/>
  </r>
  <r>
    <x v="82"/>
    <x v="1"/>
    <n v="1"/>
    <n v="2.5600000000000001E-2"/>
    <n v="1"/>
    <n v="2.2700000000000001E-2"/>
    <n v="1"/>
    <n v="0"/>
    <n v="0"/>
    <n v="0"/>
    <s v="0"/>
    <n v="0"/>
  </r>
  <r>
    <x v="82"/>
    <x v="4"/>
    <n v="2"/>
    <n v="5.1299999999999998E-2"/>
    <n v="2"/>
    <n v="4.5499999999999999E-2"/>
    <n v="1"/>
    <n v="0"/>
    <n v="0"/>
    <n v="0"/>
    <s v="0"/>
    <n v="0"/>
  </r>
  <r>
    <x v="82"/>
    <x v="0"/>
    <n v="27"/>
    <n v="0.69230000000000003"/>
    <n v="32"/>
    <n v="0.72729999999999995"/>
    <n v="1"/>
    <n v="0"/>
    <n v="0"/>
    <n v="0"/>
    <s v="0"/>
    <n v="0"/>
  </r>
  <r>
    <x v="82"/>
    <x v="3"/>
    <n v="9"/>
    <n v="0.23080000000000001"/>
    <n v="9"/>
    <n v="0.20449999999999999"/>
    <n v="1"/>
    <n v="0"/>
    <n v="0"/>
    <n v="0"/>
    <s v="0"/>
    <n v="0"/>
  </r>
  <r>
    <x v="83"/>
    <x v="4"/>
    <n v="1"/>
    <n v="3.6999999999999998E-2"/>
    <n v="1"/>
    <n v="3.2300000000000002E-2"/>
    <n v="1"/>
    <n v="0"/>
    <n v="0"/>
    <n v="0"/>
    <s v="0"/>
    <n v="0"/>
  </r>
  <r>
    <x v="83"/>
    <x v="2"/>
    <n v="1"/>
    <n v="3.6999999999999998E-2"/>
    <n v="1"/>
    <n v="3.2300000000000002E-2"/>
    <n v="1"/>
    <n v="0"/>
    <n v="0"/>
    <n v="0"/>
    <s v="0"/>
    <n v="0"/>
  </r>
  <r>
    <x v="83"/>
    <x v="1"/>
    <n v="1"/>
    <n v="3.6999999999999998E-2"/>
    <n v="1"/>
    <n v="3.2300000000000002E-2"/>
    <n v="1"/>
    <n v="0"/>
    <n v="0"/>
    <n v="0"/>
    <s v="0"/>
    <n v="0"/>
  </r>
  <r>
    <x v="83"/>
    <x v="3"/>
    <n v="7"/>
    <n v="0.25929999999999997"/>
    <n v="7"/>
    <n v="0.2258"/>
    <n v="1"/>
    <n v="3"/>
    <n v="0.42859999999999998"/>
    <n v="62.97"/>
    <s v="3"/>
    <n v="0.42857142857142899"/>
  </r>
  <r>
    <x v="83"/>
    <x v="0"/>
    <n v="17"/>
    <n v="0.62960000000000005"/>
    <n v="21"/>
    <n v="0.6774"/>
    <n v="1"/>
    <n v="2"/>
    <n v="0.1176"/>
    <n v="23.98"/>
    <s v="1"/>
    <n v="5.8823529411764698E-2"/>
  </r>
  <r>
    <x v="84"/>
    <x v="0"/>
    <n v="15"/>
    <n v="0.6522"/>
    <n v="21"/>
    <n v="0.72409999999999997"/>
    <n v="1"/>
    <n v="5"/>
    <n v="0.33329999999999999"/>
    <n v="59.95"/>
    <s v="5"/>
    <n v="0.33333333333333298"/>
  </r>
  <r>
    <x v="84"/>
    <x v="3"/>
    <n v="8"/>
    <n v="0.3478"/>
    <n v="8"/>
    <n v="0.27589999999999998"/>
    <n v="1"/>
    <n v="1"/>
    <n v="0.125"/>
    <n v="19.989999999999998"/>
    <s v="1"/>
    <n v="0.125"/>
  </r>
  <r>
    <x v="85"/>
    <x v="2"/>
    <n v="2"/>
    <n v="8.6999999999999994E-2"/>
    <n v="2"/>
    <n v="6.9000000000000006E-2"/>
    <n v="1"/>
    <n v="0"/>
    <n v="0"/>
    <n v="0"/>
    <s v="0"/>
    <n v="0"/>
  </r>
  <r>
    <x v="85"/>
    <x v="0"/>
    <n v="18"/>
    <n v="0.78259999999999996"/>
    <n v="24"/>
    <n v="0.8276"/>
    <n v="1"/>
    <n v="0"/>
    <n v="0"/>
    <n v="0"/>
    <s v="0"/>
    <n v="0"/>
  </r>
  <r>
    <x v="85"/>
    <x v="3"/>
    <n v="3"/>
    <n v="0.13039999999999999"/>
    <n v="3"/>
    <n v="0.10340000000000001"/>
    <n v="1"/>
    <n v="2"/>
    <n v="0.66669999999999996"/>
    <n v="39.979999999999997"/>
    <s v="2"/>
    <n v="0.66666666666666696"/>
  </r>
  <r>
    <x v="86"/>
    <x v="3"/>
    <n v="7"/>
    <n v="0.2059"/>
    <n v="8"/>
    <n v="0.18179999999999999"/>
    <n v="1"/>
    <n v="0"/>
    <n v="0"/>
    <n v="0"/>
    <s v="0"/>
    <n v="0"/>
  </r>
  <r>
    <x v="86"/>
    <x v="2"/>
    <n v="1"/>
    <n v="2.9399999999999999E-2"/>
    <n v="1"/>
    <n v="2.2700000000000001E-2"/>
    <n v="0"/>
    <n v="0"/>
    <n v="0"/>
    <n v="0"/>
    <s v="0"/>
    <n v="0"/>
  </r>
  <r>
    <x v="86"/>
    <x v="0"/>
    <n v="26"/>
    <n v="0.76470000000000005"/>
    <n v="35"/>
    <n v="0.79549999999999998"/>
    <n v="1"/>
    <n v="7"/>
    <n v="0.26919999999999999"/>
    <n v="83.93"/>
    <s v="4"/>
    <n v="0.15384615384615399"/>
  </r>
  <r>
    <x v="87"/>
    <x v="3"/>
    <n v="4"/>
    <n v="0.125"/>
    <n v="5"/>
    <n v="0.125"/>
    <n v="1"/>
    <n v="0"/>
    <n v="0"/>
    <n v="0"/>
    <s v="0"/>
    <n v="0"/>
  </r>
  <r>
    <x v="87"/>
    <x v="4"/>
    <n v="1"/>
    <n v="3.1300000000000001E-2"/>
    <n v="1"/>
    <n v="2.5000000000000001E-2"/>
    <n v="0"/>
    <n v="0"/>
    <n v="0"/>
    <n v="0"/>
    <s v="0"/>
    <n v="0"/>
  </r>
  <r>
    <x v="87"/>
    <x v="0"/>
    <n v="27"/>
    <n v="0.84379999999999999"/>
    <n v="34"/>
    <n v="0.85"/>
    <n v="1"/>
    <n v="4"/>
    <n v="0.14810000000000001"/>
    <n v="47.96"/>
    <s v="4"/>
    <n v="0.148148148148148"/>
  </r>
  <r>
    <x v="88"/>
    <x v="1"/>
    <n v="1"/>
    <n v="0.04"/>
    <n v="1"/>
    <n v="2.63E-2"/>
    <n v="1"/>
    <n v="0"/>
    <n v="0"/>
    <n v="0"/>
    <s v="0"/>
    <n v="0"/>
  </r>
  <r>
    <x v="88"/>
    <x v="3"/>
    <n v="5"/>
    <n v="0.2"/>
    <n v="8"/>
    <n v="0.21049999999999999"/>
    <n v="1"/>
    <n v="0"/>
    <n v="0"/>
    <n v="0"/>
    <s v="0"/>
    <n v="0"/>
  </r>
  <r>
    <x v="88"/>
    <x v="0"/>
    <n v="19"/>
    <n v="0.76"/>
    <n v="29"/>
    <n v="0.76319999999999999"/>
    <n v="1"/>
    <n v="5"/>
    <n v="0.26319999999999999"/>
    <n v="59.95"/>
    <s v="5"/>
    <n v="0.26315789473684198"/>
  </r>
  <r>
    <x v="89"/>
    <x v="3"/>
    <n v="5"/>
    <n v="0.125"/>
    <n v="6"/>
    <n v="0.13039999999999999"/>
    <n v="1"/>
    <n v="0"/>
    <n v="0"/>
    <n v="0"/>
    <s v="0"/>
    <n v="0"/>
  </r>
  <r>
    <x v="89"/>
    <x v="0"/>
    <n v="34"/>
    <n v="0.85"/>
    <n v="39"/>
    <n v="0.8478"/>
    <n v="1"/>
    <n v="4"/>
    <n v="0.1176"/>
    <n v="47.96"/>
    <s v="4"/>
    <n v="0.11764705882352899"/>
  </r>
  <r>
    <x v="89"/>
    <x v="2"/>
    <n v="1"/>
    <n v="2.5000000000000001E-2"/>
    <n v="1"/>
    <n v="2.1700000000000001E-2"/>
    <n v="1"/>
    <n v="1"/>
    <n v="1"/>
    <n v="15.99"/>
    <s v="1"/>
    <n v="1"/>
  </r>
  <r>
    <x v="90"/>
    <x v="4"/>
    <n v="2"/>
    <n v="6.0600000000000001E-2"/>
    <n v="2"/>
    <n v="4.1700000000000001E-2"/>
    <n v="1"/>
    <n v="0"/>
    <n v="0"/>
    <n v="0"/>
    <s v="0"/>
    <n v="0"/>
  </r>
  <r>
    <x v="90"/>
    <x v="3"/>
    <n v="2"/>
    <n v="6.0600000000000001E-2"/>
    <n v="2"/>
    <n v="4.1700000000000001E-2"/>
    <n v="1"/>
    <n v="0"/>
    <n v="0"/>
    <n v="0"/>
    <s v="0"/>
    <n v="0"/>
  </r>
  <r>
    <x v="90"/>
    <x v="1"/>
    <n v="1"/>
    <n v="3.0300000000000001E-2"/>
    <n v="1"/>
    <n v="2.0799999999999999E-2"/>
    <n v="0"/>
    <n v="0"/>
    <n v="0"/>
    <n v="0"/>
    <s v="0"/>
    <n v="0"/>
  </r>
  <r>
    <x v="90"/>
    <x v="0"/>
    <n v="28"/>
    <n v="0.84850000000000003"/>
    <n v="43"/>
    <n v="0.89580000000000004"/>
    <n v="0.98"/>
    <n v="4"/>
    <n v="0.1429"/>
    <n v="47.96"/>
    <s v="4"/>
    <n v="0.14285714285714299"/>
  </r>
  <r>
    <x v="91"/>
    <x v="4"/>
    <n v="1"/>
    <n v="5.2600000000000001E-2"/>
    <n v="1"/>
    <n v="4.1700000000000001E-2"/>
    <n v="1"/>
    <n v="0"/>
    <n v="0"/>
    <n v="0"/>
    <s v="0"/>
    <n v="0"/>
  </r>
  <r>
    <x v="91"/>
    <x v="3"/>
    <n v="2"/>
    <n v="0.1053"/>
    <n v="3"/>
    <n v="0.125"/>
    <n v="1"/>
    <n v="0"/>
    <n v="0"/>
    <n v="0"/>
    <s v="0"/>
    <n v="0"/>
  </r>
  <r>
    <x v="91"/>
    <x v="0"/>
    <n v="16"/>
    <n v="0.84209999999999996"/>
    <n v="20"/>
    <n v="0.83330000000000004"/>
    <n v="1"/>
    <n v="8"/>
    <n v="0.5"/>
    <n v="87.92"/>
    <s v="7"/>
    <n v="0.4375"/>
  </r>
  <r>
    <x v="92"/>
    <x v="3"/>
    <n v="6"/>
    <n v="0.28570000000000001"/>
    <n v="7"/>
    <n v="0.25"/>
    <n v="1"/>
    <n v="0"/>
    <n v="0"/>
    <n v="0"/>
    <s v="0"/>
    <n v="0"/>
  </r>
  <r>
    <x v="92"/>
    <x v="0"/>
    <n v="15"/>
    <n v="0.71430000000000005"/>
    <n v="21"/>
    <n v="0.75"/>
    <n v="1"/>
    <n v="8"/>
    <n v="0.5333"/>
    <n v="87.92"/>
    <s v="8"/>
    <n v="0.53333333333333299"/>
  </r>
  <r>
    <x v="93"/>
    <x v="4"/>
    <n v="1"/>
    <n v="3.4500000000000003E-2"/>
    <n v="1"/>
    <n v="2.63E-2"/>
    <n v="1"/>
    <n v="0"/>
    <n v="0"/>
    <n v="0"/>
    <s v="0"/>
    <n v="0"/>
  </r>
  <r>
    <x v="93"/>
    <x v="3"/>
    <n v="4"/>
    <n v="0.13789999999999999"/>
    <n v="4"/>
    <n v="0.1053"/>
    <n v="1"/>
    <n v="0"/>
    <n v="0"/>
    <n v="0"/>
    <s v="0"/>
    <n v="0"/>
  </r>
  <r>
    <x v="93"/>
    <x v="0"/>
    <n v="24"/>
    <n v="0.8276"/>
    <n v="33"/>
    <n v="0.86839999999999995"/>
    <n v="1"/>
    <n v="7"/>
    <n v="0.29170000000000001"/>
    <n v="76.930000000000007"/>
    <s v="7"/>
    <n v="0.29166666666666702"/>
  </r>
  <r>
    <x v="94"/>
    <x v="2"/>
    <n v="2"/>
    <n v="6.6699999999999995E-2"/>
    <n v="2"/>
    <n v="6.0600000000000001E-2"/>
    <n v="1"/>
    <n v="0"/>
    <n v="0"/>
    <n v="0"/>
    <s v="0"/>
    <n v="0"/>
  </r>
  <r>
    <x v="94"/>
    <x v="3"/>
    <n v="9"/>
    <n v="0.3"/>
    <n v="10"/>
    <n v="0.30299999999999999"/>
    <n v="0.9"/>
    <n v="2"/>
    <n v="0.22220000000000001"/>
    <n v="37.979999999999997"/>
    <s v="2"/>
    <n v="0.22222222222222199"/>
  </r>
  <r>
    <x v="94"/>
    <x v="0"/>
    <n v="19"/>
    <n v="0.63329999999999997"/>
    <n v="21"/>
    <n v="0.63639999999999997"/>
    <n v="1"/>
    <n v="2"/>
    <n v="0.1053"/>
    <n v="21.98"/>
    <s v="2"/>
    <n v="0.105263157894737"/>
  </r>
  <r>
    <x v="95"/>
    <x v="4"/>
    <n v="1"/>
    <n v="3.5700000000000003E-2"/>
    <n v="1"/>
    <n v="2.4400000000000002E-2"/>
    <n v="1"/>
    <n v="0"/>
    <n v="0"/>
    <n v="0"/>
    <s v="0"/>
    <n v="0"/>
  </r>
  <r>
    <x v="95"/>
    <x v="3"/>
    <n v="3"/>
    <n v="0.1071"/>
    <n v="3"/>
    <n v="7.3200000000000001E-2"/>
    <n v="1"/>
    <n v="2"/>
    <n v="0.66669999999999996"/>
    <n v="37.979999999999997"/>
    <s v="2"/>
    <n v="0.66666666666666696"/>
  </r>
  <r>
    <x v="95"/>
    <x v="0"/>
    <n v="24"/>
    <n v="0.85709999999999997"/>
    <n v="37"/>
    <n v="0.90239999999999998"/>
    <n v="1"/>
    <n v="2"/>
    <n v="8.3299999999999999E-2"/>
    <n v="22.98"/>
    <s v="2"/>
    <n v="8.3333333333333301E-2"/>
  </r>
  <r>
    <x v="96"/>
    <x v="3"/>
    <n v="8"/>
    <n v="0.2051"/>
    <n v="8"/>
    <n v="0.1633"/>
    <n v="1"/>
    <n v="0"/>
    <n v="0"/>
    <n v="0"/>
    <s v="0"/>
    <n v="0"/>
  </r>
  <r>
    <x v="96"/>
    <x v="0"/>
    <n v="31"/>
    <n v="0.79490000000000005"/>
    <n v="41"/>
    <n v="0.8367"/>
    <n v="1"/>
    <n v="7"/>
    <n v="0.2258"/>
    <n v="80.430000000000007"/>
    <s v="6"/>
    <n v="0.19354838709677399"/>
  </r>
  <r>
    <x v="97"/>
    <x v="4"/>
    <n v="1"/>
    <n v="2.2200000000000001E-2"/>
    <n v="1"/>
    <n v="1.52E-2"/>
    <n v="0"/>
    <n v="0"/>
    <n v="0"/>
    <n v="0"/>
    <s v="0"/>
    <n v="0"/>
  </r>
  <r>
    <x v="97"/>
    <x v="0"/>
    <n v="31"/>
    <n v="0.68889999999999996"/>
    <n v="48"/>
    <n v="0.72729999999999995"/>
    <n v="1"/>
    <n v="5"/>
    <n v="0.1613"/>
    <n v="57.45"/>
    <s v="4"/>
    <n v="0.12903225806451599"/>
  </r>
  <r>
    <x v="97"/>
    <x v="3"/>
    <n v="13"/>
    <n v="0.28889999999999999"/>
    <n v="17"/>
    <n v="0.2576"/>
    <n v="1"/>
    <n v="1"/>
    <n v="7.6899999999999996E-2"/>
    <n v="18.989999999999998"/>
    <s v="1"/>
    <n v="7.69230769230769E-2"/>
  </r>
  <r>
    <x v="98"/>
    <x v="3"/>
    <n v="20"/>
    <n v="0.35709999999999997"/>
    <n v="23"/>
    <n v="0.3286"/>
    <n v="1"/>
    <n v="3"/>
    <n v="0.15"/>
    <n v="56.97"/>
    <s v="2"/>
    <n v="0.1"/>
  </r>
  <r>
    <x v="98"/>
    <x v="0"/>
    <n v="36"/>
    <n v="0.64290000000000003"/>
    <n v="47"/>
    <n v="0.6714"/>
    <n v="1"/>
    <n v="8"/>
    <n v="0.22220000000000001"/>
    <n v="91.92"/>
    <s v="8"/>
    <n v="0.22222222222222199"/>
  </r>
  <r>
    <x v="99"/>
    <x v="2"/>
    <n v="1"/>
    <n v="1.43E-2"/>
    <n v="1"/>
    <n v="1.01E-2"/>
    <n v="1"/>
    <n v="0"/>
    <n v="0"/>
    <n v="0"/>
    <s v="0"/>
    <n v="0"/>
  </r>
  <r>
    <x v="99"/>
    <x v="1"/>
    <n v="1"/>
    <n v="1.43E-2"/>
    <n v="1"/>
    <n v="1.01E-2"/>
    <n v="0"/>
    <n v="0"/>
    <n v="0"/>
    <n v="0"/>
    <s v="0"/>
    <n v="0"/>
  </r>
  <r>
    <x v="99"/>
    <x v="3"/>
    <n v="29"/>
    <n v="0.4143"/>
    <n v="37"/>
    <n v="0.37369999999999998"/>
    <n v="1"/>
    <n v="2"/>
    <n v="6.9000000000000006E-2"/>
    <n v="37.979999999999997"/>
    <s v="1"/>
    <n v="3.4482758620689703E-2"/>
  </r>
  <r>
    <x v="99"/>
    <x v="0"/>
    <n v="39"/>
    <n v="0.55710000000000004"/>
    <n v="60"/>
    <n v="0.60609999999999997"/>
    <n v="1"/>
    <n v="6"/>
    <n v="0.15379999999999999"/>
    <n v="68.94"/>
    <s v="6"/>
    <n v="0.15384615384615399"/>
  </r>
  <r>
    <x v="100"/>
    <x v="2"/>
    <n v="2"/>
    <n v="4.3499999999999997E-2"/>
    <n v="2"/>
    <n v="3.6999999999999998E-2"/>
    <n v="1"/>
    <n v="0"/>
    <n v="0"/>
    <n v="0"/>
    <s v="0"/>
    <n v="0"/>
  </r>
  <r>
    <x v="100"/>
    <x v="3"/>
    <n v="16"/>
    <n v="0.3478"/>
    <n v="22"/>
    <n v="0.40739999999999998"/>
    <n v="1"/>
    <n v="0"/>
    <n v="0"/>
    <n v="0"/>
    <s v="0"/>
    <n v="0"/>
  </r>
  <r>
    <x v="100"/>
    <x v="1"/>
    <n v="1"/>
    <n v="2.1700000000000001E-2"/>
    <n v="1"/>
    <n v="1.8499999999999999E-2"/>
    <n v="0"/>
    <n v="0"/>
    <n v="0"/>
    <n v="0"/>
    <s v="0"/>
    <n v="0"/>
  </r>
  <r>
    <x v="100"/>
    <x v="0"/>
    <n v="27"/>
    <n v="0.58699999999999997"/>
    <n v="29"/>
    <n v="0.53700000000000003"/>
    <n v="1"/>
    <n v="8"/>
    <n v="0.29630000000000001"/>
    <n v="91.92"/>
    <s v="8"/>
    <n v="0.296296296296296"/>
  </r>
  <r>
    <x v="101"/>
    <x v="1"/>
    <n v="1"/>
    <n v="1.4500000000000001E-2"/>
    <n v="1"/>
    <n v="1.2200000000000001E-2"/>
    <n v="1"/>
    <n v="0"/>
    <n v="0"/>
    <n v="0"/>
    <s v="0"/>
    <n v="0"/>
  </r>
  <r>
    <x v="101"/>
    <x v="4"/>
    <n v="1"/>
    <n v="1.4500000000000001E-2"/>
    <n v="1"/>
    <n v="1.2200000000000001E-2"/>
    <n v="1"/>
    <n v="0"/>
    <n v="0"/>
    <n v="0"/>
    <s v="0"/>
    <n v="0"/>
  </r>
  <r>
    <x v="101"/>
    <x v="2"/>
    <n v="2"/>
    <n v="2.9000000000000001E-2"/>
    <n v="2"/>
    <n v="2.4400000000000002E-2"/>
    <n v="1"/>
    <n v="0"/>
    <n v="0"/>
    <n v="0"/>
    <s v="0"/>
    <n v="0"/>
  </r>
  <r>
    <x v="101"/>
    <x v="0"/>
    <n v="45"/>
    <n v="0.6522"/>
    <n v="56"/>
    <n v="0.68289999999999995"/>
    <n v="1"/>
    <n v="4"/>
    <n v="8.8900000000000007E-2"/>
    <n v="45.96"/>
    <s v="3"/>
    <n v="6.6666666666666693E-2"/>
  </r>
  <r>
    <x v="101"/>
    <x v="3"/>
    <n v="20"/>
    <n v="0.28989999999999999"/>
    <n v="22"/>
    <n v="0.26829999999999998"/>
    <n v="1"/>
    <n v="1"/>
    <n v="0.05"/>
    <n v="19.66"/>
    <s v="1"/>
    <n v="0.05"/>
  </r>
  <r>
    <x v="102"/>
    <x v="2"/>
    <n v="1"/>
    <n v="1.3299999999999999E-2"/>
    <n v="1"/>
    <n v="9.5999999999999992E-3"/>
    <n v="0"/>
    <n v="0"/>
    <n v="0"/>
    <n v="0"/>
    <s v="0"/>
    <n v="0"/>
  </r>
  <r>
    <x v="102"/>
    <x v="1"/>
    <n v="1"/>
    <n v="1.3299999999999999E-2"/>
    <n v="1"/>
    <n v="9.5999999999999992E-3"/>
    <n v="0"/>
    <n v="0"/>
    <n v="0"/>
    <n v="0"/>
    <s v="0"/>
    <n v="0"/>
  </r>
  <r>
    <x v="102"/>
    <x v="0"/>
    <n v="51"/>
    <n v="0.68"/>
    <n v="72"/>
    <n v="0.69230000000000003"/>
    <n v="0.99"/>
    <n v="11"/>
    <n v="0.2157"/>
    <n v="126.39"/>
    <s v="11"/>
    <n v="0.21568627450980399"/>
  </r>
  <r>
    <x v="102"/>
    <x v="3"/>
    <n v="22"/>
    <n v="0.29330000000000001"/>
    <n v="30"/>
    <n v="0.28849999999999998"/>
    <n v="1"/>
    <n v="4"/>
    <n v="0.18179999999999999"/>
    <n v="78.64"/>
    <s v="4"/>
    <n v="0.18181818181818199"/>
  </r>
  <r>
    <x v="103"/>
    <x v="4"/>
    <n v="1"/>
    <n v="1.23E-2"/>
    <n v="1"/>
    <n v="9.1000000000000004E-3"/>
    <n v="1"/>
    <n v="0"/>
    <n v="0"/>
    <n v="0"/>
    <s v="0"/>
    <n v="0"/>
  </r>
  <r>
    <x v="103"/>
    <x v="2"/>
    <n v="5"/>
    <n v="6.1699999999999998E-2"/>
    <n v="8"/>
    <n v="7.2700000000000001E-2"/>
    <n v="1"/>
    <n v="0"/>
    <n v="0"/>
    <n v="0"/>
    <s v="0"/>
    <n v="0"/>
  </r>
  <r>
    <x v="103"/>
    <x v="1"/>
    <n v="3"/>
    <n v="3.6999999999999998E-2"/>
    <n v="3"/>
    <n v="2.7300000000000001E-2"/>
    <n v="1"/>
    <n v="0"/>
    <n v="0"/>
    <n v="0"/>
    <s v="0"/>
    <n v="0"/>
  </r>
  <r>
    <x v="103"/>
    <x v="3"/>
    <n v="23"/>
    <n v="0.28399999999999997"/>
    <n v="31"/>
    <n v="0.28179999999999999"/>
    <n v="0.97"/>
    <n v="2"/>
    <n v="8.6999999999999994E-2"/>
    <n v="39.32"/>
    <s v="2"/>
    <n v="8.6956521739130405E-2"/>
  </r>
  <r>
    <x v="103"/>
    <x v="0"/>
    <n v="49"/>
    <n v="0.60489999999999999"/>
    <n v="67"/>
    <n v="0.60909999999999997"/>
    <n v="1"/>
    <n v="6"/>
    <n v="0.12239999999999999"/>
    <n v="68.94"/>
    <s v="6"/>
    <n v="0.122448979591837"/>
  </r>
  <r>
    <x v="104"/>
    <x v="4"/>
    <n v="2"/>
    <n v="2.1100000000000001E-2"/>
    <n v="2"/>
    <n v="1.44E-2"/>
    <n v="1"/>
    <n v="0"/>
    <n v="0"/>
    <n v="0"/>
    <s v="0"/>
    <n v="0"/>
  </r>
  <r>
    <x v="104"/>
    <x v="3"/>
    <n v="30"/>
    <n v="0.31580000000000003"/>
    <n v="44"/>
    <n v="0.3165"/>
    <n v="1"/>
    <n v="0"/>
    <n v="0"/>
    <n v="0"/>
    <s v="0"/>
    <n v="0"/>
  </r>
  <r>
    <x v="104"/>
    <x v="0"/>
    <n v="62"/>
    <n v="0.65259999999999996"/>
    <n v="92"/>
    <n v="0.66190000000000004"/>
    <n v="0.99"/>
    <n v="16"/>
    <n v="0.2581"/>
    <n v="183.84"/>
    <s v="13"/>
    <n v="0.209677419354839"/>
  </r>
  <r>
    <x v="104"/>
    <x v="2"/>
    <n v="1"/>
    <n v="1.0500000000000001E-2"/>
    <n v="1"/>
    <n v="7.1999999999999998E-3"/>
    <n v="1"/>
    <n v="1"/>
    <n v="1"/>
    <n v="14.99"/>
    <s v="1"/>
    <n v="1"/>
  </r>
  <r>
    <x v="105"/>
    <x v="2"/>
    <n v="1"/>
    <n v="1.2999999999999999E-2"/>
    <n v="1"/>
    <n v="8.0999999999999996E-3"/>
    <n v="1"/>
    <n v="0"/>
    <n v="0"/>
    <n v="0"/>
    <s v="0"/>
    <n v="0"/>
  </r>
  <r>
    <x v="105"/>
    <x v="1"/>
    <n v="1"/>
    <n v="1.2999999999999999E-2"/>
    <n v="3"/>
    <n v="2.4400000000000002E-2"/>
    <n v="0.67"/>
    <n v="0"/>
    <n v="0"/>
    <n v="0"/>
    <s v="0"/>
    <n v="0"/>
  </r>
  <r>
    <x v="105"/>
    <x v="0"/>
    <n v="49"/>
    <n v="0.63639999999999997"/>
    <n v="76"/>
    <n v="0.6179"/>
    <n v="0.99"/>
    <n v="5"/>
    <n v="0.10199999999999999"/>
    <n v="57.45"/>
    <s v="3"/>
    <n v="6.1224489795918401E-2"/>
  </r>
  <r>
    <x v="105"/>
    <x v="3"/>
    <n v="26"/>
    <n v="0.3377"/>
    <n v="43"/>
    <n v="0.34960000000000002"/>
    <n v="0.98"/>
    <n v="1"/>
    <n v="3.85E-2"/>
    <n v="19.66"/>
    <s v="1"/>
    <n v="3.8461538461538498E-2"/>
  </r>
  <r>
    <x v="106"/>
    <x v="2"/>
    <n v="2"/>
    <n v="2.9399999999999999E-2"/>
    <n v="3"/>
    <n v="2.8799999999999999E-2"/>
    <n v="1"/>
    <n v="0"/>
    <n v="0"/>
    <n v="0"/>
    <s v="0"/>
    <n v="0"/>
  </r>
  <r>
    <x v="106"/>
    <x v="3"/>
    <n v="18"/>
    <n v="0.26469999999999999"/>
    <n v="22"/>
    <n v="0.21149999999999999"/>
    <n v="1"/>
    <n v="0"/>
    <n v="0"/>
    <n v="0"/>
    <s v="0"/>
    <n v="0"/>
  </r>
  <r>
    <x v="106"/>
    <x v="0"/>
    <n v="48"/>
    <n v="0.70589999999999997"/>
    <n v="79"/>
    <n v="0.75960000000000005"/>
    <n v="0.99"/>
    <n v="5"/>
    <n v="0.1042"/>
    <n v="57.45"/>
    <s v="5"/>
    <n v="0.104166666666667"/>
  </r>
  <r>
    <x v="107"/>
    <x v="2"/>
    <n v="3"/>
    <n v="4.2299999999999997E-2"/>
    <n v="3"/>
    <n v="3.0599999999999999E-2"/>
    <n v="1"/>
    <n v="0"/>
    <n v="0"/>
    <n v="0"/>
    <s v="0"/>
    <n v="0"/>
  </r>
  <r>
    <x v="107"/>
    <x v="1"/>
    <n v="1"/>
    <n v="1.41E-2"/>
    <n v="1"/>
    <n v="1.0200000000000001E-2"/>
    <n v="0"/>
    <n v="0"/>
    <n v="0"/>
    <n v="0"/>
    <s v="0"/>
    <n v="0"/>
  </r>
  <r>
    <x v="107"/>
    <x v="3"/>
    <n v="23"/>
    <n v="0.32390000000000002"/>
    <n v="32"/>
    <n v="0.32650000000000001"/>
    <n v="1"/>
    <n v="2"/>
    <n v="8.6999999999999994E-2"/>
    <n v="39.32"/>
    <s v="1"/>
    <n v="4.3478260869565202E-2"/>
  </r>
  <r>
    <x v="107"/>
    <x v="0"/>
    <n v="44"/>
    <n v="0.61970000000000003"/>
    <n v="62"/>
    <n v="0.63270000000000004"/>
    <n v="1"/>
    <n v="17"/>
    <n v="0.38640000000000002"/>
    <n v="195.33"/>
    <s v="10"/>
    <n v="0.22727272727272699"/>
  </r>
  <r>
    <x v="108"/>
    <x v="2"/>
    <n v="2"/>
    <n v="2.6700000000000002E-2"/>
    <n v="4"/>
    <n v="0.04"/>
    <n v="1"/>
    <n v="0"/>
    <n v="0"/>
    <n v="0"/>
    <s v="0"/>
    <n v="0"/>
  </r>
  <r>
    <x v="108"/>
    <x v="1"/>
    <n v="2"/>
    <n v="2.6700000000000002E-2"/>
    <n v="2"/>
    <n v="0.02"/>
    <n v="1"/>
    <n v="0"/>
    <n v="0"/>
    <n v="0"/>
    <s v="0"/>
    <n v="0"/>
  </r>
  <r>
    <x v="108"/>
    <x v="3"/>
    <n v="20"/>
    <n v="0.26669999999999999"/>
    <n v="26"/>
    <n v="0.26"/>
    <n v="1"/>
    <n v="0"/>
    <n v="0"/>
    <n v="0"/>
    <s v="0"/>
    <n v="0"/>
  </r>
  <r>
    <x v="108"/>
    <x v="0"/>
    <n v="51"/>
    <n v="0.68"/>
    <n v="68"/>
    <n v="0.68"/>
    <n v="1"/>
    <n v="9"/>
    <n v="0.17649999999999999"/>
    <n v="103.41"/>
    <s v="8"/>
    <n v="0.15686274509803899"/>
  </r>
  <r>
    <x v="109"/>
    <x v="2"/>
    <n v="2"/>
    <n v="2.53E-2"/>
    <n v="3"/>
    <n v="2.6100000000000002E-2"/>
    <n v="1"/>
    <n v="0"/>
    <n v="0"/>
    <n v="0"/>
    <s v="0"/>
    <n v="0"/>
  </r>
  <r>
    <x v="109"/>
    <x v="0"/>
    <n v="50"/>
    <n v="0.63290000000000002"/>
    <n v="75"/>
    <n v="0.6522"/>
    <n v="1"/>
    <n v="16"/>
    <n v="0.32"/>
    <n v="183.84"/>
    <s v="11"/>
    <n v="0.22"/>
  </r>
  <r>
    <x v="109"/>
    <x v="3"/>
    <n v="27"/>
    <n v="0.34179999999999999"/>
    <n v="37"/>
    <n v="0.32169999999999999"/>
    <n v="1"/>
    <n v="1"/>
    <n v="3.6999999999999998E-2"/>
    <n v="19.66"/>
    <s v="1"/>
    <n v="3.7037037037037E-2"/>
  </r>
  <r>
    <x v="110"/>
    <x v="2"/>
    <n v="4"/>
    <n v="4.0800000000000003E-2"/>
    <n v="5"/>
    <n v="3.27E-2"/>
    <n v="1"/>
    <n v="0"/>
    <n v="0"/>
    <n v="0"/>
    <s v="0"/>
    <n v="0"/>
  </r>
  <r>
    <x v="110"/>
    <x v="4"/>
    <n v="3"/>
    <n v="3.0599999999999999E-2"/>
    <n v="4"/>
    <n v="2.6100000000000002E-2"/>
    <n v="1"/>
    <n v="0"/>
    <n v="0"/>
    <n v="0"/>
    <s v="0"/>
    <n v="0"/>
  </r>
  <r>
    <x v="110"/>
    <x v="1"/>
    <n v="2"/>
    <n v="2.0400000000000001E-2"/>
    <n v="2"/>
    <n v="1.3100000000000001E-2"/>
    <n v="0"/>
    <n v="0"/>
    <n v="0"/>
    <n v="0"/>
    <s v="0"/>
    <n v="0"/>
  </r>
  <r>
    <x v="110"/>
    <x v="0"/>
    <n v="58"/>
    <n v="0.59179999999999999"/>
    <n v="94"/>
    <n v="0.61439999999999995"/>
    <n v="0.99"/>
    <n v="13"/>
    <n v="0.22409999999999999"/>
    <n v="149.37"/>
    <s v="9"/>
    <n v="0.15517241379310301"/>
  </r>
  <r>
    <x v="110"/>
    <x v="3"/>
    <n v="31"/>
    <n v="0.31630000000000003"/>
    <n v="48"/>
    <n v="0.31369999999999998"/>
    <n v="1"/>
    <n v="2"/>
    <n v="6.4500000000000002E-2"/>
    <n v="45.32"/>
    <s v="2"/>
    <n v="6.4516129032258104E-2"/>
  </r>
  <r>
    <x v="111"/>
    <x v="4"/>
    <n v="1"/>
    <n v="9.1999999999999998E-3"/>
    <n v="1"/>
    <n v="6.7000000000000002E-3"/>
    <n v="1"/>
    <n v="0"/>
    <n v="0"/>
    <n v="0"/>
    <s v="0"/>
    <n v="0"/>
  </r>
  <r>
    <x v="111"/>
    <x v="1"/>
    <n v="2"/>
    <n v="1.83E-2"/>
    <n v="2"/>
    <n v="1.34E-2"/>
    <n v="1"/>
    <n v="0"/>
    <n v="0"/>
    <n v="0"/>
    <s v="0"/>
    <n v="0"/>
  </r>
  <r>
    <x v="111"/>
    <x v="0"/>
    <n v="60"/>
    <n v="0.55049999999999999"/>
    <n v="85"/>
    <n v="0.57050000000000001"/>
    <n v="0.98"/>
    <n v="13"/>
    <n v="0.2167"/>
    <n v="149.37"/>
    <s v="12"/>
    <n v="0.2"/>
  </r>
  <r>
    <x v="111"/>
    <x v="3"/>
    <n v="38"/>
    <n v="0.34860000000000002"/>
    <n v="52"/>
    <n v="0.34899999999999998"/>
    <n v="0.94"/>
    <n v="1"/>
    <n v="2.63E-2"/>
    <n v="22.66"/>
    <s v="1"/>
    <n v="2.6315789473684199E-2"/>
  </r>
  <r>
    <x v="111"/>
    <x v="2"/>
    <n v="8"/>
    <n v="7.3400000000000007E-2"/>
    <n v="9"/>
    <n v="6.0400000000000002E-2"/>
    <n v="1"/>
    <n v="2"/>
    <n v="0.25"/>
    <n v="29.98"/>
    <s v="1"/>
    <n v="0.125"/>
  </r>
  <r>
    <x v="112"/>
    <x v="1"/>
    <n v="2"/>
    <n v="1.7899999999999999E-2"/>
    <n v="2"/>
    <n v="1.2500000000000001E-2"/>
    <n v="1"/>
    <n v="0"/>
    <n v="0"/>
    <n v="0"/>
    <s v="0"/>
    <n v="0"/>
  </r>
  <r>
    <x v="112"/>
    <x v="4"/>
    <n v="4"/>
    <n v="3.5700000000000003E-2"/>
    <n v="5"/>
    <n v="3.1300000000000001E-2"/>
    <n v="1"/>
    <n v="0"/>
    <n v="0"/>
    <n v="0"/>
    <s v="0"/>
    <n v="0"/>
  </r>
  <r>
    <x v="112"/>
    <x v="0"/>
    <n v="66"/>
    <n v="0.58930000000000005"/>
    <n v="99"/>
    <n v="0.61880000000000002"/>
    <n v="0.95"/>
    <n v="36"/>
    <n v="0.54549999999999998"/>
    <n v="413.64"/>
    <s v="16"/>
    <n v="0.24242424242424199"/>
  </r>
  <r>
    <x v="112"/>
    <x v="3"/>
    <n v="34"/>
    <n v="0.30359999999999998"/>
    <n v="48"/>
    <n v="0.3"/>
    <n v="1"/>
    <n v="2"/>
    <n v="5.8799999999999998E-2"/>
    <n v="45.32"/>
    <s v="2"/>
    <n v="5.8823529411764698E-2"/>
  </r>
  <r>
    <x v="112"/>
    <x v="2"/>
    <n v="6"/>
    <n v="5.3600000000000002E-2"/>
    <n v="6"/>
    <n v="3.7499999999999999E-2"/>
    <n v="1"/>
    <n v="2"/>
    <n v="0.33329999999999999"/>
    <n v="29.98"/>
    <s v="2"/>
    <n v="0.33333333333333298"/>
  </r>
  <r>
    <x v="113"/>
    <x v="1"/>
    <n v="1"/>
    <n v="8.9999999999999993E-3"/>
    <n v="1"/>
    <n v="6.7999999999999996E-3"/>
    <n v="1"/>
    <n v="0"/>
    <n v="0"/>
    <n v="0"/>
    <s v="0"/>
    <n v="0"/>
  </r>
  <r>
    <x v="113"/>
    <x v="4"/>
    <n v="9"/>
    <n v="8.1100000000000005E-2"/>
    <n v="10"/>
    <n v="6.8500000000000005E-2"/>
    <n v="1"/>
    <n v="0"/>
    <n v="0"/>
    <n v="0"/>
    <s v="0"/>
    <n v="0"/>
  </r>
  <r>
    <x v="113"/>
    <x v="2"/>
    <n v="4"/>
    <n v="3.5999999999999997E-2"/>
    <n v="6"/>
    <n v="4.1099999999999998E-2"/>
    <n v="1"/>
    <n v="0"/>
    <n v="0"/>
    <n v="0"/>
    <s v="0"/>
    <n v="0"/>
  </r>
  <r>
    <x v="113"/>
    <x v="3"/>
    <n v="33"/>
    <n v="0.29730000000000001"/>
    <n v="44"/>
    <n v="0.3014"/>
    <n v="1"/>
    <n v="4"/>
    <n v="0.1212"/>
    <n v="90.64"/>
    <s v="4"/>
    <n v="0.12121212121212099"/>
  </r>
  <r>
    <x v="113"/>
    <x v="0"/>
    <n v="64"/>
    <n v="0.5766"/>
    <n v="85"/>
    <n v="0.58220000000000005"/>
    <n v="1"/>
    <n v="10"/>
    <n v="0.15629999999999999"/>
    <n v="114.9"/>
    <s v="9"/>
    <n v="0.140625"/>
  </r>
  <r>
    <x v="114"/>
    <x v="1"/>
    <n v="2"/>
    <n v="0.02"/>
    <n v="2"/>
    <n v="1.43E-2"/>
    <n v="1"/>
    <n v="0"/>
    <n v="0"/>
    <n v="0"/>
    <s v="0"/>
    <n v="0"/>
  </r>
  <r>
    <x v="114"/>
    <x v="4"/>
    <n v="3"/>
    <n v="0.03"/>
    <n v="3"/>
    <n v="2.1399999999999999E-2"/>
    <n v="1"/>
    <n v="0"/>
    <n v="0"/>
    <n v="0"/>
    <s v="0"/>
    <n v="0"/>
  </r>
  <r>
    <x v="114"/>
    <x v="3"/>
    <n v="32"/>
    <n v="0.32"/>
    <n v="49"/>
    <n v="0.35"/>
    <n v="1"/>
    <n v="2"/>
    <n v="6.25E-2"/>
    <n v="45.32"/>
    <s v="2"/>
    <n v="6.25E-2"/>
  </r>
  <r>
    <x v="114"/>
    <x v="0"/>
    <n v="58"/>
    <n v="0.57999999999999996"/>
    <n v="80"/>
    <n v="0.57140000000000002"/>
    <n v="1"/>
    <n v="12"/>
    <n v="0.2069"/>
    <n v="137.88"/>
    <s v="9"/>
    <n v="0.15517241379310301"/>
  </r>
  <r>
    <x v="114"/>
    <x v="2"/>
    <n v="5"/>
    <n v="0.05"/>
    <n v="6"/>
    <n v="4.2900000000000001E-2"/>
    <n v="1"/>
    <n v="1"/>
    <n v="0.2"/>
    <n v="15.99"/>
    <s v="1"/>
    <n v="0.2"/>
  </r>
  <r>
    <x v="115"/>
    <x v="4"/>
    <n v="2"/>
    <n v="2.4400000000000002E-2"/>
    <n v="2"/>
    <n v="1.7999999999999999E-2"/>
    <n v="1"/>
    <n v="0"/>
    <n v="0"/>
    <n v="0"/>
    <s v="0"/>
    <n v="0"/>
  </r>
  <r>
    <x v="115"/>
    <x v="1"/>
    <n v="3"/>
    <n v="3.6600000000000001E-2"/>
    <n v="5"/>
    <n v="4.4999999999999998E-2"/>
    <n v="0.8"/>
    <n v="0"/>
    <n v="0"/>
    <n v="0"/>
    <s v="0"/>
    <n v="0"/>
  </r>
  <r>
    <x v="115"/>
    <x v="0"/>
    <n v="47"/>
    <n v="0.57320000000000004"/>
    <n v="66"/>
    <n v="0.59460000000000002"/>
    <n v="0.98"/>
    <n v="12"/>
    <n v="0.25530000000000003"/>
    <n v="137.88"/>
    <s v="10"/>
    <n v="0.21276595744680801"/>
  </r>
  <r>
    <x v="115"/>
    <x v="3"/>
    <n v="26"/>
    <n v="0.31709999999999999"/>
    <n v="32"/>
    <n v="0.2883"/>
    <n v="1"/>
    <n v="1"/>
    <n v="3.85E-2"/>
    <n v="22.66"/>
    <s v="1"/>
    <n v="3.8461538461538498E-2"/>
  </r>
  <r>
    <x v="115"/>
    <x v="2"/>
    <n v="4"/>
    <n v="4.8800000000000003E-2"/>
    <n v="6"/>
    <n v="5.4100000000000002E-2"/>
    <n v="1"/>
    <n v="1"/>
    <n v="0.25"/>
    <n v="15.99"/>
    <s v="1"/>
    <n v="0.25"/>
  </r>
  <r>
    <x v="116"/>
    <x v="4"/>
    <n v="2"/>
    <n v="1.9199999999999998E-2"/>
    <n v="2"/>
    <n v="1.32E-2"/>
    <n v="1"/>
    <n v="0"/>
    <n v="0"/>
    <n v="0"/>
    <s v="0"/>
    <n v="0"/>
  </r>
  <r>
    <x v="116"/>
    <x v="2"/>
    <n v="8"/>
    <n v="7.6899999999999996E-2"/>
    <n v="11"/>
    <n v="7.2400000000000006E-2"/>
    <n v="1"/>
    <n v="0"/>
    <n v="0"/>
    <n v="0"/>
    <s v="0"/>
    <n v="0"/>
  </r>
  <r>
    <x v="116"/>
    <x v="3"/>
    <n v="33"/>
    <n v="0.31730000000000003"/>
    <n v="51"/>
    <n v="0.33550000000000002"/>
    <n v="0.9"/>
    <n v="3"/>
    <n v="9.0899999999999995E-2"/>
    <n v="67.98"/>
    <s v="3"/>
    <n v="9.0909090909090898E-2"/>
  </r>
  <r>
    <x v="116"/>
    <x v="0"/>
    <n v="61"/>
    <n v="0.58650000000000002"/>
    <n v="88"/>
    <n v="0.57889999999999997"/>
    <n v="1"/>
    <n v="13"/>
    <n v="0.21310000000000001"/>
    <n v="149.37"/>
    <s v="12"/>
    <n v="0.19672131147541"/>
  </r>
  <r>
    <x v="117"/>
    <x v="4"/>
    <n v="1"/>
    <n v="9.7000000000000003E-3"/>
    <n v="1"/>
    <n v="6.7000000000000002E-3"/>
    <n v="1"/>
    <n v="0"/>
    <n v="0"/>
    <n v="0"/>
    <s v="0"/>
    <n v="0"/>
  </r>
  <r>
    <x v="117"/>
    <x v="1"/>
    <n v="3"/>
    <n v="2.9100000000000001E-2"/>
    <n v="3"/>
    <n v="2.01E-2"/>
    <n v="1"/>
    <n v="0"/>
    <n v="0"/>
    <n v="0"/>
    <s v="0"/>
    <n v="0"/>
  </r>
  <r>
    <x v="117"/>
    <x v="2"/>
    <n v="7"/>
    <n v="6.8000000000000005E-2"/>
    <n v="11"/>
    <n v="7.3800000000000004E-2"/>
    <n v="0.91"/>
    <n v="0"/>
    <n v="0"/>
    <n v="0"/>
    <s v="0"/>
    <n v="0"/>
  </r>
  <r>
    <x v="117"/>
    <x v="0"/>
    <n v="63"/>
    <n v="0.61170000000000002"/>
    <n v="86"/>
    <n v="0.57720000000000005"/>
    <n v="0.99"/>
    <n v="6"/>
    <n v="9.5200000000000007E-2"/>
    <n v="68.94"/>
    <s v="6"/>
    <n v="9.5238095238095205E-2"/>
  </r>
  <r>
    <x v="117"/>
    <x v="3"/>
    <n v="29"/>
    <n v="0.28160000000000002"/>
    <n v="48"/>
    <n v="0.3221"/>
    <n v="1"/>
    <n v="3"/>
    <n v="0.10340000000000001"/>
    <n v="67.98"/>
    <s v="3"/>
    <n v="0.10344827586206901"/>
  </r>
  <r>
    <x v="118"/>
    <x v="4"/>
    <n v="2"/>
    <n v="1.8200000000000001E-2"/>
    <n v="2"/>
    <n v="1.37E-2"/>
    <n v="1"/>
    <n v="0"/>
    <n v="0"/>
    <n v="0"/>
    <s v="0"/>
    <n v="0"/>
  </r>
  <r>
    <x v="118"/>
    <x v="1"/>
    <n v="4"/>
    <n v="3.6400000000000002E-2"/>
    <n v="9"/>
    <n v="6.1600000000000002E-2"/>
    <n v="0.78"/>
    <n v="0"/>
    <n v="0"/>
    <n v="0"/>
    <s v="0"/>
    <n v="0"/>
  </r>
  <r>
    <x v="118"/>
    <x v="2"/>
    <n v="7"/>
    <n v="6.3600000000000004E-2"/>
    <n v="8"/>
    <n v="5.4800000000000001E-2"/>
    <n v="1"/>
    <n v="2"/>
    <n v="0.28570000000000001"/>
    <n v="31.98"/>
    <s v="2"/>
    <n v="0.28571428571428598"/>
  </r>
  <r>
    <x v="118"/>
    <x v="0"/>
    <n v="73"/>
    <n v="0.66359999999999997"/>
    <n v="98"/>
    <n v="0.67120000000000002"/>
    <n v="1"/>
    <n v="9"/>
    <n v="0.12330000000000001"/>
    <n v="103.41"/>
    <s v="8"/>
    <n v="0.10958904109589"/>
  </r>
  <r>
    <x v="118"/>
    <x v="3"/>
    <n v="24"/>
    <n v="0.21820000000000001"/>
    <n v="29"/>
    <n v="0.1986"/>
    <n v="1"/>
    <n v="1"/>
    <n v="4.1700000000000001E-2"/>
    <n v="22.66"/>
    <s v="1"/>
    <n v="4.1666666666666699E-2"/>
  </r>
  <r>
    <x v="119"/>
    <x v="1"/>
    <n v="2"/>
    <n v="1.8700000000000001E-2"/>
    <n v="4"/>
    <n v="2.76E-2"/>
    <n v="1"/>
    <n v="0"/>
    <n v="0"/>
    <n v="0"/>
    <s v="0"/>
    <n v="0"/>
  </r>
  <r>
    <x v="119"/>
    <x v="4"/>
    <n v="4"/>
    <n v="3.7400000000000003E-2"/>
    <n v="5"/>
    <n v="3.4500000000000003E-2"/>
    <n v="1"/>
    <n v="0"/>
    <n v="0"/>
    <n v="0"/>
    <s v="0"/>
    <n v="0"/>
  </r>
  <r>
    <x v="119"/>
    <x v="5"/>
    <n v="1"/>
    <n v="9.2999999999999992E-3"/>
    <n v="3"/>
    <n v="2.07E-2"/>
    <n v="0.33"/>
    <n v="0"/>
    <n v="0"/>
    <n v="0"/>
    <s v="0"/>
    <n v="0"/>
  </r>
  <r>
    <x v="119"/>
    <x v="0"/>
    <n v="70"/>
    <n v="0.6542"/>
    <n v="94"/>
    <n v="0.64829999999999999"/>
    <n v="0.99"/>
    <n v="18"/>
    <n v="0.2571"/>
    <n v="206.82"/>
    <s v="17"/>
    <n v="0.24285714285714299"/>
  </r>
  <r>
    <x v="119"/>
    <x v="3"/>
    <n v="18"/>
    <n v="0.16819999999999999"/>
    <n v="21"/>
    <n v="0.14480000000000001"/>
    <n v="0.9"/>
    <n v="1"/>
    <n v="5.5599999999999997E-2"/>
    <n v="22.66"/>
    <s v="1"/>
    <n v="5.5555555555555601E-2"/>
  </r>
  <r>
    <x v="119"/>
    <x v="2"/>
    <n v="12"/>
    <n v="0.11210000000000001"/>
    <n v="18"/>
    <n v="0.1241"/>
    <n v="1"/>
    <n v="1"/>
    <n v="8.3299999999999999E-2"/>
    <n v="15.99"/>
    <s v="1"/>
    <n v="8.3333333333333301E-2"/>
  </r>
  <r>
    <x v="120"/>
    <x v="6"/>
    <n v="1"/>
    <n v="6.6E-3"/>
    <n v="1"/>
    <n v="4.7000000000000002E-3"/>
    <n v="1"/>
    <n v="0"/>
    <n v="0"/>
    <n v="0"/>
    <s v="0"/>
    <n v="0"/>
  </r>
  <r>
    <x v="120"/>
    <x v="5"/>
    <n v="2"/>
    <n v="1.32E-2"/>
    <n v="2"/>
    <n v="9.4000000000000004E-3"/>
    <n v="1"/>
    <n v="0"/>
    <n v="0"/>
    <n v="0"/>
    <s v="0"/>
    <n v="0"/>
  </r>
  <r>
    <x v="120"/>
    <x v="1"/>
    <n v="6"/>
    <n v="3.95E-2"/>
    <n v="7"/>
    <n v="3.2899999999999999E-2"/>
    <n v="1"/>
    <n v="0"/>
    <n v="0"/>
    <n v="0"/>
    <s v="0"/>
    <n v="0"/>
  </r>
  <r>
    <x v="120"/>
    <x v="4"/>
    <n v="4"/>
    <n v="2.63E-2"/>
    <n v="5"/>
    <n v="2.35E-2"/>
    <n v="1"/>
    <n v="0"/>
    <n v="0"/>
    <n v="0"/>
    <s v="0"/>
    <n v="0"/>
  </r>
  <r>
    <x v="120"/>
    <x v="3"/>
    <n v="36"/>
    <n v="0.23680000000000001"/>
    <n v="43"/>
    <n v="0.2019"/>
    <n v="1"/>
    <n v="23"/>
    <n v="0.63890000000000002"/>
    <n v="521.78"/>
    <s v="4"/>
    <n v="0.11111111111111099"/>
  </r>
  <r>
    <x v="120"/>
    <x v="2"/>
    <n v="23"/>
    <n v="0.15129999999999999"/>
    <n v="41"/>
    <n v="0.1925"/>
    <n v="1"/>
    <n v="4"/>
    <n v="0.1739"/>
    <n v="63.96"/>
    <s v="3"/>
    <n v="0.13043478260869601"/>
  </r>
  <r>
    <x v="120"/>
    <x v="0"/>
    <n v="80"/>
    <n v="0.52629999999999999"/>
    <n v="114"/>
    <n v="0.53520000000000001"/>
    <n v="1"/>
    <n v="15"/>
    <n v="0.1875"/>
    <n v="174.9"/>
    <s v="10"/>
    <n v="0.125"/>
  </r>
  <r>
    <x v="121"/>
    <x v="6"/>
    <n v="1"/>
    <n v="1.0999999999999999E-2"/>
    <n v="1"/>
    <n v="7.6E-3"/>
    <n v="1"/>
    <n v="0"/>
    <n v="0"/>
    <n v="0"/>
    <s v="0"/>
    <n v="0"/>
  </r>
  <r>
    <x v="121"/>
    <x v="3"/>
    <n v="15"/>
    <n v="0.1648"/>
    <n v="19"/>
    <n v="0.14499999999999999"/>
    <n v="0.95"/>
    <n v="18"/>
    <n v="1.2"/>
    <n v="411.48"/>
    <s v="4"/>
    <n v="0.266666666666667"/>
  </r>
  <r>
    <x v="121"/>
    <x v="1"/>
    <n v="4"/>
    <n v="4.3999999999999997E-2"/>
    <n v="7"/>
    <n v="5.3400000000000003E-2"/>
    <n v="0.86"/>
    <n v="1"/>
    <n v="0.25"/>
    <n v="14.99"/>
    <s v="1"/>
    <n v="0.25"/>
  </r>
  <r>
    <x v="121"/>
    <x v="0"/>
    <n v="53"/>
    <n v="0.58240000000000003"/>
    <n v="79"/>
    <n v="0.60309999999999997"/>
    <n v="1"/>
    <n v="13"/>
    <n v="0.24529999999999999"/>
    <n v="151.58000000000001"/>
    <s v="13"/>
    <n v="0.245283018867925"/>
  </r>
  <r>
    <x v="121"/>
    <x v="2"/>
    <n v="18"/>
    <n v="0.1978"/>
    <n v="25"/>
    <n v="0.1908"/>
    <n v="1"/>
    <n v="1"/>
    <n v="5.5599999999999997E-2"/>
    <n v="15.99"/>
    <s v="1"/>
    <n v="5.5555555555555601E-2"/>
  </r>
  <r>
    <x v="122"/>
    <x v="4"/>
    <n v="1"/>
    <n v="1.52E-2"/>
    <n v="1"/>
    <n v="1.12E-2"/>
    <n v="1"/>
    <n v="0"/>
    <n v="0"/>
    <n v="0"/>
    <s v="0"/>
    <n v="0"/>
  </r>
  <r>
    <x v="122"/>
    <x v="3"/>
    <n v="23"/>
    <n v="0.34849999999999998"/>
    <n v="33"/>
    <n v="0.37080000000000002"/>
    <n v="1"/>
    <n v="3"/>
    <n v="0.13039999999999999"/>
    <n v="68.58"/>
    <s v="3"/>
    <n v="0.13043478260869601"/>
  </r>
  <r>
    <x v="122"/>
    <x v="2"/>
    <n v="16"/>
    <n v="0.2424"/>
    <n v="18"/>
    <n v="0.20219999999999999"/>
    <n v="1"/>
    <n v="2"/>
    <n v="0.125"/>
    <n v="31.98"/>
    <s v="2"/>
    <n v="0.125"/>
  </r>
  <r>
    <x v="122"/>
    <x v="0"/>
    <n v="26"/>
    <n v="0.39389999999999997"/>
    <n v="37"/>
    <n v="0.41570000000000001"/>
    <n v="1"/>
    <n v="12"/>
    <n v="0.46150000000000002"/>
    <n v="139.91999999999999"/>
    <s v="11"/>
    <n v="0.42307692307692302"/>
  </r>
  <r>
    <x v="123"/>
    <x v="5"/>
    <n v="1"/>
    <n v="1.32E-2"/>
    <n v="1"/>
    <n v="8.6E-3"/>
    <n v="1"/>
    <n v="0"/>
    <n v="0"/>
    <n v="0"/>
    <s v="0"/>
    <n v="0"/>
  </r>
  <r>
    <x v="123"/>
    <x v="6"/>
    <n v="1"/>
    <n v="1.32E-2"/>
    <n v="2"/>
    <n v="1.72E-2"/>
    <n v="1"/>
    <n v="0"/>
    <n v="0"/>
    <n v="0"/>
    <s v="0"/>
    <n v="0"/>
  </r>
  <r>
    <x v="123"/>
    <x v="1"/>
    <n v="3"/>
    <n v="3.95E-2"/>
    <n v="5"/>
    <n v="4.3099999999999999E-2"/>
    <n v="1"/>
    <n v="0"/>
    <n v="0"/>
    <n v="0"/>
    <s v="0"/>
    <n v="0"/>
  </r>
  <r>
    <x v="123"/>
    <x v="0"/>
    <n v="33"/>
    <n v="0.43419999999999997"/>
    <n v="56"/>
    <n v="0.48280000000000001"/>
    <n v="0.98"/>
    <n v="10"/>
    <n v="0.30299999999999999"/>
    <n v="116.82"/>
    <s v="9"/>
    <n v="0.27272727272727298"/>
  </r>
  <r>
    <x v="123"/>
    <x v="2"/>
    <n v="21"/>
    <n v="0.27629999999999999"/>
    <n v="27"/>
    <n v="0.23280000000000001"/>
    <n v="1"/>
    <n v="3"/>
    <n v="0.1429"/>
    <n v="47.97"/>
    <s v="3"/>
    <n v="0.14285714285714299"/>
  </r>
  <r>
    <x v="123"/>
    <x v="3"/>
    <n v="17"/>
    <n v="0.22370000000000001"/>
    <n v="25"/>
    <n v="0.2155"/>
    <n v="1"/>
    <n v="3"/>
    <n v="0.17649999999999999"/>
    <n v="68.58"/>
    <s v="3"/>
    <n v="0.17647058823529399"/>
  </r>
  <r>
    <x v="124"/>
    <x v="4"/>
    <n v="1"/>
    <n v="9.1000000000000004E-3"/>
    <n v="1"/>
    <n v="5.8999999999999999E-3"/>
    <n v="1"/>
    <n v="0"/>
    <n v="0"/>
    <n v="0"/>
    <s v="0"/>
    <n v="0"/>
  </r>
  <r>
    <x v="124"/>
    <x v="6"/>
    <n v="4"/>
    <n v="3.6400000000000002E-2"/>
    <n v="4"/>
    <n v="2.35E-2"/>
    <n v="1"/>
    <n v="0"/>
    <n v="0"/>
    <n v="0"/>
    <s v="0"/>
    <n v="0"/>
  </r>
  <r>
    <x v="124"/>
    <x v="1"/>
    <n v="4"/>
    <n v="3.6400000000000002E-2"/>
    <n v="9"/>
    <n v="5.2900000000000003E-2"/>
    <n v="1"/>
    <n v="0"/>
    <n v="0"/>
    <n v="0"/>
    <s v="0"/>
    <n v="0"/>
  </r>
  <r>
    <x v="124"/>
    <x v="2"/>
    <n v="20"/>
    <n v="0.18179999999999999"/>
    <n v="28"/>
    <n v="0.16470000000000001"/>
    <n v="1"/>
    <n v="3"/>
    <n v="0.15"/>
    <n v="47.97"/>
    <s v="3"/>
    <n v="0.15"/>
  </r>
  <r>
    <x v="124"/>
    <x v="0"/>
    <n v="44"/>
    <n v="0.4"/>
    <n v="73"/>
    <n v="0.4294"/>
    <n v="1"/>
    <n v="10"/>
    <n v="0.2273"/>
    <n v="118.8"/>
    <s v="9"/>
    <n v="0.204545454545455"/>
  </r>
  <r>
    <x v="124"/>
    <x v="3"/>
    <n v="29"/>
    <n v="0.2636"/>
    <n v="46"/>
    <n v="0.27060000000000001"/>
    <n v="1"/>
    <n v="1"/>
    <n v="3.4500000000000003E-2"/>
    <n v="22.98"/>
    <s v="1"/>
    <n v="3.4482758620689703E-2"/>
  </r>
  <r>
    <x v="124"/>
    <x v="5"/>
    <n v="8"/>
    <n v="7.2700000000000001E-2"/>
    <n v="9"/>
    <n v="5.2900000000000003E-2"/>
    <n v="1"/>
    <n v="1"/>
    <n v="0.125"/>
    <n v="12.99"/>
    <s v="1"/>
    <n v="0.125"/>
  </r>
  <r>
    <x v="125"/>
    <x v="4"/>
    <n v="1"/>
    <n v="7.4000000000000003E-3"/>
    <n v="1"/>
    <n v="5.1000000000000004E-3"/>
    <n v="1"/>
    <n v="0"/>
    <n v="0"/>
    <n v="0"/>
    <s v="0"/>
    <n v="0"/>
  </r>
  <r>
    <x v="125"/>
    <x v="5"/>
    <n v="15"/>
    <n v="0.1103"/>
    <n v="17"/>
    <n v="8.6699999999999999E-2"/>
    <n v="1"/>
    <n v="0"/>
    <n v="0"/>
    <n v="0"/>
    <s v="0"/>
    <n v="0"/>
  </r>
  <r>
    <x v="125"/>
    <x v="6"/>
    <n v="5"/>
    <n v="3.6799999999999999E-2"/>
    <n v="5"/>
    <n v="2.5499999999999998E-2"/>
    <n v="1"/>
    <n v="0"/>
    <n v="0"/>
    <n v="0"/>
    <s v="0"/>
    <n v="0"/>
  </r>
  <r>
    <x v="125"/>
    <x v="0"/>
    <n v="58"/>
    <n v="0.42649999999999999"/>
    <n v="91"/>
    <n v="0.46429999999999999"/>
    <n v="0.99"/>
    <n v="19"/>
    <n v="0.3276"/>
    <n v="225.72"/>
    <s v="10"/>
    <n v="0.17241379310344801"/>
  </r>
  <r>
    <x v="125"/>
    <x v="2"/>
    <n v="24"/>
    <n v="0.17649999999999999"/>
    <n v="38"/>
    <n v="0.19389999999999999"/>
    <n v="1"/>
    <n v="6"/>
    <n v="0.25"/>
    <n v="95.94"/>
    <s v="4"/>
    <n v="0.16666666666666699"/>
  </r>
  <r>
    <x v="125"/>
    <x v="3"/>
    <n v="25"/>
    <n v="0.18379999999999999"/>
    <n v="29"/>
    <n v="0.14799999999999999"/>
    <n v="1"/>
    <n v="3"/>
    <n v="0.12"/>
    <n v="68.94"/>
    <s v="3"/>
    <n v="0.12"/>
  </r>
  <r>
    <x v="125"/>
    <x v="1"/>
    <n v="8"/>
    <n v="5.8799999999999998E-2"/>
    <n v="15"/>
    <n v="7.6499999999999999E-2"/>
    <n v="1"/>
    <n v="1"/>
    <n v="0.125"/>
    <n v="14.99"/>
    <s v="1"/>
    <n v="0.125"/>
  </r>
  <r>
    <x v="126"/>
    <x v="1"/>
    <n v="4"/>
    <n v="2.9399999999999999E-2"/>
    <n v="9"/>
    <n v="4.5699999999999998E-2"/>
    <n v="1"/>
    <n v="0"/>
    <n v="0"/>
    <n v="0"/>
    <s v="0"/>
    <n v="0"/>
  </r>
  <r>
    <x v="126"/>
    <x v="6"/>
    <n v="3"/>
    <n v="2.2100000000000002E-2"/>
    <n v="3"/>
    <n v="1.52E-2"/>
    <n v="1"/>
    <n v="0"/>
    <n v="0"/>
    <n v="0"/>
    <s v="0"/>
    <n v="0"/>
  </r>
  <r>
    <x v="126"/>
    <x v="2"/>
    <n v="22"/>
    <n v="0.1618"/>
    <n v="32"/>
    <n v="0.16239999999999999"/>
    <n v="0.97"/>
    <n v="0"/>
    <n v="0"/>
    <n v="0"/>
    <s v="0"/>
    <n v="0"/>
  </r>
  <r>
    <x v="126"/>
    <x v="0"/>
    <n v="58"/>
    <n v="0.42649999999999999"/>
    <n v="88"/>
    <n v="0.44669999999999999"/>
    <n v="0.98"/>
    <n v="27"/>
    <n v="0.46550000000000002"/>
    <n v="329.23"/>
    <s v="12"/>
    <n v="0.20689655172413801"/>
  </r>
  <r>
    <x v="126"/>
    <x v="5"/>
    <n v="18"/>
    <n v="0.13239999999999999"/>
    <n v="23"/>
    <n v="0.1168"/>
    <n v="0.96"/>
    <n v="1"/>
    <n v="5.5599999999999997E-2"/>
    <n v="12.99"/>
    <s v="1"/>
    <n v="5.5555555555555601E-2"/>
  </r>
  <r>
    <x v="126"/>
    <x v="3"/>
    <n v="31"/>
    <n v="0.22789999999999999"/>
    <n v="42"/>
    <n v="0.2132"/>
    <n v="1"/>
    <n v="2"/>
    <n v="6.4500000000000002E-2"/>
    <n v="45.96"/>
    <s v="2"/>
    <n v="6.4516129032258104E-2"/>
  </r>
  <r>
    <x v="127"/>
    <x v="6"/>
    <n v="2"/>
    <n v="1.9400000000000001E-2"/>
    <n v="2"/>
    <n v="1.3899999999999999E-2"/>
    <n v="1"/>
    <n v="0"/>
    <n v="0"/>
    <n v="0"/>
    <s v="0"/>
    <n v="0"/>
  </r>
  <r>
    <x v="127"/>
    <x v="2"/>
    <n v="21"/>
    <n v="0.2039"/>
    <n v="26"/>
    <n v="0.18060000000000001"/>
    <n v="1"/>
    <n v="0"/>
    <n v="0"/>
    <n v="0"/>
    <s v="0"/>
    <n v="0"/>
  </r>
  <r>
    <x v="127"/>
    <x v="5"/>
    <n v="8"/>
    <n v="7.7700000000000005E-2"/>
    <n v="11"/>
    <n v="7.6399999999999996E-2"/>
    <n v="1"/>
    <n v="0"/>
    <n v="0"/>
    <n v="0"/>
    <s v="0"/>
    <n v="0"/>
  </r>
  <r>
    <x v="127"/>
    <x v="1"/>
    <n v="4"/>
    <n v="3.8800000000000001E-2"/>
    <n v="7"/>
    <n v="4.8599999999999997E-2"/>
    <n v="1"/>
    <n v="0"/>
    <n v="0"/>
    <n v="0"/>
    <s v="0"/>
    <n v="0"/>
  </r>
  <r>
    <x v="127"/>
    <x v="0"/>
    <n v="47"/>
    <n v="0.45629999999999998"/>
    <n v="72"/>
    <n v="0.5"/>
    <n v="0.99"/>
    <n v="9"/>
    <n v="0.1915"/>
    <n v="110.61"/>
    <s v="9"/>
    <n v="0.19148936170212799"/>
  </r>
  <r>
    <x v="127"/>
    <x v="3"/>
    <n v="21"/>
    <n v="0.2039"/>
    <n v="26"/>
    <n v="0.18060000000000001"/>
    <n v="1"/>
    <n v="2"/>
    <n v="9.5200000000000007E-2"/>
    <n v="46.38"/>
    <s v="2"/>
    <n v="9.5238095238095205E-2"/>
  </r>
  <r>
    <x v="128"/>
    <x v="6"/>
    <n v="3"/>
    <n v="2.4E-2"/>
    <n v="7"/>
    <n v="4.1399999999999999E-2"/>
    <n v="1"/>
    <n v="0"/>
    <n v="0"/>
    <n v="0"/>
    <s v="0"/>
    <n v="0"/>
  </r>
  <r>
    <x v="128"/>
    <x v="2"/>
    <n v="24"/>
    <n v="0.192"/>
    <n v="41"/>
    <n v="0.24260000000000001"/>
    <n v="1"/>
    <n v="3"/>
    <n v="0.125"/>
    <n v="47.97"/>
    <s v="3"/>
    <n v="0.125"/>
  </r>
  <r>
    <x v="128"/>
    <x v="3"/>
    <n v="21"/>
    <n v="0.16800000000000001"/>
    <n v="26"/>
    <n v="0.15379999999999999"/>
    <n v="1"/>
    <n v="3"/>
    <n v="0.1429"/>
    <n v="69.569999999999993"/>
    <s v="3"/>
    <n v="0.14285714285714299"/>
  </r>
  <r>
    <x v="128"/>
    <x v="0"/>
    <n v="46"/>
    <n v="0.36799999999999999"/>
    <n v="58"/>
    <n v="0.34320000000000001"/>
    <n v="1"/>
    <n v="11"/>
    <n v="0.23910000000000001"/>
    <n v="135.19"/>
    <s v="5"/>
    <n v="0.108695652173913"/>
  </r>
  <r>
    <x v="128"/>
    <x v="5"/>
    <n v="20"/>
    <n v="0.16"/>
    <n v="24"/>
    <n v="0.14199999999999999"/>
    <n v="1"/>
    <n v="1"/>
    <n v="0.05"/>
    <n v="12.99"/>
    <s v="1"/>
    <n v="0.05"/>
  </r>
  <r>
    <x v="128"/>
    <x v="1"/>
    <n v="11"/>
    <n v="8.7999999999999995E-2"/>
    <n v="13"/>
    <n v="7.6899999999999996E-2"/>
    <n v="1"/>
    <n v="1"/>
    <n v="9.0899999999999995E-2"/>
    <n v="14.99"/>
    <s v="1"/>
    <n v="9.0909090909090898E-2"/>
  </r>
  <r>
    <x v="129"/>
    <x v="6"/>
    <n v="2"/>
    <n v="1.47E-2"/>
    <n v="2"/>
    <n v="1.06E-2"/>
    <n v="1"/>
    <n v="0"/>
    <n v="0"/>
    <n v="0"/>
    <s v="0"/>
    <n v="0"/>
  </r>
  <r>
    <x v="129"/>
    <x v="1"/>
    <n v="5"/>
    <n v="3.6799999999999999E-2"/>
    <n v="5"/>
    <n v="2.6599999999999999E-2"/>
    <n v="1"/>
    <n v="0"/>
    <n v="0"/>
    <n v="0"/>
    <s v="0"/>
    <n v="0"/>
  </r>
  <r>
    <x v="129"/>
    <x v="4"/>
    <n v="3"/>
    <n v="2.2100000000000002E-2"/>
    <n v="3"/>
    <n v="1.6E-2"/>
    <n v="1"/>
    <n v="0"/>
    <n v="0"/>
    <n v="0"/>
    <s v="0"/>
    <n v="0"/>
  </r>
  <r>
    <x v="129"/>
    <x v="0"/>
    <n v="65"/>
    <n v="0.47789999999999999"/>
    <n v="96"/>
    <n v="0.51060000000000005"/>
    <n v="0.99"/>
    <n v="14"/>
    <n v="0.21540000000000001"/>
    <n v="172.06"/>
    <s v="14"/>
    <n v="0.21538461538461501"/>
  </r>
  <r>
    <x v="129"/>
    <x v="3"/>
    <n v="23"/>
    <n v="0.1691"/>
    <n v="30"/>
    <n v="0.15959999999999999"/>
    <n v="1"/>
    <n v="5"/>
    <n v="0.21740000000000001"/>
    <n v="115.95"/>
    <s v="5"/>
    <n v="0.217391304347826"/>
  </r>
  <r>
    <x v="129"/>
    <x v="5"/>
    <n v="17"/>
    <n v="0.125"/>
    <n v="21"/>
    <n v="0.11169999999999999"/>
    <n v="1"/>
    <n v="2"/>
    <n v="0.1176"/>
    <n v="25.98"/>
    <s v="2"/>
    <n v="0.11764705882352899"/>
  </r>
  <r>
    <x v="129"/>
    <x v="2"/>
    <n v="21"/>
    <n v="0.15440000000000001"/>
    <n v="31"/>
    <n v="0.16489999999999999"/>
    <n v="1"/>
    <n v="1"/>
    <n v="4.7600000000000003E-2"/>
    <n v="15.99"/>
    <s v="1"/>
    <n v="4.7619047619047603E-2"/>
  </r>
  <r>
    <x v="130"/>
    <x v="3"/>
    <n v="18"/>
    <n v="0.14879999999999999"/>
    <n v="22"/>
    <n v="0.12570000000000001"/>
    <n v="1"/>
    <n v="0"/>
    <n v="0"/>
    <n v="0"/>
    <s v="0"/>
    <n v="0"/>
  </r>
  <r>
    <x v="130"/>
    <x v="4"/>
    <n v="5"/>
    <n v="4.1300000000000003E-2"/>
    <n v="6"/>
    <n v="3.4299999999999997E-2"/>
    <n v="1"/>
    <n v="0"/>
    <n v="0"/>
    <n v="0"/>
    <s v="0"/>
    <n v="0"/>
  </r>
  <r>
    <x v="130"/>
    <x v="1"/>
    <n v="3"/>
    <n v="2.4799999999999999E-2"/>
    <n v="4"/>
    <n v="2.29E-2"/>
    <n v="1"/>
    <n v="0"/>
    <n v="0"/>
    <n v="0"/>
    <s v="0"/>
    <n v="0"/>
  </r>
  <r>
    <x v="130"/>
    <x v="0"/>
    <n v="47"/>
    <n v="0.38840000000000002"/>
    <n v="79"/>
    <n v="0.45140000000000002"/>
    <n v="0.96"/>
    <n v="7"/>
    <n v="0.1489"/>
    <n v="86.03"/>
    <s v="6"/>
    <n v="0.12765957446808501"/>
  </r>
  <r>
    <x v="130"/>
    <x v="5"/>
    <n v="21"/>
    <n v="0.1736"/>
    <n v="26"/>
    <n v="0.14860000000000001"/>
    <n v="0.92"/>
    <n v="1"/>
    <n v="4.7600000000000003E-2"/>
    <n v="12.99"/>
    <s v="1"/>
    <n v="4.7619047619047603E-2"/>
  </r>
  <r>
    <x v="130"/>
    <x v="6"/>
    <n v="12"/>
    <n v="9.9199999999999997E-2"/>
    <n v="15"/>
    <n v="8.5699999999999998E-2"/>
    <n v="1"/>
    <n v="3"/>
    <n v="0.25"/>
    <n v="38.97"/>
    <s v="3"/>
    <n v="0.25"/>
  </r>
  <r>
    <x v="130"/>
    <x v="2"/>
    <n v="15"/>
    <n v="0.124"/>
    <n v="23"/>
    <n v="0.13139999999999999"/>
    <n v="1"/>
    <n v="1"/>
    <n v="6.6699999999999995E-2"/>
    <n v="15.99"/>
    <s v="1"/>
    <n v="6.6666666666666693E-2"/>
  </r>
  <r>
    <x v="131"/>
    <x v="4"/>
    <n v="2"/>
    <n v="1.46E-2"/>
    <n v="2"/>
    <n v="1.03E-2"/>
    <n v="1"/>
    <n v="0"/>
    <n v="0"/>
    <n v="0"/>
    <s v="0"/>
    <n v="0"/>
  </r>
  <r>
    <x v="131"/>
    <x v="6"/>
    <n v="15"/>
    <n v="0.1095"/>
    <n v="16"/>
    <n v="8.2500000000000004E-2"/>
    <n v="1"/>
    <n v="0"/>
    <n v="0"/>
    <n v="0"/>
    <s v="0"/>
    <n v="0"/>
  </r>
  <r>
    <x v="131"/>
    <x v="1"/>
    <n v="4"/>
    <n v="2.92E-2"/>
    <n v="4"/>
    <n v="2.06E-2"/>
    <n v="1"/>
    <n v="0"/>
    <n v="0"/>
    <n v="0"/>
    <s v="0"/>
    <n v="0"/>
  </r>
  <r>
    <x v="131"/>
    <x v="0"/>
    <n v="50"/>
    <n v="0.36499999999999999"/>
    <n v="76"/>
    <n v="0.39179999999999998"/>
    <n v="0.97"/>
    <n v="39"/>
    <n v="0.78"/>
    <n v="479.31"/>
    <s v="15"/>
    <n v="0.3"/>
  </r>
  <r>
    <x v="131"/>
    <x v="2"/>
    <n v="13"/>
    <n v="9.4899999999999998E-2"/>
    <n v="23"/>
    <n v="0.1186"/>
    <n v="1"/>
    <n v="4"/>
    <n v="0.30769999999999997"/>
    <n v="63.96"/>
    <s v="4"/>
    <n v="0.30769230769230799"/>
  </r>
  <r>
    <x v="131"/>
    <x v="3"/>
    <n v="33"/>
    <n v="0.2409"/>
    <n v="45"/>
    <n v="0.23200000000000001"/>
    <n v="1"/>
    <n v="2"/>
    <n v="6.0600000000000001E-2"/>
    <n v="46.38"/>
    <s v="2"/>
    <n v="6.0606060606060601E-2"/>
  </r>
  <r>
    <x v="131"/>
    <x v="5"/>
    <n v="20"/>
    <n v="0.14599999999999999"/>
    <n v="28"/>
    <n v="0.14430000000000001"/>
    <n v="1"/>
    <n v="2"/>
    <n v="0.1"/>
    <n v="25.98"/>
    <s v="2"/>
    <n v="0.1"/>
  </r>
  <r>
    <x v="132"/>
    <x v="4"/>
    <n v="1"/>
    <n v="8.5000000000000006E-3"/>
    <n v="1"/>
    <n v="6.1000000000000004E-3"/>
    <n v="1"/>
    <n v="0"/>
    <n v="0"/>
    <n v="0"/>
    <s v="0"/>
    <n v="0"/>
  </r>
  <r>
    <x v="132"/>
    <x v="1"/>
    <n v="2"/>
    <n v="1.6899999999999998E-2"/>
    <n v="6"/>
    <n v="3.6799999999999999E-2"/>
    <n v="1"/>
    <n v="0"/>
    <n v="0"/>
    <n v="0"/>
    <s v="0"/>
    <n v="0"/>
  </r>
  <r>
    <x v="132"/>
    <x v="2"/>
    <n v="18"/>
    <n v="0.1525"/>
    <n v="22"/>
    <n v="0.13500000000000001"/>
    <n v="1"/>
    <n v="0"/>
    <n v="0"/>
    <n v="0"/>
    <s v="0"/>
    <n v="0"/>
  </r>
  <r>
    <x v="132"/>
    <x v="5"/>
    <n v="13"/>
    <n v="0.11020000000000001"/>
    <n v="19"/>
    <n v="0.1166"/>
    <n v="1"/>
    <n v="0"/>
    <n v="0"/>
    <n v="0"/>
    <s v="0"/>
    <n v="0"/>
  </r>
  <r>
    <x v="132"/>
    <x v="6"/>
    <n v="12"/>
    <n v="0.1017"/>
    <n v="12"/>
    <n v="7.3599999999999999E-2"/>
    <n v="1"/>
    <n v="0"/>
    <n v="0"/>
    <n v="0"/>
    <s v="0"/>
    <n v="0"/>
  </r>
  <r>
    <x v="132"/>
    <x v="0"/>
    <n v="55"/>
    <n v="0.46610000000000001"/>
    <n v="80"/>
    <n v="0.49080000000000001"/>
    <n v="0.99"/>
    <n v="27"/>
    <n v="0.4909"/>
    <n v="331.83"/>
    <s v="8"/>
    <n v="0.145454545454545"/>
  </r>
  <r>
    <x v="132"/>
    <x v="3"/>
    <n v="17"/>
    <n v="0.14410000000000001"/>
    <n v="23"/>
    <n v="0.1411"/>
    <n v="1"/>
    <n v="2"/>
    <n v="0.1176"/>
    <n v="46.38"/>
    <s v="2"/>
    <n v="0.11764705882352899"/>
  </r>
  <r>
    <x v="133"/>
    <x v="4"/>
    <n v="1"/>
    <n v="1.18E-2"/>
    <n v="2"/>
    <n v="1.5900000000000001E-2"/>
    <n v="1"/>
    <n v="0"/>
    <n v="0"/>
    <n v="0"/>
    <s v="0"/>
    <n v="0"/>
  </r>
  <r>
    <x v="133"/>
    <x v="3"/>
    <n v="16"/>
    <n v="0.18820000000000001"/>
    <n v="19"/>
    <n v="0.15079999999999999"/>
    <n v="1"/>
    <n v="0"/>
    <n v="0"/>
    <n v="0"/>
    <s v="0"/>
    <n v="0"/>
  </r>
  <r>
    <x v="133"/>
    <x v="2"/>
    <n v="11"/>
    <n v="0.12939999999999999"/>
    <n v="17"/>
    <n v="0.13489999999999999"/>
    <n v="1"/>
    <n v="0"/>
    <n v="0"/>
    <n v="0"/>
    <s v="0"/>
    <n v="0"/>
  </r>
  <r>
    <x v="133"/>
    <x v="0"/>
    <n v="48"/>
    <n v="0.56469999999999998"/>
    <n v="76"/>
    <n v="0.60319999999999996"/>
    <n v="1"/>
    <n v="14"/>
    <n v="0.29170000000000001"/>
    <n v="172.06"/>
    <s v="12"/>
    <n v="0.25"/>
  </r>
  <r>
    <x v="133"/>
    <x v="5"/>
    <n v="5"/>
    <n v="5.8799999999999998E-2"/>
    <n v="6"/>
    <n v="4.7600000000000003E-2"/>
    <n v="1"/>
    <n v="1"/>
    <n v="0.2"/>
    <n v="12.99"/>
    <s v="1"/>
    <n v="0.2"/>
  </r>
  <r>
    <x v="133"/>
    <x v="1"/>
    <n v="4"/>
    <n v="4.7100000000000003E-2"/>
    <n v="6"/>
    <n v="4.7600000000000003E-2"/>
    <n v="1"/>
    <n v="1"/>
    <n v="0.25"/>
    <n v="14.99"/>
    <s v="1"/>
    <n v="0.25"/>
  </r>
  <r>
    <x v="134"/>
    <x v="4"/>
    <n v="1"/>
    <n v="7.4999999999999997E-3"/>
    <n v="1"/>
    <n v="5.4999999999999997E-3"/>
    <n v="1"/>
    <n v="0"/>
    <n v="0"/>
    <n v="0"/>
    <s v="0"/>
    <n v="0"/>
  </r>
  <r>
    <x v="134"/>
    <x v="5"/>
    <n v="14"/>
    <n v="0.1053"/>
    <n v="16"/>
    <n v="8.7400000000000005E-2"/>
    <n v="1"/>
    <n v="0"/>
    <n v="0"/>
    <n v="0"/>
    <s v="0"/>
    <n v="0"/>
  </r>
  <r>
    <x v="134"/>
    <x v="1"/>
    <n v="3"/>
    <n v="2.2599999999999999E-2"/>
    <n v="3"/>
    <n v="1.6400000000000001E-2"/>
    <n v="1"/>
    <n v="0"/>
    <n v="0"/>
    <n v="0"/>
    <s v="0"/>
    <n v="0"/>
  </r>
  <r>
    <x v="134"/>
    <x v="2"/>
    <n v="22"/>
    <n v="0.16539999999999999"/>
    <n v="29"/>
    <n v="0.1585"/>
    <n v="1"/>
    <n v="3"/>
    <n v="0.13639999999999999"/>
    <n v="47.97"/>
    <s v="3"/>
    <n v="0.13636363636363599"/>
  </r>
  <r>
    <x v="134"/>
    <x v="3"/>
    <n v="27"/>
    <n v="0.20300000000000001"/>
    <n v="36"/>
    <n v="0.19670000000000001"/>
    <n v="1"/>
    <n v="2"/>
    <n v="7.4099999999999999E-2"/>
    <n v="46.38"/>
    <s v="2"/>
    <n v="7.4074074074074098E-2"/>
  </r>
  <r>
    <x v="134"/>
    <x v="6"/>
    <n v="5"/>
    <n v="3.7600000000000001E-2"/>
    <n v="5"/>
    <n v="2.7300000000000001E-2"/>
    <n v="1"/>
    <n v="2"/>
    <n v="0.4"/>
    <n v="25.98"/>
    <s v="1"/>
    <n v="0.2"/>
  </r>
  <r>
    <x v="134"/>
    <x v="0"/>
    <n v="61"/>
    <n v="0.45860000000000001"/>
    <n v="93"/>
    <n v="0.50819999999999999"/>
    <n v="1"/>
    <n v="10"/>
    <n v="0.16389999999999999"/>
    <n v="122.9"/>
    <s v="7"/>
    <n v="0.114754098360656"/>
  </r>
  <r>
    <x v="135"/>
    <x v="4"/>
    <n v="1"/>
    <n v="8.5000000000000006E-3"/>
    <n v="1"/>
    <n v="6.0000000000000001E-3"/>
    <n v="1"/>
    <n v="0"/>
    <n v="0"/>
    <n v="0"/>
    <s v="0"/>
    <n v="0"/>
  </r>
  <r>
    <x v="135"/>
    <x v="1"/>
    <n v="5"/>
    <n v="4.2700000000000002E-2"/>
    <n v="6"/>
    <n v="3.61E-2"/>
    <n v="1"/>
    <n v="0"/>
    <n v="0"/>
    <n v="0"/>
    <s v="0"/>
    <n v="0"/>
  </r>
  <r>
    <x v="135"/>
    <x v="6"/>
    <n v="0"/>
    <n v="0"/>
    <n v="0"/>
    <n v="0"/>
    <n v="0"/>
    <n v="1"/>
    <n v="0"/>
    <n v="12.99"/>
    <s v="1"/>
    <n v="0"/>
  </r>
  <r>
    <x v="135"/>
    <x v="5"/>
    <n v="12"/>
    <n v="0.1026"/>
    <n v="12"/>
    <n v="7.2300000000000003E-2"/>
    <n v="1"/>
    <n v="2"/>
    <n v="0.16669999999999999"/>
    <n v="25.98"/>
    <s v="2"/>
    <n v="0.16666666666666699"/>
  </r>
  <r>
    <x v="135"/>
    <x v="0"/>
    <n v="49"/>
    <n v="0.41880000000000001"/>
    <n v="79"/>
    <n v="0.47589999999999999"/>
    <n v="1"/>
    <n v="5"/>
    <n v="0.10199999999999999"/>
    <n v="62.95"/>
    <s v="5"/>
    <n v="0.102040816326531"/>
  </r>
  <r>
    <x v="135"/>
    <x v="3"/>
    <n v="31"/>
    <n v="0.26500000000000001"/>
    <n v="43"/>
    <n v="0.25900000000000001"/>
    <n v="1"/>
    <n v="1"/>
    <n v="3.2300000000000002E-2"/>
    <n v="25.49"/>
    <s v="1"/>
    <n v="3.2258064516128997E-2"/>
  </r>
  <r>
    <x v="135"/>
    <x v="2"/>
    <n v="19"/>
    <n v="0.16239999999999999"/>
    <n v="25"/>
    <n v="0.15060000000000001"/>
    <n v="1"/>
    <n v="1"/>
    <n v="5.2600000000000001E-2"/>
    <n v="15.99"/>
    <s v="1"/>
    <n v="5.2631578947368397E-2"/>
  </r>
  <r>
    <x v="136"/>
    <x v="4"/>
    <n v="1"/>
    <n v="1.01E-2"/>
    <n v="1"/>
    <n v="7.7999999999999996E-3"/>
    <n v="1"/>
    <n v="0"/>
    <n v="0"/>
    <n v="0"/>
    <s v="0"/>
    <n v="0"/>
  </r>
  <r>
    <x v="136"/>
    <x v="3"/>
    <n v="24"/>
    <n v="0.2424"/>
    <n v="34"/>
    <n v="0.2656"/>
    <n v="1"/>
    <n v="0"/>
    <n v="0"/>
    <n v="0"/>
    <s v="0"/>
    <n v="0"/>
  </r>
  <r>
    <x v="136"/>
    <x v="2"/>
    <n v="18"/>
    <n v="0.18179999999999999"/>
    <n v="26"/>
    <n v="0.2031"/>
    <n v="1"/>
    <n v="0"/>
    <n v="0"/>
    <n v="0"/>
    <s v="0"/>
    <n v="0"/>
  </r>
  <r>
    <x v="136"/>
    <x v="6"/>
    <n v="6"/>
    <n v="6.0600000000000001E-2"/>
    <n v="7"/>
    <n v="5.4699999999999999E-2"/>
    <n v="1"/>
    <n v="0"/>
    <n v="0"/>
    <n v="0"/>
    <s v="0"/>
    <n v="0"/>
  </r>
  <r>
    <x v="136"/>
    <x v="0"/>
    <n v="37"/>
    <n v="0.37369999999999998"/>
    <n v="44"/>
    <n v="0.34379999999999999"/>
    <n v="1"/>
    <n v="6"/>
    <n v="0.16220000000000001"/>
    <n v="75.540000000000006"/>
    <s v="6"/>
    <n v="0.162162162162162"/>
  </r>
  <r>
    <x v="136"/>
    <x v="5"/>
    <n v="13"/>
    <n v="0.1313"/>
    <n v="16"/>
    <n v="0.125"/>
    <n v="1"/>
    <n v="1"/>
    <n v="7.6899999999999996E-2"/>
    <n v="12.99"/>
    <s v="1"/>
    <n v="7.69230769230769E-2"/>
  </r>
  <r>
    <x v="137"/>
    <x v="6"/>
    <n v="2"/>
    <n v="1.8499999999999999E-2"/>
    <n v="2"/>
    <n v="1.32E-2"/>
    <n v="1"/>
    <n v="0"/>
    <n v="0"/>
    <n v="0"/>
    <s v="0"/>
    <n v="0"/>
  </r>
  <r>
    <x v="137"/>
    <x v="4"/>
    <n v="2"/>
    <n v="1.8499999999999999E-2"/>
    <n v="4"/>
    <n v="2.63E-2"/>
    <n v="1"/>
    <n v="0"/>
    <n v="0"/>
    <n v="0"/>
    <s v="0"/>
    <n v="0"/>
  </r>
  <r>
    <x v="137"/>
    <x v="1"/>
    <n v="3"/>
    <n v="2.7799999999999998E-2"/>
    <n v="4"/>
    <n v="2.63E-2"/>
    <n v="1"/>
    <n v="0"/>
    <n v="0"/>
    <n v="0"/>
    <s v="0"/>
    <n v="0"/>
  </r>
  <r>
    <x v="137"/>
    <x v="0"/>
    <n v="56"/>
    <n v="0.51849999999999996"/>
    <n v="76"/>
    <n v="0.5"/>
    <n v="0.97"/>
    <n v="5"/>
    <n v="8.9300000000000004E-2"/>
    <n v="62.95"/>
    <s v="4"/>
    <n v="7.1428571428571397E-2"/>
  </r>
  <r>
    <x v="137"/>
    <x v="2"/>
    <n v="16"/>
    <n v="0.14810000000000001"/>
    <n v="25"/>
    <n v="0.16450000000000001"/>
    <n v="1"/>
    <n v="7"/>
    <n v="0.4375"/>
    <n v="111.93"/>
    <s v="4"/>
    <n v="0.25"/>
  </r>
  <r>
    <x v="137"/>
    <x v="3"/>
    <n v="19"/>
    <n v="0.1759"/>
    <n v="27"/>
    <n v="0.17760000000000001"/>
    <n v="1"/>
    <n v="3"/>
    <n v="0.15790000000000001"/>
    <n v="76.47"/>
    <s v="2"/>
    <n v="0.105263157894737"/>
  </r>
  <r>
    <x v="137"/>
    <x v="5"/>
    <n v="10"/>
    <n v="9.2600000000000002E-2"/>
    <n v="14"/>
    <n v="9.2100000000000001E-2"/>
    <n v="1"/>
    <n v="1"/>
    <n v="0.1"/>
    <n v="12.99"/>
    <s v="1"/>
    <n v="0.1"/>
  </r>
  <r>
    <x v="138"/>
    <x v="1"/>
    <n v="10"/>
    <n v="5.9200000000000003E-2"/>
    <n v="13"/>
    <n v="5.4600000000000003E-2"/>
    <n v="1"/>
    <n v="0"/>
    <n v="0"/>
    <n v="0"/>
    <s v="0"/>
    <n v="0"/>
  </r>
  <r>
    <x v="138"/>
    <x v="4"/>
    <n v="7"/>
    <n v="4.1399999999999999E-2"/>
    <n v="9"/>
    <n v="3.78E-2"/>
    <n v="1"/>
    <n v="0"/>
    <n v="0"/>
    <n v="0"/>
    <s v="0"/>
    <n v="0"/>
  </r>
  <r>
    <x v="138"/>
    <x v="6"/>
    <n v="4"/>
    <n v="2.3699999999999999E-2"/>
    <n v="4"/>
    <n v="1.6799999999999999E-2"/>
    <n v="1"/>
    <n v="0"/>
    <n v="0"/>
    <n v="0"/>
    <s v="0"/>
    <n v="0"/>
  </r>
  <r>
    <x v="138"/>
    <x v="0"/>
    <n v="74"/>
    <n v="0.43790000000000001"/>
    <n v="106"/>
    <n v="0.44540000000000002"/>
    <n v="0.99"/>
    <n v="10"/>
    <n v="0.1351"/>
    <n v="126.8"/>
    <s v="9"/>
    <n v="0.121621621621622"/>
  </r>
  <r>
    <x v="138"/>
    <x v="3"/>
    <n v="30"/>
    <n v="0.17749999999999999"/>
    <n v="37"/>
    <n v="0.1555"/>
    <n v="1"/>
    <n v="7"/>
    <n v="0.23330000000000001"/>
    <n v="178.43"/>
    <s v="4"/>
    <n v="0.133333333333333"/>
  </r>
  <r>
    <x v="138"/>
    <x v="2"/>
    <n v="27"/>
    <n v="0.1598"/>
    <n v="46"/>
    <n v="0.1933"/>
    <n v="1"/>
    <n v="1"/>
    <n v="3.6999999999999998E-2"/>
    <n v="16.489999999999998"/>
    <s v="1"/>
    <n v="3.7037037037037E-2"/>
  </r>
  <r>
    <x v="138"/>
    <x v="5"/>
    <n v="17"/>
    <n v="0.10059999999999999"/>
    <n v="23"/>
    <n v="9.6600000000000005E-2"/>
    <n v="1"/>
    <n v="1"/>
    <n v="5.8799999999999998E-2"/>
    <n v="12.99"/>
    <s v="1"/>
    <n v="5.8823529411764698E-2"/>
  </r>
  <r>
    <x v="139"/>
    <x v="6"/>
    <n v="1"/>
    <n v="7.4999999999999997E-3"/>
    <n v="1"/>
    <n v="5.4000000000000003E-3"/>
    <n v="1"/>
    <n v="0"/>
    <n v="0"/>
    <n v="0"/>
    <s v="0"/>
    <n v="0"/>
  </r>
  <r>
    <x v="139"/>
    <x v="1"/>
    <n v="7"/>
    <n v="5.2200000000000003E-2"/>
    <n v="12"/>
    <n v="6.4899999999999999E-2"/>
    <n v="1"/>
    <n v="0"/>
    <n v="0"/>
    <n v="0"/>
    <s v="0"/>
    <n v="0"/>
  </r>
  <r>
    <x v="139"/>
    <x v="5"/>
    <n v="6"/>
    <n v="4.48E-2"/>
    <n v="7"/>
    <n v="3.78E-2"/>
    <n v="1"/>
    <n v="0"/>
    <n v="0"/>
    <n v="0"/>
    <s v="0"/>
    <n v="0"/>
  </r>
  <r>
    <x v="139"/>
    <x v="0"/>
    <n v="63"/>
    <n v="0.47010000000000002"/>
    <n v="95"/>
    <n v="0.51349999999999996"/>
    <n v="0.99"/>
    <n v="12"/>
    <n v="0.1905"/>
    <n v="152.28"/>
    <s v="10"/>
    <n v="0.158730158730159"/>
  </r>
  <r>
    <x v="139"/>
    <x v="3"/>
    <n v="34"/>
    <n v="0.25369999999999998"/>
    <n v="41"/>
    <n v="0.22159999999999999"/>
    <n v="1"/>
    <n v="20"/>
    <n v="0.58819999999999995"/>
    <n v="509.8"/>
    <s v="4"/>
    <n v="0.11764705882352899"/>
  </r>
  <r>
    <x v="139"/>
    <x v="2"/>
    <n v="23"/>
    <n v="0.1716"/>
    <n v="29"/>
    <n v="0.15679999999999999"/>
    <n v="1"/>
    <n v="2"/>
    <n v="8.6999999999999994E-2"/>
    <n v="32.979999999999997"/>
    <s v="2"/>
    <n v="8.6956521739130405E-2"/>
  </r>
  <r>
    <x v="140"/>
    <x v="4"/>
    <n v="1"/>
    <n v="5.1000000000000004E-3"/>
    <n v="1"/>
    <n v="3.3E-3"/>
    <n v="1"/>
    <n v="0"/>
    <n v="0"/>
    <n v="0"/>
    <s v="0"/>
    <n v="0"/>
  </r>
  <r>
    <x v="140"/>
    <x v="3"/>
    <n v="28"/>
    <n v="0.1414"/>
    <n v="31"/>
    <n v="0.1026"/>
    <n v="1"/>
    <n v="0"/>
    <n v="0"/>
    <n v="0"/>
    <s v="0"/>
    <n v="0"/>
  </r>
  <r>
    <x v="140"/>
    <x v="1"/>
    <n v="9"/>
    <n v="4.5499999999999999E-2"/>
    <n v="15"/>
    <n v="4.9700000000000001E-2"/>
    <n v="1"/>
    <n v="0"/>
    <n v="0"/>
    <n v="0"/>
    <s v="0"/>
    <n v="0"/>
  </r>
  <r>
    <x v="140"/>
    <x v="6"/>
    <n v="3"/>
    <n v="1.52E-2"/>
    <n v="4"/>
    <n v="1.32E-2"/>
    <n v="1"/>
    <n v="0"/>
    <n v="0"/>
    <n v="0"/>
    <s v="0"/>
    <n v="0"/>
  </r>
  <r>
    <x v="140"/>
    <x v="2"/>
    <n v="20"/>
    <n v="0.10100000000000001"/>
    <n v="32"/>
    <n v="0.106"/>
    <n v="1"/>
    <n v="4"/>
    <n v="0.2"/>
    <n v="65.959999999999994"/>
    <s v="4"/>
    <n v="0.2"/>
  </r>
  <r>
    <x v="140"/>
    <x v="5"/>
    <n v="13"/>
    <n v="6.5699999999999995E-2"/>
    <n v="17"/>
    <n v="5.6300000000000003E-2"/>
    <n v="1"/>
    <n v="2"/>
    <n v="0.15379999999999999"/>
    <n v="25.98"/>
    <s v="2"/>
    <n v="0.15384615384615399"/>
  </r>
  <r>
    <x v="140"/>
    <x v="0"/>
    <n v="124"/>
    <n v="0.62629999999999997"/>
    <n v="202"/>
    <n v="0.66890000000000005"/>
    <n v="1"/>
    <n v="35"/>
    <n v="0.2823"/>
    <n v="444.15"/>
    <s v="35"/>
    <n v="0.282258064516129"/>
  </r>
  <r>
    <x v="141"/>
    <x v="4"/>
    <n v="1"/>
    <n v="7.0000000000000001E-3"/>
    <n v="1"/>
    <n v="4.4000000000000003E-3"/>
    <n v="1"/>
    <n v="0"/>
    <n v="0"/>
    <n v="0"/>
    <s v="0"/>
    <n v="0"/>
  </r>
  <r>
    <x v="141"/>
    <x v="5"/>
    <n v="24"/>
    <n v="0.1678"/>
    <n v="35"/>
    <n v="0.15490000000000001"/>
    <n v="0.97"/>
    <n v="0"/>
    <n v="0"/>
    <n v="0"/>
    <s v="0"/>
    <n v="0"/>
  </r>
  <r>
    <x v="141"/>
    <x v="2"/>
    <n v="18"/>
    <n v="0.12590000000000001"/>
    <n v="21"/>
    <n v="9.2899999999999996E-2"/>
    <n v="1"/>
    <n v="3"/>
    <n v="0.16669999999999999"/>
    <n v="49.47"/>
    <s v="3"/>
    <n v="0.16666666666666699"/>
  </r>
  <r>
    <x v="141"/>
    <x v="0"/>
    <n v="65"/>
    <n v="0.45450000000000002"/>
    <n v="110"/>
    <n v="0.48670000000000002"/>
    <n v="1"/>
    <n v="28"/>
    <n v="0.43080000000000002"/>
    <n v="355.32"/>
    <s v="15"/>
    <n v="0.230769230769231"/>
  </r>
  <r>
    <x v="141"/>
    <x v="3"/>
    <n v="31"/>
    <n v="0.21679999999999999"/>
    <n v="53"/>
    <n v="0.23449999999999999"/>
    <n v="1"/>
    <n v="1"/>
    <n v="3.2300000000000002E-2"/>
    <n v="25.49"/>
    <s v="1"/>
    <n v="3.2258064516128997E-2"/>
  </r>
  <r>
    <x v="141"/>
    <x v="6"/>
    <n v="2"/>
    <n v="1.4E-2"/>
    <n v="3"/>
    <n v="1.3299999999999999E-2"/>
    <n v="1"/>
    <n v="1"/>
    <n v="0.5"/>
    <n v="12.99"/>
    <s v="1"/>
    <n v="0.5"/>
  </r>
  <r>
    <x v="141"/>
    <x v="1"/>
    <n v="2"/>
    <n v="1.4E-2"/>
    <n v="3"/>
    <n v="1.3299999999999999E-2"/>
    <n v="1"/>
    <n v="1"/>
    <n v="0.5"/>
    <n v="15.99"/>
    <s v="1"/>
    <n v="0.5"/>
  </r>
  <r>
    <x v="142"/>
    <x v="6"/>
    <n v="1"/>
    <n v="9.5999999999999992E-3"/>
    <n v="1"/>
    <n v="7.1999999999999998E-3"/>
    <n v="1"/>
    <n v="0"/>
    <n v="0"/>
    <n v="0"/>
    <s v="0"/>
    <n v="0"/>
  </r>
  <r>
    <x v="142"/>
    <x v="1"/>
    <n v="4"/>
    <n v="3.85E-2"/>
    <n v="4"/>
    <n v="2.9000000000000001E-2"/>
    <n v="1"/>
    <n v="0"/>
    <n v="0"/>
    <n v="0"/>
    <s v="0"/>
    <n v="0"/>
  </r>
  <r>
    <x v="142"/>
    <x v="0"/>
    <n v="42"/>
    <n v="0.40379999999999999"/>
    <n v="56"/>
    <n v="0.40579999999999999"/>
    <n v="0.98"/>
    <n v="10"/>
    <n v="0.23810000000000001"/>
    <n v="126.9"/>
    <s v="10"/>
    <n v="0.238095238095238"/>
  </r>
  <r>
    <x v="142"/>
    <x v="2"/>
    <n v="16"/>
    <n v="0.15379999999999999"/>
    <n v="22"/>
    <n v="0.15939999999999999"/>
    <n v="0.95"/>
    <n v="1"/>
    <n v="6.25E-2"/>
    <n v="16.489999999999998"/>
    <s v="1"/>
    <n v="6.25E-2"/>
  </r>
  <r>
    <x v="142"/>
    <x v="3"/>
    <n v="30"/>
    <n v="0.28849999999999998"/>
    <n v="40"/>
    <n v="0.28989999999999999"/>
    <n v="1"/>
    <n v="1"/>
    <n v="3.3300000000000003E-2"/>
    <n v="25.49"/>
    <s v="1"/>
    <n v="3.3333333333333298E-2"/>
  </r>
  <r>
    <x v="142"/>
    <x v="5"/>
    <n v="11"/>
    <n v="0.10580000000000001"/>
    <n v="15"/>
    <n v="0.1087"/>
    <n v="1"/>
    <n v="1"/>
    <n v="9.0899999999999995E-2"/>
    <n v="12.99"/>
    <s v="1"/>
    <n v="9.0909090909090898E-2"/>
  </r>
  <r>
    <x v="143"/>
    <x v="6"/>
    <n v="1"/>
    <n v="9.1000000000000004E-3"/>
    <n v="2"/>
    <n v="1.32E-2"/>
    <n v="1"/>
    <n v="0"/>
    <n v="0"/>
    <n v="0"/>
    <s v="0"/>
    <n v="0"/>
  </r>
  <r>
    <x v="143"/>
    <x v="3"/>
    <n v="31"/>
    <n v="0.28179999999999999"/>
    <n v="53"/>
    <n v="0.34870000000000001"/>
    <n v="0.98"/>
    <n v="3"/>
    <n v="9.6799999999999997E-2"/>
    <n v="76.47"/>
    <s v="3"/>
    <n v="9.6774193548387094E-2"/>
  </r>
  <r>
    <x v="143"/>
    <x v="2"/>
    <n v="17"/>
    <n v="0.1545"/>
    <n v="25"/>
    <n v="0.16450000000000001"/>
    <n v="1"/>
    <n v="5"/>
    <n v="0.29409999999999997"/>
    <n v="82.45"/>
    <s v="5"/>
    <n v="0.29411764705882398"/>
  </r>
  <r>
    <x v="143"/>
    <x v="5"/>
    <n v="10"/>
    <n v="9.0899999999999995E-2"/>
    <n v="10"/>
    <n v="6.5799999999999997E-2"/>
    <n v="1"/>
    <n v="3"/>
    <n v="0.3"/>
    <n v="38.97"/>
    <s v="3"/>
    <n v="0.3"/>
  </r>
  <r>
    <x v="143"/>
    <x v="0"/>
    <n v="47"/>
    <n v="0.42730000000000001"/>
    <n v="57"/>
    <n v="0.375"/>
    <n v="1"/>
    <n v="6"/>
    <n v="0.12770000000000001"/>
    <n v="76.14"/>
    <s v="5"/>
    <n v="0.10638297872340401"/>
  </r>
  <r>
    <x v="143"/>
    <x v="1"/>
    <n v="4"/>
    <n v="3.6400000000000002E-2"/>
    <n v="5"/>
    <n v="3.2899999999999999E-2"/>
    <n v="1"/>
    <n v="1"/>
    <n v="0.25"/>
    <n v="15.99"/>
    <s v="1"/>
    <n v="0.25"/>
  </r>
  <r>
    <x v="144"/>
    <x v="4"/>
    <n v="1"/>
    <n v="7.6E-3"/>
    <n v="8"/>
    <n v="4.3700000000000003E-2"/>
    <n v="1"/>
    <n v="0"/>
    <n v="0"/>
    <n v="0"/>
    <s v="0"/>
    <n v="0"/>
  </r>
  <r>
    <x v="144"/>
    <x v="2"/>
    <n v="17"/>
    <n v="0.1298"/>
    <n v="25"/>
    <n v="0.1366"/>
    <n v="1"/>
    <n v="0"/>
    <n v="0"/>
    <n v="0"/>
    <s v="0"/>
    <n v="0"/>
  </r>
  <r>
    <x v="144"/>
    <x v="5"/>
    <n v="15"/>
    <n v="0.1145"/>
    <n v="21"/>
    <n v="0.1148"/>
    <n v="1"/>
    <n v="0"/>
    <n v="0"/>
    <n v="0"/>
    <s v="0"/>
    <n v="0"/>
  </r>
  <r>
    <x v="144"/>
    <x v="6"/>
    <n v="5"/>
    <n v="3.8199999999999998E-2"/>
    <n v="9"/>
    <n v="4.9200000000000001E-2"/>
    <n v="1"/>
    <n v="0"/>
    <n v="0"/>
    <n v="0"/>
    <s v="0"/>
    <n v="0"/>
  </r>
  <r>
    <x v="144"/>
    <x v="1"/>
    <n v="3"/>
    <n v="2.29E-2"/>
    <n v="5"/>
    <n v="2.7300000000000001E-2"/>
    <n v="1"/>
    <n v="0"/>
    <n v="0"/>
    <n v="0"/>
    <s v="0"/>
    <n v="0"/>
  </r>
  <r>
    <x v="144"/>
    <x v="3"/>
    <n v="37"/>
    <n v="0.28239999999999998"/>
    <n v="43"/>
    <n v="0.23499999999999999"/>
    <n v="1"/>
    <n v="3"/>
    <n v="8.1100000000000005E-2"/>
    <n v="76.47"/>
    <s v="3"/>
    <n v="8.1081081081081099E-2"/>
  </r>
  <r>
    <x v="144"/>
    <x v="0"/>
    <n v="53"/>
    <n v="0.40460000000000002"/>
    <n v="72"/>
    <n v="0.39340000000000003"/>
    <n v="1"/>
    <n v="7"/>
    <n v="0.1321"/>
    <n v="88.83"/>
    <s v="6"/>
    <n v="0.113207547169811"/>
  </r>
  <r>
    <x v="145"/>
    <x v="1"/>
    <n v="3"/>
    <n v="2.2599999999999999E-2"/>
    <n v="3"/>
    <n v="1.6E-2"/>
    <n v="1"/>
    <n v="0"/>
    <n v="0"/>
    <n v="0"/>
    <s v="0"/>
    <n v="0"/>
  </r>
  <r>
    <x v="145"/>
    <x v="6"/>
    <n v="3"/>
    <n v="2.2599999999999999E-2"/>
    <n v="4"/>
    <n v="2.1299999999999999E-2"/>
    <n v="1"/>
    <n v="0"/>
    <n v="0"/>
    <n v="0"/>
    <s v="0"/>
    <n v="0"/>
  </r>
  <r>
    <x v="145"/>
    <x v="0"/>
    <n v="63"/>
    <n v="0.47370000000000001"/>
    <n v="99"/>
    <n v="0.52659999999999996"/>
    <n v="0.99"/>
    <n v="21"/>
    <n v="0.33329999999999999"/>
    <n v="267.29000000000002"/>
    <s v="15"/>
    <n v="0.238095238095238"/>
  </r>
  <r>
    <x v="145"/>
    <x v="2"/>
    <n v="14"/>
    <n v="0.1053"/>
    <n v="19"/>
    <n v="0.1011"/>
    <n v="1"/>
    <n v="4"/>
    <n v="0.28570000000000001"/>
    <n v="65.959999999999994"/>
    <s v="4"/>
    <n v="0.28571428571428598"/>
  </r>
  <r>
    <x v="145"/>
    <x v="5"/>
    <n v="13"/>
    <n v="9.7699999999999995E-2"/>
    <n v="15"/>
    <n v="7.9799999999999996E-2"/>
    <n v="1"/>
    <n v="6"/>
    <n v="0.46150000000000002"/>
    <n v="77.94"/>
    <s v="6"/>
    <n v="0.46153846153846201"/>
  </r>
  <r>
    <x v="145"/>
    <x v="3"/>
    <n v="37"/>
    <n v="0.2782"/>
    <n v="48"/>
    <n v="0.25530000000000003"/>
    <n v="1"/>
    <n v="3"/>
    <n v="8.1100000000000005E-2"/>
    <n v="76.47"/>
    <s v="3"/>
    <n v="8.1081081081081099E-2"/>
  </r>
  <r>
    <x v="146"/>
    <x v="4"/>
    <n v="1"/>
    <n v="8.0999999999999996E-3"/>
    <n v="1"/>
    <n v="6.1000000000000004E-3"/>
    <n v="1"/>
    <n v="0"/>
    <n v="0"/>
    <n v="0"/>
    <s v="0"/>
    <n v="0"/>
  </r>
  <r>
    <x v="146"/>
    <x v="6"/>
    <n v="2"/>
    <n v="1.61E-2"/>
    <n v="2"/>
    <n v="1.21E-2"/>
    <n v="1"/>
    <n v="0"/>
    <n v="0"/>
    <n v="0"/>
    <s v="0"/>
    <n v="0"/>
  </r>
  <r>
    <x v="146"/>
    <x v="1"/>
    <n v="6"/>
    <n v="4.8399999999999999E-2"/>
    <n v="6"/>
    <n v="3.6400000000000002E-2"/>
    <n v="1"/>
    <n v="0"/>
    <n v="0"/>
    <n v="0"/>
    <s v="0"/>
    <n v="0"/>
  </r>
  <r>
    <x v="146"/>
    <x v="0"/>
    <n v="53"/>
    <n v="0.4274"/>
    <n v="77"/>
    <n v="0.4667"/>
    <n v="0.99"/>
    <n v="11"/>
    <n v="0.20749999999999999"/>
    <n v="142.03"/>
    <s v="11"/>
    <n v="0.20754716981132099"/>
  </r>
  <r>
    <x v="146"/>
    <x v="3"/>
    <n v="34"/>
    <n v="0.2742"/>
    <n v="46"/>
    <n v="0.27879999999999999"/>
    <n v="1"/>
    <n v="2"/>
    <n v="5.8799999999999998E-2"/>
    <n v="54.98"/>
    <s v="2"/>
    <n v="5.8823529411764698E-2"/>
  </r>
  <r>
    <x v="146"/>
    <x v="5"/>
    <n v="16"/>
    <n v="0.129"/>
    <n v="18"/>
    <n v="0.1091"/>
    <n v="1"/>
    <n v="2"/>
    <n v="0.125"/>
    <n v="25.98"/>
    <s v="2"/>
    <n v="0.125"/>
  </r>
  <r>
    <x v="146"/>
    <x v="2"/>
    <n v="12"/>
    <n v="9.6799999999999997E-2"/>
    <n v="15"/>
    <n v="9.0899999999999995E-2"/>
    <n v="1"/>
    <n v="1"/>
    <n v="8.3299999999999999E-2"/>
    <n v="16.489999999999998"/>
    <s v="1"/>
    <n v="8.3333333333333301E-2"/>
  </r>
  <r>
    <x v="147"/>
    <x v="3"/>
    <n v="27"/>
    <n v="0.23080000000000001"/>
    <n v="41"/>
    <n v="0.2412"/>
    <n v="1"/>
    <n v="0"/>
    <n v="0"/>
    <n v="0"/>
    <s v="0"/>
    <n v="0"/>
  </r>
  <r>
    <x v="147"/>
    <x v="5"/>
    <n v="10"/>
    <n v="8.5500000000000007E-2"/>
    <n v="10"/>
    <n v="5.8799999999999998E-2"/>
    <n v="1"/>
    <n v="0"/>
    <n v="0"/>
    <n v="0"/>
    <s v="0"/>
    <n v="0"/>
  </r>
  <r>
    <x v="147"/>
    <x v="1"/>
    <n v="3"/>
    <n v="2.5600000000000001E-2"/>
    <n v="5"/>
    <n v="2.9399999999999999E-2"/>
    <n v="1"/>
    <n v="0"/>
    <n v="0"/>
    <n v="0"/>
    <s v="0"/>
    <n v="0"/>
  </r>
  <r>
    <x v="147"/>
    <x v="0"/>
    <n v="63"/>
    <n v="0.53849999999999998"/>
    <n v="92"/>
    <n v="0.54120000000000001"/>
    <n v="1"/>
    <n v="28"/>
    <n v="0.44440000000000002"/>
    <n v="363.16"/>
    <s v="8"/>
    <n v="0.126984126984127"/>
  </r>
  <r>
    <x v="147"/>
    <x v="2"/>
    <n v="14"/>
    <n v="0.1197"/>
    <n v="22"/>
    <n v="0.12939999999999999"/>
    <n v="1"/>
    <n v="1"/>
    <n v="7.1400000000000005E-2"/>
    <n v="16.489999999999998"/>
    <s v="1"/>
    <n v="7.1428571428571397E-2"/>
  </r>
  <r>
    <x v="148"/>
    <x v="2"/>
    <n v="10"/>
    <n v="8.8499999999999995E-2"/>
    <n v="10"/>
    <n v="7.1900000000000006E-2"/>
    <n v="1"/>
    <n v="0"/>
    <n v="0"/>
    <n v="0"/>
    <s v="0"/>
    <n v="0"/>
  </r>
  <r>
    <x v="148"/>
    <x v="1"/>
    <n v="3"/>
    <n v="2.6499999999999999E-2"/>
    <n v="3"/>
    <n v="2.1600000000000001E-2"/>
    <n v="1"/>
    <n v="0"/>
    <n v="0"/>
    <n v="0"/>
    <s v="0"/>
    <n v="0"/>
  </r>
  <r>
    <x v="148"/>
    <x v="6"/>
    <n v="3"/>
    <n v="2.6499999999999999E-2"/>
    <n v="3"/>
    <n v="2.1600000000000001E-2"/>
    <n v="1"/>
    <n v="0"/>
    <n v="0"/>
    <n v="0"/>
    <s v="0"/>
    <n v="0"/>
  </r>
  <r>
    <x v="148"/>
    <x v="0"/>
    <n v="63"/>
    <n v="0.5575"/>
    <n v="84"/>
    <n v="0.60429999999999995"/>
    <n v="0.99"/>
    <n v="14"/>
    <n v="0.22220000000000001"/>
    <n v="181.58"/>
    <s v="10"/>
    <n v="0.158730158730159"/>
  </r>
  <r>
    <x v="148"/>
    <x v="3"/>
    <n v="26"/>
    <n v="0.2301"/>
    <n v="31"/>
    <n v="0.223"/>
    <n v="1"/>
    <n v="3"/>
    <n v="0.1154"/>
    <n v="82.47"/>
    <s v="3"/>
    <n v="0.115384615384615"/>
  </r>
  <r>
    <x v="148"/>
    <x v="5"/>
    <n v="8"/>
    <n v="7.0800000000000002E-2"/>
    <n v="8"/>
    <n v="5.7599999999999998E-2"/>
    <n v="1"/>
    <n v="3"/>
    <n v="0.375"/>
    <n v="38.97"/>
    <s v="3"/>
    <n v="0.375"/>
  </r>
  <r>
    <x v="149"/>
    <x v="4"/>
    <n v="1"/>
    <n v="6.8999999999999999E-3"/>
    <n v="2"/>
    <n v="9.5999999999999992E-3"/>
    <n v="1"/>
    <n v="0"/>
    <n v="0"/>
    <n v="0"/>
    <s v="0"/>
    <n v="0"/>
  </r>
  <r>
    <x v="149"/>
    <x v="6"/>
    <n v="8"/>
    <n v="5.5599999999999997E-2"/>
    <n v="13"/>
    <n v="6.2199999999999998E-2"/>
    <n v="1"/>
    <n v="0"/>
    <n v="0"/>
    <n v="0"/>
    <s v="0"/>
    <n v="0"/>
  </r>
  <r>
    <x v="149"/>
    <x v="1"/>
    <n v="4"/>
    <n v="2.7799999999999998E-2"/>
    <n v="5"/>
    <n v="2.3900000000000001E-2"/>
    <n v="1"/>
    <n v="0"/>
    <n v="0"/>
    <n v="0"/>
    <s v="0"/>
    <n v="0"/>
  </r>
  <r>
    <x v="149"/>
    <x v="3"/>
    <n v="36"/>
    <n v="0.25"/>
    <n v="49"/>
    <n v="0.2344"/>
    <n v="1"/>
    <n v="5"/>
    <n v="0.1389"/>
    <n v="137.44999999999999"/>
    <s v="5"/>
    <n v="0.13888888888888901"/>
  </r>
  <r>
    <x v="149"/>
    <x v="2"/>
    <n v="20"/>
    <n v="0.1389"/>
    <n v="32"/>
    <n v="0.15310000000000001"/>
    <n v="1"/>
    <n v="4"/>
    <n v="0.2"/>
    <n v="65.959999999999994"/>
    <s v="2"/>
    <n v="0.1"/>
  </r>
  <r>
    <x v="149"/>
    <x v="5"/>
    <n v="14"/>
    <n v="9.7199999999999995E-2"/>
    <n v="18"/>
    <n v="8.6099999999999996E-2"/>
    <n v="1"/>
    <n v="2"/>
    <n v="0.1429"/>
    <n v="25.98"/>
    <s v="2"/>
    <n v="0.14285714285714299"/>
  </r>
  <r>
    <x v="149"/>
    <x v="0"/>
    <n v="61"/>
    <n v="0.42359999999999998"/>
    <n v="90"/>
    <n v="0.43059999999999998"/>
    <n v="1"/>
    <n v="25"/>
    <n v="0.4098"/>
    <n v="324.25"/>
    <s v="5"/>
    <n v="8.1967213114754106E-2"/>
  </r>
  <r>
    <x v="150"/>
    <x v="4"/>
    <n v="1"/>
    <n v="8.8000000000000005E-3"/>
    <n v="1"/>
    <n v="6.7000000000000002E-3"/>
    <n v="1"/>
    <n v="0"/>
    <n v="0"/>
    <n v="0"/>
    <s v="0"/>
    <n v="0"/>
  </r>
  <r>
    <x v="150"/>
    <x v="6"/>
    <n v="1"/>
    <n v="8.8000000000000005E-3"/>
    <n v="1"/>
    <n v="6.7000000000000002E-3"/>
    <n v="1"/>
    <n v="0"/>
    <n v="0"/>
    <n v="0"/>
    <s v="0"/>
    <n v="0"/>
  </r>
  <r>
    <x v="150"/>
    <x v="5"/>
    <n v="9"/>
    <n v="7.8899999999999998E-2"/>
    <n v="11"/>
    <n v="7.3800000000000004E-2"/>
    <n v="1"/>
    <n v="0"/>
    <n v="0"/>
    <n v="0"/>
    <s v="0"/>
    <n v="0"/>
  </r>
  <r>
    <x v="150"/>
    <x v="1"/>
    <n v="4"/>
    <n v="3.5099999999999999E-2"/>
    <n v="5"/>
    <n v="3.3599999999999998E-2"/>
    <n v="1"/>
    <n v="0"/>
    <n v="0"/>
    <n v="0"/>
    <s v="0"/>
    <n v="0"/>
  </r>
  <r>
    <x v="150"/>
    <x v="3"/>
    <n v="42"/>
    <n v="0.36840000000000001"/>
    <n v="54"/>
    <n v="0.3624"/>
    <n v="1"/>
    <n v="5"/>
    <n v="0.11899999999999999"/>
    <n v="137.44999999999999"/>
    <s v="5"/>
    <n v="0.119047619047619"/>
  </r>
  <r>
    <x v="150"/>
    <x v="2"/>
    <n v="9"/>
    <n v="7.8899999999999998E-2"/>
    <n v="15"/>
    <n v="0.1007"/>
    <n v="1"/>
    <n v="3"/>
    <n v="0.33329999999999999"/>
    <n v="50.91"/>
    <s v="2"/>
    <n v="0.22222222222222199"/>
  </r>
  <r>
    <x v="150"/>
    <x v="0"/>
    <n v="48"/>
    <n v="0.42109999999999997"/>
    <n v="62"/>
    <n v="0.41610000000000003"/>
    <n v="1"/>
    <n v="10"/>
    <n v="0.20830000000000001"/>
    <n v="129.69999999999999"/>
    <s v="10"/>
    <n v="0.20833333333333301"/>
  </r>
  <r>
    <x v="151"/>
    <x v="6"/>
    <n v="2"/>
    <n v="8.8000000000000005E-3"/>
    <n v="2"/>
    <n v="7.1000000000000004E-3"/>
    <n v="1"/>
    <n v="0"/>
    <n v="0"/>
    <n v="0"/>
    <s v="0"/>
    <n v="0"/>
  </r>
  <r>
    <x v="151"/>
    <x v="1"/>
    <n v="4"/>
    <n v="1.77E-2"/>
    <n v="4"/>
    <n v="1.43E-2"/>
    <n v="1"/>
    <n v="0"/>
    <n v="0"/>
    <n v="0"/>
    <s v="0"/>
    <n v="0"/>
  </r>
  <r>
    <x v="151"/>
    <x v="3"/>
    <n v="34"/>
    <n v="0.15040000000000001"/>
    <n v="44"/>
    <n v="0.15709999999999999"/>
    <n v="1"/>
    <n v="4"/>
    <n v="0.1176"/>
    <n v="109.96"/>
    <s v="4"/>
    <n v="0.11764705882352899"/>
  </r>
  <r>
    <x v="151"/>
    <x v="2"/>
    <n v="15"/>
    <n v="6.6400000000000001E-2"/>
    <n v="21"/>
    <n v="7.4999999999999997E-2"/>
    <n v="1"/>
    <n v="2"/>
    <n v="0.1333"/>
    <n v="33.94"/>
    <s v="2"/>
    <n v="0.133333333333333"/>
  </r>
  <r>
    <x v="151"/>
    <x v="0"/>
    <n v="157"/>
    <n v="0.69469999999999998"/>
    <n v="192"/>
    <n v="0.68569999999999998"/>
    <n v="1"/>
    <n v="33"/>
    <n v="0.2102"/>
    <n v="428.01"/>
    <s v="32"/>
    <n v="0.20382165605095501"/>
  </r>
  <r>
    <x v="151"/>
    <x v="5"/>
    <n v="14"/>
    <n v="6.1899999999999997E-2"/>
    <n v="17"/>
    <n v="6.0699999999999997E-2"/>
    <n v="1"/>
    <n v="1"/>
    <n v="7.1400000000000005E-2"/>
    <n v="12.99"/>
    <s v="1"/>
    <n v="7.1428571428571397E-2"/>
  </r>
  <r>
    <x v="152"/>
    <x v="1"/>
    <n v="6"/>
    <n v="2.3099999999999999E-2"/>
    <n v="7"/>
    <n v="2.1299999999999999E-2"/>
    <n v="1"/>
    <n v="0"/>
    <n v="0"/>
    <n v="0"/>
    <s v="0"/>
    <n v="0"/>
  </r>
  <r>
    <x v="152"/>
    <x v="5"/>
    <n v="11"/>
    <n v="4.2299999999999997E-2"/>
    <n v="13"/>
    <n v="3.9600000000000003E-2"/>
    <n v="0.92"/>
    <n v="0"/>
    <n v="0"/>
    <n v="0"/>
    <s v="0"/>
    <n v="0"/>
  </r>
  <r>
    <x v="152"/>
    <x v="0"/>
    <n v="196"/>
    <n v="0.75380000000000003"/>
    <n v="249"/>
    <n v="0.7591"/>
    <n v="0.99"/>
    <n v="54"/>
    <n v="0.27550000000000002"/>
    <n v="700.38"/>
    <s v="49"/>
    <n v="0.25"/>
  </r>
  <r>
    <x v="152"/>
    <x v="3"/>
    <n v="33"/>
    <n v="0.12690000000000001"/>
    <n v="40"/>
    <n v="0.122"/>
    <n v="1"/>
    <n v="3"/>
    <n v="9.0899999999999995E-2"/>
    <n v="82.47"/>
    <s v="3"/>
    <n v="9.0909090909090898E-2"/>
  </r>
  <r>
    <x v="152"/>
    <x v="2"/>
    <n v="14"/>
    <n v="5.3800000000000001E-2"/>
    <n v="19"/>
    <n v="5.79E-2"/>
    <n v="1"/>
    <n v="1"/>
    <n v="7.1400000000000005E-2"/>
    <n v="16.97"/>
    <s v="1"/>
    <n v="7.1428571428571397E-2"/>
  </r>
  <r>
    <x v="153"/>
    <x v="1"/>
    <n v="2"/>
    <n v="1.4200000000000001E-2"/>
    <n v="2"/>
    <n v="1.04E-2"/>
    <n v="1"/>
    <n v="0"/>
    <n v="0"/>
    <n v="0"/>
    <s v="0"/>
    <n v="0"/>
  </r>
  <r>
    <x v="153"/>
    <x v="5"/>
    <n v="19"/>
    <n v="0.1348"/>
    <n v="25"/>
    <n v="0.13020000000000001"/>
    <n v="0.96"/>
    <n v="2"/>
    <n v="0.1053"/>
    <n v="25.98"/>
    <s v="2"/>
    <n v="0.105263157894737"/>
  </r>
  <r>
    <x v="153"/>
    <x v="6"/>
    <n v="0"/>
    <n v="0"/>
    <n v="0"/>
    <n v="0"/>
    <n v="0"/>
    <n v="2"/>
    <n v="0"/>
    <n v="23.98"/>
    <s v="1"/>
    <n v="0"/>
  </r>
  <r>
    <x v="153"/>
    <x v="3"/>
    <n v="41"/>
    <n v="0.2908"/>
    <n v="65"/>
    <n v="0.33850000000000002"/>
    <n v="1"/>
    <n v="3"/>
    <n v="7.3200000000000001E-2"/>
    <n v="82.47"/>
    <s v="3"/>
    <n v="7.3170731707317097E-2"/>
  </r>
  <r>
    <x v="153"/>
    <x v="2"/>
    <n v="15"/>
    <n v="0.10639999999999999"/>
    <n v="17"/>
    <n v="8.8499999999999995E-2"/>
    <n v="1"/>
    <n v="2"/>
    <n v="0.1333"/>
    <n v="33.94"/>
    <s v="2"/>
    <n v="0.133333333333333"/>
  </r>
  <r>
    <x v="153"/>
    <x v="0"/>
    <n v="64"/>
    <n v="0.45390000000000003"/>
    <n v="83"/>
    <n v="0.43230000000000002"/>
    <n v="1"/>
    <n v="9"/>
    <n v="0.1406"/>
    <n v="116.73"/>
    <s v="7"/>
    <n v="0.109375"/>
  </r>
  <r>
    <x v="154"/>
    <x v="1"/>
    <n v="4"/>
    <n v="3.6700000000000003E-2"/>
    <n v="4"/>
    <n v="2.9000000000000001E-2"/>
    <n v="1"/>
    <n v="0"/>
    <n v="0"/>
    <n v="0"/>
    <s v="0"/>
    <n v="0"/>
  </r>
  <r>
    <x v="154"/>
    <x v="0"/>
    <n v="47"/>
    <n v="0.43120000000000003"/>
    <n v="62"/>
    <n v="0.44929999999999998"/>
    <n v="0.98"/>
    <n v="12"/>
    <n v="0.25530000000000003"/>
    <n v="155.63999999999999"/>
    <s v="10"/>
    <n v="0.21276595744680801"/>
  </r>
  <r>
    <x v="154"/>
    <x v="3"/>
    <n v="30"/>
    <n v="0.2752"/>
    <n v="40"/>
    <n v="0.28989999999999999"/>
    <n v="1"/>
    <n v="4"/>
    <n v="0.1333"/>
    <n v="109.96"/>
    <s v="4"/>
    <n v="0.133333333333333"/>
  </r>
  <r>
    <x v="154"/>
    <x v="2"/>
    <n v="17"/>
    <n v="0.156"/>
    <n v="20"/>
    <n v="0.1449"/>
    <n v="1"/>
    <n v="3"/>
    <n v="0.17649999999999999"/>
    <n v="50.91"/>
    <s v="2"/>
    <n v="0.11764705882352899"/>
  </r>
  <r>
    <x v="154"/>
    <x v="5"/>
    <n v="11"/>
    <n v="0.1009"/>
    <n v="12"/>
    <n v="8.6999999999999994E-2"/>
    <n v="1"/>
    <n v="2"/>
    <n v="0.18179999999999999"/>
    <n v="25.98"/>
    <s v="2"/>
    <n v="0.18181818181818199"/>
  </r>
  <r>
    <x v="155"/>
    <x v="5"/>
    <n v="8"/>
    <n v="6.6699999999999995E-2"/>
    <n v="8"/>
    <n v="3.9600000000000003E-2"/>
    <n v="1"/>
    <n v="4"/>
    <n v="0.5"/>
    <n v="51.96"/>
    <s v="4"/>
    <n v="0.5"/>
  </r>
  <r>
    <x v="155"/>
    <x v="3"/>
    <n v="33"/>
    <n v="0.27500000000000002"/>
    <n v="64"/>
    <n v="0.31680000000000003"/>
    <n v="1"/>
    <n v="3"/>
    <n v="9.0899999999999995E-2"/>
    <n v="82.47"/>
    <s v="3"/>
    <n v="9.0909090909090898E-2"/>
  </r>
  <r>
    <x v="155"/>
    <x v="2"/>
    <n v="21"/>
    <n v="0.17499999999999999"/>
    <n v="36"/>
    <n v="0.1782"/>
    <n v="1"/>
    <n v="2"/>
    <n v="9.5200000000000007E-2"/>
    <n v="33.94"/>
    <s v="2"/>
    <n v="9.5238095238095205E-2"/>
  </r>
  <r>
    <x v="155"/>
    <x v="0"/>
    <n v="55"/>
    <n v="0.45829999999999999"/>
    <n v="91"/>
    <n v="0.45050000000000001"/>
    <n v="1"/>
    <n v="6"/>
    <n v="0.1091"/>
    <n v="77.819999999999993"/>
    <s v="6"/>
    <n v="0.109090909090909"/>
  </r>
  <r>
    <x v="155"/>
    <x v="1"/>
    <n v="3"/>
    <n v="2.5000000000000001E-2"/>
    <n v="3"/>
    <n v="1.49E-2"/>
    <n v="1"/>
    <n v="1"/>
    <n v="0.33329999999999999"/>
    <n v="15.99"/>
    <s v="1"/>
    <n v="0.33333333333333298"/>
  </r>
  <r>
    <x v="156"/>
    <x v="1"/>
    <n v="1"/>
    <n v="9.1999999999999998E-3"/>
    <n v="3"/>
    <n v="1.3299999999999999E-2"/>
    <n v="1"/>
    <n v="0"/>
    <n v="0"/>
    <n v="0"/>
    <s v="0"/>
    <n v="0"/>
  </r>
  <r>
    <x v="156"/>
    <x v="5"/>
    <n v="17"/>
    <n v="0.156"/>
    <n v="21"/>
    <n v="9.3299999999999994E-2"/>
    <n v="0.95"/>
    <n v="3"/>
    <n v="0.17649999999999999"/>
    <n v="38.97"/>
    <s v="3"/>
    <n v="0.17647058823529399"/>
  </r>
  <r>
    <x v="156"/>
    <x v="3"/>
    <n v="25"/>
    <n v="0.22939999999999999"/>
    <n v="61"/>
    <n v="0.27110000000000001"/>
    <n v="1"/>
    <n v="4"/>
    <n v="0.16"/>
    <n v="109.96"/>
    <s v="4"/>
    <n v="0.16"/>
  </r>
  <r>
    <x v="156"/>
    <x v="2"/>
    <n v="14"/>
    <n v="0.12839999999999999"/>
    <n v="29"/>
    <n v="0.12889999999999999"/>
    <n v="1"/>
    <n v="3"/>
    <n v="0.21429999999999999"/>
    <n v="50.91"/>
    <s v="3"/>
    <n v="0.214285714285714"/>
  </r>
  <r>
    <x v="156"/>
    <x v="0"/>
    <n v="52"/>
    <n v="0.47710000000000002"/>
    <n v="111"/>
    <n v="0.49330000000000002"/>
    <n v="1"/>
    <n v="7"/>
    <n v="0.1346"/>
    <n v="90.79"/>
    <s v="6"/>
    <n v="0.115384615384615"/>
  </r>
  <r>
    <x v="157"/>
    <x v="3"/>
    <n v="27"/>
    <n v="0.2477"/>
    <n v="42"/>
    <n v="0.16869999999999999"/>
    <n v="1"/>
    <n v="0"/>
    <n v="0"/>
    <n v="0"/>
    <s v="0"/>
    <n v="0"/>
  </r>
  <r>
    <x v="157"/>
    <x v="5"/>
    <n v="15"/>
    <n v="0.1376"/>
    <n v="19"/>
    <n v="7.6300000000000007E-2"/>
    <n v="1"/>
    <n v="3"/>
    <n v="0.2"/>
    <n v="38.97"/>
    <s v="3"/>
    <n v="0.2"/>
  </r>
  <r>
    <x v="157"/>
    <x v="0"/>
    <n v="42"/>
    <n v="0.38529999999999998"/>
    <n v="125"/>
    <n v="0.502"/>
    <n v="1"/>
    <n v="7"/>
    <n v="0.16669999999999999"/>
    <n v="90.79"/>
    <s v="6"/>
    <n v="0.14285714285714299"/>
  </r>
  <r>
    <x v="157"/>
    <x v="2"/>
    <n v="22"/>
    <n v="0.20180000000000001"/>
    <n v="56"/>
    <n v="0.22489999999999999"/>
    <n v="1"/>
    <n v="1"/>
    <n v="4.5499999999999999E-2"/>
    <n v="16.97"/>
    <s v="1"/>
    <n v="4.5454545454545497E-2"/>
  </r>
  <r>
    <x v="157"/>
    <x v="1"/>
    <n v="3"/>
    <n v="2.75E-2"/>
    <n v="7"/>
    <n v="2.81E-2"/>
    <n v="1"/>
    <n v="1"/>
    <n v="0.33329999999999999"/>
    <n v="15.99"/>
    <s v="1"/>
    <n v="0.33333333333333298"/>
  </r>
  <r>
    <x v="158"/>
    <x v="1"/>
    <n v="4"/>
    <n v="3.1300000000000001E-2"/>
    <n v="21"/>
    <n v="6.6500000000000004E-2"/>
    <n v="1"/>
    <n v="0"/>
    <n v="0"/>
    <n v="0"/>
    <s v="0"/>
    <n v="0"/>
  </r>
  <r>
    <x v="158"/>
    <x v="0"/>
    <n v="49"/>
    <n v="0.38279999999999997"/>
    <n v="135"/>
    <n v="0.42720000000000002"/>
    <n v="0.99"/>
    <n v="6"/>
    <n v="0.12239999999999999"/>
    <n v="77.819999999999993"/>
    <s v="5"/>
    <n v="0.102040816326531"/>
  </r>
  <r>
    <x v="158"/>
    <x v="2"/>
    <n v="15"/>
    <n v="0.1172"/>
    <n v="36"/>
    <n v="0.1139"/>
    <n v="1"/>
    <n v="2"/>
    <n v="0.1333"/>
    <n v="33.94"/>
    <s v="2"/>
    <n v="0.133333333333333"/>
  </r>
  <r>
    <x v="158"/>
    <x v="3"/>
    <n v="38"/>
    <n v="0.2969"/>
    <n v="95"/>
    <n v="0.30059999999999998"/>
    <n v="1"/>
    <n v="1"/>
    <n v="2.63E-2"/>
    <n v="27.49"/>
    <s v="1"/>
    <n v="2.6315789473684199E-2"/>
  </r>
  <r>
    <x v="158"/>
    <x v="5"/>
    <n v="22"/>
    <n v="0.1719"/>
    <n v="29"/>
    <n v="9.1800000000000007E-2"/>
    <n v="1"/>
    <n v="1"/>
    <n v="4.5499999999999999E-2"/>
    <n v="12.99"/>
    <s v="1"/>
    <n v="4.5454545454545497E-2"/>
  </r>
  <r>
    <x v="159"/>
    <x v="1"/>
    <n v="5"/>
    <n v="3.73E-2"/>
    <n v="6"/>
    <n v="2.3300000000000001E-2"/>
    <n v="1"/>
    <n v="0"/>
    <n v="0"/>
    <n v="0"/>
    <s v="0"/>
    <n v="0"/>
  </r>
  <r>
    <x v="159"/>
    <x v="0"/>
    <n v="64"/>
    <n v="0.47760000000000002"/>
    <n v="152"/>
    <n v="0.58909999999999996"/>
    <n v="0.99"/>
    <n v="6"/>
    <n v="9.3799999999999994E-2"/>
    <n v="77.819999999999993"/>
    <s v="6"/>
    <n v="9.375E-2"/>
  </r>
  <r>
    <x v="159"/>
    <x v="5"/>
    <n v="9"/>
    <n v="6.7199999999999996E-2"/>
    <n v="19"/>
    <n v="7.3599999999999999E-2"/>
    <n v="0.95"/>
    <n v="3"/>
    <n v="0.33329999999999999"/>
    <n v="38.97"/>
    <s v="2"/>
    <n v="0.22222222222222199"/>
  </r>
  <r>
    <x v="159"/>
    <x v="3"/>
    <n v="39"/>
    <n v="0.29099999999999998"/>
    <n v="52"/>
    <n v="0.2016"/>
    <n v="1"/>
    <n v="7"/>
    <n v="0.17949999999999999"/>
    <n v="192.43"/>
    <s v="7"/>
    <n v="0.17948717948717999"/>
  </r>
  <r>
    <x v="159"/>
    <x v="2"/>
    <n v="17"/>
    <n v="0.12690000000000001"/>
    <n v="29"/>
    <n v="0.1124"/>
    <n v="1"/>
    <n v="6"/>
    <n v="0.35289999999999999"/>
    <n v="101.82"/>
    <s v="4"/>
    <n v="0.23529411764705899"/>
  </r>
  <r>
    <x v="160"/>
    <x v="3"/>
    <n v="35"/>
    <n v="0.18820000000000001"/>
    <n v="72"/>
    <n v="0.1973"/>
    <n v="1"/>
    <n v="0"/>
    <n v="0"/>
    <n v="0"/>
    <s v="0"/>
    <n v="0"/>
  </r>
  <r>
    <x v="160"/>
    <x v="2"/>
    <n v="16"/>
    <n v="8.5999999999999993E-2"/>
    <n v="26"/>
    <n v="7.1199999999999999E-2"/>
    <n v="1"/>
    <n v="0"/>
    <n v="0"/>
    <n v="0"/>
    <s v="0"/>
    <n v="0"/>
  </r>
  <r>
    <x v="160"/>
    <x v="1"/>
    <n v="3"/>
    <n v="1.61E-2"/>
    <n v="7"/>
    <n v="1.9199999999999998E-2"/>
    <n v="1"/>
    <n v="0"/>
    <n v="0"/>
    <n v="0"/>
    <s v="0"/>
    <n v="0"/>
  </r>
  <r>
    <x v="160"/>
    <x v="6"/>
    <n v="1"/>
    <n v="5.4000000000000003E-3"/>
    <n v="3"/>
    <n v="8.2000000000000007E-3"/>
    <n v="0"/>
    <n v="0"/>
    <n v="0"/>
    <n v="0"/>
    <s v="0"/>
    <n v="0"/>
  </r>
  <r>
    <x v="160"/>
    <x v="4"/>
    <n v="1"/>
    <n v="5.4000000000000003E-3"/>
    <n v="3"/>
    <n v="8.2000000000000007E-3"/>
    <n v="0"/>
    <n v="0"/>
    <n v="0"/>
    <n v="0"/>
    <s v="0"/>
    <n v="0"/>
  </r>
  <r>
    <x v="160"/>
    <x v="0"/>
    <n v="96"/>
    <n v="0.5161"/>
    <n v="188"/>
    <n v="0.5151"/>
    <n v="0.99"/>
    <n v="26"/>
    <n v="0.27079999999999999"/>
    <n v="337.22"/>
    <s v="25"/>
    <n v="0.26041666666666702"/>
  </r>
  <r>
    <x v="160"/>
    <x v="5"/>
    <n v="34"/>
    <n v="0.18279999999999999"/>
    <n v="66"/>
    <n v="0.18079999999999999"/>
    <n v="0.98"/>
    <n v="4"/>
    <n v="0.1176"/>
    <n v="51.96"/>
    <s v="4"/>
    <n v="0.11764705882352899"/>
  </r>
  <r>
    <x v="161"/>
    <x v="2"/>
    <n v="20"/>
    <n v="0.1653"/>
    <n v="30"/>
    <n v="0.16569999999999999"/>
    <n v="1"/>
    <n v="0"/>
    <n v="0"/>
    <n v="0"/>
    <s v="0"/>
    <n v="0"/>
  </r>
  <r>
    <x v="161"/>
    <x v="5"/>
    <n v="12"/>
    <n v="9.9199999999999997E-2"/>
    <n v="18"/>
    <n v="9.9400000000000002E-2"/>
    <n v="1"/>
    <n v="0"/>
    <n v="0"/>
    <n v="0"/>
    <s v="0"/>
    <n v="0"/>
  </r>
  <r>
    <x v="161"/>
    <x v="3"/>
    <n v="34"/>
    <n v="0.28100000000000003"/>
    <n v="48"/>
    <n v="0.26519999999999999"/>
    <n v="1"/>
    <n v="3"/>
    <n v="8.8200000000000001E-2"/>
    <n v="82.47"/>
    <s v="3"/>
    <n v="8.8235294117647106E-2"/>
  </r>
  <r>
    <x v="161"/>
    <x v="0"/>
    <n v="51"/>
    <n v="0.42149999999999999"/>
    <n v="81"/>
    <n v="0.44750000000000001"/>
    <n v="1"/>
    <n v="3"/>
    <n v="5.8799999999999998E-2"/>
    <n v="38.909999999999997"/>
    <s v="3"/>
    <n v="5.8823529411764698E-2"/>
  </r>
  <r>
    <x v="161"/>
    <x v="1"/>
    <n v="4"/>
    <n v="3.3099999999999997E-2"/>
    <n v="4"/>
    <n v="2.2100000000000002E-2"/>
    <n v="1"/>
    <n v="1"/>
    <n v="0.25"/>
    <n v="15.99"/>
    <s v="1"/>
    <n v="0.25"/>
  </r>
  <r>
    <x v="162"/>
    <x v="5"/>
    <n v="13"/>
    <n v="0.11020000000000001"/>
    <n v="20"/>
    <n v="0.1163"/>
    <n v="1"/>
    <n v="0"/>
    <n v="0"/>
    <n v="0"/>
    <s v="0"/>
    <n v="0"/>
  </r>
  <r>
    <x v="162"/>
    <x v="1"/>
    <n v="5"/>
    <n v="4.24E-2"/>
    <n v="7"/>
    <n v="4.07E-2"/>
    <n v="1"/>
    <n v="0"/>
    <n v="0"/>
    <n v="0"/>
    <s v="0"/>
    <n v="0"/>
  </r>
  <r>
    <x v="162"/>
    <x v="3"/>
    <n v="33"/>
    <n v="0.2797"/>
    <n v="49"/>
    <n v="0.28489999999999999"/>
    <n v="1"/>
    <n v="2"/>
    <n v="6.0600000000000001E-2"/>
    <n v="54.98"/>
    <s v="2"/>
    <n v="6.0606060606060601E-2"/>
  </r>
  <r>
    <x v="162"/>
    <x v="0"/>
    <n v="51"/>
    <n v="0.43219999999999997"/>
    <n v="69"/>
    <n v="0.4012"/>
    <n v="1"/>
    <n v="18"/>
    <n v="0.35289999999999999"/>
    <n v="233.46"/>
    <s v="8"/>
    <n v="0.15686274509803899"/>
  </r>
  <r>
    <x v="162"/>
    <x v="2"/>
    <n v="16"/>
    <n v="0.1356"/>
    <n v="27"/>
    <n v="0.157"/>
    <n v="1"/>
    <n v="1"/>
    <n v="6.25E-2"/>
    <n v="16.97"/>
    <s v="1"/>
    <n v="6.25E-2"/>
  </r>
  <r>
    <x v="163"/>
    <x v="1"/>
    <n v="3"/>
    <n v="2.8299999999999999E-2"/>
    <n v="3"/>
    <n v="2.1000000000000001E-2"/>
    <n v="1"/>
    <n v="0"/>
    <n v="0"/>
    <n v="0"/>
    <s v="0"/>
    <n v="0"/>
  </r>
  <r>
    <x v="163"/>
    <x v="2"/>
    <n v="19"/>
    <n v="0.1792"/>
    <n v="22"/>
    <n v="0.15379999999999999"/>
    <n v="0.95"/>
    <n v="3"/>
    <n v="0.15790000000000001"/>
    <n v="50.91"/>
    <s v="3"/>
    <n v="0.157894736842105"/>
  </r>
  <r>
    <x v="163"/>
    <x v="3"/>
    <n v="29"/>
    <n v="0.27360000000000001"/>
    <n v="48"/>
    <n v="0.3357"/>
    <n v="1"/>
    <n v="6"/>
    <n v="0.2069"/>
    <n v="164.94"/>
    <s v="5"/>
    <n v="0.17241379310344801"/>
  </r>
  <r>
    <x v="163"/>
    <x v="5"/>
    <n v="9"/>
    <n v="8.4900000000000003E-2"/>
    <n v="9"/>
    <n v="6.2899999999999998E-2"/>
    <n v="1"/>
    <n v="2"/>
    <n v="0.22220000000000001"/>
    <n v="25.98"/>
    <s v="2"/>
    <n v="0.22222222222222199"/>
  </r>
  <r>
    <x v="163"/>
    <x v="0"/>
    <n v="46"/>
    <n v="0.434"/>
    <n v="61"/>
    <n v="0.42659999999999998"/>
    <n v="1"/>
    <n v="7"/>
    <n v="0.1522"/>
    <n v="90.79"/>
    <s v="7"/>
    <n v="0.15217391304347799"/>
  </r>
  <r>
    <x v="164"/>
    <x v="1"/>
    <n v="1"/>
    <n v="1.23E-2"/>
    <n v="1"/>
    <n v="9.9000000000000008E-3"/>
    <n v="1"/>
    <n v="0"/>
    <n v="0"/>
    <n v="0"/>
    <s v="0"/>
    <n v="0"/>
  </r>
  <r>
    <x v="164"/>
    <x v="2"/>
    <n v="18"/>
    <n v="0.22220000000000001"/>
    <n v="23"/>
    <n v="0.22770000000000001"/>
    <n v="0.96"/>
    <n v="1"/>
    <n v="5.5599999999999997E-2"/>
    <n v="16.97"/>
    <s v="1"/>
    <n v="5.5555555555555601E-2"/>
  </r>
  <r>
    <x v="164"/>
    <x v="3"/>
    <n v="27"/>
    <n v="0.33329999999999999"/>
    <n v="29"/>
    <n v="0.28710000000000002"/>
    <n v="1"/>
    <n v="2"/>
    <n v="7.4099999999999999E-2"/>
    <n v="54.98"/>
    <s v="1"/>
    <n v="3.7037037037037E-2"/>
  </r>
  <r>
    <x v="164"/>
    <x v="0"/>
    <n v="29"/>
    <n v="0.35799999999999998"/>
    <n v="42"/>
    <n v="0.4158"/>
    <n v="1"/>
    <n v="23"/>
    <n v="0.79310000000000003"/>
    <n v="298.31"/>
    <s v="12"/>
    <n v="0.41379310344827602"/>
  </r>
  <r>
    <x v="164"/>
    <x v="5"/>
    <n v="6"/>
    <n v="7.4099999999999999E-2"/>
    <n v="6"/>
    <n v="5.9400000000000001E-2"/>
    <n v="1"/>
    <n v="1"/>
    <n v="0.16669999999999999"/>
    <n v="12.99"/>
    <s v="1"/>
    <n v="0.16666666666666699"/>
  </r>
  <r>
    <x v="165"/>
    <x v="1"/>
    <n v="2"/>
    <n v="2.0199999999999999E-2"/>
    <n v="2"/>
    <n v="1.4800000000000001E-2"/>
    <n v="1"/>
    <n v="0"/>
    <n v="0"/>
    <n v="0"/>
    <s v="0"/>
    <n v="0"/>
  </r>
  <r>
    <x v="165"/>
    <x v="4"/>
    <n v="0"/>
    <n v="0"/>
    <n v="0"/>
    <n v="0"/>
    <n v="0"/>
    <n v="1"/>
    <n v="0"/>
    <n v="14.99"/>
    <s v="1"/>
    <n v="0"/>
  </r>
  <r>
    <x v="165"/>
    <x v="3"/>
    <n v="30"/>
    <n v="0.30299999999999999"/>
    <n v="42"/>
    <n v="0.31109999999999999"/>
    <n v="1"/>
    <n v="5"/>
    <n v="0.16669999999999999"/>
    <n v="137.44999999999999"/>
    <s v="4"/>
    <n v="0.133333333333333"/>
  </r>
  <r>
    <x v="165"/>
    <x v="2"/>
    <n v="13"/>
    <n v="0.1313"/>
    <n v="19"/>
    <n v="0.14069999999999999"/>
    <n v="1"/>
    <n v="2"/>
    <n v="0.15379999999999999"/>
    <n v="33.94"/>
    <s v="2"/>
    <n v="0.15384615384615399"/>
  </r>
  <r>
    <x v="165"/>
    <x v="0"/>
    <n v="48"/>
    <n v="0.48480000000000001"/>
    <n v="65"/>
    <n v="0.48149999999999998"/>
    <n v="1"/>
    <n v="6"/>
    <n v="0.125"/>
    <n v="77.819999999999993"/>
    <s v="6"/>
    <n v="0.125"/>
  </r>
  <r>
    <x v="165"/>
    <x v="5"/>
    <n v="6"/>
    <n v="6.0600000000000001E-2"/>
    <n v="7"/>
    <n v="5.1900000000000002E-2"/>
    <n v="1"/>
    <n v="1"/>
    <n v="0.16669999999999999"/>
    <n v="12.99"/>
    <s v="1"/>
    <n v="0.16666666666666699"/>
  </r>
  <r>
    <x v="166"/>
    <x v="1"/>
    <n v="3"/>
    <n v="2.86E-2"/>
    <n v="4"/>
    <n v="2.76E-2"/>
    <n v="1"/>
    <n v="0"/>
    <n v="0"/>
    <n v="0"/>
    <s v="0"/>
    <n v="0"/>
  </r>
  <r>
    <x v="166"/>
    <x v="3"/>
    <n v="31"/>
    <n v="0.29520000000000002"/>
    <n v="42"/>
    <n v="0.28970000000000001"/>
    <n v="1"/>
    <n v="4"/>
    <n v="0.129"/>
    <n v="109.96"/>
    <s v="4"/>
    <n v="0.12903225806451599"/>
  </r>
  <r>
    <x v="166"/>
    <x v="2"/>
    <n v="22"/>
    <n v="0.20949999999999999"/>
    <n v="27"/>
    <n v="0.1862"/>
    <n v="1"/>
    <n v="4"/>
    <n v="0.18179999999999999"/>
    <n v="67.88"/>
    <s v="2"/>
    <n v="9.0909090909090898E-2"/>
  </r>
  <r>
    <x v="166"/>
    <x v="0"/>
    <n v="43"/>
    <n v="0.40949999999999998"/>
    <n v="64"/>
    <n v="0.44140000000000001"/>
    <n v="1"/>
    <n v="15"/>
    <n v="0.3488"/>
    <n v="194.55"/>
    <s v="12"/>
    <n v="0.27906976744186002"/>
  </r>
  <r>
    <x v="166"/>
    <x v="5"/>
    <n v="6"/>
    <n v="5.7099999999999998E-2"/>
    <n v="8"/>
    <n v="5.5199999999999999E-2"/>
    <n v="1"/>
    <n v="1"/>
    <n v="0.16669999999999999"/>
    <n v="12.99"/>
    <s v="1"/>
    <n v="0.16666666666666699"/>
  </r>
  <r>
    <x v="167"/>
    <x v="6"/>
    <n v="1"/>
    <n v="1.11E-2"/>
    <n v="1"/>
    <n v="8.9999999999999993E-3"/>
    <n v="1"/>
    <n v="0"/>
    <n v="0"/>
    <n v="0"/>
    <s v="0"/>
    <n v="0"/>
  </r>
  <r>
    <x v="167"/>
    <x v="1"/>
    <n v="2"/>
    <n v="2.2200000000000001E-2"/>
    <n v="2"/>
    <n v="1.7999999999999999E-2"/>
    <n v="1"/>
    <n v="0"/>
    <n v="0"/>
    <n v="0"/>
    <s v="0"/>
    <n v="0"/>
  </r>
  <r>
    <x v="167"/>
    <x v="3"/>
    <n v="35"/>
    <n v="0.38890000000000002"/>
    <n v="41"/>
    <n v="0.36940000000000001"/>
    <n v="1"/>
    <n v="1"/>
    <n v="0"/>
    <n v="0"/>
    <s v="1"/>
    <n v="2.8571428571428598E-2"/>
  </r>
  <r>
    <x v="167"/>
    <x v="0"/>
    <n v="33"/>
    <n v="0.36670000000000003"/>
    <n v="40"/>
    <n v="0.3604"/>
    <n v="1"/>
    <n v="9"/>
    <n v="0"/>
    <n v="0"/>
    <s v="8"/>
    <n v="0.24242424242424199"/>
  </r>
  <r>
    <x v="167"/>
    <x v="2"/>
    <n v="16"/>
    <n v="0.17780000000000001"/>
    <n v="23"/>
    <n v="0.2072"/>
    <n v="1"/>
    <n v="2"/>
    <n v="0"/>
    <n v="0"/>
    <s v="2"/>
    <n v="0.125"/>
  </r>
  <r>
    <x v="167"/>
    <x v="5"/>
    <n v="3"/>
    <n v="3.3300000000000003E-2"/>
    <n v="4"/>
    <n v="3.5999999999999997E-2"/>
    <n v="0.75"/>
    <n v="2"/>
    <n v="0"/>
    <n v="0"/>
    <s v="2"/>
    <n v="0.66666666666666696"/>
  </r>
  <r>
    <x v="168"/>
    <x v="6"/>
    <n v="1"/>
    <n v="7.1000000000000004E-3"/>
    <n v="1"/>
    <n v="5.1000000000000004E-3"/>
    <n v="0"/>
    <n v="0"/>
    <n v="0"/>
    <n v="0"/>
    <s v="0"/>
    <n v="0"/>
  </r>
  <r>
    <x v="168"/>
    <x v="2"/>
    <n v="29"/>
    <n v="0.20569999999999999"/>
    <n v="34"/>
    <n v="0.1744"/>
    <n v="0.97"/>
    <n v="2"/>
    <n v="6.9000000000000006E-2"/>
    <n v="33.94"/>
    <s v="2"/>
    <n v="6.8965517241379296E-2"/>
  </r>
  <r>
    <x v="168"/>
    <x v="3"/>
    <n v="35"/>
    <n v="0.2482"/>
    <n v="47"/>
    <n v="0.24099999999999999"/>
    <n v="1"/>
    <n v="3"/>
    <n v="8.5699999999999998E-2"/>
    <n v="82.47"/>
    <s v="3"/>
    <n v="8.5714285714285701E-2"/>
  </r>
  <r>
    <x v="168"/>
    <x v="1"/>
    <n v="5"/>
    <n v="3.5499999999999997E-2"/>
    <n v="6"/>
    <n v="3.0800000000000001E-2"/>
    <n v="1"/>
    <n v="3"/>
    <n v="0.6"/>
    <n v="47.97"/>
    <s v="2"/>
    <n v="0.4"/>
  </r>
  <r>
    <x v="168"/>
    <x v="0"/>
    <n v="63"/>
    <n v="0.44679999999999997"/>
    <n v="95"/>
    <n v="0.48720000000000002"/>
    <n v="1"/>
    <n v="17"/>
    <n v="0.26979999999999998"/>
    <n v="220.49"/>
    <s v="12"/>
    <n v="0.19047619047618999"/>
  </r>
  <r>
    <x v="168"/>
    <x v="5"/>
    <n v="8"/>
    <n v="5.67E-2"/>
    <n v="12"/>
    <n v="6.1499999999999999E-2"/>
    <n v="1"/>
    <n v="1"/>
    <n v="0.125"/>
    <n v="12.99"/>
    <s v="1"/>
    <n v="0.125"/>
  </r>
  <r>
    <x v="169"/>
    <x v="2"/>
    <n v="25"/>
    <n v="0.20830000000000001"/>
    <n v="34"/>
    <n v="0.21249999999999999"/>
    <n v="1"/>
    <n v="0"/>
    <n v="0"/>
    <n v="0"/>
    <s v="0"/>
    <n v="0"/>
  </r>
  <r>
    <x v="169"/>
    <x v="1"/>
    <n v="4"/>
    <n v="3.3300000000000003E-2"/>
    <n v="4"/>
    <n v="2.5000000000000001E-2"/>
    <n v="1"/>
    <n v="0"/>
    <n v="0"/>
    <n v="0"/>
    <s v="0"/>
    <n v="0"/>
  </r>
  <r>
    <x v="169"/>
    <x v="3"/>
    <n v="27"/>
    <n v="0.22500000000000001"/>
    <n v="33"/>
    <n v="0.20630000000000001"/>
    <n v="1"/>
    <n v="2"/>
    <n v="7.4099999999999999E-2"/>
    <n v="54.98"/>
    <s v="2"/>
    <n v="7.4074074074074098E-2"/>
  </r>
  <r>
    <x v="169"/>
    <x v="0"/>
    <n v="58"/>
    <n v="0.48330000000000001"/>
    <n v="81"/>
    <n v="0.50629999999999997"/>
    <n v="1"/>
    <n v="15"/>
    <n v="0.2586"/>
    <n v="194.55"/>
    <s v="15"/>
    <n v="0.25862068965517199"/>
  </r>
  <r>
    <x v="169"/>
    <x v="5"/>
    <n v="6"/>
    <n v="0.05"/>
    <n v="8"/>
    <n v="0.05"/>
    <n v="1"/>
    <n v="1"/>
    <n v="0.16669999999999999"/>
    <n v="12.99"/>
    <s v="1"/>
    <n v="0.16666666666666699"/>
  </r>
  <r>
    <x v="170"/>
    <x v="4"/>
    <n v="1"/>
    <n v="5.1999999999999998E-3"/>
    <n v="1"/>
    <n v="4.0000000000000001E-3"/>
    <n v="1"/>
    <n v="0"/>
    <n v="0"/>
    <n v="0"/>
    <s v="0"/>
    <n v="0"/>
  </r>
  <r>
    <x v="170"/>
    <x v="1"/>
    <n v="8"/>
    <n v="4.19E-2"/>
    <n v="8"/>
    <n v="3.2300000000000002E-2"/>
    <n v="1"/>
    <n v="0"/>
    <n v="0"/>
    <n v="0"/>
    <s v="0"/>
    <n v="0"/>
  </r>
  <r>
    <x v="170"/>
    <x v="2"/>
    <n v="25"/>
    <n v="0.13089999999999999"/>
    <n v="40"/>
    <n v="0.1613"/>
    <n v="0.95"/>
    <n v="1"/>
    <n v="0.04"/>
    <n v="16.97"/>
    <s v="1"/>
    <n v="0.04"/>
  </r>
  <r>
    <x v="170"/>
    <x v="3"/>
    <n v="34"/>
    <n v="0.17799999999999999"/>
    <n v="42"/>
    <n v="0.1694"/>
    <n v="1"/>
    <n v="2"/>
    <n v="5.8799999999999998E-2"/>
    <n v="54.98"/>
    <s v="2"/>
    <n v="5.8823529411764698E-2"/>
  </r>
  <r>
    <x v="170"/>
    <x v="0"/>
    <n v="107"/>
    <n v="0.56020000000000003"/>
    <n v="139"/>
    <n v="0.5605"/>
    <n v="1"/>
    <n v="24"/>
    <n v="0.2243"/>
    <n v="311.27999999999997"/>
    <s v="24"/>
    <n v="0.22429906542056099"/>
  </r>
  <r>
    <x v="170"/>
    <x v="5"/>
    <n v="16"/>
    <n v="8.3799999999999999E-2"/>
    <n v="18"/>
    <n v="7.2599999999999998E-2"/>
    <n v="1"/>
    <n v="1"/>
    <n v="6.25E-2"/>
    <n v="12.99"/>
    <s v="1"/>
    <n v="6.25E-2"/>
  </r>
  <r>
    <x v="171"/>
    <x v="1"/>
    <n v="4"/>
    <n v="3.5700000000000003E-2"/>
    <n v="5"/>
    <n v="3.1800000000000002E-2"/>
    <n v="1"/>
    <n v="0"/>
    <n v="0"/>
    <n v="0"/>
    <s v="0"/>
    <n v="0"/>
  </r>
  <r>
    <x v="171"/>
    <x v="2"/>
    <n v="25"/>
    <n v="0.22320000000000001"/>
    <n v="35"/>
    <n v="0.22289999999999999"/>
    <n v="1"/>
    <n v="2"/>
    <n v="0.08"/>
    <n v="33.94"/>
    <s v="2"/>
    <n v="0.08"/>
  </r>
  <r>
    <x v="171"/>
    <x v="5"/>
    <n v="13"/>
    <n v="0.11609999999999999"/>
    <n v="20"/>
    <n v="0.12740000000000001"/>
    <n v="1"/>
    <n v="2"/>
    <n v="0.15379999999999999"/>
    <n v="25.98"/>
    <s v="2"/>
    <n v="0.15384615384615399"/>
  </r>
  <r>
    <x v="171"/>
    <x v="0"/>
    <n v="49"/>
    <n v="0.4375"/>
    <n v="72"/>
    <n v="0.45860000000000001"/>
    <n v="1"/>
    <n v="3"/>
    <n v="6.1199999999999997E-2"/>
    <n v="38.909999999999997"/>
    <s v="2"/>
    <n v="4.08163265306122E-2"/>
  </r>
  <r>
    <x v="171"/>
    <x v="3"/>
    <n v="21"/>
    <n v="0.1875"/>
    <n v="25"/>
    <n v="0.15920000000000001"/>
    <n v="1"/>
    <n v="1"/>
    <n v="4.7600000000000003E-2"/>
    <n v="27.49"/>
    <s v="1"/>
    <n v="4.7619047619047603E-2"/>
  </r>
  <r>
    <x v="172"/>
    <x v="1"/>
    <n v="1"/>
    <n v="8.3000000000000001E-3"/>
    <n v="1"/>
    <n v="6.1999999999999998E-3"/>
    <n v="1"/>
    <n v="0"/>
    <n v="0"/>
    <n v="0"/>
    <s v="0"/>
    <n v="0"/>
  </r>
  <r>
    <x v="172"/>
    <x v="4"/>
    <n v="1"/>
    <n v="8.3000000000000001E-3"/>
    <n v="1"/>
    <n v="6.1999999999999998E-3"/>
    <n v="0"/>
    <n v="0"/>
    <n v="0"/>
    <n v="0"/>
    <s v="0"/>
    <n v="0"/>
  </r>
  <r>
    <x v="172"/>
    <x v="6"/>
    <n v="1"/>
    <n v="8.3000000000000001E-3"/>
    <n v="1"/>
    <n v="6.1999999999999998E-3"/>
    <n v="0"/>
    <n v="0"/>
    <n v="0"/>
    <n v="0"/>
    <s v="0"/>
    <n v="0"/>
  </r>
  <r>
    <x v="172"/>
    <x v="2"/>
    <n v="17"/>
    <n v="0.14050000000000001"/>
    <n v="24"/>
    <n v="0.14910000000000001"/>
    <n v="0.96"/>
    <n v="1"/>
    <n v="5.8799999999999998E-2"/>
    <n v="16.97"/>
    <s v="1"/>
    <n v="5.8823529411764698E-2"/>
  </r>
  <r>
    <x v="172"/>
    <x v="3"/>
    <n v="29"/>
    <n v="0.2397"/>
    <n v="43"/>
    <n v="0.2671"/>
    <n v="1"/>
    <n v="4"/>
    <n v="0.13789999999999999"/>
    <n v="109.96"/>
    <s v="4"/>
    <n v="0.13793103448275901"/>
  </r>
  <r>
    <x v="172"/>
    <x v="0"/>
    <n v="58"/>
    <n v="0.4793"/>
    <n v="72"/>
    <n v="0.44719999999999999"/>
    <n v="1"/>
    <n v="17"/>
    <n v="0.29310000000000003"/>
    <n v="220.49"/>
    <s v="17"/>
    <n v="0.29310344827586199"/>
  </r>
  <r>
    <x v="172"/>
    <x v="5"/>
    <n v="14"/>
    <n v="0.1157"/>
    <n v="19"/>
    <n v="0.11799999999999999"/>
    <n v="1"/>
    <n v="1"/>
    <n v="7.1400000000000005E-2"/>
    <n v="12.99"/>
    <s v="1"/>
    <n v="7.1428571428571397E-2"/>
  </r>
  <r>
    <x v="173"/>
    <x v="6"/>
    <n v="1"/>
    <n v="7.1000000000000004E-3"/>
    <n v="1"/>
    <n v="5.4000000000000003E-3"/>
    <n v="1"/>
    <n v="0"/>
    <n v="0"/>
    <n v="0"/>
    <s v="0"/>
    <n v="0"/>
  </r>
  <r>
    <x v="173"/>
    <x v="2"/>
    <n v="21"/>
    <n v="0.15"/>
    <n v="35"/>
    <n v="0.19020000000000001"/>
    <n v="1"/>
    <n v="0"/>
    <n v="0"/>
    <n v="0"/>
    <s v="0"/>
    <n v="0"/>
  </r>
  <r>
    <x v="173"/>
    <x v="1"/>
    <n v="3"/>
    <n v="2.1399999999999999E-2"/>
    <n v="4"/>
    <n v="2.1700000000000001E-2"/>
    <n v="1"/>
    <n v="0"/>
    <n v="0"/>
    <n v="0"/>
    <s v="0"/>
    <n v="0"/>
  </r>
  <r>
    <x v="173"/>
    <x v="5"/>
    <n v="19"/>
    <n v="0.13569999999999999"/>
    <n v="23"/>
    <n v="0.125"/>
    <n v="1"/>
    <n v="4"/>
    <n v="0.21049999999999999"/>
    <n v="51.96"/>
    <s v="4"/>
    <n v="0.21052631578947401"/>
  </r>
  <r>
    <x v="173"/>
    <x v="3"/>
    <n v="22"/>
    <n v="0.15709999999999999"/>
    <n v="26"/>
    <n v="0.14130000000000001"/>
    <n v="1"/>
    <n v="3"/>
    <n v="0.13639999999999999"/>
    <n v="82.47"/>
    <s v="3"/>
    <n v="0.13636363636363599"/>
  </r>
  <r>
    <x v="173"/>
    <x v="0"/>
    <n v="74"/>
    <n v="0.52859999999999996"/>
    <n v="95"/>
    <n v="0.51629999999999998"/>
    <n v="1"/>
    <n v="14"/>
    <n v="0.18920000000000001"/>
    <n v="181.58"/>
    <s v="13"/>
    <n v="0.17567567567567599"/>
  </r>
  <r>
    <x v="174"/>
    <x v="1"/>
    <n v="3"/>
    <n v="2.63E-2"/>
    <n v="4"/>
    <n v="2.4799999999999999E-2"/>
    <n v="1"/>
    <n v="0"/>
    <n v="0"/>
    <n v="0"/>
    <s v="0"/>
    <n v="0"/>
  </r>
  <r>
    <x v="174"/>
    <x v="3"/>
    <n v="26"/>
    <n v="0.2281"/>
    <n v="37"/>
    <n v="0.2298"/>
    <n v="0.97"/>
    <n v="1"/>
    <n v="3.85E-2"/>
    <n v="27.87"/>
    <s v="1"/>
    <n v="3.8461538461538498E-2"/>
  </r>
  <r>
    <x v="174"/>
    <x v="2"/>
    <n v="24"/>
    <n v="0.21049999999999999"/>
    <n v="33"/>
    <n v="0.20499999999999999"/>
    <n v="0.97"/>
    <n v="1"/>
    <n v="4.1700000000000001E-2"/>
    <n v="16.97"/>
    <s v="1"/>
    <n v="4.1666666666666699E-2"/>
  </r>
  <r>
    <x v="174"/>
    <x v="5"/>
    <n v="11"/>
    <n v="9.6500000000000002E-2"/>
    <n v="17"/>
    <n v="0.1056"/>
    <n v="1"/>
    <n v="4"/>
    <n v="0.36359999999999998"/>
    <n v="51.96"/>
    <s v="4"/>
    <n v="0.36363636363636398"/>
  </r>
  <r>
    <x v="174"/>
    <x v="0"/>
    <n v="50"/>
    <n v="0.43859999999999999"/>
    <n v="70"/>
    <n v="0.43480000000000002"/>
    <n v="1"/>
    <n v="6"/>
    <n v="0.12"/>
    <n v="80.819999999999993"/>
    <s v="6"/>
    <n v="0.12"/>
  </r>
  <r>
    <x v="175"/>
    <x v="5"/>
    <n v="21"/>
    <n v="0.21210000000000001"/>
    <n v="28"/>
    <n v="0.2014"/>
    <n v="1"/>
    <n v="0"/>
    <n v="0"/>
    <n v="0"/>
    <s v="0"/>
    <n v="0"/>
  </r>
  <r>
    <x v="175"/>
    <x v="2"/>
    <n v="20"/>
    <n v="0.20200000000000001"/>
    <n v="30"/>
    <n v="0.21579999999999999"/>
    <n v="1"/>
    <n v="0"/>
    <n v="0"/>
    <n v="0"/>
    <s v="0"/>
    <n v="0"/>
  </r>
  <r>
    <x v="175"/>
    <x v="1"/>
    <n v="3"/>
    <n v="3.0300000000000001E-2"/>
    <n v="3"/>
    <n v="2.1600000000000001E-2"/>
    <n v="1"/>
    <n v="0"/>
    <n v="0"/>
    <n v="0"/>
    <s v="0"/>
    <n v="0"/>
  </r>
  <r>
    <x v="175"/>
    <x v="0"/>
    <n v="26"/>
    <n v="0.2626"/>
    <n v="38"/>
    <n v="0.27339999999999998"/>
    <n v="0.95"/>
    <n v="8"/>
    <n v="0.30769999999999997"/>
    <n v="107.76"/>
    <s v="7"/>
    <n v="0.269230769230769"/>
  </r>
  <r>
    <x v="175"/>
    <x v="3"/>
    <n v="29"/>
    <n v="0.29289999999999999"/>
    <n v="40"/>
    <n v="0.2878"/>
    <n v="1"/>
    <n v="1"/>
    <n v="3.4500000000000003E-2"/>
    <n v="27.87"/>
    <s v="1"/>
    <n v="3.4482758620689703E-2"/>
  </r>
  <r>
    <x v="176"/>
    <x v="6"/>
    <n v="1"/>
    <n v="9.2999999999999992E-3"/>
    <n v="1"/>
    <n v="7.0000000000000001E-3"/>
    <n v="1"/>
    <n v="0"/>
    <n v="0"/>
    <n v="0"/>
    <s v="0"/>
    <n v="0"/>
  </r>
  <r>
    <x v="176"/>
    <x v="1"/>
    <n v="3"/>
    <n v="2.7799999999999998E-2"/>
    <n v="3"/>
    <n v="2.1100000000000001E-2"/>
    <n v="1"/>
    <n v="0"/>
    <n v="0"/>
    <n v="0"/>
    <s v="0"/>
    <n v="0"/>
  </r>
  <r>
    <x v="176"/>
    <x v="2"/>
    <n v="23"/>
    <n v="0.21299999999999999"/>
    <n v="33"/>
    <n v="0.2324"/>
    <n v="1"/>
    <n v="2"/>
    <n v="8.6999999999999994E-2"/>
    <n v="33.94"/>
    <s v="2"/>
    <n v="8.6956521739130405E-2"/>
  </r>
  <r>
    <x v="176"/>
    <x v="0"/>
    <n v="42"/>
    <n v="0.38890000000000002"/>
    <n v="58"/>
    <n v="0.40849999999999997"/>
    <n v="1"/>
    <n v="3"/>
    <n v="7.1400000000000005E-2"/>
    <n v="41.01"/>
    <s v="2"/>
    <n v="4.7619047619047603E-2"/>
  </r>
  <r>
    <x v="176"/>
    <x v="3"/>
    <n v="26"/>
    <n v="0.2407"/>
    <n v="32"/>
    <n v="0.22539999999999999"/>
    <n v="1"/>
    <n v="1"/>
    <n v="3.85E-2"/>
    <n v="27.87"/>
    <s v="1"/>
    <n v="3.8461538461538498E-2"/>
  </r>
  <r>
    <x v="176"/>
    <x v="5"/>
    <n v="13"/>
    <n v="0.12039999999999999"/>
    <n v="15"/>
    <n v="0.1056"/>
    <n v="1"/>
    <n v="1"/>
    <n v="7.6899999999999996E-2"/>
    <n v="12.99"/>
    <s v="1"/>
    <n v="7.69230769230769E-2"/>
  </r>
  <r>
    <x v="177"/>
    <x v="1"/>
    <n v="5"/>
    <n v="5.62E-2"/>
    <n v="7"/>
    <n v="5.5100000000000003E-2"/>
    <n v="1"/>
    <n v="0"/>
    <n v="0"/>
    <n v="0"/>
    <s v="0"/>
    <n v="0"/>
  </r>
  <r>
    <x v="177"/>
    <x v="3"/>
    <n v="27"/>
    <n v="0.3034"/>
    <n v="34"/>
    <n v="0.26769999999999999"/>
    <n v="0.97"/>
    <n v="2"/>
    <n v="7.4099999999999999E-2"/>
    <n v="55.74"/>
    <s v="2"/>
    <n v="7.4074074074074098E-2"/>
  </r>
  <r>
    <x v="177"/>
    <x v="4"/>
    <n v="0"/>
    <n v="0"/>
    <n v="0"/>
    <n v="0"/>
    <n v="0"/>
    <n v="3"/>
    <n v="0"/>
    <n v="44.97"/>
    <s v="1"/>
    <n v="0"/>
  </r>
  <r>
    <x v="177"/>
    <x v="2"/>
    <n v="15"/>
    <n v="0.16850000000000001"/>
    <n v="22"/>
    <n v="0.17319999999999999"/>
    <n v="1"/>
    <n v="2"/>
    <n v="0.1333"/>
    <n v="33.94"/>
    <s v="1"/>
    <n v="6.6666666666666693E-2"/>
  </r>
  <r>
    <x v="177"/>
    <x v="0"/>
    <n v="31"/>
    <n v="0.3483"/>
    <n v="51"/>
    <n v="0.40160000000000001"/>
    <n v="1"/>
    <n v="4"/>
    <n v="0.129"/>
    <n v="51.88"/>
    <s v="4"/>
    <n v="0.12903225806451599"/>
  </r>
  <r>
    <x v="177"/>
    <x v="5"/>
    <n v="11"/>
    <n v="0.1236"/>
    <n v="13"/>
    <n v="0.1024"/>
    <n v="1"/>
    <n v="1"/>
    <n v="9.0899999999999995E-2"/>
    <n v="12.99"/>
    <s v="1"/>
    <n v="9.0909090909090898E-2"/>
  </r>
  <r>
    <x v="178"/>
    <x v="1"/>
    <n v="3"/>
    <n v="3.1899999999999998E-2"/>
    <n v="4"/>
    <n v="3.3599999999999998E-2"/>
    <n v="1"/>
    <n v="0"/>
    <n v="0"/>
    <n v="0"/>
    <s v="0"/>
    <n v="0"/>
  </r>
  <r>
    <x v="178"/>
    <x v="5"/>
    <n v="8"/>
    <n v="8.5099999999999995E-2"/>
    <n v="12"/>
    <n v="0.1008"/>
    <n v="0.92"/>
    <n v="4"/>
    <n v="0.5"/>
    <n v="51.96"/>
    <s v="4"/>
    <n v="0.5"/>
  </r>
  <r>
    <x v="178"/>
    <x v="3"/>
    <n v="21"/>
    <n v="0.22339999999999999"/>
    <n v="30"/>
    <n v="0.25209999999999999"/>
    <n v="1"/>
    <n v="6"/>
    <n v="0.28570000000000001"/>
    <n v="167.22"/>
    <s v="5"/>
    <n v="0.238095238095238"/>
  </r>
  <r>
    <x v="178"/>
    <x v="0"/>
    <n v="44"/>
    <n v="0.46810000000000002"/>
    <n v="52"/>
    <n v="0.437"/>
    <n v="1"/>
    <n v="4"/>
    <n v="9.0899999999999995E-2"/>
    <n v="55.48"/>
    <s v="4"/>
    <n v="9.0909090909090898E-2"/>
  </r>
  <r>
    <x v="178"/>
    <x v="2"/>
    <n v="18"/>
    <n v="0.1915"/>
    <n v="21"/>
    <n v="0.17649999999999999"/>
    <n v="1"/>
    <n v="1"/>
    <n v="5.5599999999999997E-2"/>
    <n v="16.97"/>
    <s v="1"/>
    <n v="5.5555555555555601E-2"/>
  </r>
  <r>
    <x v="179"/>
    <x v="6"/>
    <n v="1"/>
    <n v="8.6E-3"/>
    <n v="2"/>
    <n v="1.29E-2"/>
    <n v="1"/>
    <n v="0"/>
    <n v="0"/>
    <n v="0"/>
    <s v="0"/>
    <n v="0"/>
  </r>
  <r>
    <x v="179"/>
    <x v="1"/>
    <n v="5"/>
    <n v="4.3099999999999999E-2"/>
    <n v="8"/>
    <n v="5.16E-2"/>
    <n v="1"/>
    <n v="0"/>
    <n v="0"/>
    <n v="0"/>
    <s v="0"/>
    <n v="0"/>
  </r>
  <r>
    <x v="179"/>
    <x v="5"/>
    <n v="12"/>
    <n v="0.10340000000000001"/>
    <n v="14"/>
    <n v="9.0300000000000005E-2"/>
    <n v="1"/>
    <n v="2"/>
    <n v="0.16669999999999999"/>
    <n v="25.98"/>
    <s v="2"/>
    <n v="0.16666666666666699"/>
  </r>
  <r>
    <x v="179"/>
    <x v="0"/>
    <n v="58"/>
    <n v="0.5"/>
    <n v="78"/>
    <n v="0.50319999999999998"/>
    <n v="1"/>
    <n v="12"/>
    <n v="0.2069"/>
    <n v="166.44"/>
    <s v="11"/>
    <n v="0.18965517241379301"/>
  </r>
  <r>
    <x v="179"/>
    <x v="3"/>
    <n v="21"/>
    <n v="0.18099999999999999"/>
    <n v="26"/>
    <n v="0.16769999999999999"/>
    <n v="1"/>
    <n v="1"/>
    <n v="4.7600000000000003E-2"/>
    <n v="27.87"/>
    <s v="1"/>
    <n v="4.7619047619047603E-2"/>
  </r>
  <r>
    <x v="179"/>
    <x v="2"/>
    <n v="19"/>
    <n v="0.1638"/>
    <n v="27"/>
    <n v="0.17419999999999999"/>
    <n v="1"/>
    <n v="1"/>
    <n v="5.2600000000000001E-2"/>
    <n v="16.97"/>
    <s v="1"/>
    <n v="5.2631578947368397E-2"/>
  </r>
  <r>
    <x v="180"/>
    <x v="6"/>
    <n v="4"/>
    <n v="3.1300000000000001E-2"/>
    <n v="4"/>
    <n v="2.29E-2"/>
    <n v="1"/>
    <n v="0"/>
    <n v="0"/>
    <n v="0"/>
    <s v="0"/>
    <n v="0"/>
  </r>
  <r>
    <x v="180"/>
    <x v="1"/>
    <n v="3"/>
    <n v="2.3400000000000001E-2"/>
    <n v="3"/>
    <n v="1.7100000000000001E-2"/>
    <n v="1"/>
    <n v="0"/>
    <n v="0"/>
    <n v="0"/>
    <s v="0"/>
    <n v="0"/>
  </r>
  <r>
    <x v="180"/>
    <x v="0"/>
    <n v="51"/>
    <n v="0.39839999999999998"/>
    <n v="68"/>
    <n v="0.3886"/>
    <n v="0.99"/>
    <n v="19"/>
    <n v="0.3725"/>
    <n v="263.52999999999997"/>
    <s v="8"/>
    <n v="0.15686274509803899"/>
  </r>
  <r>
    <x v="180"/>
    <x v="2"/>
    <n v="23"/>
    <n v="0.1797"/>
    <n v="36"/>
    <n v="0.20569999999999999"/>
    <n v="1"/>
    <n v="3"/>
    <n v="0.13039999999999999"/>
    <n v="50.91"/>
    <s v="2"/>
    <n v="8.6956521739130405E-2"/>
  </r>
  <r>
    <x v="180"/>
    <x v="5"/>
    <n v="18"/>
    <n v="0.1406"/>
    <n v="28"/>
    <n v="0.16"/>
    <n v="1"/>
    <n v="3"/>
    <n v="0.16669999999999999"/>
    <n v="38.97"/>
    <s v="3"/>
    <n v="0.16666666666666699"/>
  </r>
  <r>
    <x v="180"/>
    <x v="3"/>
    <n v="29"/>
    <n v="0.2266"/>
    <n v="36"/>
    <n v="0.20569999999999999"/>
    <n v="1"/>
    <n v="1"/>
    <n v="3.4500000000000003E-2"/>
    <n v="27.87"/>
    <s v="1"/>
    <n v="3.4482758620689703E-2"/>
  </r>
  <r>
    <x v="181"/>
    <x v="1"/>
    <n v="4"/>
    <n v="4.2599999999999999E-2"/>
    <n v="4"/>
    <n v="3.0099999999999998E-2"/>
    <n v="1"/>
    <n v="0"/>
    <n v="0"/>
    <n v="0"/>
    <s v="0"/>
    <n v="0"/>
  </r>
  <r>
    <x v="181"/>
    <x v="5"/>
    <n v="11"/>
    <n v="0.11700000000000001"/>
    <n v="17"/>
    <n v="0.1278"/>
    <n v="1"/>
    <n v="5"/>
    <n v="0.45450000000000002"/>
    <n v="64.95"/>
    <s v="4"/>
    <n v="0.36363636363636398"/>
  </r>
  <r>
    <x v="181"/>
    <x v="3"/>
    <n v="24"/>
    <n v="0.25530000000000003"/>
    <n v="32"/>
    <n v="0.24060000000000001"/>
    <n v="1"/>
    <n v="3"/>
    <n v="0.125"/>
    <n v="83.61"/>
    <s v="3"/>
    <n v="0.125"/>
  </r>
  <r>
    <x v="181"/>
    <x v="2"/>
    <n v="12"/>
    <n v="0.12770000000000001"/>
    <n v="17"/>
    <n v="0.1278"/>
    <n v="1"/>
    <n v="3"/>
    <n v="0.25"/>
    <n v="50.91"/>
    <s v="2"/>
    <n v="0.16666666666666699"/>
  </r>
  <r>
    <x v="181"/>
    <x v="0"/>
    <n v="43"/>
    <n v="0.45739999999999997"/>
    <n v="63"/>
    <n v="0.47370000000000001"/>
    <n v="1"/>
    <n v="11"/>
    <n v="0.25580000000000003"/>
    <n v="152.57"/>
    <s v="8"/>
    <n v="0.186046511627907"/>
  </r>
  <r>
    <x v="182"/>
    <x v="1"/>
    <n v="2"/>
    <n v="2.2700000000000001E-2"/>
    <n v="2"/>
    <n v="1.8499999999999999E-2"/>
    <n v="1"/>
    <n v="0"/>
    <n v="0"/>
    <n v="0"/>
    <s v="0"/>
    <n v="0"/>
  </r>
  <r>
    <x v="182"/>
    <x v="6"/>
    <n v="3"/>
    <n v="3.4099999999999998E-2"/>
    <n v="3"/>
    <n v="2.7799999999999998E-2"/>
    <n v="1"/>
    <n v="2"/>
    <n v="0.66669999999999996"/>
    <n v="23.98"/>
    <s v="2"/>
    <n v="0.66666666666666696"/>
  </r>
  <r>
    <x v="182"/>
    <x v="0"/>
    <n v="42"/>
    <n v="0.4773"/>
    <n v="51"/>
    <n v="0.47220000000000001"/>
    <n v="1"/>
    <n v="4"/>
    <n v="9.5200000000000007E-2"/>
    <n v="55.48"/>
    <s v="4"/>
    <n v="9.5238095238095205E-2"/>
  </r>
  <r>
    <x v="182"/>
    <x v="3"/>
    <n v="19"/>
    <n v="0.21590000000000001"/>
    <n v="24"/>
    <n v="0.22220000000000001"/>
    <n v="1"/>
    <n v="1"/>
    <n v="5.2600000000000001E-2"/>
    <n v="27.87"/>
    <s v="1"/>
    <n v="5.2631578947368397E-2"/>
  </r>
  <r>
    <x v="182"/>
    <x v="2"/>
    <n v="11"/>
    <n v="0.125"/>
    <n v="14"/>
    <n v="0.12959999999999999"/>
    <n v="1"/>
    <n v="1"/>
    <n v="9.0899999999999995E-2"/>
    <n v="16.97"/>
    <s v="1"/>
    <n v="9.0909090909090898E-2"/>
  </r>
  <r>
    <x v="182"/>
    <x v="5"/>
    <n v="11"/>
    <n v="0.125"/>
    <n v="14"/>
    <n v="0.12959999999999999"/>
    <n v="1"/>
    <n v="1"/>
    <n v="9.0899999999999995E-2"/>
    <n v="12.99"/>
    <s v="1"/>
    <n v="9.0909090909090898E-2"/>
  </r>
  <r>
    <x v="183"/>
    <x v="1"/>
    <n v="1"/>
    <n v="1.01E-2"/>
    <n v="1"/>
    <n v="7.9000000000000008E-3"/>
    <n v="1"/>
    <n v="0"/>
    <n v="0"/>
    <n v="0"/>
    <s v="0"/>
    <n v="0"/>
  </r>
  <r>
    <x v="183"/>
    <x v="6"/>
    <n v="3"/>
    <n v="3.0300000000000001E-2"/>
    <n v="5"/>
    <n v="3.9399999999999998E-2"/>
    <n v="1"/>
    <n v="6"/>
    <n v="2"/>
    <n v="71.94"/>
    <s v="2"/>
    <n v="0.66666666666666696"/>
  </r>
  <r>
    <x v="183"/>
    <x v="2"/>
    <n v="22"/>
    <n v="0.22220000000000001"/>
    <n v="35"/>
    <n v="0.27560000000000001"/>
    <n v="1"/>
    <n v="3"/>
    <n v="0.13639999999999999"/>
    <n v="50.91"/>
    <s v="2"/>
    <n v="9.0909090909090898E-2"/>
  </r>
  <r>
    <x v="183"/>
    <x v="3"/>
    <n v="15"/>
    <n v="0.1515"/>
    <n v="17"/>
    <n v="0.13389999999999999"/>
    <n v="1"/>
    <n v="3"/>
    <n v="0.2"/>
    <n v="83.61"/>
    <s v="3"/>
    <n v="0.2"/>
  </r>
  <r>
    <x v="183"/>
    <x v="5"/>
    <n v="18"/>
    <n v="0.18179999999999999"/>
    <n v="20"/>
    <n v="0.1575"/>
    <n v="1"/>
    <n v="2"/>
    <n v="0.1111"/>
    <n v="25.98"/>
    <s v="2"/>
    <n v="0.11111111111111099"/>
  </r>
  <r>
    <x v="183"/>
    <x v="0"/>
    <n v="40"/>
    <n v="0.40400000000000003"/>
    <n v="49"/>
    <n v="0.38579999999999998"/>
    <n v="1"/>
    <n v="9"/>
    <n v="0.22500000000000001"/>
    <n v="124.83"/>
    <s v="7"/>
    <n v="0.17499999999999999"/>
  </r>
  <r>
    <x v="184"/>
    <x v="1"/>
    <n v="6"/>
    <n v="6.7400000000000002E-2"/>
    <n v="8"/>
    <n v="6.1100000000000002E-2"/>
    <n v="1"/>
    <n v="0"/>
    <n v="0"/>
    <n v="0"/>
    <s v="0"/>
    <n v="0"/>
  </r>
  <r>
    <x v="184"/>
    <x v="3"/>
    <n v="22"/>
    <n v="0.2472"/>
    <n v="25"/>
    <n v="0.1908"/>
    <n v="1"/>
    <n v="6"/>
    <n v="0.2727"/>
    <n v="167.22"/>
    <s v="5"/>
    <n v="0.22727272727272699"/>
  </r>
  <r>
    <x v="184"/>
    <x v="5"/>
    <n v="14"/>
    <n v="0.1573"/>
    <n v="25"/>
    <n v="0.1908"/>
    <n v="1"/>
    <n v="6"/>
    <n v="0.42859999999999998"/>
    <n v="77.94"/>
    <s v="5"/>
    <n v="0.35714285714285698"/>
  </r>
  <r>
    <x v="184"/>
    <x v="6"/>
    <n v="9"/>
    <n v="0.1011"/>
    <n v="9"/>
    <n v="6.8699999999999997E-2"/>
    <n v="1"/>
    <n v="2"/>
    <n v="0.22220000000000001"/>
    <n v="23.98"/>
    <s v="2"/>
    <n v="0.22222222222222199"/>
  </r>
  <r>
    <x v="184"/>
    <x v="0"/>
    <n v="27"/>
    <n v="0.3034"/>
    <n v="44"/>
    <n v="0.33589999999999998"/>
    <n v="1"/>
    <n v="8"/>
    <n v="0.29630000000000001"/>
    <n v="110.96"/>
    <s v="7"/>
    <n v="0.25925925925925902"/>
  </r>
  <r>
    <x v="184"/>
    <x v="2"/>
    <n v="11"/>
    <n v="0.1236"/>
    <n v="20"/>
    <n v="0.1527"/>
    <n v="1"/>
    <n v="1"/>
    <n v="9.0899999999999995E-2"/>
    <n v="16.97"/>
    <s v="1"/>
    <n v="9.0909090909090898E-2"/>
  </r>
  <r>
    <x v="185"/>
    <x v="1"/>
    <n v="2"/>
    <n v="2.3800000000000002E-2"/>
    <n v="2"/>
    <n v="1.7999999999999999E-2"/>
    <n v="1"/>
    <n v="0"/>
    <n v="0"/>
    <n v="0"/>
    <s v="0"/>
    <n v="0"/>
  </r>
  <r>
    <x v="185"/>
    <x v="3"/>
    <n v="23"/>
    <n v="0.27379999999999999"/>
    <n v="26"/>
    <n v="0.23419999999999999"/>
    <n v="1"/>
    <n v="0"/>
    <n v="0"/>
    <n v="0"/>
    <s v="0"/>
    <n v="0"/>
  </r>
  <r>
    <x v="185"/>
    <x v="2"/>
    <n v="2"/>
    <n v="2.3800000000000002E-2"/>
    <n v="5"/>
    <n v="4.4999999999999998E-2"/>
    <n v="1"/>
    <n v="6"/>
    <n v="3"/>
    <n v="101.82"/>
    <s v="5"/>
    <n v="2.5"/>
  </r>
  <r>
    <x v="185"/>
    <x v="5"/>
    <n v="16"/>
    <n v="0.1905"/>
    <n v="25"/>
    <n v="0.22520000000000001"/>
    <n v="1"/>
    <n v="3"/>
    <n v="0.1875"/>
    <n v="38.97"/>
    <s v="2"/>
    <n v="0.125"/>
  </r>
  <r>
    <x v="185"/>
    <x v="0"/>
    <n v="37"/>
    <n v="0.4405"/>
    <n v="48"/>
    <n v="0.43240000000000001"/>
    <n v="1"/>
    <n v="8"/>
    <n v="0.2162"/>
    <n v="110.96"/>
    <s v="8"/>
    <n v="0.21621621621621601"/>
  </r>
  <r>
    <x v="185"/>
    <x v="6"/>
    <n v="4"/>
    <n v="4.7600000000000003E-2"/>
    <n v="5"/>
    <n v="4.4999999999999998E-2"/>
    <n v="1"/>
    <n v="1"/>
    <n v="0.25"/>
    <n v="11.99"/>
    <s v="1"/>
    <n v="0.25"/>
  </r>
  <r>
    <x v="186"/>
    <x v="3"/>
    <n v="27"/>
    <n v="0.2596"/>
    <n v="34"/>
    <n v="0.2787"/>
    <n v="1"/>
    <n v="0"/>
    <n v="0"/>
    <n v="0"/>
    <s v="0"/>
    <n v="0"/>
  </r>
  <r>
    <x v="186"/>
    <x v="6"/>
    <n v="9"/>
    <n v="8.6499999999999994E-2"/>
    <n v="9"/>
    <n v="7.3800000000000004E-2"/>
    <n v="1"/>
    <n v="0"/>
    <n v="0"/>
    <n v="0"/>
    <s v="0"/>
    <n v="0"/>
  </r>
  <r>
    <x v="186"/>
    <x v="1"/>
    <n v="0"/>
    <n v="0"/>
    <n v="0"/>
    <n v="0"/>
    <n v="0"/>
    <n v="2"/>
    <n v="0"/>
    <n v="31.98"/>
    <s v="2"/>
    <n v="0"/>
  </r>
  <r>
    <x v="186"/>
    <x v="5"/>
    <n v="4"/>
    <n v="3.85E-2"/>
    <n v="5"/>
    <n v="4.1000000000000002E-2"/>
    <n v="1"/>
    <n v="3"/>
    <n v="0.75"/>
    <n v="38.97"/>
    <s v="3"/>
    <n v="0.75"/>
  </r>
  <r>
    <x v="186"/>
    <x v="2"/>
    <n v="12"/>
    <n v="0.1154"/>
    <n v="14"/>
    <n v="0.1148"/>
    <n v="1"/>
    <n v="2"/>
    <n v="0.16669999999999999"/>
    <n v="33.94"/>
    <s v="2"/>
    <n v="0.16666666666666699"/>
  </r>
  <r>
    <x v="186"/>
    <x v="0"/>
    <n v="52"/>
    <n v="0.5"/>
    <n v="60"/>
    <n v="0.49180000000000001"/>
    <n v="1"/>
    <n v="15"/>
    <n v="0.28849999999999998"/>
    <n v="208.05"/>
    <s v="14"/>
    <n v="0.269230769230769"/>
  </r>
  <r>
    <x v="187"/>
    <x v="1"/>
    <n v="4"/>
    <n v="3.1E-2"/>
    <n v="5"/>
    <n v="2.8400000000000002E-2"/>
    <n v="1"/>
    <n v="0"/>
    <n v="0"/>
    <n v="0"/>
    <s v="0"/>
    <n v="0"/>
  </r>
  <r>
    <x v="187"/>
    <x v="2"/>
    <n v="15"/>
    <n v="0.1163"/>
    <n v="17"/>
    <n v="9.6600000000000005E-2"/>
    <n v="0.94"/>
    <n v="2"/>
    <n v="0.1333"/>
    <n v="33.94"/>
    <s v="2"/>
    <n v="0.133333333333333"/>
  </r>
  <r>
    <x v="187"/>
    <x v="5"/>
    <n v="13"/>
    <n v="0.1008"/>
    <n v="25"/>
    <n v="0.14199999999999999"/>
    <n v="1"/>
    <n v="5"/>
    <n v="0.3846"/>
    <n v="64.95"/>
    <s v="4"/>
    <n v="0.30769230769230799"/>
  </r>
  <r>
    <x v="187"/>
    <x v="6"/>
    <n v="10"/>
    <n v="7.7499999999999999E-2"/>
    <n v="14"/>
    <n v="7.9500000000000001E-2"/>
    <n v="1"/>
    <n v="2"/>
    <n v="0.2"/>
    <n v="23.98"/>
    <s v="2"/>
    <n v="0.2"/>
  </r>
  <r>
    <x v="187"/>
    <x v="0"/>
    <n v="58"/>
    <n v="0.4496"/>
    <n v="78"/>
    <n v="0.44319999999999998"/>
    <n v="1"/>
    <n v="9"/>
    <n v="0.1552"/>
    <n v="124.83"/>
    <s v="7"/>
    <n v="0.12068965517241401"/>
  </r>
  <r>
    <x v="187"/>
    <x v="3"/>
    <n v="29"/>
    <n v="0.2248"/>
    <n v="37"/>
    <n v="0.2102"/>
    <n v="1"/>
    <n v="1"/>
    <n v="3.4500000000000003E-2"/>
    <n v="27.87"/>
    <s v="1"/>
    <n v="3.4482758620689703E-2"/>
  </r>
  <r>
    <x v="188"/>
    <x v="3"/>
    <n v="13"/>
    <n v="0.12620000000000001"/>
    <n v="17"/>
    <n v="0.1172"/>
    <n v="1"/>
    <n v="0"/>
    <n v="0"/>
    <n v="0"/>
    <s v="0"/>
    <n v="0"/>
  </r>
  <r>
    <x v="188"/>
    <x v="2"/>
    <n v="12"/>
    <n v="0.11650000000000001"/>
    <n v="16"/>
    <n v="0.1103"/>
    <n v="1"/>
    <n v="0"/>
    <n v="0"/>
    <n v="0"/>
    <s v="0"/>
    <n v="0"/>
  </r>
  <r>
    <x v="188"/>
    <x v="6"/>
    <n v="7"/>
    <n v="6.8000000000000005E-2"/>
    <n v="12"/>
    <n v="8.2799999999999999E-2"/>
    <n v="1"/>
    <n v="0"/>
    <n v="0"/>
    <n v="0"/>
    <s v="0"/>
    <n v="0"/>
  </r>
  <r>
    <x v="188"/>
    <x v="5"/>
    <n v="23"/>
    <n v="0.2233"/>
    <n v="30"/>
    <n v="0.2069"/>
    <n v="1"/>
    <n v="2"/>
    <n v="8.6999999999999994E-2"/>
    <n v="25.98"/>
    <s v="2"/>
    <n v="8.6956521739130405E-2"/>
  </r>
  <r>
    <x v="188"/>
    <x v="1"/>
    <n v="2"/>
    <n v="1.9400000000000001E-2"/>
    <n v="2"/>
    <n v="1.38E-2"/>
    <n v="1"/>
    <n v="2"/>
    <n v="1"/>
    <n v="31.98"/>
    <s v="2"/>
    <n v="1"/>
  </r>
  <r>
    <x v="188"/>
    <x v="0"/>
    <n v="46"/>
    <n v="0.4466"/>
    <n v="68"/>
    <n v="0.46899999999999997"/>
    <n v="1"/>
    <n v="9"/>
    <n v="0.19570000000000001"/>
    <n v="124.83"/>
    <s v="9"/>
    <n v="0.19565217391304399"/>
  </r>
  <r>
    <x v="189"/>
    <x v="5"/>
    <n v="38"/>
    <n v="0.28789999999999999"/>
    <n v="44"/>
    <n v="0.25430000000000003"/>
    <n v="1"/>
    <n v="6"/>
    <n v="0.15790000000000001"/>
    <n v="64.95"/>
    <s v="6"/>
    <n v="0.157894736842105"/>
  </r>
  <r>
    <x v="189"/>
    <x v="3"/>
    <n v="21"/>
    <n v="0.15909999999999999"/>
    <n v="28"/>
    <n v="0.1618"/>
    <n v="1"/>
    <n v="6"/>
    <n v="0.28570000000000001"/>
    <n v="167.22"/>
    <s v="3"/>
    <n v="0.14285714285714299"/>
  </r>
  <r>
    <x v="189"/>
    <x v="6"/>
    <n v="13"/>
    <n v="9.8500000000000004E-2"/>
    <n v="16"/>
    <n v="9.2499999999999999E-2"/>
    <n v="1"/>
    <n v="4"/>
    <n v="0.30769999999999997"/>
    <n v="47.96"/>
    <s v="3"/>
    <n v="0.230769230769231"/>
  </r>
  <r>
    <x v="189"/>
    <x v="2"/>
    <n v="10"/>
    <n v="7.5800000000000006E-2"/>
    <n v="12"/>
    <n v="6.9400000000000003E-2"/>
    <n v="1"/>
    <n v="3"/>
    <n v="0.3"/>
    <n v="50.91"/>
    <s v="3"/>
    <n v="0.3"/>
  </r>
  <r>
    <x v="189"/>
    <x v="0"/>
    <n v="50"/>
    <n v="0.37880000000000003"/>
    <n v="73"/>
    <n v="0.42199999999999999"/>
    <n v="1"/>
    <n v="14"/>
    <n v="0.28000000000000003"/>
    <n v="194.18"/>
    <s v="11"/>
    <n v="0.22"/>
  </r>
  <r>
    <x v="190"/>
    <x v="2"/>
    <n v="12"/>
    <n v="0.15579999999999999"/>
    <n v="13"/>
    <n v="0.1275"/>
    <n v="1"/>
    <n v="4"/>
    <n v="0.33329999999999999"/>
    <n v="67.88"/>
    <s v="3"/>
    <n v="0.25"/>
  </r>
  <r>
    <x v="190"/>
    <x v="0"/>
    <n v="36"/>
    <n v="0.46750000000000003"/>
    <n v="54"/>
    <n v="0.52939999999999998"/>
    <n v="1"/>
    <n v="49"/>
    <n v="1.3611"/>
    <n v="679.63"/>
    <s v="9"/>
    <n v="0.25"/>
  </r>
  <r>
    <x v="190"/>
    <x v="3"/>
    <n v="21"/>
    <n v="0.2727"/>
    <n v="23"/>
    <n v="0.22550000000000001"/>
    <n v="1"/>
    <n v="1"/>
    <n v="4.7600000000000003E-2"/>
    <n v="27.87"/>
    <s v="1"/>
    <n v="4.7619047619047603E-2"/>
  </r>
  <r>
    <x v="190"/>
    <x v="5"/>
    <n v="5"/>
    <n v="6.4899999999999999E-2"/>
    <n v="9"/>
    <n v="8.8200000000000001E-2"/>
    <n v="1"/>
    <n v="1"/>
    <n v="0.2"/>
    <n v="12.99"/>
    <s v="1"/>
    <n v="0.2"/>
  </r>
  <r>
    <x v="190"/>
    <x v="6"/>
    <n v="3"/>
    <n v="3.9E-2"/>
    <n v="3"/>
    <n v="2.9399999999999999E-2"/>
    <n v="1"/>
    <n v="1"/>
    <n v="0.33329999999999999"/>
    <n v="11.99"/>
    <s v="1"/>
    <n v="0.33333333333333298"/>
  </r>
  <r>
    <x v="191"/>
    <x v="6"/>
    <n v="3"/>
    <n v="4.1700000000000001E-2"/>
    <n v="3"/>
    <n v="3.09E-2"/>
    <n v="1"/>
    <n v="0"/>
    <n v="0"/>
    <n v="0"/>
    <s v="0"/>
    <n v="0"/>
  </r>
  <r>
    <x v="191"/>
    <x v="5"/>
    <n v="9"/>
    <n v="0.125"/>
    <n v="11"/>
    <n v="0.1134"/>
    <n v="1"/>
    <n v="3"/>
    <n v="0.33329999999999999"/>
    <n v="38.97"/>
    <s v="3"/>
    <n v="0.33333333333333298"/>
  </r>
  <r>
    <x v="191"/>
    <x v="2"/>
    <n v="7"/>
    <n v="9.7199999999999995E-2"/>
    <n v="10"/>
    <n v="0.1031"/>
    <n v="1"/>
    <n v="3"/>
    <n v="0.42859999999999998"/>
    <n v="50.91"/>
    <s v="3"/>
    <n v="0.42857142857142899"/>
  </r>
  <r>
    <x v="191"/>
    <x v="0"/>
    <n v="39"/>
    <n v="0.54169999999999996"/>
    <n v="58"/>
    <n v="0.59789999999999999"/>
    <n v="1"/>
    <n v="8"/>
    <n v="0.2051"/>
    <n v="110.96"/>
    <s v="7"/>
    <n v="0.17948717948717999"/>
  </r>
  <r>
    <x v="191"/>
    <x v="3"/>
    <n v="14"/>
    <n v="0.19439999999999999"/>
    <n v="15"/>
    <n v="0.15459999999999999"/>
    <n v="1"/>
    <n v="1"/>
    <n v="7.1400000000000005E-2"/>
    <n v="27.87"/>
    <s v="1"/>
    <n v="7.1428571428571397E-2"/>
  </r>
  <r>
    <x v="192"/>
    <x v="3"/>
    <n v="9"/>
    <n v="0.1406"/>
    <n v="10"/>
    <n v="0.1149"/>
    <n v="1"/>
    <n v="0"/>
    <n v="0"/>
    <n v="0"/>
    <s v="0"/>
    <n v="0"/>
  </r>
  <r>
    <x v="192"/>
    <x v="6"/>
    <n v="4"/>
    <n v="6.25E-2"/>
    <n v="4"/>
    <n v="4.5999999999999999E-2"/>
    <n v="1"/>
    <n v="0"/>
    <n v="0"/>
    <n v="0"/>
    <s v="0"/>
    <n v="0"/>
  </r>
  <r>
    <x v="192"/>
    <x v="2"/>
    <n v="13"/>
    <n v="0.2031"/>
    <n v="15"/>
    <n v="0.1724"/>
    <n v="1"/>
    <n v="2"/>
    <n v="0.15379999999999999"/>
    <n v="33.94"/>
    <s v="1"/>
    <n v="7.69230769230769E-2"/>
  </r>
  <r>
    <x v="192"/>
    <x v="5"/>
    <n v="6"/>
    <n v="9.3799999999999994E-2"/>
    <n v="12"/>
    <n v="0.13789999999999999"/>
    <n v="1"/>
    <n v="2"/>
    <n v="0.33329999999999999"/>
    <n v="25.98"/>
    <s v="2"/>
    <n v="0.33333333333333298"/>
  </r>
  <r>
    <x v="192"/>
    <x v="0"/>
    <n v="32"/>
    <n v="0.5"/>
    <n v="46"/>
    <n v="0.52869999999999995"/>
    <n v="1"/>
    <n v="11"/>
    <n v="0.34379999999999999"/>
    <n v="152.57"/>
    <s v="9"/>
    <n v="0.28125"/>
  </r>
  <r>
    <x v="193"/>
    <x v="6"/>
    <n v="17"/>
    <n v="0.156"/>
    <n v="18"/>
    <n v="0.1208"/>
    <n v="1"/>
    <n v="0"/>
    <n v="0"/>
    <n v="0"/>
    <s v="0"/>
    <n v="0"/>
  </r>
  <r>
    <x v="193"/>
    <x v="2"/>
    <n v="9"/>
    <n v="8.2600000000000007E-2"/>
    <n v="13"/>
    <n v="8.72E-2"/>
    <n v="1"/>
    <n v="0"/>
    <n v="0"/>
    <n v="0"/>
    <s v="0"/>
    <n v="0"/>
  </r>
  <r>
    <x v="193"/>
    <x v="0"/>
    <n v="60"/>
    <n v="0.55049999999999999"/>
    <n v="90"/>
    <n v="0.60399999999999998"/>
    <n v="0.98"/>
    <n v="17"/>
    <n v="0.2833"/>
    <n v="235.79"/>
    <s v="10"/>
    <n v="0.16666666666666699"/>
  </r>
  <r>
    <x v="193"/>
    <x v="5"/>
    <n v="21"/>
    <n v="0.19270000000000001"/>
    <n v="25"/>
    <n v="0.1678"/>
    <n v="1"/>
    <n v="3"/>
    <n v="0.1429"/>
    <n v="38.97"/>
    <s v="3"/>
    <n v="0.14285714285714299"/>
  </r>
  <r>
    <x v="193"/>
    <x v="3"/>
    <n v="2"/>
    <n v="1.83E-2"/>
    <n v="3"/>
    <n v="2.01E-2"/>
    <n v="1"/>
    <n v="1"/>
    <n v="0.5"/>
    <n v="27.87"/>
    <s v="1"/>
    <n v="0.5"/>
  </r>
  <r>
    <x v="194"/>
    <x v="3"/>
    <n v="4"/>
    <n v="3.8100000000000002E-2"/>
    <n v="4"/>
    <n v="2.8799999999999999E-2"/>
    <n v="1"/>
    <n v="0"/>
    <n v="0"/>
    <n v="0"/>
    <s v="0"/>
    <n v="0"/>
  </r>
  <r>
    <x v="194"/>
    <x v="5"/>
    <n v="18"/>
    <n v="0.1714"/>
    <n v="19"/>
    <n v="0.13669999999999999"/>
    <n v="1"/>
    <n v="4"/>
    <n v="0.22220000000000001"/>
    <n v="51.96"/>
    <s v="4"/>
    <n v="0.22222222222222199"/>
  </r>
  <r>
    <x v="194"/>
    <x v="6"/>
    <n v="16"/>
    <n v="0.15240000000000001"/>
    <n v="22"/>
    <n v="0.1583"/>
    <n v="1"/>
    <n v="2"/>
    <n v="0.125"/>
    <n v="23.98"/>
    <s v="2"/>
    <n v="0.125"/>
  </r>
  <r>
    <x v="194"/>
    <x v="0"/>
    <n v="61"/>
    <n v="0.58099999999999996"/>
    <n v="85"/>
    <n v="0.61150000000000004"/>
    <n v="1"/>
    <n v="10"/>
    <n v="0.16389999999999999"/>
    <n v="138.69999999999999"/>
    <s v="10"/>
    <n v="0.16393442622950799"/>
  </r>
  <r>
    <x v="194"/>
    <x v="2"/>
    <n v="6"/>
    <n v="5.7099999999999998E-2"/>
    <n v="9"/>
    <n v="6.4699999999999994E-2"/>
    <n v="1"/>
    <n v="1"/>
    <n v="0.16669999999999999"/>
    <n v="16.97"/>
    <s v="1"/>
    <n v="0.16666666666666699"/>
  </r>
  <r>
    <x v="195"/>
    <x v="6"/>
    <n v="13"/>
    <n v="0.13980000000000001"/>
    <n v="15"/>
    <n v="0.1154"/>
    <n v="1"/>
    <n v="0"/>
    <n v="0"/>
    <n v="0"/>
    <s v="0"/>
    <n v="0"/>
  </r>
  <r>
    <x v="195"/>
    <x v="2"/>
    <n v="7"/>
    <n v="7.5300000000000006E-2"/>
    <n v="11"/>
    <n v="8.4599999999999995E-2"/>
    <n v="1"/>
    <n v="0"/>
    <n v="0"/>
    <n v="0"/>
    <s v="0"/>
    <n v="0"/>
  </r>
  <r>
    <x v="195"/>
    <x v="3"/>
    <n v="7"/>
    <n v="7.5300000000000006E-2"/>
    <n v="11"/>
    <n v="8.4599999999999995E-2"/>
    <n v="1"/>
    <n v="0"/>
    <n v="0"/>
    <n v="0"/>
    <s v="0"/>
    <n v="0"/>
  </r>
  <r>
    <x v="195"/>
    <x v="0"/>
    <n v="52"/>
    <n v="0.55910000000000004"/>
    <n v="73"/>
    <n v="0.5615"/>
    <n v="0.97"/>
    <n v="11"/>
    <n v="0.21149999999999999"/>
    <n v="152.57"/>
    <s v="9"/>
    <n v="0.17307692307692299"/>
  </r>
  <r>
    <x v="195"/>
    <x v="5"/>
    <n v="14"/>
    <n v="0.15049999999999999"/>
    <n v="20"/>
    <n v="0.15379999999999999"/>
    <n v="1"/>
    <n v="1"/>
    <n v="7.1400000000000005E-2"/>
    <n v="12.99"/>
    <s v="1"/>
    <n v="7.1428571428571397E-2"/>
  </r>
  <r>
    <x v="196"/>
    <x v="6"/>
    <n v="9"/>
    <n v="0.1071"/>
    <n v="10"/>
    <n v="0.10100000000000001"/>
    <n v="1"/>
    <n v="0"/>
    <n v="0"/>
    <n v="0"/>
    <s v="0"/>
    <n v="0"/>
  </r>
  <r>
    <x v="196"/>
    <x v="2"/>
    <n v="5"/>
    <n v="5.9499999999999997E-2"/>
    <n v="6"/>
    <n v="6.0600000000000001E-2"/>
    <n v="1"/>
    <n v="0"/>
    <n v="0"/>
    <n v="0"/>
    <s v="0"/>
    <n v="0"/>
  </r>
  <r>
    <x v="196"/>
    <x v="5"/>
    <n v="17"/>
    <n v="0.2024"/>
    <n v="20"/>
    <n v="0.20200000000000001"/>
    <n v="1"/>
    <n v="4"/>
    <n v="0.23530000000000001"/>
    <n v="51.96"/>
    <s v="4"/>
    <n v="0.23529411764705899"/>
  </r>
  <r>
    <x v="196"/>
    <x v="0"/>
    <n v="49"/>
    <n v="0.58330000000000004"/>
    <n v="57"/>
    <n v="0.57579999999999998"/>
    <n v="1"/>
    <n v="12"/>
    <n v="0.24490000000000001"/>
    <n v="166.44"/>
    <s v="12"/>
    <n v="0.24489795918367299"/>
  </r>
  <r>
    <x v="196"/>
    <x v="3"/>
    <n v="4"/>
    <n v="4.7600000000000003E-2"/>
    <n v="6"/>
    <n v="6.0600000000000001E-2"/>
    <n v="1"/>
    <n v="1"/>
    <n v="0.25"/>
    <n v="27.87"/>
    <s v="1"/>
    <n v="0.25"/>
  </r>
  <r>
    <x v="197"/>
    <x v="4"/>
    <n v="1"/>
    <n v="1.0800000000000001E-2"/>
    <n v="1"/>
    <n v="7.7999999999999996E-3"/>
    <n v="1"/>
    <n v="0"/>
    <n v="0"/>
    <n v="0"/>
    <s v="0"/>
    <n v="0"/>
  </r>
  <r>
    <x v="197"/>
    <x v="3"/>
    <n v="9"/>
    <n v="9.6799999999999997E-2"/>
    <n v="14"/>
    <n v="0.1085"/>
    <n v="1"/>
    <n v="0"/>
    <n v="0"/>
    <n v="0"/>
    <s v="0"/>
    <n v="0"/>
  </r>
  <r>
    <x v="197"/>
    <x v="2"/>
    <n v="6"/>
    <n v="6.4500000000000002E-2"/>
    <n v="10"/>
    <n v="7.7499999999999999E-2"/>
    <n v="1"/>
    <n v="0"/>
    <n v="0"/>
    <n v="0"/>
    <s v="0"/>
    <n v="0"/>
  </r>
  <r>
    <x v="197"/>
    <x v="7"/>
    <n v="3"/>
    <n v="3.2300000000000002E-2"/>
    <n v="4"/>
    <n v="3.1E-2"/>
    <n v="1"/>
    <n v="0"/>
    <n v="0"/>
    <n v="0"/>
    <s v="0"/>
    <n v="0"/>
  </r>
  <r>
    <x v="197"/>
    <x v="5"/>
    <n v="13"/>
    <n v="0.13980000000000001"/>
    <n v="22"/>
    <n v="0.17050000000000001"/>
    <n v="1"/>
    <n v="3"/>
    <n v="0.23080000000000001"/>
    <n v="38.97"/>
    <s v="3"/>
    <n v="0.230769230769231"/>
  </r>
  <r>
    <x v="197"/>
    <x v="6"/>
    <n v="15"/>
    <n v="0.1613"/>
    <n v="16"/>
    <n v="0.124"/>
    <n v="1"/>
    <n v="2"/>
    <n v="0.1333"/>
    <n v="23.98"/>
    <s v="2"/>
    <n v="0.133333333333333"/>
  </r>
  <r>
    <x v="197"/>
    <x v="0"/>
    <n v="46"/>
    <n v="0.49459999999999998"/>
    <n v="62"/>
    <n v="0.48060000000000003"/>
    <n v="1"/>
    <n v="7"/>
    <n v="0.1522"/>
    <n v="97.09"/>
    <s v="6"/>
    <n v="0.13043478260869601"/>
  </r>
  <r>
    <x v="198"/>
    <x v="1"/>
    <n v="1"/>
    <n v="1.0500000000000001E-2"/>
    <n v="1"/>
    <n v="8.0999999999999996E-3"/>
    <n v="1"/>
    <n v="0"/>
    <n v="0"/>
    <n v="0"/>
    <s v="0"/>
    <n v="0"/>
  </r>
  <r>
    <x v="198"/>
    <x v="7"/>
    <n v="1"/>
    <n v="1.0500000000000001E-2"/>
    <n v="1"/>
    <n v="8.0999999999999996E-3"/>
    <n v="1"/>
    <n v="0"/>
    <n v="0"/>
    <n v="0"/>
    <s v="0"/>
    <n v="0"/>
  </r>
  <r>
    <x v="198"/>
    <x v="2"/>
    <n v="7"/>
    <n v="7.3700000000000002E-2"/>
    <n v="9"/>
    <n v="7.3200000000000001E-2"/>
    <n v="1"/>
    <n v="0"/>
    <n v="0"/>
    <n v="0"/>
    <s v="0"/>
    <n v="0"/>
  </r>
  <r>
    <x v="198"/>
    <x v="4"/>
    <n v="4"/>
    <n v="4.2099999999999999E-2"/>
    <n v="4"/>
    <n v="3.2500000000000001E-2"/>
    <n v="1"/>
    <n v="0"/>
    <n v="0"/>
    <n v="0"/>
    <s v="0"/>
    <n v="0"/>
  </r>
  <r>
    <x v="198"/>
    <x v="3"/>
    <n v="3"/>
    <n v="3.1600000000000003E-2"/>
    <n v="3"/>
    <n v="2.4400000000000002E-2"/>
    <n v="1"/>
    <n v="0"/>
    <n v="0"/>
    <n v="0"/>
    <s v="0"/>
    <n v="0"/>
  </r>
  <r>
    <x v="198"/>
    <x v="6"/>
    <n v="16"/>
    <n v="0.16839999999999999"/>
    <n v="24"/>
    <n v="0.1951"/>
    <n v="1"/>
    <n v="4"/>
    <n v="0.25"/>
    <n v="47.96"/>
    <s v="2"/>
    <n v="0.125"/>
  </r>
  <r>
    <x v="198"/>
    <x v="5"/>
    <n v="21"/>
    <n v="0.22109999999999999"/>
    <n v="28"/>
    <n v="0.2276"/>
    <n v="1"/>
    <n v="3"/>
    <n v="0.1429"/>
    <n v="38.97"/>
    <s v="2"/>
    <n v="9.5238095238095205E-2"/>
  </r>
  <r>
    <x v="198"/>
    <x v="0"/>
    <n v="42"/>
    <n v="0.44209999999999999"/>
    <n v="53"/>
    <n v="0.43090000000000001"/>
    <n v="1"/>
    <n v="10"/>
    <n v="0.23810000000000001"/>
    <n v="138.69999999999999"/>
    <s v="9"/>
    <n v="0.214285714285714"/>
  </r>
  <r>
    <x v="199"/>
    <x v="2"/>
    <n v="1"/>
    <n v="1.4500000000000001E-2"/>
    <n v="1"/>
    <n v="1.09E-2"/>
    <n v="1"/>
    <n v="0"/>
    <n v="0"/>
    <n v="0"/>
    <s v="0"/>
    <n v="0"/>
  </r>
  <r>
    <x v="199"/>
    <x v="1"/>
    <n v="1"/>
    <n v="1.4500000000000001E-2"/>
    <n v="1"/>
    <n v="1.09E-2"/>
    <n v="1"/>
    <n v="0"/>
    <n v="0"/>
    <n v="0"/>
    <s v="0"/>
    <n v="0"/>
  </r>
  <r>
    <x v="199"/>
    <x v="8"/>
    <n v="2"/>
    <n v="2.9000000000000001E-2"/>
    <n v="3"/>
    <n v="3.2599999999999997E-2"/>
    <n v="1"/>
    <n v="0"/>
    <n v="0"/>
    <n v="0"/>
    <s v="0"/>
    <n v="0"/>
  </r>
  <r>
    <x v="199"/>
    <x v="4"/>
    <n v="5"/>
    <n v="7.2499999999999995E-2"/>
    <n v="6"/>
    <n v="6.5199999999999994E-2"/>
    <n v="1"/>
    <n v="0"/>
    <n v="0"/>
    <n v="0"/>
    <s v="0"/>
    <n v="0"/>
  </r>
  <r>
    <x v="199"/>
    <x v="3"/>
    <n v="3"/>
    <n v="4.3499999999999997E-2"/>
    <n v="6"/>
    <n v="6.5199999999999994E-2"/>
    <n v="1"/>
    <n v="0"/>
    <n v="0"/>
    <n v="0"/>
    <s v="0"/>
    <n v="0"/>
  </r>
  <r>
    <x v="199"/>
    <x v="0"/>
    <n v="36"/>
    <n v="0.52170000000000005"/>
    <n v="46"/>
    <n v="0.5"/>
    <n v="0.98"/>
    <n v="9"/>
    <n v="0.25"/>
    <n v="124.83"/>
    <s v="9"/>
    <n v="0.25"/>
  </r>
  <r>
    <x v="199"/>
    <x v="5"/>
    <n v="12"/>
    <n v="0.1739"/>
    <n v="13"/>
    <n v="0.14130000000000001"/>
    <n v="1"/>
    <n v="4"/>
    <n v="0.33329999999999999"/>
    <n v="51.96"/>
    <s v="4"/>
    <n v="0.33333333333333298"/>
  </r>
  <r>
    <x v="199"/>
    <x v="6"/>
    <n v="9"/>
    <n v="0.13039999999999999"/>
    <n v="16"/>
    <n v="0.1739"/>
    <n v="1"/>
    <n v="1"/>
    <n v="0.1111"/>
    <n v="11.99"/>
    <s v="1"/>
    <n v="0.11111111111111099"/>
  </r>
  <r>
    <x v="200"/>
    <x v="7"/>
    <n v="2"/>
    <n v="1.8700000000000001E-2"/>
    <n v="4"/>
    <n v="2.7199999999999998E-2"/>
    <n v="1"/>
    <n v="0"/>
    <n v="0"/>
    <n v="0"/>
    <s v="0"/>
    <n v="0"/>
  </r>
  <r>
    <x v="200"/>
    <x v="3"/>
    <n v="7"/>
    <n v="6.54E-2"/>
    <n v="11"/>
    <n v="7.4800000000000005E-2"/>
    <n v="1"/>
    <n v="0"/>
    <n v="0"/>
    <n v="0"/>
    <s v="0"/>
    <n v="0"/>
  </r>
  <r>
    <x v="200"/>
    <x v="2"/>
    <n v="4"/>
    <n v="3.7400000000000003E-2"/>
    <n v="6"/>
    <n v="4.0800000000000003E-2"/>
    <n v="1"/>
    <n v="0"/>
    <n v="0"/>
    <n v="0"/>
    <s v="0"/>
    <n v="0"/>
  </r>
  <r>
    <x v="200"/>
    <x v="5"/>
    <n v="14"/>
    <n v="0.1308"/>
    <n v="19"/>
    <n v="0.1293"/>
    <n v="0.95"/>
    <n v="0"/>
    <n v="0"/>
    <n v="0"/>
    <s v="0"/>
    <n v="0"/>
  </r>
  <r>
    <x v="200"/>
    <x v="0"/>
    <n v="56"/>
    <n v="0.52339999999999998"/>
    <n v="75"/>
    <n v="0.51019999999999999"/>
    <n v="0.99"/>
    <n v="14"/>
    <n v="0.25"/>
    <n v="194.18"/>
    <s v="10"/>
    <n v="0.17857142857142899"/>
  </r>
  <r>
    <x v="200"/>
    <x v="4"/>
    <n v="10"/>
    <n v="9.35E-2"/>
    <n v="16"/>
    <n v="0.10879999999999999"/>
    <n v="0.94"/>
    <n v="1"/>
    <n v="0.1"/>
    <n v="24.99"/>
    <s v="1"/>
    <n v="0.1"/>
  </r>
  <r>
    <x v="200"/>
    <x v="1"/>
    <n v="0"/>
    <n v="0"/>
    <n v="0"/>
    <n v="0"/>
    <n v="0"/>
    <n v="1"/>
    <n v="0"/>
    <n v="15.99"/>
    <s v="1"/>
    <n v="0"/>
  </r>
  <r>
    <x v="200"/>
    <x v="6"/>
    <n v="14"/>
    <n v="0.1308"/>
    <n v="16"/>
    <n v="0.10879999999999999"/>
    <n v="1"/>
    <n v="1"/>
    <n v="7.1400000000000005E-2"/>
    <n v="11.99"/>
    <s v="1"/>
    <n v="7.1428571428571397E-2"/>
  </r>
  <r>
    <x v="201"/>
    <x v="7"/>
    <n v="2"/>
    <n v="2.1700000000000001E-2"/>
    <n v="6"/>
    <n v="4.0800000000000003E-2"/>
    <n v="1"/>
    <n v="0"/>
    <n v="0"/>
    <n v="0"/>
    <s v="0"/>
    <n v="0"/>
  </r>
  <r>
    <x v="201"/>
    <x v="4"/>
    <n v="6"/>
    <n v="6.5199999999999994E-2"/>
    <n v="9"/>
    <n v="6.1199999999999997E-2"/>
    <n v="1"/>
    <n v="0"/>
    <n v="0"/>
    <n v="0"/>
    <s v="0"/>
    <n v="0"/>
  </r>
  <r>
    <x v="201"/>
    <x v="2"/>
    <n v="7"/>
    <n v="7.6100000000000001E-2"/>
    <n v="13"/>
    <n v="8.8400000000000006E-2"/>
    <n v="0.92"/>
    <n v="2"/>
    <n v="0.28570000000000001"/>
    <n v="33.94"/>
    <s v="2"/>
    <n v="0.28571428571428598"/>
  </r>
  <r>
    <x v="201"/>
    <x v="5"/>
    <n v="10"/>
    <n v="0.1087"/>
    <n v="13"/>
    <n v="8.8400000000000006E-2"/>
    <n v="1"/>
    <n v="4"/>
    <n v="0.4"/>
    <n v="51.96"/>
    <s v="4"/>
    <n v="0.4"/>
  </r>
  <r>
    <x v="201"/>
    <x v="6"/>
    <n v="13"/>
    <n v="0.14130000000000001"/>
    <n v="20"/>
    <n v="0.1361"/>
    <n v="1"/>
    <n v="2"/>
    <n v="0.15379999999999999"/>
    <n v="23.98"/>
    <s v="2"/>
    <n v="0.15384615384615399"/>
  </r>
  <r>
    <x v="201"/>
    <x v="0"/>
    <n v="42"/>
    <n v="0.45650000000000002"/>
    <n v="59"/>
    <n v="0.40139999999999998"/>
    <n v="1"/>
    <n v="11"/>
    <n v="0.26190000000000002"/>
    <n v="152.57"/>
    <s v="10"/>
    <n v="0.238095238095238"/>
  </r>
  <r>
    <x v="201"/>
    <x v="3"/>
    <n v="11"/>
    <n v="0.1196"/>
    <n v="26"/>
    <n v="0.1769"/>
    <n v="1"/>
    <n v="1"/>
    <n v="9.0899999999999995E-2"/>
    <n v="27.87"/>
    <s v="1"/>
    <n v="9.0909090909090898E-2"/>
  </r>
  <r>
    <x v="201"/>
    <x v="8"/>
    <n v="1"/>
    <n v="1.09E-2"/>
    <n v="1"/>
    <n v="6.7999999999999996E-3"/>
    <n v="1"/>
    <n v="1"/>
    <n v="1"/>
    <n v="36.99"/>
    <s v="1"/>
    <n v="1"/>
  </r>
  <r>
    <x v="202"/>
    <x v="4"/>
    <n v="12"/>
    <n v="0.1143"/>
    <n v="16"/>
    <n v="0.1168"/>
    <n v="1"/>
    <n v="0"/>
    <n v="0"/>
    <n v="0"/>
    <s v="0"/>
    <n v="0"/>
  </r>
  <r>
    <x v="202"/>
    <x v="7"/>
    <n v="4"/>
    <n v="3.8100000000000002E-2"/>
    <n v="4"/>
    <n v="2.92E-2"/>
    <n v="1"/>
    <n v="0"/>
    <n v="0"/>
    <n v="0"/>
    <s v="0"/>
    <n v="0"/>
  </r>
  <r>
    <x v="202"/>
    <x v="6"/>
    <n v="13"/>
    <n v="0.12379999999999999"/>
    <n v="15"/>
    <n v="0.1095"/>
    <n v="1"/>
    <n v="3"/>
    <n v="0.23080000000000001"/>
    <n v="35.97"/>
    <s v="2"/>
    <n v="0.15384615384615399"/>
  </r>
  <r>
    <x v="202"/>
    <x v="2"/>
    <n v="5"/>
    <n v="4.7600000000000003E-2"/>
    <n v="6"/>
    <n v="4.3799999999999999E-2"/>
    <n v="1"/>
    <n v="3"/>
    <n v="0.6"/>
    <n v="50.91"/>
    <s v="2"/>
    <n v="0.4"/>
  </r>
  <r>
    <x v="202"/>
    <x v="5"/>
    <n v="7"/>
    <n v="6.6699999999999995E-2"/>
    <n v="13"/>
    <n v="9.4899999999999998E-2"/>
    <n v="1"/>
    <n v="2"/>
    <n v="0.28570000000000001"/>
    <n v="25.98"/>
    <s v="2"/>
    <n v="0.28571428571428598"/>
  </r>
  <r>
    <x v="202"/>
    <x v="0"/>
    <n v="53"/>
    <n v="0.50480000000000003"/>
    <n v="72"/>
    <n v="0.52549999999999997"/>
    <n v="1"/>
    <n v="8"/>
    <n v="0.15090000000000001"/>
    <n v="110.96"/>
    <s v="8"/>
    <n v="0.15094339622641501"/>
  </r>
  <r>
    <x v="202"/>
    <x v="3"/>
    <n v="11"/>
    <n v="0.1048"/>
    <n v="11"/>
    <n v="8.0299999999999996E-2"/>
    <n v="1"/>
    <n v="1"/>
    <n v="9.0899999999999995E-2"/>
    <n v="29.99"/>
    <s v="1"/>
    <n v="9.0909090909090898E-2"/>
  </r>
  <r>
    <x v="203"/>
    <x v="1"/>
    <n v="1"/>
    <n v="1.1900000000000001E-2"/>
    <n v="1"/>
    <n v="8.6E-3"/>
    <n v="1"/>
    <n v="0"/>
    <n v="0"/>
    <n v="0"/>
    <s v="0"/>
    <n v="0"/>
  </r>
  <r>
    <x v="203"/>
    <x v="2"/>
    <n v="1"/>
    <n v="1.1900000000000001E-2"/>
    <n v="1"/>
    <n v="8.6E-3"/>
    <n v="1"/>
    <n v="0"/>
    <n v="0"/>
    <n v="0"/>
    <s v="0"/>
    <n v="0"/>
  </r>
  <r>
    <x v="203"/>
    <x v="8"/>
    <n v="1"/>
    <n v="1.1900000000000001E-2"/>
    <n v="1"/>
    <n v="8.6E-3"/>
    <n v="1"/>
    <n v="0"/>
    <n v="0"/>
    <n v="0"/>
    <s v="0"/>
    <n v="0"/>
  </r>
  <r>
    <x v="203"/>
    <x v="1"/>
    <n v="1"/>
    <n v="1.1900000000000001E-2"/>
    <n v="6"/>
    <n v="5.1700000000000003E-2"/>
    <n v="1"/>
    <n v="0"/>
    <n v="0"/>
    <n v="0"/>
    <s v="0"/>
    <n v="0"/>
  </r>
  <r>
    <x v="203"/>
    <x v="9"/>
    <n v="2"/>
    <n v="2.3800000000000002E-2"/>
    <n v="2"/>
    <n v="1.72E-2"/>
    <n v="1"/>
    <n v="0"/>
    <n v="0"/>
    <n v="0"/>
    <s v="0"/>
    <n v="0"/>
  </r>
  <r>
    <x v="203"/>
    <x v="6"/>
    <n v="11"/>
    <n v="0.13100000000000001"/>
    <n v="14"/>
    <n v="0.1207"/>
    <n v="1"/>
    <n v="0"/>
    <n v="0"/>
    <n v="0"/>
    <s v="0"/>
    <n v="0"/>
  </r>
  <r>
    <x v="203"/>
    <x v="4"/>
    <n v="7"/>
    <n v="8.3299999999999999E-2"/>
    <n v="8"/>
    <n v="6.9000000000000006E-2"/>
    <n v="1"/>
    <n v="0"/>
    <n v="0"/>
    <n v="0"/>
    <s v="0"/>
    <n v="0"/>
  </r>
  <r>
    <x v="203"/>
    <x v="3"/>
    <n v="7"/>
    <n v="8.3299999999999999E-2"/>
    <n v="12"/>
    <n v="0.10340000000000001"/>
    <n v="1"/>
    <n v="0"/>
    <n v="0"/>
    <n v="0"/>
    <s v="0"/>
    <n v="0"/>
  </r>
  <r>
    <x v="203"/>
    <x v="7"/>
    <n v="3"/>
    <n v="3.5700000000000003E-2"/>
    <n v="6"/>
    <n v="5.1700000000000003E-2"/>
    <n v="1"/>
    <n v="0"/>
    <n v="0"/>
    <n v="0"/>
    <s v="0"/>
    <n v="0"/>
  </r>
  <r>
    <x v="203"/>
    <x v="1"/>
    <n v="1"/>
    <n v="1.1900000000000001E-2"/>
    <n v="1"/>
    <n v="8.6E-3"/>
    <n v="0"/>
    <n v="0"/>
    <n v="0"/>
    <n v="0"/>
    <s v="0"/>
    <n v="0"/>
  </r>
  <r>
    <x v="203"/>
    <x v="0"/>
    <n v="37"/>
    <n v="0.4405"/>
    <n v="50"/>
    <n v="0.43099999999999999"/>
    <n v="1"/>
    <n v="38"/>
    <n v="1.0269999999999999"/>
    <n v="527.05999999999995"/>
    <s v="8"/>
    <n v="0.21621621621621601"/>
  </r>
  <r>
    <x v="203"/>
    <x v="5"/>
    <n v="12"/>
    <n v="0.1429"/>
    <n v="14"/>
    <n v="0.1207"/>
    <n v="1"/>
    <n v="1"/>
    <n v="8.3299999999999999E-2"/>
    <n v="12.99"/>
    <s v="1"/>
    <n v="8.3333333333333301E-2"/>
  </r>
  <r>
    <x v="204"/>
    <x v="1"/>
    <n v="1"/>
    <n v="1.2200000000000001E-2"/>
    <n v="1"/>
    <n v="9.1000000000000004E-3"/>
    <n v="1"/>
    <n v="0"/>
    <n v="0"/>
    <n v="0"/>
    <s v="0"/>
    <n v="0"/>
  </r>
  <r>
    <x v="204"/>
    <x v="7"/>
    <n v="1"/>
    <n v="1.2200000000000001E-2"/>
    <n v="1"/>
    <n v="9.1000000000000004E-3"/>
    <n v="1"/>
    <n v="0"/>
    <n v="0"/>
    <n v="0"/>
    <s v="0"/>
    <n v="0"/>
  </r>
  <r>
    <x v="204"/>
    <x v="1"/>
    <n v="1"/>
    <n v="1.2200000000000001E-2"/>
    <n v="1"/>
    <n v="9.1000000000000004E-3"/>
    <n v="1"/>
    <n v="0"/>
    <n v="0"/>
    <n v="0"/>
    <s v="0"/>
    <n v="0"/>
  </r>
  <r>
    <x v="204"/>
    <x v="1"/>
    <n v="1"/>
    <n v="1.2200000000000001E-2"/>
    <n v="1"/>
    <n v="9.1000000000000004E-3"/>
    <n v="1"/>
    <n v="0"/>
    <n v="0"/>
    <n v="0"/>
    <s v="0"/>
    <n v="0"/>
  </r>
  <r>
    <x v="204"/>
    <x v="9"/>
    <n v="1"/>
    <n v="1.2200000000000001E-2"/>
    <n v="1"/>
    <n v="9.1000000000000004E-3"/>
    <n v="1"/>
    <n v="0"/>
    <n v="0"/>
    <n v="0"/>
    <s v="0"/>
    <n v="0"/>
  </r>
  <r>
    <x v="204"/>
    <x v="8"/>
    <n v="1"/>
    <n v="1.2200000000000001E-2"/>
    <n v="2"/>
    <n v="1.8200000000000001E-2"/>
    <n v="1"/>
    <n v="0"/>
    <n v="0"/>
    <n v="0"/>
    <s v="0"/>
    <n v="0"/>
  </r>
  <r>
    <x v="204"/>
    <x v="4"/>
    <n v="2"/>
    <n v="2.4400000000000002E-2"/>
    <n v="7"/>
    <n v="6.3600000000000004E-2"/>
    <n v="1"/>
    <n v="0"/>
    <n v="0"/>
    <n v="0"/>
    <s v="0"/>
    <n v="0"/>
  </r>
  <r>
    <x v="204"/>
    <x v="3"/>
    <n v="12"/>
    <n v="0.14630000000000001"/>
    <n v="13"/>
    <n v="0.1182"/>
    <n v="1"/>
    <n v="0"/>
    <n v="0"/>
    <n v="0"/>
    <s v="0"/>
    <n v="0"/>
  </r>
  <r>
    <x v="204"/>
    <x v="2"/>
    <n v="3"/>
    <n v="3.6600000000000001E-2"/>
    <n v="8"/>
    <n v="7.2700000000000001E-2"/>
    <n v="1"/>
    <n v="0"/>
    <n v="0"/>
    <n v="0"/>
    <s v="0"/>
    <n v="0"/>
  </r>
  <r>
    <x v="204"/>
    <x v="0"/>
    <n v="43"/>
    <n v="0.52439999999999998"/>
    <n v="58"/>
    <n v="0.52729999999999999"/>
    <n v="0.98"/>
    <n v="6"/>
    <n v="0.13950000000000001"/>
    <n v="83.22"/>
    <s v="6"/>
    <n v="0.13953488372093001"/>
  </r>
  <r>
    <x v="204"/>
    <x v="5"/>
    <n v="10"/>
    <n v="0.122"/>
    <n v="11"/>
    <n v="0.1"/>
    <n v="1"/>
    <n v="2"/>
    <n v="0.2"/>
    <n v="25.98"/>
    <s v="2"/>
    <n v="0.2"/>
  </r>
  <r>
    <x v="204"/>
    <x v="6"/>
    <n v="6"/>
    <n v="7.3200000000000001E-2"/>
    <n v="6"/>
    <n v="5.45E-2"/>
    <n v="1"/>
    <n v="1"/>
    <n v="0.16669999999999999"/>
    <n v="11.99"/>
    <s v="1"/>
    <n v="0.16666666666666699"/>
  </r>
  <r>
    <x v="205"/>
    <x v="4"/>
    <n v="1"/>
    <n v="3.3E-3"/>
    <n v="1"/>
    <n v="2.3E-3"/>
    <n v="1"/>
    <n v="0"/>
    <n v="0"/>
    <n v="0"/>
    <s v="0"/>
    <n v="0"/>
  </r>
  <r>
    <x v="205"/>
    <x v="2"/>
    <n v="7"/>
    <n v="2.3199999999999998E-2"/>
    <n v="14"/>
    <n v="3.2000000000000001E-2"/>
    <n v="1"/>
    <n v="0"/>
    <n v="0"/>
    <n v="0"/>
    <s v="0"/>
    <n v="0"/>
  </r>
  <r>
    <x v="205"/>
    <x v="3"/>
    <n v="18"/>
    <n v="5.96E-2"/>
    <n v="31"/>
    <n v="7.0900000000000005E-2"/>
    <n v="0.97"/>
    <n v="0"/>
    <n v="0"/>
    <n v="0"/>
    <s v="0"/>
    <n v="0"/>
  </r>
  <r>
    <x v="205"/>
    <x v="5"/>
    <n v="14"/>
    <n v="4.6399999999999997E-2"/>
    <n v="29"/>
    <n v="6.6400000000000001E-2"/>
    <n v="0.97"/>
    <n v="3"/>
    <n v="0.21429999999999999"/>
    <n v="38.97"/>
    <s v="3"/>
    <n v="0.214285714285714"/>
  </r>
  <r>
    <x v="205"/>
    <x v="6"/>
    <n v="12"/>
    <n v="3.9699999999999999E-2"/>
    <n v="18"/>
    <n v="4.1200000000000001E-2"/>
    <n v="1"/>
    <n v="4"/>
    <n v="0.33329999999999999"/>
    <n v="47.96"/>
    <s v="3"/>
    <n v="0.25"/>
  </r>
  <r>
    <x v="205"/>
    <x v="0"/>
    <n v="250"/>
    <n v="0.82779999999999998"/>
    <n v="344"/>
    <n v="0.78720000000000001"/>
    <n v="1"/>
    <n v="114"/>
    <n v="0.45600000000000002"/>
    <n v="1581.18"/>
    <s v="111"/>
    <n v="0.44400000000000001"/>
  </r>
  <r>
    <x v="206"/>
    <x v="1"/>
    <n v="1"/>
    <n v="1.03E-2"/>
    <n v="1"/>
    <n v="7.6E-3"/>
    <n v="1"/>
    <n v="0"/>
    <n v="0"/>
    <n v="0"/>
    <s v="0"/>
    <n v="0"/>
  </r>
  <r>
    <x v="206"/>
    <x v="2"/>
    <n v="4"/>
    <n v="4.1200000000000001E-2"/>
    <n v="6"/>
    <n v="4.58E-2"/>
    <n v="1"/>
    <n v="0"/>
    <n v="0"/>
    <n v="0"/>
    <s v="0"/>
    <n v="0"/>
  </r>
  <r>
    <x v="206"/>
    <x v="4"/>
    <n v="3"/>
    <n v="3.09E-2"/>
    <n v="3"/>
    <n v="2.29E-2"/>
    <n v="1"/>
    <n v="0"/>
    <n v="0"/>
    <n v="0"/>
    <s v="0"/>
    <n v="0"/>
  </r>
  <r>
    <x v="206"/>
    <x v="0"/>
    <n v="59"/>
    <n v="0.60819999999999996"/>
    <n v="85"/>
    <n v="0.64890000000000003"/>
    <n v="0.99"/>
    <n v="7"/>
    <n v="0.1186"/>
    <n v="97.09"/>
    <s v="7"/>
    <n v="0.11864406779661001"/>
  </r>
  <r>
    <x v="206"/>
    <x v="3"/>
    <n v="12"/>
    <n v="0.1237"/>
    <n v="14"/>
    <n v="0.1069"/>
    <n v="1"/>
    <n v="2"/>
    <n v="0.16669999999999999"/>
    <n v="59.98"/>
    <s v="2"/>
    <n v="0.16666666666666699"/>
  </r>
  <r>
    <x v="206"/>
    <x v="6"/>
    <n v="10"/>
    <n v="0.1031"/>
    <n v="13"/>
    <n v="9.9199999999999997E-2"/>
    <n v="1"/>
    <n v="2"/>
    <n v="0.2"/>
    <n v="23.98"/>
    <s v="1"/>
    <n v="0.1"/>
  </r>
  <r>
    <x v="206"/>
    <x v="5"/>
    <n v="8"/>
    <n v="8.2500000000000004E-2"/>
    <n v="9"/>
    <n v="6.8699999999999997E-2"/>
    <n v="1"/>
    <n v="1"/>
    <n v="0.125"/>
    <n v="12.99"/>
    <s v="1"/>
    <n v="0.125"/>
  </r>
  <r>
    <x v="207"/>
    <x v="4"/>
    <n v="2"/>
    <n v="2.35E-2"/>
    <n v="2"/>
    <n v="1.8700000000000001E-2"/>
    <n v="1"/>
    <n v="0"/>
    <n v="0"/>
    <n v="0"/>
    <s v="0"/>
    <n v="0"/>
  </r>
  <r>
    <x v="207"/>
    <x v="3"/>
    <n v="9"/>
    <n v="0.10589999999999999"/>
    <n v="9"/>
    <n v="8.4099999999999994E-2"/>
    <n v="1"/>
    <n v="0"/>
    <n v="0"/>
    <n v="0"/>
    <s v="0"/>
    <n v="0"/>
  </r>
  <r>
    <x v="207"/>
    <x v="8"/>
    <n v="1"/>
    <n v="1.18E-2"/>
    <n v="1"/>
    <n v="9.2999999999999992E-3"/>
    <n v="0"/>
    <n v="0"/>
    <n v="0"/>
    <n v="0"/>
    <s v="0"/>
    <n v="0"/>
  </r>
  <r>
    <x v="207"/>
    <x v="5"/>
    <n v="10"/>
    <n v="0.1176"/>
    <n v="15"/>
    <n v="0.14019999999999999"/>
    <n v="0.93"/>
    <n v="1"/>
    <n v="0.1"/>
    <n v="12.99"/>
    <s v="1"/>
    <n v="0.1"/>
  </r>
  <r>
    <x v="207"/>
    <x v="6"/>
    <n v="6"/>
    <n v="7.0599999999999996E-2"/>
    <n v="8"/>
    <n v="7.4800000000000005E-2"/>
    <n v="0.88"/>
    <n v="5"/>
    <n v="0.83330000000000004"/>
    <n v="59.95"/>
    <s v="2"/>
    <n v="0.33333333333333298"/>
  </r>
  <r>
    <x v="207"/>
    <x v="0"/>
    <n v="54"/>
    <n v="0.63529999999999998"/>
    <n v="69"/>
    <n v="0.64490000000000003"/>
    <n v="1"/>
    <n v="12"/>
    <n v="0.22220000000000001"/>
    <n v="166.44"/>
    <s v="11"/>
    <n v="0.203703703703704"/>
  </r>
  <r>
    <x v="207"/>
    <x v="2"/>
    <n v="3"/>
    <n v="3.5299999999999998E-2"/>
    <n v="3"/>
    <n v="2.8000000000000001E-2"/>
    <n v="1"/>
    <n v="1"/>
    <n v="0.33329999999999999"/>
    <n v="16.97"/>
    <s v="1"/>
    <n v="0.33333333333333298"/>
  </r>
  <r>
    <x v="208"/>
    <x v="1"/>
    <n v="1"/>
    <n v="6.8999999999999999E-3"/>
    <n v="1"/>
    <n v="4.7999999999999996E-3"/>
    <n v="1"/>
    <n v="0"/>
    <n v="0"/>
    <n v="0"/>
    <s v="0"/>
    <n v="0"/>
  </r>
  <r>
    <x v="208"/>
    <x v="6"/>
    <n v="14"/>
    <n v="9.6600000000000005E-2"/>
    <n v="17"/>
    <n v="8.2100000000000006E-2"/>
    <n v="1"/>
    <n v="0"/>
    <n v="0"/>
    <n v="0"/>
    <s v="0"/>
    <n v="0"/>
  </r>
  <r>
    <x v="208"/>
    <x v="5"/>
    <n v="18"/>
    <n v="0.1241"/>
    <n v="27"/>
    <n v="0.13039999999999999"/>
    <n v="1"/>
    <n v="6"/>
    <n v="0.33329999999999999"/>
    <n v="77.94"/>
    <s v="6"/>
    <n v="0.33333333333333298"/>
  </r>
  <r>
    <x v="208"/>
    <x v="2"/>
    <n v="6"/>
    <n v="4.1399999999999999E-2"/>
    <n v="11"/>
    <n v="5.3100000000000001E-2"/>
    <n v="1"/>
    <n v="2"/>
    <n v="0.33329999999999999"/>
    <n v="33.94"/>
    <s v="2"/>
    <n v="0.33333333333333298"/>
  </r>
  <r>
    <x v="208"/>
    <x v="0"/>
    <n v="101"/>
    <n v="0.6966"/>
    <n v="145"/>
    <n v="0.70050000000000001"/>
    <n v="1"/>
    <n v="31"/>
    <n v="0.30690000000000001"/>
    <n v="429.97"/>
    <s v="27"/>
    <n v="0.26732673267326701"/>
  </r>
  <r>
    <x v="208"/>
    <x v="3"/>
    <n v="5"/>
    <n v="3.4500000000000003E-2"/>
    <n v="6"/>
    <n v="2.9000000000000001E-2"/>
    <n v="1"/>
    <n v="1"/>
    <n v="0.2"/>
    <n v="29.99"/>
    <s v="1"/>
    <n v="0.2"/>
  </r>
  <r>
    <x v="209"/>
    <x v="10"/>
    <n v="1"/>
    <n v="6.4000000000000003E-3"/>
    <n v="2"/>
    <n v="1.01E-2"/>
    <n v="1"/>
    <n v="0"/>
    <n v="0"/>
    <n v="0"/>
    <s v="0"/>
    <n v="0"/>
  </r>
  <r>
    <x v="209"/>
    <x v="4"/>
    <n v="2"/>
    <n v="1.2699999999999999E-2"/>
    <n v="2"/>
    <n v="1.01E-2"/>
    <n v="1"/>
    <n v="0"/>
    <n v="0"/>
    <n v="0"/>
    <s v="0"/>
    <n v="0"/>
  </r>
  <r>
    <x v="209"/>
    <x v="5"/>
    <n v="10"/>
    <n v="6.3700000000000007E-2"/>
    <n v="10"/>
    <n v="5.0500000000000003E-2"/>
    <n v="1"/>
    <n v="0"/>
    <n v="0"/>
    <n v="0"/>
    <s v="0"/>
    <n v="0"/>
  </r>
  <r>
    <x v="209"/>
    <x v="2"/>
    <n v="6"/>
    <n v="3.8199999999999998E-2"/>
    <n v="7"/>
    <n v="3.5400000000000001E-2"/>
    <n v="1"/>
    <n v="0"/>
    <n v="0"/>
    <n v="0"/>
    <s v="0"/>
    <n v="0"/>
  </r>
  <r>
    <x v="209"/>
    <x v="8"/>
    <n v="0"/>
    <n v="0"/>
    <n v="0"/>
    <n v="0"/>
    <n v="0"/>
    <n v="1"/>
    <n v="0"/>
    <n v="40.98"/>
    <s v="1"/>
    <n v="0"/>
  </r>
  <r>
    <x v="209"/>
    <x v="0"/>
    <n v="125"/>
    <n v="0.79620000000000002"/>
    <n v="161"/>
    <n v="0.81310000000000004"/>
    <n v="1"/>
    <n v="25"/>
    <n v="0.2"/>
    <n v="346.75"/>
    <s v="23"/>
    <n v="0.184"/>
  </r>
  <r>
    <x v="209"/>
    <x v="3"/>
    <n v="8"/>
    <n v="5.0999999999999997E-2"/>
    <n v="9"/>
    <n v="4.5499999999999999E-2"/>
    <n v="1"/>
    <n v="1"/>
    <n v="0.125"/>
    <n v="29.99"/>
    <s v="1"/>
    <n v="0.125"/>
  </r>
  <r>
    <x v="209"/>
    <x v="6"/>
    <n v="5"/>
    <n v="3.1800000000000002E-2"/>
    <n v="7"/>
    <n v="3.5400000000000001E-2"/>
    <n v="1"/>
    <n v="1"/>
    <n v="0.2"/>
    <n v="11.99"/>
    <s v="1"/>
    <n v="0.2"/>
  </r>
  <r>
    <x v="210"/>
    <x v="8"/>
    <n v="1"/>
    <n v="1.14E-2"/>
    <n v="1"/>
    <n v="8.8000000000000005E-3"/>
    <n v="1"/>
    <n v="0"/>
    <n v="0"/>
    <n v="0"/>
    <s v="0"/>
    <n v="0"/>
  </r>
  <r>
    <x v="210"/>
    <x v="10"/>
    <n v="1"/>
    <n v="1.14E-2"/>
    <n v="1"/>
    <n v="8.8000000000000005E-3"/>
    <n v="1"/>
    <n v="0"/>
    <n v="0"/>
    <n v="0"/>
    <s v="0"/>
    <n v="0"/>
  </r>
  <r>
    <x v="210"/>
    <x v="1"/>
    <n v="2"/>
    <n v="2.2700000000000001E-2"/>
    <n v="2"/>
    <n v="1.7500000000000002E-2"/>
    <n v="1"/>
    <n v="0"/>
    <n v="0"/>
    <n v="0"/>
    <s v="0"/>
    <n v="0"/>
  </r>
  <r>
    <x v="210"/>
    <x v="5"/>
    <n v="7"/>
    <n v="7.9500000000000001E-2"/>
    <n v="8"/>
    <n v="7.0199999999999999E-2"/>
    <n v="1"/>
    <n v="0"/>
    <n v="0"/>
    <n v="0"/>
    <s v="0"/>
    <n v="0"/>
  </r>
  <r>
    <x v="210"/>
    <x v="3"/>
    <n v="6"/>
    <n v="6.8199999999999997E-2"/>
    <n v="9"/>
    <n v="7.8899999999999998E-2"/>
    <n v="1"/>
    <n v="0"/>
    <n v="0"/>
    <n v="0"/>
    <s v="0"/>
    <n v="0"/>
  </r>
  <r>
    <x v="210"/>
    <x v="2"/>
    <n v="5"/>
    <n v="5.6800000000000003E-2"/>
    <n v="6"/>
    <n v="5.2600000000000001E-2"/>
    <n v="1"/>
    <n v="0"/>
    <n v="0"/>
    <n v="0"/>
    <s v="0"/>
    <n v="0"/>
  </r>
  <r>
    <x v="210"/>
    <x v="4"/>
    <n v="4"/>
    <n v="4.5499999999999999E-2"/>
    <n v="4"/>
    <n v="3.5099999999999999E-2"/>
    <n v="1"/>
    <n v="0"/>
    <n v="0"/>
    <n v="0"/>
    <s v="0"/>
    <n v="0"/>
  </r>
  <r>
    <x v="210"/>
    <x v="6"/>
    <n v="9"/>
    <n v="0.1023"/>
    <n v="9"/>
    <n v="7.8899999999999998E-2"/>
    <n v="1"/>
    <n v="4"/>
    <n v="0.44440000000000002"/>
    <n v="47.96"/>
    <s v="2"/>
    <n v="0.22222222222222199"/>
  </r>
  <r>
    <x v="210"/>
    <x v="0"/>
    <n v="53"/>
    <n v="0.60229999999999995"/>
    <n v="74"/>
    <n v="0.64910000000000001"/>
    <n v="1"/>
    <n v="21"/>
    <n v="0.3962"/>
    <n v="291.27"/>
    <s v="15"/>
    <n v="0.28301886792452802"/>
  </r>
  <r>
    <x v="211"/>
    <x v="1"/>
    <n v="1"/>
    <n v="9.4999999999999998E-3"/>
    <n v="1"/>
    <n v="7.4000000000000003E-3"/>
    <n v="1"/>
    <n v="0"/>
    <n v="0"/>
    <n v="0"/>
    <s v="0"/>
    <n v="0"/>
  </r>
  <r>
    <x v="211"/>
    <x v="8"/>
    <n v="2"/>
    <n v="1.9E-2"/>
    <n v="2"/>
    <n v="1.47E-2"/>
    <n v="1"/>
    <n v="0"/>
    <n v="0"/>
    <n v="0"/>
    <s v="0"/>
    <n v="0"/>
  </r>
  <r>
    <x v="211"/>
    <x v="10"/>
    <n v="2"/>
    <n v="1.9E-2"/>
    <n v="2"/>
    <n v="1.47E-2"/>
    <n v="1"/>
    <n v="0"/>
    <n v="0"/>
    <n v="0"/>
    <s v="0"/>
    <n v="0"/>
  </r>
  <r>
    <x v="211"/>
    <x v="5"/>
    <n v="12"/>
    <n v="0.1143"/>
    <n v="15"/>
    <n v="0.1103"/>
    <n v="1"/>
    <n v="0"/>
    <n v="0"/>
    <n v="0"/>
    <s v="0"/>
    <n v="0"/>
  </r>
  <r>
    <x v="211"/>
    <x v="4"/>
    <n v="9"/>
    <n v="8.5699999999999998E-2"/>
    <n v="13"/>
    <n v="9.5600000000000004E-2"/>
    <n v="1"/>
    <n v="0"/>
    <n v="0"/>
    <n v="0"/>
    <s v="0"/>
    <n v="0"/>
  </r>
  <r>
    <x v="211"/>
    <x v="2"/>
    <n v="4"/>
    <n v="3.8100000000000002E-2"/>
    <n v="6"/>
    <n v="4.41E-2"/>
    <n v="1"/>
    <n v="0"/>
    <n v="0"/>
    <n v="0"/>
    <s v="0"/>
    <n v="0"/>
  </r>
  <r>
    <x v="211"/>
    <x v="0"/>
    <n v="61"/>
    <n v="0.58099999999999996"/>
    <n v="76"/>
    <n v="0.55879999999999996"/>
    <n v="0.99"/>
    <n v="16"/>
    <n v="0.26229999999999998"/>
    <n v="221.92"/>
    <s v="13"/>
    <n v="0.213114754098361"/>
  </r>
  <r>
    <x v="211"/>
    <x v="6"/>
    <n v="10"/>
    <n v="9.5200000000000007E-2"/>
    <n v="16"/>
    <n v="0.1176"/>
    <n v="1"/>
    <n v="3"/>
    <n v="0.3"/>
    <n v="35.97"/>
    <s v="1"/>
    <n v="0.1"/>
  </r>
  <r>
    <x v="211"/>
    <x v="3"/>
    <n v="4"/>
    <n v="3.8100000000000002E-2"/>
    <n v="5"/>
    <n v="3.6799999999999999E-2"/>
    <n v="1"/>
    <n v="1"/>
    <n v="0.25"/>
    <n v="29.99"/>
    <s v="1"/>
    <n v="0.25"/>
  </r>
  <r>
    <x v="212"/>
    <x v="8"/>
    <n v="1"/>
    <n v="9.7999999999999997E-3"/>
    <n v="1"/>
    <n v="7.1999999999999998E-3"/>
    <n v="1"/>
    <n v="0"/>
    <n v="0"/>
    <n v="0"/>
    <s v="0"/>
    <n v="0"/>
  </r>
  <r>
    <x v="212"/>
    <x v="10"/>
    <n v="12"/>
    <n v="0.1176"/>
    <n v="16"/>
    <n v="0.11509999999999999"/>
    <n v="1"/>
    <n v="0"/>
    <n v="0"/>
    <n v="0"/>
    <s v="0"/>
    <n v="0"/>
  </r>
  <r>
    <x v="212"/>
    <x v="6"/>
    <n v="10"/>
    <n v="9.8000000000000004E-2"/>
    <n v="12"/>
    <n v="8.6300000000000002E-2"/>
    <n v="1"/>
    <n v="0"/>
    <n v="0"/>
    <n v="0"/>
    <s v="0"/>
    <n v="0"/>
  </r>
  <r>
    <x v="212"/>
    <x v="3"/>
    <n v="6"/>
    <n v="5.8799999999999998E-2"/>
    <n v="6"/>
    <n v="4.3200000000000002E-2"/>
    <n v="1"/>
    <n v="0"/>
    <n v="0"/>
    <n v="0"/>
    <s v="0"/>
    <n v="0"/>
  </r>
  <r>
    <x v="212"/>
    <x v="4"/>
    <n v="4"/>
    <n v="3.9199999999999999E-2"/>
    <n v="6"/>
    <n v="4.3200000000000002E-2"/>
    <n v="1"/>
    <n v="0"/>
    <n v="0"/>
    <n v="0"/>
    <s v="0"/>
    <n v="0"/>
  </r>
  <r>
    <x v="212"/>
    <x v="2"/>
    <n v="3"/>
    <n v="2.9399999999999999E-2"/>
    <n v="9"/>
    <n v="6.4699999999999994E-2"/>
    <n v="1"/>
    <n v="0"/>
    <n v="0"/>
    <n v="0"/>
    <s v="0"/>
    <n v="0"/>
  </r>
  <r>
    <x v="212"/>
    <x v="0"/>
    <n v="54"/>
    <n v="0.52939999999999998"/>
    <n v="75"/>
    <n v="0.53959999999999997"/>
    <n v="0.99"/>
    <n v="18"/>
    <n v="0.33329999999999999"/>
    <n v="249.66"/>
    <s v="15"/>
    <n v="0.27777777777777801"/>
  </r>
  <r>
    <x v="212"/>
    <x v="5"/>
    <n v="12"/>
    <n v="0.1176"/>
    <n v="14"/>
    <n v="0.1007"/>
    <n v="1"/>
    <n v="4"/>
    <n v="0.33329999999999999"/>
    <n v="51.96"/>
    <s v="4"/>
    <n v="0.33333333333333298"/>
  </r>
  <r>
    <x v="213"/>
    <x v="3"/>
    <n v="2"/>
    <n v="2.2700000000000001E-2"/>
    <n v="3"/>
    <n v="2.6800000000000001E-2"/>
    <n v="1"/>
    <n v="0"/>
    <n v="0"/>
    <n v="0"/>
    <s v="0"/>
    <n v="0"/>
  </r>
  <r>
    <x v="213"/>
    <x v="10"/>
    <n v="8"/>
    <n v="9.0899999999999995E-2"/>
    <n v="10"/>
    <n v="8.9300000000000004E-2"/>
    <n v="1"/>
    <n v="0"/>
    <n v="0"/>
    <n v="0"/>
    <s v="0"/>
    <n v="0"/>
  </r>
  <r>
    <x v="213"/>
    <x v="6"/>
    <n v="7"/>
    <n v="7.9500000000000001E-2"/>
    <n v="7"/>
    <n v="6.25E-2"/>
    <n v="1"/>
    <n v="0"/>
    <n v="0"/>
    <n v="0"/>
    <s v="0"/>
    <n v="0"/>
  </r>
  <r>
    <x v="213"/>
    <x v="8"/>
    <n v="4"/>
    <n v="4.5499999999999999E-2"/>
    <n v="4"/>
    <n v="3.5700000000000003E-2"/>
    <n v="1"/>
    <n v="0"/>
    <n v="0"/>
    <n v="0"/>
    <s v="0"/>
    <n v="0"/>
  </r>
  <r>
    <x v="213"/>
    <x v="5"/>
    <n v="15"/>
    <n v="0.17050000000000001"/>
    <n v="21"/>
    <n v="0.1875"/>
    <n v="1"/>
    <n v="3"/>
    <n v="0.2"/>
    <n v="38.97"/>
    <s v="3"/>
    <n v="0.2"/>
  </r>
  <r>
    <x v="213"/>
    <x v="0"/>
    <n v="38"/>
    <n v="0.43180000000000002"/>
    <n v="49"/>
    <n v="0.4375"/>
    <n v="1"/>
    <n v="5"/>
    <n v="0.13159999999999999"/>
    <n v="69.349999999999994"/>
    <s v="4"/>
    <n v="0.105263157894737"/>
  </r>
  <r>
    <x v="213"/>
    <x v="4"/>
    <n v="9"/>
    <n v="0.1023"/>
    <n v="10"/>
    <n v="8.9300000000000004E-2"/>
    <n v="1"/>
    <n v="1"/>
    <n v="0.1111"/>
    <n v="22.98"/>
    <s v="1"/>
    <n v="0.11111111111111099"/>
  </r>
  <r>
    <x v="213"/>
    <x v="2"/>
    <n v="5"/>
    <n v="5.6800000000000003E-2"/>
    <n v="8"/>
    <n v="7.1400000000000005E-2"/>
    <n v="1"/>
    <n v="1"/>
    <n v="0.2"/>
    <n v="16.97"/>
    <s v="1"/>
    <n v="0.2"/>
  </r>
  <r>
    <x v="214"/>
    <x v="1"/>
    <n v="1"/>
    <n v="9.7000000000000003E-3"/>
    <n v="2"/>
    <n v="1.5699999999999999E-2"/>
    <n v="1"/>
    <n v="0"/>
    <n v="0"/>
    <n v="0"/>
    <s v="0"/>
    <n v="0"/>
  </r>
  <r>
    <x v="214"/>
    <x v="8"/>
    <n v="1"/>
    <n v="9.7000000000000003E-3"/>
    <n v="2"/>
    <n v="1.5699999999999999E-2"/>
    <n v="1"/>
    <n v="0"/>
    <n v="0"/>
    <n v="0"/>
    <s v="0"/>
    <n v="0"/>
  </r>
  <r>
    <x v="214"/>
    <x v="10"/>
    <n v="10"/>
    <n v="9.7100000000000006E-2"/>
    <n v="10"/>
    <n v="7.8700000000000006E-2"/>
    <n v="1"/>
    <n v="0"/>
    <n v="0"/>
    <n v="0"/>
    <s v="0"/>
    <n v="0"/>
  </r>
  <r>
    <x v="214"/>
    <x v="4"/>
    <n v="7"/>
    <n v="6.8000000000000005E-2"/>
    <n v="13"/>
    <n v="0.1024"/>
    <n v="1"/>
    <n v="0"/>
    <n v="0"/>
    <n v="0"/>
    <s v="0"/>
    <n v="0"/>
  </r>
  <r>
    <x v="214"/>
    <x v="3"/>
    <n v="7"/>
    <n v="6.8000000000000005E-2"/>
    <n v="7"/>
    <n v="5.5100000000000003E-2"/>
    <n v="1"/>
    <n v="2"/>
    <n v="0.28570000000000001"/>
    <n v="59.98"/>
    <s v="2"/>
    <n v="0.28571428571428598"/>
  </r>
  <r>
    <x v="214"/>
    <x v="2"/>
    <n v="5"/>
    <n v="4.8500000000000001E-2"/>
    <n v="8"/>
    <n v="6.3E-2"/>
    <n v="1"/>
    <n v="2"/>
    <n v="0.4"/>
    <n v="33.94"/>
    <s v="2"/>
    <n v="0.4"/>
  </r>
  <r>
    <x v="214"/>
    <x v="0"/>
    <n v="52"/>
    <n v="0.50490000000000002"/>
    <n v="64"/>
    <n v="0.50390000000000001"/>
    <n v="1"/>
    <n v="21"/>
    <n v="0.40379999999999999"/>
    <n v="291.27"/>
    <s v="15"/>
    <n v="0.28846153846153799"/>
  </r>
  <r>
    <x v="214"/>
    <x v="5"/>
    <n v="12"/>
    <n v="0.11650000000000001"/>
    <n v="13"/>
    <n v="0.1024"/>
    <n v="1"/>
    <n v="1"/>
    <n v="8.3299999999999999E-2"/>
    <n v="12.99"/>
    <s v="1"/>
    <n v="8.3333333333333301E-2"/>
  </r>
  <r>
    <x v="214"/>
    <x v="6"/>
    <n v="8"/>
    <n v="7.7700000000000005E-2"/>
    <n v="8"/>
    <n v="6.3E-2"/>
    <n v="1"/>
    <n v="1"/>
    <n v="0.125"/>
    <n v="11.99"/>
    <s v="1"/>
    <n v="0.125"/>
  </r>
  <r>
    <x v="215"/>
    <x v="1"/>
    <n v="2"/>
    <n v="2.9000000000000001E-2"/>
    <n v="2"/>
    <n v="1.9400000000000001E-2"/>
    <n v="1"/>
    <n v="0"/>
    <n v="0"/>
    <n v="0"/>
    <s v="0"/>
    <n v="0"/>
  </r>
  <r>
    <x v="215"/>
    <x v="4"/>
    <n v="7"/>
    <n v="0.1014"/>
    <n v="8"/>
    <n v="7.7700000000000005E-2"/>
    <n v="1"/>
    <n v="0"/>
    <n v="0"/>
    <n v="0"/>
    <s v="0"/>
    <n v="0"/>
  </r>
  <r>
    <x v="215"/>
    <x v="10"/>
    <n v="10"/>
    <n v="0.1449"/>
    <n v="14"/>
    <n v="0.13589999999999999"/>
    <n v="0.93"/>
    <n v="0"/>
    <n v="0"/>
    <n v="0"/>
    <s v="0"/>
    <n v="0"/>
  </r>
  <r>
    <x v="215"/>
    <x v="6"/>
    <n v="0"/>
    <n v="0"/>
    <n v="0"/>
    <n v="0"/>
    <n v="0"/>
    <n v="3"/>
    <n v="0"/>
    <n v="35.97"/>
    <s v="1"/>
    <n v="0"/>
  </r>
  <r>
    <x v="215"/>
    <x v="5"/>
    <n v="0"/>
    <n v="0"/>
    <n v="0"/>
    <n v="0"/>
    <n v="0"/>
    <n v="2"/>
    <n v="0"/>
    <n v="25.98"/>
    <s v="2"/>
    <n v="0"/>
  </r>
  <r>
    <x v="215"/>
    <x v="0"/>
    <n v="47"/>
    <n v="0.68120000000000003"/>
    <n v="72"/>
    <n v="0.69899999999999995"/>
    <n v="1"/>
    <n v="10"/>
    <n v="0.21279999999999999"/>
    <n v="138.69999999999999"/>
    <s v="8"/>
    <n v="0.170212765957447"/>
  </r>
  <r>
    <x v="215"/>
    <x v="2"/>
    <n v="3"/>
    <n v="4.3499999999999997E-2"/>
    <n v="7"/>
    <n v="6.8000000000000005E-2"/>
    <n v="1"/>
    <n v="1"/>
    <n v="0.33329999999999999"/>
    <n v="16.97"/>
    <s v="1"/>
    <n v="0.33333333333333298"/>
  </r>
  <r>
    <x v="216"/>
    <x v="1"/>
    <n v="2"/>
    <n v="1.6799999999999999E-2"/>
    <n v="3"/>
    <n v="1.8599999999999998E-2"/>
    <n v="1"/>
    <n v="0"/>
    <n v="0"/>
    <n v="0"/>
    <s v="0"/>
    <n v="0"/>
  </r>
  <r>
    <x v="216"/>
    <x v="2"/>
    <n v="5"/>
    <n v="4.2000000000000003E-2"/>
    <n v="7"/>
    <n v="4.3499999999999997E-2"/>
    <n v="1"/>
    <n v="0"/>
    <n v="0"/>
    <n v="0"/>
    <s v="0"/>
    <n v="0"/>
  </r>
  <r>
    <x v="216"/>
    <x v="8"/>
    <n v="3"/>
    <n v="2.52E-2"/>
    <n v="4"/>
    <n v="2.4799999999999999E-2"/>
    <n v="1"/>
    <n v="0"/>
    <n v="0"/>
    <n v="0"/>
    <s v="0"/>
    <n v="0"/>
  </r>
  <r>
    <x v="216"/>
    <x v="10"/>
    <n v="10"/>
    <n v="8.4000000000000005E-2"/>
    <n v="12"/>
    <n v="7.4499999999999997E-2"/>
    <n v="0.92"/>
    <n v="0"/>
    <n v="0"/>
    <n v="0"/>
    <s v="0"/>
    <n v="0"/>
  </r>
  <r>
    <x v="216"/>
    <x v="5"/>
    <n v="13"/>
    <n v="0.10920000000000001"/>
    <n v="15"/>
    <n v="9.3200000000000005E-2"/>
    <n v="1"/>
    <n v="5"/>
    <n v="0.3846"/>
    <n v="64.95"/>
    <s v="4"/>
    <n v="0.30769230769230799"/>
  </r>
  <r>
    <x v="216"/>
    <x v="6"/>
    <n v="12"/>
    <n v="0.1008"/>
    <n v="16"/>
    <n v="9.9400000000000002E-2"/>
    <n v="1"/>
    <n v="3"/>
    <n v="0.25"/>
    <n v="35.97"/>
    <s v="2"/>
    <n v="0.16666666666666699"/>
  </r>
  <r>
    <x v="216"/>
    <x v="0"/>
    <n v="56"/>
    <n v="0.47060000000000002"/>
    <n v="78"/>
    <n v="0.48449999999999999"/>
    <n v="1"/>
    <n v="19"/>
    <n v="0.33929999999999999"/>
    <n v="263.52999999999997"/>
    <s v="18"/>
    <n v="0.32142857142857101"/>
  </r>
  <r>
    <x v="216"/>
    <x v="3"/>
    <n v="10"/>
    <n v="8.4000000000000005E-2"/>
    <n v="15"/>
    <n v="9.3200000000000005E-2"/>
    <n v="1"/>
    <n v="1"/>
    <n v="0.1"/>
    <n v="29.99"/>
    <s v="1"/>
    <n v="0.1"/>
  </r>
  <r>
    <x v="216"/>
    <x v="4"/>
    <n v="8"/>
    <n v="6.7199999999999996E-2"/>
    <n v="11"/>
    <n v="6.83E-2"/>
    <n v="1"/>
    <n v="1"/>
    <n v="0.125"/>
    <n v="22.98"/>
    <s v="1"/>
    <n v="0.125"/>
  </r>
  <r>
    <x v="217"/>
    <x v="8"/>
    <n v="1"/>
    <n v="1.67E-2"/>
    <n v="1"/>
    <n v="1.32E-2"/>
    <n v="1"/>
    <n v="0"/>
    <n v="0"/>
    <n v="0"/>
    <s v="0"/>
    <n v="0"/>
  </r>
  <r>
    <x v="217"/>
    <x v="10"/>
    <n v="2"/>
    <n v="3.3300000000000003E-2"/>
    <n v="2"/>
    <n v="2.63E-2"/>
    <n v="1"/>
    <n v="0"/>
    <n v="0"/>
    <n v="0"/>
    <s v="0"/>
    <n v="0"/>
  </r>
  <r>
    <x v="217"/>
    <x v="2"/>
    <n v="7"/>
    <n v="0.1167"/>
    <n v="11"/>
    <n v="0.1447"/>
    <n v="1"/>
    <n v="0"/>
    <n v="0"/>
    <n v="0"/>
    <s v="0"/>
    <n v="0"/>
  </r>
  <r>
    <x v="217"/>
    <x v="6"/>
    <n v="7"/>
    <n v="0.1167"/>
    <n v="7"/>
    <n v="9.2100000000000001E-2"/>
    <n v="1"/>
    <n v="0"/>
    <n v="0"/>
    <n v="0"/>
    <s v="0"/>
    <n v="0"/>
  </r>
  <r>
    <x v="217"/>
    <x v="3"/>
    <n v="5"/>
    <n v="8.3299999999999999E-2"/>
    <n v="6"/>
    <n v="7.8899999999999998E-2"/>
    <n v="1"/>
    <n v="0"/>
    <n v="0"/>
    <n v="0"/>
    <s v="0"/>
    <n v="0"/>
  </r>
  <r>
    <x v="217"/>
    <x v="4"/>
    <n v="3"/>
    <n v="0.05"/>
    <n v="4"/>
    <n v="5.2600000000000001E-2"/>
    <n v="1"/>
    <n v="0"/>
    <n v="0"/>
    <n v="0"/>
    <s v="0"/>
    <n v="0"/>
  </r>
  <r>
    <x v="217"/>
    <x v="5"/>
    <n v="0"/>
    <n v="0"/>
    <n v="0"/>
    <n v="0"/>
    <n v="0"/>
    <n v="2"/>
    <n v="0"/>
    <n v="25.98"/>
    <s v="2"/>
    <n v="0"/>
  </r>
  <r>
    <x v="217"/>
    <x v="0"/>
    <n v="35"/>
    <n v="0.58330000000000004"/>
    <n v="45"/>
    <n v="0.59209999999999996"/>
    <n v="1"/>
    <n v="20"/>
    <n v="0.57140000000000002"/>
    <n v="277.39999999999998"/>
    <s v="8"/>
    <n v="0.22857142857142901"/>
  </r>
  <r>
    <x v="218"/>
    <x v="3"/>
    <n v="14"/>
    <n v="0.16669999999999999"/>
    <n v="20"/>
    <n v="0.1724"/>
    <n v="1"/>
    <n v="0"/>
    <n v="0"/>
    <n v="0"/>
    <s v="0"/>
    <n v="0"/>
  </r>
  <r>
    <x v="218"/>
    <x v="4"/>
    <n v="7"/>
    <n v="8.3299999999999999E-2"/>
    <n v="8"/>
    <n v="6.9000000000000006E-2"/>
    <n v="1"/>
    <n v="0"/>
    <n v="0"/>
    <n v="0"/>
    <s v="0"/>
    <n v="0"/>
  </r>
  <r>
    <x v="218"/>
    <x v="5"/>
    <n v="7"/>
    <n v="8.3299999999999999E-2"/>
    <n v="7"/>
    <n v="6.0299999999999999E-2"/>
    <n v="1"/>
    <n v="0"/>
    <n v="0"/>
    <n v="0"/>
    <s v="0"/>
    <n v="0"/>
  </r>
  <r>
    <x v="218"/>
    <x v="2"/>
    <n v="5"/>
    <n v="5.9499999999999997E-2"/>
    <n v="7"/>
    <n v="6.0299999999999999E-2"/>
    <n v="1"/>
    <n v="0"/>
    <n v="0"/>
    <n v="0"/>
    <s v="0"/>
    <n v="0"/>
  </r>
  <r>
    <x v="218"/>
    <x v="6"/>
    <n v="5"/>
    <n v="5.9499999999999997E-2"/>
    <n v="6"/>
    <n v="5.1700000000000003E-2"/>
    <n v="1"/>
    <n v="0"/>
    <n v="0"/>
    <n v="0"/>
    <s v="0"/>
    <n v="0"/>
  </r>
  <r>
    <x v="218"/>
    <x v="1"/>
    <n v="3"/>
    <n v="3.5700000000000003E-2"/>
    <n v="4"/>
    <n v="3.4500000000000003E-2"/>
    <n v="1"/>
    <n v="0"/>
    <n v="0"/>
    <n v="0"/>
    <s v="0"/>
    <n v="0"/>
  </r>
  <r>
    <x v="218"/>
    <x v="0"/>
    <n v="43"/>
    <n v="0.51190000000000002"/>
    <n v="64"/>
    <n v="0.55169999999999997"/>
    <n v="1"/>
    <n v="8"/>
    <n v="0.186"/>
    <n v="110.96"/>
    <s v="7"/>
    <n v="0.162790697674419"/>
  </r>
  <r>
    <x v="219"/>
    <x v="1"/>
    <n v="2"/>
    <n v="2.7799999999999998E-2"/>
    <n v="2"/>
    <n v="2.1100000000000001E-2"/>
    <n v="1"/>
    <n v="0"/>
    <n v="0"/>
    <n v="0"/>
    <s v="0"/>
    <n v="0"/>
  </r>
  <r>
    <x v="219"/>
    <x v="2"/>
    <n v="6"/>
    <n v="8.3299999999999999E-2"/>
    <n v="9"/>
    <n v="9.4700000000000006E-2"/>
    <n v="1"/>
    <n v="0"/>
    <n v="0"/>
    <n v="0"/>
    <s v="0"/>
    <n v="0"/>
  </r>
  <r>
    <x v="219"/>
    <x v="3"/>
    <n v="6"/>
    <n v="8.3299999999999999E-2"/>
    <n v="7"/>
    <n v="7.3700000000000002E-2"/>
    <n v="1"/>
    <n v="0"/>
    <n v="0"/>
    <n v="0"/>
    <s v="0"/>
    <n v="0"/>
  </r>
  <r>
    <x v="219"/>
    <x v="10"/>
    <n v="3"/>
    <n v="4.1700000000000001E-2"/>
    <n v="3"/>
    <n v="3.1600000000000003E-2"/>
    <n v="1"/>
    <n v="0"/>
    <n v="0"/>
    <n v="0"/>
    <s v="0"/>
    <n v="0"/>
  </r>
  <r>
    <x v="219"/>
    <x v="5"/>
    <n v="15"/>
    <n v="0.20830000000000001"/>
    <n v="18"/>
    <n v="0.1895"/>
    <n v="1"/>
    <n v="3"/>
    <n v="0.2"/>
    <n v="38.97"/>
    <s v="3"/>
    <n v="0.2"/>
  </r>
  <r>
    <x v="219"/>
    <x v="0"/>
    <n v="37"/>
    <n v="0.51390000000000002"/>
    <n v="52"/>
    <n v="0.5474"/>
    <n v="1"/>
    <n v="10"/>
    <n v="0.27029999999999998"/>
    <n v="149.69999999999999"/>
    <s v="8"/>
    <n v="0.21621621621621601"/>
  </r>
  <r>
    <x v="219"/>
    <x v="6"/>
    <n v="3"/>
    <n v="4.1700000000000001E-2"/>
    <n v="4"/>
    <n v="4.2099999999999999E-2"/>
    <n v="1"/>
    <n v="1"/>
    <n v="0.33329999999999999"/>
    <n v="11.99"/>
    <s v="1"/>
    <n v="0.33333333333333298"/>
  </r>
  <r>
    <x v="220"/>
    <x v="2"/>
    <n v="1"/>
    <n v="1.37E-2"/>
    <n v="1"/>
    <n v="1.0500000000000001E-2"/>
    <n v="1"/>
    <n v="0"/>
    <n v="0"/>
    <n v="0"/>
    <s v="0"/>
    <n v="0"/>
  </r>
  <r>
    <x v="220"/>
    <x v="4"/>
    <n v="1"/>
    <n v="1.37E-2"/>
    <n v="1"/>
    <n v="1.0500000000000001E-2"/>
    <n v="1"/>
    <n v="0"/>
    <n v="0"/>
    <n v="0"/>
    <s v="0"/>
    <n v="0"/>
  </r>
  <r>
    <x v="220"/>
    <x v="10"/>
    <n v="8"/>
    <n v="0.1096"/>
    <n v="9"/>
    <n v="9.4700000000000006E-2"/>
    <n v="1"/>
    <n v="0"/>
    <n v="0"/>
    <n v="0"/>
    <s v="0"/>
    <n v="0"/>
  </r>
  <r>
    <x v="220"/>
    <x v="6"/>
    <n v="7"/>
    <n v="9.5899999999999999E-2"/>
    <n v="9"/>
    <n v="9.4700000000000006E-2"/>
    <n v="1"/>
    <n v="0"/>
    <n v="0"/>
    <n v="0"/>
    <s v="0"/>
    <n v="0"/>
  </r>
  <r>
    <x v="220"/>
    <x v="5"/>
    <n v="7"/>
    <n v="9.5899999999999999E-2"/>
    <n v="8"/>
    <n v="8.4199999999999997E-2"/>
    <n v="1"/>
    <n v="0"/>
    <n v="0"/>
    <n v="0"/>
    <s v="0"/>
    <n v="0"/>
  </r>
  <r>
    <x v="220"/>
    <x v="3"/>
    <n v="12"/>
    <n v="0.16439999999999999"/>
    <n v="17"/>
    <n v="0.1789"/>
    <n v="1"/>
    <n v="2"/>
    <n v="0.16669999999999999"/>
    <n v="59.98"/>
    <s v="1"/>
    <n v="8.3333333333333301E-2"/>
  </r>
  <r>
    <x v="220"/>
    <x v="0"/>
    <n v="37"/>
    <n v="0.50680000000000003"/>
    <n v="50"/>
    <n v="0.52629999999999999"/>
    <n v="1"/>
    <n v="8"/>
    <n v="0.2162"/>
    <n v="119.76"/>
    <s v="8"/>
    <n v="0.21621621621621601"/>
  </r>
  <r>
    <x v="221"/>
    <x v="10"/>
    <n v="2"/>
    <n v="1.8499999999999999E-2"/>
    <n v="2"/>
    <n v="1.46E-2"/>
    <n v="1"/>
    <n v="0"/>
    <n v="0"/>
    <n v="0"/>
    <s v="0"/>
    <n v="0"/>
  </r>
  <r>
    <x v="221"/>
    <x v="2"/>
    <n v="4"/>
    <n v="3.6999999999999998E-2"/>
    <n v="5"/>
    <n v="3.6499999999999998E-2"/>
    <n v="1"/>
    <n v="0"/>
    <n v="0"/>
    <n v="0"/>
    <s v="0"/>
    <n v="0"/>
  </r>
  <r>
    <x v="221"/>
    <x v="4"/>
    <n v="1"/>
    <n v="9.2999999999999992E-3"/>
    <n v="2"/>
    <n v="1.46E-2"/>
    <n v="0"/>
    <n v="0"/>
    <n v="0"/>
    <n v="0"/>
    <s v="0"/>
    <n v="0"/>
  </r>
  <r>
    <x v="221"/>
    <x v="6"/>
    <n v="7"/>
    <n v="6.4799999999999996E-2"/>
    <n v="12"/>
    <n v="8.7599999999999997E-2"/>
    <n v="1"/>
    <n v="2"/>
    <n v="0.28570000000000001"/>
    <n v="23.98"/>
    <s v="2"/>
    <n v="0.28571428571428598"/>
  </r>
  <r>
    <x v="221"/>
    <x v="0"/>
    <n v="65"/>
    <n v="0.60189999999999999"/>
    <n v="83"/>
    <n v="0.60580000000000001"/>
    <n v="1"/>
    <n v="14"/>
    <n v="0.21540000000000001"/>
    <n v="209.58"/>
    <s v="11"/>
    <n v="0.16923076923076899"/>
  </r>
  <r>
    <x v="221"/>
    <x v="3"/>
    <n v="16"/>
    <n v="0.14810000000000001"/>
    <n v="17"/>
    <n v="0.1241"/>
    <n v="1"/>
    <n v="1"/>
    <n v="6.25E-2"/>
    <n v="29.99"/>
    <s v="1"/>
    <n v="6.25E-2"/>
  </r>
  <r>
    <x v="221"/>
    <x v="5"/>
    <n v="13"/>
    <n v="0.12039999999999999"/>
    <n v="16"/>
    <n v="0.1168"/>
    <n v="1"/>
    <n v="1"/>
    <n v="7.6899999999999996E-2"/>
    <n v="12.99"/>
    <s v="1"/>
    <n v="7.69230769230769E-2"/>
  </r>
  <r>
    <x v="222"/>
    <x v="1"/>
    <n v="1"/>
    <n v="1.0200000000000001E-2"/>
    <n v="2"/>
    <n v="1.54E-2"/>
    <n v="1"/>
    <n v="0"/>
    <n v="0"/>
    <n v="0"/>
    <s v="0"/>
    <n v="0"/>
  </r>
  <r>
    <x v="222"/>
    <x v="4"/>
    <n v="2"/>
    <n v="2.0400000000000001E-2"/>
    <n v="3"/>
    <n v="2.3099999999999999E-2"/>
    <n v="1"/>
    <n v="0"/>
    <n v="0"/>
    <n v="0"/>
    <s v="0"/>
    <n v="0"/>
  </r>
  <r>
    <x v="222"/>
    <x v="10"/>
    <n v="4"/>
    <n v="4.0800000000000003E-2"/>
    <n v="4"/>
    <n v="3.0800000000000001E-2"/>
    <n v="0.75"/>
    <n v="0"/>
    <n v="0"/>
    <n v="0"/>
    <s v="0"/>
    <n v="0"/>
  </r>
  <r>
    <x v="222"/>
    <x v="0"/>
    <n v="56"/>
    <n v="0.57140000000000002"/>
    <n v="68"/>
    <n v="0.52310000000000001"/>
    <n v="0.99"/>
    <n v="11"/>
    <n v="0.19639999999999999"/>
    <n v="164.67"/>
    <s v="11"/>
    <n v="0.19642857142857101"/>
  </r>
  <r>
    <x v="222"/>
    <x v="6"/>
    <n v="9"/>
    <n v="9.1800000000000007E-2"/>
    <n v="18"/>
    <n v="0.13850000000000001"/>
    <n v="1"/>
    <n v="4"/>
    <n v="0.44440000000000002"/>
    <n v="47.96"/>
    <s v="1"/>
    <n v="0.11111111111111099"/>
  </r>
  <r>
    <x v="222"/>
    <x v="5"/>
    <n v="7"/>
    <n v="7.1400000000000005E-2"/>
    <n v="10"/>
    <n v="7.6899999999999996E-2"/>
    <n v="1"/>
    <n v="7"/>
    <n v="1"/>
    <n v="90.93"/>
    <s v="5"/>
    <n v="0.71428571428571397"/>
  </r>
  <r>
    <x v="222"/>
    <x v="3"/>
    <n v="17"/>
    <n v="0.17349999999999999"/>
    <n v="23"/>
    <n v="0.1769"/>
    <n v="1"/>
    <n v="3"/>
    <n v="0.17649999999999999"/>
    <n v="89.97"/>
    <s v="3"/>
    <n v="0.17647058823529399"/>
  </r>
  <r>
    <x v="222"/>
    <x v="2"/>
    <n v="2"/>
    <n v="2.0400000000000001E-2"/>
    <n v="2"/>
    <n v="1.54E-2"/>
    <n v="1"/>
    <n v="2"/>
    <n v="1"/>
    <n v="35.94"/>
    <s v="2"/>
    <n v="1"/>
  </r>
  <r>
    <x v="223"/>
    <x v="2"/>
    <n v="2"/>
    <n v="3.39E-2"/>
    <n v="2"/>
    <n v="2.7E-2"/>
    <n v="1"/>
    <n v="0"/>
    <n v="0"/>
    <n v="0"/>
    <s v="0"/>
    <n v="0"/>
  </r>
  <r>
    <x v="223"/>
    <x v="6"/>
    <n v="4"/>
    <n v="6.7799999999999999E-2"/>
    <n v="4"/>
    <n v="5.4100000000000002E-2"/>
    <n v="1"/>
    <n v="0"/>
    <n v="0"/>
    <n v="0"/>
    <s v="0"/>
    <n v="0"/>
  </r>
  <r>
    <x v="223"/>
    <x v="3"/>
    <n v="10"/>
    <n v="0.16950000000000001"/>
    <n v="12"/>
    <n v="0.16220000000000001"/>
    <n v="1"/>
    <n v="1"/>
    <n v="0.1"/>
    <n v="0"/>
    <s v="1"/>
    <n v="0.1"/>
  </r>
  <r>
    <x v="223"/>
    <x v="0"/>
    <n v="38"/>
    <n v="0.64410000000000001"/>
    <n v="49"/>
    <n v="0.66220000000000001"/>
    <n v="1"/>
    <n v="11"/>
    <n v="0.28949999999999998"/>
    <n v="164.67"/>
    <s v="10"/>
    <n v="0.26315789473684198"/>
  </r>
  <r>
    <x v="223"/>
    <x v="5"/>
    <n v="5"/>
    <n v="8.4699999999999998E-2"/>
    <n v="7"/>
    <n v="9.4600000000000004E-2"/>
    <n v="1"/>
    <n v="1"/>
    <n v="0.2"/>
    <n v="12.99"/>
    <s v="1"/>
    <n v="0.2"/>
  </r>
  <r>
    <x v="224"/>
    <x v="10"/>
    <n v="1"/>
    <n v="1.49E-2"/>
    <n v="1"/>
    <n v="1.0800000000000001E-2"/>
    <n v="1"/>
    <n v="0"/>
    <n v="0"/>
    <n v="0"/>
    <s v="0"/>
    <n v="0"/>
  </r>
  <r>
    <x v="224"/>
    <x v="1"/>
    <n v="2"/>
    <n v="2.9899999999999999E-2"/>
    <n v="3"/>
    <n v="3.2300000000000002E-2"/>
    <n v="1"/>
    <n v="0"/>
    <n v="0"/>
    <n v="0"/>
    <s v="0"/>
    <n v="0"/>
  </r>
  <r>
    <x v="224"/>
    <x v="2"/>
    <n v="3"/>
    <n v="4.48E-2"/>
    <n v="3"/>
    <n v="3.2300000000000002E-2"/>
    <n v="1"/>
    <n v="0"/>
    <n v="0"/>
    <n v="0"/>
    <s v="0"/>
    <n v="0"/>
  </r>
  <r>
    <x v="224"/>
    <x v="4"/>
    <n v="1"/>
    <n v="1.49E-2"/>
    <n v="2"/>
    <n v="2.1499999999999998E-2"/>
    <n v="0.5"/>
    <n v="0"/>
    <n v="0"/>
    <n v="0"/>
    <s v="0"/>
    <n v="0"/>
  </r>
  <r>
    <x v="224"/>
    <x v="6"/>
    <n v="8"/>
    <n v="0.11940000000000001"/>
    <n v="12"/>
    <n v="0.129"/>
    <n v="1"/>
    <n v="3"/>
    <n v="0.375"/>
    <n v="35.97"/>
    <s v="3"/>
    <n v="0.375"/>
  </r>
  <r>
    <x v="224"/>
    <x v="5"/>
    <n v="11"/>
    <n v="0.16420000000000001"/>
    <n v="14"/>
    <n v="0.15049999999999999"/>
    <n v="1"/>
    <n v="2"/>
    <n v="0.18179999999999999"/>
    <n v="25.98"/>
    <s v="2"/>
    <n v="0.18181818181818199"/>
  </r>
  <r>
    <x v="224"/>
    <x v="3"/>
    <n v="8"/>
    <n v="0.11940000000000001"/>
    <n v="12"/>
    <n v="0.129"/>
    <n v="1"/>
    <n v="2"/>
    <n v="0.25"/>
    <n v="59.98"/>
    <s v="2"/>
    <n v="0.25"/>
  </r>
  <r>
    <x v="224"/>
    <x v="0"/>
    <n v="33"/>
    <n v="0.49249999999999999"/>
    <n v="46"/>
    <n v="0.49459999999999998"/>
    <n v="1"/>
    <n v="18"/>
    <n v="0.54549999999999998"/>
    <n v="269.45999999999998"/>
    <s v="13"/>
    <n v="0.39393939393939398"/>
  </r>
  <r>
    <x v="225"/>
    <x v="2"/>
    <n v="1"/>
    <n v="1.3899999999999999E-2"/>
    <n v="1"/>
    <n v="1.11E-2"/>
    <n v="1"/>
    <n v="0"/>
    <n v="0"/>
    <n v="0"/>
    <s v="0"/>
    <n v="0"/>
  </r>
  <r>
    <x v="225"/>
    <x v="4"/>
    <n v="4"/>
    <n v="5.5599999999999997E-2"/>
    <n v="6"/>
    <n v="6.6699999999999995E-2"/>
    <n v="1"/>
    <n v="0"/>
    <n v="0"/>
    <n v="0"/>
    <s v="0"/>
    <n v="0"/>
  </r>
  <r>
    <x v="225"/>
    <x v="6"/>
    <n v="4"/>
    <n v="5.5599999999999997E-2"/>
    <n v="5"/>
    <n v="5.5599999999999997E-2"/>
    <n v="1"/>
    <n v="0"/>
    <n v="0"/>
    <n v="0"/>
    <s v="0"/>
    <n v="0"/>
  </r>
  <r>
    <x v="225"/>
    <x v="10"/>
    <n v="2"/>
    <n v="2.7799999999999998E-2"/>
    <n v="3"/>
    <n v="3.3300000000000003E-2"/>
    <n v="0"/>
    <n v="0"/>
    <n v="0"/>
    <n v="0"/>
    <s v="0"/>
    <n v="0"/>
  </r>
  <r>
    <x v="225"/>
    <x v="5"/>
    <n v="7"/>
    <n v="9.7199999999999995E-2"/>
    <n v="8"/>
    <n v="8.8900000000000007E-2"/>
    <n v="1"/>
    <n v="5"/>
    <n v="0.71430000000000005"/>
    <n v="64.95"/>
    <s v="5"/>
    <n v="0.71428571428571397"/>
  </r>
  <r>
    <x v="225"/>
    <x v="3"/>
    <n v="16"/>
    <n v="0.22220000000000001"/>
    <n v="20"/>
    <n v="0.22220000000000001"/>
    <n v="1"/>
    <n v="3"/>
    <n v="0.1875"/>
    <n v="89.97"/>
    <s v="3"/>
    <n v="0.1875"/>
  </r>
  <r>
    <x v="225"/>
    <x v="0"/>
    <n v="38"/>
    <n v="0.52780000000000005"/>
    <n v="47"/>
    <n v="0.5222"/>
    <n v="1"/>
    <n v="9"/>
    <n v="0.23680000000000001"/>
    <n v="134.72999999999999"/>
    <s v="8"/>
    <n v="0.21052631578947401"/>
  </r>
  <r>
    <x v="226"/>
    <x v="6"/>
    <n v="14"/>
    <n v="0.19439999999999999"/>
    <n v="20"/>
    <n v="0.1923"/>
    <n v="0.95"/>
    <n v="3"/>
    <n v="0.21429999999999999"/>
    <n v="35.97"/>
    <s v="2"/>
    <n v="0.14285714285714299"/>
  </r>
  <r>
    <x v="226"/>
    <x v="10"/>
    <n v="3"/>
    <n v="4.1700000000000001E-2"/>
    <n v="6"/>
    <n v="5.7700000000000001E-2"/>
    <n v="0.33"/>
    <n v="1"/>
    <n v="0.33329999999999999"/>
    <n v="19.989999999999998"/>
    <s v="1"/>
    <n v="0.33333333333333298"/>
  </r>
  <r>
    <x v="226"/>
    <x v="2"/>
    <n v="0"/>
    <n v="0"/>
    <n v="0"/>
    <n v="0"/>
    <n v="0"/>
    <n v="1"/>
    <n v="0"/>
    <n v="17.97"/>
    <s v="1"/>
    <n v="0"/>
  </r>
  <r>
    <x v="226"/>
    <x v="5"/>
    <n v="5"/>
    <n v="6.9400000000000003E-2"/>
    <n v="10"/>
    <n v="9.6199999999999994E-2"/>
    <n v="1"/>
    <n v="2"/>
    <n v="0.4"/>
    <n v="25.98"/>
    <s v="1"/>
    <n v="0.2"/>
  </r>
  <r>
    <x v="226"/>
    <x v="0"/>
    <n v="39"/>
    <n v="0.54169999999999996"/>
    <n v="53"/>
    <n v="0.50960000000000005"/>
    <n v="1"/>
    <n v="13"/>
    <n v="0.33329999999999999"/>
    <n v="194.61"/>
    <s v="12"/>
    <n v="0.30769230769230799"/>
  </r>
  <r>
    <x v="226"/>
    <x v="3"/>
    <n v="11"/>
    <n v="0.15279999999999999"/>
    <n v="15"/>
    <n v="0.14419999999999999"/>
    <n v="1"/>
    <n v="1"/>
    <n v="9.0899999999999995E-2"/>
    <n v="29.99"/>
    <s v="1"/>
    <n v="9.0909090909090898E-2"/>
  </r>
  <r>
    <x v="227"/>
    <x v="10"/>
    <n v="1"/>
    <n v="1.5599999999999999E-2"/>
    <n v="2"/>
    <n v="2.3300000000000001E-2"/>
    <n v="1"/>
    <n v="0"/>
    <n v="0"/>
    <n v="0"/>
    <s v="0"/>
    <n v="0"/>
  </r>
  <r>
    <x v="227"/>
    <x v="3"/>
    <n v="9"/>
    <n v="0.1406"/>
    <n v="19"/>
    <n v="0.22090000000000001"/>
    <n v="1"/>
    <n v="0"/>
    <n v="0"/>
    <n v="0"/>
    <s v="0"/>
    <n v="0"/>
  </r>
  <r>
    <x v="227"/>
    <x v="2"/>
    <n v="3"/>
    <n v="4.6899999999999997E-2"/>
    <n v="3"/>
    <n v="3.49E-2"/>
    <n v="1"/>
    <n v="0"/>
    <n v="0"/>
    <n v="0"/>
    <s v="0"/>
    <n v="0"/>
  </r>
  <r>
    <x v="227"/>
    <x v="5"/>
    <n v="5"/>
    <n v="7.8100000000000003E-2"/>
    <n v="5"/>
    <n v="5.8099999999999999E-2"/>
    <n v="1"/>
    <n v="5"/>
    <n v="1"/>
    <n v="64.95"/>
    <s v="3"/>
    <n v="0.6"/>
  </r>
  <r>
    <x v="227"/>
    <x v="6"/>
    <n v="5"/>
    <n v="7.8100000000000003E-2"/>
    <n v="6"/>
    <n v="6.9800000000000001E-2"/>
    <n v="1"/>
    <n v="3"/>
    <n v="0.6"/>
    <n v="35.97"/>
    <s v="2"/>
    <n v="0.4"/>
  </r>
  <r>
    <x v="227"/>
    <x v="0"/>
    <n v="41"/>
    <n v="0.64059999999999995"/>
    <n v="51"/>
    <n v="0.59299999999999997"/>
    <n v="1"/>
    <n v="10"/>
    <n v="0.24390000000000001"/>
    <n v="149.69999999999999"/>
    <s v="7"/>
    <n v="0.17073170731707299"/>
  </r>
  <r>
    <x v="228"/>
    <x v="10"/>
    <n v="1"/>
    <n v="1.3299999999999999E-2"/>
    <n v="1"/>
    <n v="1.0500000000000001E-2"/>
    <n v="1"/>
    <n v="0"/>
    <n v="0"/>
    <n v="0"/>
    <s v="0"/>
    <n v="0"/>
  </r>
  <r>
    <x v="228"/>
    <x v="2"/>
    <n v="4"/>
    <n v="5.33E-2"/>
    <n v="5"/>
    <n v="5.2600000000000001E-2"/>
    <n v="1"/>
    <n v="0"/>
    <n v="0"/>
    <n v="0"/>
    <s v="0"/>
    <n v="0"/>
  </r>
  <r>
    <x v="228"/>
    <x v="6"/>
    <n v="7"/>
    <n v="9.3299999999999994E-2"/>
    <n v="7"/>
    <n v="7.3700000000000002E-2"/>
    <n v="1"/>
    <n v="4"/>
    <n v="0.57140000000000002"/>
    <n v="47.96"/>
    <s v="3"/>
    <n v="0.42857142857142899"/>
  </r>
  <r>
    <x v="228"/>
    <x v="5"/>
    <n v="5"/>
    <n v="6.6699999999999995E-2"/>
    <n v="5"/>
    <n v="5.2600000000000001E-2"/>
    <n v="1"/>
    <n v="3"/>
    <n v="0.6"/>
    <n v="38.97"/>
    <s v="1"/>
    <n v="0.2"/>
  </r>
  <r>
    <x v="228"/>
    <x v="0"/>
    <n v="44"/>
    <n v="0.5867"/>
    <n v="58"/>
    <n v="0.61050000000000004"/>
    <n v="1"/>
    <n v="14"/>
    <n v="0.31819999999999998"/>
    <n v="209.58"/>
    <s v="13"/>
    <n v="0.29545454545454602"/>
  </r>
  <r>
    <x v="228"/>
    <x v="3"/>
    <n v="14"/>
    <n v="0.1867"/>
    <n v="19"/>
    <n v="0.2"/>
    <n v="1"/>
    <n v="1"/>
    <n v="7.1400000000000005E-2"/>
    <n v="29.99"/>
    <s v="1"/>
    <n v="7.1428571428571397E-2"/>
  </r>
  <r>
    <x v="229"/>
    <x v="1"/>
    <n v="1"/>
    <n v="1.12E-2"/>
    <n v="1"/>
    <n v="8.5000000000000006E-3"/>
    <n v="1"/>
    <n v="0"/>
    <n v="0"/>
    <n v="0"/>
    <s v="0"/>
    <n v="0"/>
  </r>
  <r>
    <x v="229"/>
    <x v="10"/>
    <n v="3"/>
    <n v="3.3700000000000001E-2"/>
    <n v="4"/>
    <n v="3.39E-2"/>
    <n v="1"/>
    <n v="0"/>
    <n v="0"/>
    <n v="0"/>
    <s v="0"/>
    <n v="0"/>
  </r>
  <r>
    <x v="229"/>
    <x v="0"/>
    <n v="50"/>
    <n v="0.56179999999999997"/>
    <n v="61"/>
    <n v="0.51690000000000003"/>
    <n v="0.98"/>
    <n v="38"/>
    <n v="0.76"/>
    <n v="568.86"/>
    <s v="22"/>
    <n v="0.44"/>
  </r>
  <r>
    <x v="229"/>
    <x v="5"/>
    <n v="8"/>
    <n v="8.9899999999999994E-2"/>
    <n v="12"/>
    <n v="0.1017"/>
    <n v="1"/>
    <n v="3"/>
    <n v="0.375"/>
    <n v="38.97"/>
    <s v="3"/>
    <n v="0.375"/>
  </r>
  <r>
    <x v="229"/>
    <x v="3"/>
    <n v="19"/>
    <n v="0.2135"/>
    <n v="26"/>
    <n v="0.2203"/>
    <n v="1"/>
    <n v="1"/>
    <n v="5.2600000000000001E-2"/>
    <n v="29.99"/>
    <s v="1"/>
    <n v="5.2631578947368397E-2"/>
  </r>
  <r>
    <x v="229"/>
    <x v="6"/>
    <n v="6"/>
    <n v="6.7400000000000002E-2"/>
    <n v="10"/>
    <n v="8.4699999999999998E-2"/>
    <n v="1"/>
    <n v="1"/>
    <n v="0.16669999999999999"/>
    <n v="11.99"/>
    <s v="1"/>
    <n v="0.16666666666666699"/>
  </r>
  <r>
    <x v="229"/>
    <x v="2"/>
    <n v="2"/>
    <n v="2.2499999999999999E-2"/>
    <n v="4"/>
    <n v="3.39E-2"/>
    <n v="1"/>
    <n v="1"/>
    <n v="0.5"/>
    <n v="17.97"/>
    <s v="1"/>
    <n v="0.5"/>
  </r>
  <r>
    <x v="230"/>
    <x v="10"/>
    <n v="1"/>
    <n v="1.4500000000000001E-2"/>
    <n v="1"/>
    <n v="8.8999999999999999E-3"/>
    <n v="1"/>
    <n v="0"/>
    <n v="0"/>
    <n v="0"/>
    <s v="0"/>
    <n v="0"/>
  </r>
  <r>
    <x v="230"/>
    <x v="4"/>
    <n v="1"/>
    <n v="1.4500000000000001E-2"/>
    <n v="2"/>
    <n v="1.7899999999999999E-2"/>
    <n v="1"/>
    <n v="0"/>
    <n v="0"/>
    <n v="0"/>
    <s v="0"/>
    <n v="0"/>
  </r>
  <r>
    <x v="230"/>
    <x v="6"/>
    <n v="8"/>
    <n v="0.1159"/>
    <n v="23"/>
    <n v="0.2054"/>
    <n v="1"/>
    <n v="0"/>
    <n v="0"/>
    <n v="0"/>
    <s v="0"/>
    <n v="0"/>
  </r>
  <r>
    <x v="230"/>
    <x v="3"/>
    <n v="4"/>
    <n v="5.8000000000000003E-2"/>
    <n v="7"/>
    <n v="6.25E-2"/>
    <n v="1"/>
    <n v="0"/>
    <n v="0"/>
    <n v="0"/>
    <s v="0"/>
    <n v="0"/>
  </r>
  <r>
    <x v="230"/>
    <x v="5"/>
    <n v="9"/>
    <n v="0.13039999999999999"/>
    <n v="13"/>
    <n v="0.11609999999999999"/>
    <n v="0.92"/>
    <n v="0"/>
    <n v="0"/>
    <n v="0"/>
    <s v="0"/>
    <n v="0"/>
  </r>
  <r>
    <x v="230"/>
    <x v="0"/>
    <n v="46"/>
    <n v="0.66669999999999996"/>
    <n v="66"/>
    <n v="0.58930000000000005"/>
    <n v="1"/>
    <n v="18"/>
    <n v="0.39129999999999998"/>
    <n v="269.45999999999998"/>
    <s v="13"/>
    <n v="0.282608695652174"/>
  </r>
  <r>
    <x v="231"/>
    <x v="1"/>
    <n v="2"/>
    <n v="2.47E-2"/>
    <n v="2"/>
    <n v="1.9E-2"/>
    <n v="1"/>
    <n v="0"/>
    <n v="0"/>
    <n v="0"/>
    <s v="0"/>
    <n v="0"/>
  </r>
  <r>
    <x v="231"/>
    <x v="5"/>
    <n v="15"/>
    <n v="0.1852"/>
    <n v="17"/>
    <n v="0.16189999999999999"/>
    <n v="1"/>
    <n v="0"/>
    <n v="0"/>
    <n v="0"/>
    <s v="0"/>
    <n v="0"/>
  </r>
  <r>
    <x v="231"/>
    <x v="3"/>
    <n v="10"/>
    <n v="0.1235"/>
    <n v="14"/>
    <n v="0.1333"/>
    <n v="1"/>
    <n v="0"/>
    <n v="0"/>
    <n v="0"/>
    <s v="0"/>
    <n v="0"/>
  </r>
  <r>
    <x v="231"/>
    <x v="6"/>
    <n v="7"/>
    <n v="8.6400000000000005E-2"/>
    <n v="8"/>
    <n v="7.6200000000000004E-2"/>
    <n v="1"/>
    <n v="0"/>
    <n v="0"/>
    <n v="0"/>
    <s v="0"/>
    <n v="0"/>
  </r>
  <r>
    <x v="231"/>
    <x v="2"/>
    <n v="4"/>
    <n v="4.9399999999999999E-2"/>
    <n v="6"/>
    <n v="5.7099999999999998E-2"/>
    <n v="1"/>
    <n v="0"/>
    <n v="0"/>
    <n v="0"/>
    <s v="0"/>
    <n v="0"/>
  </r>
  <r>
    <x v="231"/>
    <x v="4"/>
    <n v="1"/>
    <n v="1.23E-2"/>
    <n v="1"/>
    <n v="9.4999999999999998E-3"/>
    <n v="0"/>
    <n v="0"/>
    <n v="0"/>
    <n v="0"/>
    <s v="0"/>
    <n v="0"/>
  </r>
  <r>
    <x v="231"/>
    <x v="10"/>
    <n v="4"/>
    <n v="4.9399999999999999E-2"/>
    <n v="8"/>
    <n v="7.6200000000000004E-2"/>
    <n v="0.62"/>
    <n v="1"/>
    <n v="0.25"/>
    <n v="19.989999999999998"/>
    <s v="1"/>
    <n v="0.25"/>
  </r>
  <r>
    <x v="231"/>
    <x v="0"/>
    <n v="38"/>
    <n v="0.46910000000000002"/>
    <n v="49"/>
    <n v="0.4667"/>
    <n v="1"/>
    <n v="14"/>
    <n v="0.36840000000000001"/>
    <n v="209.58"/>
    <s v="14"/>
    <n v="0.36842105263157898"/>
  </r>
  <r>
    <x v="232"/>
    <x v="10"/>
    <n v="1"/>
    <n v="1.4500000000000001E-2"/>
    <n v="1"/>
    <n v="1.0999999999999999E-2"/>
    <n v="1"/>
    <n v="0"/>
    <n v="0"/>
    <n v="0"/>
    <s v="0"/>
    <n v="0"/>
  </r>
  <r>
    <x v="232"/>
    <x v="2"/>
    <n v="2"/>
    <n v="2.9000000000000001E-2"/>
    <n v="7"/>
    <n v="7.6899999999999996E-2"/>
    <n v="1"/>
    <n v="0"/>
    <n v="0"/>
    <n v="0"/>
    <s v="0"/>
    <n v="0"/>
  </r>
  <r>
    <x v="232"/>
    <x v="3"/>
    <n v="9"/>
    <n v="0.13039999999999999"/>
    <n v="10"/>
    <n v="0.1099"/>
    <n v="1"/>
    <n v="0"/>
    <n v="0"/>
    <n v="0"/>
    <s v="0"/>
    <n v="0"/>
  </r>
  <r>
    <x v="232"/>
    <x v="0"/>
    <n v="45"/>
    <n v="0.6522"/>
    <n v="59"/>
    <n v="0.64839999999999998"/>
    <n v="0.98"/>
    <n v="12"/>
    <n v="0.26669999999999999"/>
    <n v="179.64"/>
    <s v="7"/>
    <n v="0.155555555555556"/>
  </r>
  <r>
    <x v="232"/>
    <x v="6"/>
    <n v="10"/>
    <n v="0.1449"/>
    <n v="11"/>
    <n v="0.12089999999999999"/>
    <n v="1"/>
    <n v="1"/>
    <n v="0.1"/>
    <n v="11.99"/>
    <s v="1"/>
    <n v="0.1"/>
  </r>
  <r>
    <x v="232"/>
    <x v="5"/>
    <n v="2"/>
    <n v="2.9000000000000001E-2"/>
    <n v="3"/>
    <n v="3.3000000000000002E-2"/>
    <n v="1"/>
    <n v="1"/>
    <n v="0.5"/>
    <n v="12.99"/>
    <s v="1"/>
    <n v="0.5"/>
  </r>
  <r>
    <x v="233"/>
    <x v="4"/>
    <n v="1"/>
    <n v="2.63E-2"/>
    <n v="1"/>
    <n v="1.8499999999999999E-2"/>
    <n v="1"/>
    <n v="0"/>
    <n v="0"/>
    <n v="0"/>
    <s v="0"/>
    <n v="0"/>
  </r>
  <r>
    <x v="233"/>
    <x v="2"/>
    <n v="2"/>
    <n v="5.2600000000000001E-2"/>
    <n v="9"/>
    <n v="0.16669999999999999"/>
    <n v="1"/>
    <n v="0"/>
    <n v="0"/>
    <n v="0"/>
    <s v="0"/>
    <n v="0"/>
  </r>
  <r>
    <x v="233"/>
    <x v="6"/>
    <n v="2"/>
    <n v="5.2600000000000001E-2"/>
    <n v="2"/>
    <n v="3.6999999999999998E-2"/>
    <n v="1"/>
    <n v="0"/>
    <n v="0"/>
    <n v="0"/>
    <s v="0"/>
    <n v="0"/>
  </r>
  <r>
    <x v="233"/>
    <x v="3"/>
    <n v="6"/>
    <n v="0.15790000000000001"/>
    <n v="7"/>
    <n v="0.12959999999999999"/>
    <n v="1"/>
    <n v="0"/>
    <n v="0"/>
    <n v="0"/>
    <s v="0"/>
    <n v="0"/>
  </r>
  <r>
    <x v="233"/>
    <x v="5"/>
    <n v="3"/>
    <n v="7.8899999999999998E-2"/>
    <n v="5"/>
    <n v="9.2600000000000002E-2"/>
    <n v="1"/>
    <n v="0"/>
    <n v="0"/>
    <n v="0"/>
    <s v="0"/>
    <n v="0"/>
  </r>
  <r>
    <x v="233"/>
    <x v="0"/>
    <n v="24"/>
    <n v="0.63160000000000005"/>
    <n v="30"/>
    <n v="0.55559999999999998"/>
    <n v="1"/>
    <n v="9"/>
    <n v="0.375"/>
    <n v="134.72999999999999"/>
    <s v="9"/>
    <n v="0.375"/>
  </r>
  <r>
    <x v="234"/>
    <x v="4"/>
    <n v="1"/>
    <n v="2.3800000000000002E-2"/>
    <n v="1"/>
    <n v="1.72E-2"/>
    <n v="1"/>
    <n v="0"/>
    <n v="0"/>
    <n v="0"/>
    <s v="0"/>
    <n v="0"/>
  </r>
  <r>
    <x v="234"/>
    <x v="2"/>
    <n v="1"/>
    <n v="2.3800000000000002E-2"/>
    <n v="1"/>
    <n v="1.72E-2"/>
    <n v="1"/>
    <n v="0"/>
    <n v="0"/>
    <n v="0"/>
    <s v="0"/>
    <n v="0"/>
  </r>
  <r>
    <x v="234"/>
    <x v="10"/>
    <n v="0"/>
    <n v="0"/>
    <n v="0"/>
    <n v="0"/>
    <n v="0"/>
    <n v="1"/>
    <n v="0"/>
    <n v="19.989999999999998"/>
    <s v="1"/>
    <n v="0"/>
  </r>
  <r>
    <x v="234"/>
    <x v="0"/>
    <n v="24"/>
    <n v="0.57140000000000002"/>
    <n v="36"/>
    <n v="0.62070000000000003"/>
    <n v="1"/>
    <n v="8"/>
    <n v="0.33329999999999999"/>
    <n v="119.76"/>
    <s v="6"/>
    <n v="0.25"/>
  </r>
  <r>
    <x v="234"/>
    <x v="3"/>
    <n v="11"/>
    <n v="0.26190000000000002"/>
    <n v="14"/>
    <n v="0.2414"/>
    <n v="1"/>
    <n v="1"/>
    <n v="9.0899999999999995E-2"/>
    <n v="29.99"/>
    <s v="1"/>
    <n v="9.0909090909090898E-2"/>
  </r>
  <r>
    <x v="234"/>
    <x v="6"/>
    <n v="3"/>
    <n v="7.1400000000000005E-2"/>
    <n v="3"/>
    <n v="5.1700000000000003E-2"/>
    <n v="1"/>
    <n v="1"/>
    <n v="0.33329999999999999"/>
    <n v="11.99"/>
    <s v="1"/>
    <n v="0.33333333333333298"/>
  </r>
  <r>
    <x v="234"/>
    <x v="5"/>
    <n v="2"/>
    <n v="4.7600000000000003E-2"/>
    <n v="3"/>
    <n v="5.1700000000000003E-2"/>
    <n v="1"/>
    <n v="1"/>
    <n v="0.5"/>
    <n v="12.99"/>
    <s v="1"/>
    <n v="0.5"/>
  </r>
  <r>
    <x v="235"/>
    <x v="2"/>
    <n v="1"/>
    <n v="2.5000000000000001E-2"/>
    <n v="1"/>
    <n v="1.6400000000000001E-2"/>
    <n v="1"/>
    <n v="0"/>
    <n v="0"/>
    <n v="0"/>
    <s v="0"/>
    <n v="0"/>
  </r>
  <r>
    <x v="235"/>
    <x v="4"/>
    <n v="2"/>
    <n v="0.05"/>
    <n v="2"/>
    <n v="3.2800000000000003E-2"/>
    <n v="1"/>
    <n v="0"/>
    <n v="0"/>
    <n v="0"/>
    <s v="0"/>
    <n v="0"/>
  </r>
  <r>
    <x v="235"/>
    <x v="3"/>
    <n v="9"/>
    <n v="0.22500000000000001"/>
    <n v="12"/>
    <n v="0.19670000000000001"/>
    <n v="1"/>
    <n v="0"/>
    <n v="0"/>
    <n v="0"/>
    <s v="0"/>
    <n v="0"/>
  </r>
  <r>
    <x v="235"/>
    <x v="6"/>
    <n v="7"/>
    <n v="0.17499999999999999"/>
    <n v="13"/>
    <n v="0.21310000000000001"/>
    <n v="1"/>
    <n v="0"/>
    <n v="0"/>
    <n v="0"/>
    <s v="0"/>
    <n v="0"/>
  </r>
  <r>
    <x v="235"/>
    <x v="10"/>
    <n v="3"/>
    <n v="7.4999999999999997E-2"/>
    <n v="4"/>
    <n v="6.5600000000000006E-2"/>
    <n v="0.75"/>
    <n v="0"/>
    <n v="0"/>
    <n v="0"/>
    <s v="0"/>
    <n v="0"/>
  </r>
  <r>
    <x v="235"/>
    <x v="0"/>
    <n v="17"/>
    <n v="0.42499999999999999"/>
    <n v="28"/>
    <n v="0.45900000000000002"/>
    <n v="1"/>
    <n v="8"/>
    <n v="0.47060000000000002"/>
    <n v="119.76"/>
    <s v="4"/>
    <n v="0.23529411764705899"/>
  </r>
  <r>
    <x v="235"/>
    <x v="5"/>
    <n v="1"/>
    <n v="2.5000000000000001E-2"/>
    <n v="1"/>
    <n v="1.6400000000000001E-2"/>
    <n v="1"/>
    <n v="1"/>
    <n v="1"/>
    <n v="12.99"/>
    <s v="1"/>
    <n v="1"/>
  </r>
  <r>
    <x v="236"/>
    <x v="10"/>
    <n v="1"/>
    <n v="3.0300000000000001E-2"/>
    <n v="1"/>
    <n v="2.2200000000000001E-2"/>
    <n v="1"/>
    <n v="0"/>
    <n v="0"/>
    <n v="0"/>
    <s v="0"/>
    <n v="0"/>
  </r>
  <r>
    <x v="236"/>
    <x v="5"/>
    <n v="4"/>
    <n v="0.1212"/>
    <n v="4"/>
    <n v="8.8900000000000007E-2"/>
    <n v="1"/>
    <n v="0"/>
    <n v="0"/>
    <n v="0"/>
    <s v="0"/>
    <n v="0"/>
  </r>
  <r>
    <x v="236"/>
    <x v="0"/>
    <n v="19"/>
    <n v="0.57579999999999998"/>
    <n v="26"/>
    <n v="0.57779999999999998"/>
    <n v="1"/>
    <n v="3"/>
    <n v="0.15790000000000001"/>
    <n v="44.91"/>
    <s v="2"/>
    <n v="0.105263157894737"/>
  </r>
  <r>
    <x v="236"/>
    <x v="3"/>
    <n v="9"/>
    <n v="0.2727"/>
    <n v="14"/>
    <n v="0.31109999999999999"/>
    <n v="1"/>
    <n v="1"/>
    <n v="0.1111"/>
    <n v="29.99"/>
    <s v="1"/>
    <n v="0.11111111111111099"/>
  </r>
  <r>
    <x v="237"/>
    <x v="2"/>
    <n v="4"/>
    <n v="6.25E-2"/>
    <n v="5"/>
    <n v="5.7500000000000002E-2"/>
    <n v="1"/>
    <n v="0"/>
    <n v="0"/>
    <n v="0"/>
    <s v="0"/>
    <n v="0"/>
  </r>
  <r>
    <x v="237"/>
    <x v="5"/>
    <n v="3"/>
    <n v="4.6899999999999997E-2"/>
    <n v="4"/>
    <n v="4.5999999999999999E-2"/>
    <n v="1"/>
    <n v="0"/>
    <n v="0"/>
    <n v="0"/>
    <s v="0"/>
    <n v="0"/>
  </r>
  <r>
    <x v="237"/>
    <x v="10"/>
    <n v="3"/>
    <n v="4.6899999999999997E-2"/>
    <n v="3"/>
    <n v="3.4500000000000003E-2"/>
    <n v="0.67"/>
    <n v="0"/>
    <n v="0"/>
    <n v="0"/>
    <s v="0"/>
    <n v="0"/>
  </r>
  <r>
    <x v="237"/>
    <x v="0"/>
    <n v="37"/>
    <n v="0.57809999999999995"/>
    <n v="51"/>
    <n v="0.58620000000000005"/>
    <n v="0.98"/>
    <n v="1"/>
    <n v="2.7E-2"/>
    <n v="14.97"/>
    <s v="1"/>
    <n v="2.7027027027027001E-2"/>
  </r>
  <r>
    <x v="237"/>
    <x v="6"/>
    <n v="9"/>
    <n v="0.1406"/>
    <n v="11"/>
    <n v="0.12640000000000001"/>
    <n v="1"/>
    <n v="3"/>
    <n v="0.33329999999999999"/>
    <n v="29.97"/>
    <s v="1"/>
    <n v="0.11111111111111099"/>
  </r>
  <r>
    <x v="237"/>
    <x v="3"/>
    <n v="8"/>
    <n v="0.125"/>
    <n v="13"/>
    <n v="0.14940000000000001"/>
    <n v="1"/>
    <n v="1"/>
    <n v="0.125"/>
    <n v="29.99"/>
    <s v="1"/>
    <n v="0.125"/>
  </r>
  <r>
    <x v="238"/>
    <x v="10"/>
    <n v="1"/>
    <n v="1.37E-2"/>
    <n v="1"/>
    <n v="1.06E-2"/>
    <n v="1"/>
    <n v="0"/>
    <n v="0"/>
    <n v="0"/>
    <s v="0"/>
    <n v="0"/>
  </r>
  <r>
    <x v="238"/>
    <x v="5"/>
    <n v="2"/>
    <n v="2.7400000000000001E-2"/>
    <n v="2"/>
    <n v="2.1299999999999999E-2"/>
    <n v="1"/>
    <n v="0"/>
    <n v="0"/>
    <n v="0"/>
    <s v="0"/>
    <n v="0"/>
  </r>
  <r>
    <x v="238"/>
    <x v="3"/>
    <n v="7"/>
    <n v="9.5899999999999999E-2"/>
    <n v="8"/>
    <n v="8.5099999999999995E-2"/>
    <n v="1"/>
    <n v="0"/>
    <n v="0"/>
    <n v="0"/>
    <s v="0"/>
    <n v="0"/>
  </r>
  <r>
    <x v="238"/>
    <x v="2"/>
    <n v="3"/>
    <n v="4.1099999999999998E-2"/>
    <n v="3"/>
    <n v="3.1899999999999998E-2"/>
    <n v="1"/>
    <n v="0"/>
    <n v="0"/>
    <n v="0"/>
    <s v="0"/>
    <n v="0"/>
  </r>
  <r>
    <x v="238"/>
    <x v="6"/>
    <n v="13"/>
    <n v="0.17810000000000001"/>
    <n v="13"/>
    <n v="0.13830000000000001"/>
    <n v="1"/>
    <n v="3"/>
    <n v="0.23080000000000001"/>
    <n v="29.97"/>
    <s v="1"/>
    <n v="7.69230769230769E-2"/>
  </r>
  <r>
    <x v="238"/>
    <x v="0"/>
    <n v="47"/>
    <n v="0.64380000000000004"/>
    <n v="67"/>
    <n v="0.71279999999999999"/>
    <n v="1"/>
    <n v="9"/>
    <n v="0.1915"/>
    <n v="134.72999999999999"/>
    <s v="8"/>
    <n v="0.170212765957447"/>
  </r>
  <r>
    <x v="239"/>
    <x v="1"/>
    <n v="1"/>
    <n v="1.47E-2"/>
    <n v="2"/>
    <n v="2.4400000000000002E-2"/>
    <n v="1"/>
    <n v="0"/>
    <n v="0"/>
    <n v="0"/>
    <s v="0"/>
    <n v="0"/>
  </r>
  <r>
    <x v="239"/>
    <x v="3"/>
    <n v="4"/>
    <n v="5.8799999999999998E-2"/>
    <n v="7"/>
    <n v="8.5400000000000004E-2"/>
    <n v="1"/>
    <n v="0"/>
    <n v="0"/>
    <n v="0"/>
    <s v="0"/>
    <n v="0"/>
  </r>
  <r>
    <x v="239"/>
    <x v="10"/>
    <n v="1"/>
    <n v="1.47E-2"/>
    <n v="1"/>
    <n v="1.2200000000000001E-2"/>
    <n v="0"/>
    <n v="0"/>
    <n v="0"/>
    <n v="0"/>
    <s v="0"/>
    <n v="0"/>
  </r>
  <r>
    <x v="239"/>
    <x v="5"/>
    <n v="0"/>
    <n v="0"/>
    <n v="0"/>
    <n v="0"/>
    <n v="0"/>
    <n v="1"/>
    <n v="0"/>
    <n v="12.99"/>
    <s v="1"/>
    <n v="0"/>
  </r>
  <r>
    <x v="239"/>
    <x v="6"/>
    <n v="14"/>
    <n v="0.2059"/>
    <n v="14"/>
    <n v="0.17069999999999999"/>
    <n v="1"/>
    <n v="2"/>
    <n v="0.1429"/>
    <n v="19.98"/>
    <s v="1"/>
    <n v="7.1428571428571397E-2"/>
  </r>
  <r>
    <x v="239"/>
    <x v="0"/>
    <n v="44"/>
    <n v="0.64710000000000001"/>
    <n v="53"/>
    <n v="0.64629999999999999"/>
    <n v="1"/>
    <n v="9"/>
    <n v="0.20449999999999999"/>
    <n v="134.72999999999999"/>
    <s v="9"/>
    <n v="0.204545454545455"/>
  </r>
  <r>
    <x v="239"/>
    <x v="2"/>
    <n v="4"/>
    <n v="5.8799999999999998E-2"/>
    <n v="5"/>
    <n v="6.0999999999999999E-2"/>
    <n v="1"/>
    <n v="1"/>
    <n v="0.25"/>
    <n v="17.97"/>
    <s v="1"/>
    <n v="0.25"/>
  </r>
  <r>
    <x v="240"/>
    <x v="4"/>
    <n v="2"/>
    <n v="2.5600000000000001E-2"/>
    <n v="2"/>
    <n v="2.06E-2"/>
    <n v="1"/>
    <n v="0"/>
    <n v="0"/>
    <n v="0"/>
    <s v="0"/>
    <n v="0"/>
  </r>
  <r>
    <x v="240"/>
    <x v="10"/>
    <n v="4"/>
    <n v="5.1299999999999998E-2"/>
    <n v="4"/>
    <n v="4.1200000000000001E-2"/>
    <n v="1"/>
    <n v="0"/>
    <n v="0"/>
    <n v="0"/>
    <s v="0"/>
    <n v="0"/>
  </r>
  <r>
    <x v="240"/>
    <x v="2"/>
    <n v="3"/>
    <n v="3.85E-2"/>
    <n v="3"/>
    <n v="3.09E-2"/>
    <n v="1"/>
    <n v="1"/>
    <n v="0.33329999999999999"/>
    <n v="0"/>
    <s v="1"/>
    <n v="0.33333333333333298"/>
  </r>
  <r>
    <x v="240"/>
    <x v="6"/>
    <n v="12"/>
    <n v="0.15379999999999999"/>
    <n v="13"/>
    <n v="0.13400000000000001"/>
    <n v="0.92"/>
    <n v="1"/>
    <n v="8.3299999999999999E-2"/>
    <n v="9.99"/>
    <s v="1"/>
    <n v="8.3333333333333301E-2"/>
  </r>
  <r>
    <x v="240"/>
    <x v="3"/>
    <n v="8"/>
    <n v="0.1026"/>
    <n v="13"/>
    <n v="0.13400000000000001"/>
    <n v="1"/>
    <n v="2"/>
    <n v="0.25"/>
    <n v="59.98"/>
    <s v="2"/>
    <n v="0.25"/>
  </r>
  <r>
    <x v="240"/>
    <x v="0"/>
    <n v="45"/>
    <n v="0.57689999999999997"/>
    <n v="56"/>
    <n v="0.57730000000000004"/>
    <n v="1"/>
    <n v="7"/>
    <n v="0.15559999999999999"/>
    <n v="104.79"/>
    <s v="7"/>
    <n v="0.155555555555556"/>
  </r>
  <r>
    <x v="240"/>
    <x v="5"/>
    <n v="4"/>
    <n v="5.1299999999999998E-2"/>
    <n v="6"/>
    <n v="6.1899999999999997E-2"/>
    <n v="1"/>
    <n v="1"/>
    <n v="0.25"/>
    <n v="12.99"/>
    <s v="1"/>
    <n v="0.25"/>
  </r>
  <r>
    <x v="241"/>
    <x v="4"/>
    <n v="1"/>
    <n v="1.7500000000000002E-2"/>
    <n v="4"/>
    <n v="5.4800000000000001E-2"/>
    <n v="1"/>
    <n v="0"/>
    <n v="0"/>
    <n v="0"/>
    <s v="0"/>
    <n v="0"/>
  </r>
  <r>
    <x v="241"/>
    <x v="3"/>
    <n v="8"/>
    <n v="0.1404"/>
    <n v="15"/>
    <n v="0.20549999999999999"/>
    <n v="1"/>
    <n v="0"/>
    <n v="0"/>
    <n v="0"/>
    <s v="0"/>
    <n v="0"/>
  </r>
  <r>
    <x v="241"/>
    <x v="5"/>
    <n v="4"/>
    <n v="7.0199999999999999E-2"/>
    <n v="4"/>
    <n v="5.4800000000000001E-2"/>
    <n v="1"/>
    <n v="0"/>
    <n v="0"/>
    <n v="0"/>
    <s v="0"/>
    <n v="0"/>
  </r>
  <r>
    <x v="241"/>
    <x v="10"/>
    <n v="4"/>
    <n v="7.0199999999999999E-2"/>
    <n v="5"/>
    <n v="6.8500000000000005E-2"/>
    <n v="1"/>
    <n v="0"/>
    <n v="0"/>
    <n v="0"/>
    <s v="0"/>
    <n v="0"/>
  </r>
  <r>
    <x v="241"/>
    <x v="2"/>
    <n v="2"/>
    <n v="3.5099999999999999E-2"/>
    <n v="4"/>
    <n v="5.4800000000000001E-2"/>
    <n v="1"/>
    <n v="2"/>
    <n v="1"/>
    <n v="35.94"/>
    <s v="2"/>
    <n v="1"/>
  </r>
  <r>
    <x v="241"/>
    <x v="0"/>
    <n v="24"/>
    <n v="0.42109999999999997"/>
    <n v="26"/>
    <n v="0.35620000000000002"/>
    <n v="1"/>
    <n v="5"/>
    <n v="0.20830000000000001"/>
    <n v="74.849999999999994"/>
    <s v="3"/>
    <n v="0.125"/>
  </r>
  <r>
    <x v="241"/>
    <x v="6"/>
    <n v="14"/>
    <n v="0.24560000000000001"/>
    <n v="15"/>
    <n v="0.20549999999999999"/>
    <n v="1"/>
    <n v="1"/>
    <n v="7.1400000000000005E-2"/>
    <n v="9.99"/>
    <s v="1"/>
    <n v="7.1428571428571397E-2"/>
  </r>
  <r>
    <x v="242"/>
    <x v="2"/>
    <n v="1"/>
    <n v="1.4500000000000001E-2"/>
    <n v="3"/>
    <n v="3.6600000000000001E-2"/>
    <n v="1"/>
    <n v="0"/>
    <n v="0"/>
    <n v="0"/>
    <s v="0"/>
    <n v="0"/>
  </r>
  <r>
    <x v="242"/>
    <x v="4"/>
    <n v="2"/>
    <n v="2.9000000000000001E-2"/>
    <n v="2"/>
    <n v="2.4400000000000002E-2"/>
    <n v="1"/>
    <n v="0"/>
    <n v="0"/>
    <n v="0"/>
    <s v="0"/>
    <n v="0"/>
  </r>
  <r>
    <x v="242"/>
    <x v="10"/>
    <n v="2"/>
    <n v="2.9000000000000001E-2"/>
    <n v="5"/>
    <n v="6.0999999999999999E-2"/>
    <n v="1"/>
    <n v="0"/>
    <n v="0"/>
    <n v="0"/>
    <s v="0"/>
    <n v="0"/>
  </r>
  <r>
    <x v="242"/>
    <x v="6"/>
    <n v="8"/>
    <n v="0.1159"/>
    <n v="9"/>
    <n v="0.10979999999999999"/>
    <n v="1"/>
    <n v="0"/>
    <n v="0"/>
    <n v="0"/>
    <s v="0"/>
    <n v="0"/>
  </r>
  <r>
    <x v="242"/>
    <x v="3"/>
    <n v="6"/>
    <n v="8.6999999999999994E-2"/>
    <n v="6"/>
    <n v="7.3200000000000001E-2"/>
    <n v="1"/>
    <n v="0"/>
    <n v="0"/>
    <n v="0"/>
    <s v="0"/>
    <n v="0"/>
  </r>
  <r>
    <x v="242"/>
    <x v="5"/>
    <n v="3"/>
    <n v="4.3499999999999997E-2"/>
    <n v="3"/>
    <n v="3.6600000000000001E-2"/>
    <n v="1"/>
    <n v="0"/>
    <n v="0"/>
    <n v="0"/>
    <s v="0"/>
    <n v="0"/>
  </r>
  <r>
    <x v="242"/>
    <x v="0"/>
    <n v="47"/>
    <n v="0.68120000000000003"/>
    <n v="54"/>
    <n v="0.65849999999999997"/>
    <n v="1"/>
    <n v="8"/>
    <n v="0.17019999999999999"/>
    <n v="119.76"/>
    <s v="8"/>
    <n v="0.170212765957447"/>
  </r>
  <r>
    <x v="243"/>
    <x v="10"/>
    <n v="1"/>
    <n v="1.7899999999999999E-2"/>
    <n v="1"/>
    <n v="1.32E-2"/>
    <n v="1"/>
    <n v="0"/>
    <n v="0"/>
    <n v="0"/>
    <s v="0"/>
    <n v="0"/>
  </r>
  <r>
    <x v="243"/>
    <x v="4"/>
    <n v="1"/>
    <n v="1.7899999999999999E-2"/>
    <n v="3"/>
    <n v="3.95E-2"/>
    <n v="1"/>
    <n v="0"/>
    <n v="0"/>
    <n v="0"/>
    <s v="0"/>
    <n v="0"/>
  </r>
  <r>
    <x v="243"/>
    <x v="5"/>
    <n v="2"/>
    <n v="3.5700000000000003E-2"/>
    <n v="3"/>
    <n v="3.95E-2"/>
    <n v="1"/>
    <n v="0"/>
    <n v="0"/>
    <n v="0"/>
    <s v="0"/>
    <n v="0"/>
  </r>
  <r>
    <x v="243"/>
    <x v="2"/>
    <n v="3"/>
    <n v="5.3600000000000002E-2"/>
    <n v="3"/>
    <n v="3.95E-2"/>
    <n v="1"/>
    <n v="0"/>
    <n v="0"/>
    <n v="0"/>
    <s v="0"/>
    <n v="0"/>
  </r>
  <r>
    <x v="243"/>
    <x v="3"/>
    <n v="5"/>
    <n v="8.9300000000000004E-2"/>
    <n v="6"/>
    <n v="7.8899999999999998E-2"/>
    <n v="1"/>
    <n v="10"/>
    <n v="2"/>
    <n v="299.89999999999998"/>
    <s v="1"/>
    <n v="0.2"/>
  </r>
  <r>
    <x v="243"/>
    <x v="6"/>
    <n v="16"/>
    <n v="0.28570000000000001"/>
    <n v="16"/>
    <n v="0.21049999999999999"/>
    <n v="1"/>
    <n v="2"/>
    <n v="0.125"/>
    <n v="19.98"/>
    <s v="2"/>
    <n v="0.125"/>
  </r>
  <r>
    <x v="243"/>
    <x v="0"/>
    <n v="28"/>
    <n v="0.5"/>
    <n v="44"/>
    <n v="0.57889999999999997"/>
    <n v="1"/>
    <n v="7"/>
    <n v="0.25"/>
    <n v="104.79"/>
    <s v="7"/>
    <n v="0.25"/>
  </r>
  <r>
    <x v="244"/>
    <x v="10"/>
    <n v="1"/>
    <n v="1.12E-2"/>
    <n v="1"/>
    <n v="8.0999999999999996E-3"/>
    <n v="1"/>
    <n v="0"/>
    <n v="0"/>
    <n v="0"/>
    <s v="0"/>
    <n v="0"/>
  </r>
  <r>
    <x v="244"/>
    <x v="2"/>
    <n v="1"/>
    <n v="1.12E-2"/>
    <n v="3"/>
    <n v="2.4400000000000002E-2"/>
    <n v="1"/>
    <n v="0"/>
    <n v="0"/>
    <n v="0"/>
    <s v="0"/>
    <n v="0"/>
  </r>
  <r>
    <x v="244"/>
    <x v="6"/>
    <n v="30"/>
    <n v="0.33710000000000001"/>
    <n v="33"/>
    <n v="0.26829999999999998"/>
    <n v="1"/>
    <n v="5"/>
    <n v="0.16669999999999999"/>
    <n v="49.95"/>
    <s v="5"/>
    <n v="0.16666666666666699"/>
  </r>
  <r>
    <x v="244"/>
    <x v="3"/>
    <n v="6"/>
    <n v="6.7400000000000002E-2"/>
    <n v="7"/>
    <n v="5.6899999999999999E-2"/>
    <n v="1"/>
    <n v="2"/>
    <n v="0.33329999999999999"/>
    <n v="59.98"/>
    <s v="2"/>
    <n v="0.33333333333333298"/>
  </r>
  <r>
    <x v="244"/>
    <x v="5"/>
    <n v="2"/>
    <n v="2.2499999999999999E-2"/>
    <n v="3"/>
    <n v="2.4400000000000002E-2"/>
    <n v="1"/>
    <n v="2"/>
    <n v="1"/>
    <n v="25.98"/>
    <s v="2"/>
    <n v="1"/>
  </r>
  <r>
    <x v="244"/>
    <x v="0"/>
    <n v="49"/>
    <n v="0.55059999999999998"/>
    <n v="76"/>
    <n v="0.6179"/>
    <n v="1"/>
    <n v="6"/>
    <n v="0.12239999999999999"/>
    <n v="89.82"/>
    <s v="6"/>
    <n v="0.122448979591837"/>
  </r>
  <r>
    <x v="245"/>
    <x v="4"/>
    <n v="2"/>
    <n v="2.6700000000000002E-2"/>
    <n v="2"/>
    <n v="2.1499999999999998E-2"/>
    <n v="1"/>
    <n v="0"/>
    <n v="0"/>
    <n v="0"/>
    <s v="0"/>
    <n v="0"/>
  </r>
  <r>
    <x v="245"/>
    <x v="10"/>
    <n v="5"/>
    <n v="6.6699999999999995E-2"/>
    <n v="5"/>
    <n v="5.3800000000000001E-2"/>
    <n v="1"/>
    <n v="0"/>
    <n v="0"/>
    <n v="0"/>
    <s v="0"/>
    <n v="0"/>
  </r>
  <r>
    <x v="245"/>
    <x v="5"/>
    <n v="2"/>
    <n v="2.6700000000000002E-2"/>
    <n v="4"/>
    <n v="4.2999999999999997E-2"/>
    <n v="1"/>
    <n v="5"/>
    <n v="2.5"/>
    <n v="64.95"/>
    <s v="3"/>
    <n v="1.5"/>
  </r>
  <r>
    <x v="245"/>
    <x v="0"/>
    <n v="46"/>
    <n v="0.61329999999999996"/>
    <n v="59"/>
    <n v="0.63439999999999996"/>
    <n v="1"/>
    <n v="8"/>
    <n v="0.1739"/>
    <n v="89.82"/>
    <s v="8"/>
    <n v="0.173913043478261"/>
  </r>
  <r>
    <x v="245"/>
    <x v="6"/>
    <n v="14"/>
    <n v="0.1867"/>
    <n v="15"/>
    <n v="0.1613"/>
    <n v="1"/>
    <n v="1"/>
    <n v="7.1400000000000005E-2"/>
    <n v="9.99"/>
    <s v="1"/>
    <n v="7.1428571428571397E-2"/>
  </r>
  <r>
    <x v="245"/>
    <x v="3"/>
    <n v="6"/>
    <n v="0.08"/>
    <n v="8"/>
    <n v="8.5999999999999993E-2"/>
    <n v="1"/>
    <n v="1"/>
    <n v="0.16669999999999999"/>
    <n v="29.99"/>
    <s v="1"/>
    <n v="0.16666666666666699"/>
  </r>
  <r>
    <x v="246"/>
    <x v="2"/>
    <n v="1"/>
    <n v="1.09E-2"/>
    <n v="1"/>
    <n v="8.6E-3"/>
    <n v="1"/>
    <n v="0"/>
    <n v="0"/>
    <n v="0"/>
    <s v="0"/>
    <n v="0"/>
  </r>
  <r>
    <x v="246"/>
    <x v="3"/>
    <n v="4"/>
    <n v="4.3499999999999997E-2"/>
    <n v="7"/>
    <n v="6.0299999999999999E-2"/>
    <n v="1"/>
    <n v="0"/>
    <n v="0"/>
    <n v="0"/>
    <s v="0"/>
    <n v="0"/>
  </r>
  <r>
    <x v="246"/>
    <x v="5"/>
    <n v="3"/>
    <n v="3.2599999999999997E-2"/>
    <n v="4"/>
    <n v="3.4500000000000003E-2"/>
    <n v="1"/>
    <n v="0"/>
    <n v="0"/>
    <n v="0"/>
    <s v="0"/>
    <n v="0"/>
  </r>
  <r>
    <x v="246"/>
    <x v="10"/>
    <n v="3"/>
    <n v="3.2599999999999997E-2"/>
    <n v="3"/>
    <n v="2.5899999999999999E-2"/>
    <n v="1"/>
    <n v="0"/>
    <n v="0"/>
    <n v="0"/>
    <s v="0"/>
    <n v="0"/>
  </r>
  <r>
    <x v="246"/>
    <x v="6"/>
    <n v="21"/>
    <n v="0.2283"/>
    <n v="22"/>
    <n v="0.18970000000000001"/>
    <n v="1"/>
    <n v="2"/>
    <n v="9.5200000000000007E-2"/>
    <n v="19.98"/>
    <s v="2"/>
    <n v="9.5238095238095205E-2"/>
  </r>
  <r>
    <x v="246"/>
    <x v="0"/>
    <n v="59"/>
    <n v="0.64129999999999998"/>
    <n v="78"/>
    <n v="0.6724"/>
    <n v="1"/>
    <n v="12"/>
    <n v="0.2034"/>
    <n v="164.67"/>
    <s v="8"/>
    <n v="0.13559322033898299"/>
  </r>
  <r>
    <x v="246"/>
    <x v="4"/>
    <n v="1"/>
    <n v="1.09E-2"/>
    <n v="1"/>
    <n v="8.6E-3"/>
    <n v="1"/>
    <n v="1"/>
    <n v="1"/>
    <n v="16.98"/>
    <s v="1"/>
    <n v="1"/>
  </r>
  <r>
    <x v="247"/>
    <x v="4"/>
    <n v="1"/>
    <n v="1.72E-2"/>
    <n v="1"/>
    <n v="1.37E-2"/>
    <n v="1"/>
    <n v="0"/>
    <n v="0"/>
    <n v="0"/>
    <s v="0"/>
    <n v="0"/>
  </r>
  <r>
    <x v="247"/>
    <x v="10"/>
    <n v="6"/>
    <n v="0.10340000000000001"/>
    <n v="8"/>
    <n v="0.1096"/>
    <n v="1"/>
    <n v="0"/>
    <n v="0"/>
    <n v="0"/>
    <s v="0"/>
    <n v="0"/>
  </r>
  <r>
    <x v="247"/>
    <x v="3"/>
    <n v="4"/>
    <n v="6.9000000000000006E-2"/>
    <n v="7"/>
    <n v="9.5899999999999999E-2"/>
    <n v="1"/>
    <n v="0"/>
    <n v="0"/>
    <n v="0"/>
    <s v="0"/>
    <n v="0"/>
  </r>
  <r>
    <x v="247"/>
    <x v="2"/>
    <n v="3"/>
    <n v="5.1700000000000003E-2"/>
    <n v="3"/>
    <n v="4.1099999999999998E-2"/>
    <n v="1"/>
    <n v="0"/>
    <n v="0"/>
    <n v="0"/>
    <s v="0"/>
    <n v="0"/>
  </r>
  <r>
    <x v="247"/>
    <x v="5"/>
    <n v="5"/>
    <n v="8.6199999999999999E-2"/>
    <n v="5"/>
    <n v="6.8500000000000005E-2"/>
    <n v="1"/>
    <n v="5"/>
    <n v="1"/>
    <n v="64.95"/>
    <s v="4"/>
    <n v="0.8"/>
  </r>
  <r>
    <x v="247"/>
    <x v="0"/>
    <n v="32"/>
    <n v="0.55169999999999997"/>
    <n v="41"/>
    <n v="0.56159999999999999"/>
    <n v="1"/>
    <n v="5"/>
    <n v="0.15629999999999999"/>
    <n v="59.88"/>
    <s v="5"/>
    <n v="0.15625"/>
  </r>
  <r>
    <x v="247"/>
    <x v="6"/>
    <n v="7"/>
    <n v="0.1207"/>
    <n v="8"/>
    <n v="0.1096"/>
    <n v="1"/>
    <n v="1"/>
    <n v="0.1429"/>
    <n v="9.99"/>
    <s v="1"/>
    <n v="0.14285714285714299"/>
  </r>
  <r>
    <x v="248"/>
    <x v="2"/>
    <n v="1"/>
    <n v="2.7E-2"/>
    <n v="1"/>
    <n v="2.1700000000000001E-2"/>
    <n v="1"/>
    <n v="0"/>
    <n v="0"/>
    <n v="0"/>
    <s v="0"/>
    <n v="0"/>
  </r>
  <r>
    <x v="248"/>
    <x v="4"/>
    <n v="1"/>
    <n v="2.7E-2"/>
    <n v="1"/>
    <n v="2.1700000000000001E-2"/>
    <n v="1"/>
    <n v="0"/>
    <n v="0"/>
    <n v="0"/>
    <s v="0"/>
    <n v="0"/>
  </r>
  <r>
    <x v="248"/>
    <x v="3"/>
    <n v="7"/>
    <n v="0.18920000000000001"/>
    <n v="7"/>
    <n v="0.1522"/>
    <n v="1"/>
    <n v="0"/>
    <n v="0"/>
    <n v="0"/>
    <s v="0"/>
    <n v="0"/>
  </r>
  <r>
    <x v="248"/>
    <x v="5"/>
    <n v="6"/>
    <n v="0.16220000000000001"/>
    <n v="7"/>
    <n v="0.1522"/>
    <n v="1"/>
    <n v="0"/>
    <n v="0"/>
    <n v="0"/>
    <s v="0"/>
    <n v="0"/>
  </r>
  <r>
    <x v="248"/>
    <x v="10"/>
    <n v="4"/>
    <n v="0.1081"/>
    <n v="4"/>
    <n v="8.6999999999999994E-2"/>
    <n v="1"/>
    <n v="0"/>
    <n v="0"/>
    <n v="0"/>
    <s v="0"/>
    <n v="0"/>
  </r>
  <r>
    <x v="248"/>
    <x v="0"/>
    <n v="6"/>
    <n v="0.16220000000000001"/>
    <n v="8"/>
    <n v="0.1739"/>
    <n v="0.5"/>
    <n v="1"/>
    <n v="0.16669999999999999"/>
    <n v="14.97"/>
    <s v="1"/>
    <n v="0.16666666666666699"/>
  </r>
  <r>
    <x v="248"/>
    <x v="6"/>
    <n v="12"/>
    <n v="0.32429999999999998"/>
    <n v="18"/>
    <n v="0.39129999999999998"/>
    <n v="1"/>
    <n v="5"/>
    <n v="0.41670000000000001"/>
    <n v="49.95"/>
    <s v="2"/>
    <n v="0.16666666666666699"/>
  </r>
  <r>
    <x v="249"/>
    <x v="10"/>
    <n v="1"/>
    <n v="2.86E-2"/>
    <n v="1"/>
    <n v="2.5600000000000001E-2"/>
    <n v="1"/>
    <n v="0"/>
    <n v="0"/>
    <n v="0"/>
    <s v="0"/>
    <n v="0"/>
  </r>
  <r>
    <x v="249"/>
    <x v="4"/>
    <n v="2"/>
    <n v="5.7099999999999998E-2"/>
    <n v="4"/>
    <n v="0.1026"/>
    <n v="1"/>
    <n v="0"/>
    <n v="0"/>
    <n v="0"/>
    <s v="0"/>
    <n v="0"/>
  </r>
  <r>
    <x v="249"/>
    <x v="3"/>
    <n v="16"/>
    <n v="0.45710000000000001"/>
    <n v="18"/>
    <n v="0.46150000000000002"/>
    <n v="1"/>
    <n v="0"/>
    <n v="0"/>
    <n v="0"/>
    <s v="0"/>
    <n v="0"/>
  </r>
  <r>
    <x v="249"/>
    <x v="6"/>
    <n v="15"/>
    <n v="0.42859999999999998"/>
    <n v="15"/>
    <n v="0.3846"/>
    <n v="1"/>
    <n v="3"/>
    <n v="0.2"/>
    <n v="29.97"/>
    <s v="2"/>
    <n v="0.133333333333333"/>
  </r>
  <r>
    <x v="249"/>
    <x v="5"/>
    <n v="1"/>
    <n v="2.86E-2"/>
    <n v="1"/>
    <n v="2.5600000000000001E-2"/>
    <n v="1"/>
    <n v="2"/>
    <n v="2"/>
    <n v="25.98"/>
    <s v="2"/>
    <n v="2"/>
  </r>
  <r>
    <x v="250"/>
    <x v="2"/>
    <n v="1"/>
    <n v="3.0300000000000001E-2"/>
    <n v="1"/>
    <n v="2.2200000000000001E-2"/>
    <n v="1"/>
    <n v="0"/>
    <n v="0"/>
    <n v="0"/>
    <s v="0"/>
    <n v="0"/>
  </r>
  <r>
    <x v="250"/>
    <x v="4"/>
    <n v="1"/>
    <n v="3.0300000000000001E-2"/>
    <n v="2"/>
    <n v="4.4400000000000002E-2"/>
    <n v="1"/>
    <n v="0"/>
    <n v="0"/>
    <n v="0"/>
    <s v="0"/>
    <n v="0"/>
  </r>
  <r>
    <x v="250"/>
    <x v="3"/>
    <n v="9"/>
    <n v="0.2727"/>
    <n v="11"/>
    <n v="0.24440000000000001"/>
    <n v="1"/>
    <n v="0"/>
    <n v="0"/>
    <n v="0"/>
    <s v="0"/>
    <n v="0"/>
  </r>
  <r>
    <x v="250"/>
    <x v="10"/>
    <n v="6"/>
    <n v="0.18179999999999999"/>
    <n v="7"/>
    <n v="0.15559999999999999"/>
    <n v="0.86"/>
    <n v="0"/>
    <n v="0"/>
    <n v="0"/>
    <s v="0"/>
    <n v="0"/>
  </r>
  <r>
    <x v="250"/>
    <x v="5"/>
    <n v="2"/>
    <n v="6.0600000000000001E-2"/>
    <n v="6"/>
    <n v="0.1333"/>
    <n v="1"/>
    <n v="4"/>
    <n v="2"/>
    <n v="51.96"/>
    <s v="3"/>
    <n v="1.5"/>
  </r>
  <r>
    <x v="250"/>
    <x v="6"/>
    <n v="14"/>
    <n v="0.42420000000000002"/>
    <n v="18"/>
    <n v="0.4"/>
    <n v="1"/>
    <n v="2"/>
    <n v="0.1429"/>
    <n v="19.98"/>
    <s v="1"/>
    <n v="7.1428571428571397E-2"/>
  </r>
  <r>
    <x v="251"/>
    <x v="4"/>
    <n v="1"/>
    <n v="3.3300000000000003E-2"/>
    <n v="1"/>
    <n v="2.7799999999999998E-2"/>
    <n v="1"/>
    <n v="0"/>
    <n v="0"/>
    <n v="0"/>
    <s v="0"/>
    <n v="0"/>
  </r>
  <r>
    <x v="251"/>
    <x v="6"/>
    <n v="14"/>
    <n v="0.4667"/>
    <n v="17"/>
    <n v="0.47220000000000001"/>
    <n v="1"/>
    <n v="6"/>
    <n v="0.42859999999999998"/>
    <n v="59.94"/>
    <s v="5"/>
    <n v="0.35714285714285698"/>
  </r>
  <r>
    <x v="251"/>
    <x v="3"/>
    <n v="9"/>
    <n v="0.3"/>
    <n v="12"/>
    <n v="0.33329999999999999"/>
    <n v="1"/>
    <n v="3"/>
    <n v="0.33329999999999999"/>
    <n v="89.97"/>
    <s v="2"/>
    <n v="0.22222222222222199"/>
  </r>
  <r>
    <x v="251"/>
    <x v="5"/>
    <n v="3"/>
    <n v="0.1"/>
    <n v="3"/>
    <n v="8.3299999999999999E-2"/>
    <n v="1"/>
    <n v="2"/>
    <n v="0.66669999999999996"/>
    <n v="25.98"/>
    <s v="1"/>
    <n v="0.33333333333333298"/>
  </r>
  <r>
    <x v="251"/>
    <x v="10"/>
    <n v="3"/>
    <n v="0.1"/>
    <n v="3"/>
    <n v="8.3299999999999999E-2"/>
    <n v="1"/>
    <n v="1"/>
    <n v="0.33329999999999999"/>
    <n v="19.989999999999998"/>
    <s v="1"/>
    <n v="0.33333333333333298"/>
  </r>
  <r>
    <x v="252"/>
    <x v="4"/>
    <n v="1"/>
    <n v="1.5900000000000001E-2"/>
    <n v="1"/>
    <n v="1.2E-2"/>
    <n v="1"/>
    <n v="0"/>
    <n v="0"/>
    <n v="0"/>
    <s v="0"/>
    <n v="0"/>
  </r>
  <r>
    <x v="252"/>
    <x v="2"/>
    <n v="2"/>
    <n v="3.1699999999999999E-2"/>
    <n v="2"/>
    <n v="2.41E-2"/>
    <n v="1"/>
    <n v="0"/>
    <n v="0"/>
    <n v="0"/>
    <s v="0"/>
    <n v="0"/>
  </r>
  <r>
    <x v="252"/>
    <x v="3"/>
    <n v="11"/>
    <n v="0.17460000000000001"/>
    <n v="12"/>
    <n v="0.14460000000000001"/>
    <n v="1"/>
    <n v="0"/>
    <n v="0"/>
    <n v="0"/>
    <s v="0"/>
    <n v="0"/>
  </r>
  <r>
    <x v="252"/>
    <x v="5"/>
    <n v="8"/>
    <n v="0.127"/>
    <n v="8"/>
    <n v="9.64E-2"/>
    <n v="1"/>
    <n v="2"/>
    <n v="0.25"/>
    <n v="0"/>
    <s v="1"/>
    <n v="0.125"/>
  </r>
  <r>
    <x v="252"/>
    <x v="0"/>
    <n v="26"/>
    <n v="0.41270000000000001"/>
    <n v="36"/>
    <n v="0.43369999999999997"/>
    <n v="1"/>
    <n v="4"/>
    <n v="0.15379999999999999"/>
    <n v="59.88"/>
    <s v="4"/>
    <n v="0.15384615384615399"/>
  </r>
  <r>
    <x v="252"/>
    <x v="6"/>
    <n v="12"/>
    <n v="0.1905"/>
    <n v="16"/>
    <n v="0.1928"/>
    <n v="1"/>
    <n v="1"/>
    <n v="8.3299999999999999E-2"/>
    <n v="11.99"/>
    <s v="1"/>
    <n v="8.3333333333333301E-2"/>
  </r>
  <r>
    <x v="252"/>
    <x v="10"/>
    <n v="3"/>
    <n v="4.7600000000000003E-2"/>
    <n v="8"/>
    <n v="9.64E-2"/>
    <n v="1"/>
    <n v="1"/>
    <n v="0.33329999999999999"/>
    <n v="19.989999999999998"/>
    <s v="1"/>
    <n v="0.33333333333333298"/>
  </r>
  <r>
    <x v="253"/>
    <x v="1"/>
    <n v="1"/>
    <n v="1.2800000000000001E-2"/>
    <n v="1"/>
    <n v="1.03E-2"/>
    <n v="1"/>
    <n v="0"/>
    <n v="0"/>
    <n v="0"/>
    <s v="0"/>
    <n v="0"/>
  </r>
  <r>
    <x v="253"/>
    <x v="4"/>
    <n v="2"/>
    <n v="2.5600000000000001E-2"/>
    <n v="4"/>
    <n v="4.1200000000000001E-2"/>
    <n v="1"/>
    <n v="0"/>
    <n v="0"/>
    <n v="0"/>
    <s v="0"/>
    <n v="0"/>
  </r>
  <r>
    <x v="253"/>
    <x v="2"/>
    <n v="3"/>
    <n v="3.85E-2"/>
    <n v="4"/>
    <n v="4.1200000000000001E-2"/>
    <n v="1"/>
    <n v="0"/>
    <n v="0"/>
    <n v="0"/>
    <s v="0"/>
    <n v="0"/>
  </r>
  <r>
    <x v="253"/>
    <x v="5"/>
    <n v="7"/>
    <n v="8.9700000000000002E-2"/>
    <n v="8"/>
    <n v="8.2500000000000004E-2"/>
    <n v="0.88"/>
    <n v="0"/>
    <n v="0"/>
    <n v="0"/>
    <s v="0"/>
    <n v="0"/>
  </r>
  <r>
    <x v="253"/>
    <x v="3"/>
    <n v="6"/>
    <n v="7.6899999999999996E-2"/>
    <n v="10"/>
    <n v="0.1031"/>
    <n v="1"/>
    <n v="2"/>
    <n v="0.33329999999999999"/>
    <n v="59.98"/>
    <s v="2"/>
    <n v="0.33333333333333298"/>
  </r>
  <r>
    <x v="253"/>
    <x v="0"/>
    <n v="42"/>
    <n v="0.53849999999999998"/>
    <n v="50"/>
    <n v="0.51549999999999996"/>
    <n v="1"/>
    <n v="6"/>
    <n v="0.1429"/>
    <n v="89.82"/>
    <s v="5"/>
    <n v="0.119047619047619"/>
  </r>
  <r>
    <x v="253"/>
    <x v="6"/>
    <n v="13"/>
    <n v="0.16669999999999999"/>
    <n v="15"/>
    <n v="0.15459999999999999"/>
    <n v="1"/>
    <n v="1"/>
    <n v="7.6899999999999996E-2"/>
    <n v="11.99"/>
    <s v="1"/>
    <n v="7.69230769230769E-2"/>
  </r>
  <r>
    <x v="253"/>
    <x v="10"/>
    <n v="4"/>
    <n v="5.1299999999999998E-2"/>
    <n v="5"/>
    <n v="5.1499999999999997E-2"/>
    <n v="1"/>
    <n v="1"/>
    <n v="0.25"/>
    <n v="19.989999999999998"/>
    <s v="1"/>
    <n v="0.25"/>
  </r>
  <r>
    <x v="254"/>
    <x v="2"/>
    <n v="1"/>
    <n v="1.3299999999999999E-2"/>
    <n v="2"/>
    <n v="1.9400000000000001E-2"/>
    <n v="1"/>
    <n v="0"/>
    <n v="0"/>
    <n v="0"/>
    <s v="0"/>
    <n v="0"/>
  </r>
  <r>
    <x v="254"/>
    <x v="3"/>
    <n v="14"/>
    <n v="0.1867"/>
    <n v="19"/>
    <n v="0.1845"/>
    <n v="1"/>
    <n v="0"/>
    <n v="0"/>
    <n v="0"/>
    <s v="0"/>
    <n v="0"/>
  </r>
  <r>
    <x v="254"/>
    <x v="5"/>
    <n v="10"/>
    <n v="0.1333"/>
    <n v="14"/>
    <n v="0.13589999999999999"/>
    <n v="1"/>
    <n v="3"/>
    <n v="0.3"/>
    <n v="38.97"/>
    <s v="3"/>
    <n v="0.3"/>
  </r>
  <r>
    <x v="254"/>
    <x v="6"/>
    <n v="11"/>
    <n v="0.1467"/>
    <n v="14"/>
    <n v="0.13589999999999999"/>
    <n v="1"/>
    <n v="2"/>
    <n v="0.18179999999999999"/>
    <n v="23.98"/>
    <s v="2"/>
    <n v="0.18181818181818199"/>
  </r>
  <r>
    <x v="254"/>
    <x v="0"/>
    <n v="39"/>
    <n v="0.52"/>
    <n v="54"/>
    <n v="0.52429999999999999"/>
    <n v="1"/>
    <n v="12"/>
    <n v="0.30769999999999997"/>
    <n v="179.64"/>
    <s v="7"/>
    <n v="0.17948717948717999"/>
  </r>
  <r>
    <x v="255"/>
    <x v="4"/>
    <n v="1"/>
    <n v="1.41E-2"/>
    <n v="1"/>
    <n v="1.09E-2"/>
    <n v="1"/>
    <n v="0"/>
    <n v="0"/>
    <n v="0"/>
    <s v="0"/>
    <n v="0"/>
  </r>
  <r>
    <x v="255"/>
    <x v="6"/>
    <n v="15"/>
    <n v="0.21129999999999999"/>
    <n v="19"/>
    <n v="0.20649999999999999"/>
    <n v="1"/>
    <n v="0"/>
    <n v="0"/>
    <n v="0"/>
    <s v="0"/>
    <n v="0"/>
  </r>
  <r>
    <x v="255"/>
    <x v="3"/>
    <n v="9"/>
    <n v="0.1268"/>
    <n v="12"/>
    <n v="0.13039999999999999"/>
    <n v="1"/>
    <n v="0"/>
    <n v="0"/>
    <n v="0"/>
    <s v="0"/>
    <n v="0"/>
  </r>
  <r>
    <x v="255"/>
    <x v="5"/>
    <n v="7"/>
    <n v="9.8599999999999993E-2"/>
    <n v="7"/>
    <n v="7.6100000000000001E-2"/>
    <n v="1"/>
    <n v="0"/>
    <n v="0"/>
    <n v="0"/>
    <s v="0"/>
    <n v="0"/>
  </r>
  <r>
    <x v="255"/>
    <x v="10"/>
    <n v="3"/>
    <n v="4.2299999999999997E-2"/>
    <n v="4"/>
    <n v="4.3499999999999997E-2"/>
    <n v="1"/>
    <n v="0"/>
    <n v="0"/>
    <n v="0"/>
    <s v="0"/>
    <n v="0"/>
  </r>
  <r>
    <x v="255"/>
    <x v="0"/>
    <n v="36"/>
    <n v="0.50700000000000001"/>
    <n v="49"/>
    <n v="0.53259999999999996"/>
    <n v="0.98"/>
    <n v="0"/>
    <n v="0"/>
    <n v="0"/>
    <s v="0"/>
    <n v="0"/>
  </r>
  <r>
    <x v="256"/>
    <x v="4"/>
    <n v="2"/>
    <n v="2.1700000000000001E-2"/>
    <n v="4"/>
    <n v="3.2300000000000002E-2"/>
    <n v="1"/>
    <n v="0"/>
    <n v="0"/>
    <n v="0"/>
    <s v="0"/>
    <n v="0"/>
  </r>
  <r>
    <x v="256"/>
    <x v="2"/>
    <n v="2"/>
    <n v="2.1700000000000001E-2"/>
    <n v="3"/>
    <n v="2.4199999999999999E-2"/>
    <n v="1"/>
    <n v="0"/>
    <n v="0"/>
    <n v="0"/>
    <s v="0"/>
    <n v="0"/>
  </r>
  <r>
    <x v="256"/>
    <x v="10"/>
    <n v="3"/>
    <n v="3.2599999999999997E-2"/>
    <n v="3"/>
    <n v="2.4199999999999999E-2"/>
    <n v="1"/>
    <n v="0"/>
    <n v="0"/>
    <n v="0"/>
    <s v="0"/>
    <n v="0"/>
  </r>
  <r>
    <x v="256"/>
    <x v="6"/>
    <n v="20"/>
    <n v="0.21740000000000001"/>
    <n v="29"/>
    <n v="0.2339"/>
    <n v="1"/>
    <n v="7"/>
    <n v="0.35"/>
    <n v="83.93"/>
    <s v="6"/>
    <n v="0.3"/>
  </r>
  <r>
    <x v="256"/>
    <x v="3"/>
    <n v="17"/>
    <n v="0.18479999999999999"/>
    <n v="22"/>
    <n v="0.1774"/>
    <n v="1"/>
    <n v="2"/>
    <n v="0.1176"/>
    <n v="59.98"/>
    <s v="2"/>
    <n v="0.11764705882352899"/>
  </r>
  <r>
    <x v="256"/>
    <x v="0"/>
    <n v="41"/>
    <n v="0.44569999999999999"/>
    <n v="56"/>
    <n v="0.4516"/>
    <n v="1"/>
    <n v="11"/>
    <n v="0.26829999999999998"/>
    <n v="164.67"/>
    <s v="6"/>
    <n v="0.146341463414634"/>
  </r>
  <r>
    <x v="256"/>
    <x v="5"/>
    <n v="7"/>
    <n v="7.6100000000000001E-2"/>
    <n v="7"/>
    <n v="5.6500000000000002E-2"/>
    <n v="1"/>
    <n v="1"/>
    <n v="0.1429"/>
    <n v="12.99"/>
    <s v="1"/>
    <n v="0.1428571428571429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数据透视表1" cacheId="0" autoFormatId="1" applyNumberFormats="0" applyBorderFormats="0" applyFontFormats="0" applyPatternFormats="0" applyAlignmentFormats="0" applyWidthHeightFormats="1" dataCaption="值" updatedVersion="6" minRefreshableVersion="5" createdVersion="6" useAutoFormatting="1" rowGrandTotals="0" colGrandTotals="0" indent="0" outline="1" outlineData="1" showDrill="1" multipleFieldFilters="0" rowHeaderCaption="日期">
  <location ref="A1:I105" firstHeaderRow="0" firstDataRow="1" firstDataCol="1"/>
  <pivotFields count="12">
    <pivotField axis="axisRow" defaultSubtotal="0" showAll="0">
      <items count="258">
        <item x="257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7"/>
        <item x="39"/>
        <item x="40"/>
        <item x="41"/>
        <item x="44"/>
        <item x="45"/>
        <item x="47"/>
        <item x="48"/>
        <item x="49"/>
        <item x="50"/>
        <item x="51"/>
        <item x="52"/>
        <item x="54"/>
        <item x="55"/>
        <item x="56"/>
        <item x="57"/>
        <item x="60"/>
        <item x="61"/>
        <item x="62"/>
        <item x="63"/>
        <item x="64"/>
        <item x="65"/>
        <item x="68"/>
        <item x="69"/>
        <item x="70"/>
        <item x="75"/>
        <item x="76"/>
        <item x="77"/>
        <item x="78"/>
        <item x="80"/>
        <item x="81"/>
        <item x="82"/>
        <item x="83"/>
        <item x="85"/>
        <item x="58"/>
        <item x="59"/>
        <item x="71"/>
        <item x="72"/>
        <item x="73"/>
        <item x="79"/>
        <item x="43"/>
        <item x="36"/>
        <item x="38"/>
        <item x="42"/>
        <item x="46"/>
        <item x="53"/>
        <item x="66"/>
        <item x="67"/>
        <item x="74"/>
        <item x="84"/>
        <item x="86"/>
        <item x="87"/>
        <item x="88"/>
        <item x="89"/>
        <item x="90"/>
        <item x="91"/>
        <item x="92"/>
        <item x="93"/>
        <item x="94"/>
        <item x="95"/>
        <item x="96"/>
        <item x="99"/>
        <item x="97"/>
        <item x="98"/>
        <item x="100"/>
        <item x="101"/>
        <item x="103"/>
        <item x="104"/>
        <item x="105"/>
        <item x="106"/>
        <item x="107"/>
        <item x="108"/>
        <item x="102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2"/>
        <item x="121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6"/>
        <item x="149"/>
        <item x="150"/>
        <item x="156"/>
        <item x="145"/>
        <item x="147"/>
        <item x="148"/>
        <item x="151"/>
        <item x="152"/>
        <item x="153"/>
        <item x="154"/>
        <item x="157"/>
        <item x="155"/>
        <item x="164"/>
        <item x="158"/>
        <item x="159"/>
        <item x="160"/>
        <item x="161"/>
        <item x="162"/>
        <item x="163"/>
        <item x="167"/>
        <item x="165"/>
        <item x="166"/>
        <item x="170"/>
        <item x="172"/>
        <item x="169"/>
        <item x="171"/>
        <item x="168"/>
        <item x="173"/>
        <item x="174"/>
        <item x="175"/>
        <item x="176"/>
        <item x="177"/>
        <item x="178"/>
        <item x="183"/>
        <item x="179"/>
        <item x="180"/>
        <item x="181"/>
        <item x="182"/>
        <item x="184"/>
        <item x="185"/>
        <item x="187"/>
        <item x="188"/>
        <item x="186"/>
        <item x="191"/>
        <item x="192"/>
        <item x="193"/>
        <item x="194"/>
        <item x="195"/>
        <item x="189"/>
        <item x="190"/>
        <item x="197"/>
        <item x="198"/>
        <item x="199"/>
        <item x="196"/>
        <item x="200"/>
        <item x="201"/>
        <item x="202"/>
        <item x="203"/>
        <item x="204"/>
        <item x="205"/>
        <item x="206"/>
        <item x="208"/>
        <item x="210"/>
        <item x="211"/>
        <item x="212"/>
        <item x="209"/>
        <item x="207"/>
        <item x="213"/>
        <item x="214"/>
        <item x="215"/>
        <item x="217"/>
        <item x="216"/>
        <item x="219"/>
        <item x="218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</items>
    </pivotField>
    <pivotField defaultSubtotal="0" showAll="0">
      <items count="12">
        <item x="3"/>
        <item h="1" x="2"/>
        <item h="1" x="1"/>
        <item h="1" x="4"/>
        <item h="1" x="0"/>
        <item h="1" x="6"/>
        <item h="1" x="5"/>
        <item h="1" x="8"/>
        <item h="1" x="7"/>
        <item h="1" x="10"/>
        <item h="1" x="9"/>
        <item h="1" x="11"/>
      </items>
    </pivotField>
    <pivotField dataField="1" defaultSubtotal="0" showAll="0"/>
    <pivotField dataField="1" defaultSubtotal="0" showAll="0"/>
    <pivotField dataField="1" defaultSubtotal="0" showAll="0"/>
    <pivotField dataField="1" defaultSubtotal="0" showAll="0"/>
    <pivotField dataField="1" defaultSubtotal="0" showAll="0"/>
    <pivotField dataField="1" defaultSubtotal="0" showAll="0"/>
    <pivotField defaultSubtotal="0" showAll="0"/>
    <pivotField dataField="1" defaultSubtotal="0" showAll="0"/>
    <pivotField defaultSubtotal="0" showAll="0"/>
    <pivotField dataField="1" defaultSubtotal="0" showAll="0"/>
  </pivotFields>
  <rowFields count="1">
    <field x="0"/>
  </rowFields>
  <rowItems count="104">
    <i>
      <x v="149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</rowItems>
  <colFields count="1">
    <field x="-2"/>
  </colFields>
  <colItems count="8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</colItems>
  <dataFields count="8">
    <dataField name="访问量" fld="2" baseField="0" baseItem="0"/>
    <dataField name="访问占比" fld="3" baseField="0" baseItem="0"/>
    <dataField name="浏览量" fld="4" baseField="0" baseItem="0"/>
    <dataField name="浏览占比" fld="5" baseField="0" baseItem="0"/>
    <dataField name="BuyBox率." fld="6" baseField="0" baseItem="0"/>
    <dataField name="购买商品数" fld="7" baseField="0" baseItem="0"/>
    <dataField name="求和项:订单转换率" fld="11" baseField="0" baseItem="0"/>
    <dataField name="求和项:销售额" fld="9" baseField="0" baseItem="0"/>
  </dataFields>
  <formats count="5">
    <format dxfId="0">
      <pivotArea field="0" type="button" dataOnly="0" labelOnly="1" outline="0" fieldPosition="0"/>
    </format>
    <format dxfId="1">
      <pivotArea field="0" type="button" dataOnly="0" labelOnly="1" outline="0" fieldPosition="0"/>
    </format>
    <format dxfId="2">
      <pivotArea field="0" type="button" dataOnly="0" labelOnly="1" outline="0" fieldPosition="0"/>
    </format>
    <format dxfId="3">
      <pivotArea field="0" type="button" dataOnly="0" labelOnly="1" outline="0" fieldPosition="0"/>
    </format>
    <format dxfId="4">
      <pivotArea field="0" type="button" dataOnly="0" labelOnly="1" outline="0" fieldPosition="0"/>
    </format>
  </formats>
  <pivotTableStyleInfo name="PivotStyleLight16" showRowHeaders="1" showColHeaders="1" showLastColumn="1"/>
  <filters count="1">
    <filter evalOrder="-1" fld="0" id="541" type="dateBetween">
      <autoFilter ref="A1">
        <filterColumn colId="0">
          <customFilters and="1">
            <customFilter operator="greaterThanOrEqual" val="43374"/>
            <customFilter operator="lessThanOrEqual" val="43496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数据透视表1" cacheId="1" autoFormatId="1" applyNumberFormats="0" applyBorderFormats="0" applyFontFormats="0" applyPatternFormats="0" applyAlignmentFormats="0" applyWidthHeightFormats="1" dataCaption="值" updatedVersion="5" minRefreshableVersion="5" createdVersion="6" rowGrandTotals="0" colGrandTotals="0" indent="0" outline="1" outlineData="1" showDrill="1" multipleFieldFilters="0" rowHeaderCaption="日期">
  <location ref="A1:I18" firstHeaderRow="0" firstDataRow="1" firstDataCol="1"/>
  <pivotFields count="12">
    <pivotField axis="axisRow" insertBlankRow="1" defaultSubtotal="0" showAll="0">
      <items count="37">
        <item h="1" x="0"/>
        <item h="1" x="1"/>
        <item h="1" x="2"/>
        <item h="1" x="3"/>
        <item h="1" x="4"/>
        <item x="5"/>
        <item h="1" x="6"/>
        <item x="7"/>
        <item x="8"/>
        <item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h="1" x="36"/>
      </items>
    </pivotField>
    <pivotField insertBlankRow="1" defaultSubtotal="0" showAll="0">
      <items count="11">
        <item x="3"/>
        <item h="1" x="2"/>
        <item h="1" x="1"/>
        <item h="1" x="4"/>
        <item h="1" x="0"/>
        <item h="1" x="6"/>
        <item h="1" x="5"/>
        <item h="1" x="8"/>
        <item h="1" x="7"/>
        <item h="1" x="10"/>
        <item h="1" x="9"/>
      </items>
    </pivotField>
    <pivotField dataField="1" insertBlankRow="1" defaultSubtotal="0" subtotalTop="0" showAll="0"/>
    <pivotField insertBlankRow="1" defaultSubtotal="0" subtotalTop="0" showAll="0"/>
    <pivotField dataField="1" insertBlankRow="1" defaultSubtotal="0" subtotalTop="0" showAll="0"/>
    <pivotField insertBlankRow="1" defaultSubtotal="0" subtotalTop="0" showAll="0"/>
    <pivotField dataField="1" insertBlankRow="1" defaultSubtotal="0" showAll="0"/>
    <pivotField dataField="1" insertBlankRow="1" defaultSubtotal="0" subtotalTop="0" showAll="0"/>
    <pivotField insertBlankRow="1" defaultSubtotal="0" subtotalTop="0" showAll="0"/>
    <pivotField dataField="1" insertBlankRow="1" defaultSubtotal="0" showAll="0"/>
    <pivotField insertBlankRow="1" defaultSubtotal="0" subtotalTop="0" showAll="0"/>
    <pivotField dataField="1" insertBlankRow="1" defaultSubtotal="0" subtotalTop="0" showAll="0"/>
  </pivotFields>
  <rowFields count="1">
    <field x="0"/>
  </rowFields>
  <rowItems count="17">
    <i>
      <x v="5"/>
    </i>
    <i>
      <x v="7"/>
    </i>
    <i>
      <x v="8"/>
    </i>
    <i>
      <x v="9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</rowItems>
  <colFields count="1">
    <field x="-2"/>
  </colFields>
  <colItems count="8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</colItems>
  <dataFields count="8">
    <dataField name="求和项:访问数" fld="2" baseField="0" baseItem="0"/>
    <dataField name="访客环比" fld="2" showDataAs="percentDiff" baseField="0" baseItem="1048828" numFmtId="10"/>
    <dataField name="求和项:页面浏览次数" fld="4" baseField="0" baseItem="0"/>
    <dataField name="浏览环比" fld="4" showDataAs="percentDiff" baseField="0" baseItem="1048828" numFmtId="10"/>
    <dataField name="求和项:商品数" fld="7" baseField="0" baseItem="0"/>
    <dataField name="平均值项:订单转换率" fld="11" subtotal="average" baseField="0" baseItem="0"/>
    <dataField name="求和项:销售额" fld="9" baseField="0" baseItem="0"/>
    <dataField name="平均值项:BuyBox率" fld="6" subtotal="average" baseField="0" baseItem="0"/>
  </dataFields>
  <formats count="28">
    <format dxfId="5">
      <pivotArea field="0" type="button" dataOnly="0" labelOnly="1" outline="0" fieldPosition="0"/>
    </format>
    <format dxfId="6">
      <pivotArea type="all" dataOnly="0" outline="0" fieldPosition="0"/>
    </format>
    <format dxfId="7">
      <pivotArea outline="0" collapsedLevelsAreSubtotals="1" fieldPosition="0"/>
    </format>
    <format dxfId="8">
      <pivotArea field="0" type="button" dataOnly="0" labelOnly="1" outline="0" fieldPosition="0"/>
    </format>
    <format dxfId="9">
      <pivotArea type="all" dataOnly="0" outline="0" fieldPosition="0"/>
    </format>
    <format dxfId="10">
      <pivotArea outline="0" collapsedLevelsAreSubtotals="1" fieldPosition="0"/>
    </format>
    <format dxfId="11">
      <pivotArea field="0" type="button" dataOnly="0" labelOnly="1" outline="0" fieldPosition="0"/>
    </format>
    <format dxfId="12">
      <pivotArea type="all" dataOnly="0" outline="0" fieldPosition="0"/>
    </format>
    <format dxfId="13">
      <pivotArea field="0" type="button" dataOnly="0" labelOnly="1" outline="0" fieldPosition="0"/>
    </format>
    <format dxfId="14">
      <pivotArea type="all" dataOnly="0" outline="0" fieldPosition="0"/>
    </format>
    <format dxfId="15">
      <pivotArea outline="0" collapsedLevelsAreSubtotals="1" fieldPosition="0"/>
    </format>
    <format dxfId="16">
      <pivotArea field="0" type="button" dataOnly="0" labelOnly="1" outline="0" fieldPosition="0"/>
    </format>
    <format dxfId="17">
      <pivotArea type="all" dataOnly="0" outline="0" fieldPosition="0"/>
    </format>
    <format dxfId="18">
      <pivotArea outline="0" collapsedLevelsAreSubtotals="1" fieldPosition="0"/>
    </format>
    <format dxfId="19">
      <pivotArea field="0" type="button" dataOnly="0" labelOnly="1" outline="0" fieldPosition="0"/>
    </format>
    <format dxfId="20">
      <pivotArea field="0" type="button" dataOnly="0" labelOnly="1" outline="0" fieldPosition="0"/>
    </format>
    <format dxfId="21">
      <pivotArea type="all" dataOnly="0" outline="0" fieldPosition="0"/>
    </format>
    <format dxfId="22">
      <pivotArea outline="0" collapsedLevelsAreSubtotals="1" fieldPosition="0"/>
    </format>
    <format dxfId="23">
      <pivotArea field="0" type="button" dataOnly="0" labelOnly="1" outline="0" fieldPosition="0"/>
    </format>
    <format dxfId="24">
      <pivotArea type="all" dataOnly="0" outline="0" fieldPosition="0"/>
    </format>
    <format dxfId="25">
      <pivotArea outline="0" collapsedLevelsAreSubtotals="1" fieldPosition="0"/>
    </format>
    <format dxfId="26">
      <pivotArea field="0" type="button" dataOnly="0" labelOnly="1" outline="0" fieldPosition="0"/>
    </format>
    <format dxfId="27">
      <pivotArea collapsedLevelsAreSubtotals="1" fieldPosition="0">
        <references count="2">
          <reference field="4294967294" count="1" selected="0">
            <x v="1"/>
          </reference>
          <reference field="0" count="1">
            <x v="26"/>
          </reference>
        </references>
      </pivotArea>
    </format>
    <format dxfId="28">
      <pivotArea collapsedLevelsAreSubtotals="1" fieldPosition="0">
        <references count="2">
          <reference field="4294967294" count="1" selected="0">
            <x v="1"/>
          </reference>
          <reference field="0" count="1">
            <x v="5"/>
          </reference>
        </references>
      </pivotArea>
    </format>
    <format dxfId="29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30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31">
      <pivotArea outline="0" fieldPosition="0">
        <references count="1">
          <reference field="4294967294" count="1">
            <x v="1"/>
          </reference>
        </references>
      </pivotArea>
    </format>
    <format dxfId="32">
      <pivotArea outline="0" fieldPosition="0">
        <references count="1">
          <reference field="4294967294" count="1">
            <x v="3"/>
          </reference>
        </references>
      </pivotArea>
    </format>
  </formats>
  <pivotTableStyleInfo name="扁平的数据透视样式" showRowHeaders="1" showColHeaders="1" showColStripe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切片器_SKU" sourceName="SKU">
  <pivotTables>
    <pivotTable tabId="38" name="数据透视表1"/>
  </pivotTables>
  <data>
    <tabular pivotCacheId="1" showMissing="0">
      <items count="12">
        <i x="3" s="1"/>
        <i x="2" s="0"/>
        <i x="1" s="0"/>
        <i x="4" s="0"/>
        <i x="0" s="0"/>
        <i x="6" s="0"/>
        <i x="5" s="0"/>
        <i x="8" s="0"/>
        <i x="7" s="0"/>
        <i x="10" s="0"/>
        <i x="9" s="0"/>
        <i x="11" s="0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切片器_SKU1" sourceName="SKU">
  <pivotTables>
    <pivotTable tabId="41" name="数据透视表1"/>
  </pivotTables>
  <data>
    <tabular pivotCacheId="2" showMissing="0" crossFilter="showItemsWithNoData">
      <items count="11">
        <i x="3" s="1"/>
        <i x="2" s="0"/>
        <i x="1" s="0"/>
        <i x="4" s="0"/>
        <i x="0" s="0"/>
        <i x="6" s="0"/>
        <i x="5" s="0"/>
        <i x="8" s="0"/>
        <i x="7" s="0"/>
        <i x="10" s="0"/>
        <i x="9" s="0"/>
      </items>
    </tabular>
  </data>
  <extLst/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切片器_年月日" sourceName="年月日">
  <pivotTables>
    <pivotTable tabId="41" name="数据透视表1"/>
  </pivotTables>
  <data>
    <tabular pivotCacheId="2">
      <items count="37">
        <i x="36" s="0"/>
        <i x="23" s="1"/>
        <i x="25" s="1"/>
        <i x="26" s="1"/>
        <i x="27" s="1"/>
        <i x="24" s="1"/>
        <i x="29" s="1"/>
        <i x="30" s="1"/>
        <i x="31" s="1"/>
        <i x="28" s="1"/>
        <i x="33" s="1"/>
        <i x="34" s="1"/>
        <i x="35" s="1"/>
        <i x="32" s="1"/>
        <i x="5" s="1"/>
        <i x="7" s="1"/>
        <i x="8" s="1"/>
        <i x="9" s="1"/>
        <i x="6" s="0"/>
        <i x="12" s="0"/>
        <i x="10" s="0"/>
        <i x="13" s="0"/>
        <i x="14" s="0"/>
        <i x="11" s="0"/>
        <i x="16" s="0"/>
        <i x="17" s="0"/>
        <i x="18" s="0"/>
        <i x="15" s="0"/>
        <i x="20" s="0"/>
        <i x="21" s="0"/>
        <i x="22" s="0"/>
        <i x="19" s="0"/>
        <i x="0" s="0" nd="1"/>
        <i x="1" s="0" nd="1"/>
        <i x="3" s="0" nd="1"/>
        <i x="4" s="0" nd="1"/>
        <i x="2" s="0" nd="1"/>
      </items>
    </tabular>
  </data>
  <extLst/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SKU 2" cache="切片器_SKU" caption="SKU" style="SlicerStyleDark5 2" lockedPosition="1" rowHeight="241300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年月日" cache="切片器_年月日" caption="年月日" rowHeight="209550"/>
</slicers>
</file>

<file path=xl/slicers/slicer3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SKU 1" cache="切片器_SKU1" caption="SKU" style="SlicerStyleDark5 2" lockedPosition="1" rowHeight="241300"/>
  <slicer name="年月日 3" cache="切片器_年月日" caption="周数据对比" style="SlicerStyleDark5 2" rowHeight="209550"/>
</slicers>
</file>

<file path=xl/tables/table1.xml><?xml version="1.0" encoding="utf-8"?>
<table xmlns="http://schemas.openxmlformats.org/spreadsheetml/2006/main" id="2" name="数据" displayName="数据" ref="A1:Q1256" totalsRowShown="0">
  <autoFilter xmlns:etc="http://www.wps.cn/officeDocument/2017/etCustomData" ref="A1:Q1256" etc:filterBottomFollowUsedRange="0"/>
  <tableColumns count="17">
    <tableColumn id="1" name="年月日" dataDxfId="33"/>
    <tableColumn id="13" name="父ASIN" dataDxfId="34"/>
    <tableColumn id="2" name="ASIN" dataDxfId="35"/>
    <tableColumn id="3" name="商品名称" dataDxfId="36"/>
    <tableColumn id="4" name="买家访问次数" dataDxfId="37"/>
    <tableColumn id="5" name="买家访问次数百分比" dataDxfId="38"/>
    <tableColumn id="6" name="页面浏览次数" dataDxfId="39"/>
    <tableColumn id="7" name="页面浏览次数百分比" dataDxfId="40"/>
    <tableColumn id="8" name="购买按钮页面浏览率" dataDxfId="41"/>
    <tableColumn id="9" name="已订购商品数量" dataDxfId="42"/>
    <tableColumn id="14" name="订购数量 – B2B" dataDxfId="43"/>
    <tableColumn id="10" name="订单商品数量转化率" dataDxfId="44"/>
    <tableColumn id="17" name="商品转化率 – B2B" dataDxfId="45"/>
    <tableColumn id="11" name="已订购商品销售额" dataDxfId="46"/>
    <tableColumn id="16" name="已订购商品的销售额 – B2B" dataDxfId="47"/>
    <tableColumn id="12" name="订单商品种类数" dataDxfId="48"/>
    <tableColumn id="18" name="订单商品总数 – B2B" dataDxfId="49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3" name="SKU" displayName="SKU" ref="A1:B12" totalsRowShown="0">
  <autoFilter xmlns:etc="http://www.wps.cn/officeDocument/2017/etCustomData" ref="A1:B12" etc:filterBottomFollowUsedRange="0"/>
  <tableColumns count="2">
    <tableColumn id="1" name="ASIN" dataDxfId="50"/>
    <tableColumn id="2" name="卖家 SKU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1" name="数据_2" displayName="数据_2" ref="A1:L1256" totalsRowShown="0">
  <autoFilter xmlns:etc="http://www.wps.cn/officeDocument/2017/etCustomData" ref="A1:L1256" etc:filterBottomFollowUsedRange="0"/>
  <sortState ref="A1:L1256">
    <sortCondition ref="A1:A1256"/>
  </sortState>
  <tableColumns count="12">
    <tableColumn id="1" name="年月日" dataDxfId="51"/>
    <tableColumn id="2" name="SKU"/>
    <tableColumn id="3" name="访问数"/>
    <tableColumn id="4" name="访问次数百分比"/>
    <tableColumn id="5" name="页面浏览次数"/>
    <tableColumn id="6" name="页面浏览次数百分比"/>
    <tableColumn id="7" name="BuyBox率"/>
    <tableColumn id="8" name="商品数"/>
    <tableColumn id="9" name="商品转化率"/>
    <tableColumn id="10" name="销售额"/>
    <tableColumn id="11" name="订单数"/>
    <tableColumn id="12" name="订单转换率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ExcelPro_FT_鳍色">
      <a:dk1>
        <a:sysClr val="windowText" lastClr="000000"/>
      </a:dk1>
      <a:lt1>
        <a:sysClr val="window" lastClr="FFFFFF"/>
      </a:lt1>
      <a:dk2>
        <a:srgbClr val="69A2AB"/>
      </a:dk2>
      <a:lt2>
        <a:srgbClr val="FEF1E0"/>
      </a:lt2>
      <a:accent1>
        <a:srgbClr val="BB6E82"/>
      </a:accent1>
      <a:accent2>
        <a:srgbClr val="EBAFAF"/>
      </a:accent2>
      <a:accent3>
        <a:srgbClr val="D66B6A"/>
      </a:accent3>
      <a:accent4>
        <a:srgbClr val="D8A79B"/>
      </a:accent4>
      <a:accent5>
        <a:srgbClr val="B07979"/>
      </a:accent5>
      <a:accent6>
        <a:srgbClr val="CCC2C2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theme/themeOverride1.xml><?xml version="1.0" encoding="utf-8"?>
<a:themeOverride xmlns:a="http://schemas.openxmlformats.org/drawingml/2006/main">
  <a:clrScheme name="ExcelPro_FT_鳍色">
    <a:dk1>
      <a:sysClr val="windowText" lastClr="000000"/>
    </a:dk1>
    <a:lt1>
      <a:sysClr val="window" lastClr="FFFFFF"/>
    </a:lt1>
    <a:dk2>
      <a:srgbClr val="69A2AB"/>
    </a:dk2>
    <a:lt2>
      <a:srgbClr val="FEF1E0"/>
    </a:lt2>
    <a:accent1>
      <a:srgbClr val="BB6E82"/>
    </a:accent1>
    <a:accent2>
      <a:srgbClr val="EBAFAF"/>
    </a:accent2>
    <a:accent3>
      <a:srgbClr val="D66B6A"/>
    </a:accent3>
    <a:accent4>
      <a:srgbClr val="D8A79B"/>
    </a:accent4>
    <a:accent5>
      <a:srgbClr val="B07979"/>
    </a:accent5>
    <a:accent6>
      <a:srgbClr val="CCC2C2"/>
    </a:accent6>
    <a:hlink>
      <a:srgbClr val="0563C1"/>
    </a:hlink>
    <a:folHlink>
      <a:srgbClr val="954F72"/>
    </a:folHlink>
  </a:clrScheme>
  <a:fontScheme name="自定义 1">
    <a:majorFont>
      <a:latin typeface="Arial"/>
      <a:ea typeface="微软雅黑"/>
      <a:cs typeface=""/>
    </a:majorFont>
    <a:minorFont>
      <a:latin typeface="Arial"/>
      <a:ea typeface="微软雅黑"/>
      <a:cs typeface="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.xml><?xml version="1.0" encoding="utf-8"?>
<a:themeOverride xmlns:a="http://schemas.openxmlformats.org/drawingml/2006/main">
  <a:clrScheme name="ExcelPro_FT_鳍色">
    <a:dk1>
      <a:sysClr val="windowText" lastClr="000000"/>
    </a:dk1>
    <a:lt1>
      <a:sysClr val="window" lastClr="FFFFFF"/>
    </a:lt1>
    <a:dk2>
      <a:srgbClr val="69A2AB"/>
    </a:dk2>
    <a:lt2>
      <a:srgbClr val="FEF1E0"/>
    </a:lt2>
    <a:accent1>
      <a:srgbClr val="BB6E82"/>
    </a:accent1>
    <a:accent2>
      <a:srgbClr val="EBAFAF"/>
    </a:accent2>
    <a:accent3>
      <a:srgbClr val="D66B6A"/>
    </a:accent3>
    <a:accent4>
      <a:srgbClr val="D8A79B"/>
    </a:accent4>
    <a:accent5>
      <a:srgbClr val="B07979"/>
    </a:accent5>
    <a:accent6>
      <a:srgbClr val="CCC2C2"/>
    </a:accent6>
    <a:hlink>
      <a:srgbClr val="0563C1"/>
    </a:hlink>
    <a:folHlink>
      <a:srgbClr val="954F72"/>
    </a:folHlink>
  </a:clrScheme>
  <a:fontScheme name="自定义 1">
    <a:majorFont>
      <a:latin typeface="Arial"/>
      <a:ea typeface="微软雅黑"/>
      <a:cs typeface=""/>
    </a:majorFont>
    <a:minorFont>
      <a:latin typeface="Arial"/>
      <a:ea typeface="微软雅黑"/>
      <a:cs typeface="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6.xml.rels><?xml version="1.0" encoding="UTF-8" standalone="yes"?>
<Relationships xmlns="http://schemas.openxmlformats.org/package/2006/relationships"><Relationship Id="rId9" Type="http://schemas.openxmlformats.org/officeDocument/2006/relationships/ctrlProp" Target="../ctrlProps/ctrlProp7.xml"/><Relationship Id="rId8" Type="http://schemas.openxmlformats.org/officeDocument/2006/relationships/ctrlProp" Target="../ctrlProps/ctrlProp6.xml"/><Relationship Id="rId7" Type="http://schemas.openxmlformats.org/officeDocument/2006/relationships/ctrlProp" Target="../ctrlProps/ctrlProp5.xml"/><Relationship Id="rId6" Type="http://schemas.openxmlformats.org/officeDocument/2006/relationships/ctrlProp" Target="../ctrlProps/ctrlProp4.xml"/><Relationship Id="rId5" Type="http://schemas.openxmlformats.org/officeDocument/2006/relationships/ctrlProp" Target="../ctrlProps/ctrlProp3.xml"/><Relationship Id="rId4" Type="http://schemas.openxmlformats.org/officeDocument/2006/relationships/ctrlProp" Target="../ctrlProps/ctrlProp2.xml"/><Relationship Id="rId3" Type="http://schemas.openxmlformats.org/officeDocument/2006/relationships/ctrlProp" Target="../ctrlProps/ctrlProp1.xml"/><Relationship Id="rId2" Type="http://schemas.openxmlformats.org/officeDocument/2006/relationships/vmlDrawing" Target="../drawings/vmlDrawing1.vml"/><Relationship Id="rId13" Type="http://schemas.microsoft.com/office/2007/relationships/slicer" Target="../slicers/slicer1.xml"/><Relationship Id="rId12" Type="http://schemas.openxmlformats.org/officeDocument/2006/relationships/ctrlProp" Target="../ctrlProps/ctrlProp10.xml"/><Relationship Id="rId11" Type="http://schemas.openxmlformats.org/officeDocument/2006/relationships/ctrlProp" Target="../ctrlProps/ctrlProp9.xml"/><Relationship Id="rId10" Type="http://schemas.openxmlformats.org/officeDocument/2006/relationships/ctrlProp" Target="../ctrlProps/ctrlProp8.xml"/><Relationship Id="rId1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3" Type="http://schemas.microsoft.com/office/2007/relationships/slicer" Target="../slicers/slicer2.xml"/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8.xml.rels><?xml version="1.0" encoding="UTF-8" standalone="yes"?>
<Relationships xmlns="http://schemas.openxmlformats.org/package/2006/relationships"><Relationship Id="rId9" Type="http://schemas.openxmlformats.org/officeDocument/2006/relationships/ctrlProp" Target="../ctrlProps/ctrlProp17.xml"/><Relationship Id="rId8" Type="http://schemas.openxmlformats.org/officeDocument/2006/relationships/ctrlProp" Target="../ctrlProps/ctrlProp16.xml"/><Relationship Id="rId7" Type="http://schemas.openxmlformats.org/officeDocument/2006/relationships/ctrlProp" Target="../ctrlProps/ctrlProp15.xml"/><Relationship Id="rId6" Type="http://schemas.openxmlformats.org/officeDocument/2006/relationships/ctrlProp" Target="../ctrlProps/ctrlProp14.xml"/><Relationship Id="rId5" Type="http://schemas.openxmlformats.org/officeDocument/2006/relationships/ctrlProp" Target="../ctrlProps/ctrlProp13.xml"/><Relationship Id="rId4" Type="http://schemas.openxmlformats.org/officeDocument/2006/relationships/ctrlProp" Target="../ctrlProps/ctrlProp12.xml"/><Relationship Id="rId3" Type="http://schemas.openxmlformats.org/officeDocument/2006/relationships/ctrlProp" Target="../ctrlProps/ctrlProp11.xml"/><Relationship Id="rId2" Type="http://schemas.openxmlformats.org/officeDocument/2006/relationships/vmlDrawing" Target="../drawings/vmlDrawing2.vml"/><Relationship Id="rId12" Type="http://schemas.microsoft.com/office/2007/relationships/slicer" Target="../slicers/slicer3.xml"/><Relationship Id="rId11" Type="http://schemas.openxmlformats.org/officeDocument/2006/relationships/ctrlProp" Target="../ctrlProps/ctrlProp19.xml"/><Relationship Id="rId10" Type="http://schemas.openxmlformats.org/officeDocument/2006/relationships/ctrlProp" Target="../ctrlProps/ctrlProp18.xml"/><Relationship Id="rId1" Type="http://schemas.openxmlformats.org/officeDocument/2006/relationships/drawing" Target="../drawings/drawing3.xml"/></Relationships>
</file>

<file path=xl/worksheets/_rels/sheet10.xml.rels><?xml version="1.0" encoding="UTF-8" standalone="yes"?>
<Relationships xmlns="http://schemas.openxmlformats.org/package/2006/relationships"><Relationship Id="rId9" Type="http://schemas.openxmlformats.org/officeDocument/2006/relationships/ctrlProp" Target="../ctrlProps/ctrlProp26.xml"/><Relationship Id="rId8" Type="http://schemas.openxmlformats.org/officeDocument/2006/relationships/ctrlProp" Target="../ctrlProps/ctrlProp25.xml"/><Relationship Id="rId7" Type="http://schemas.openxmlformats.org/officeDocument/2006/relationships/ctrlProp" Target="../ctrlProps/ctrlProp24.xml"/><Relationship Id="rId6" Type="http://schemas.openxmlformats.org/officeDocument/2006/relationships/ctrlProp" Target="../ctrlProps/ctrlProp23.xml"/><Relationship Id="rId5" Type="http://schemas.openxmlformats.org/officeDocument/2006/relationships/ctrlProp" Target="../ctrlProps/ctrlProp22.xml"/><Relationship Id="rId4" Type="http://schemas.openxmlformats.org/officeDocument/2006/relationships/ctrlProp" Target="../ctrlProps/ctrlProp21.xml"/><Relationship Id="rId3" Type="http://schemas.openxmlformats.org/officeDocument/2006/relationships/ctrlProp" Target="../ctrlProps/ctrlProp20.xml"/><Relationship Id="rId2" Type="http://schemas.openxmlformats.org/officeDocument/2006/relationships/vmlDrawing" Target="../drawings/vmlDrawing3.vml"/><Relationship Id="rId11" Type="http://schemas.openxmlformats.org/officeDocument/2006/relationships/ctrlProp" Target="../ctrlProps/ctrlProp28.xml"/><Relationship Id="rId10" Type="http://schemas.openxmlformats.org/officeDocument/2006/relationships/ctrlProp" Target="../ctrlProps/ctrlProp27.x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T1256"/>
  <sheetViews>
    <sheetView workbookViewId="0">
      <pane ySplit="1" topLeftCell="A1065" activePane="bottomLeft" state="frozen"/>
      <selection/>
      <selection pane="bottomLeft" activeCell="B1065" sqref="B1065"/>
    </sheetView>
  </sheetViews>
  <sheetFormatPr defaultColWidth="9.125" defaultRowHeight="14.25"/>
  <cols>
    <col min="1" max="2" width="11.625" style="73" customWidth="1"/>
    <col min="3" max="3" width="22.75" style="74" customWidth="1"/>
    <col min="4" max="4" width="13.875" style="74" customWidth="1"/>
    <col min="5" max="5" width="15" style="74" customWidth="1"/>
    <col min="6" max="6" width="21.25" style="74" customWidth="1"/>
    <col min="7" max="7" width="15" style="74" customWidth="1"/>
    <col min="8" max="9" width="21.25" style="74" customWidth="1"/>
    <col min="10" max="10" width="17.125" style="74" customWidth="1"/>
    <col min="11" max="11" width="16.75" style="74" customWidth="1"/>
    <col min="12" max="12" width="21.25" style="74" customWidth="1"/>
    <col min="13" max="13" width="18.75" style="74" customWidth="1"/>
    <col min="14" max="14" width="16.25" style="74" customWidth="1"/>
    <col min="15" max="15" width="16.375" style="74" customWidth="1"/>
    <col min="16" max="16" width="13.5" style="74" customWidth="1"/>
    <col min="17" max="17" width="14" style="74" customWidth="1"/>
    <col min="18" max="16384" width="9.125" style="74"/>
  </cols>
  <sheetData>
    <row r="1" spans="1:17">
      <c r="A1" s="75" t="s">
        <v>0</v>
      </c>
      <c r="B1" s="75" t="s">
        <v>1</v>
      </c>
      <c r="C1" s="76" t="s">
        <v>2</v>
      </c>
      <c r="D1" s="74" t="s">
        <v>3</v>
      </c>
      <c r="E1" s="76" t="s">
        <v>4</v>
      </c>
      <c r="F1" s="76" t="s">
        <v>5</v>
      </c>
      <c r="G1" s="76" t="s">
        <v>6</v>
      </c>
      <c r="H1" s="76" t="s">
        <v>7</v>
      </c>
      <c r="I1" s="81" t="s">
        <v>8</v>
      </c>
      <c r="J1" s="76" t="s">
        <v>9</v>
      </c>
      <c r="K1" s="79" t="s">
        <v>10</v>
      </c>
      <c r="L1" s="82" t="s">
        <v>11</v>
      </c>
      <c r="M1" s="79" t="s">
        <v>12</v>
      </c>
      <c r="N1" s="84" t="s">
        <v>13</v>
      </c>
      <c r="O1" s="79" t="s">
        <v>14</v>
      </c>
      <c r="P1" s="85" t="s">
        <v>15</v>
      </c>
      <c r="Q1" s="79" t="s">
        <v>16</v>
      </c>
    </row>
    <row r="2" spans="1:17">
      <c r="A2" s="77">
        <v>43222</v>
      </c>
      <c r="B2" s="78"/>
      <c r="C2" s="79">
        <v>5</v>
      </c>
      <c r="D2" s="79"/>
      <c r="E2" s="79">
        <v>20</v>
      </c>
      <c r="F2" s="80">
        <v>0.7778</v>
      </c>
      <c r="G2" s="79">
        <v>72</v>
      </c>
      <c r="H2" s="80">
        <v>0.7778</v>
      </c>
      <c r="I2" s="83">
        <v>0.71</v>
      </c>
      <c r="J2" s="79">
        <v>5</v>
      </c>
      <c r="K2" s="79"/>
      <c r="L2" s="80">
        <v>0</v>
      </c>
      <c r="M2" s="80"/>
      <c r="N2" s="86">
        <v>357</v>
      </c>
      <c r="O2" s="86"/>
      <c r="P2" s="79">
        <v>10</v>
      </c>
      <c r="Q2" s="87"/>
    </row>
    <row r="3" spans="1:17">
      <c r="A3" s="77">
        <v>43222</v>
      </c>
      <c r="B3" s="78"/>
      <c r="C3" s="79">
        <v>3</v>
      </c>
      <c r="D3" s="79"/>
      <c r="E3" s="79">
        <v>38</v>
      </c>
      <c r="F3" s="80">
        <v>0.2222</v>
      </c>
      <c r="G3" s="79">
        <v>46</v>
      </c>
      <c r="H3" s="80">
        <v>0.2222</v>
      </c>
      <c r="I3" s="83">
        <v>0</v>
      </c>
      <c r="J3" s="79">
        <v>11</v>
      </c>
      <c r="K3" s="79"/>
      <c r="L3" s="80">
        <v>0</v>
      </c>
      <c r="M3" s="80"/>
      <c r="N3" s="86">
        <v>67</v>
      </c>
      <c r="O3" s="86"/>
      <c r="P3" s="79">
        <v>14</v>
      </c>
      <c r="Q3" s="87"/>
    </row>
    <row r="4" spans="1:17">
      <c r="A4" s="77">
        <v>43223</v>
      </c>
      <c r="B4" s="78"/>
      <c r="C4" s="79">
        <v>5</v>
      </c>
      <c r="D4" s="79"/>
      <c r="E4" s="79">
        <v>75</v>
      </c>
      <c r="F4" s="80">
        <v>0.8667</v>
      </c>
      <c r="G4" s="79">
        <v>88</v>
      </c>
      <c r="H4" s="80">
        <v>0.8667</v>
      </c>
      <c r="I4" s="83">
        <v>1</v>
      </c>
      <c r="J4" s="79">
        <v>30</v>
      </c>
      <c r="K4" s="79"/>
      <c r="L4" s="80">
        <v>0.5</v>
      </c>
      <c r="M4" s="80"/>
      <c r="N4" s="86">
        <v>97</v>
      </c>
      <c r="O4" s="86"/>
      <c r="P4" s="79">
        <v>0</v>
      </c>
      <c r="Q4" s="87"/>
    </row>
    <row r="5" spans="1:17">
      <c r="A5" s="77">
        <v>43223</v>
      </c>
      <c r="B5" s="78"/>
      <c r="C5" s="79">
        <v>2</v>
      </c>
      <c r="D5" s="79"/>
      <c r="E5" s="79">
        <v>24</v>
      </c>
      <c r="F5" s="80">
        <v>0.0667</v>
      </c>
      <c r="G5" s="79">
        <v>1</v>
      </c>
      <c r="H5" s="80">
        <v>0.0667</v>
      </c>
      <c r="I5" s="83">
        <v>0</v>
      </c>
      <c r="J5" s="79">
        <v>2</v>
      </c>
      <c r="K5" s="79"/>
      <c r="L5" s="80">
        <v>0</v>
      </c>
      <c r="M5" s="80"/>
      <c r="N5" s="86">
        <v>211</v>
      </c>
      <c r="O5" s="86"/>
      <c r="P5" s="79">
        <v>18</v>
      </c>
      <c r="Q5" s="87"/>
    </row>
    <row r="6" spans="1:17">
      <c r="A6" s="77">
        <v>43223</v>
      </c>
      <c r="B6" s="78"/>
      <c r="C6" s="79">
        <v>3</v>
      </c>
      <c r="D6" s="79"/>
      <c r="E6" s="79">
        <v>53</v>
      </c>
      <c r="F6" s="80">
        <v>0.0667</v>
      </c>
      <c r="G6" s="79">
        <v>23</v>
      </c>
      <c r="H6" s="80">
        <v>0.0667</v>
      </c>
      <c r="I6" s="83">
        <v>0</v>
      </c>
      <c r="J6" s="79">
        <v>1</v>
      </c>
      <c r="K6" s="79"/>
      <c r="L6" s="80">
        <v>0</v>
      </c>
      <c r="M6" s="80"/>
      <c r="N6" s="86">
        <v>441</v>
      </c>
      <c r="O6" s="86"/>
      <c r="P6" s="79">
        <v>6</v>
      </c>
      <c r="Q6" s="87"/>
    </row>
    <row r="7" spans="1:17">
      <c r="A7" s="77">
        <v>43224</v>
      </c>
      <c r="B7" s="78"/>
      <c r="C7" s="79">
        <v>5</v>
      </c>
      <c r="D7" s="79"/>
      <c r="E7" s="79">
        <v>41</v>
      </c>
      <c r="F7" s="80">
        <v>0.7</v>
      </c>
      <c r="G7" s="79">
        <v>69</v>
      </c>
      <c r="H7" s="80">
        <v>0.7</v>
      </c>
      <c r="I7" s="83">
        <v>1</v>
      </c>
      <c r="J7" s="79">
        <v>30</v>
      </c>
      <c r="K7" s="79"/>
      <c r="L7" s="80">
        <v>0.375</v>
      </c>
      <c r="M7" s="80"/>
      <c r="N7" s="86">
        <v>142</v>
      </c>
      <c r="O7" s="86"/>
      <c r="P7" s="79">
        <v>17</v>
      </c>
      <c r="Q7" s="87"/>
    </row>
    <row r="8" spans="1:17">
      <c r="A8" s="77">
        <v>43224</v>
      </c>
      <c r="B8" s="78"/>
      <c r="C8" s="79">
        <v>2</v>
      </c>
      <c r="D8" s="79"/>
      <c r="E8" s="79">
        <v>79</v>
      </c>
      <c r="F8" s="80">
        <v>0.05</v>
      </c>
      <c r="G8" s="79">
        <v>24</v>
      </c>
      <c r="H8" s="80">
        <v>0.05</v>
      </c>
      <c r="I8" s="83">
        <v>0</v>
      </c>
      <c r="J8" s="79">
        <v>7</v>
      </c>
      <c r="K8" s="79"/>
      <c r="L8" s="80">
        <v>0</v>
      </c>
      <c r="M8" s="80"/>
      <c r="N8" s="86">
        <v>134</v>
      </c>
      <c r="O8" s="86"/>
      <c r="P8" s="79">
        <v>5</v>
      </c>
      <c r="Q8" s="87"/>
    </row>
    <row r="9" spans="1:17">
      <c r="A9" s="77">
        <v>43224</v>
      </c>
      <c r="B9" s="78"/>
      <c r="C9" s="79">
        <v>3</v>
      </c>
      <c r="D9" s="79"/>
      <c r="E9" s="79">
        <v>99</v>
      </c>
      <c r="F9" s="80">
        <v>0.25</v>
      </c>
      <c r="G9" s="79">
        <v>7</v>
      </c>
      <c r="H9" s="80">
        <v>0.25</v>
      </c>
      <c r="I9" s="83">
        <v>1</v>
      </c>
      <c r="J9" s="79">
        <v>15</v>
      </c>
      <c r="K9" s="79"/>
      <c r="L9" s="80">
        <v>0</v>
      </c>
      <c r="M9" s="80"/>
      <c r="N9" s="86">
        <v>246</v>
      </c>
      <c r="O9" s="86"/>
      <c r="P9" s="79">
        <v>15</v>
      </c>
      <c r="Q9" s="87"/>
    </row>
    <row r="10" spans="1:17">
      <c r="A10" s="77">
        <v>43225</v>
      </c>
      <c r="B10" s="78"/>
      <c r="C10" s="79">
        <v>5</v>
      </c>
      <c r="D10" s="79"/>
      <c r="E10" s="79">
        <v>66</v>
      </c>
      <c r="F10" s="80">
        <v>1</v>
      </c>
      <c r="G10" s="79">
        <v>57</v>
      </c>
      <c r="H10" s="80">
        <v>1</v>
      </c>
      <c r="I10" s="83">
        <v>1</v>
      </c>
      <c r="J10" s="79">
        <v>17</v>
      </c>
      <c r="K10" s="79"/>
      <c r="L10" s="80">
        <v>0.1111</v>
      </c>
      <c r="M10" s="80"/>
      <c r="N10" s="86">
        <v>161</v>
      </c>
      <c r="O10" s="86"/>
      <c r="P10" s="79">
        <v>9</v>
      </c>
      <c r="Q10" s="87"/>
    </row>
    <row r="11" spans="1:17">
      <c r="A11" s="77">
        <v>43226</v>
      </c>
      <c r="B11" s="78"/>
      <c r="C11" s="79">
        <v>5</v>
      </c>
      <c r="D11" s="79"/>
      <c r="E11" s="79">
        <v>98</v>
      </c>
      <c r="F11" s="80">
        <v>0.75</v>
      </c>
      <c r="G11" s="79">
        <v>7</v>
      </c>
      <c r="H11" s="80">
        <v>0.75</v>
      </c>
      <c r="I11" s="83">
        <v>1</v>
      </c>
      <c r="J11" s="79">
        <v>12</v>
      </c>
      <c r="K11" s="79"/>
      <c r="L11" s="80">
        <v>0.1</v>
      </c>
      <c r="M11" s="80"/>
      <c r="N11" s="86">
        <v>293</v>
      </c>
      <c r="O11" s="86"/>
      <c r="P11" s="79">
        <v>17</v>
      </c>
      <c r="Q11" s="87"/>
    </row>
    <row r="12" spans="1:17">
      <c r="A12" s="77">
        <v>43226</v>
      </c>
      <c r="B12" s="78"/>
      <c r="C12" s="79">
        <v>3</v>
      </c>
      <c r="D12" s="79"/>
      <c r="E12" s="79">
        <v>63</v>
      </c>
      <c r="F12" s="80">
        <v>0.25</v>
      </c>
      <c r="G12" s="79">
        <v>29</v>
      </c>
      <c r="H12" s="80">
        <v>0.25</v>
      </c>
      <c r="I12" s="83">
        <v>1</v>
      </c>
      <c r="J12" s="79">
        <v>19</v>
      </c>
      <c r="K12" s="79"/>
      <c r="L12" s="80">
        <v>0.25</v>
      </c>
      <c r="M12" s="80"/>
      <c r="N12" s="86">
        <v>232</v>
      </c>
      <c r="O12" s="86"/>
      <c r="P12" s="79">
        <v>7</v>
      </c>
      <c r="Q12" s="87"/>
    </row>
    <row r="13" spans="1:17">
      <c r="A13" s="77">
        <v>43227</v>
      </c>
      <c r="B13" s="78"/>
      <c r="C13" s="79">
        <v>5</v>
      </c>
      <c r="D13" s="79"/>
      <c r="E13" s="79">
        <v>98</v>
      </c>
      <c r="F13" s="80">
        <v>0.2917</v>
      </c>
      <c r="G13" s="79">
        <v>66</v>
      </c>
      <c r="H13" s="80">
        <v>0.2917</v>
      </c>
      <c r="I13" s="83">
        <v>1</v>
      </c>
      <c r="J13" s="79">
        <v>19</v>
      </c>
      <c r="K13" s="79"/>
      <c r="L13" s="80">
        <v>0.2857</v>
      </c>
      <c r="M13" s="80"/>
      <c r="N13" s="86">
        <v>332</v>
      </c>
      <c r="O13" s="86"/>
      <c r="P13" s="79">
        <v>18</v>
      </c>
      <c r="Q13" s="87"/>
    </row>
    <row r="14" spans="1:17">
      <c r="A14" s="77">
        <v>43227</v>
      </c>
      <c r="B14" s="78"/>
      <c r="C14" s="79">
        <v>3</v>
      </c>
      <c r="D14" s="79"/>
      <c r="E14" s="79">
        <v>85</v>
      </c>
      <c r="F14" s="80">
        <v>0.7083</v>
      </c>
      <c r="G14" s="79">
        <v>75</v>
      </c>
      <c r="H14" s="80">
        <v>0.7083</v>
      </c>
      <c r="I14" s="83">
        <v>1</v>
      </c>
      <c r="J14" s="79">
        <v>24</v>
      </c>
      <c r="K14" s="79"/>
      <c r="L14" s="80">
        <v>0</v>
      </c>
      <c r="M14" s="80"/>
      <c r="N14" s="86">
        <v>338</v>
      </c>
      <c r="O14" s="86"/>
      <c r="P14" s="79">
        <v>2</v>
      </c>
      <c r="Q14" s="87"/>
    </row>
    <row r="15" spans="1:17">
      <c r="A15" s="77">
        <v>43228</v>
      </c>
      <c r="B15" s="78"/>
      <c r="C15" s="79">
        <v>5</v>
      </c>
      <c r="D15" s="79"/>
      <c r="E15" s="79">
        <v>100</v>
      </c>
      <c r="F15" s="80">
        <v>0.4286</v>
      </c>
      <c r="G15" s="79">
        <v>86</v>
      </c>
      <c r="H15" s="80">
        <v>0.4286</v>
      </c>
      <c r="I15" s="83">
        <v>1</v>
      </c>
      <c r="J15" s="79">
        <v>19</v>
      </c>
      <c r="K15" s="79"/>
      <c r="L15" s="80">
        <v>0.125</v>
      </c>
      <c r="M15" s="80"/>
      <c r="N15" s="86">
        <v>355</v>
      </c>
      <c r="O15" s="86"/>
      <c r="P15" s="79">
        <v>1</v>
      </c>
      <c r="Q15" s="87"/>
    </row>
    <row r="16" spans="1:17">
      <c r="A16" s="77">
        <v>43228</v>
      </c>
      <c r="B16" s="78"/>
      <c r="C16" s="79">
        <v>3</v>
      </c>
      <c r="D16" s="79"/>
      <c r="E16" s="79">
        <v>19</v>
      </c>
      <c r="F16" s="80">
        <v>0.5714</v>
      </c>
      <c r="G16" s="79">
        <v>11</v>
      </c>
      <c r="H16" s="80">
        <v>0.5714</v>
      </c>
      <c r="I16" s="83">
        <v>1</v>
      </c>
      <c r="J16" s="79">
        <v>24</v>
      </c>
      <c r="K16" s="79"/>
      <c r="L16" s="80">
        <v>0</v>
      </c>
      <c r="M16" s="80"/>
      <c r="N16" s="86">
        <v>109</v>
      </c>
      <c r="O16" s="86"/>
      <c r="P16" s="79">
        <v>18</v>
      </c>
      <c r="Q16" s="87"/>
    </row>
    <row r="17" spans="1:17">
      <c r="A17" s="77">
        <v>43229</v>
      </c>
      <c r="B17" s="78"/>
      <c r="C17" s="79">
        <v>5</v>
      </c>
      <c r="D17" s="79"/>
      <c r="E17" s="79">
        <v>74</v>
      </c>
      <c r="F17" s="80">
        <v>0.8571</v>
      </c>
      <c r="G17" s="79">
        <v>77</v>
      </c>
      <c r="H17" s="80">
        <v>0.8571</v>
      </c>
      <c r="I17" s="83">
        <v>1</v>
      </c>
      <c r="J17" s="79">
        <v>5</v>
      </c>
      <c r="K17" s="79"/>
      <c r="L17" s="80">
        <v>0.6</v>
      </c>
      <c r="M17" s="80"/>
      <c r="N17" s="86">
        <v>93</v>
      </c>
      <c r="O17" s="86"/>
      <c r="P17" s="79">
        <v>13</v>
      </c>
      <c r="Q17" s="87"/>
    </row>
    <row r="18" spans="1:17">
      <c r="A18" s="77">
        <v>43229</v>
      </c>
      <c r="B18" s="78"/>
      <c r="C18" s="79">
        <v>3</v>
      </c>
      <c r="D18" s="79"/>
      <c r="E18" s="79">
        <v>16</v>
      </c>
      <c r="F18" s="80">
        <v>0.1429</v>
      </c>
      <c r="G18" s="79">
        <v>4</v>
      </c>
      <c r="H18" s="80">
        <v>0.1429</v>
      </c>
      <c r="I18" s="83">
        <v>1</v>
      </c>
      <c r="J18" s="79">
        <v>27</v>
      </c>
      <c r="K18" s="79"/>
      <c r="L18" s="80">
        <v>0</v>
      </c>
      <c r="M18" s="80"/>
      <c r="N18" s="86">
        <v>111</v>
      </c>
      <c r="O18" s="86"/>
      <c r="P18" s="79">
        <v>2</v>
      </c>
      <c r="Q18" s="87"/>
    </row>
    <row r="19" spans="1:17">
      <c r="A19" s="77">
        <v>43230</v>
      </c>
      <c r="B19" s="78"/>
      <c r="C19" s="79">
        <v>2</v>
      </c>
      <c r="D19" s="79"/>
      <c r="E19" s="79">
        <v>62</v>
      </c>
      <c r="F19" s="80">
        <v>0.1</v>
      </c>
      <c r="G19" s="79">
        <v>8</v>
      </c>
      <c r="H19" s="80">
        <v>0.1</v>
      </c>
      <c r="I19" s="83">
        <v>1</v>
      </c>
      <c r="J19" s="79">
        <v>29</v>
      </c>
      <c r="K19" s="79"/>
      <c r="L19" s="80">
        <v>0</v>
      </c>
      <c r="M19" s="80"/>
      <c r="N19" s="86">
        <v>408</v>
      </c>
      <c r="O19" s="86"/>
      <c r="P19" s="79">
        <v>8</v>
      </c>
      <c r="Q19" s="87"/>
    </row>
    <row r="20" spans="1:17">
      <c r="A20" s="77">
        <v>43230</v>
      </c>
      <c r="B20" s="78"/>
      <c r="C20" s="79">
        <v>5</v>
      </c>
      <c r="D20" s="79"/>
      <c r="E20" s="79">
        <v>70</v>
      </c>
      <c r="F20" s="80">
        <v>0.9</v>
      </c>
      <c r="G20" s="79">
        <v>96</v>
      </c>
      <c r="H20" s="80">
        <v>0.9</v>
      </c>
      <c r="I20" s="83">
        <v>1</v>
      </c>
      <c r="J20" s="79">
        <v>7</v>
      </c>
      <c r="K20" s="79"/>
      <c r="L20" s="80">
        <v>0</v>
      </c>
      <c r="M20" s="80"/>
      <c r="N20" s="86">
        <v>403</v>
      </c>
      <c r="O20" s="86"/>
      <c r="P20" s="79">
        <v>0</v>
      </c>
      <c r="Q20" s="87"/>
    </row>
    <row r="21" spans="1:17">
      <c r="A21" s="77">
        <v>43231</v>
      </c>
      <c r="B21" s="78"/>
      <c r="C21" s="79">
        <v>5</v>
      </c>
      <c r="D21" s="79"/>
      <c r="E21" s="79">
        <v>48</v>
      </c>
      <c r="F21" s="80">
        <v>1</v>
      </c>
      <c r="G21" s="79">
        <v>38</v>
      </c>
      <c r="H21" s="80">
        <v>1</v>
      </c>
      <c r="I21" s="83">
        <v>1</v>
      </c>
      <c r="J21" s="79">
        <v>6</v>
      </c>
      <c r="K21" s="79"/>
      <c r="L21" s="80">
        <v>0.1429</v>
      </c>
      <c r="M21" s="80"/>
      <c r="N21" s="86">
        <v>344</v>
      </c>
      <c r="O21" s="86"/>
      <c r="P21" s="79">
        <v>10</v>
      </c>
      <c r="Q21" s="87"/>
    </row>
    <row r="22" spans="1:17">
      <c r="A22" s="77">
        <v>43232</v>
      </c>
      <c r="B22" s="78"/>
      <c r="C22" s="79">
        <v>5</v>
      </c>
      <c r="D22" s="79"/>
      <c r="E22" s="79">
        <v>51</v>
      </c>
      <c r="F22" s="80">
        <v>1</v>
      </c>
      <c r="G22" s="79">
        <v>15</v>
      </c>
      <c r="H22" s="80">
        <v>1</v>
      </c>
      <c r="I22" s="83">
        <v>1</v>
      </c>
      <c r="J22" s="79">
        <v>6</v>
      </c>
      <c r="K22" s="79"/>
      <c r="L22" s="80">
        <v>0</v>
      </c>
      <c r="M22" s="80"/>
      <c r="N22" s="86">
        <v>124</v>
      </c>
      <c r="O22" s="86"/>
      <c r="P22" s="79">
        <v>9</v>
      </c>
      <c r="Q22" s="87"/>
    </row>
    <row r="23" spans="1:17">
      <c r="A23" s="77">
        <v>43233</v>
      </c>
      <c r="B23" s="78"/>
      <c r="C23" s="79">
        <v>5</v>
      </c>
      <c r="D23" s="79"/>
      <c r="E23" s="79">
        <v>71</v>
      </c>
      <c r="F23" s="80">
        <v>0.7778</v>
      </c>
      <c r="G23" s="79">
        <v>42</v>
      </c>
      <c r="H23" s="80">
        <v>0.7778</v>
      </c>
      <c r="I23" s="83">
        <v>1</v>
      </c>
      <c r="J23" s="79">
        <v>13</v>
      </c>
      <c r="K23" s="79"/>
      <c r="L23" s="80">
        <v>0.1667</v>
      </c>
      <c r="M23" s="80"/>
      <c r="N23" s="86">
        <v>185</v>
      </c>
      <c r="O23" s="86"/>
      <c r="P23" s="79">
        <v>8</v>
      </c>
      <c r="Q23" s="87"/>
    </row>
    <row r="24" spans="1:17">
      <c r="A24" s="77">
        <v>43233</v>
      </c>
      <c r="B24" s="78"/>
      <c r="C24" s="79">
        <v>3</v>
      </c>
      <c r="D24" s="79"/>
      <c r="E24" s="79">
        <v>9</v>
      </c>
      <c r="F24" s="80">
        <v>0.2222</v>
      </c>
      <c r="G24" s="79">
        <v>21</v>
      </c>
      <c r="H24" s="80">
        <v>0.2222</v>
      </c>
      <c r="I24" s="83">
        <v>1</v>
      </c>
      <c r="J24" s="79">
        <v>3</v>
      </c>
      <c r="K24" s="79"/>
      <c r="L24" s="80">
        <v>0</v>
      </c>
      <c r="M24" s="80"/>
      <c r="N24" s="86">
        <v>468</v>
      </c>
      <c r="O24" s="86"/>
      <c r="P24" s="79">
        <v>13</v>
      </c>
      <c r="Q24" s="87"/>
    </row>
    <row r="25" spans="1:17">
      <c r="A25" s="77">
        <v>43234</v>
      </c>
      <c r="B25" s="78"/>
      <c r="C25" s="79">
        <v>5</v>
      </c>
      <c r="D25" s="79"/>
      <c r="E25" s="79">
        <v>12</v>
      </c>
      <c r="F25" s="80">
        <v>1</v>
      </c>
      <c r="G25" s="79">
        <v>24</v>
      </c>
      <c r="H25" s="80">
        <v>1</v>
      </c>
      <c r="I25" s="83">
        <v>1</v>
      </c>
      <c r="J25" s="79">
        <v>18</v>
      </c>
      <c r="K25" s="79"/>
      <c r="L25" s="80">
        <v>0.3636</v>
      </c>
      <c r="M25" s="80"/>
      <c r="N25" s="86">
        <v>134</v>
      </c>
      <c r="O25" s="86"/>
      <c r="P25" s="79">
        <v>19</v>
      </c>
      <c r="Q25" s="87"/>
    </row>
    <row r="26" spans="1:17">
      <c r="A26" s="77">
        <v>43235</v>
      </c>
      <c r="B26" s="78"/>
      <c r="C26" s="79">
        <v>5</v>
      </c>
      <c r="D26" s="79"/>
      <c r="E26" s="79">
        <v>79</v>
      </c>
      <c r="F26" s="80">
        <v>1</v>
      </c>
      <c r="G26" s="79">
        <v>9</v>
      </c>
      <c r="H26" s="80">
        <v>1</v>
      </c>
      <c r="I26" s="83">
        <v>1</v>
      </c>
      <c r="J26" s="79">
        <v>26</v>
      </c>
      <c r="K26" s="79"/>
      <c r="L26" s="80">
        <v>0.2</v>
      </c>
      <c r="M26" s="80"/>
      <c r="N26" s="86">
        <v>52</v>
      </c>
      <c r="O26" s="86"/>
      <c r="P26" s="79">
        <v>1</v>
      </c>
      <c r="Q26" s="87"/>
    </row>
    <row r="27" spans="1:17">
      <c r="A27" s="77">
        <v>43236</v>
      </c>
      <c r="B27" s="78"/>
      <c r="C27" s="79">
        <v>5</v>
      </c>
      <c r="D27" s="79"/>
      <c r="E27" s="79">
        <v>39</v>
      </c>
      <c r="F27" s="80">
        <v>0.9231</v>
      </c>
      <c r="G27" s="79">
        <v>4</v>
      </c>
      <c r="H27" s="80">
        <v>0.9231</v>
      </c>
      <c r="I27" s="83">
        <v>1</v>
      </c>
      <c r="J27" s="79">
        <v>19</v>
      </c>
      <c r="K27" s="79"/>
      <c r="L27" s="80">
        <v>0.4</v>
      </c>
      <c r="M27" s="80"/>
      <c r="N27" s="86">
        <v>332</v>
      </c>
      <c r="O27" s="86"/>
      <c r="P27" s="79">
        <v>2</v>
      </c>
      <c r="Q27" s="87"/>
    </row>
    <row r="28" spans="1:17">
      <c r="A28" s="77">
        <v>43236</v>
      </c>
      <c r="B28" s="78"/>
      <c r="C28" s="79">
        <v>2</v>
      </c>
      <c r="D28" s="79"/>
      <c r="E28" s="79">
        <v>99</v>
      </c>
      <c r="F28" s="80">
        <v>0.0769</v>
      </c>
      <c r="G28" s="79">
        <v>3</v>
      </c>
      <c r="H28" s="80">
        <v>0.0769</v>
      </c>
      <c r="I28" s="83">
        <v>1</v>
      </c>
      <c r="J28" s="79">
        <v>17</v>
      </c>
      <c r="K28" s="79"/>
      <c r="L28" s="80">
        <v>0</v>
      </c>
      <c r="M28" s="80"/>
      <c r="N28" s="86">
        <v>258</v>
      </c>
      <c r="O28" s="86"/>
      <c r="P28" s="79">
        <v>7</v>
      </c>
      <c r="Q28" s="87"/>
    </row>
    <row r="29" spans="1:17">
      <c r="A29" s="77">
        <v>43237</v>
      </c>
      <c r="B29" s="78"/>
      <c r="C29" s="79">
        <v>5</v>
      </c>
      <c r="D29" s="79"/>
      <c r="E29" s="79">
        <v>23</v>
      </c>
      <c r="F29" s="80">
        <v>0.9286</v>
      </c>
      <c r="G29" s="79">
        <v>33</v>
      </c>
      <c r="H29" s="80">
        <v>0.9286</v>
      </c>
      <c r="I29" s="83">
        <v>1</v>
      </c>
      <c r="J29" s="79">
        <v>16</v>
      </c>
      <c r="K29" s="79"/>
      <c r="L29" s="80">
        <v>0.1538</v>
      </c>
      <c r="M29" s="80"/>
      <c r="N29" s="86">
        <v>451</v>
      </c>
      <c r="O29" s="86"/>
      <c r="P29" s="79">
        <v>17</v>
      </c>
      <c r="Q29" s="87"/>
    </row>
    <row r="30" spans="1:17">
      <c r="A30" s="77">
        <v>43237</v>
      </c>
      <c r="B30" s="78"/>
      <c r="C30" s="79">
        <v>2</v>
      </c>
      <c r="D30" s="79"/>
      <c r="E30" s="79">
        <v>89</v>
      </c>
      <c r="F30" s="80">
        <v>0.0714</v>
      </c>
      <c r="G30" s="79">
        <v>86</v>
      </c>
      <c r="H30" s="80">
        <v>0.0714</v>
      </c>
      <c r="I30" s="83">
        <v>1</v>
      </c>
      <c r="J30" s="79">
        <v>12</v>
      </c>
      <c r="K30" s="79"/>
      <c r="L30" s="80">
        <v>1</v>
      </c>
      <c r="M30" s="80"/>
      <c r="N30" s="86">
        <v>461</v>
      </c>
      <c r="O30" s="86"/>
      <c r="P30" s="79">
        <v>20</v>
      </c>
      <c r="Q30" s="87"/>
    </row>
    <row r="31" spans="1:17">
      <c r="A31" s="77">
        <v>43238</v>
      </c>
      <c r="B31" s="78"/>
      <c r="C31" s="79">
        <v>5</v>
      </c>
      <c r="D31" s="79"/>
      <c r="E31" s="79">
        <v>71</v>
      </c>
      <c r="F31" s="80">
        <v>0.8889</v>
      </c>
      <c r="G31" s="79">
        <v>10</v>
      </c>
      <c r="H31" s="80">
        <v>0.8889</v>
      </c>
      <c r="I31" s="83">
        <v>1</v>
      </c>
      <c r="J31" s="79">
        <v>11</v>
      </c>
      <c r="K31" s="79"/>
      <c r="L31" s="80">
        <v>3.5</v>
      </c>
      <c r="M31" s="80"/>
      <c r="N31" s="86">
        <v>328</v>
      </c>
      <c r="O31" s="86"/>
      <c r="P31" s="79">
        <v>1</v>
      </c>
      <c r="Q31" s="87"/>
    </row>
    <row r="32" spans="1:17">
      <c r="A32" s="77">
        <v>43238</v>
      </c>
      <c r="B32" s="78"/>
      <c r="C32" s="79">
        <v>3</v>
      </c>
      <c r="D32" s="79"/>
      <c r="E32" s="79">
        <v>39</v>
      </c>
      <c r="F32" s="80">
        <v>0.1111</v>
      </c>
      <c r="G32" s="79">
        <v>13</v>
      </c>
      <c r="H32" s="80">
        <v>0.1111</v>
      </c>
      <c r="I32" s="83">
        <v>1</v>
      </c>
      <c r="J32" s="79">
        <v>26</v>
      </c>
      <c r="K32" s="79"/>
      <c r="L32" s="80">
        <v>0</v>
      </c>
      <c r="M32" s="80"/>
      <c r="N32" s="86">
        <v>335</v>
      </c>
      <c r="O32" s="86"/>
      <c r="P32" s="79">
        <v>1</v>
      </c>
      <c r="Q32" s="87"/>
    </row>
    <row r="33" spans="1:17">
      <c r="A33" s="77">
        <v>43239</v>
      </c>
      <c r="B33" s="78"/>
      <c r="C33" s="79">
        <v>5</v>
      </c>
      <c r="D33" s="79"/>
      <c r="E33" s="79">
        <v>48</v>
      </c>
      <c r="F33" s="80">
        <v>0.9091</v>
      </c>
      <c r="G33" s="79">
        <v>16</v>
      </c>
      <c r="H33" s="80">
        <v>0.9091</v>
      </c>
      <c r="I33" s="83">
        <v>1</v>
      </c>
      <c r="J33" s="79">
        <v>16</v>
      </c>
      <c r="K33" s="79"/>
      <c r="L33" s="80">
        <v>0.125</v>
      </c>
      <c r="M33" s="80"/>
      <c r="N33" s="86">
        <v>410</v>
      </c>
      <c r="O33" s="86"/>
      <c r="P33" s="79">
        <v>7</v>
      </c>
      <c r="Q33" s="87"/>
    </row>
    <row r="34" spans="1:17">
      <c r="A34" s="77">
        <v>43239</v>
      </c>
      <c r="B34" s="78"/>
      <c r="C34" s="79">
        <v>2</v>
      </c>
      <c r="D34" s="79"/>
      <c r="E34" s="79">
        <v>100</v>
      </c>
      <c r="F34" s="80">
        <v>0.0909</v>
      </c>
      <c r="G34" s="79">
        <v>88</v>
      </c>
      <c r="H34" s="80">
        <v>0.0909</v>
      </c>
      <c r="I34" s="83">
        <v>1</v>
      </c>
      <c r="J34" s="79">
        <v>30</v>
      </c>
      <c r="K34" s="79"/>
      <c r="L34" s="80">
        <v>0</v>
      </c>
      <c r="M34" s="80"/>
      <c r="N34" s="86">
        <v>270</v>
      </c>
      <c r="O34" s="86"/>
      <c r="P34" s="79">
        <v>19</v>
      </c>
      <c r="Q34" s="87"/>
    </row>
    <row r="35" spans="1:17">
      <c r="A35" s="77">
        <v>43240</v>
      </c>
      <c r="B35" s="78"/>
      <c r="C35" s="79">
        <v>5</v>
      </c>
      <c r="D35" s="79"/>
      <c r="E35" s="79">
        <v>48</v>
      </c>
      <c r="F35" s="80">
        <v>0.9474</v>
      </c>
      <c r="G35" s="79">
        <v>69</v>
      </c>
      <c r="H35" s="80">
        <v>0.9474</v>
      </c>
      <c r="I35" s="83">
        <v>0.94</v>
      </c>
      <c r="J35" s="79">
        <v>27</v>
      </c>
      <c r="K35" s="79"/>
      <c r="L35" s="80">
        <v>0.4167</v>
      </c>
      <c r="M35" s="80"/>
      <c r="N35" s="86">
        <v>425</v>
      </c>
      <c r="O35" s="86"/>
      <c r="P35" s="79">
        <v>2</v>
      </c>
      <c r="Q35" s="87"/>
    </row>
    <row r="36" spans="1:17">
      <c r="A36" s="77">
        <v>43240</v>
      </c>
      <c r="B36" s="78"/>
      <c r="C36" s="79">
        <v>2</v>
      </c>
      <c r="D36" s="79"/>
      <c r="E36" s="79">
        <v>28</v>
      </c>
      <c r="F36" s="80">
        <v>0.0526</v>
      </c>
      <c r="G36" s="79">
        <v>91</v>
      </c>
      <c r="H36" s="80">
        <v>0.0526</v>
      </c>
      <c r="I36" s="83">
        <v>1</v>
      </c>
      <c r="J36" s="79">
        <v>1</v>
      </c>
      <c r="K36" s="79"/>
      <c r="L36" s="80">
        <v>0</v>
      </c>
      <c r="M36" s="80"/>
      <c r="N36" s="86">
        <v>377</v>
      </c>
      <c r="O36" s="86"/>
      <c r="P36" s="79">
        <v>20</v>
      </c>
      <c r="Q36" s="87"/>
    </row>
    <row r="37" spans="1:17">
      <c r="A37" s="77">
        <v>43241</v>
      </c>
      <c r="B37" s="78"/>
      <c r="C37" s="79">
        <v>5</v>
      </c>
      <c r="D37" s="79"/>
      <c r="E37" s="79">
        <v>69</v>
      </c>
      <c r="F37" s="80">
        <v>0.913</v>
      </c>
      <c r="G37" s="79">
        <v>98</v>
      </c>
      <c r="H37" s="80">
        <v>0.913</v>
      </c>
      <c r="I37" s="83">
        <v>1</v>
      </c>
      <c r="J37" s="79">
        <v>9</v>
      </c>
      <c r="K37" s="79"/>
      <c r="L37" s="80">
        <v>0.6</v>
      </c>
      <c r="M37" s="80"/>
      <c r="N37" s="86">
        <v>377</v>
      </c>
      <c r="O37" s="86"/>
      <c r="P37" s="79">
        <v>7</v>
      </c>
      <c r="Q37" s="87"/>
    </row>
    <row r="38" spans="1:17">
      <c r="A38" s="77">
        <v>43241</v>
      </c>
      <c r="B38" s="78"/>
      <c r="C38" s="79">
        <v>2</v>
      </c>
      <c r="D38" s="79"/>
      <c r="E38" s="79">
        <v>67</v>
      </c>
      <c r="F38" s="80">
        <v>0.087</v>
      </c>
      <c r="G38" s="79">
        <v>75</v>
      </c>
      <c r="H38" s="80">
        <v>0.087</v>
      </c>
      <c r="I38" s="83">
        <v>1</v>
      </c>
      <c r="J38" s="79">
        <v>4</v>
      </c>
      <c r="K38" s="79"/>
      <c r="L38" s="80">
        <v>0.5</v>
      </c>
      <c r="M38" s="80"/>
      <c r="N38" s="86">
        <v>472</v>
      </c>
      <c r="O38" s="86"/>
      <c r="P38" s="79">
        <v>8</v>
      </c>
      <c r="Q38" s="87"/>
    </row>
    <row r="39" spans="1:17">
      <c r="A39" s="77">
        <v>43242</v>
      </c>
      <c r="B39" s="78"/>
      <c r="C39" s="79">
        <v>5</v>
      </c>
      <c r="D39" s="79"/>
      <c r="E39" s="79">
        <v>73</v>
      </c>
      <c r="F39" s="80">
        <v>0.8077</v>
      </c>
      <c r="G39" s="79">
        <v>34</v>
      </c>
      <c r="H39" s="80">
        <v>0.8077</v>
      </c>
      <c r="I39" s="83">
        <v>1</v>
      </c>
      <c r="J39" s="79">
        <v>1</v>
      </c>
      <c r="K39" s="79"/>
      <c r="L39" s="80">
        <v>0.4375</v>
      </c>
      <c r="M39" s="80"/>
      <c r="N39" s="86">
        <v>242</v>
      </c>
      <c r="O39" s="86"/>
      <c r="P39" s="79">
        <v>5</v>
      </c>
      <c r="Q39" s="87"/>
    </row>
    <row r="40" spans="1:17">
      <c r="A40" s="77">
        <v>43242</v>
      </c>
      <c r="B40" s="78"/>
      <c r="C40" s="79">
        <v>2</v>
      </c>
      <c r="D40" s="79"/>
      <c r="E40" s="79">
        <v>97</v>
      </c>
      <c r="F40" s="80">
        <v>0.1538</v>
      </c>
      <c r="G40" s="79">
        <v>54</v>
      </c>
      <c r="H40" s="80">
        <v>0.1538</v>
      </c>
      <c r="I40" s="83">
        <v>1</v>
      </c>
      <c r="J40" s="79">
        <v>9</v>
      </c>
      <c r="K40" s="79"/>
      <c r="L40" s="80">
        <v>0</v>
      </c>
      <c r="M40" s="80"/>
      <c r="N40" s="86">
        <v>92</v>
      </c>
      <c r="O40" s="86"/>
      <c r="P40" s="79">
        <v>14</v>
      </c>
      <c r="Q40" s="87"/>
    </row>
    <row r="41" spans="1:17">
      <c r="A41" s="77">
        <v>43242</v>
      </c>
      <c r="B41" s="78"/>
      <c r="C41" s="79">
        <v>3</v>
      </c>
      <c r="D41" s="79"/>
      <c r="E41" s="79">
        <v>8</v>
      </c>
      <c r="F41" s="80">
        <v>0.0385</v>
      </c>
      <c r="G41" s="79">
        <v>35</v>
      </c>
      <c r="H41" s="80">
        <v>0.0385</v>
      </c>
      <c r="I41" s="83">
        <v>1</v>
      </c>
      <c r="J41" s="79">
        <v>27</v>
      </c>
      <c r="K41" s="79"/>
      <c r="L41" s="80">
        <v>0</v>
      </c>
      <c r="M41" s="80"/>
      <c r="N41" s="86">
        <v>446</v>
      </c>
      <c r="O41" s="86"/>
      <c r="P41" s="79">
        <v>11</v>
      </c>
      <c r="Q41" s="87"/>
    </row>
    <row r="42" spans="1:17">
      <c r="A42" s="77">
        <v>43243</v>
      </c>
      <c r="B42" s="78"/>
      <c r="C42" s="79">
        <v>5</v>
      </c>
      <c r="D42" s="79"/>
      <c r="E42" s="79">
        <v>48</v>
      </c>
      <c r="F42" s="80">
        <v>0.8696</v>
      </c>
      <c r="G42" s="79">
        <v>39</v>
      </c>
      <c r="H42" s="80">
        <v>0.8696</v>
      </c>
      <c r="I42" s="83">
        <v>1</v>
      </c>
      <c r="J42" s="79">
        <v>20</v>
      </c>
      <c r="K42" s="79"/>
      <c r="L42" s="80">
        <v>1</v>
      </c>
      <c r="M42" s="80"/>
      <c r="N42" s="86">
        <v>120</v>
      </c>
      <c r="O42" s="86"/>
      <c r="P42" s="79">
        <v>18</v>
      </c>
      <c r="Q42" s="87"/>
    </row>
    <row r="43" spans="1:17">
      <c r="A43" s="77">
        <v>43243</v>
      </c>
      <c r="B43" s="78"/>
      <c r="C43" s="79">
        <v>2</v>
      </c>
      <c r="D43" s="79"/>
      <c r="E43" s="79">
        <v>10</v>
      </c>
      <c r="F43" s="80">
        <v>0.1304</v>
      </c>
      <c r="G43" s="79">
        <v>43</v>
      </c>
      <c r="H43" s="80">
        <v>0.1304</v>
      </c>
      <c r="I43" s="83">
        <v>1</v>
      </c>
      <c r="J43" s="79">
        <v>17</v>
      </c>
      <c r="K43" s="79"/>
      <c r="L43" s="80">
        <v>0</v>
      </c>
      <c r="M43" s="80"/>
      <c r="N43" s="86">
        <v>373</v>
      </c>
      <c r="O43" s="86"/>
      <c r="P43" s="79">
        <v>16</v>
      </c>
      <c r="Q43" s="87"/>
    </row>
    <row r="44" spans="1:17">
      <c r="A44" s="77">
        <v>43244</v>
      </c>
      <c r="B44" s="78"/>
      <c r="C44" s="79">
        <v>5</v>
      </c>
      <c r="D44" s="79"/>
      <c r="E44" s="79">
        <v>22</v>
      </c>
      <c r="F44" s="80">
        <v>1</v>
      </c>
      <c r="G44" s="79">
        <v>30</v>
      </c>
      <c r="H44" s="80">
        <v>1</v>
      </c>
      <c r="I44" s="83">
        <v>1</v>
      </c>
      <c r="J44" s="79">
        <v>29</v>
      </c>
      <c r="K44" s="79"/>
      <c r="L44" s="80">
        <v>0.5833</v>
      </c>
      <c r="M44" s="80"/>
      <c r="N44" s="86">
        <v>269</v>
      </c>
      <c r="O44" s="86"/>
      <c r="P44" s="79">
        <v>4</v>
      </c>
      <c r="Q44" s="87"/>
    </row>
    <row r="45" spans="1:17">
      <c r="A45" s="77">
        <v>43245</v>
      </c>
      <c r="B45" s="78"/>
      <c r="C45" s="79">
        <v>5</v>
      </c>
      <c r="D45" s="79"/>
      <c r="E45" s="79">
        <v>59</v>
      </c>
      <c r="F45" s="80">
        <v>1</v>
      </c>
      <c r="G45" s="79">
        <v>8</v>
      </c>
      <c r="H45" s="80">
        <v>1</v>
      </c>
      <c r="I45" s="83">
        <v>0.95</v>
      </c>
      <c r="J45" s="79">
        <v>27</v>
      </c>
      <c r="K45" s="79"/>
      <c r="L45" s="80">
        <v>0.6923</v>
      </c>
      <c r="M45" s="80"/>
      <c r="N45" s="86">
        <v>374</v>
      </c>
      <c r="O45" s="86"/>
      <c r="P45" s="79">
        <v>17</v>
      </c>
      <c r="Q45" s="87"/>
    </row>
    <row r="46" spans="1:17">
      <c r="A46" s="77">
        <v>43245</v>
      </c>
      <c r="B46" s="78"/>
      <c r="C46" s="79">
        <v>2</v>
      </c>
      <c r="D46" s="79"/>
      <c r="E46" s="79">
        <v>82</v>
      </c>
      <c r="F46" s="80">
        <v>0</v>
      </c>
      <c r="G46" s="79">
        <v>22</v>
      </c>
      <c r="H46" s="80">
        <v>0</v>
      </c>
      <c r="I46" s="83">
        <v>0</v>
      </c>
      <c r="J46" s="79">
        <v>17</v>
      </c>
      <c r="K46" s="79"/>
      <c r="L46" s="80">
        <v>0</v>
      </c>
      <c r="M46" s="80"/>
      <c r="N46" s="86">
        <v>155</v>
      </c>
      <c r="O46" s="86"/>
      <c r="P46" s="79">
        <v>12</v>
      </c>
      <c r="Q46" s="87"/>
    </row>
    <row r="47" spans="1:17">
      <c r="A47" s="77">
        <v>43246</v>
      </c>
      <c r="B47" s="78"/>
      <c r="C47" s="79">
        <v>5</v>
      </c>
      <c r="D47" s="79"/>
      <c r="E47" s="79">
        <v>5</v>
      </c>
      <c r="F47" s="80">
        <v>0.9</v>
      </c>
      <c r="G47" s="79">
        <v>37</v>
      </c>
      <c r="H47" s="80">
        <v>0.9</v>
      </c>
      <c r="I47" s="83">
        <v>1</v>
      </c>
      <c r="J47" s="79">
        <v>0</v>
      </c>
      <c r="K47" s="79"/>
      <c r="L47" s="80">
        <v>0</v>
      </c>
      <c r="M47" s="80"/>
      <c r="N47" s="86">
        <v>108</v>
      </c>
      <c r="O47" s="86"/>
      <c r="P47" s="79">
        <v>9</v>
      </c>
      <c r="Q47" s="87"/>
    </row>
    <row r="48" spans="1:17">
      <c r="A48" s="77">
        <v>43246</v>
      </c>
      <c r="B48" s="78"/>
      <c r="C48" s="79">
        <v>3</v>
      </c>
      <c r="D48" s="79"/>
      <c r="E48" s="79">
        <v>16</v>
      </c>
      <c r="F48" s="80">
        <v>0.1</v>
      </c>
      <c r="G48" s="79">
        <v>10</v>
      </c>
      <c r="H48" s="80">
        <v>0.1</v>
      </c>
      <c r="I48" s="83">
        <v>1</v>
      </c>
      <c r="J48" s="79">
        <v>28</v>
      </c>
      <c r="K48" s="79"/>
      <c r="L48" s="80">
        <v>0</v>
      </c>
      <c r="M48" s="80"/>
      <c r="N48" s="86">
        <v>381</v>
      </c>
      <c r="O48" s="86"/>
      <c r="P48" s="79">
        <v>14</v>
      </c>
      <c r="Q48" s="87"/>
    </row>
    <row r="49" spans="1:17">
      <c r="A49" s="77">
        <v>43247</v>
      </c>
      <c r="B49" s="78"/>
      <c r="C49" s="79">
        <v>5</v>
      </c>
      <c r="D49" s="79"/>
      <c r="E49" s="79">
        <v>37</v>
      </c>
      <c r="F49" s="80">
        <v>1</v>
      </c>
      <c r="G49" s="79">
        <v>16</v>
      </c>
      <c r="H49" s="80">
        <v>1</v>
      </c>
      <c r="I49" s="83">
        <v>1</v>
      </c>
      <c r="J49" s="79">
        <v>15</v>
      </c>
      <c r="K49" s="79"/>
      <c r="L49" s="80">
        <v>0.1429</v>
      </c>
      <c r="M49" s="80"/>
      <c r="N49" s="86">
        <v>495</v>
      </c>
      <c r="O49" s="86"/>
      <c r="P49" s="79">
        <v>7</v>
      </c>
      <c r="Q49" s="87"/>
    </row>
    <row r="50" spans="1:17">
      <c r="A50" s="77">
        <v>43248</v>
      </c>
      <c r="B50" s="78"/>
      <c r="C50" s="79">
        <v>5</v>
      </c>
      <c r="D50" s="79"/>
      <c r="E50" s="79">
        <v>25</v>
      </c>
      <c r="F50" s="80">
        <v>1</v>
      </c>
      <c r="G50" s="79">
        <v>62</v>
      </c>
      <c r="H50" s="80">
        <v>1</v>
      </c>
      <c r="I50" s="83">
        <v>1</v>
      </c>
      <c r="J50" s="79">
        <v>13</v>
      </c>
      <c r="K50" s="79"/>
      <c r="L50" s="80">
        <v>0.4091</v>
      </c>
      <c r="M50" s="80"/>
      <c r="N50" s="86">
        <v>240</v>
      </c>
      <c r="O50" s="86"/>
      <c r="P50" s="79">
        <v>17</v>
      </c>
      <c r="Q50" s="87"/>
    </row>
    <row r="51" spans="1:17">
      <c r="A51" s="77">
        <v>43248</v>
      </c>
      <c r="B51" s="78"/>
      <c r="C51" s="79">
        <v>2</v>
      </c>
      <c r="D51" s="79"/>
      <c r="E51" s="79">
        <v>60</v>
      </c>
      <c r="F51" s="80">
        <v>0</v>
      </c>
      <c r="G51" s="79">
        <v>18</v>
      </c>
      <c r="H51" s="80">
        <v>0</v>
      </c>
      <c r="I51" s="83">
        <v>0</v>
      </c>
      <c r="J51" s="79">
        <v>9</v>
      </c>
      <c r="K51" s="79"/>
      <c r="L51" s="80">
        <v>0</v>
      </c>
      <c r="M51" s="80"/>
      <c r="N51" s="86">
        <v>207</v>
      </c>
      <c r="O51" s="86"/>
      <c r="P51" s="79">
        <v>11</v>
      </c>
      <c r="Q51" s="87"/>
    </row>
    <row r="52" ht="15" spans="1:17">
      <c r="A52" s="77">
        <v>43249</v>
      </c>
      <c r="B52" s="78"/>
      <c r="C52" s="79">
        <v>5</v>
      </c>
      <c r="D52" s="88"/>
      <c r="E52" s="79">
        <v>64</v>
      </c>
      <c r="F52" s="80">
        <v>0.875</v>
      </c>
      <c r="G52" s="79">
        <v>27</v>
      </c>
      <c r="H52" s="80">
        <v>0.875</v>
      </c>
      <c r="I52" s="83">
        <v>0.93</v>
      </c>
      <c r="J52" s="79">
        <v>11</v>
      </c>
      <c r="K52" s="79"/>
      <c r="L52" s="80">
        <v>0.5217</v>
      </c>
      <c r="M52" s="80"/>
      <c r="N52" s="86">
        <v>398</v>
      </c>
      <c r="O52" s="86"/>
      <c r="P52" s="79">
        <v>7</v>
      </c>
      <c r="Q52" s="87"/>
    </row>
    <row r="53" ht="15" spans="1:17">
      <c r="A53" s="77">
        <v>43249</v>
      </c>
      <c r="B53" s="78"/>
      <c r="C53" s="79">
        <v>2</v>
      </c>
      <c r="D53" s="88"/>
      <c r="E53" s="79">
        <v>34</v>
      </c>
      <c r="F53" s="80">
        <v>0.0938</v>
      </c>
      <c r="G53" s="79">
        <v>29</v>
      </c>
      <c r="H53" s="80">
        <v>0.0938</v>
      </c>
      <c r="I53" s="83">
        <v>1</v>
      </c>
      <c r="J53" s="79">
        <v>16</v>
      </c>
      <c r="K53" s="79"/>
      <c r="L53" s="80">
        <v>0</v>
      </c>
      <c r="M53" s="80"/>
      <c r="N53" s="86">
        <v>96</v>
      </c>
      <c r="O53" s="86"/>
      <c r="P53" s="79">
        <v>5</v>
      </c>
      <c r="Q53" s="87"/>
    </row>
    <row r="54" ht="15" spans="1:17">
      <c r="A54" s="77">
        <v>43249</v>
      </c>
      <c r="B54" s="78"/>
      <c r="C54" s="79">
        <v>3</v>
      </c>
      <c r="D54" s="88"/>
      <c r="E54" s="79">
        <v>6</v>
      </c>
      <c r="F54" s="80">
        <v>0.0313</v>
      </c>
      <c r="G54" s="79">
        <v>42</v>
      </c>
      <c r="H54" s="80">
        <v>0.0313</v>
      </c>
      <c r="I54" s="83">
        <v>1</v>
      </c>
      <c r="J54" s="79">
        <v>17</v>
      </c>
      <c r="K54" s="79"/>
      <c r="L54" s="80">
        <v>0</v>
      </c>
      <c r="M54" s="80"/>
      <c r="N54" s="86">
        <v>450</v>
      </c>
      <c r="O54" s="86"/>
      <c r="P54" s="79">
        <v>14</v>
      </c>
      <c r="Q54" s="87"/>
    </row>
    <row r="55" ht="15" spans="1:17">
      <c r="A55" s="77">
        <v>43250</v>
      </c>
      <c r="B55" s="78"/>
      <c r="C55" s="79">
        <v>5</v>
      </c>
      <c r="D55" s="88"/>
      <c r="E55" s="79">
        <v>27</v>
      </c>
      <c r="F55" s="80">
        <v>0.9688</v>
      </c>
      <c r="G55" s="79">
        <v>32</v>
      </c>
      <c r="H55" s="80">
        <v>0.9688</v>
      </c>
      <c r="I55" s="83">
        <v>1</v>
      </c>
      <c r="J55" s="79">
        <v>29</v>
      </c>
      <c r="K55" s="79"/>
      <c r="L55" s="80">
        <v>0.5217</v>
      </c>
      <c r="M55" s="80"/>
      <c r="N55" s="86">
        <v>61</v>
      </c>
      <c r="O55" s="86"/>
      <c r="P55" s="79">
        <v>6</v>
      </c>
      <c r="Q55" s="87"/>
    </row>
    <row r="56" ht="15" spans="1:17">
      <c r="A56" s="77">
        <v>43250</v>
      </c>
      <c r="B56" s="78"/>
      <c r="C56" s="79">
        <v>2</v>
      </c>
      <c r="D56" s="88"/>
      <c r="E56" s="79">
        <v>97</v>
      </c>
      <c r="F56" s="80">
        <v>0.0313</v>
      </c>
      <c r="G56" s="79">
        <v>45</v>
      </c>
      <c r="H56" s="80">
        <v>0.0313</v>
      </c>
      <c r="I56" s="83">
        <v>1</v>
      </c>
      <c r="J56" s="79">
        <v>23</v>
      </c>
      <c r="K56" s="79"/>
      <c r="L56" s="80">
        <v>1</v>
      </c>
      <c r="M56" s="80"/>
      <c r="N56" s="86">
        <v>438</v>
      </c>
      <c r="O56" s="86"/>
      <c r="P56" s="79">
        <v>9</v>
      </c>
      <c r="Q56" s="87"/>
    </row>
    <row r="57" spans="1:17">
      <c r="A57" s="77">
        <v>43251</v>
      </c>
      <c r="B57" s="78"/>
      <c r="C57" s="79">
        <v>5</v>
      </c>
      <c r="D57" s="79"/>
      <c r="E57" s="79">
        <v>2</v>
      </c>
      <c r="F57" s="80">
        <v>0.8333</v>
      </c>
      <c r="G57" s="79">
        <v>80</v>
      </c>
      <c r="H57" s="80">
        <v>0.8333</v>
      </c>
      <c r="I57" s="83">
        <v>1</v>
      </c>
      <c r="J57" s="79">
        <v>3</v>
      </c>
      <c r="K57" s="79"/>
      <c r="L57" s="80">
        <v>0.7368</v>
      </c>
      <c r="M57" s="80"/>
      <c r="N57" s="86">
        <v>386</v>
      </c>
      <c r="O57" s="86"/>
      <c r="P57" s="79">
        <v>11</v>
      </c>
      <c r="Q57" s="87"/>
    </row>
    <row r="58" spans="1:17">
      <c r="A58" s="77">
        <v>43251</v>
      </c>
      <c r="B58" s="78"/>
      <c r="C58" s="79">
        <v>2</v>
      </c>
      <c r="D58" s="79"/>
      <c r="E58" s="79">
        <v>4</v>
      </c>
      <c r="F58" s="80">
        <v>0.1333</v>
      </c>
      <c r="G58" s="79">
        <v>19</v>
      </c>
      <c r="H58" s="80">
        <v>0.1333</v>
      </c>
      <c r="I58" s="83">
        <v>1</v>
      </c>
      <c r="J58" s="79">
        <v>29</v>
      </c>
      <c r="K58" s="79"/>
      <c r="L58" s="80">
        <v>0.25</v>
      </c>
      <c r="M58" s="80"/>
      <c r="N58" s="86">
        <v>485</v>
      </c>
      <c r="O58" s="86"/>
      <c r="P58" s="79">
        <v>11</v>
      </c>
      <c r="Q58" s="87"/>
    </row>
    <row r="59" spans="1:17">
      <c r="A59" s="77">
        <v>43251</v>
      </c>
      <c r="B59" s="78"/>
      <c r="C59" s="79">
        <v>3</v>
      </c>
      <c r="D59" s="79"/>
      <c r="E59" s="79">
        <v>4</v>
      </c>
      <c r="F59" s="80">
        <v>0.0333</v>
      </c>
      <c r="G59" s="79">
        <v>98</v>
      </c>
      <c r="H59" s="80">
        <v>0.0333</v>
      </c>
      <c r="I59" s="83">
        <v>0</v>
      </c>
      <c r="J59" s="79">
        <v>30</v>
      </c>
      <c r="K59" s="79"/>
      <c r="L59" s="80">
        <v>0</v>
      </c>
      <c r="M59" s="80"/>
      <c r="N59" s="86">
        <v>482</v>
      </c>
      <c r="O59" s="86"/>
      <c r="P59" s="79">
        <v>5</v>
      </c>
      <c r="Q59" s="87"/>
    </row>
    <row r="60" ht="15" spans="1:17">
      <c r="A60" s="77">
        <v>43252</v>
      </c>
      <c r="B60" s="78"/>
      <c r="C60" s="79">
        <v>5</v>
      </c>
      <c r="D60" s="88"/>
      <c r="E60" s="79">
        <v>43</v>
      </c>
      <c r="F60" s="80">
        <v>1</v>
      </c>
      <c r="G60" s="79">
        <v>79</v>
      </c>
      <c r="H60" s="80">
        <v>1</v>
      </c>
      <c r="I60" s="83">
        <v>0.96</v>
      </c>
      <c r="J60" s="79">
        <v>1</v>
      </c>
      <c r="K60" s="79"/>
      <c r="L60" s="80">
        <v>0.3889</v>
      </c>
      <c r="M60" s="80"/>
      <c r="N60" s="86">
        <v>468</v>
      </c>
      <c r="O60" s="86"/>
      <c r="P60" s="79">
        <v>17</v>
      </c>
      <c r="Q60" s="87"/>
    </row>
    <row r="61" ht="15" spans="1:17">
      <c r="A61" s="89">
        <v>43253</v>
      </c>
      <c r="B61" s="78"/>
      <c r="C61" s="87">
        <v>5</v>
      </c>
      <c r="D61" s="88"/>
      <c r="E61" s="79">
        <v>30</v>
      </c>
      <c r="F61" s="80">
        <v>1</v>
      </c>
      <c r="G61" s="79">
        <v>29</v>
      </c>
      <c r="H61" s="90">
        <v>1</v>
      </c>
      <c r="I61" s="91">
        <v>1</v>
      </c>
      <c r="J61" s="79">
        <v>7</v>
      </c>
      <c r="K61" s="87"/>
      <c r="L61" s="90">
        <v>0.7895</v>
      </c>
      <c r="M61" s="90"/>
      <c r="N61" s="86">
        <v>124</v>
      </c>
      <c r="O61" s="92"/>
      <c r="P61" s="79">
        <v>16</v>
      </c>
      <c r="Q61" s="87"/>
    </row>
    <row r="62" ht="15" spans="1:17">
      <c r="A62" s="89">
        <v>43254</v>
      </c>
      <c r="B62" s="78"/>
      <c r="C62" s="79">
        <v>5</v>
      </c>
      <c r="D62" s="88"/>
      <c r="E62" s="79">
        <v>16</v>
      </c>
      <c r="F62" s="80">
        <v>0.7407</v>
      </c>
      <c r="G62" s="79">
        <v>38</v>
      </c>
      <c r="H62" s="80">
        <v>0.7407</v>
      </c>
      <c r="I62" s="83">
        <v>1</v>
      </c>
      <c r="J62" s="79">
        <v>25</v>
      </c>
      <c r="K62" s="79"/>
      <c r="L62" s="80">
        <v>0.4444</v>
      </c>
      <c r="M62" s="80"/>
      <c r="N62" s="86">
        <v>332</v>
      </c>
      <c r="O62" s="86"/>
      <c r="P62" s="79">
        <v>6</v>
      </c>
      <c r="Q62" s="87"/>
    </row>
    <row r="63" ht="15" spans="1:17">
      <c r="A63" s="89">
        <v>43254</v>
      </c>
      <c r="B63" s="78"/>
      <c r="C63" s="79">
        <v>2</v>
      </c>
      <c r="D63" s="88"/>
      <c r="E63" s="79">
        <v>88</v>
      </c>
      <c r="F63" s="80">
        <v>0.0741</v>
      </c>
      <c r="G63" s="79">
        <v>92</v>
      </c>
      <c r="H63" s="80">
        <v>0.0741</v>
      </c>
      <c r="I63" s="83">
        <v>1</v>
      </c>
      <c r="J63" s="79">
        <v>13</v>
      </c>
      <c r="K63" s="79"/>
      <c r="L63" s="80">
        <v>0</v>
      </c>
      <c r="M63" s="80"/>
      <c r="N63" s="86">
        <v>460</v>
      </c>
      <c r="O63" s="86"/>
      <c r="P63" s="79">
        <v>17</v>
      </c>
      <c r="Q63" s="87"/>
    </row>
    <row r="64" ht="15" spans="1:17">
      <c r="A64" s="89">
        <v>43254</v>
      </c>
      <c r="B64" s="78"/>
      <c r="C64" s="79">
        <v>3</v>
      </c>
      <c r="D64" s="88"/>
      <c r="E64" s="79">
        <v>86</v>
      </c>
      <c r="F64" s="80">
        <v>0.037</v>
      </c>
      <c r="G64" s="79">
        <v>68</v>
      </c>
      <c r="H64" s="80">
        <v>0.037</v>
      </c>
      <c r="I64" s="83">
        <v>1</v>
      </c>
      <c r="J64" s="79">
        <v>30</v>
      </c>
      <c r="K64" s="79"/>
      <c r="L64" s="80">
        <v>0</v>
      </c>
      <c r="M64" s="80"/>
      <c r="N64" s="86">
        <v>53</v>
      </c>
      <c r="O64" s="86"/>
      <c r="P64" s="79">
        <v>13</v>
      </c>
      <c r="Q64" s="87"/>
    </row>
    <row r="65" ht="15" spans="1:17">
      <c r="A65" s="89">
        <v>43254</v>
      </c>
      <c r="B65" s="78"/>
      <c r="C65" s="79">
        <v>1</v>
      </c>
      <c r="D65" s="88"/>
      <c r="E65" s="79">
        <v>35</v>
      </c>
      <c r="F65" s="80">
        <v>0.1481</v>
      </c>
      <c r="G65" s="79">
        <v>84</v>
      </c>
      <c r="H65" s="80">
        <v>0.1481</v>
      </c>
      <c r="I65" s="83">
        <v>1</v>
      </c>
      <c r="J65" s="79">
        <v>19</v>
      </c>
      <c r="K65" s="79"/>
      <c r="L65" s="80">
        <v>0</v>
      </c>
      <c r="M65" s="80"/>
      <c r="N65" s="86">
        <v>113</v>
      </c>
      <c r="O65" s="86"/>
      <c r="P65" s="79">
        <v>13</v>
      </c>
      <c r="Q65" s="87"/>
    </row>
    <row r="66" ht="15" spans="1:17">
      <c r="A66" s="89">
        <v>43255</v>
      </c>
      <c r="B66" s="78"/>
      <c r="C66" s="79">
        <v>5</v>
      </c>
      <c r="D66" s="88"/>
      <c r="E66" s="79">
        <v>87</v>
      </c>
      <c r="F66" s="80">
        <v>0.5814</v>
      </c>
      <c r="G66" s="79">
        <v>56</v>
      </c>
      <c r="H66" s="80">
        <v>0.5814</v>
      </c>
      <c r="I66" s="83">
        <v>1</v>
      </c>
      <c r="J66" s="79">
        <v>21</v>
      </c>
      <c r="K66" s="79"/>
      <c r="L66" s="80">
        <v>0.45</v>
      </c>
      <c r="M66" s="80"/>
      <c r="N66" s="86">
        <v>243</v>
      </c>
      <c r="O66" s="86"/>
      <c r="P66" s="79">
        <v>8</v>
      </c>
      <c r="Q66" s="79"/>
    </row>
    <row r="67" ht="15" spans="1:17">
      <c r="A67" s="89">
        <v>43255</v>
      </c>
      <c r="B67" s="78"/>
      <c r="C67" s="79">
        <v>2</v>
      </c>
      <c r="D67" s="88"/>
      <c r="E67" s="79">
        <v>11</v>
      </c>
      <c r="F67" s="80">
        <v>0.0233</v>
      </c>
      <c r="G67" s="79">
        <v>0</v>
      </c>
      <c r="H67" s="80">
        <v>0.0233</v>
      </c>
      <c r="I67" s="83">
        <v>1</v>
      </c>
      <c r="J67" s="79">
        <v>0</v>
      </c>
      <c r="K67" s="79"/>
      <c r="L67" s="80">
        <v>2</v>
      </c>
      <c r="M67" s="80"/>
      <c r="N67" s="86">
        <v>200</v>
      </c>
      <c r="O67" s="86"/>
      <c r="P67" s="79">
        <v>5</v>
      </c>
      <c r="Q67" s="79"/>
    </row>
    <row r="68" ht="15" spans="1:17">
      <c r="A68" s="89">
        <v>43255</v>
      </c>
      <c r="B68" s="78"/>
      <c r="C68" s="79">
        <v>1</v>
      </c>
      <c r="D68" s="88"/>
      <c r="E68" s="79">
        <v>92</v>
      </c>
      <c r="F68" s="80">
        <v>0.3953</v>
      </c>
      <c r="G68" s="79">
        <v>23</v>
      </c>
      <c r="H68" s="80">
        <v>0.3953</v>
      </c>
      <c r="I68" s="83">
        <v>1</v>
      </c>
      <c r="J68" s="79">
        <v>4</v>
      </c>
      <c r="K68" s="79"/>
      <c r="L68" s="80">
        <v>0</v>
      </c>
      <c r="M68" s="80"/>
      <c r="N68" s="86">
        <v>174</v>
      </c>
      <c r="O68" s="86"/>
      <c r="P68" s="79">
        <v>16</v>
      </c>
      <c r="Q68" s="87"/>
    </row>
    <row r="69" ht="15" spans="1:17">
      <c r="A69" s="89">
        <v>43256</v>
      </c>
      <c r="B69" s="78"/>
      <c r="C69" s="79">
        <v>5</v>
      </c>
      <c r="D69" s="88"/>
      <c r="E69" s="79">
        <v>25</v>
      </c>
      <c r="F69" s="80">
        <v>0.8537</v>
      </c>
      <c r="G69" s="79">
        <v>35</v>
      </c>
      <c r="H69" s="80">
        <v>0.8537</v>
      </c>
      <c r="I69" s="83">
        <v>1</v>
      </c>
      <c r="J69" s="79">
        <v>3</v>
      </c>
      <c r="K69" s="79"/>
      <c r="L69" s="80">
        <v>0.4333</v>
      </c>
      <c r="M69" s="80"/>
      <c r="N69" s="86">
        <v>179</v>
      </c>
      <c r="O69" s="86"/>
      <c r="P69" s="79">
        <v>16</v>
      </c>
      <c r="Q69" s="87"/>
    </row>
    <row r="70" ht="15" spans="1:17">
      <c r="A70" s="89">
        <v>43256</v>
      </c>
      <c r="B70" s="78"/>
      <c r="C70" s="79">
        <v>2</v>
      </c>
      <c r="D70" s="88"/>
      <c r="E70" s="79">
        <v>28</v>
      </c>
      <c r="F70" s="80">
        <v>0.0732</v>
      </c>
      <c r="G70" s="79">
        <v>12</v>
      </c>
      <c r="H70" s="80">
        <v>0.0732</v>
      </c>
      <c r="I70" s="83">
        <v>1</v>
      </c>
      <c r="J70" s="79">
        <v>2</v>
      </c>
      <c r="K70" s="79"/>
      <c r="L70" s="80">
        <v>0.3333</v>
      </c>
      <c r="M70" s="80"/>
      <c r="N70" s="86">
        <v>312</v>
      </c>
      <c r="O70" s="86"/>
      <c r="P70" s="79">
        <v>16</v>
      </c>
      <c r="Q70" s="87"/>
    </row>
    <row r="71" ht="15" spans="1:17">
      <c r="A71" s="89">
        <v>43256</v>
      </c>
      <c r="B71" s="78"/>
      <c r="C71" s="79">
        <v>1</v>
      </c>
      <c r="D71" s="88"/>
      <c r="E71" s="79">
        <v>44</v>
      </c>
      <c r="F71" s="80">
        <v>0.0488</v>
      </c>
      <c r="G71" s="79">
        <v>14</v>
      </c>
      <c r="H71" s="80">
        <v>0.0488</v>
      </c>
      <c r="I71" s="83">
        <v>1</v>
      </c>
      <c r="J71" s="79">
        <v>29</v>
      </c>
      <c r="K71" s="79"/>
      <c r="L71" s="80">
        <v>0.5</v>
      </c>
      <c r="M71" s="80"/>
      <c r="N71" s="86">
        <v>494</v>
      </c>
      <c r="O71" s="86"/>
      <c r="P71" s="79">
        <v>18</v>
      </c>
      <c r="Q71" s="87"/>
    </row>
    <row r="72" ht="15" spans="1:17">
      <c r="A72" s="89">
        <v>43256</v>
      </c>
      <c r="B72" s="78"/>
      <c r="C72" s="79">
        <v>3</v>
      </c>
      <c r="D72" s="88"/>
      <c r="E72" s="79">
        <v>93</v>
      </c>
      <c r="F72" s="80">
        <v>0.0244</v>
      </c>
      <c r="G72" s="79">
        <v>61</v>
      </c>
      <c r="H72" s="80">
        <v>0.0244</v>
      </c>
      <c r="I72" s="83">
        <v>1</v>
      </c>
      <c r="J72" s="79">
        <v>14</v>
      </c>
      <c r="K72" s="79"/>
      <c r="L72" s="80">
        <v>0</v>
      </c>
      <c r="M72" s="80"/>
      <c r="N72" s="86">
        <v>77</v>
      </c>
      <c r="O72" s="86"/>
      <c r="P72" s="79">
        <v>19</v>
      </c>
      <c r="Q72" s="87"/>
    </row>
    <row r="73" ht="15" spans="1:17">
      <c r="A73" s="89">
        <v>43257</v>
      </c>
      <c r="B73" s="78"/>
      <c r="C73" s="79">
        <v>5</v>
      </c>
      <c r="D73" s="88"/>
      <c r="E73" s="79">
        <v>66</v>
      </c>
      <c r="F73" s="80">
        <v>0.7288</v>
      </c>
      <c r="G73" s="79">
        <v>18</v>
      </c>
      <c r="H73" s="80">
        <v>0.7288</v>
      </c>
      <c r="I73" s="83">
        <v>0.98</v>
      </c>
      <c r="J73" s="79">
        <v>8</v>
      </c>
      <c r="K73" s="79"/>
      <c r="L73" s="80">
        <v>0.5862</v>
      </c>
      <c r="M73" s="80"/>
      <c r="N73" s="86">
        <v>236</v>
      </c>
      <c r="O73" s="86"/>
      <c r="P73" s="79">
        <v>17</v>
      </c>
      <c r="Q73" s="87"/>
    </row>
    <row r="74" ht="15" spans="1:17">
      <c r="A74" s="89">
        <v>43257</v>
      </c>
      <c r="B74" s="78"/>
      <c r="C74" s="79">
        <v>1</v>
      </c>
      <c r="D74" s="88"/>
      <c r="E74" s="79">
        <v>47</v>
      </c>
      <c r="F74" s="80">
        <v>0.1186</v>
      </c>
      <c r="G74" s="79">
        <v>47</v>
      </c>
      <c r="H74" s="80">
        <v>0.1186</v>
      </c>
      <c r="I74" s="83">
        <v>1</v>
      </c>
      <c r="J74" s="79">
        <v>9</v>
      </c>
      <c r="K74" s="79"/>
      <c r="L74" s="80">
        <v>0.1429</v>
      </c>
      <c r="M74" s="80"/>
      <c r="N74" s="86">
        <v>310</v>
      </c>
      <c r="O74" s="86"/>
      <c r="P74" s="79">
        <v>10</v>
      </c>
      <c r="Q74" s="87"/>
    </row>
    <row r="75" ht="15" spans="1:17">
      <c r="A75" s="89">
        <v>43257</v>
      </c>
      <c r="B75" s="78"/>
      <c r="C75" s="79">
        <v>2</v>
      </c>
      <c r="D75" s="88"/>
      <c r="E75" s="79">
        <v>60</v>
      </c>
      <c r="F75" s="80">
        <v>0.1186</v>
      </c>
      <c r="G75" s="79">
        <v>65</v>
      </c>
      <c r="H75" s="80">
        <v>0.1186</v>
      </c>
      <c r="I75" s="83">
        <v>1</v>
      </c>
      <c r="J75" s="79">
        <v>8</v>
      </c>
      <c r="K75" s="79"/>
      <c r="L75" s="80">
        <v>0</v>
      </c>
      <c r="M75" s="80"/>
      <c r="N75" s="86">
        <v>184</v>
      </c>
      <c r="O75" s="86"/>
      <c r="P75" s="79">
        <v>8</v>
      </c>
      <c r="Q75" s="87"/>
    </row>
    <row r="76" ht="15" spans="1:17">
      <c r="A76" s="89">
        <v>43257</v>
      </c>
      <c r="B76" s="78"/>
      <c r="C76" s="79">
        <v>3</v>
      </c>
      <c r="D76" s="88"/>
      <c r="E76" s="79">
        <v>36</v>
      </c>
      <c r="F76" s="80">
        <v>0.0339</v>
      </c>
      <c r="G76" s="79">
        <v>62</v>
      </c>
      <c r="H76" s="80">
        <v>0.0339</v>
      </c>
      <c r="I76" s="83">
        <v>1</v>
      </c>
      <c r="J76" s="79">
        <v>14</v>
      </c>
      <c r="K76" s="79"/>
      <c r="L76" s="80">
        <v>0</v>
      </c>
      <c r="M76" s="80"/>
      <c r="N76" s="86">
        <v>497</v>
      </c>
      <c r="O76" s="86"/>
      <c r="P76" s="79">
        <v>3</v>
      </c>
      <c r="Q76" s="87"/>
    </row>
    <row r="77" ht="15" spans="1:17">
      <c r="A77" s="89">
        <v>43258</v>
      </c>
      <c r="B77" s="78"/>
      <c r="C77" s="79">
        <v>5</v>
      </c>
      <c r="D77" s="88"/>
      <c r="E77" s="79">
        <v>46</v>
      </c>
      <c r="F77" s="80">
        <v>0.7</v>
      </c>
      <c r="G77" s="79">
        <v>99</v>
      </c>
      <c r="H77" s="80">
        <v>0.7</v>
      </c>
      <c r="I77" s="83">
        <v>1</v>
      </c>
      <c r="J77" s="79">
        <v>23</v>
      </c>
      <c r="K77" s="79"/>
      <c r="L77" s="80">
        <v>0.8519</v>
      </c>
      <c r="M77" s="80"/>
      <c r="N77" s="86">
        <v>245</v>
      </c>
      <c r="O77" s="86"/>
      <c r="P77" s="79">
        <v>13</v>
      </c>
      <c r="Q77" s="87"/>
    </row>
    <row r="78" ht="15" spans="1:17">
      <c r="A78" s="89">
        <v>43258</v>
      </c>
      <c r="B78" s="78"/>
      <c r="C78" s="79">
        <v>2</v>
      </c>
      <c r="D78" s="88"/>
      <c r="E78" s="79">
        <v>34</v>
      </c>
      <c r="F78" s="80">
        <v>0.08</v>
      </c>
      <c r="G78" s="79">
        <v>96</v>
      </c>
      <c r="H78" s="80">
        <v>0.08</v>
      </c>
      <c r="I78" s="83">
        <v>1</v>
      </c>
      <c r="J78" s="79">
        <v>25</v>
      </c>
      <c r="K78" s="79"/>
      <c r="L78" s="80">
        <v>0.5</v>
      </c>
      <c r="M78" s="80"/>
      <c r="N78" s="86">
        <v>252</v>
      </c>
      <c r="O78" s="86"/>
      <c r="P78" s="79">
        <v>11</v>
      </c>
      <c r="Q78" s="87"/>
    </row>
    <row r="79" ht="15" spans="1:17">
      <c r="A79" s="89">
        <v>43258</v>
      </c>
      <c r="B79" s="78"/>
      <c r="C79" s="79">
        <v>1</v>
      </c>
      <c r="D79" s="88"/>
      <c r="E79" s="79">
        <v>32</v>
      </c>
      <c r="F79" s="80">
        <v>0.22</v>
      </c>
      <c r="G79" s="79">
        <v>42</v>
      </c>
      <c r="H79" s="80">
        <v>0.22</v>
      </c>
      <c r="I79" s="83">
        <v>1</v>
      </c>
      <c r="J79" s="79">
        <v>0</v>
      </c>
      <c r="K79" s="79"/>
      <c r="L79" s="80">
        <v>0.1</v>
      </c>
      <c r="M79" s="80"/>
      <c r="N79" s="86">
        <v>250</v>
      </c>
      <c r="O79" s="86"/>
      <c r="P79" s="79">
        <v>18</v>
      </c>
      <c r="Q79" s="87"/>
    </row>
    <row r="80" ht="15" spans="1:17">
      <c r="A80" s="89">
        <v>43259</v>
      </c>
      <c r="B80" s="78"/>
      <c r="C80" s="79">
        <v>5</v>
      </c>
      <c r="D80" s="88"/>
      <c r="E80" s="79">
        <v>8</v>
      </c>
      <c r="F80" s="80">
        <v>0.5833</v>
      </c>
      <c r="G80" s="79">
        <v>18</v>
      </c>
      <c r="H80" s="80">
        <v>0.5833</v>
      </c>
      <c r="I80" s="83">
        <v>1</v>
      </c>
      <c r="J80" s="79">
        <v>16</v>
      </c>
      <c r="K80" s="79"/>
      <c r="L80" s="80">
        <v>0.3438</v>
      </c>
      <c r="M80" s="80"/>
      <c r="N80" s="86">
        <v>119</v>
      </c>
      <c r="O80" s="86"/>
      <c r="P80" s="79">
        <v>11</v>
      </c>
      <c r="Q80" s="87"/>
    </row>
    <row r="81" ht="15" spans="1:17">
      <c r="A81" s="89">
        <v>43259</v>
      </c>
      <c r="B81" s="78"/>
      <c r="C81" s="79">
        <v>1</v>
      </c>
      <c r="D81" s="88"/>
      <c r="E81" s="79">
        <v>15</v>
      </c>
      <c r="F81" s="80">
        <v>0.3056</v>
      </c>
      <c r="G81" s="79">
        <v>61</v>
      </c>
      <c r="H81" s="80">
        <v>0.3056</v>
      </c>
      <c r="I81" s="83">
        <v>1</v>
      </c>
      <c r="J81" s="79">
        <v>18</v>
      </c>
      <c r="K81" s="79"/>
      <c r="L81" s="80">
        <v>0.0588</v>
      </c>
      <c r="M81" s="80"/>
      <c r="N81" s="86">
        <v>256</v>
      </c>
      <c r="O81" s="86"/>
      <c r="P81" s="79">
        <v>1</v>
      </c>
      <c r="Q81" s="87"/>
    </row>
    <row r="82" ht="15" spans="1:17">
      <c r="A82" s="89">
        <v>43259</v>
      </c>
      <c r="B82" s="78"/>
      <c r="C82" s="79">
        <v>4</v>
      </c>
      <c r="D82" s="88"/>
      <c r="E82" s="79">
        <v>18</v>
      </c>
      <c r="F82" s="80">
        <v>0.0139</v>
      </c>
      <c r="G82" s="79">
        <v>81</v>
      </c>
      <c r="H82" s="80">
        <v>0.0139</v>
      </c>
      <c r="I82" s="83">
        <v>1</v>
      </c>
      <c r="J82" s="79">
        <v>2</v>
      </c>
      <c r="K82" s="79"/>
      <c r="L82" s="80">
        <v>0</v>
      </c>
      <c r="M82" s="80"/>
      <c r="N82" s="86">
        <v>347</v>
      </c>
      <c r="O82" s="86"/>
      <c r="P82" s="79">
        <v>6</v>
      </c>
      <c r="Q82" s="87"/>
    </row>
    <row r="83" ht="15" spans="1:17">
      <c r="A83" s="89">
        <v>43259</v>
      </c>
      <c r="B83" s="78"/>
      <c r="C83" s="79">
        <v>2</v>
      </c>
      <c r="D83" s="88"/>
      <c r="E83" s="79">
        <v>85</v>
      </c>
      <c r="F83" s="80">
        <v>0.0694</v>
      </c>
      <c r="G83" s="79">
        <v>55</v>
      </c>
      <c r="H83" s="80">
        <v>0.0694</v>
      </c>
      <c r="I83" s="83">
        <v>1</v>
      </c>
      <c r="J83" s="79">
        <v>1</v>
      </c>
      <c r="K83" s="79"/>
      <c r="L83" s="80">
        <v>0</v>
      </c>
      <c r="M83" s="80"/>
      <c r="N83" s="86">
        <v>348</v>
      </c>
      <c r="O83" s="86"/>
      <c r="P83" s="79">
        <v>0</v>
      </c>
      <c r="Q83" s="87"/>
    </row>
    <row r="84" ht="15" spans="1:17">
      <c r="A84" s="89">
        <v>43259</v>
      </c>
      <c r="B84" s="78"/>
      <c r="C84" s="79">
        <v>3</v>
      </c>
      <c r="D84" s="88"/>
      <c r="E84" s="79">
        <v>30</v>
      </c>
      <c r="F84" s="80">
        <v>0.0278</v>
      </c>
      <c r="G84" s="79">
        <v>19</v>
      </c>
      <c r="H84" s="80">
        <v>0.0278</v>
      </c>
      <c r="I84" s="83">
        <v>1</v>
      </c>
      <c r="J84" s="79">
        <v>1</v>
      </c>
      <c r="K84" s="79"/>
      <c r="L84" s="80">
        <v>0</v>
      </c>
      <c r="M84" s="80"/>
      <c r="N84" s="86">
        <v>488</v>
      </c>
      <c r="O84" s="86"/>
      <c r="P84" s="79">
        <v>2</v>
      </c>
      <c r="Q84" s="87"/>
    </row>
    <row r="85" ht="15" spans="1:17">
      <c r="A85" s="89">
        <v>43260</v>
      </c>
      <c r="B85" s="78"/>
      <c r="C85" s="79">
        <v>5</v>
      </c>
      <c r="D85" s="88"/>
      <c r="E85" s="79">
        <v>3</v>
      </c>
      <c r="F85" s="80">
        <v>0.7273</v>
      </c>
      <c r="G85" s="79">
        <v>17</v>
      </c>
      <c r="H85" s="80">
        <v>0.7273</v>
      </c>
      <c r="I85" s="83">
        <v>1</v>
      </c>
      <c r="J85" s="79">
        <v>17</v>
      </c>
      <c r="K85" s="79"/>
      <c r="L85" s="80">
        <v>0.6667</v>
      </c>
      <c r="M85" s="80"/>
      <c r="N85" s="86">
        <v>264</v>
      </c>
      <c r="O85" s="86"/>
      <c r="P85" s="79">
        <v>19</v>
      </c>
      <c r="Q85" s="87"/>
    </row>
    <row r="86" ht="15" spans="1:17">
      <c r="A86" s="89">
        <v>43260</v>
      </c>
      <c r="B86" s="78"/>
      <c r="C86" s="79">
        <v>2</v>
      </c>
      <c r="D86" s="88"/>
      <c r="E86" s="79">
        <v>36</v>
      </c>
      <c r="F86" s="80">
        <v>0.2727</v>
      </c>
      <c r="G86" s="79">
        <v>63</v>
      </c>
      <c r="H86" s="80">
        <v>0.2727</v>
      </c>
      <c r="I86" s="83">
        <v>1</v>
      </c>
      <c r="J86" s="79">
        <v>27</v>
      </c>
      <c r="K86" s="79"/>
      <c r="L86" s="80">
        <v>1</v>
      </c>
      <c r="M86" s="80"/>
      <c r="N86" s="86">
        <v>180</v>
      </c>
      <c r="O86" s="86"/>
      <c r="P86" s="79">
        <v>14</v>
      </c>
      <c r="Q86" s="87"/>
    </row>
    <row r="87" ht="15" spans="1:17">
      <c r="A87" s="89">
        <v>43261</v>
      </c>
      <c r="B87" s="78"/>
      <c r="C87" s="79">
        <v>5</v>
      </c>
      <c r="D87" s="88"/>
      <c r="E87" s="79">
        <v>1</v>
      </c>
      <c r="F87" s="80">
        <v>0.8182</v>
      </c>
      <c r="G87" s="79">
        <v>18</v>
      </c>
      <c r="H87" s="80">
        <v>0.8182</v>
      </c>
      <c r="I87" s="83">
        <v>1</v>
      </c>
      <c r="J87" s="79">
        <v>3</v>
      </c>
      <c r="K87" s="79"/>
      <c r="L87" s="80">
        <v>1</v>
      </c>
      <c r="M87" s="80"/>
      <c r="N87" s="86">
        <v>316</v>
      </c>
      <c r="O87" s="86"/>
      <c r="P87" s="79">
        <v>20</v>
      </c>
      <c r="Q87" s="87"/>
    </row>
    <row r="88" ht="15" spans="1:17">
      <c r="A88" s="89">
        <v>43261</v>
      </c>
      <c r="B88" s="78"/>
      <c r="C88" s="79">
        <v>2</v>
      </c>
      <c r="D88" s="88"/>
      <c r="E88" s="79">
        <v>81</v>
      </c>
      <c r="F88" s="80">
        <v>0.0606</v>
      </c>
      <c r="G88" s="79">
        <v>29</v>
      </c>
      <c r="H88" s="80">
        <v>0.0606</v>
      </c>
      <c r="I88" s="83">
        <v>1</v>
      </c>
      <c r="J88" s="79">
        <v>16</v>
      </c>
      <c r="K88" s="79"/>
      <c r="L88" s="80">
        <v>0</v>
      </c>
      <c r="M88" s="80"/>
      <c r="N88" s="86">
        <v>193</v>
      </c>
      <c r="O88" s="86"/>
      <c r="P88" s="79">
        <v>16</v>
      </c>
      <c r="Q88" s="87"/>
    </row>
    <row r="89" ht="15" spans="1:17">
      <c r="A89" s="89">
        <v>43261</v>
      </c>
      <c r="B89" s="78"/>
      <c r="C89" s="79">
        <v>1</v>
      </c>
      <c r="D89" s="88"/>
      <c r="E89" s="79">
        <v>19</v>
      </c>
      <c r="F89" s="80">
        <v>0.1212</v>
      </c>
      <c r="G89" s="79">
        <v>57</v>
      </c>
      <c r="H89" s="80">
        <v>0.1212</v>
      </c>
      <c r="I89" s="83">
        <v>1</v>
      </c>
      <c r="J89" s="79">
        <v>30</v>
      </c>
      <c r="K89" s="79"/>
      <c r="L89" s="80">
        <v>0</v>
      </c>
      <c r="M89" s="80"/>
      <c r="N89" s="86">
        <v>208</v>
      </c>
      <c r="O89" s="86"/>
      <c r="P89" s="79">
        <v>17</v>
      </c>
      <c r="Q89" s="87"/>
    </row>
    <row r="90" ht="15" spans="1:17">
      <c r="A90" s="89">
        <v>43262</v>
      </c>
      <c r="B90" s="78"/>
      <c r="C90" s="79">
        <v>5</v>
      </c>
      <c r="D90" s="88"/>
      <c r="E90" s="79">
        <v>64</v>
      </c>
      <c r="F90" s="80">
        <v>0.8293</v>
      </c>
      <c r="G90" s="79">
        <v>70</v>
      </c>
      <c r="H90" s="80">
        <v>0.8293</v>
      </c>
      <c r="I90" s="83">
        <v>1</v>
      </c>
      <c r="J90" s="79">
        <v>15</v>
      </c>
      <c r="K90" s="79"/>
      <c r="L90" s="80">
        <v>1.037</v>
      </c>
      <c r="M90" s="80"/>
      <c r="N90" s="86">
        <v>108</v>
      </c>
      <c r="O90" s="86"/>
      <c r="P90" s="79">
        <v>8</v>
      </c>
      <c r="Q90" s="87"/>
    </row>
    <row r="91" ht="15" spans="1:17">
      <c r="A91" s="89">
        <v>43262</v>
      </c>
      <c r="B91" s="78"/>
      <c r="C91" s="79">
        <v>1</v>
      </c>
      <c r="D91" s="88"/>
      <c r="E91" s="79">
        <v>19</v>
      </c>
      <c r="F91" s="80">
        <v>0.1463</v>
      </c>
      <c r="G91" s="79">
        <v>81</v>
      </c>
      <c r="H91" s="80">
        <v>0.1463</v>
      </c>
      <c r="I91" s="83">
        <v>1</v>
      </c>
      <c r="J91" s="79">
        <v>28</v>
      </c>
      <c r="K91" s="79"/>
      <c r="L91" s="80">
        <v>0.1667</v>
      </c>
      <c r="M91" s="80"/>
      <c r="N91" s="86">
        <v>327</v>
      </c>
      <c r="O91" s="86"/>
      <c r="P91" s="79">
        <v>9</v>
      </c>
      <c r="Q91" s="87"/>
    </row>
    <row r="92" ht="15" spans="1:17">
      <c r="A92" s="89">
        <v>43262</v>
      </c>
      <c r="B92" s="78"/>
      <c r="C92" s="79">
        <v>2</v>
      </c>
      <c r="D92" s="88"/>
      <c r="E92" s="79">
        <v>80</v>
      </c>
      <c r="F92" s="80">
        <v>0.0244</v>
      </c>
      <c r="G92" s="79">
        <v>57</v>
      </c>
      <c r="H92" s="80">
        <v>0.0244</v>
      </c>
      <c r="I92" s="83">
        <v>1</v>
      </c>
      <c r="J92" s="79">
        <v>2</v>
      </c>
      <c r="K92" s="79"/>
      <c r="L92" s="80">
        <v>0</v>
      </c>
      <c r="M92" s="80"/>
      <c r="N92" s="86">
        <v>217</v>
      </c>
      <c r="O92" s="86"/>
      <c r="P92" s="79">
        <v>7</v>
      </c>
      <c r="Q92" s="87"/>
    </row>
    <row r="93" ht="15" spans="1:17">
      <c r="A93" s="89">
        <v>43263</v>
      </c>
      <c r="B93" s="78"/>
      <c r="C93" s="79">
        <v>5</v>
      </c>
      <c r="D93" s="88"/>
      <c r="E93" s="79">
        <v>77</v>
      </c>
      <c r="F93" s="80">
        <v>0.675</v>
      </c>
      <c r="G93" s="79">
        <v>4</v>
      </c>
      <c r="H93" s="80">
        <v>0.675</v>
      </c>
      <c r="I93" s="83">
        <v>1</v>
      </c>
      <c r="J93" s="79">
        <v>7</v>
      </c>
      <c r="K93" s="79"/>
      <c r="L93" s="80">
        <v>0.4286</v>
      </c>
      <c r="M93" s="80"/>
      <c r="N93" s="86">
        <v>290</v>
      </c>
      <c r="O93" s="86"/>
      <c r="P93" s="79">
        <v>17</v>
      </c>
      <c r="Q93" s="87"/>
    </row>
    <row r="94" ht="15" spans="1:17">
      <c r="A94" s="89">
        <v>43263</v>
      </c>
      <c r="B94" s="78"/>
      <c r="C94" s="79">
        <v>2</v>
      </c>
      <c r="D94" s="88"/>
      <c r="E94" s="79">
        <v>12</v>
      </c>
      <c r="F94" s="80">
        <v>0.025</v>
      </c>
      <c r="G94" s="79">
        <v>29</v>
      </c>
      <c r="H94" s="80">
        <v>0.025</v>
      </c>
      <c r="I94" s="83">
        <v>0</v>
      </c>
      <c r="J94" s="79">
        <v>11</v>
      </c>
      <c r="K94" s="79"/>
      <c r="L94" s="80">
        <v>0</v>
      </c>
      <c r="M94" s="80"/>
      <c r="N94" s="86">
        <v>167</v>
      </c>
      <c r="O94" s="86"/>
      <c r="P94" s="79">
        <v>19</v>
      </c>
      <c r="Q94" s="87"/>
    </row>
    <row r="95" ht="15" spans="1:17">
      <c r="A95" s="89">
        <v>43263</v>
      </c>
      <c r="B95" s="78"/>
      <c r="C95" s="79">
        <v>3</v>
      </c>
      <c r="D95" s="88"/>
      <c r="E95" s="79">
        <v>2</v>
      </c>
      <c r="F95" s="80">
        <v>0.025</v>
      </c>
      <c r="G95" s="79">
        <v>75</v>
      </c>
      <c r="H95" s="80">
        <v>0.025</v>
      </c>
      <c r="I95" s="83">
        <v>0</v>
      </c>
      <c r="J95" s="79">
        <v>4</v>
      </c>
      <c r="K95" s="79"/>
      <c r="L95" s="80">
        <v>0</v>
      </c>
      <c r="M95" s="80"/>
      <c r="N95" s="86">
        <v>273</v>
      </c>
      <c r="O95" s="86"/>
      <c r="P95" s="79">
        <v>2</v>
      </c>
      <c r="Q95" s="87"/>
    </row>
    <row r="96" ht="15" spans="1:17">
      <c r="A96" s="89">
        <v>43263</v>
      </c>
      <c r="B96" s="78"/>
      <c r="C96" s="79">
        <v>1</v>
      </c>
      <c r="D96" s="88"/>
      <c r="E96" s="79">
        <v>38</v>
      </c>
      <c r="F96" s="80">
        <v>0.275</v>
      </c>
      <c r="G96" s="79">
        <v>18</v>
      </c>
      <c r="H96" s="80">
        <v>0.275</v>
      </c>
      <c r="I96" s="83">
        <v>1</v>
      </c>
      <c r="J96" s="79">
        <v>4</v>
      </c>
      <c r="K96" s="79"/>
      <c r="L96" s="80">
        <v>0</v>
      </c>
      <c r="M96" s="80"/>
      <c r="N96" s="86">
        <v>387</v>
      </c>
      <c r="O96" s="86"/>
      <c r="P96" s="79">
        <v>20</v>
      </c>
      <c r="Q96" s="87"/>
    </row>
    <row r="97" ht="15" spans="1:17">
      <c r="A97" s="89">
        <v>43264</v>
      </c>
      <c r="B97" s="78"/>
      <c r="C97" s="79">
        <v>5</v>
      </c>
      <c r="D97" s="88"/>
      <c r="E97" s="79">
        <v>96</v>
      </c>
      <c r="F97" s="80">
        <v>0.6579</v>
      </c>
      <c r="G97" s="79">
        <v>4</v>
      </c>
      <c r="H97" s="80">
        <v>0.6579</v>
      </c>
      <c r="I97" s="83">
        <v>1</v>
      </c>
      <c r="J97" s="79">
        <v>29</v>
      </c>
      <c r="K97" s="79"/>
      <c r="L97" s="80">
        <v>0.8636</v>
      </c>
      <c r="M97" s="80"/>
      <c r="N97" s="86">
        <v>186</v>
      </c>
      <c r="O97" s="86"/>
      <c r="P97" s="79">
        <v>20</v>
      </c>
      <c r="Q97" s="87"/>
    </row>
    <row r="98" ht="15" spans="1:17">
      <c r="A98" s="89">
        <v>43264</v>
      </c>
      <c r="B98" s="78"/>
      <c r="C98" s="79">
        <v>1</v>
      </c>
      <c r="D98" s="88"/>
      <c r="E98" s="79">
        <v>31</v>
      </c>
      <c r="F98" s="80">
        <v>0.2895</v>
      </c>
      <c r="G98" s="79">
        <v>65</v>
      </c>
      <c r="H98" s="80">
        <v>0.2895</v>
      </c>
      <c r="I98" s="83">
        <v>1</v>
      </c>
      <c r="J98" s="79">
        <v>24</v>
      </c>
      <c r="K98" s="79"/>
      <c r="L98" s="80">
        <v>0.1818</v>
      </c>
      <c r="M98" s="80"/>
      <c r="N98" s="86">
        <v>307</v>
      </c>
      <c r="O98" s="86"/>
      <c r="P98" s="79">
        <v>17</v>
      </c>
      <c r="Q98" s="87"/>
    </row>
    <row r="99" ht="15" spans="1:17">
      <c r="A99" s="89">
        <v>43264</v>
      </c>
      <c r="B99" s="78"/>
      <c r="C99" s="79">
        <v>2</v>
      </c>
      <c r="D99" s="88"/>
      <c r="E99" s="79">
        <v>22</v>
      </c>
      <c r="F99" s="80">
        <v>0.0526</v>
      </c>
      <c r="G99" s="79">
        <v>69</v>
      </c>
      <c r="H99" s="80">
        <v>0.0526</v>
      </c>
      <c r="I99" s="83">
        <v>1</v>
      </c>
      <c r="J99" s="79">
        <v>7</v>
      </c>
      <c r="K99" s="79"/>
      <c r="L99" s="80">
        <v>0.5</v>
      </c>
      <c r="M99" s="80"/>
      <c r="N99" s="86">
        <v>479</v>
      </c>
      <c r="O99" s="86"/>
      <c r="P99" s="79">
        <v>11</v>
      </c>
      <c r="Q99" s="87"/>
    </row>
    <row r="100" ht="15" spans="1:17">
      <c r="A100" s="89">
        <v>43265</v>
      </c>
      <c r="B100" s="78"/>
      <c r="C100" s="79">
        <v>5</v>
      </c>
      <c r="D100" s="88"/>
      <c r="E100" s="79">
        <v>100</v>
      </c>
      <c r="F100" s="80">
        <v>0.9412</v>
      </c>
      <c r="G100" s="79">
        <v>20</v>
      </c>
      <c r="H100" s="80">
        <v>0.9412</v>
      </c>
      <c r="I100" s="83">
        <v>1</v>
      </c>
      <c r="J100" s="79">
        <v>12</v>
      </c>
      <c r="K100" s="79"/>
      <c r="L100" s="80">
        <v>0.5</v>
      </c>
      <c r="M100" s="80"/>
      <c r="N100" s="86">
        <v>53</v>
      </c>
      <c r="O100" s="86"/>
      <c r="P100" s="79">
        <v>0</v>
      </c>
      <c r="Q100" s="87"/>
    </row>
    <row r="101" ht="15" spans="1:17">
      <c r="A101" s="89">
        <v>43265</v>
      </c>
      <c r="B101" s="78"/>
      <c r="C101" s="79">
        <v>2</v>
      </c>
      <c r="D101" s="88"/>
      <c r="E101" s="79">
        <v>42</v>
      </c>
      <c r="F101" s="80">
        <v>0</v>
      </c>
      <c r="G101" s="79">
        <v>1</v>
      </c>
      <c r="H101" s="80">
        <v>0</v>
      </c>
      <c r="I101" s="83">
        <v>0</v>
      </c>
      <c r="J101" s="79">
        <v>25</v>
      </c>
      <c r="K101" s="79"/>
      <c r="L101" s="80">
        <v>0</v>
      </c>
      <c r="M101" s="80"/>
      <c r="N101" s="86">
        <v>349</v>
      </c>
      <c r="O101" s="86"/>
      <c r="P101" s="79">
        <v>11</v>
      </c>
      <c r="Q101" s="87"/>
    </row>
    <row r="102" ht="15" spans="1:17">
      <c r="A102" s="89">
        <v>43265</v>
      </c>
      <c r="B102" s="78"/>
      <c r="C102" s="79">
        <v>1</v>
      </c>
      <c r="D102" s="88"/>
      <c r="E102" s="79">
        <v>97</v>
      </c>
      <c r="F102" s="80">
        <v>0.0588</v>
      </c>
      <c r="G102" s="79">
        <v>32</v>
      </c>
      <c r="H102" s="80">
        <v>0.0588</v>
      </c>
      <c r="I102" s="83">
        <v>1</v>
      </c>
      <c r="J102" s="79">
        <v>3</v>
      </c>
      <c r="K102" s="79"/>
      <c r="L102" s="80">
        <v>0.5</v>
      </c>
      <c r="M102" s="80"/>
      <c r="N102" s="86">
        <v>70</v>
      </c>
      <c r="O102" s="86"/>
      <c r="P102" s="79">
        <v>17</v>
      </c>
      <c r="Q102" s="87"/>
    </row>
    <row r="103" ht="15" spans="1:17">
      <c r="A103" s="89">
        <v>43266</v>
      </c>
      <c r="B103" s="78"/>
      <c r="C103" s="79">
        <v>5</v>
      </c>
      <c r="D103" s="88"/>
      <c r="E103" s="79">
        <v>90</v>
      </c>
      <c r="F103" s="80">
        <v>0.7381</v>
      </c>
      <c r="G103" s="79">
        <v>24</v>
      </c>
      <c r="H103" s="80">
        <v>0.7381</v>
      </c>
      <c r="I103" s="83">
        <v>1</v>
      </c>
      <c r="J103" s="79">
        <v>15</v>
      </c>
      <c r="K103" s="79"/>
      <c r="L103" s="80">
        <v>0.4286</v>
      </c>
      <c r="M103" s="80"/>
      <c r="N103" s="86">
        <v>377</v>
      </c>
      <c r="O103" s="86"/>
      <c r="P103" s="79">
        <v>6</v>
      </c>
      <c r="Q103" s="87"/>
    </row>
    <row r="104" ht="15" spans="1:17">
      <c r="A104" s="89">
        <v>43266</v>
      </c>
      <c r="B104" s="78"/>
      <c r="C104" s="79">
        <v>4</v>
      </c>
      <c r="D104" s="88"/>
      <c r="E104" s="79">
        <v>21</v>
      </c>
      <c r="F104" s="80">
        <v>0.0238</v>
      </c>
      <c r="G104" s="79">
        <v>5</v>
      </c>
      <c r="H104" s="80">
        <v>0.0238</v>
      </c>
      <c r="I104" s="83">
        <v>0</v>
      </c>
      <c r="J104" s="79">
        <v>9</v>
      </c>
      <c r="K104" s="79"/>
      <c r="L104" s="80">
        <v>0</v>
      </c>
      <c r="M104" s="80"/>
      <c r="N104" s="86">
        <v>267</v>
      </c>
      <c r="O104" s="86"/>
      <c r="P104" s="79">
        <v>13</v>
      </c>
      <c r="Q104" s="87"/>
    </row>
    <row r="105" ht="15" spans="1:17">
      <c r="A105" s="89">
        <v>43266</v>
      </c>
      <c r="B105" s="78"/>
      <c r="C105" s="79">
        <v>2</v>
      </c>
      <c r="D105" s="88"/>
      <c r="E105" s="79">
        <v>29</v>
      </c>
      <c r="F105" s="80">
        <v>0.0476</v>
      </c>
      <c r="G105" s="79">
        <v>91</v>
      </c>
      <c r="H105" s="80">
        <v>0.0476</v>
      </c>
      <c r="I105" s="83">
        <v>1</v>
      </c>
      <c r="J105" s="79">
        <v>11</v>
      </c>
      <c r="K105" s="79"/>
      <c r="L105" s="80">
        <v>0</v>
      </c>
      <c r="M105" s="80"/>
      <c r="N105" s="86">
        <v>239</v>
      </c>
      <c r="O105" s="86"/>
      <c r="P105" s="79">
        <v>1</v>
      </c>
      <c r="Q105" s="87"/>
    </row>
    <row r="106" ht="15" spans="1:17">
      <c r="A106" s="89">
        <v>43266</v>
      </c>
      <c r="B106" s="78"/>
      <c r="C106" s="79">
        <v>3</v>
      </c>
      <c r="D106" s="88"/>
      <c r="E106" s="79">
        <v>34</v>
      </c>
      <c r="F106" s="80">
        <v>0.0238</v>
      </c>
      <c r="G106" s="79">
        <v>49</v>
      </c>
      <c r="H106" s="80">
        <v>0.0238</v>
      </c>
      <c r="I106" s="83">
        <v>1</v>
      </c>
      <c r="J106" s="79">
        <v>2</v>
      </c>
      <c r="K106" s="79"/>
      <c r="L106" s="80">
        <v>0</v>
      </c>
      <c r="M106" s="80"/>
      <c r="N106" s="86">
        <v>95</v>
      </c>
      <c r="O106" s="86"/>
      <c r="P106" s="79">
        <v>7</v>
      </c>
      <c r="Q106" s="87"/>
    </row>
    <row r="107" ht="15" spans="1:17">
      <c r="A107" s="89">
        <v>43266</v>
      </c>
      <c r="B107" s="78"/>
      <c r="C107" s="79">
        <v>1</v>
      </c>
      <c r="D107" s="88"/>
      <c r="E107" s="79">
        <v>75</v>
      </c>
      <c r="F107" s="80">
        <v>0.1667</v>
      </c>
      <c r="G107" s="79">
        <v>59</v>
      </c>
      <c r="H107" s="80">
        <v>0.1667</v>
      </c>
      <c r="I107" s="83">
        <v>1</v>
      </c>
      <c r="J107" s="79">
        <v>26</v>
      </c>
      <c r="K107" s="79"/>
      <c r="L107" s="80">
        <v>0</v>
      </c>
      <c r="M107" s="80"/>
      <c r="N107" s="86">
        <v>454</v>
      </c>
      <c r="O107" s="86"/>
      <c r="P107" s="79">
        <v>4</v>
      </c>
      <c r="Q107" s="87"/>
    </row>
    <row r="108" ht="15" spans="1:17">
      <c r="A108" s="89">
        <v>43267</v>
      </c>
      <c r="B108" s="78"/>
      <c r="C108" s="79">
        <v>5</v>
      </c>
      <c r="D108" s="88"/>
      <c r="E108" s="79">
        <v>71</v>
      </c>
      <c r="F108" s="80">
        <v>0.5652</v>
      </c>
      <c r="G108" s="79">
        <v>32</v>
      </c>
      <c r="H108" s="80">
        <v>0.5652</v>
      </c>
      <c r="I108" s="83">
        <v>1</v>
      </c>
      <c r="J108" s="79">
        <v>15</v>
      </c>
      <c r="K108" s="79"/>
      <c r="L108" s="80">
        <v>0.25</v>
      </c>
      <c r="M108" s="80"/>
      <c r="N108" s="86">
        <v>121</v>
      </c>
      <c r="O108" s="86"/>
      <c r="P108" s="79">
        <v>15</v>
      </c>
      <c r="Q108" s="87"/>
    </row>
    <row r="109" ht="15" spans="1:17">
      <c r="A109" s="89">
        <v>43267</v>
      </c>
      <c r="B109" s="78"/>
      <c r="C109" s="79">
        <v>2</v>
      </c>
      <c r="D109" s="88"/>
      <c r="E109" s="79">
        <v>19</v>
      </c>
      <c r="F109" s="80">
        <v>0.1304</v>
      </c>
      <c r="G109" s="79">
        <v>37</v>
      </c>
      <c r="H109" s="80">
        <v>0.1304</v>
      </c>
      <c r="I109" s="83">
        <v>1</v>
      </c>
      <c r="J109" s="79">
        <v>20</v>
      </c>
      <c r="K109" s="79"/>
      <c r="L109" s="80">
        <v>0</v>
      </c>
      <c r="M109" s="80"/>
      <c r="N109" s="86">
        <v>417</v>
      </c>
      <c r="O109" s="86"/>
      <c r="P109" s="79">
        <v>15</v>
      </c>
      <c r="Q109" s="87"/>
    </row>
    <row r="110" ht="15" spans="1:17">
      <c r="A110" s="89">
        <v>43267</v>
      </c>
      <c r="B110" s="78"/>
      <c r="C110" s="79">
        <v>1</v>
      </c>
      <c r="D110" s="88"/>
      <c r="E110" s="79">
        <v>82</v>
      </c>
      <c r="F110" s="80">
        <v>0.3043</v>
      </c>
      <c r="G110" s="79">
        <v>44</v>
      </c>
      <c r="H110" s="80">
        <v>0.3043</v>
      </c>
      <c r="I110" s="83">
        <v>1</v>
      </c>
      <c r="J110" s="79">
        <v>14</v>
      </c>
      <c r="K110" s="79"/>
      <c r="L110" s="80">
        <v>0</v>
      </c>
      <c r="M110" s="80"/>
      <c r="N110" s="86">
        <v>345</v>
      </c>
      <c r="O110" s="86"/>
      <c r="P110" s="79">
        <v>17</v>
      </c>
      <c r="Q110" s="87"/>
    </row>
    <row r="111" ht="15" spans="1:17">
      <c r="A111" s="89">
        <v>43268</v>
      </c>
      <c r="B111" s="78"/>
      <c r="C111" s="79">
        <v>5</v>
      </c>
      <c r="D111" s="88"/>
      <c r="E111" s="79">
        <v>23</v>
      </c>
      <c r="F111" s="80">
        <v>0.3778</v>
      </c>
      <c r="G111" s="79">
        <v>66</v>
      </c>
      <c r="H111" s="80">
        <v>0.3778</v>
      </c>
      <c r="I111" s="83">
        <v>1</v>
      </c>
      <c r="J111" s="79">
        <v>5</v>
      </c>
      <c r="K111" s="79"/>
      <c r="L111" s="80">
        <v>0.8462</v>
      </c>
      <c r="M111" s="80"/>
      <c r="N111" s="86">
        <v>325</v>
      </c>
      <c r="O111" s="86"/>
      <c r="P111" s="79">
        <v>15</v>
      </c>
      <c r="Q111" s="87"/>
    </row>
    <row r="112" ht="15" spans="1:17">
      <c r="A112" s="89">
        <v>43268</v>
      </c>
      <c r="B112" s="78"/>
      <c r="C112" s="79">
        <v>1</v>
      </c>
      <c r="D112" s="88"/>
      <c r="E112" s="79">
        <v>66</v>
      </c>
      <c r="F112" s="80">
        <v>0.4889</v>
      </c>
      <c r="G112" s="79">
        <v>23</v>
      </c>
      <c r="H112" s="80">
        <v>0.4889</v>
      </c>
      <c r="I112" s="83">
        <v>1</v>
      </c>
      <c r="J112" s="79">
        <v>23</v>
      </c>
      <c r="K112" s="79"/>
      <c r="L112" s="80">
        <v>0.1333</v>
      </c>
      <c r="M112" s="80"/>
      <c r="N112" s="86">
        <v>432</v>
      </c>
      <c r="O112" s="86"/>
      <c r="P112" s="79">
        <v>4</v>
      </c>
      <c r="Q112" s="87"/>
    </row>
    <row r="113" ht="15" spans="1:17">
      <c r="A113" s="89">
        <v>43268</v>
      </c>
      <c r="B113" s="78"/>
      <c r="C113" s="79">
        <v>2</v>
      </c>
      <c r="D113" s="88"/>
      <c r="E113" s="79">
        <v>100</v>
      </c>
      <c r="F113" s="80">
        <v>0.1333</v>
      </c>
      <c r="G113" s="79">
        <v>17</v>
      </c>
      <c r="H113" s="80">
        <v>0.1333</v>
      </c>
      <c r="I113" s="83">
        <v>1</v>
      </c>
      <c r="J113" s="79">
        <v>15</v>
      </c>
      <c r="K113" s="79"/>
      <c r="L113" s="80">
        <v>0.1667</v>
      </c>
      <c r="M113" s="80"/>
      <c r="N113" s="86">
        <v>469</v>
      </c>
      <c r="O113" s="86"/>
      <c r="P113" s="79">
        <v>8</v>
      </c>
      <c r="Q113" s="87"/>
    </row>
    <row r="114" ht="15" spans="1:17">
      <c r="A114" s="89">
        <v>43269</v>
      </c>
      <c r="B114" s="78"/>
      <c r="C114" s="79">
        <v>5</v>
      </c>
      <c r="D114" s="88"/>
      <c r="E114" s="79">
        <v>100</v>
      </c>
      <c r="F114" s="80">
        <v>0.5278</v>
      </c>
      <c r="G114" s="79">
        <v>79</v>
      </c>
      <c r="H114" s="80">
        <v>0.5278</v>
      </c>
      <c r="I114" s="83">
        <v>1</v>
      </c>
      <c r="J114" s="79">
        <v>26</v>
      </c>
      <c r="K114" s="79"/>
      <c r="L114" s="80">
        <v>1.2</v>
      </c>
      <c r="M114" s="80"/>
      <c r="N114" s="86">
        <v>179</v>
      </c>
      <c r="O114" s="86"/>
      <c r="P114" s="79">
        <v>20</v>
      </c>
      <c r="Q114" s="87"/>
    </row>
    <row r="115" ht="15" spans="1:17">
      <c r="A115" s="89">
        <v>43269</v>
      </c>
      <c r="B115" s="78"/>
      <c r="C115" s="79">
        <v>4</v>
      </c>
      <c r="D115" s="88"/>
      <c r="E115" s="79">
        <v>27</v>
      </c>
      <c r="F115" s="80">
        <v>0.0278</v>
      </c>
      <c r="G115" s="79">
        <v>8</v>
      </c>
      <c r="H115" s="80">
        <v>0.0278</v>
      </c>
      <c r="I115" s="83">
        <v>0</v>
      </c>
      <c r="J115" s="79">
        <v>24</v>
      </c>
      <c r="K115" s="79"/>
      <c r="L115" s="80">
        <v>0</v>
      </c>
      <c r="M115" s="80"/>
      <c r="N115" s="86">
        <v>182</v>
      </c>
      <c r="O115" s="86"/>
      <c r="P115" s="79">
        <v>7</v>
      </c>
      <c r="Q115" s="87"/>
    </row>
    <row r="116" ht="15" spans="1:17">
      <c r="A116" s="89">
        <v>43269</v>
      </c>
      <c r="B116" s="78"/>
      <c r="C116" s="79">
        <v>2</v>
      </c>
      <c r="D116" s="88"/>
      <c r="E116" s="79">
        <v>65</v>
      </c>
      <c r="F116" s="80">
        <v>0.2222</v>
      </c>
      <c r="G116" s="79">
        <v>60</v>
      </c>
      <c r="H116" s="80">
        <v>0.2222</v>
      </c>
      <c r="I116" s="83">
        <v>1</v>
      </c>
      <c r="J116" s="79">
        <v>14</v>
      </c>
      <c r="K116" s="79"/>
      <c r="L116" s="80">
        <v>0</v>
      </c>
      <c r="M116" s="80"/>
      <c r="N116" s="86">
        <v>424</v>
      </c>
      <c r="O116" s="86"/>
      <c r="P116" s="79">
        <v>6</v>
      </c>
      <c r="Q116" s="87"/>
    </row>
    <row r="117" ht="15" spans="1:17">
      <c r="A117" s="89">
        <v>43269</v>
      </c>
      <c r="B117" s="78"/>
      <c r="C117" s="79">
        <v>3</v>
      </c>
      <c r="D117" s="88"/>
      <c r="E117" s="79">
        <v>1</v>
      </c>
      <c r="F117" s="80">
        <v>0.0278</v>
      </c>
      <c r="G117" s="79">
        <v>42</v>
      </c>
      <c r="H117" s="80">
        <v>0.0278</v>
      </c>
      <c r="I117" s="83">
        <v>1</v>
      </c>
      <c r="J117" s="79">
        <v>4</v>
      </c>
      <c r="K117" s="79"/>
      <c r="L117" s="80">
        <v>0</v>
      </c>
      <c r="M117" s="80"/>
      <c r="N117" s="86">
        <v>191</v>
      </c>
      <c r="O117" s="86"/>
      <c r="P117" s="79">
        <v>9</v>
      </c>
      <c r="Q117" s="87"/>
    </row>
    <row r="118" ht="15" spans="1:17">
      <c r="A118" s="89">
        <v>43269</v>
      </c>
      <c r="B118" s="78"/>
      <c r="C118" s="79">
        <v>1</v>
      </c>
      <c r="D118" s="88"/>
      <c r="E118" s="79">
        <v>66</v>
      </c>
      <c r="F118" s="80">
        <v>0.1944</v>
      </c>
      <c r="G118" s="79">
        <v>78</v>
      </c>
      <c r="H118" s="80">
        <v>0.1944</v>
      </c>
      <c r="I118" s="83">
        <v>1</v>
      </c>
      <c r="J118" s="79">
        <v>13</v>
      </c>
      <c r="K118" s="79"/>
      <c r="L118" s="80">
        <v>0</v>
      </c>
      <c r="M118" s="80"/>
      <c r="N118" s="86">
        <v>110</v>
      </c>
      <c r="O118" s="86"/>
      <c r="P118" s="79">
        <v>19</v>
      </c>
      <c r="Q118" s="87"/>
    </row>
    <row r="119" ht="15" spans="1:17">
      <c r="A119" s="89">
        <v>43270</v>
      </c>
      <c r="B119" s="78"/>
      <c r="C119" s="79">
        <v>5</v>
      </c>
      <c r="D119" s="88"/>
      <c r="E119" s="79">
        <v>56</v>
      </c>
      <c r="F119" s="80">
        <v>0.5676</v>
      </c>
      <c r="G119" s="79">
        <v>13</v>
      </c>
      <c r="H119" s="80">
        <v>0.5676</v>
      </c>
      <c r="I119" s="83">
        <v>1</v>
      </c>
      <c r="J119" s="79">
        <v>2</v>
      </c>
      <c r="K119" s="79"/>
      <c r="L119" s="80">
        <v>0.8</v>
      </c>
      <c r="M119" s="80"/>
      <c r="N119" s="86">
        <v>365</v>
      </c>
      <c r="O119" s="86"/>
      <c r="P119" s="79">
        <v>1</v>
      </c>
      <c r="Q119" s="87"/>
    </row>
    <row r="120" ht="15" spans="1:17">
      <c r="A120" s="89">
        <v>43270</v>
      </c>
      <c r="B120" s="78"/>
      <c r="C120" s="79">
        <v>2</v>
      </c>
      <c r="D120" s="88"/>
      <c r="E120" s="79">
        <v>4</v>
      </c>
      <c r="F120" s="80">
        <v>0.0946</v>
      </c>
      <c r="G120" s="79">
        <v>9</v>
      </c>
      <c r="H120" s="80">
        <v>0.0946</v>
      </c>
      <c r="I120" s="83">
        <v>1</v>
      </c>
      <c r="J120" s="79">
        <v>19</v>
      </c>
      <c r="K120" s="79"/>
      <c r="L120" s="80">
        <v>0.1667</v>
      </c>
      <c r="M120" s="80"/>
      <c r="N120" s="86">
        <v>369</v>
      </c>
      <c r="O120" s="86"/>
      <c r="P120" s="79">
        <v>5</v>
      </c>
      <c r="Q120" s="87"/>
    </row>
    <row r="121" ht="15" spans="1:17">
      <c r="A121" s="89">
        <v>43270</v>
      </c>
      <c r="B121" s="78"/>
      <c r="C121" s="79">
        <v>1</v>
      </c>
      <c r="D121" s="88"/>
      <c r="E121" s="79">
        <v>74</v>
      </c>
      <c r="F121" s="80">
        <v>0.3378</v>
      </c>
      <c r="G121" s="79">
        <v>54</v>
      </c>
      <c r="H121" s="80">
        <v>0.3378</v>
      </c>
      <c r="I121" s="83">
        <v>1</v>
      </c>
      <c r="J121" s="79">
        <v>28</v>
      </c>
      <c r="K121" s="79"/>
      <c r="L121" s="80">
        <v>0</v>
      </c>
      <c r="M121" s="80"/>
      <c r="N121" s="86">
        <v>212</v>
      </c>
      <c r="O121" s="86"/>
      <c r="P121" s="79">
        <v>14</v>
      </c>
      <c r="Q121" s="87"/>
    </row>
    <row r="122" ht="15" spans="1:17">
      <c r="A122" s="89">
        <v>43271</v>
      </c>
      <c r="B122" s="78"/>
      <c r="C122" s="79">
        <v>5</v>
      </c>
      <c r="D122" s="88"/>
      <c r="E122" s="79">
        <v>68</v>
      </c>
      <c r="F122" s="80">
        <v>0.8163</v>
      </c>
      <c r="G122" s="79">
        <v>57</v>
      </c>
      <c r="H122" s="80">
        <v>0.8163</v>
      </c>
      <c r="I122" s="83">
        <v>1</v>
      </c>
      <c r="J122" s="79">
        <v>15</v>
      </c>
      <c r="K122" s="79"/>
      <c r="L122" s="80">
        <v>0.32</v>
      </c>
      <c r="M122" s="80"/>
      <c r="N122" s="86">
        <v>332</v>
      </c>
      <c r="O122" s="86"/>
      <c r="P122" s="79">
        <v>10</v>
      </c>
      <c r="Q122" s="87"/>
    </row>
    <row r="123" ht="15" spans="1:17">
      <c r="A123" s="89">
        <v>43271</v>
      </c>
      <c r="B123" s="78"/>
      <c r="C123" s="79">
        <v>4</v>
      </c>
      <c r="D123" s="88"/>
      <c r="E123" s="79">
        <v>29</v>
      </c>
      <c r="F123" s="80">
        <v>0.0408</v>
      </c>
      <c r="G123" s="79">
        <v>37</v>
      </c>
      <c r="H123" s="80">
        <v>0.0408</v>
      </c>
      <c r="I123" s="83">
        <v>1</v>
      </c>
      <c r="J123" s="79">
        <v>30</v>
      </c>
      <c r="K123" s="79"/>
      <c r="L123" s="80">
        <v>0</v>
      </c>
      <c r="M123" s="80"/>
      <c r="N123" s="86">
        <v>95</v>
      </c>
      <c r="O123" s="86"/>
      <c r="P123" s="79">
        <v>10</v>
      </c>
      <c r="Q123" s="87"/>
    </row>
    <row r="124" ht="15" spans="1:17">
      <c r="A124" s="89">
        <v>43271</v>
      </c>
      <c r="B124" s="78"/>
      <c r="C124" s="79">
        <v>2</v>
      </c>
      <c r="D124" s="88"/>
      <c r="E124" s="79">
        <v>90</v>
      </c>
      <c r="F124" s="80">
        <v>0.1224</v>
      </c>
      <c r="G124" s="79">
        <v>49</v>
      </c>
      <c r="H124" s="80">
        <v>0.1224</v>
      </c>
      <c r="I124" s="83">
        <v>1</v>
      </c>
      <c r="J124" s="79">
        <v>24</v>
      </c>
      <c r="K124" s="79"/>
      <c r="L124" s="80">
        <v>0</v>
      </c>
      <c r="M124" s="80"/>
      <c r="N124" s="86">
        <v>75</v>
      </c>
      <c r="O124" s="86"/>
      <c r="P124" s="79">
        <v>11</v>
      </c>
      <c r="Q124" s="87"/>
    </row>
    <row r="125" ht="15" spans="1:17">
      <c r="A125" s="89">
        <v>43271</v>
      </c>
      <c r="B125" s="78"/>
      <c r="C125" s="79">
        <v>1</v>
      </c>
      <c r="D125" s="88"/>
      <c r="E125" s="79">
        <v>38</v>
      </c>
      <c r="F125" s="80">
        <v>0.0204</v>
      </c>
      <c r="G125" s="79">
        <v>94</v>
      </c>
      <c r="H125" s="80">
        <v>0.0204</v>
      </c>
      <c r="I125" s="83">
        <v>1</v>
      </c>
      <c r="J125" s="79">
        <v>4</v>
      </c>
      <c r="K125" s="79"/>
      <c r="L125" s="80">
        <v>0</v>
      </c>
      <c r="M125" s="80"/>
      <c r="N125" s="86">
        <v>184</v>
      </c>
      <c r="O125" s="86"/>
      <c r="P125" s="79">
        <v>18</v>
      </c>
      <c r="Q125" s="87"/>
    </row>
    <row r="126" ht="15" spans="1:17">
      <c r="A126" s="89">
        <v>43272</v>
      </c>
      <c r="B126" s="78"/>
      <c r="C126" s="79">
        <v>5</v>
      </c>
      <c r="D126" s="88"/>
      <c r="E126" s="79">
        <v>27</v>
      </c>
      <c r="F126" s="80">
        <v>0.6667</v>
      </c>
      <c r="G126" s="79">
        <v>45</v>
      </c>
      <c r="H126" s="80">
        <v>0.6667</v>
      </c>
      <c r="I126" s="83">
        <v>0.94</v>
      </c>
      <c r="J126" s="79">
        <v>8</v>
      </c>
      <c r="K126" s="79"/>
      <c r="L126" s="80">
        <v>0.6364</v>
      </c>
      <c r="M126" s="80"/>
      <c r="N126" s="86">
        <v>375</v>
      </c>
      <c r="O126" s="86"/>
      <c r="P126" s="79">
        <v>15</v>
      </c>
      <c r="Q126" s="87"/>
    </row>
    <row r="127" ht="15" spans="1:17">
      <c r="A127" s="89">
        <v>43272</v>
      </c>
      <c r="B127" s="78"/>
      <c r="C127" s="79">
        <v>2</v>
      </c>
      <c r="D127" s="88"/>
      <c r="E127" s="79">
        <v>50</v>
      </c>
      <c r="F127" s="80">
        <v>0.2083</v>
      </c>
      <c r="G127" s="79">
        <v>95</v>
      </c>
      <c r="H127" s="80">
        <v>0.2083</v>
      </c>
      <c r="I127" s="83">
        <v>1</v>
      </c>
      <c r="J127" s="79">
        <v>13</v>
      </c>
      <c r="K127" s="79"/>
      <c r="L127" s="80">
        <v>1</v>
      </c>
      <c r="M127" s="80"/>
      <c r="N127" s="86">
        <v>77</v>
      </c>
      <c r="O127" s="86"/>
      <c r="P127" s="79">
        <v>11</v>
      </c>
      <c r="Q127" s="87"/>
    </row>
    <row r="128" ht="15" spans="1:17">
      <c r="A128" s="89">
        <v>43272</v>
      </c>
      <c r="B128" s="78"/>
      <c r="C128" s="79">
        <v>3</v>
      </c>
      <c r="D128" s="88"/>
      <c r="E128" s="79">
        <v>50</v>
      </c>
      <c r="F128" s="80">
        <v>0.0417</v>
      </c>
      <c r="G128" s="79">
        <v>16</v>
      </c>
      <c r="H128" s="80">
        <v>0.0417</v>
      </c>
      <c r="I128" s="83">
        <v>0</v>
      </c>
      <c r="J128" s="79">
        <v>23</v>
      </c>
      <c r="K128" s="79"/>
      <c r="L128" s="80">
        <v>0</v>
      </c>
      <c r="M128" s="80"/>
      <c r="N128" s="86">
        <v>406</v>
      </c>
      <c r="O128" s="86"/>
      <c r="P128" s="79">
        <v>8</v>
      </c>
      <c r="Q128" s="87"/>
    </row>
    <row r="129" ht="15" spans="1:17">
      <c r="A129" s="89">
        <v>43272</v>
      </c>
      <c r="B129" s="78"/>
      <c r="C129" s="79">
        <v>1</v>
      </c>
      <c r="D129" s="88"/>
      <c r="E129" s="79">
        <v>56</v>
      </c>
      <c r="F129" s="80">
        <v>0.0833</v>
      </c>
      <c r="G129" s="79">
        <v>23</v>
      </c>
      <c r="H129" s="80">
        <v>0.0833</v>
      </c>
      <c r="I129" s="83">
        <v>1</v>
      </c>
      <c r="J129" s="79">
        <v>29</v>
      </c>
      <c r="K129" s="79"/>
      <c r="L129" s="80">
        <v>0</v>
      </c>
      <c r="M129" s="80"/>
      <c r="N129" s="86">
        <v>174</v>
      </c>
      <c r="O129" s="86"/>
      <c r="P129" s="79">
        <v>16</v>
      </c>
      <c r="Q129" s="87"/>
    </row>
    <row r="130" ht="15" spans="1:17">
      <c r="A130" s="89">
        <v>43273</v>
      </c>
      <c r="B130" s="78"/>
      <c r="C130" s="79">
        <v>5</v>
      </c>
      <c r="D130" s="88"/>
      <c r="E130" s="79">
        <v>41</v>
      </c>
      <c r="F130" s="80">
        <v>0.5938</v>
      </c>
      <c r="G130" s="79">
        <v>19</v>
      </c>
      <c r="H130" s="80">
        <v>0.5938</v>
      </c>
      <c r="I130" s="83">
        <v>1</v>
      </c>
      <c r="J130" s="79">
        <v>8</v>
      </c>
      <c r="K130" s="79"/>
      <c r="L130" s="80">
        <v>0.5333</v>
      </c>
      <c r="M130" s="80"/>
      <c r="N130" s="86">
        <v>229</v>
      </c>
      <c r="O130" s="86"/>
      <c r="P130" s="79">
        <v>12</v>
      </c>
      <c r="Q130" s="87"/>
    </row>
    <row r="131" ht="15" spans="1:17">
      <c r="A131" s="89">
        <v>43273</v>
      </c>
      <c r="B131" s="78"/>
      <c r="C131" s="79">
        <v>4</v>
      </c>
      <c r="D131" s="88"/>
      <c r="E131" s="79">
        <v>66</v>
      </c>
      <c r="F131" s="80">
        <v>0.0625</v>
      </c>
      <c r="G131" s="79">
        <v>0</v>
      </c>
      <c r="H131" s="80">
        <v>0.0625</v>
      </c>
      <c r="I131" s="83">
        <v>1</v>
      </c>
      <c r="J131" s="79">
        <v>23</v>
      </c>
      <c r="K131" s="79"/>
      <c r="L131" s="80">
        <v>0</v>
      </c>
      <c r="M131" s="80"/>
      <c r="N131" s="86">
        <v>110</v>
      </c>
      <c r="O131" s="86"/>
      <c r="P131" s="79">
        <v>4</v>
      </c>
      <c r="Q131" s="87"/>
    </row>
    <row r="132" ht="15" spans="1:17">
      <c r="A132" s="89">
        <v>43273</v>
      </c>
      <c r="B132" s="78"/>
      <c r="C132" s="79">
        <v>2</v>
      </c>
      <c r="D132" s="88"/>
      <c r="E132" s="79">
        <v>75</v>
      </c>
      <c r="F132" s="80">
        <v>0.1563</v>
      </c>
      <c r="G132" s="79">
        <v>29</v>
      </c>
      <c r="H132" s="80">
        <v>0.1563</v>
      </c>
      <c r="I132" s="83">
        <v>1</v>
      </c>
      <c r="J132" s="79">
        <v>28</v>
      </c>
      <c r="K132" s="79"/>
      <c r="L132" s="80">
        <v>0</v>
      </c>
      <c r="M132" s="80"/>
      <c r="N132" s="86">
        <v>287</v>
      </c>
      <c r="O132" s="86"/>
      <c r="P132" s="79">
        <v>7</v>
      </c>
      <c r="Q132" s="87"/>
    </row>
    <row r="133" ht="15" spans="1:17">
      <c r="A133" s="89">
        <v>43273</v>
      </c>
      <c r="B133" s="78"/>
      <c r="C133" s="79">
        <v>1</v>
      </c>
      <c r="D133" s="88"/>
      <c r="E133" s="79">
        <v>47</v>
      </c>
      <c r="F133" s="80">
        <v>0.1875</v>
      </c>
      <c r="G133" s="79">
        <v>86</v>
      </c>
      <c r="H133" s="80">
        <v>0.1875</v>
      </c>
      <c r="I133" s="83">
        <v>1</v>
      </c>
      <c r="J133" s="79">
        <v>28</v>
      </c>
      <c r="K133" s="79"/>
      <c r="L133" s="80">
        <v>0</v>
      </c>
      <c r="M133" s="80"/>
      <c r="N133" s="86">
        <v>244</v>
      </c>
      <c r="O133" s="86"/>
      <c r="P133" s="79">
        <v>17</v>
      </c>
      <c r="Q133" s="87"/>
    </row>
    <row r="134" ht="15" spans="1:17">
      <c r="A134" s="89">
        <v>43274</v>
      </c>
      <c r="B134" s="78"/>
      <c r="C134" s="79">
        <v>5</v>
      </c>
      <c r="D134" s="88"/>
      <c r="E134" s="79">
        <v>23</v>
      </c>
      <c r="F134" s="80">
        <v>0.4359</v>
      </c>
      <c r="G134" s="79">
        <v>85</v>
      </c>
      <c r="H134" s="80">
        <v>0.4359</v>
      </c>
      <c r="I134" s="83">
        <v>1</v>
      </c>
      <c r="J134" s="79">
        <v>24</v>
      </c>
      <c r="K134" s="79"/>
      <c r="L134" s="80">
        <v>0.3571</v>
      </c>
      <c r="M134" s="80"/>
      <c r="N134" s="86">
        <v>215</v>
      </c>
      <c r="O134" s="86"/>
      <c r="P134" s="79">
        <v>9</v>
      </c>
      <c r="Q134" s="87"/>
    </row>
    <row r="135" ht="15" spans="1:17">
      <c r="A135" s="89">
        <v>43274</v>
      </c>
      <c r="B135" s="78"/>
      <c r="C135" s="79">
        <v>4</v>
      </c>
      <c r="D135" s="88"/>
      <c r="E135" s="79">
        <v>52</v>
      </c>
      <c r="F135" s="80">
        <v>0.0256</v>
      </c>
      <c r="G135" s="79">
        <v>28</v>
      </c>
      <c r="H135" s="80">
        <v>0.0256</v>
      </c>
      <c r="I135" s="83">
        <v>1</v>
      </c>
      <c r="J135" s="79">
        <v>26</v>
      </c>
      <c r="K135" s="79"/>
      <c r="L135" s="80">
        <v>0</v>
      </c>
      <c r="M135" s="80"/>
      <c r="N135" s="86">
        <v>87</v>
      </c>
      <c r="O135" s="86"/>
      <c r="P135" s="79">
        <v>4</v>
      </c>
      <c r="Q135" s="87"/>
    </row>
    <row r="136" ht="15" spans="1:17">
      <c r="A136" s="89">
        <v>43274</v>
      </c>
      <c r="B136" s="78"/>
      <c r="C136" s="79">
        <v>1</v>
      </c>
      <c r="D136" s="88"/>
      <c r="E136" s="79">
        <v>23</v>
      </c>
      <c r="F136" s="80">
        <v>0.5385</v>
      </c>
      <c r="G136" s="79">
        <v>45</v>
      </c>
      <c r="H136" s="80">
        <v>0.5385</v>
      </c>
      <c r="I136" s="83">
        <v>1</v>
      </c>
      <c r="J136" s="79">
        <v>26</v>
      </c>
      <c r="K136" s="79"/>
      <c r="L136" s="80">
        <v>0</v>
      </c>
      <c r="M136" s="80"/>
      <c r="N136" s="86">
        <v>182</v>
      </c>
      <c r="O136" s="86"/>
      <c r="P136" s="79">
        <v>18</v>
      </c>
      <c r="Q136" s="87"/>
    </row>
    <row r="137" ht="15" spans="1:17">
      <c r="A137" s="89">
        <v>43275</v>
      </c>
      <c r="B137" s="78"/>
      <c r="C137" s="79">
        <v>5</v>
      </c>
      <c r="D137" s="88"/>
      <c r="E137" s="79">
        <v>48</v>
      </c>
      <c r="F137" s="80">
        <v>0.6129</v>
      </c>
      <c r="G137" s="79">
        <v>12</v>
      </c>
      <c r="H137" s="80">
        <v>0.6129</v>
      </c>
      <c r="I137" s="83">
        <v>1</v>
      </c>
      <c r="J137" s="79">
        <v>15</v>
      </c>
      <c r="K137" s="79"/>
      <c r="L137" s="80">
        <v>0.5</v>
      </c>
      <c r="M137" s="80"/>
      <c r="N137" s="86">
        <v>370</v>
      </c>
      <c r="O137" s="86"/>
      <c r="P137" s="79">
        <v>11</v>
      </c>
      <c r="Q137" s="87"/>
    </row>
    <row r="138" ht="15" spans="1:17">
      <c r="A138" s="89">
        <v>43275</v>
      </c>
      <c r="B138" s="78"/>
      <c r="C138" s="79">
        <v>1</v>
      </c>
      <c r="D138" s="88"/>
      <c r="E138" s="79">
        <v>2</v>
      </c>
      <c r="F138" s="80">
        <v>0.3871</v>
      </c>
      <c r="G138" s="79">
        <v>14</v>
      </c>
      <c r="H138" s="80">
        <v>0.3871</v>
      </c>
      <c r="I138" s="83">
        <v>1</v>
      </c>
      <c r="J138" s="79">
        <v>14</v>
      </c>
      <c r="K138" s="79"/>
      <c r="L138" s="80">
        <v>0.1667</v>
      </c>
      <c r="M138" s="80"/>
      <c r="N138" s="86">
        <v>411</v>
      </c>
      <c r="O138" s="86"/>
      <c r="P138" s="79">
        <v>10</v>
      </c>
      <c r="Q138" s="87"/>
    </row>
    <row r="139" ht="15" spans="1:17">
      <c r="A139" s="89">
        <v>43276</v>
      </c>
      <c r="B139" s="78"/>
      <c r="C139" s="79">
        <v>5</v>
      </c>
      <c r="D139" s="88"/>
      <c r="E139" s="79">
        <v>66</v>
      </c>
      <c r="F139" s="80">
        <v>0.3571</v>
      </c>
      <c r="G139" s="79">
        <v>73</v>
      </c>
      <c r="H139" s="80">
        <v>0.3571</v>
      </c>
      <c r="I139" s="83">
        <v>1</v>
      </c>
      <c r="J139" s="79">
        <v>21</v>
      </c>
      <c r="K139" s="79"/>
      <c r="L139" s="80">
        <v>0.625</v>
      </c>
      <c r="M139" s="80"/>
      <c r="N139" s="86">
        <v>325</v>
      </c>
      <c r="O139" s="86"/>
      <c r="P139" s="79">
        <v>15</v>
      </c>
      <c r="Q139" s="87"/>
    </row>
    <row r="140" ht="15" spans="1:17">
      <c r="A140" s="89">
        <v>43276</v>
      </c>
      <c r="B140" s="78"/>
      <c r="C140" s="79">
        <v>1</v>
      </c>
      <c r="D140" s="88"/>
      <c r="E140" s="79">
        <v>17</v>
      </c>
      <c r="F140" s="80">
        <v>0.5</v>
      </c>
      <c r="G140" s="79">
        <v>67</v>
      </c>
      <c r="H140" s="80">
        <v>0.5</v>
      </c>
      <c r="I140" s="83">
        <v>1</v>
      </c>
      <c r="J140" s="79">
        <v>6</v>
      </c>
      <c r="K140" s="79"/>
      <c r="L140" s="80">
        <v>0.0769</v>
      </c>
      <c r="M140" s="80"/>
      <c r="N140" s="86">
        <v>317</v>
      </c>
      <c r="O140" s="86"/>
      <c r="P140" s="79">
        <v>14</v>
      </c>
      <c r="Q140" s="87"/>
    </row>
    <row r="141" ht="15" spans="1:17">
      <c r="A141" s="89">
        <v>43276</v>
      </c>
      <c r="B141" s="78"/>
      <c r="C141" s="79">
        <v>4</v>
      </c>
      <c r="D141" s="88"/>
      <c r="E141" s="79">
        <v>64</v>
      </c>
      <c r="F141" s="80">
        <v>0.0357</v>
      </c>
      <c r="G141" s="79">
        <v>88</v>
      </c>
      <c r="H141" s="80">
        <v>0.0357</v>
      </c>
      <c r="I141" s="83">
        <v>1</v>
      </c>
      <c r="J141" s="79">
        <v>16</v>
      </c>
      <c r="K141" s="79"/>
      <c r="L141" s="80">
        <v>0</v>
      </c>
      <c r="M141" s="80"/>
      <c r="N141" s="86">
        <v>112</v>
      </c>
      <c r="O141" s="86"/>
      <c r="P141" s="79">
        <v>14</v>
      </c>
      <c r="Q141" s="87"/>
    </row>
    <row r="142" ht="15" spans="1:17">
      <c r="A142" s="89">
        <v>43276</v>
      </c>
      <c r="B142" s="78"/>
      <c r="C142" s="79">
        <v>2</v>
      </c>
      <c r="D142" s="88"/>
      <c r="E142" s="79">
        <v>7</v>
      </c>
      <c r="F142" s="80">
        <v>0.0357</v>
      </c>
      <c r="G142" s="79">
        <v>61</v>
      </c>
      <c r="H142" s="80">
        <v>0.0357</v>
      </c>
      <c r="I142" s="83">
        <v>1</v>
      </c>
      <c r="J142" s="79">
        <v>22</v>
      </c>
      <c r="K142" s="79"/>
      <c r="L142" s="80">
        <v>0</v>
      </c>
      <c r="M142" s="80"/>
      <c r="N142" s="86">
        <v>304</v>
      </c>
      <c r="O142" s="86"/>
      <c r="P142" s="79">
        <v>15</v>
      </c>
      <c r="Q142" s="87"/>
    </row>
    <row r="143" ht="15" spans="1:17">
      <c r="A143" s="89">
        <v>43276</v>
      </c>
      <c r="B143" s="78"/>
      <c r="C143" s="79">
        <v>3</v>
      </c>
      <c r="D143" s="88"/>
      <c r="E143" s="79">
        <v>47</v>
      </c>
      <c r="F143" s="80">
        <v>0.0714</v>
      </c>
      <c r="G143" s="79">
        <v>58</v>
      </c>
      <c r="H143" s="80">
        <v>0.0714</v>
      </c>
      <c r="I143" s="83">
        <v>1</v>
      </c>
      <c r="J143" s="79">
        <v>17</v>
      </c>
      <c r="K143" s="79"/>
      <c r="L143" s="80">
        <v>0</v>
      </c>
      <c r="M143" s="80"/>
      <c r="N143" s="86">
        <v>441</v>
      </c>
      <c r="O143" s="86"/>
      <c r="P143" s="79">
        <v>1</v>
      </c>
      <c r="Q143" s="87"/>
    </row>
    <row r="144" ht="15" spans="1:17">
      <c r="A144" s="89">
        <v>43277</v>
      </c>
      <c r="B144" s="78"/>
      <c r="C144" s="79">
        <v>5</v>
      </c>
      <c r="D144" s="88"/>
      <c r="E144" s="79">
        <v>83</v>
      </c>
      <c r="F144" s="80">
        <v>0.6182</v>
      </c>
      <c r="G144" s="79">
        <v>97</v>
      </c>
      <c r="H144" s="80">
        <v>0.6182</v>
      </c>
      <c r="I144" s="83">
        <v>1</v>
      </c>
      <c r="J144" s="79">
        <v>27</v>
      </c>
      <c r="K144" s="79"/>
      <c r="L144" s="80">
        <v>0.24</v>
      </c>
      <c r="M144" s="80"/>
      <c r="N144" s="86">
        <v>318</v>
      </c>
      <c r="O144" s="86"/>
      <c r="P144" s="79">
        <v>8</v>
      </c>
      <c r="Q144" s="87"/>
    </row>
    <row r="145" ht="15" spans="1:17">
      <c r="A145" s="89">
        <v>43277</v>
      </c>
      <c r="B145" s="78"/>
      <c r="C145" s="79">
        <v>4</v>
      </c>
      <c r="D145" s="88"/>
      <c r="E145" s="79">
        <v>86</v>
      </c>
      <c r="F145" s="80">
        <v>0.0182</v>
      </c>
      <c r="G145" s="79">
        <v>15</v>
      </c>
      <c r="H145" s="80">
        <v>0.0182</v>
      </c>
      <c r="I145" s="83">
        <v>0</v>
      </c>
      <c r="J145" s="79">
        <v>23</v>
      </c>
      <c r="K145" s="79"/>
      <c r="L145" s="80">
        <v>0</v>
      </c>
      <c r="M145" s="80"/>
      <c r="N145" s="86">
        <v>146</v>
      </c>
      <c r="O145" s="86"/>
      <c r="P145" s="79">
        <v>1</v>
      </c>
      <c r="Q145" s="87"/>
    </row>
    <row r="146" ht="15" spans="1:17">
      <c r="A146" s="89">
        <v>43277</v>
      </c>
      <c r="B146" s="78"/>
      <c r="C146" s="79">
        <v>1</v>
      </c>
      <c r="D146" s="88"/>
      <c r="E146" s="79">
        <v>100</v>
      </c>
      <c r="F146" s="80">
        <v>0.3636</v>
      </c>
      <c r="G146" s="79">
        <v>87</v>
      </c>
      <c r="H146" s="80">
        <v>0.3636</v>
      </c>
      <c r="I146" s="83">
        <v>1</v>
      </c>
      <c r="J146" s="79">
        <v>15</v>
      </c>
      <c r="K146" s="79"/>
      <c r="L146" s="80">
        <v>0</v>
      </c>
      <c r="M146" s="80"/>
      <c r="N146" s="86">
        <v>348</v>
      </c>
      <c r="O146" s="86"/>
      <c r="P146" s="79">
        <v>3</v>
      </c>
      <c r="Q146" s="87"/>
    </row>
    <row r="147" ht="15" spans="1:17">
      <c r="A147" s="89">
        <v>43278</v>
      </c>
      <c r="B147" s="78"/>
      <c r="C147" s="79">
        <v>5</v>
      </c>
      <c r="D147" s="88"/>
      <c r="E147" s="79">
        <v>7</v>
      </c>
      <c r="F147" s="80">
        <v>0.6897</v>
      </c>
      <c r="G147" s="79">
        <v>59</v>
      </c>
      <c r="H147" s="80">
        <v>0.6897</v>
      </c>
      <c r="I147" s="83">
        <v>0.95</v>
      </c>
      <c r="J147" s="79">
        <v>15</v>
      </c>
      <c r="K147" s="79"/>
      <c r="L147" s="80">
        <v>0.2353</v>
      </c>
      <c r="M147" s="80"/>
      <c r="N147" s="86">
        <v>341</v>
      </c>
      <c r="O147" s="86"/>
      <c r="P147" s="79">
        <v>20</v>
      </c>
      <c r="Q147" s="87"/>
    </row>
    <row r="148" ht="15" spans="1:17">
      <c r="A148" s="89">
        <v>43278</v>
      </c>
      <c r="B148" s="78"/>
      <c r="C148" s="79">
        <v>4</v>
      </c>
      <c r="D148" s="88"/>
      <c r="E148" s="79">
        <v>72</v>
      </c>
      <c r="F148" s="80">
        <v>0.0345</v>
      </c>
      <c r="G148" s="79">
        <v>12</v>
      </c>
      <c r="H148" s="80">
        <v>0.0345</v>
      </c>
      <c r="I148" s="83">
        <v>0</v>
      </c>
      <c r="J148" s="79">
        <v>26</v>
      </c>
      <c r="K148" s="79"/>
      <c r="L148" s="80">
        <v>0</v>
      </c>
      <c r="M148" s="80"/>
      <c r="N148" s="86">
        <v>480</v>
      </c>
      <c r="O148" s="86"/>
      <c r="P148" s="79">
        <v>12</v>
      </c>
      <c r="Q148" s="87"/>
    </row>
    <row r="149" ht="15" spans="1:17">
      <c r="A149" s="89">
        <v>43278</v>
      </c>
      <c r="B149" s="78"/>
      <c r="C149" s="79">
        <v>2</v>
      </c>
      <c r="D149" s="88"/>
      <c r="E149" s="79">
        <v>27</v>
      </c>
      <c r="F149" s="80">
        <v>0.0345</v>
      </c>
      <c r="G149" s="79">
        <v>53</v>
      </c>
      <c r="H149" s="80">
        <v>0.0345</v>
      </c>
      <c r="I149" s="83">
        <v>1</v>
      </c>
      <c r="J149" s="79">
        <v>24</v>
      </c>
      <c r="K149" s="79"/>
      <c r="L149" s="80">
        <v>0</v>
      </c>
      <c r="M149" s="80"/>
      <c r="N149" s="86">
        <v>74</v>
      </c>
      <c r="O149" s="86"/>
      <c r="P149" s="79">
        <v>10</v>
      </c>
      <c r="Q149" s="87"/>
    </row>
    <row r="150" ht="15" spans="1:17">
      <c r="A150" s="89">
        <v>43278</v>
      </c>
      <c r="B150" s="78"/>
      <c r="C150" s="79">
        <v>1</v>
      </c>
      <c r="D150" s="88"/>
      <c r="E150" s="79">
        <v>67</v>
      </c>
      <c r="F150" s="80">
        <v>0.2414</v>
      </c>
      <c r="G150" s="79">
        <v>29</v>
      </c>
      <c r="H150" s="80">
        <v>0.2414</v>
      </c>
      <c r="I150" s="83">
        <v>1</v>
      </c>
      <c r="J150" s="79">
        <v>26</v>
      </c>
      <c r="K150" s="79"/>
      <c r="L150" s="80">
        <v>0</v>
      </c>
      <c r="M150" s="80"/>
      <c r="N150" s="86">
        <v>396</v>
      </c>
      <c r="O150" s="86"/>
      <c r="P150" s="79">
        <v>8</v>
      </c>
      <c r="Q150" s="87"/>
    </row>
    <row r="151" ht="15" spans="1:17">
      <c r="A151" s="89">
        <v>43279</v>
      </c>
      <c r="B151" s="78"/>
      <c r="C151" s="79">
        <v>5</v>
      </c>
      <c r="D151" s="88"/>
      <c r="E151" s="79">
        <v>46</v>
      </c>
      <c r="F151" s="80">
        <v>0.3056</v>
      </c>
      <c r="G151" s="79">
        <v>29</v>
      </c>
      <c r="H151" s="80">
        <v>0.3056</v>
      </c>
      <c r="I151" s="83">
        <v>1</v>
      </c>
      <c r="J151" s="79">
        <v>23</v>
      </c>
      <c r="K151" s="79"/>
      <c r="L151" s="80">
        <v>0.3</v>
      </c>
      <c r="M151" s="80"/>
      <c r="N151" s="86">
        <v>177</v>
      </c>
      <c r="O151" s="86"/>
      <c r="P151" s="79">
        <v>13</v>
      </c>
      <c r="Q151" s="87"/>
    </row>
    <row r="152" ht="15" spans="1:17">
      <c r="A152" s="89">
        <v>43279</v>
      </c>
      <c r="B152" s="78"/>
      <c r="C152" s="79">
        <v>1</v>
      </c>
      <c r="D152" s="88"/>
      <c r="E152" s="79">
        <v>93</v>
      </c>
      <c r="F152" s="80">
        <v>0.5</v>
      </c>
      <c r="G152" s="79">
        <v>18</v>
      </c>
      <c r="H152" s="80">
        <v>0.5</v>
      </c>
      <c r="I152" s="83">
        <v>1</v>
      </c>
      <c r="J152" s="79">
        <v>13</v>
      </c>
      <c r="K152" s="79"/>
      <c r="L152" s="80">
        <v>0.5</v>
      </c>
      <c r="M152" s="80"/>
      <c r="N152" s="86">
        <v>89</v>
      </c>
      <c r="O152" s="86"/>
      <c r="P152" s="79">
        <v>16</v>
      </c>
      <c r="Q152" s="87"/>
    </row>
    <row r="153" ht="15" spans="1:17">
      <c r="A153" s="89">
        <v>43279</v>
      </c>
      <c r="B153" s="78"/>
      <c r="C153" s="79">
        <v>2</v>
      </c>
      <c r="D153" s="88"/>
      <c r="E153" s="79">
        <v>9</v>
      </c>
      <c r="F153" s="80">
        <v>0.1111</v>
      </c>
      <c r="G153" s="79">
        <v>75</v>
      </c>
      <c r="H153" s="80">
        <v>0.1111</v>
      </c>
      <c r="I153" s="83">
        <v>1</v>
      </c>
      <c r="J153" s="79">
        <v>19</v>
      </c>
      <c r="K153" s="79"/>
      <c r="L153" s="80">
        <v>0</v>
      </c>
      <c r="M153" s="80"/>
      <c r="N153" s="86">
        <v>71</v>
      </c>
      <c r="O153" s="86"/>
      <c r="P153" s="79">
        <v>2</v>
      </c>
      <c r="Q153" s="87"/>
    </row>
    <row r="154" ht="15" spans="1:17">
      <c r="A154" s="89">
        <v>43279</v>
      </c>
      <c r="B154" s="78"/>
      <c r="C154" s="79">
        <v>3</v>
      </c>
      <c r="D154" s="88"/>
      <c r="E154" s="79">
        <v>39</v>
      </c>
      <c r="F154" s="80">
        <v>0.0833</v>
      </c>
      <c r="G154" s="79">
        <v>32</v>
      </c>
      <c r="H154" s="80">
        <v>0.0833</v>
      </c>
      <c r="I154" s="83">
        <v>1</v>
      </c>
      <c r="J154" s="79">
        <v>28</v>
      </c>
      <c r="K154" s="79"/>
      <c r="L154" s="80">
        <v>0</v>
      </c>
      <c r="M154" s="80"/>
      <c r="N154" s="86">
        <v>125</v>
      </c>
      <c r="O154" s="86"/>
      <c r="P154" s="79">
        <v>18</v>
      </c>
      <c r="Q154" s="87"/>
    </row>
    <row r="155" ht="15" spans="1:17">
      <c r="A155" s="89">
        <v>43280</v>
      </c>
      <c r="B155" s="78"/>
      <c r="C155" s="79">
        <v>5</v>
      </c>
      <c r="D155" s="88"/>
      <c r="E155" s="79">
        <v>40</v>
      </c>
      <c r="F155" s="80">
        <v>0.5385</v>
      </c>
      <c r="G155" s="79">
        <v>45</v>
      </c>
      <c r="H155" s="80">
        <v>0.5385</v>
      </c>
      <c r="I155" s="83">
        <v>1</v>
      </c>
      <c r="J155" s="79">
        <v>26</v>
      </c>
      <c r="K155" s="79"/>
      <c r="L155" s="80">
        <v>0.1818</v>
      </c>
      <c r="M155" s="80"/>
      <c r="N155" s="86">
        <v>284</v>
      </c>
      <c r="O155" s="86"/>
      <c r="P155" s="79">
        <v>9</v>
      </c>
      <c r="Q155" s="87"/>
    </row>
    <row r="156" ht="15" spans="1:17">
      <c r="A156" s="89">
        <v>43280</v>
      </c>
      <c r="B156" s="78"/>
      <c r="C156" s="79">
        <v>1</v>
      </c>
      <c r="D156" s="88"/>
      <c r="E156" s="79">
        <v>30</v>
      </c>
      <c r="F156" s="80">
        <v>0.4231</v>
      </c>
      <c r="G156" s="79">
        <v>49</v>
      </c>
      <c r="H156" s="80">
        <v>0.4231</v>
      </c>
      <c r="I156" s="83">
        <v>1</v>
      </c>
      <c r="J156" s="79">
        <v>3</v>
      </c>
      <c r="K156" s="79"/>
      <c r="L156" s="80">
        <v>0.1176</v>
      </c>
      <c r="M156" s="80"/>
      <c r="N156" s="86">
        <v>273</v>
      </c>
      <c r="O156" s="86"/>
      <c r="P156" s="79">
        <v>6</v>
      </c>
      <c r="Q156" s="87"/>
    </row>
    <row r="157" ht="15" spans="1:17">
      <c r="A157" s="89">
        <v>43280</v>
      </c>
      <c r="B157" s="78"/>
      <c r="C157" s="79">
        <v>2</v>
      </c>
      <c r="D157" s="88"/>
      <c r="E157" s="79">
        <v>17</v>
      </c>
      <c r="F157" s="80">
        <v>0.0385</v>
      </c>
      <c r="G157" s="79">
        <v>33</v>
      </c>
      <c r="H157" s="80">
        <v>0.0385</v>
      </c>
      <c r="I157" s="83">
        <v>0</v>
      </c>
      <c r="J157" s="79">
        <v>3</v>
      </c>
      <c r="K157" s="79"/>
      <c r="L157" s="80">
        <v>0</v>
      </c>
      <c r="M157" s="80"/>
      <c r="N157" s="86">
        <v>370</v>
      </c>
      <c r="O157" s="86"/>
      <c r="P157" s="79">
        <v>2</v>
      </c>
      <c r="Q157" s="87"/>
    </row>
    <row r="158" ht="15" spans="1:17">
      <c r="A158" s="89">
        <v>43281</v>
      </c>
      <c r="B158" s="78"/>
      <c r="C158" s="79">
        <v>1</v>
      </c>
      <c r="D158" s="88"/>
      <c r="E158" s="79">
        <v>58</v>
      </c>
      <c r="F158" s="80">
        <v>0.4872</v>
      </c>
      <c r="G158" s="79">
        <v>59</v>
      </c>
      <c r="H158" s="80">
        <v>0.4872</v>
      </c>
      <c r="I158" s="83">
        <v>1</v>
      </c>
      <c r="J158" s="79">
        <v>27</v>
      </c>
      <c r="K158" s="79"/>
      <c r="L158" s="80">
        <v>0.1333</v>
      </c>
      <c r="M158" s="80"/>
      <c r="N158" s="86">
        <v>284</v>
      </c>
      <c r="O158" s="86"/>
      <c r="P158" s="79">
        <v>15</v>
      </c>
      <c r="Q158" s="87"/>
    </row>
    <row r="159" ht="15" spans="1:17">
      <c r="A159" s="89">
        <v>43281</v>
      </c>
      <c r="B159" s="78"/>
      <c r="C159" s="79">
        <v>5</v>
      </c>
      <c r="D159" s="88"/>
      <c r="E159" s="79">
        <v>39</v>
      </c>
      <c r="F159" s="80">
        <v>0.4872</v>
      </c>
      <c r="G159" s="79">
        <v>23</v>
      </c>
      <c r="H159" s="80">
        <v>0.4872</v>
      </c>
      <c r="I159" s="83">
        <v>1</v>
      </c>
      <c r="J159" s="79">
        <v>27</v>
      </c>
      <c r="K159" s="79"/>
      <c r="L159" s="80">
        <v>0.0667</v>
      </c>
      <c r="M159" s="80"/>
      <c r="N159" s="86">
        <v>153</v>
      </c>
      <c r="O159" s="86"/>
      <c r="P159" s="79">
        <v>3</v>
      </c>
      <c r="Q159" s="87"/>
    </row>
    <row r="160" ht="15" spans="1:17">
      <c r="A160" s="89">
        <v>43281</v>
      </c>
      <c r="B160" s="78"/>
      <c r="C160" s="79">
        <v>4</v>
      </c>
      <c r="D160" s="88"/>
      <c r="E160" s="79">
        <v>87</v>
      </c>
      <c r="F160" s="80">
        <v>0.0256</v>
      </c>
      <c r="G160" s="79">
        <v>71</v>
      </c>
      <c r="H160" s="80">
        <v>0.0256</v>
      </c>
      <c r="I160" s="83">
        <v>0</v>
      </c>
      <c r="J160" s="79">
        <v>24</v>
      </c>
      <c r="K160" s="79"/>
      <c r="L160" s="80">
        <v>0</v>
      </c>
      <c r="M160" s="80"/>
      <c r="N160" s="86">
        <v>393</v>
      </c>
      <c r="O160" s="86"/>
      <c r="P160" s="79">
        <v>11</v>
      </c>
      <c r="Q160" s="87"/>
    </row>
    <row r="161" ht="15" spans="1:17">
      <c r="A161" s="89">
        <v>43282</v>
      </c>
      <c r="B161" s="78"/>
      <c r="C161" s="79">
        <v>5</v>
      </c>
      <c r="D161" s="88"/>
      <c r="E161" s="79">
        <v>17</v>
      </c>
      <c r="F161" s="80">
        <v>0.5814</v>
      </c>
      <c r="G161" s="79">
        <v>88</v>
      </c>
      <c r="H161" s="80">
        <v>0.5814</v>
      </c>
      <c r="I161" s="83">
        <v>1</v>
      </c>
      <c r="J161" s="79">
        <v>28</v>
      </c>
      <c r="K161" s="79"/>
      <c r="L161" s="80">
        <v>0.1905</v>
      </c>
      <c r="M161" s="80"/>
      <c r="N161" s="86">
        <v>258</v>
      </c>
      <c r="O161" s="86"/>
      <c r="P161" s="79">
        <v>4</v>
      </c>
      <c r="Q161" s="87"/>
    </row>
    <row r="162" ht="15" spans="1:17">
      <c r="A162" s="89">
        <v>43282</v>
      </c>
      <c r="B162" s="78"/>
      <c r="C162" s="79">
        <v>2</v>
      </c>
      <c r="D162" s="88"/>
      <c r="E162" s="79">
        <v>80</v>
      </c>
      <c r="F162" s="80">
        <v>0.0698</v>
      </c>
      <c r="G162" s="79">
        <v>86</v>
      </c>
      <c r="H162" s="80">
        <v>0.0698</v>
      </c>
      <c r="I162" s="83">
        <v>1</v>
      </c>
      <c r="J162" s="79">
        <v>22</v>
      </c>
      <c r="K162" s="79"/>
      <c r="L162" s="80">
        <v>1</v>
      </c>
      <c r="M162" s="80"/>
      <c r="N162" s="86">
        <v>322</v>
      </c>
      <c r="O162" s="86"/>
      <c r="P162" s="79">
        <v>14</v>
      </c>
      <c r="Q162" s="87"/>
    </row>
    <row r="163" ht="15" spans="1:17">
      <c r="A163" s="89">
        <v>43282</v>
      </c>
      <c r="B163" s="78"/>
      <c r="C163" s="79">
        <v>3</v>
      </c>
      <c r="D163" s="88"/>
      <c r="E163" s="79">
        <v>20</v>
      </c>
      <c r="F163" s="80">
        <v>0.0465</v>
      </c>
      <c r="G163" s="79">
        <v>24</v>
      </c>
      <c r="H163" s="80">
        <v>0.0465</v>
      </c>
      <c r="I163" s="83">
        <v>1</v>
      </c>
      <c r="J163" s="79">
        <v>11</v>
      </c>
      <c r="K163" s="79"/>
      <c r="L163" s="80">
        <v>0</v>
      </c>
      <c r="M163" s="80"/>
      <c r="N163" s="86">
        <v>430</v>
      </c>
      <c r="O163" s="86"/>
      <c r="P163" s="79">
        <v>17</v>
      </c>
      <c r="Q163" s="87"/>
    </row>
    <row r="164" ht="15" spans="1:17">
      <c r="A164" s="89">
        <v>43282</v>
      </c>
      <c r="B164" s="78"/>
      <c r="C164" s="79">
        <v>1</v>
      </c>
      <c r="D164" s="88"/>
      <c r="E164" s="79">
        <v>99</v>
      </c>
      <c r="F164" s="80">
        <v>0.3023</v>
      </c>
      <c r="G164" s="79">
        <v>74</v>
      </c>
      <c r="H164" s="80">
        <v>0.3023</v>
      </c>
      <c r="I164" s="83">
        <v>1</v>
      </c>
      <c r="J164" s="79">
        <v>17</v>
      </c>
      <c r="K164" s="79"/>
      <c r="L164" s="80">
        <v>0</v>
      </c>
      <c r="M164" s="80"/>
      <c r="N164" s="86">
        <v>53</v>
      </c>
      <c r="O164" s="86"/>
      <c r="P164" s="79">
        <v>20</v>
      </c>
      <c r="Q164" s="87"/>
    </row>
    <row r="165" ht="15" spans="1:17">
      <c r="A165" s="89">
        <v>43283</v>
      </c>
      <c r="B165" s="78"/>
      <c r="C165" s="79">
        <v>5</v>
      </c>
      <c r="D165" s="88"/>
      <c r="E165" s="79">
        <v>84</v>
      </c>
      <c r="F165" s="80">
        <v>0.4222</v>
      </c>
      <c r="G165" s="79">
        <v>99</v>
      </c>
      <c r="H165" s="80">
        <v>0.4222</v>
      </c>
      <c r="I165" s="83">
        <v>1</v>
      </c>
      <c r="J165" s="79">
        <v>27</v>
      </c>
      <c r="K165" s="79"/>
      <c r="L165" s="80">
        <v>0.3333</v>
      </c>
      <c r="M165" s="80"/>
      <c r="N165" s="86">
        <v>369</v>
      </c>
      <c r="O165" s="86"/>
      <c r="P165" s="79">
        <v>0</v>
      </c>
      <c r="Q165" s="87"/>
    </row>
    <row r="166" ht="15" spans="1:17">
      <c r="A166" s="89">
        <v>43283</v>
      </c>
      <c r="B166" s="78"/>
      <c r="C166" s="79">
        <v>1</v>
      </c>
      <c r="D166" s="88"/>
      <c r="E166" s="79">
        <v>8</v>
      </c>
      <c r="F166" s="80">
        <v>0.3333</v>
      </c>
      <c r="G166" s="79">
        <v>47</v>
      </c>
      <c r="H166" s="80">
        <v>0.3333</v>
      </c>
      <c r="I166" s="83">
        <v>1</v>
      </c>
      <c r="J166" s="79">
        <v>5</v>
      </c>
      <c r="K166" s="79"/>
      <c r="L166" s="80">
        <v>0.4667</v>
      </c>
      <c r="M166" s="80"/>
      <c r="N166" s="86">
        <v>400</v>
      </c>
      <c r="O166" s="86"/>
      <c r="P166" s="79">
        <v>10</v>
      </c>
      <c r="Q166" s="87"/>
    </row>
    <row r="167" ht="15" spans="1:17">
      <c r="A167" s="89">
        <v>43283</v>
      </c>
      <c r="B167" s="78"/>
      <c r="C167" s="79">
        <v>2</v>
      </c>
      <c r="D167" s="88"/>
      <c r="E167" s="79">
        <v>49</v>
      </c>
      <c r="F167" s="80">
        <v>0.1556</v>
      </c>
      <c r="G167" s="79">
        <v>28</v>
      </c>
      <c r="H167" s="80">
        <v>0.1556</v>
      </c>
      <c r="I167" s="83">
        <v>1</v>
      </c>
      <c r="J167" s="79">
        <v>16</v>
      </c>
      <c r="K167" s="79"/>
      <c r="L167" s="80">
        <v>0</v>
      </c>
      <c r="M167" s="80"/>
      <c r="N167" s="86">
        <v>391</v>
      </c>
      <c r="O167" s="86"/>
      <c r="P167" s="79">
        <v>3</v>
      </c>
      <c r="Q167" s="87"/>
    </row>
    <row r="168" ht="15" spans="1:17">
      <c r="A168" s="89">
        <v>43283</v>
      </c>
      <c r="B168" s="78"/>
      <c r="C168" s="79">
        <v>3</v>
      </c>
      <c r="D168" s="88"/>
      <c r="E168" s="79">
        <v>88</v>
      </c>
      <c r="F168" s="80">
        <v>0.0889</v>
      </c>
      <c r="G168" s="79">
        <v>39</v>
      </c>
      <c r="H168" s="80">
        <v>0.0889</v>
      </c>
      <c r="I168" s="83">
        <v>1</v>
      </c>
      <c r="J168" s="79">
        <v>16</v>
      </c>
      <c r="K168" s="79"/>
      <c r="L168" s="80">
        <v>0</v>
      </c>
      <c r="M168" s="80"/>
      <c r="N168" s="86">
        <v>104</v>
      </c>
      <c r="O168" s="86"/>
      <c r="P168" s="79">
        <v>5</v>
      </c>
      <c r="Q168" s="87"/>
    </row>
    <row r="169" ht="15" spans="1:17">
      <c r="A169" s="89">
        <v>43284</v>
      </c>
      <c r="B169" s="78"/>
      <c r="C169" s="79">
        <v>5</v>
      </c>
      <c r="D169" s="88"/>
      <c r="E169" s="79">
        <v>80</v>
      </c>
      <c r="F169" s="80">
        <v>0.4474</v>
      </c>
      <c r="G169" s="79">
        <v>50</v>
      </c>
      <c r="H169" s="80">
        <v>0.4474</v>
      </c>
      <c r="I169" s="83">
        <v>1</v>
      </c>
      <c r="J169" s="79">
        <v>29</v>
      </c>
      <c r="K169" s="79"/>
      <c r="L169" s="80">
        <v>0.5385</v>
      </c>
      <c r="M169" s="80"/>
      <c r="N169" s="86">
        <v>255</v>
      </c>
      <c r="O169" s="86"/>
      <c r="P169" s="79">
        <v>11</v>
      </c>
      <c r="Q169" s="87"/>
    </row>
    <row r="170" ht="15" spans="1:17">
      <c r="A170" s="89">
        <v>43284</v>
      </c>
      <c r="B170" s="78"/>
      <c r="C170" s="79">
        <v>2</v>
      </c>
      <c r="D170" s="88"/>
      <c r="E170" s="79">
        <v>9</v>
      </c>
      <c r="F170" s="80">
        <v>0.0526</v>
      </c>
      <c r="G170" s="79">
        <v>45</v>
      </c>
      <c r="H170" s="80">
        <v>0.0526</v>
      </c>
      <c r="I170" s="83">
        <v>1</v>
      </c>
      <c r="J170" s="79">
        <v>15</v>
      </c>
      <c r="K170" s="79"/>
      <c r="L170" s="80">
        <v>0</v>
      </c>
      <c r="M170" s="80"/>
      <c r="N170" s="86">
        <v>77</v>
      </c>
      <c r="O170" s="86"/>
      <c r="P170" s="79">
        <v>14</v>
      </c>
      <c r="Q170" s="87"/>
    </row>
    <row r="171" ht="15" spans="1:17">
      <c r="A171" s="89">
        <v>43284</v>
      </c>
      <c r="B171" s="78"/>
      <c r="C171" s="79">
        <v>1</v>
      </c>
      <c r="D171" s="88"/>
      <c r="E171" s="79">
        <v>69</v>
      </c>
      <c r="F171" s="80">
        <v>0.5</v>
      </c>
      <c r="G171" s="79">
        <v>23</v>
      </c>
      <c r="H171" s="80">
        <v>0.5</v>
      </c>
      <c r="I171" s="83">
        <v>1</v>
      </c>
      <c r="J171" s="79">
        <v>23</v>
      </c>
      <c r="K171" s="79"/>
      <c r="L171" s="80">
        <v>0</v>
      </c>
      <c r="M171" s="80"/>
      <c r="N171" s="86">
        <v>253</v>
      </c>
      <c r="O171" s="86"/>
      <c r="P171" s="79">
        <v>17</v>
      </c>
      <c r="Q171" s="87"/>
    </row>
    <row r="172" ht="15" spans="1:17">
      <c r="A172" s="89">
        <v>43285</v>
      </c>
      <c r="B172" s="78"/>
      <c r="C172" s="79">
        <v>5</v>
      </c>
      <c r="D172" s="88"/>
      <c r="E172" s="79">
        <v>60</v>
      </c>
      <c r="F172" s="80">
        <v>0.4</v>
      </c>
      <c r="G172" s="79">
        <v>57</v>
      </c>
      <c r="H172" s="80">
        <v>0.4</v>
      </c>
      <c r="I172" s="83">
        <v>1</v>
      </c>
      <c r="J172" s="79">
        <v>2</v>
      </c>
      <c r="K172" s="79"/>
      <c r="L172" s="80">
        <v>0.3</v>
      </c>
      <c r="M172" s="80"/>
      <c r="N172" s="86">
        <v>159</v>
      </c>
      <c r="O172" s="86"/>
      <c r="P172" s="79">
        <v>7</v>
      </c>
      <c r="Q172" s="87"/>
    </row>
    <row r="173" ht="15" spans="1:17">
      <c r="A173" s="89">
        <v>43285</v>
      </c>
      <c r="B173" s="78"/>
      <c r="C173" s="79">
        <v>1</v>
      </c>
      <c r="D173" s="88"/>
      <c r="E173" s="79">
        <v>69</v>
      </c>
      <c r="F173" s="80">
        <v>0.4667</v>
      </c>
      <c r="G173" s="79">
        <v>41</v>
      </c>
      <c r="H173" s="80">
        <v>0.4667</v>
      </c>
      <c r="I173" s="83">
        <v>1</v>
      </c>
      <c r="J173" s="79">
        <v>7</v>
      </c>
      <c r="K173" s="79"/>
      <c r="L173" s="80">
        <v>0.3636</v>
      </c>
      <c r="M173" s="80"/>
      <c r="N173" s="86">
        <v>314</v>
      </c>
      <c r="O173" s="86"/>
      <c r="P173" s="79">
        <v>10</v>
      </c>
      <c r="Q173" s="87"/>
    </row>
    <row r="174" ht="15" spans="1:17">
      <c r="A174" s="89">
        <v>43285</v>
      </c>
      <c r="B174" s="78"/>
      <c r="C174" s="79">
        <v>2</v>
      </c>
      <c r="D174" s="88"/>
      <c r="E174" s="79">
        <v>48</v>
      </c>
      <c r="F174" s="80">
        <v>0.1</v>
      </c>
      <c r="G174" s="79">
        <v>94</v>
      </c>
      <c r="H174" s="80">
        <v>0.1</v>
      </c>
      <c r="I174" s="83">
        <v>1</v>
      </c>
      <c r="J174" s="79">
        <v>29</v>
      </c>
      <c r="K174" s="79"/>
      <c r="L174" s="80">
        <v>0</v>
      </c>
      <c r="M174" s="80"/>
      <c r="N174" s="86">
        <v>183</v>
      </c>
      <c r="O174" s="86"/>
      <c r="P174" s="79">
        <v>4</v>
      </c>
      <c r="Q174" s="87"/>
    </row>
    <row r="175" ht="15" spans="1:17">
      <c r="A175" s="89">
        <v>43285</v>
      </c>
      <c r="B175" s="78"/>
      <c r="C175" s="79">
        <v>3</v>
      </c>
      <c r="D175" s="88"/>
      <c r="E175" s="79">
        <v>17</v>
      </c>
      <c r="F175" s="80">
        <v>0.0333</v>
      </c>
      <c r="G175" s="79">
        <v>31</v>
      </c>
      <c r="H175" s="80">
        <v>0.0333</v>
      </c>
      <c r="I175" s="83">
        <v>0</v>
      </c>
      <c r="J175" s="79">
        <v>11</v>
      </c>
      <c r="K175" s="79"/>
      <c r="L175" s="80">
        <v>0</v>
      </c>
      <c r="M175" s="80"/>
      <c r="N175" s="86">
        <v>277</v>
      </c>
      <c r="O175" s="86"/>
      <c r="P175" s="79">
        <v>3</v>
      </c>
      <c r="Q175" s="87"/>
    </row>
    <row r="176" ht="15" spans="1:17">
      <c r="A176" s="89">
        <v>43286</v>
      </c>
      <c r="B176" s="78"/>
      <c r="C176" s="79">
        <v>5</v>
      </c>
      <c r="D176" s="88"/>
      <c r="E176" s="79">
        <v>64</v>
      </c>
      <c r="F176" s="80">
        <v>0.3939</v>
      </c>
      <c r="G176" s="79">
        <v>18</v>
      </c>
      <c r="H176" s="80">
        <v>0.3939</v>
      </c>
      <c r="I176" s="83">
        <v>1</v>
      </c>
      <c r="J176" s="79">
        <v>14</v>
      </c>
      <c r="K176" s="79"/>
      <c r="L176" s="80">
        <v>0.3333</v>
      </c>
      <c r="M176" s="80"/>
      <c r="N176" s="86">
        <v>384</v>
      </c>
      <c r="O176" s="86"/>
      <c r="P176" s="79">
        <v>4</v>
      </c>
      <c r="Q176" s="87"/>
    </row>
    <row r="177" ht="15" spans="1:17">
      <c r="A177" s="89">
        <v>43286</v>
      </c>
      <c r="B177" s="78"/>
      <c r="C177" s="79">
        <v>1</v>
      </c>
      <c r="D177" s="88"/>
      <c r="E177" s="79">
        <v>74</v>
      </c>
      <c r="F177" s="80">
        <v>0.5152</v>
      </c>
      <c r="G177" s="79">
        <v>99</v>
      </c>
      <c r="H177" s="80">
        <v>0.5152</v>
      </c>
      <c r="I177" s="83">
        <v>1</v>
      </c>
      <c r="J177" s="79">
        <v>6</v>
      </c>
      <c r="K177" s="79"/>
      <c r="L177" s="80">
        <v>0.375</v>
      </c>
      <c r="M177" s="80"/>
      <c r="N177" s="86">
        <v>192</v>
      </c>
      <c r="O177" s="86"/>
      <c r="P177" s="79">
        <v>11</v>
      </c>
      <c r="Q177" s="87"/>
    </row>
    <row r="178" ht="15" spans="1:17">
      <c r="A178" s="89">
        <v>43286</v>
      </c>
      <c r="B178" s="78"/>
      <c r="C178" s="79">
        <v>2</v>
      </c>
      <c r="D178" s="88"/>
      <c r="E178" s="79">
        <v>73</v>
      </c>
      <c r="F178" s="80">
        <v>0.0606</v>
      </c>
      <c r="G178" s="79">
        <v>36</v>
      </c>
      <c r="H178" s="80">
        <v>0.0606</v>
      </c>
      <c r="I178" s="83">
        <v>1</v>
      </c>
      <c r="J178" s="79">
        <v>29</v>
      </c>
      <c r="K178" s="79"/>
      <c r="L178" s="80">
        <v>0</v>
      </c>
      <c r="M178" s="80"/>
      <c r="N178" s="86">
        <v>407</v>
      </c>
      <c r="O178" s="86"/>
      <c r="P178" s="79">
        <v>10</v>
      </c>
      <c r="Q178" s="87"/>
    </row>
    <row r="179" ht="15" spans="1:17">
      <c r="A179" s="89">
        <v>43286</v>
      </c>
      <c r="B179" s="78"/>
      <c r="C179" s="79">
        <v>3</v>
      </c>
      <c r="D179" s="88"/>
      <c r="E179" s="79">
        <v>86</v>
      </c>
      <c r="F179" s="80">
        <v>0.0303</v>
      </c>
      <c r="G179" s="79">
        <v>73</v>
      </c>
      <c r="H179" s="80">
        <v>0.0303</v>
      </c>
      <c r="I179" s="83">
        <v>1</v>
      </c>
      <c r="J179" s="79">
        <v>24</v>
      </c>
      <c r="K179" s="79"/>
      <c r="L179" s="80">
        <v>0</v>
      </c>
      <c r="M179" s="80"/>
      <c r="N179" s="86">
        <v>432</v>
      </c>
      <c r="O179" s="86"/>
      <c r="P179" s="79">
        <v>4</v>
      </c>
      <c r="Q179" s="87"/>
    </row>
    <row r="180" ht="15" spans="1:17">
      <c r="A180" s="89">
        <v>43287</v>
      </c>
      <c r="B180" s="78"/>
      <c r="C180" s="79">
        <v>5</v>
      </c>
      <c r="D180" s="88"/>
      <c r="E180" s="79">
        <v>49</v>
      </c>
      <c r="F180" s="80">
        <v>0.3143</v>
      </c>
      <c r="G180" s="79">
        <v>39</v>
      </c>
      <c r="H180" s="80">
        <v>0.3143</v>
      </c>
      <c r="I180" s="83">
        <v>1</v>
      </c>
      <c r="J180" s="79">
        <v>1</v>
      </c>
      <c r="K180" s="79"/>
      <c r="L180" s="80">
        <v>0.4</v>
      </c>
      <c r="M180" s="80"/>
      <c r="N180" s="86">
        <v>160</v>
      </c>
      <c r="O180" s="86"/>
      <c r="P180" s="79">
        <v>8</v>
      </c>
      <c r="Q180" s="87"/>
    </row>
    <row r="181" ht="15" spans="1:17">
      <c r="A181" s="89">
        <v>43287</v>
      </c>
      <c r="B181" s="78"/>
      <c r="C181" s="79">
        <v>1</v>
      </c>
      <c r="D181" s="88"/>
      <c r="E181" s="79">
        <v>30</v>
      </c>
      <c r="F181" s="80">
        <v>0.6</v>
      </c>
      <c r="G181" s="79">
        <v>98</v>
      </c>
      <c r="H181" s="80">
        <v>0.6</v>
      </c>
      <c r="I181" s="83">
        <v>1</v>
      </c>
      <c r="J181" s="79">
        <v>0</v>
      </c>
      <c r="K181" s="79"/>
      <c r="L181" s="80">
        <v>0.25</v>
      </c>
      <c r="M181" s="80"/>
      <c r="N181" s="86">
        <v>191</v>
      </c>
      <c r="O181" s="86"/>
      <c r="P181" s="79">
        <v>15</v>
      </c>
      <c r="Q181" s="87"/>
    </row>
    <row r="182" ht="15" spans="1:17">
      <c r="A182" s="89">
        <v>43287</v>
      </c>
      <c r="B182" s="78"/>
      <c r="C182" s="79">
        <v>2</v>
      </c>
      <c r="D182" s="88"/>
      <c r="E182" s="79">
        <v>57</v>
      </c>
      <c r="F182" s="80">
        <v>0.0286</v>
      </c>
      <c r="G182" s="79">
        <v>2</v>
      </c>
      <c r="H182" s="80">
        <v>0.0286</v>
      </c>
      <c r="I182" s="83">
        <v>1</v>
      </c>
      <c r="J182" s="79">
        <v>22</v>
      </c>
      <c r="K182" s="79"/>
      <c r="L182" s="80">
        <v>1</v>
      </c>
      <c r="M182" s="80"/>
      <c r="N182" s="86">
        <v>311</v>
      </c>
      <c r="O182" s="86"/>
      <c r="P182" s="79">
        <v>2</v>
      </c>
      <c r="Q182" s="87"/>
    </row>
    <row r="183" ht="15" spans="1:17">
      <c r="A183" s="89">
        <v>43287</v>
      </c>
      <c r="B183" s="78"/>
      <c r="C183" s="79">
        <v>4</v>
      </c>
      <c r="D183" s="88"/>
      <c r="E183" s="79">
        <v>97</v>
      </c>
      <c r="F183" s="80">
        <v>0.0286</v>
      </c>
      <c r="G183" s="79">
        <v>42</v>
      </c>
      <c r="H183" s="80">
        <v>0.0286</v>
      </c>
      <c r="I183" s="83">
        <v>1</v>
      </c>
      <c r="J183" s="79">
        <v>17</v>
      </c>
      <c r="K183" s="79"/>
      <c r="L183" s="80">
        <v>0</v>
      </c>
      <c r="M183" s="80"/>
      <c r="N183" s="86">
        <v>244</v>
      </c>
      <c r="O183" s="86"/>
      <c r="P183" s="79">
        <v>15</v>
      </c>
      <c r="Q183" s="87"/>
    </row>
    <row r="184" ht="15" spans="1:17">
      <c r="A184" s="89">
        <v>43287</v>
      </c>
      <c r="B184" s="78"/>
      <c r="C184" s="79">
        <v>3</v>
      </c>
      <c r="D184" s="88"/>
      <c r="E184" s="79">
        <v>45</v>
      </c>
      <c r="F184" s="80">
        <v>0.0286</v>
      </c>
      <c r="G184" s="79">
        <v>90</v>
      </c>
      <c r="H184" s="80">
        <v>0.0286</v>
      </c>
      <c r="I184" s="83">
        <v>1</v>
      </c>
      <c r="J184" s="79">
        <v>6</v>
      </c>
      <c r="K184" s="79"/>
      <c r="L184" s="80">
        <v>0</v>
      </c>
      <c r="M184" s="80"/>
      <c r="N184" s="86">
        <v>256</v>
      </c>
      <c r="O184" s="86"/>
      <c r="P184" s="79">
        <v>20</v>
      </c>
      <c r="Q184" s="87"/>
    </row>
    <row r="185" ht="15" spans="1:17">
      <c r="A185" s="89">
        <v>43288</v>
      </c>
      <c r="B185" s="78"/>
      <c r="C185" s="79">
        <v>5</v>
      </c>
      <c r="D185" s="88"/>
      <c r="E185" s="79">
        <v>6</v>
      </c>
      <c r="F185" s="80">
        <v>0.4737</v>
      </c>
      <c r="G185" s="79">
        <v>99</v>
      </c>
      <c r="H185" s="80">
        <v>0.4737</v>
      </c>
      <c r="I185" s="83">
        <v>1</v>
      </c>
      <c r="J185" s="79">
        <v>14</v>
      </c>
      <c r="K185" s="79"/>
      <c r="L185" s="80">
        <v>0.5333</v>
      </c>
      <c r="M185" s="80"/>
      <c r="N185" s="86">
        <v>461</v>
      </c>
      <c r="O185" s="86"/>
      <c r="P185" s="79">
        <v>0</v>
      </c>
      <c r="Q185" s="87"/>
    </row>
    <row r="186" ht="15" spans="1:17">
      <c r="A186" s="89">
        <v>43288</v>
      </c>
      <c r="B186" s="78"/>
      <c r="C186" s="79">
        <v>1</v>
      </c>
      <c r="D186" s="88"/>
      <c r="E186" s="79">
        <v>16</v>
      </c>
      <c r="F186" s="80">
        <v>0.5263</v>
      </c>
      <c r="G186" s="79">
        <v>35</v>
      </c>
      <c r="H186" s="80">
        <v>0.5263</v>
      </c>
      <c r="I186" s="83">
        <v>1</v>
      </c>
      <c r="J186" s="79">
        <v>19</v>
      </c>
      <c r="K186" s="79"/>
      <c r="L186" s="80">
        <v>0.1333</v>
      </c>
      <c r="M186" s="80"/>
      <c r="N186" s="86">
        <v>330</v>
      </c>
      <c r="O186" s="86"/>
      <c r="P186" s="79">
        <v>13</v>
      </c>
      <c r="Q186" s="87"/>
    </row>
    <row r="187" ht="15" spans="1:17">
      <c r="A187" s="89">
        <v>43289</v>
      </c>
      <c r="B187" s="78"/>
      <c r="C187" s="79">
        <v>5</v>
      </c>
      <c r="D187" s="88"/>
      <c r="E187" s="79">
        <v>34</v>
      </c>
      <c r="F187" s="80">
        <v>0.6346</v>
      </c>
      <c r="G187" s="79">
        <v>48</v>
      </c>
      <c r="H187" s="80">
        <v>0.6346</v>
      </c>
      <c r="I187" s="83">
        <v>1</v>
      </c>
      <c r="J187" s="79">
        <v>2</v>
      </c>
      <c r="K187" s="79"/>
      <c r="L187" s="80">
        <v>0.3636</v>
      </c>
      <c r="M187" s="80"/>
      <c r="N187" s="86">
        <v>115</v>
      </c>
      <c r="O187" s="86"/>
      <c r="P187" s="79">
        <v>16</v>
      </c>
      <c r="Q187" s="87"/>
    </row>
    <row r="188" ht="15" spans="1:17">
      <c r="A188" s="89">
        <v>43289</v>
      </c>
      <c r="B188" s="78"/>
      <c r="C188" s="79">
        <v>1</v>
      </c>
      <c r="D188" s="88"/>
      <c r="E188" s="79">
        <v>98</v>
      </c>
      <c r="F188" s="80">
        <v>0.3654</v>
      </c>
      <c r="G188" s="79">
        <v>31</v>
      </c>
      <c r="H188" s="80">
        <v>0.3654</v>
      </c>
      <c r="I188" s="83">
        <v>1</v>
      </c>
      <c r="J188" s="79">
        <v>23</v>
      </c>
      <c r="K188" s="79"/>
      <c r="L188" s="80">
        <v>0.1111</v>
      </c>
      <c r="M188" s="80"/>
      <c r="N188" s="86">
        <v>359</v>
      </c>
      <c r="O188" s="86"/>
      <c r="P188" s="79">
        <v>19</v>
      </c>
      <c r="Q188" s="87"/>
    </row>
    <row r="189" ht="15" spans="1:17">
      <c r="A189" s="89">
        <v>43290</v>
      </c>
      <c r="B189" s="78"/>
      <c r="C189" s="79">
        <v>5</v>
      </c>
      <c r="D189" s="88"/>
      <c r="E189" s="79">
        <v>3</v>
      </c>
      <c r="F189" s="80">
        <v>0.4722</v>
      </c>
      <c r="G189" s="79">
        <v>15</v>
      </c>
      <c r="H189" s="80">
        <v>0.4722</v>
      </c>
      <c r="I189" s="83">
        <v>1</v>
      </c>
      <c r="J189" s="79">
        <v>11</v>
      </c>
      <c r="K189" s="79"/>
      <c r="L189" s="80">
        <v>0.4</v>
      </c>
      <c r="M189" s="80"/>
      <c r="N189" s="86">
        <v>316</v>
      </c>
      <c r="O189" s="86"/>
      <c r="P189" s="79">
        <v>15</v>
      </c>
      <c r="Q189" s="87"/>
    </row>
    <row r="190" ht="15" spans="1:17">
      <c r="A190" s="89">
        <v>43290</v>
      </c>
      <c r="B190" s="78"/>
      <c r="C190" s="79">
        <v>1</v>
      </c>
      <c r="D190" s="88"/>
      <c r="E190" s="79">
        <v>60</v>
      </c>
      <c r="F190" s="80">
        <v>0.4722</v>
      </c>
      <c r="G190" s="79">
        <v>1</v>
      </c>
      <c r="H190" s="80">
        <v>0.4722</v>
      </c>
      <c r="I190" s="83">
        <v>1</v>
      </c>
      <c r="J190" s="79">
        <v>25</v>
      </c>
      <c r="K190" s="79"/>
      <c r="L190" s="80">
        <v>0.5385</v>
      </c>
      <c r="M190" s="80"/>
      <c r="N190" s="86">
        <v>107</v>
      </c>
      <c r="O190" s="86"/>
      <c r="P190" s="79">
        <v>16</v>
      </c>
      <c r="Q190" s="87"/>
    </row>
    <row r="191" ht="15" spans="1:17">
      <c r="A191" s="89">
        <v>43290</v>
      </c>
      <c r="B191" s="78"/>
      <c r="C191" s="79">
        <v>3</v>
      </c>
      <c r="D191" s="88"/>
      <c r="E191" s="79">
        <v>62</v>
      </c>
      <c r="F191" s="80">
        <v>0.0556</v>
      </c>
      <c r="G191" s="79">
        <v>10</v>
      </c>
      <c r="H191" s="80">
        <v>0.0556</v>
      </c>
      <c r="I191" s="83">
        <v>1</v>
      </c>
      <c r="J191" s="79">
        <v>6</v>
      </c>
      <c r="K191" s="79"/>
      <c r="L191" s="80">
        <v>0</v>
      </c>
      <c r="M191" s="80"/>
      <c r="N191" s="86">
        <v>61</v>
      </c>
      <c r="O191" s="86"/>
      <c r="P191" s="79">
        <v>7</v>
      </c>
      <c r="Q191" s="87"/>
    </row>
    <row r="192" ht="15" spans="1:17">
      <c r="A192" s="89">
        <v>43291</v>
      </c>
      <c r="B192" s="78"/>
      <c r="C192" s="79">
        <v>5</v>
      </c>
      <c r="D192" s="88"/>
      <c r="E192" s="79">
        <v>95</v>
      </c>
      <c r="F192" s="80">
        <v>0.4634</v>
      </c>
      <c r="G192" s="79">
        <v>13</v>
      </c>
      <c r="H192" s="80">
        <v>0.4634</v>
      </c>
      <c r="I192" s="83">
        <v>1</v>
      </c>
      <c r="J192" s="79">
        <v>6</v>
      </c>
      <c r="K192" s="79"/>
      <c r="L192" s="80">
        <v>1.3529</v>
      </c>
      <c r="M192" s="80"/>
      <c r="N192" s="86">
        <v>471</v>
      </c>
      <c r="O192" s="86"/>
      <c r="P192" s="79">
        <v>2</v>
      </c>
      <c r="Q192" s="87"/>
    </row>
    <row r="193" ht="15" spans="1:17">
      <c r="A193" s="89">
        <v>43291</v>
      </c>
      <c r="B193" s="78"/>
      <c r="C193" s="79">
        <v>1</v>
      </c>
      <c r="D193" s="88"/>
      <c r="E193" s="79">
        <v>60</v>
      </c>
      <c r="F193" s="80">
        <v>0.4878</v>
      </c>
      <c r="G193" s="79">
        <v>55</v>
      </c>
      <c r="H193" s="80">
        <v>0.4878</v>
      </c>
      <c r="I193" s="83">
        <v>1</v>
      </c>
      <c r="J193" s="79">
        <v>17</v>
      </c>
      <c r="K193" s="79"/>
      <c r="L193" s="80">
        <v>0.1765</v>
      </c>
      <c r="M193" s="80"/>
      <c r="N193" s="86">
        <v>62</v>
      </c>
      <c r="O193" s="86"/>
      <c r="P193" s="79">
        <v>19</v>
      </c>
      <c r="Q193" s="87"/>
    </row>
    <row r="194" ht="15" spans="1:17">
      <c r="A194" s="89">
        <v>43291</v>
      </c>
      <c r="B194" s="78"/>
      <c r="C194" s="79">
        <v>2</v>
      </c>
      <c r="D194" s="88"/>
      <c r="E194" s="79">
        <v>29</v>
      </c>
      <c r="F194" s="80">
        <v>0.0488</v>
      </c>
      <c r="G194" s="79">
        <v>6</v>
      </c>
      <c r="H194" s="80">
        <v>0.0488</v>
      </c>
      <c r="I194" s="83">
        <v>1</v>
      </c>
      <c r="J194" s="79">
        <v>18</v>
      </c>
      <c r="K194" s="79"/>
      <c r="L194" s="80">
        <v>0</v>
      </c>
      <c r="M194" s="80"/>
      <c r="N194" s="86">
        <v>417</v>
      </c>
      <c r="O194" s="86"/>
      <c r="P194" s="79">
        <v>1</v>
      </c>
      <c r="Q194" s="87"/>
    </row>
    <row r="195" ht="15" spans="1:17">
      <c r="A195" s="89">
        <v>43292</v>
      </c>
      <c r="B195" s="78"/>
      <c r="C195" s="79">
        <v>1</v>
      </c>
      <c r="D195" s="88"/>
      <c r="E195" s="79">
        <v>4</v>
      </c>
      <c r="F195" s="80">
        <v>0.3871</v>
      </c>
      <c r="G195" s="79">
        <v>87</v>
      </c>
      <c r="H195" s="80">
        <v>0.3871</v>
      </c>
      <c r="I195" s="83">
        <v>1</v>
      </c>
      <c r="J195" s="79">
        <v>16</v>
      </c>
      <c r="K195" s="79"/>
      <c r="L195" s="80">
        <v>0.0833</v>
      </c>
      <c r="M195" s="80"/>
      <c r="N195" s="86">
        <v>339</v>
      </c>
      <c r="O195" s="86"/>
      <c r="P195" s="79">
        <v>1</v>
      </c>
      <c r="Q195" s="87"/>
    </row>
    <row r="196" ht="15" spans="1:17">
      <c r="A196" s="89">
        <v>43292</v>
      </c>
      <c r="B196" s="78"/>
      <c r="C196" s="79">
        <v>4</v>
      </c>
      <c r="D196" s="88"/>
      <c r="E196" s="79">
        <v>96</v>
      </c>
      <c r="F196" s="80">
        <v>0.0323</v>
      </c>
      <c r="G196" s="79">
        <v>67</v>
      </c>
      <c r="H196" s="80">
        <v>0.0323</v>
      </c>
      <c r="I196" s="83">
        <v>0</v>
      </c>
      <c r="J196" s="79">
        <v>27</v>
      </c>
      <c r="K196" s="79"/>
      <c r="L196" s="80">
        <v>0</v>
      </c>
      <c r="M196" s="80"/>
      <c r="N196" s="86">
        <v>98</v>
      </c>
      <c r="O196" s="86"/>
      <c r="P196" s="79">
        <v>15</v>
      </c>
      <c r="Q196" s="87"/>
    </row>
    <row r="197" ht="15" spans="1:17">
      <c r="A197" s="89">
        <v>43292</v>
      </c>
      <c r="B197" s="78"/>
      <c r="C197" s="79">
        <v>5</v>
      </c>
      <c r="D197" s="88"/>
      <c r="E197" s="79">
        <v>40</v>
      </c>
      <c r="F197" s="80">
        <v>0.5806</v>
      </c>
      <c r="G197" s="79">
        <v>33</v>
      </c>
      <c r="H197" s="80">
        <v>0.5806</v>
      </c>
      <c r="I197" s="83">
        <v>1</v>
      </c>
      <c r="J197" s="79">
        <v>11</v>
      </c>
      <c r="K197" s="79"/>
      <c r="L197" s="80">
        <v>0</v>
      </c>
      <c r="M197" s="80"/>
      <c r="N197" s="86">
        <v>233</v>
      </c>
      <c r="O197" s="86"/>
      <c r="P197" s="79">
        <v>8</v>
      </c>
      <c r="Q197" s="87"/>
    </row>
    <row r="198" ht="15" spans="1:17">
      <c r="A198" s="89">
        <v>43293</v>
      </c>
      <c r="B198" s="78"/>
      <c r="C198" s="79">
        <v>5</v>
      </c>
      <c r="D198" s="88"/>
      <c r="E198" s="79">
        <v>45</v>
      </c>
      <c r="F198" s="80">
        <v>0.4651</v>
      </c>
      <c r="G198" s="79">
        <v>9</v>
      </c>
      <c r="H198" s="80">
        <v>0.4651</v>
      </c>
      <c r="I198" s="83">
        <v>1</v>
      </c>
      <c r="J198" s="79">
        <v>22</v>
      </c>
      <c r="K198" s="79"/>
      <c r="L198" s="80">
        <v>0.0625</v>
      </c>
      <c r="M198" s="80"/>
      <c r="N198" s="86">
        <v>57</v>
      </c>
      <c r="O198" s="86"/>
      <c r="P198" s="79">
        <v>8</v>
      </c>
      <c r="Q198" s="87"/>
    </row>
    <row r="199" ht="15" spans="1:17">
      <c r="A199" s="89">
        <v>43293</v>
      </c>
      <c r="B199" s="78"/>
      <c r="C199" s="79">
        <v>1</v>
      </c>
      <c r="D199" s="88"/>
      <c r="E199" s="79">
        <v>44</v>
      </c>
      <c r="F199" s="80">
        <v>0.5116</v>
      </c>
      <c r="G199" s="79">
        <v>81</v>
      </c>
      <c r="H199" s="80">
        <v>0.5116</v>
      </c>
      <c r="I199" s="83">
        <v>1</v>
      </c>
      <c r="J199" s="79">
        <v>5</v>
      </c>
      <c r="K199" s="79"/>
      <c r="L199" s="80">
        <v>0.0526</v>
      </c>
      <c r="M199" s="80"/>
      <c r="N199" s="86">
        <v>234</v>
      </c>
      <c r="O199" s="86"/>
      <c r="P199" s="79">
        <v>16</v>
      </c>
      <c r="Q199" s="87"/>
    </row>
    <row r="200" ht="15" spans="1:17">
      <c r="A200" s="89">
        <v>43293</v>
      </c>
      <c r="B200" s="78"/>
      <c r="C200" s="79">
        <v>4</v>
      </c>
      <c r="D200" s="88"/>
      <c r="E200" s="79">
        <v>24</v>
      </c>
      <c r="F200" s="80">
        <v>0.0233</v>
      </c>
      <c r="G200" s="79">
        <v>4</v>
      </c>
      <c r="H200" s="80">
        <v>0.0233</v>
      </c>
      <c r="I200" s="83">
        <v>0</v>
      </c>
      <c r="J200" s="79">
        <v>17</v>
      </c>
      <c r="K200" s="79"/>
      <c r="L200" s="80">
        <v>0</v>
      </c>
      <c r="M200" s="80"/>
      <c r="N200" s="86">
        <v>215</v>
      </c>
      <c r="O200" s="86"/>
      <c r="P200" s="79">
        <v>14</v>
      </c>
      <c r="Q200" s="87"/>
    </row>
    <row r="201" ht="15" spans="1:17">
      <c r="A201" s="89">
        <v>43294</v>
      </c>
      <c r="B201" s="78"/>
      <c r="C201" s="79">
        <v>1</v>
      </c>
      <c r="D201" s="88"/>
      <c r="E201" s="79">
        <v>96</v>
      </c>
      <c r="F201" s="80">
        <v>0.6765</v>
      </c>
      <c r="G201" s="79">
        <v>85</v>
      </c>
      <c r="H201" s="80">
        <v>0.6765</v>
      </c>
      <c r="I201" s="83">
        <v>1</v>
      </c>
      <c r="J201" s="79">
        <v>6</v>
      </c>
      <c r="K201" s="79"/>
      <c r="L201" s="80">
        <v>0.3333</v>
      </c>
      <c r="M201" s="80"/>
      <c r="N201" s="86">
        <v>359</v>
      </c>
      <c r="O201" s="86"/>
      <c r="P201" s="79">
        <v>3</v>
      </c>
      <c r="Q201" s="87"/>
    </row>
    <row r="202" ht="15" spans="1:17">
      <c r="A202" s="89">
        <v>43294</v>
      </c>
      <c r="B202" s="78"/>
      <c r="C202" s="79">
        <v>5</v>
      </c>
      <c r="D202" s="88"/>
      <c r="E202" s="79">
        <v>61</v>
      </c>
      <c r="F202" s="80">
        <v>0.2941</v>
      </c>
      <c r="G202" s="79">
        <v>7</v>
      </c>
      <c r="H202" s="80">
        <v>0.2941</v>
      </c>
      <c r="I202" s="83">
        <v>1</v>
      </c>
      <c r="J202" s="79">
        <v>23</v>
      </c>
      <c r="K202" s="79"/>
      <c r="L202" s="80">
        <v>0.1111</v>
      </c>
      <c r="M202" s="80"/>
      <c r="N202" s="86">
        <v>139</v>
      </c>
      <c r="O202" s="86"/>
      <c r="P202" s="79">
        <v>19</v>
      </c>
      <c r="Q202" s="87"/>
    </row>
    <row r="203" ht="15" spans="1:17">
      <c r="A203" s="89">
        <v>43294</v>
      </c>
      <c r="B203" s="78"/>
      <c r="C203" s="79">
        <v>4</v>
      </c>
      <c r="D203" s="88"/>
      <c r="E203" s="79">
        <v>68</v>
      </c>
      <c r="F203" s="80">
        <v>0.0294</v>
      </c>
      <c r="G203" s="79">
        <v>75</v>
      </c>
      <c r="H203" s="80">
        <v>0.0294</v>
      </c>
      <c r="I203" s="83">
        <v>0</v>
      </c>
      <c r="J203" s="79">
        <v>15</v>
      </c>
      <c r="K203" s="79"/>
      <c r="L203" s="80">
        <v>0</v>
      </c>
      <c r="M203" s="80"/>
      <c r="N203" s="86">
        <v>150</v>
      </c>
      <c r="O203" s="86"/>
      <c r="P203" s="79">
        <v>15</v>
      </c>
      <c r="Q203" s="87"/>
    </row>
    <row r="204" ht="15" spans="1:17">
      <c r="A204" s="89">
        <v>43295</v>
      </c>
      <c r="B204" s="78"/>
      <c r="C204" s="79">
        <v>5</v>
      </c>
      <c r="D204" s="88"/>
      <c r="E204" s="79">
        <v>86</v>
      </c>
      <c r="F204" s="80">
        <v>0.375</v>
      </c>
      <c r="G204" s="79">
        <v>78</v>
      </c>
      <c r="H204" s="80">
        <v>0.375</v>
      </c>
      <c r="I204" s="83">
        <v>1</v>
      </c>
      <c r="J204" s="79">
        <v>18</v>
      </c>
      <c r="K204" s="79"/>
      <c r="L204" s="80">
        <v>0.4545</v>
      </c>
      <c r="M204" s="80"/>
      <c r="N204" s="86">
        <v>319</v>
      </c>
      <c r="O204" s="86"/>
      <c r="P204" s="79">
        <v>15</v>
      </c>
      <c r="Q204" s="87"/>
    </row>
    <row r="205" ht="15" spans="1:17">
      <c r="A205" s="89">
        <v>43295</v>
      </c>
      <c r="B205" s="78"/>
      <c r="C205" s="79">
        <v>1</v>
      </c>
      <c r="D205" s="88"/>
      <c r="E205" s="79">
        <v>81</v>
      </c>
      <c r="F205" s="80">
        <v>0.525</v>
      </c>
      <c r="G205" s="79">
        <v>19</v>
      </c>
      <c r="H205" s="80">
        <v>0.525</v>
      </c>
      <c r="I205" s="83">
        <v>1</v>
      </c>
      <c r="J205" s="79">
        <v>10</v>
      </c>
      <c r="K205" s="79"/>
      <c r="L205" s="80">
        <v>0.0556</v>
      </c>
      <c r="M205" s="80"/>
      <c r="N205" s="86">
        <v>496</v>
      </c>
      <c r="O205" s="86"/>
      <c r="P205" s="79">
        <v>17</v>
      </c>
      <c r="Q205" s="87"/>
    </row>
    <row r="206" ht="15" spans="1:17">
      <c r="A206" s="89">
        <v>43295</v>
      </c>
      <c r="B206" s="78"/>
      <c r="C206" s="79">
        <v>4</v>
      </c>
      <c r="D206" s="88"/>
      <c r="E206" s="79">
        <v>68</v>
      </c>
      <c r="F206" s="80">
        <v>0.025</v>
      </c>
      <c r="G206" s="79">
        <v>24</v>
      </c>
      <c r="H206" s="80">
        <v>0.025</v>
      </c>
      <c r="I206" s="83">
        <v>0</v>
      </c>
      <c r="J206" s="79">
        <v>15</v>
      </c>
      <c r="K206" s="79"/>
      <c r="L206" s="80">
        <v>0</v>
      </c>
      <c r="M206" s="80"/>
      <c r="N206" s="86">
        <v>73</v>
      </c>
      <c r="O206" s="86"/>
      <c r="P206" s="79">
        <v>12</v>
      </c>
      <c r="Q206" s="87"/>
    </row>
    <row r="207" ht="15" spans="1:17">
      <c r="A207" s="89">
        <v>43295</v>
      </c>
      <c r="B207" s="78"/>
      <c r="C207" s="79">
        <v>2</v>
      </c>
      <c r="D207" s="88"/>
      <c r="E207" s="79">
        <v>12</v>
      </c>
      <c r="F207" s="80">
        <v>0.025</v>
      </c>
      <c r="G207" s="79">
        <v>93</v>
      </c>
      <c r="H207" s="80">
        <v>0.025</v>
      </c>
      <c r="I207" s="83">
        <v>0</v>
      </c>
      <c r="J207" s="79">
        <v>26</v>
      </c>
      <c r="K207" s="79"/>
      <c r="L207" s="80">
        <v>0</v>
      </c>
      <c r="M207" s="80"/>
      <c r="N207" s="86">
        <v>63</v>
      </c>
      <c r="O207" s="86"/>
      <c r="P207" s="79">
        <v>5</v>
      </c>
      <c r="Q207" s="87"/>
    </row>
    <row r="208" ht="15" spans="1:17">
      <c r="A208" s="89">
        <v>43295</v>
      </c>
      <c r="B208" s="78"/>
      <c r="C208" s="79">
        <v>3</v>
      </c>
      <c r="D208" s="88"/>
      <c r="E208" s="79">
        <v>48</v>
      </c>
      <c r="F208" s="80">
        <v>0.05</v>
      </c>
      <c r="G208" s="79">
        <v>89</v>
      </c>
      <c r="H208" s="80">
        <v>0.05</v>
      </c>
      <c r="I208" s="83">
        <v>0</v>
      </c>
      <c r="J208" s="79">
        <v>28</v>
      </c>
      <c r="K208" s="79"/>
      <c r="L208" s="80">
        <v>0</v>
      </c>
      <c r="M208" s="80"/>
      <c r="N208" s="86">
        <v>356</v>
      </c>
      <c r="O208" s="86"/>
      <c r="P208" s="79">
        <v>5</v>
      </c>
      <c r="Q208" s="87"/>
    </row>
    <row r="209" ht="15" spans="1:17">
      <c r="A209" s="89">
        <v>43296</v>
      </c>
      <c r="B209" s="78"/>
      <c r="C209" s="79">
        <v>5</v>
      </c>
      <c r="D209" s="88"/>
      <c r="E209" s="79">
        <v>4</v>
      </c>
      <c r="F209" s="80">
        <v>0.4375</v>
      </c>
      <c r="G209" s="79">
        <v>33</v>
      </c>
      <c r="H209" s="80">
        <v>0.4375</v>
      </c>
      <c r="I209" s="83">
        <v>1</v>
      </c>
      <c r="J209" s="79">
        <v>20</v>
      </c>
      <c r="K209" s="79"/>
      <c r="L209" s="80">
        <v>0.2353</v>
      </c>
      <c r="M209" s="80"/>
      <c r="N209" s="86">
        <v>264</v>
      </c>
      <c r="O209" s="86"/>
      <c r="P209" s="79">
        <v>4</v>
      </c>
      <c r="Q209" s="87"/>
    </row>
    <row r="210" ht="15" spans="1:17">
      <c r="A210" s="89">
        <v>43296</v>
      </c>
      <c r="B210" s="78"/>
      <c r="C210" s="79">
        <v>1</v>
      </c>
      <c r="D210" s="88"/>
      <c r="E210" s="79">
        <v>51</v>
      </c>
      <c r="F210" s="80">
        <v>0.5625</v>
      </c>
      <c r="G210" s="79">
        <v>35</v>
      </c>
      <c r="H210" s="80">
        <v>0.5625</v>
      </c>
      <c r="I210" s="83">
        <v>1</v>
      </c>
      <c r="J210" s="79">
        <v>28</v>
      </c>
      <c r="K210" s="79"/>
      <c r="L210" s="80">
        <v>0.0435</v>
      </c>
      <c r="M210" s="80"/>
      <c r="N210" s="86">
        <v>207</v>
      </c>
      <c r="O210" s="86"/>
      <c r="P210" s="79">
        <v>2</v>
      </c>
      <c r="Q210" s="87"/>
    </row>
    <row r="211" ht="15" spans="1:17">
      <c r="A211" s="89">
        <v>43297</v>
      </c>
      <c r="B211" s="78"/>
      <c r="C211" s="79">
        <v>5</v>
      </c>
      <c r="D211" s="88"/>
      <c r="E211" s="79">
        <v>80</v>
      </c>
      <c r="F211" s="80">
        <v>0.5625</v>
      </c>
      <c r="G211" s="79">
        <v>57</v>
      </c>
      <c r="H211" s="80">
        <v>0.5625</v>
      </c>
      <c r="I211" s="83">
        <v>1</v>
      </c>
      <c r="J211" s="79">
        <v>3</v>
      </c>
      <c r="K211" s="79"/>
      <c r="L211" s="80">
        <v>0.2727</v>
      </c>
      <c r="M211" s="80"/>
      <c r="N211" s="86">
        <v>211</v>
      </c>
      <c r="O211" s="86"/>
      <c r="P211" s="79">
        <v>1</v>
      </c>
      <c r="Q211" s="87"/>
    </row>
    <row r="212" ht="15" spans="1:17">
      <c r="A212" s="89">
        <v>43297</v>
      </c>
      <c r="B212" s="78"/>
      <c r="C212" s="79">
        <v>1</v>
      </c>
      <c r="D212" s="88"/>
      <c r="E212" s="79">
        <v>81</v>
      </c>
      <c r="F212" s="80">
        <v>0.2917</v>
      </c>
      <c r="G212" s="79">
        <v>6</v>
      </c>
      <c r="H212" s="80">
        <v>0.2917</v>
      </c>
      <c r="I212" s="83">
        <v>1</v>
      </c>
      <c r="J212" s="79">
        <v>6</v>
      </c>
      <c r="K212" s="79"/>
      <c r="L212" s="80">
        <v>0.0769</v>
      </c>
      <c r="M212" s="80"/>
      <c r="N212" s="86">
        <v>427</v>
      </c>
      <c r="O212" s="86"/>
      <c r="P212" s="79">
        <v>7</v>
      </c>
      <c r="Q212" s="87"/>
    </row>
    <row r="213" ht="15" spans="1:17">
      <c r="A213" s="89">
        <v>43297</v>
      </c>
      <c r="B213" s="78"/>
      <c r="C213" s="79">
        <v>4</v>
      </c>
      <c r="D213" s="88"/>
      <c r="E213" s="79">
        <v>27</v>
      </c>
      <c r="F213" s="80">
        <v>0.0208</v>
      </c>
      <c r="G213" s="79">
        <v>99</v>
      </c>
      <c r="H213" s="80">
        <v>0.0208</v>
      </c>
      <c r="I213" s="83">
        <v>1</v>
      </c>
      <c r="J213" s="79">
        <v>17</v>
      </c>
      <c r="K213" s="79"/>
      <c r="L213" s="80">
        <v>0</v>
      </c>
      <c r="M213" s="80"/>
      <c r="N213" s="86">
        <v>477</v>
      </c>
      <c r="O213" s="86"/>
      <c r="P213" s="79">
        <v>12</v>
      </c>
      <c r="Q213" s="87"/>
    </row>
    <row r="214" ht="15" spans="1:17">
      <c r="A214" s="89">
        <v>43297</v>
      </c>
      <c r="B214" s="78"/>
      <c r="C214" s="79">
        <v>2</v>
      </c>
      <c r="D214" s="88"/>
      <c r="E214" s="79">
        <v>45</v>
      </c>
      <c r="F214" s="80">
        <v>0.0833</v>
      </c>
      <c r="G214" s="79">
        <v>16</v>
      </c>
      <c r="H214" s="80">
        <v>0.0833</v>
      </c>
      <c r="I214" s="83">
        <v>1</v>
      </c>
      <c r="J214" s="79">
        <v>17</v>
      </c>
      <c r="K214" s="79"/>
      <c r="L214" s="80">
        <v>0</v>
      </c>
      <c r="M214" s="80"/>
      <c r="N214" s="86">
        <v>101</v>
      </c>
      <c r="O214" s="86"/>
      <c r="P214" s="79">
        <v>18</v>
      </c>
      <c r="Q214" s="87"/>
    </row>
    <row r="215" ht="15" spans="1:17">
      <c r="A215" s="89">
        <v>43297</v>
      </c>
      <c r="B215" s="78"/>
      <c r="C215" s="79">
        <v>3</v>
      </c>
      <c r="D215" s="88"/>
      <c r="E215" s="79">
        <v>68</v>
      </c>
      <c r="F215" s="80">
        <v>0.0417</v>
      </c>
      <c r="G215" s="79">
        <v>12</v>
      </c>
      <c r="H215" s="80">
        <v>0.0417</v>
      </c>
      <c r="I215" s="83">
        <v>1</v>
      </c>
      <c r="J215" s="79">
        <v>8</v>
      </c>
      <c r="K215" s="79"/>
      <c r="L215" s="80">
        <v>0</v>
      </c>
      <c r="M215" s="80"/>
      <c r="N215" s="86">
        <v>111</v>
      </c>
      <c r="O215" s="86"/>
      <c r="P215" s="79">
        <v>19</v>
      </c>
      <c r="Q215" s="87"/>
    </row>
    <row r="216" ht="15" spans="1:17">
      <c r="A216" s="89">
        <v>43298</v>
      </c>
      <c r="B216" s="78"/>
      <c r="C216" s="79">
        <v>5</v>
      </c>
      <c r="D216" s="88"/>
      <c r="E216" s="79">
        <v>82</v>
      </c>
      <c r="F216" s="80">
        <v>0.6111</v>
      </c>
      <c r="G216" s="79">
        <v>79</v>
      </c>
      <c r="H216" s="80">
        <v>0.6111</v>
      </c>
      <c r="I216" s="83">
        <v>1</v>
      </c>
      <c r="J216" s="79">
        <v>26</v>
      </c>
      <c r="K216" s="79"/>
      <c r="L216" s="80">
        <v>0.6364</v>
      </c>
      <c r="M216" s="80"/>
      <c r="N216" s="86">
        <v>395</v>
      </c>
      <c r="O216" s="86"/>
      <c r="P216" s="79">
        <v>19</v>
      </c>
      <c r="Q216" s="87"/>
    </row>
    <row r="217" ht="15" spans="1:17">
      <c r="A217" s="89">
        <v>43298</v>
      </c>
      <c r="B217" s="78"/>
      <c r="C217" s="79">
        <v>3</v>
      </c>
      <c r="D217" s="88"/>
      <c r="E217" s="79">
        <v>86</v>
      </c>
      <c r="F217" s="80">
        <v>0.0833</v>
      </c>
      <c r="G217" s="79">
        <v>37</v>
      </c>
      <c r="H217" s="80">
        <v>0.0833</v>
      </c>
      <c r="I217" s="83">
        <v>1</v>
      </c>
      <c r="J217" s="79">
        <v>7</v>
      </c>
      <c r="K217" s="79"/>
      <c r="L217" s="80">
        <v>1</v>
      </c>
      <c r="M217" s="80"/>
      <c r="N217" s="86">
        <v>278</v>
      </c>
      <c r="O217" s="86"/>
      <c r="P217" s="79">
        <v>2</v>
      </c>
      <c r="Q217" s="87"/>
    </row>
    <row r="218" ht="15" spans="1:17">
      <c r="A218" s="89">
        <v>43298</v>
      </c>
      <c r="B218" s="78"/>
      <c r="C218" s="79">
        <v>2</v>
      </c>
      <c r="D218" s="88"/>
      <c r="E218" s="79">
        <v>100</v>
      </c>
      <c r="F218" s="80">
        <v>0.0833</v>
      </c>
      <c r="G218" s="79">
        <v>53</v>
      </c>
      <c r="H218" s="80">
        <v>0.0833</v>
      </c>
      <c r="I218" s="83">
        <v>1</v>
      </c>
      <c r="J218" s="79">
        <v>6</v>
      </c>
      <c r="K218" s="79"/>
      <c r="L218" s="80">
        <v>0</v>
      </c>
      <c r="M218" s="80"/>
      <c r="N218" s="86">
        <v>312</v>
      </c>
      <c r="O218" s="86"/>
      <c r="P218" s="79">
        <v>3</v>
      </c>
      <c r="Q218" s="87"/>
    </row>
    <row r="219" ht="15" spans="1:17">
      <c r="A219" s="89">
        <v>43298</v>
      </c>
      <c r="B219" s="78"/>
      <c r="C219" s="79">
        <v>1</v>
      </c>
      <c r="D219" s="88"/>
      <c r="E219" s="79">
        <v>94</v>
      </c>
      <c r="F219" s="80">
        <v>0.2222</v>
      </c>
      <c r="G219" s="79">
        <v>40</v>
      </c>
      <c r="H219" s="80">
        <v>0.2222</v>
      </c>
      <c r="I219" s="83">
        <v>1</v>
      </c>
      <c r="J219" s="79">
        <v>1</v>
      </c>
      <c r="K219" s="79"/>
      <c r="L219" s="80">
        <v>0</v>
      </c>
      <c r="M219" s="80"/>
      <c r="N219" s="86">
        <v>157</v>
      </c>
      <c r="O219" s="86"/>
      <c r="P219" s="79">
        <v>13</v>
      </c>
      <c r="Q219" s="87"/>
    </row>
    <row r="220" ht="15" spans="1:17">
      <c r="A220" s="89">
        <v>43299</v>
      </c>
      <c r="B220" s="78"/>
      <c r="C220" s="79">
        <v>5</v>
      </c>
      <c r="D220" s="88"/>
      <c r="E220" s="79">
        <v>75</v>
      </c>
      <c r="F220" s="80">
        <v>0.7895</v>
      </c>
      <c r="G220" s="79">
        <v>50</v>
      </c>
      <c r="H220" s="80">
        <v>0.7895</v>
      </c>
      <c r="I220" s="83">
        <v>1</v>
      </c>
      <c r="J220" s="79">
        <v>4</v>
      </c>
      <c r="K220" s="79"/>
      <c r="L220" s="80">
        <v>0.1818</v>
      </c>
      <c r="M220" s="80"/>
      <c r="N220" s="86">
        <v>291</v>
      </c>
      <c r="O220" s="86"/>
      <c r="P220" s="79">
        <v>15</v>
      </c>
      <c r="Q220" s="87"/>
    </row>
    <row r="221" ht="15" spans="1:17">
      <c r="A221" s="89">
        <v>43299</v>
      </c>
      <c r="B221" s="78"/>
      <c r="C221" s="79">
        <v>1</v>
      </c>
      <c r="D221" s="88"/>
      <c r="E221" s="79">
        <v>97</v>
      </c>
      <c r="F221" s="80">
        <v>0.193</v>
      </c>
      <c r="G221" s="79">
        <v>77</v>
      </c>
      <c r="H221" s="80">
        <v>0.193</v>
      </c>
      <c r="I221" s="83">
        <v>1</v>
      </c>
      <c r="J221" s="79">
        <v>19</v>
      </c>
      <c r="K221" s="79"/>
      <c r="L221" s="80">
        <v>0.1</v>
      </c>
      <c r="M221" s="80"/>
      <c r="N221" s="86">
        <v>239</v>
      </c>
      <c r="O221" s="86"/>
      <c r="P221" s="79">
        <v>12</v>
      </c>
      <c r="Q221" s="87"/>
    </row>
    <row r="222" ht="15" spans="1:17">
      <c r="A222" s="89">
        <v>43299</v>
      </c>
      <c r="B222" s="78"/>
      <c r="C222" s="79">
        <v>2</v>
      </c>
      <c r="D222" s="88"/>
      <c r="E222" s="79">
        <v>46</v>
      </c>
      <c r="F222" s="80">
        <v>0.0175</v>
      </c>
      <c r="G222" s="79">
        <v>9</v>
      </c>
      <c r="H222" s="80">
        <v>0.0175</v>
      </c>
      <c r="I222" s="83">
        <v>1</v>
      </c>
      <c r="J222" s="79">
        <v>9</v>
      </c>
      <c r="K222" s="79"/>
      <c r="L222" s="80">
        <v>0</v>
      </c>
      <c r="M222" s="80"/>
      <c r="N222" s="86">
        <v>453</v>
      </c>
      <c r="O222" s="86"/>
      <c r="P222" s="79">
        <v>6</v>
      </c>
      <c r="Q222" s="87"/>
    </row>
    <row r="223" ht="15" spans="1:17">
      <c r="A223" s="89">
        <v>43300</v>
      </c>
      <c r="B223" s="78"/>
      <c r="C223" s="79">
        <v>5</v>
      </c>
      <c r="D223" s="88"/>
      <c r="E223" s="79">
        <v>18</v>
      </c>
      <c r="F223" s="80">
        <v>0.7818</v>
      </c>
      <c r="G223" s="79">
        <v>79</v>
      </c>
      <c r="H223" s="80">
        <v>0.7818</v>
      </c>
      <c r="I223" s="83">
        <v>1</v>
      </c>
      <c r="J223" s="79">
        <v>0</v>
      </c>
      <c r="K223" s="79"/>
      <c r="L223" s="80">
        <v>0.1111</v>
      </c>
      <c r="M223" s="80"/>
      <c r="N223" s="86">
        <v>219</v>
      </c>
      <c r="O223" s="86"/>
      <c r="P223" s="79">
        <v>6</v>
      </c>
      <c r="Q223" s="87"/>
    </row>
    <row r="224" ht="15" spans="1:17">
      <c r="A224" s="89">
        <v>43300</v>
      </c>
      <c r="B224" s="78"/>
      <c r="C224" s="79">
        <v>1</v>
      </c>
      <c r="D224" s="88"/>
      <c r="E224" s="79">
        <v>13</v>
      </c>
      <c r="F224" s="80">
        <v>0.2182</v>
      </c>
      <c r="G224" s="79">
        <v>10</v>
      </c>
      <c r="H224" s="80">
        <v>0.2182</v>
      </c>
      <c r="I224" s="83">
        <v>1</v>
      </c>
      <c r="J224" s="79">
        <v>25</v>
      </c>
      <c r="K224" s="79"/>
      <c r="L224" s="80">
        <v>0</v>
      </c>
      <c r="M224" s="80"/>
      <c r="N224" s="86">
        <v>89</v>
      </c>
      <c r="O224" s="86"/>
      <c r="P224" s="79">
        <v>4</v>
      </c>
      <c r="Q224" s="87"/>
    </row>
    <row r="225" ht="15" spans="1:17">
      <c r="A225" s="89">
        <v>43301</v>
      </c>
      <c r="B225" s="78"/>
      <c r="C225" s="79">
        <v>5</v>
      </c>
      <c r="D225" s="88"/>
      <c r="E225" s="79">
        <v>1</v>
      </c>
      <c r="F225" s="80">
        <v>0.697</v>
      </c>
      <c r="G225" s="79">
        <v>40</v>
      </c>
      <c r="H225" s="80">
        <v>0.697</v>
      </c>
      <c r="I225" s="83">
        <v>1</v>
      </c>
      <c r="J225" s="79">
        <v>16</v>
      </c>
      <c r="K225" s="79"/>
      <c r="L225" s="80">
        <v>0.2381</v>
      </c>
      <c r="M225" s="80"/>
      <c r="N225" s="86">
        <v>442</v>
      </c>
      <c r="O225" s="86"/>
      <c r="P225" s="79">
        <v>15</v>
      </c>
      <c r="Q225" s="87"/>
    </row>
    <row r="226" ht="15" spans="1:17">
      <c r="A226" s="89">
        <v>43301</v>
      </c>
      <c r="B226" s="78"/>
      <c r="C226" s="79">
        <v>1</v>
      </c>
      <c r="D226" s="88"/>
      <c r="E226" s="79">
        <v>9</v>
      </c>
      <c r="F226" s="80">
        <v>0.1212</v>
      </c>
      <c r="G226" s="79">
        <v>61</v>
      </c>
      <c r="H226" s="80">
        <v>0.1212</v>
      </c>
      <c r="I226" s="83">
        <v>1</v>
      </c>
      <c r="J226" s="79">
        <v>17</v>
      </c>
      <c r="K226" s="79"/>
      <c r="L226" s="80">
        <v>0.25</v>
      </c>
      <c r="M226" s="80"/>
      <c r="N226" s="86">
        <v>193</v>
      </c>
      <c r="O226" s="86"/>
      <c r="P226" s="79">
        <v>19</v>
      </c>
      <c r="Q226" s="87"/>
    </row>
    <row r="227" ht="15" spans="1:17">
      <c r="A227" s="89">
        <v>43301</v>
      </c>
      <c r="B227" s="78"/>
      <c r="C227" s="79">
        <v>4</v>
      </c>
      <c r="D227" s="88"/>
      <c r="E227" s="79">
        <v>96</v>
      </c>
      <c r="F227" s="80">
        <v>0.0303</v>
      </c>
      <c r="G227" s="79">
        <v>12</v>
      </c>
      <c r="H227" s="80">
        <v>0.0303</v>
      </c>
      <c r="I227" s="83">
        <v>0</v>
      </c>
      <c r="J227" s="79">
        <v>20</v>
      </c>
      <c r="K227" s="79"/>
      <c r="L227" s="80">
        <v>0</v>
      </c>
      <c r="M227" s="80"/>
      <c r="N227" s="86">
        <v>82</v>
      </c>
      <c r="O227" s="86"/>
      <c r="P227" s="79">
        <v>2</v>
      </c>
      <c r="Q227" s="87"/>
    </row>
    <row r="228" ht="15" spans="1:17">
      <c r="A228" s="89">
        <v>43301</v>
      </c>
      <c r="B228" s="78"/>
      <c r="C228" s="79">
        <v>2</v>
      </c>
      <c r="D228" s="88"/>
      <c r="E228" s="79">
        <v>29</v>
      </c>
      <c r="F228" s="80">
        <v>0.0606</v>
      </c>
      <c r="G228" s="79">
        <v>20</v>
      </c>
      <c r="H228" s="80">
        <v>0.0606</v>
      </c>
      <c r="I228" s="83">
        <v>0</v>
      </c>
      <c r="J228" s="79">
        <v>11</v>
      </c>
      <c r="K228" s="79"/>
      <c r="L228" s="80">
        <v>0</v>
      </c>
      <c r="M228" s="80"/>
      <c r="N228" s="86">
        <v>212</v>
      </c>
      <c r="O228" s="86"/>
      <c r="P228" s="79">
        <v>15</v>
      </c>
      <c r="Q228" s="87"/>
    </row>
    <row r="229" ht="15" spans="1:17">
      <c r="A229" s="89">
        <v>43301</v>
      </c>
      <c r="B229" s="78"/>
      <c r="C229" s="79">
        <v>3</v>
      </c>
      <c r="D229" s="88"/>
      <c r="E229" s="79">
        <v>47</v>
      </c>
      <c r="F229" s="80">
        <v>0.0909</v>
      </c>
      <c r="G229" s="79">
        <v>89</v>
      </c>
      <c r="H229" s="80">
        <v>0.0909</v>
      </c>
      <c r="I229" s="83">
        <v>0</v>
      </c>
      <c r="J229" s="79">
        <v>7</v>
      </c>
      <c r="K229" s="79"/>
      <c r="L229" s="80">
        <v>0</v>
      </c>
      <c r="M229" s="80"/>
      <c r="N229" s="86">
        <v>142</v>
      </c>
      <c r="O229" s="86"/>
      <c r="P229" s="79">
        <v>15</v>
      </c>
      <c r="Q229" s="87"/>
    </row>
    <row r="230" ht="15" spans="1:17">
      <c r="A230" s="89">
        <v>43302</v>
      </c>
      <c r="B230" s="78"/>
      <c r="C230" s="79">
        <v>5</v>
      </c>
      <c r="D230" s="88"/>
      <c r="E230" s="79">
        <v>57</v>
      </c>
      <c r="F230" s="80">
        <v>0.5517</v>
      </c>
      <c r="G230" s="79">
        <v>56</v>
      </c>
      <c r="H230" s="80">
        <v>0.5517</v>
      </c>
      <c r="I230" s="83">
        <v>1</v>
      </c>
      <c r="J230" s="79">
        <v>16</v>
      </c>
      <c r="K230" s="79"/>
      <c r="L230" s="80">
        <v>0.2667</v>
      </c>
      <c r="M230" s="80"/>
      <c r="N230" s="86">
        <v>87</v>
      </c>
      <c r="O230" s="86"/>
      <c r="P230" s="79">
        <v>1</v>
      </c>
      <c r="Q230" s="87"/>
    </row>
    <row r="231" ht="15" spans="1:17">
      <c r="A231" s="89">
        <v>43302</v>
      </c>
      <c r="B231" s="78"/>
      <c r="C231" s="79">
        <v>1</v>
      </c>
      <c r="D231" s="88"/>
      <c r="E231" s="79">
        <v>49</v>
      </c>
      <c r="F231" s="80">
        <v>0.4483</v>
      </c>
      <c r="G231" s="79">
        <v>82</v>
      </c>
      <c r="H231" s="80">
        <v>0.4483</v>
      </c>
      <c r="I231" s="83">
        <v>1</v>
      </c>
      <c r="J231" s="79">
        <v>2</v>
      </c>
      <c r="K231" s="79"/>
      <c r="L231" s="80">
        <v>0</v>
      </c>
      <c r="M231" s="80"/>
      <c r="N231" s="86">
        <v>437</v>
      </c>
      <c r="O231" s="86"/>
      <c r="P231" s="79">
        <v>5</v>
      </c>
      <c r="Q231" s="87"/>
    </row>
    <row r="232" ht="15" spans="1:17">
      <c r="A232" s="89">
        <v>43303</v>
      </c>
      <c r="B232" s="78"/>
      <c r="C232" s="79">
        <v>5</v>
      </c>
      <c r="D232" s="88"/>
      <c r="E232" s="79">
        <v>5</v>
      </c>
      <c r="F232" s="80">
        <v>0.7333</v>
      </c>
      <c r="G232" s="79">
        <v>82</v>
      </c>
      <c r="H232" s="80">
        <v>0.7333</v>
      </c>
      <c r="I232" s="83">
        <v>1</v>
      </c>
      <c r="J232" s="79">
        <v>6</v>
      </c>
      <c r="K232" s="79"/>
      <c r="L232" s="80">
        <v>0.5</v>
      </c>
      <c r="M232" s="80"/>
      <c r="N232" s="86">
        <v>373</v>
      </c>
      <c r="O232" s="86"/>
      <c r="P232" s="79">
        <v>8</v>
      </c>
      <c r="Q232" s="87"/>
    </row>
    <row r="233" ht="15" spans="1:17">
      <c r="A233" s="89">
        <v>43303</v>
      </c>
      <c r="B233" s="78"/>
      <c r="C233" s="79">
        <v>1</v>
      </c>
      <c r="D233" s="88"/>
      <c r="E233" s="79">
        <v>77</v>
      </c>
      <c r="F233" s="80">
        <v>0.2</v>
      </c>
      <c r="G233" s="79">
        <v>97</v>
      </c>
      <c r="H233" s="80">
        <v>0.2</v>
      </c>
      <c r="I233" s="83">
        <v>1</v>
      </c>
      <c r="J233" s="79">
        <v>4</v>
      </c>
      <c r="K233" s="79"/>
      <c r="L233" s="80">
        <v>0.1667</v>
      </c>
      <c r="M233" s="80"/>
      <c r="N233" s="86">
        <v>188</v>
      </c>
      <c r="O233" s="86"/>
      <c r="P233" s="79">
        <v>18</v>
      </c>
      <c r="Q233" s="87"/>
    </row>
    <row r="234" ht="15" spans="1:17">
      <c r="A234" s="89">
        <v>43303</v>
      </c>
      <c r="B234" s="78"/>
      <c r="C234" s="79">
        <v>2</v>
      </c>
      <c r="D234" s="88"/>
      <c r="E234" s="79">
        <v>55</v>
      </c>
      <c r="F234" s="80">
        <v>0.0333</v>
      </c>
      <c r="G234" s="79">
        <v>66</v>
      </c>
      <c r="H234" s="80">
        <v>0.0333</v>
      </c>
      <c r="I234" s="83">
        <v>1</v>
      </c>
      <c r="J234" s="79">
        <v>4</v>
      </c>
      <c r="K234" s="79"/>
      <c r="L234" s="80">
        <v>0</v>
      </c>
      <c r="M234" s="80"/>
      <c r="N234" s="86">
        <v>290</v>
      </c>
      <c r="O234" s="86"/>
      <c r="P234" s="79">
        <v>12</v>
      </c>
      <c r="Q234" s="87"/>
    </row>
    <row r="235" ht="15" spans="1:17">
      <c r="A235" s="89">
        <v>43303</v>
      </c>
      <c r="B235" s="78"/>
      <c r="C235" s="79">
        <v>3</v>
      </c>
      <c r="D235" s="88"/>
      <c r="E235" s="79">
        <v>92</v>
      </c>
      <c r="F235" s="80">
        <v>0.0333</v>
      </c>
      <c r="G235" s="79">
        <v>51</v>
      </c>
      <c r="H235" s="80">
        <v>0.0333</v>
      </c>
      <c r="I235" s="83">
        <v>1</v>
      </c>
      <c r="J235" s="79">
        <v>12</v>
      </c>
      <c r="K235" s="79"/>
      <c r="L235" s="80">
        <v>0</v>
      </c>
      <c r="M235" s="80"/>
      <c r="N235" s="86">
        <v>169</v>
      </c>
      <c r="O235" s="86"/>
      <c r="P235" s="79">
        <v>16</v>
      </c>
      <c r="Q235" s="87"/>
    </row>
    <row r="236" ht="15" spans="1:17">
      <c r="A236" s="89">
        <v>43304</v>
      </c>
      <c r="B236" s="78"/>
      <c r="C236" s="79">
        <v>4</v>
      </c>
      <c r="D236" s="88"/>
      <c r="E236" s="79">
        <v>46</v>
      </c>
      <c r="F236" s="80">
        <v>0.0455</v>
      </c>
      <c r="G236" s="79">
        <v>11</v>
      </c>
      <c r="H236" s="80">
        <v>0.0455</v>
      </c>
      <c r="I236" s="83">
        <v>1</v>
      </c>
      <c r="J236" s="79">
        <v>15</v>
      </c>
      <c r="K236" s="79"/>
      <c r="L236" s="80">
        <v>0</v>
      </c>
      <c r="M236" s="80"/>
      <c r="N236" s="86">
        <v>168</v>
      </c>
      <c r="O236" s="86"/>
      <c r="P236" s="79">
        <v>7</v>
      </c>
      <c r="Q236" s="87"/>
    </row>
    <row r="237" ht="15" spans="1:17">
      <c r="A237" s="89">
        <v>43304</v>
      </c>
      <c r="B237" s="78"/>
      <c r="C237" s="79">
        <v>5</v>
      </c>
      <c r="D237" s="88"/>
      <c r="E237" s="79">
        <v>14</v>
      </c>
      <c r="F237" s="80">
        <v>0.7273</v>
      </c>
      <c r="G237" s="79">
        <v>77</v>
      </c>
      <c r="H237" s="80">
        <v>0.7273</v>
      </c>
      <c r="I237" s="83">
        <v>1</v>
      </c>
      <c r="J237" s="79">
        <v>15</v>
      </c>
      <c r="K237" s="79"/>
      <c r="L237" s="80">
        <v>0</v>
      </c>
      <c r="M237" s="80"/>
      <c r="N237" s="86">
        <v>287</v>
      </c>
      <c r="O237" s="86"/>
      <c r="P237" s="79">
        <v>1</v>
      </c>
      <c r="Q237" s="87"/>
    </row>
    <row r="238" ht="15" spans="1:17">
      <c r="A238" s="89">
        <v>43304</v>
      </c>
      <c r="B238" s="78"/>
      <c r="C238" s="79">
        <v>3</v>
      </c>
      <c r="D238" s="88"/>
      <c r="E238" s="79">
        <v>21</v>
      </c>
      <c r="F238" s="80">
        <v>0.0227</v>
      </c>
      <c r="G238" s="79">
        <v>0</v>
      </c>
      <c r="H238" s="80">
        <v>0.0227</v>
      </c>
      <c r="I238" s="83">
        <v>1</v>
      </c>
      <c r="J238" s="79">
        <v>24</v>
      </c>
      <c r="K238" s="79"/>
      <c r="L238" s="80">
        <v>0</v>
      </c>
      <c r="M238" s="80"/>
      <c r="N238" s="86">
        <v>313</v>
      </c>
      <c r="O238" s="86"/>
      <c r="P238" s="79">
        <v>8</v>
      </c>
      <c r="Q238" s="87"/>
    </row>
    <row r="239" ht="15" spans="1:17">
      <c r="A239" s="89">
        <v>43304</v>
      </c>
      <c r="B239" s="78"/>
      <c r="C239" s="79">
        <v>1</v>
      </c>
      <c r="D239" s="88"/>
      <c r="E239" s="79">
        <v>83</v>
      </c>
      <c r="F239" s="80">
        <v>0.2045</v>
      </c>
      <c r="G239" s="79">
        <v>50</v>
      </c>
      <c r="H239" s="80">
        <v>0.2045</v>
      </c>
      <c r="I239" s="83">
        <v>1</v>
      </c>
      <c r="J239" s="79">
        <v>24</v>
      </c>
      <c r="K239" s="79"/>
      <c r="L239" s="80">
        <v>0</v>
      </c>
      <c r="M239" s="80"/>
      <c r="N239" s="86">
        <v>238</v>
      </c>
      <c r="O239" s="86"/>
      <c r="P239" s="79">
        <v>4</v>
      </c>
      <c r="Q239" s="87"/>
    </row>
    <row r="240" ht="15" spans="1:17">
      <c r="A240" s="89">
        <v>43305</v>
      </c>
      <c r="B240" s="78"/>
      <c r="C240" s="79">
        <v>1</v>
      </c>
      <c r="D240" s="88"/>
      <c r="E240" s="79">
        <v>18</v>
      </c>
      <c r="F240" s="80">
        <v>0.2258</v>
      </c>
      <c r="G240" s="79">
        <v>21</v>
      </c>
      <c r="H240" s="80">
        <v>0.2258</v>
      </c>
      <c r="I240" s="83">
        <v>1</v>
      </c>
      <c r="J240" s="79">
        <v>2</v>
      </c>
      <c r="K240" s="79"/>
      <c r="L240" s="80">
        <v>0.4286</v>
      </c>
      <c r="M240" s="80"/>
      <c r="N240" s="86">
        <v>453</v>
      </c>
      <c r="O240" s="86"/>
      <c r="P240" s="79">
        <v>14</v>
      </c>
      <c r="Q240" s="87"/>
    </row>
    <row r="241" ht="15" spans="1:17">
      <c r="A241" s="89">
        <v>43305</v>
      </c>
      <c r="B241" s="78"/>
      <c r="C241" s="79">
        <v>5</v>
      </c>
      <c r="D241" s="88"/>
      <c r="E241" s="79">
        <v>91</v>
      </c>
      <c r="F241" s="80">
        <v>0.6774</v>
      </c>
      <c r="G241" s="79">
        <v>75</v>
      </c>
      <c r="H241" s="80">
        <v>0.6774</v>
      </c>
      <c r="I241" s="83">
        <v>1</v>
      </c>
      <c r="J241" s="79">
        <v>19</v>
      </c>
      <c r="K241" s="79"/>
      <c r="L241" s="80">
        <v>0.1176</v>
      </c>
      <c r="M241" s="80"/>
      <c r="N241" s="86">
        <v>441</v>
      </c>
      <c r="O241" s="86"/>
      <c r="P241" s="79">
        <v>7</v>
      </c>
      <c r="Q241" s="87"/>
    </row>
    <row r="242" ht="15" spans="1:17">
      <c r="A242" s="89">
        <v>43305</v>
      </c>
      <c r="B242" s="78"/>
      <c r="C242" s="79">
        <v>4</v>
      </c>
      <c r="D242" s="88"/>
      <c r="E242" s="79">
        <v>23</v>
      </c>
      <c r="F242" s="80">
        <v>0.0323</v>
      </c>
      <c r="G242" s="79">
        <v>55</v>
      </c>
      <c r="H242" s="80">
        <v>0.0323</v>
      </c>
      <c r="I242" s="83">
        <v>1</v>
      </c>
      <c r="J242" s="79">
        <v>18</v>
      </c>
      <c r="K242" s="79"/>
      <c r="L242" s="80">
        <v>0</v>
      </c>
      <c r="M242" s="80"/>
      <c r="N242" s="86">
        <v>81</v>
      </c>
      <c r="O242" s="86"/>
      <c r="P242" s="79">
        <v>4</v>
      </c>
      <c r="Q242" s="87"/>
    </row>
    <row r="243" ht="15" spans="1:17">
      <c r="A243" s="89">
        <v>43305</v>
      </c>
      <c r="B243" s="78"/>
      <c r="C243" s="79">
        <v>2</v>
      </c>
      <c r="D243" s="88"/>
      <c r="E243" s="79">
        <v>18</v>
      </c>
      <c r="F243" s="80">
        <v>0.0323</v>
      </c>
      <c r="G243" s="79">
        <v>15</v>
      </c>
      <c r="H243" s="80">
        <v>0.0323</v>
      </c>
      <c r="I243" s="83">
        <v>1</v>
      </c>
      <c r="J243" s="79">
        <v>20</v>
      </c>
      <c r="K243" s="79"/>
      <c r="L243" s="80">
        <v>0</v>
      </c>
      <c r="M243" s="80"/>
      <c r="N243" s="86">
        <v>146</v>
      </c>
      <c r="O243" s="86"/>
      <c r="P243" s="79">
        <v>14</v>
      </c>
      <c r="Q243" s="87"/>
    </row>
    <row r="244" ht="15" spans="1:17">
      <c r="A244" s="89">
        <v>43305</v>
      </c>
      <c r="B244" s="78"/>
      <c r="C244" s="79">
        <v>3</v>
      </c>
      <c r="D244" s="88"/>
      <c r="E244" s="79">
        <v>79</v>
      </c>
      <c r="F244" s="80">
        <v>0.0323</v>
      </c>
      <c r="G244" s="79">
        <v>68</v>
      </c>
      <c r="H244" s="80">
        <v>0.0323</v>
      </c>
      <c r="I244" s="83">
        <v>1</v>
      </c>
      <c r="J244" s="79">
        <v>15</v>
      </c>
      <c r="K244" s="79"/>
      <c r="L244" s="80">
        <v>0</v>
      </c>
      <c r="M244" s="80"/>
      <c r="N244" s="86">
        <v>262</v>
      </c>
      <c r="O244" s="86"/>
      <c r="P244" s="79">
        <v>13</v>
      </c>
      <c r="Q244" s="87"/>
    </row>
    <row r="245" ht="15" spans="1:17">
      <c r="A245" s="89">
        <v>43306</v>
      </c>
      <c r="B245" s="78"/>
      <c r="C245" s="79">
        <v>5</v>
      </c>
      <c r="D245" s="88"/>
      <c r="E245" s="79">
        <v>21</v>
      </c>
      <c r="F245" s="80">
        <v>0.7241</v>
      </c>
      <c r="G245" s="79">
        <v>12</v>
      </c>
      <c r="H245" s="80">
        <v>0.7241</v>
      </c>
      <c r="I245" s="83">
        <v>1</v>
      </c>
      <c r="J245" s="79">
        <v>6</v>
      </c>
      <c r="K245" s="79"/>
      <c r="L245" s="80">
        <v>0.3333</v>
      </c>
      <c r="M245" s="80"/>
      <c r="N245" s="86">
        <v>436</v>
      </c>
      <c r="O245" s="86"/>
      <c r="P245" s="79">
        <v>20</v>
      </c>
      <c r="Q245" s="87"/>
    </row>
    <row r="246" ht="15" spans="1:17">
      <c r="A246" s="89">
        <v>43306</v>
      </c>
      <c r="B246" s="78"/>
      <c r="C246" s="79">
        <v>1</v>
      </c>
      <c r="D246" s="88"/>
      <c r="E246" s="79">
        <v>73</v>
      </c>
      <c r="F246" s="80">
        <v>0.2759</v>
      </c>
      <c r="G246" s="79">
        <v>46</v>
      </c>
      <c r="H246" s="80">
        <v>0.2759</v>
      </c>
      <c r="I246" s="83">
        <v>1</v>
      </c>
      <c r="J246" s="79">
        <v>9</v>
      </c>
      <c r="K246" s="79"/>
      <c r="L246" s="80">
        <v>0.125</v>
      </c>
      <c r="M246" s="80"/>
      <c r="N246" s="86">
        <v>187</v>
      </c>
      <c r="O246" s="86"/>
      <c r="P246" s="79">
        <v>8</v>
      </c>
      <c r="Q246" s="87"/>
    </row>
    <row r="247" ht="15" spans="1:17">
      <c r="A247" s="89">
        <v>43307</v>
      </c>
      <c r="B247" s="78"/>
      <c r="C247" s="79">
        <v>1</v>
      </c>
      <c r="D247" s="88"/>
      <c r="E247" s="79">
        <v>13</v>
      </c>
      <c r="F247" s="80">
        <v>0.1034</v>
      </c>
      <c r="G247" s="79">
        <v>46</v>
      </c>
      <c r="H247" s="80">
        <v>0.1034</v>
      </c>
      <c r="I247" s="83">
        <v>1</v>
      </c>
      <c r="J247" s="79">
        <v>19</v>
      </c>
      <c r="K247" s="79"/>
      <c r="L247" s="80">
        <v>0.6667</v>
      </c>
      <c r="M247" s="80"/>
      <c r="N247" s="86">
        <v>377</v>
      </c>
      <c r="O247" s="86"/>
      <c r="P247" s="79">
        <v>6</v>
      </c>
      <c r="Q247" s="87"/>
    </row>
    <row r="248" ht="15" spans="1:17">
      <c r="A248" s="89">
        <v>43307</v>
      </c>
      <c r="B248" s="78"/>
      <c r="C248" s="79">
        <v>2</v>
      </c>
      <c r="D248" s="88"/>
      <c r="E248" s="79">
        <v>32</v>
      </c>
      <c r="F248" s="80">
        <v>0.069</v>
      </c>
      <c r="G248" s="79">
        <v>15</v>
      </c>
      <c r="H248" s="80">
        <v>0.069</v>
      </c>
      <c r="I248" s="83">
        <v>1</v>
      </c>
      <c r="J248" s="79">
        <v>1</v>
      </c>
      <c r="K248" s="79"/>
      <c r="L248" s="80">
        <v>0</v>
      </c>
      <c r="M248" s="80"/>
      <c r="N248" s="86">
        <v>231</v>
      </c>
      <c r="O248" s="86"/>
      <c r="P248" s="79">
        <v>18</v>
      </c>
      <c r="Q248" s="87"/>
    </row>
    <row r="249" ht="15" spans="1:17">
      <c r="A249" s="89">
        <v>43307</v>
      </c>
      <c r="B249" s="78"/>
      <c r="C249" s="79">
        <v>5</v>
      </c>
      <c r="D249" s="88"/>
      <c r="E249" s="79">
        <v>14</v>
      </c>
      <c r="F249" s="80">
        <v>0.8276</v>
      </c>
      <c r="G249" s="79">
        <v>78</v>
      </c>
      <c r="H249" s="80">
        <v>0.8276</v>
      </c>
      <c r="I249" s="83">
        <v>1</v>
      </c>
      <c r="J249" s="79">
        <v>23</v>
      </c>
      <c r="K249" s="79"/>
      <c r="L249" s="80">
        <v>0</v>
      </c>
      <c r="M249" s="80"/>
      <c r="N249" s="86">
        <v>136</v>
      </c>
      <c r="O249" s="86"/>
      <c r="P249" s="79">
        <v>11</v>
      </c>
      <c r="Q249" s="87"/>
    </row>
    <row r="250" ht="15" spans="1:17">
      <c r="A250" s="89">
        <v>43308</v>
      </c>
      <c r="B250" s="78"/>
      <c r="C250" s="79">
        <v>5</v>
      </c>
      <c r="D250" s="88"/>
      <c r="E250" s="79">
        <v>69</v>
      </c>
      <c r="F250" s="80">
        <v>0.7955</v>
      </c>
      <c r="G250" s="79">
        <v>28</v>
      </c>
      <c r="H250" s="80">
        <v>0.7955</v>
      </c>
      <c r="I250" s="83">
        <v>1</v>
      </c>
      <c r="J250" s="79">
        <v>8</v>
      </c>
      <c r="K250" s="79"/>
      <c r="L250" s="80">
        <v>0.2692</v>
      </c>
      <c r="M250" s="80"/>
      <c r="N250" s="86">
        <v>177</v>
      </c>
      <c r="O250" s="86"/>
      <c r="P250" s="79">
        <v>13</v>
      </c>
      <c r="Q250" s="87"/>
    </row>
    <row r="251" ht="15" spans="1:17">
      <c r="A251" s="89">
        <v>43308</v>
      </c>
      <c r="B251" s="78"/>
      <c r="C251" s="79">
        <v>2</v>
      </c>
      <c r="D251" s="88"/>
      <c r="E251" s="79">
        <v>3</v>
      </c>
      <c r="F251" s="80">
        <v>0.0227</v>
      </c>
      <c r="G251" s="79">
        <v>39</v>
      </c>
      <c r="H251" s="80">
        <v>0.0227</v>
      </c>
      <c r="I251" s="83">
        <v>0</v>
      </c>
      <c r="J251" s="79">
        <v>14</v>
      </c>
      <c r="K251" s="79"/>
      <c r="L251" s="80">
        <v>0</v>
      </c>
      <c r="M251" s="80"/>
      <c r="N251" s="86">
        <v>441</v>
      </c>
      <c r="O251" s="86"/>
      <c r="P251" s="79">
        <v>19</v>
      </c>
      <c r="Q251" s="87"/>
    </row>
    <row r="252" ht="15" spans="1:17">
      <c r="A252" s="89">
        <v>43308</v>
      </c>
      <c r="B252" s="78"/>
      <c r="C252" s="79">
        <v>1</v>
      </c>
      <c r="D252" s="88"/>
      <c r="E252" s="79">
        <v>40</v>
      </c>
      <c r="F252" s="80">
        <v>0.1818</v>
      </c>
      <c r="G252" s="79">
        <v>48</v>
      </c>
      <c r="H252" s="80">
        <v>0.1818</v>
      </c>
      <c r="I252" s="83">
        <v>1</v>
      </c>
      <c r="J252" s="79">
        <v>20</v>
      </c>
      <c r="K252" s="79"/>
      <c r="L252" s="80">
        <v>0</v>
      </c>
      <c r="M252" s="80"/>
      <c r="N252" s="86">
        <v>80</v>
      </c>
      <c r="O252" s="86"/>
      <c r="P252" s="79">
        <v>14</v>
      </c>
      <c r="Q252" s="87"/>
    </row>
    <row r="253" ht="15" spans="1:17">
      <c r="A253" s="89">
        <v>43309</v>
      </c>
      <c r="B253" s="78"/>
      <c r="C253" s="79">
        <v>5</v>
      </c>
      <c r="D253" s="88"/>
      <c r="E253" s="79">
        <v>88</v>
      </c>
      <c r="F253" s="80">
        <v>0.85</v>
      </c>
      <c r="G253" s="79">
        <v>88</v>
      </c>
      <c r="H253" s="80">
        <v>0.85</v>
      </c>
      <c r="I253" s="83">
        <v>1</v>
      </c>
      <c r="J253" s="79">
        <v>26</v>
      </c>
      <c r="K253" s="79"/>
      <c r="L253" s="80">
        <v>0.1481</v>
      </c>
      <c r="M253" s="80"/>
      <c r="N253" s="86">
        <v>263</v>
      </c>
      <c r="O253" s="86"/>
      <c r="P253" s="79">
        <v>9</v>
      </c>
      <c r="Q253" s="87"/>
    </row>
    <row r="254" ht="15" spans="1:17">
      <c r="A254" s="89">
        <v>43309</v>
      </c>
      <c r="B254" s="78"/>
      <c r="C254" s="79">
        <v>4</v>
      </c>
      <c r="D254" s="88"/>
      <c r="E254" s="79">
        <v>15</v>
      </c>
      <c r="F254" s="80">
        <v>0.025</v>
      </c>
      <c r="G254" s="79">
        <v>16</v>
      </c>
      <c r="H254" s="80">
        <v>0.025</v>
      </c>
      <c r="I254" s="83">
        <v>0</v>
      </c>
      <c r="J254" s="79">
        <v>10</v>
      </c>
      <c r="K254" s="79"/>
      <c r="L254" s="80">
        <v>0</v>
      </c>
      <c r="M254" s="80"/>
      <c r="N254" s="86">
        <v>316</v>
      </c>
      <c r="O254" s="86"/>
      <c r="P254" s="79">
        <v>2</v>
      </c>
      <c r="Q254" s="87"/>
    </row>
    <row r="255" ht="15" spans="1:17">
      <c r="A255" s="89">
        <v>43309</v>
      </c>
      <c r="B255" s="78"/>
      <c r="C255" s="79">
        <v>1</v>
      </c>
      <c r="D255" s="88"/>
      <c r="E255" s="79">
        <v>15</v>
      </c>
      <c r="F255" s="80">
        <v>0.125</v>
      </c>
      <c r="G255" s="79">
        <v>74</v>
      </c>
      <c r="H255" s="80">
        <v>0.125</v>
      </c>
      <c r="I255" s="83">
        <v>1</v>
      </c>
      <c r="J255" s="79">
        <v>10</v>
      </c>
      <c r="K255" s="79"/>
      <c r="L255" s="80">
        <v>0</v>
      </c>
      <c r="M255" s="80"/>
      <c r="N255" s="86">
        <v>53</v>
      </c>
      <c r="O255" s="86"/>
      <c r="P255" s="79">
        <v>1</v>
      </c>
      <c r="Q255" s="87"/>
    </row>
    <row r="256" ht="15" spans="1:17">
      <c r="A256" s="89">
        <v>43310</v>
      </c>
      <c r="B256" s="78"/>
      <c r="C256" s="79">
        <v>5</v>
      </c>
      <c r="D256" s="88"/>
      <c r="E256" s="79">
        <v>84</v>
      </c>
      <c r="F256" s="80">
        <v>0.7632</v>
      </c>
      <c r="G256" s="79">
        <v>71</v>
      </c>
      <c r="H256" s="80">
        <v>0.7632</v>
      </c>
      <c r="I256" s="83">
        <v>1</v>
      </c>
      <c r="J256" s="79">
        <v>1</v>
      </c>
      <c r="K256" s="79"/>
      <c r="L256" s="80">
        <v>0.2632</v>
      </c>
      <c r="M256" s="80"/>
      <c r="N256" s="86">
        <v>62</v>
      </c>
      <c r="O256" s="86"/>
      <c r="P256" s="79">
        <v>14</v>
      </c>
      <c r="Q256" s="87"/>
    </row>
    <row r="257" ht="15" spans="1:17">
      <c r="A257" s="89">
        <v>43310</v>
      </c>
      <c r="B257" s="78"/>
      <c r="C257" s="79">
        <v>3</v>
      </c>
      <c r="D257" s="88"/>
      <c r="E257" s="79">
        <v>14</v>
      </c>
      <c r="F257" s="80">
        <v>0.0263</v>
      </c>
      <c r="G257" s="79">
        <v>67</v>
      </c>
      <c r="H257" s="80">
        <v>0.0263</v>
      </c>
      <c r="I257" s="83">
        <v>1</v>
      </c>
      <c r="J257" s="79">
        <v>26</v>
      </c>
      <c r="K257" s="79"/>
      <c r="L257" s="80">
        <v>0</v>
      </c>
      <c r="M257" s="80"/>
      <c r="N257" s="86">
        <v>58</v>
      </c>
      <c r="O257" s="86"/>
      <c r="P257" s="79">
        <v>20</v>
      </c>
      <c r="Q257" s="87"/>
    </row>
    <row r="258" ht="15" spans="1:17">
      <c r="A258" s="89">
        <v>43310</v>
      </c>
      <c r="B258" s="78"/>
      <c r="C258" s="79">
        <v>1</v>
      </c>
      <c r="D258" s="88"/>
      <c r="E258" s="79">
        <v>83</v>
      </c>
      <c r="F258" s="80">
        <v>0.2105</v>
      </c>
      <c r="G258" s="79">
        <v>97</v>
      </c>
      <c r="H258" s="80">
        <v>0.2105</v>
      </c>
      <c r="I258" s="83">
        <v>1</v>
      </c>
      <c r="J258" s="79">
        <v>14</v>
      </c>
      <c r="K258" s="79"/>
      <c r="L258" s="80">
        <v>0</v>
      </c>
      <c r="M258" s="80"/>
      <c r="N258" s="86">
        <v>165</v>
      </c>
      <c r="O258" s="86"/>
      <c r="P258" s="79">
        <v>4</v>
      </c>
      <c r="Q258" s="87"/>
    </row>
    <row r="259" ht="15" spans="1:17">
      <c r="A259" s="89">
        <v>43311</v>
      </c>
      <c r="B259" s="78"/>
      <c r="C259" s="79">
        <v>5</v>
      </c>
      <c r="D259" s="88"/>
      <c r="E259" s="79">
        <v>70</v>
      </c>
      <c r="F259" s="80">
        <v>0.8478</v>
      </c>
      <c r="G259" s="79">
        <v>41</v>
      </c>
      <c r="H259" s="80">
        <v>0.8478</v>
      </c>
      <c r="I259" s="83">
        <v>1</v>
      </c>
      <c r="J259" s="79">
        <v>5</v>
      </c>
      <c r="K259" s="79"/>
      <c r="L259" s="80">
        <v>0.1176</v>
      </c>
      <c r="M259" s="80"/>
      <c r="N259" s="86">
        <v>173</v>
      </c>
      <c r="O259" s="86"/>
      <c r="P259" s="79">
        <v>17</v>
      </c>
      <c r="Q259" s="87"/>
    </row>
    <row r="260" ht="15" spans="1:17">
      <c r="A260" s="89">
        <v>43311</v>
      </c>
      <c r="B260" s="78"/>
      <c r="C260" s="79">
        <v>2</v>
      </c>
      <c r="D260" s="88"/>
      <c r="E260" s="79">
        <v>54</v>
      </c>
      <c r="F260" s="80">
        <v>0.0217</v>
      </c>
      <c r="G260" s="79">
        <v>22</v>
      </c>
      <c r="H260" s="80">
        <v>0.0217</v>
      </c>
      <c r="I260" s="83">
        <v>1</v>
      </c>
      <c r="J260" s="79">
        <v>11</v>
      </c>
      <c r="K260" s="79"/>
      <c r="L260" s="80">
        <v>1</v>
      </c>
      <c r="M260" s="80"/>
      <c r="N260" s="86">
        <v>200</v>
      </c>
      <c r="O260" s="86"/>
      <c r="P260" s="79">
        <v>16</v>
      </c>
      <c r="Q260" s="87"/>
    </row>
    <row r="261" ht="15" spans="1:17">
      <c r="A261" s="89">
        <v>43311</v>
      </c>
      <c r="B261" s="78"/>
      <c r="C261" s="79">
        <v>1</v>
      </c>
      <c r="D261" s="88"/>
      <c r="E261" s="79">
        <v>94</v>
      </c>
      <c r="F261" s="80">
        <v>0.1304</v>
      </c>
      <c r="G261" s="79">
        <v>61</v>
      </c>
      <c r="H261" s="80">
        <v>0.1304</v>
      </c>
      <c r="I261" s="83">
        <v>1</v>
      </c>
      <c r="J261" s="79">
        <v>20</v>
      </c>
      <c r="K261" s="79"/>
      <c r="L261" s="80">
        <v>0</v>
      </c>
      <c r="M261" s="80"/>
      <c r="N261" s="86">
        <v>216</v>
      </c>
      <c r="O261" s="86"/>
      <c r="P261" s="79">
        <v>16</v>
      </c>
      <c r="Q261" s="87"/>
    </row>
    <row r="262" ht="15" spans="1:17">
      <c r="A262" s="89">
        <v>43312</v>
      </c>
      <c r="B262" s="78"/>
      <c r="C262" s="79">
        <v>5</v>
      </c>
      <c r="D262" s="88"/>
      <c r="E262" s="79">
        <v>9</v>
      </c>
      <c r="F262" s="80">
        <v>0.8958</v>
      </c>
      <c r="G262" s="79">
        <v>94</v>
      </c>
      <c r="H262" s="80">
        <v>0.8958</v>
      </c>
      <c r="I262" s="83">
        <v>0.98</v>
      </c>
      <c r="J262" s="79">
        <v>1</v>
      </c>
      <c r="K262" s="79"/>
      <c r="L262" s="80">
        <v>0.1429</v>
      </c>
      <c r="M262" s="80"/>
      <c r="N262" s="86">
        <v>232</v>
      </c>
      <c r="O262" s="86"/>
      <c r="P262" s="79">
        <v>16</v>
      </c>
      <c r="Q262" s="87"/>
    </row>
    <row r="263" ht="15" spans="1:17">
      <c r="A263" s="89">
        <v>43312</v>
      </c>
      <c r="B263" s="78"/>
      <c r="C263" s="79">
        <v>4</v>
      </c>
      <c r="D263" s="88"/>
      <c r="E263" s="79">
        <v>28</v>
      </c>
      <c r="F263" s="80">
        <v>0.0417</v>
      </c>
      <c r="G263" s="79">
        <v>28</v>
      </c>
      <c r="H263" s="80">
        <v>0.0417</v>
      </c>
      <c r="I263" s="83">
        <v>1</v>
      </c>
      <c r="J263" s="79">
        <v>8</v>
      </c>
      <c r="K263" s="79"/>
      <c r="L263" s="80">
        <v>0</v>
      </c>
      <c r="M263" s="80"/>
      <c r="N263" s="86">
        <v>417</v>
      </c>
      <c r="O263" s="86"/>
      <c r="P263" s="79">
        <v>15</v>
      </c>
      <c r="Q263" s="87"/>
    </row>
    <row r="264" ht="15" spans="1:17">
      <c r="A264" s="89">
        <v>43312</v>
      </c>
      <c r="B264" s="78"/>
      <c r="C264" s="79">
        <v>3</v>
      </c>
      <c r="D264" s="88"/>
      <c r="E264" s="79">
        <v>81</v>
      </c>
      <c r="F264" s="80">
        <v>0.0208</v>
      </c>
      <c r="G264" s="79">
        <v>41</v>
      </c>
      <c r="H264" s="80">
        <v>0.0208</v>
      </c>
      <c r="I264" s="83">
        <v>0</v>
      </c>
      <c r="J264" s="79">
        <v>29</v>
      </c>
      <c r="K264" s="79"/>
      <c r="L264" s="80">
        <v>0</v>
      </c>
      <c r="M264" s="80"/>
      <c r="N264" s="86">
        <v>138</v>
      </c>
      <c r="O264" s="86"/>
      <c r="P264" s="79">
        <v>7</v>
      </c>
      <c r="Q264" s="87"/>
    </row>
    <row r="265" ht="15" spans="1:17">
      <c r="A265" s="89">
        <v>43312</v>
      </c>
      <c r="B265" s="78"/>
      <c r="C265" s="79">
        <v>1</v>
      </c>
      <c r="D265" s="88"/>
      <c r="E265" s="79">
        <v>86</v>
      </c>
      <c r="F265" s="80">
        <v>0.0417</v>
      </c>
      <c r="G265" s="79">
        <v>74</v>
      </c>
      <c r="H265" s="80">
        <v>0.0417</v>
      </c>
      <c r="I265" s="83">
        <v>1</v>
      </c>
      <c r="J265" s="79">
        <v>2</v>
      </c>
      <c r="K265" s="79"/>
      <c r="L265" s="80">
        <v>0</v>
      </c>
      <c r="M265" s="80"/>
      <c r="N265" s="86">
        <v>188</v>
      </c>
      <c r="O265" s="86"/>
      <c r="P265" s="79">
        <v>14</v>
      </c>
      <c r="Q265" s="87"/>
    </row>
    <row r="266" ht="15" spans="1:17">
      <c r="A266" s="89">
        <v>43313</v>
      </c>
      <c r="B266" s="78"/>
      <c r="C266" s="79">
        <v>5</v>
      </c>
      <c r="D266" s="88"/>
      <c r="E266" s="79">
        <v>19</v>
      </c>
      <c r="F266" s="80">
        <v>0.8333</v>
      </c>
      <c r="G266" s="79">
        <v>24</v>
      </c>
      <c r="H266" s="80">
        <v>0.8333</v>
      </c>
      <c r="I266" s="83">
        <v>1</v>
      </c>
      <c r="J266" s="79">
        <v>1</v>
      </c>
      <c r="K266" s="79"/>
      <c r="L266" s="80">
        <v>0.5</v>
      </c>
      <c r="M266" s="80"/>
      <c r="N266" s="86">
        <v>158</v>
      </c>
      <c r="O266" s="86"/>
      <c r="P266" s="79">
        <v>3</v>
      </c>
      <c r="Q266" s="87"/>
    </row>
    <row r="267" ht="15" spans="1:17">
      <c r="A267" s="89">
        <v>43313</v>
      </c>
      <c r="B267" s="78"/>
      <c r="C267" s="79">
        <v>4</v>
      </c>
      <c r="D267" s="88"/>
      <c r="E267" s="79">
        <v>81</v>
      </c>
      <c r="F267" s="80">
        <v>0.0417</v>
      </c>
      <c r="G267" s="79">
        <v>3</v>
      </c>
      <c r="H267" s="80">
        <v>0.0417</v>
      </c>
      <c r="I267" s="83">
        <v>1</v>
      </c>
      <c r="J267" s="79">
        <v>18</v>
      </c>
      <c r="K267" s="79"/>
      <c r="L267" s="80">
        <v>0</v>
      </c>
      <c r="M267" s="80"/>
      <c r="N267" s="86">
        <v>369</v>
      </c>
      <c r="O267" s="86"/>
      <c r="P267" s="79">
        <v>6</v>
      </c>
      <c r="Q267" s="87"/>
    </row>
    <row r="268" ht="15" spans="1:17">
      <c r="A268" s="89">
        <v>43313</v>
      </c>
      <c r="B268" s="78"/>
      <c r="C268" s="79">
        <v>1</v>
      </c>
      <c r="D268" s="88"/>
      <c r="E268" s="79">
        <v>41</v>
      </c>
      <c r="F268" s="80">
        <v>0.125</v>
      </c>
      <c r="G268" s="79">
        <v>23</v>
      </c>
      <c r="H268" s="80">
        <v>0.125</v>
      </c>
      <c r="I268" s="83">
        <v>1</v>
      </c>
      <c r="J268" s="79">
        <v>27</v>
      </c>
      <c r="K268" s="79"/>
      <c r="L268" s="80">
        <v>0</v>
      </c>
      <c r="M268" s="80"/>
      <c r="N268" s="86">
        <v>123</v>
      </c>
      <c r="O268" s="86"/>
      <c r="P268" s="79">
        <v>4</v>
      </c>
      <c r="Q268" s="87"/>
    </row>
    <row r="269" ht="15" spans="1:17">
      <c r="A269" s="89">
        <v>43314</v>
      </c>
      <c r="B269" s="78"/>
      <c r="C269" s="79">
        <v>5</v>
      </c>
      <c r="D269" s="88"/>
      <c r="E269" s="79">
        <v>29</v>
      </c>
      <c r="F269" s="80">
        <v>0.75</v>
      </c>
      <c r="G269" s="79">
        <v>88</v>
      </c>
      <c r="H269" s="80">
        <v>0.75</v>
      </c>
      <c r="I269" s="83">
        <v>1</v>
      </c>
      <c r="J269" s="79">
        <v>11</v>
      </c>
      <c r="K269" s="79"/>
      <c r="L269" s="80">
        <v>0.5333</v>
      </c>
      <c r="M269" s="80"/>
      <c r="N269" s="86">
        <v>139</v>
      </c>
      <c r="O269" s="86"/>
      <c r="P269" s="79">
        <v>20</v>
      </c>
      <c r="Q269" s="87"/>
    </row>
    <row r="270" ht="15" spans="1:17">
      <c r="A270" s="89">
        <v>43314</v>
      </c>
      <c r="B270" s="78"/>
      <c r="C270" s="79">
        <v>1</v>
      </c>
      <c r="D270" s="88"/>
      <c r="E270" s="79">
        <v>57</v>
      </c>
      <c r="F270" s="80">
        <v>0.25</v>
      </c>
      <c r="G270" s="79">
        <v>75</v>
      </c>
      <c r="H270" s="80">
        <v>0.25</v>
      </c>
      <c r="I270" s="83">
        <v>1</v>
      </c>
      <c r="J270" s="79">
        <v>15</v>
      </c>
      <c r="K270" s="79"/>
      <c r="L270" s="80">
        <v>0</v>
      </c>
      <c r="M270" s="80"/>
      <c r="N270" s="86">
        <v>437</v>
      </c>
      <c r="O270" s="86"/>
      <c r="P270" s="79">
        <v>1</v>
      </c>
      <c r="Q270" s="87"/>
    </row>
    <row r="271" ht="15" spans="1:17">
      <c r="A271" s="89">
        <v>43315</v>
      </c>
      <c r="B271" s="78"/>
      <c r="C271" s="79">
        <v>5</v>
      </c>
      <c r="D271" s="88"/>
      <c r="E271" s="79">
        <v>82</v>
      </c>
      <c r="F271" s="80">
        <v>0.8684</v>
      </c>
      <c r="G271" s="79">
        <v>91</v>
      </c>
      <c r="H271" s="80">
        <v>0.8684</v>
      </c>
      <c r="I271" s="83">
        <v>1</v>
      </c>
      <c r="J271" s="79">
        <v>29</v>
      </c>
      <c r="K271" s="79"/>
      <c r="L271" s="80">
        <v>0.2917</v>
      </c>
      <c r="M271" s="80"/>
      <c r="N271" s="86">
        <v>471</v>
      </c>
      <c r="O271" s="86"/>
      <c r="P271" s="79">
        <v>16</v>
      </c>
      <c r="Q271" s="87"/>
    </row>
    <row r="272" ht="15" spans="1:17">
      <c r="A272" s="89">
        <v>43315</v>
      </c>
      <c r="B272" s="78"/>
      <c r="C272" s="79">
        <v>4</v>
      </c>
      <c r="D272" s="88"/>
      <c r="E272" s="79">
        <v>50</v>
      </c>
      <c r="F272" s="80">
        <v>0.0263</v>
      </c>
      <c r="G272" s="79">
        <v>32</v>
      </c>
      <c r="H272" s="80">
        <v>0.0263</v>
      </c>
      <c r="I272" s="83">
        <v>1</v>
      </c>
      <c r="J272" s="79">
        <v>10</v>
      </c>
      <c r="K272" s="79"/>
      <c r="L272" s="80">
        <v>0</v>
      </c>
      <c r="M272" s="80"/>
      <c r="N272" s="86">
        <v>293</v>
      </c>
      <c r="O272" s="86"/>
      <c r="P272" s="79">
        <v>8</v>
      </c>
      <c r="Q272" s="87"/>
    </row>
    <row r="273" ht="15" spans="1:17">
      <c r="A273" s="89">
        <v>43315</v>
      </c>
      <c r="B273" s="78"/>
      <c r="C273" s="79">
        <v>1</v>
      </c>
      <c r="D273" s="88"/>
      <c r="E273" s="79">
        <v>21</v>
      </c>
      <c r="F273" s="80">
        <v>0.1053</v>
      </c>
      <c r="G273" s="79">
        <v>35</v>
      </c>
      <c r="H273" s="80">
        <v>0.1053</v>
      </c>
      <c r="I273" s="83">
        <v>1</v>
      </c>
      <c r="J273" s="79">
        <v>2</v>
      </c>
      <c r="K273" s="79"/>
      <c r="L273" s="80">
        <v>0</v>
      </c>
      <c r="M273" s="80"/>
      <c r="N273" s="86">
        <v>216</v>
      </c>
      <c r="O273" s="86"/>
      <c r="P273" s="79">
        <v>9</v>
      </c>
      <c r="Q273" s="87"/>
    </row>
    <row r="274" ht="15" spans="1:17">
      <c r="A274" s="89">
        <v>43316</v>
      </c>
      <c r="B274" s="78"/>
      <c r="C274" s="79">
        <v>5</v>
      </c>
      <c r="D274" s="88"/>
      <c r="E274" s="79">
        <v>46</v>
      </c>
      <c r="F274" s="80">
        <v>0.6364</v>
      </c>
      <c r="G274" s="79">
        <v>88</v>
      </c>
      <c r="H274" s="80">
        <v>0.6364</v>
      </c>
      <c r="I274" s="83">
        <v>1</v>
      </c>
      <c r="J274" s="79">
        <v>4</v>
      </c>
      <c r="K274" s="79"/>
      <c r="L274" s="80">
        <v>0.1053</v>
      </c>
      <c r="M274" s="80"/>
      <c r="N274" s="86">
        <v>473</v>
      </c>
      <c r="O274" s="86"/>
      <c r="P274" s="79">
        <v>19</v>
      </c>
      <c r="Q274" s="87"/>
    </row>
    <row r="275" ht="15" spans="1:17">
      <c r="A275" s="89">
        <v>43316</v>
      </c>
      <c r="B275" s="78"/>
      <c r="C275" s="79">
        <v>1</v>
      </c>
      <c r="D275" s="88"/>
      <c r="E275" s="79">
        <v>51</v>
      </c>
      <c r="F275" s="80">
        <v>0.303</v>
      </c>
      <c r="G275" s="79">
        <v>38</v>
      </c>
      <c r="H275" s="80">
        <v>0.303</v>
      </c>
      <c r="I275" s="83">
        <v>0.9</v>
      </c>
      <c r="J275" s="79">
        <v>28</v>
      </c>
      <c r="K275" s="79"/>
      <c r="L275" s="80">
        <v>0.2222</v>
      </c>
      <c r="M275" s="80"/>
      <c r="N275" s="86">
        <v>221</v>
      </c>
      <c r="O275" s="86"/>
      <c r="P275" s="79">
        <v>10</v>
      </c>
      <c r="Q275" s="87"/>
    </row>
    <row r="276" ht="15" spans="1:17">
      <c r="A276" s="89">
        <v>43316</v>
      </c>
      <c r="B276" s="78"/>
      <c r="C276" s="79">
        <v>2</v>
      </c>
      <c r="D276" s="88"/>
      <c r="E276" s="79">
        <v>52</v>
      </c>
      <c r="F276" s="80">
        <v>0.0606</v>
      </c>
      <c r="G276" s="79">
        <v>39</v>
      </c>
      <c r="H276" s="80">
        <v>0.0606</v>
      </c>
      <c r="I276" s="83">
        <v>1</v>
      </c>
      <c r="J276" s="79">
        <v>2</v>
      </c>
      <c r="K276" s="79"/>
      <c r="L276" s="80">
        <v>0</v>
      </c>
      <c r="M276" s="80"/>
      <c r="N276" s="86">
        <v>438</v>
      </c>
      <c r="O276" s="86"/>
      <c r="P276" s="79">
        <v>13</v>
      </c>
      <c r="Q276" s="87"/>
    </row>
    <row r="277" ht="15" spans="1:17">
      <c r="A277" s="89">
        <v>43317</v>
      </c>
      <c r="B277" s="78"/>
      <c r="C277" s="79">
        <v>5</v>
      </c>
      <c r="D277" s="88"/>
      <c r="E277" s="79">
        <v>16</v>
      </c>
      <c r="F277" s="80">
        <v>0.9024</v>
      </c>
      <c r="G277" s="79">
        <v>56</v>
      </c>
      <c r="H277" s="80">
        <v>0.9024</v>
      </c>
      <c r="I277" s="83">
        <v>1</v>
      </c>
      <c r="J277" s="79">
        <v>15</v>
      </c>
      <c r="K277" s="79"/>
      <c r="L277" s="80">
        <v>0.0833</v>
      </c>
      <c r="M277" s="80"/>
      <c r="N277" s="86">
        <v>192</v>
      </c>
      <c r="O277" s="86"/>
      <c r="P277" s="79">
        <v>11</v>
      </c>
      <c r="Q277" s="87"/>
    </row>
    <row r="278" ht="15" spans="1:17">
      <c r="A278" s="89">
        <v>43317</v>
      </c>
      <c r="B278" s="78"/>
      <c r="C278" s="79">
        <v>1</v>
      </c>
      <c r="D278" s="88"/>
      <c r="E278" s="79">
        <v>36</v>
      </c>
      <c r="F278" s="80">
        <v>0.0732</v>
      </c>
      <c r="G278" s="79">
        <v>19</v>
      </c>
      <c r="H278" s="80">
        <v>0.0732</v>
      </c>
      <c r="I278" s="83">
        <v>1</v>
      </c>
      <c r="J278" s="79">
        <v>11</v>
      </c>
      <c r="K278" s="79"/>
      <c r="L278" s="80">
        <v>0.6667</v>
      </c>
      <c r="M278" s="80"/>
      <c r="N278" s="86">
        <v>362</v>
      </c>
      <c r="O278" s="86"/>
      <c r="P278" s="79">
        <v>4</v>
      </c>
      <c r="Q278" s="87"/>
    </row>
    <row r="279" ht="15" spans="1:17">
      <c r="A279" s="89">
        <v>43317</v>
      </c>
      <c r="B279" s="78"/>
      <c r="C279" s="79">
        <v>4</v>
      </c>
      <c r="D279" s="88"/>
      <c r="E279" s="79">
        <v>10</v>
      </c>
      <c r="F279" s="80">
        <v>0.0244</v>
      </c>
      <c r="G279" s="79">
        <v>51</v>
      </c>
      <c r="H279" s="80">
        <v>0.0244</v>
      </c>
      <c r="I279" s="83">
        <v>1</v>
      </c>
      <c r="J279" s="79">
        <v>10</v>
      </c>
      <c r="K279" s="79"/>
      <c r="L279" s="80">
        <v>0</v>
      </c>
      <c r="M279" s="80"/>
      <c r="N279" s="86">
        <v>241</v>
      </c>
      <c r="O279" s="86"/>
      <c r="P279" s="79">
        <v>18</v>
      </c>
      <c r="Q279" s="87"/>
    </row>
    <row r="280" spans="1:20">
      <c r="A280" s="89">
        <v>43318</v>
      </c>
      <c r="B280" s="78"/>
      <c r="C280" s="79">
        <v>5</v>
      </c>
      <c r="D280" s="79"/>
      <c r="E280" s="79">
        <v>79</v>
      </c>
      <c r="F280" s="80">
        <v>0.8367</v>
      </c>
      <c r="G280" s="79">
        <v>100</v>
      </c>
      <c r="H280" s="80">
        <v>0.8367</v>
      </c>
      <c r="I280" s="83">
        <v>1</v>
      </c>
      <c r="J280" s="79">
        <v>15</v>
      </c>
      <c r="K280" s="79"/>
      <c r="L280" s="80">
        <v>0.2258</v>
      </c>
      <c r="M280" s="80"/>
      <c r="N280" s="86">
        <v>290</v>
      </c>
      <c r="O280" s="86"/>
      <c r="P280" s="79">
        <v>15</v>
      </c>
      <c r="Q280" s="86"/>
      <c r="R280" s="86"/>
      <c r="S280" s="79"/>
      <c r="T280" s="79"/>
    </row>
    <row r="281" spans="1:20">
      <c r="A281" s="89">
        <v>43318</v>
      </c>
      <c r="B281" s="78"/>
      <c r="C281" s="79">
        <v>1</v>
      </c>
      <c r="D281" s="79"/>
      <c r="E281" s="79">
        <v>57</v>
      </c>
      <c r="F281" s="80">
        <v>0.1633</v>
      </c>
      <c r="G281" s="79">
        <v>52</v>
      </c>
      <c r="H281" s="80">
        <v>0.1633</v>
      </c>
      <c r="I281" s="83">
        <v>1</v>
      </c>
      <c r="J281" s="79">
        <v>8</v>
      </c>
      <c r="K281" s="79"/>
      <c r="L281" s="80">
        <v>0</v>
      </c>
      <c r="M281" s="80"/>
      <c r="N281" s="86">
        <v>215</v>
      </c>
      <c r="O281" s="86"/>
      <c r="P281" s="79">
        <v>17</v>
      </c>
      <c r="Q281" s="86"/>
      <c r="R281" s="86"/>
      <c r="S281" s="79"/>
      <c r="T281" s="79"/>
    </row>
    <row r="282" ht="15" spans="1:17">
      <c r="A282" s="89">
        <v>43319</v>
      </c>
      <c r="B282" s="78"/>
      <c r="C282" s="79">
        <v>5</v>
      </c>
      <c r="D282" s="88"/>
      <c r="E282" s="79">
        <v>75</v>
      </c>
      <c r="F282" s="80">
        <v>0.7273</v>
      </c>
      <c r="G282" s="79">
        <v>97</v>
      </c>
      <c r="H282" s="80">
        <v>0.7273</v>
      </c>
      <c r="I282" s="83">
        <v>1</v>
      </c>
      <c r="J282" s="79">
        <v>12</v>
      </c>
      <c r="K282" s="79"/>
      <c r="L282" s="80">
        <v>0.1613</v>
      </c>
      <c r="M282" s="80"/>
      <c r="N282" s="86">
        <v>333</v>
      </c>
      <c r="O282" s="86"/>
      <c r="P282" s="79">
        <v>0</v>
      </c>
      <c r="Q282" s="87"/>
    </row>
    <row r="283" ht="15" spans="1:17">
      <c r="A283" s="89">
        <v>43319</v>
      </c>
      <c r="B283" s="78"/>
      <c r="C283" s="79">
        <v>4</v>
      </c>
      <c r="D283" s="88"/>
      <c r="E283" s="79">
        <v>52</v>
      </c>
      <c r="F283" s="80">
        <v>0.0152</v>
      </c>
      <c r="G283" s="79">
        <v>1</v>
      </c>
      <c r="H283" s="80">
        <v>0.0152</v>
      </c>
      <c r="I283" s="83">
        <v>0</v>
      </c>
      <c r="J283" s="79">
        <v>24</v>
      </c>
      <c r="K283" s="79"/>
      <c r="L283" s="80">
        <v>0</v>
      </c>
      <c r="M283" s="80"/>
      <c r="N283" s="86">
        <v>307</v>
      </c>
      <c r="O283" s="86"/>
      <c r="P283" s="79">
        <v>3</v>
      </c>
      <c r="Q283" s="87"/>
    </row>
    <row r="284" ht="15" spans="1:17">
      <c r="A284" s="89">
        <v>43319</v>
      </c>
      <c r="B284" s="78"/>
      <c r="C284" s="79">
        <v>1</v>
      </c>
      <c r="D284" s="88"/>
      <c r="E284" s="79">
        <v>66</v>
      </c>
      <c r="F284" s="80">
        <v>0.2576</v>
      </c>
      <c r="G284" s="79">
        <v>39</v>
      </c>
      <c r="H284" s="80">
        <v>0.2576</v>
      </c>
      <c r="I284" s="83">
        <v>1</v>
      </c>
      <c r="J284" s="79">
        <v>4</v>
      </c>
      <c r="K284" s="79"/>
      <c r="L284" s="80">
        <v>0.0769</v>
      </c>
      <c r="M284" s="80"/>
      <c r="N284" s="86">
        <v>428</v>
      </c>
      <c r="O284" s="86"/>
      <c r="P284" s="79">
        <v>19</v>
      </c>
      <c r="Q284" s="87"/>
    </row>
    <row r="285" ht="15" spans="1:17">
      <c r="A285" s="89">
        <v>43320</v>
      </c>
      <c r="B285" s="78"/>
      <c r="C285" s="79">
        <v>5</v>
      </c>
      <c r="D285" s="88"/>
      <c r="E285" s="79">
        <v>54</v>
      </c>
      <c r="F285" s="80">
        <v>0.6714</v>
      </c>
      <c r="G285" s="79">
        <v>70</v>
      </c>
      <c r="H285" s="80">
        <v>0.6714</v>
      </c>
      <c r="I285" s="83">
        <v>1</v>
      </c>
      <c r="J285" s="79">
        <v>20</v>
      </c>
      <c r="K285" s="79"/>
      <c r="L285" s="80">
        <v>0.2222</v>
      </c>
      <c r="M285" s="80"/>
      <c r="N285" s="86">
        <v>487</v>
      </c>
      <c r="O285" s="86"/>
      <c r="P285" s="79">
        <v>18</v>
      </c>
      <c r="Q285" s="87"/>
    </row>
    <row r="286" ht="15" spans="1:17">
      <c r="A286" s="89">
        <v>43320</v>
      </c>
      <c r="B286" s="78"/>
      <c r="C286" s="79">
        <v>1</v>
      </c>
      <c r="D286" s="88"/>
      <c r="E286" s="79">
        <v>64</v>
      </c>
      <c r="F286" s="80">
        <v>0.3286</v>
      </c>
      <c r="G286" s="79">
        <v>15</v>
      </c>
      <c r="H286" s="80">
        <v>0.3286</v>
      </c>
      <c r="I286" s="83">
        <v>1</v>
      </c>
      <c r="J286" s="79">
        <v>26</v>
      </c>
      <c r="K286" s="79"/>
      <c r="L286" s="80">
        <v>0.15</v>
      </c>
      <c r="M286" s="80"/>
      <c r="N286" s="86">
        <v>461</v>
      </c>
      <c r="O286" s="86"/>
      <c r="P286" s="79">
        <v>0</v>
      </c>
      <c r="Q286" s="87"/>
    </row>
    <row r="287" ht="15" spans="1:17">
      <c r="A287" s="89">
        <v>43321</v>
      </c>
      <c r="B287" s="78"/>
      <c r="C287" s="79">
        <v>2</v>
      </c>
      <c r="D287" s="88"/>
      <c r="E287" s="79">
        <v>1</v>
      </c>
      <c r="F287" s="80">
        <v>0.0101</v>
      </c>
      <c r="G287" s="79">
        <v>40</v>
      </c>
      <c r="H287" s="80">
        <v>0.0101</v>
      </c>
      <c r="I287" s="83">
        <v>1</v>
      </c>
      <c r="J287" s="79">
        <v>29</v>
      </c>
      <c r="K287" s="79"/>
      <c r="L287" s="80">
        <v>0</v>
      </c>
      <c r="M287" s="80"/>
      <c r="N287" s="86">
        <v>63</v>
      </c>
      <c r="O287" s="86"/>
      <c r="P287" s="79">
        <v>0</v>
      </c>
      <c r="Q287" s="87"/>
    </row>
    <row r="288" ht="15" spans="1:17">
      <c r="A288" s="89">
        <v>43321</v>
      </c>
      <c r="B288" s="78"/>
      <c r="C288" s="79">
        <v>5</v>
      </c>
      <c r="D288" s="88"/>
      <c r="E288" s="79">
        <v>7</v>
      </c>
      <c r="F288" s="80">
        <v>0.6061</v>
      </c>
      <c r="G288" s="79">
        <v>41</v>
      </c>
      <c r="H288" s="80">
        <v>0.6061</v>
      </c>
      <c r="I288" s="83">
        <v>1</v>
      </c>
      <c r="J288" s="79">
        <v>1</v>
      </c>
      <c r="K288" s="79"/>
      <c r="L288" s="80">
        <v>0.1538</v>
      </c>
      <c r="M288" s="80"/>
      <c r="N288" s="86">
        <v>423</v>
      </c>
      <c r="O288" s="86"/>
      <c r="P288" s="79">
        <v>10</v>
      </c>
      <c r="Q288" s="87"/>
    </row>
    <row r="289" ht="15" spans="1:17">
      <c r="A289" s="89">
        <v>43321</v>
      </c>
      <c r="B289" s="78"/>
      <c r="C289" s="79">
        <v>3</v>
      </c>
      <c r="D289" s="88"/>
      <c r="E289" s="79">
        <v>97</v>
      </c>
      <c r="F289" s="80">
        <v>0.0101</v>
      </c>
      <c r="G289" s="79">
        <v>1</v>
      </c>
      <c r="H289" s="80">
        <v>0.0101</v>
      </c>
      <c r="I289" s="83">
        <v>0</v>
      </c>
      <c r="J289" s="79">
        <v>11</v>
      </c>
      <c r="K289" s="79"/>
      <c r="L289" s="80">
        <v>0</v>
      </c>
      <c r="M289" s="80"/>
      <c r="N289" s="86">
        <v>458</v>
      </c>
      <c r="O289" s="86"/>
      <c r="P289" s="79">
        <v>19</v>
      </c>
      <c r="Q289" s="87"/>
    </row>
    <row r="290" ht="15" spans="1:17">
      <c r="A290" s="89">
        <v>43321</v>
      </c>
      <c r="B290" s="78"/>
      <c r="C290" s="79">
        <v>1</v>
      </c>
      <c r="D290" s="88"/>
      <c r="E290" s="79">
        <v>92</v>
      </c>
      <c r="F290" s="80">
        <v>0.3737</v>
      </c>
      <c r="G290" s="79">
        <v>43</v>
      </c>
      <c r="H290" s="80">
        <v>0.3737</v>
      </c>
      <c r="I290" s="83">
        <v>1</v>
      </c>
      <c r="J290" s="79">
        <v>21</v>
      </c>
      <c r="K290" s="79"/>
      <c r="L290" s="80">
        <v>0.069</v>
      </c>
      <c r="M290" s="80"/>
      <c r="N290" s="86">
        <v>139</v>
      </c>
      <c r="O290" s="86"/>
      <c r="P290" s="79">
        <v>10</v>
      </c>
      <c r="Q290" s="87"/>
    </row>
    <row r="291" ht="15" spans="1:17">
      <c r="A291" s="89">
        <v>43322</v>
      </c>
      <c r="B291" s="78"/>
      <c r="C291" s="79">
        <v>2</v>
      </c>
      <c r="D291" s="88"/>
      <c r="E291" s="79">
        <v>61</v>
      </c>
      <c r="F291" s="80">
        <v>0.037</v>
      </c>
      <c r="G291" s="79">
        <v>1</v>
      </c>
      <c r="H291" s="80">
        <v>0.037</v>
      </c>
      <c r="I291" s="83">
        <v>1</v>
      </c>
      <c r="J291" s="79">
        <v>19</v>
      </c>
      <c r="K291" s="79"/>
      <c r="L291" s="80">
        <v>0</v>
      </c>
      <c r="M291" s="80"/>
      <c r="N291" s="86">
        <v>133</v>
      </c>
      <c r="O291" s="86"/>
      <c r="P291" s="79">
        <v>7</v>
      </c>
      <c r="Q291" s="87"/>
    </row>
    <row r="292" ht="15" spans="1:17">
      <c r="A292" s="89">
        <v>43322</v>
      </c>
      <c r="B292" s="78"/>
      <c r="C292" s="79">
        <v>5</v>
      </c>
      <c r="D292" s="88"/>
      <c r="E292" s="79">
        <v>21</v>
      </c>
      <c r="F292" s="80">
        <v>0.537</v>
      </c>
      <c r="G292" s="79">
        <v>52</v>
      </c>
      <c r="H292" s="80">
        <v>0.537</v>
      </c>
      <c r="I292" s="83">
        <v>1</v>
      </c>
      <c r="J292" s="79">
        <v>21</v>
      </c>
      <c r="K292" s="79"/>
      <c r="L292" s="80">
        <v>0.2963</v>
      </c>
      <c r="M292" s="80"/>
      <c r="N292" s="86">
        <v>475</v>
      </c>
      <c r="O292" s="86"/>
      <c r="P292" s="79">
        <v>16</v>
      </c>
      <c r="Q292" s="87"/>
    </row>
    <row r="293" ht="15" spans="1:17">
      <c r="A293" s="89">
        <v>43322</v>
      </c>
      <c r="B293" s="78"/>
      <c r="C293" s="79">
        <v>3</v>
      </c>
      <c r="D293" s="88"/>
      <c r="E293" s="79">
        <v>27</v>
      </c>
      <c r="F293" s="80">
        <v>0.0185</v>
      </c>
      <c r="G293" s="79">
        <v>80</v>
      </c>
      <c r="H293" s="80">
        <v>0.0185</v>
      </c>
      <c r="I293" s="83">
        <v>0</v>
      </c>
      <c r="J293" s="79">
        <v>29</v>
      </c>
      <c r="K293" s="79"/>
      <c r="L293" s="80">
        <v>0</v>
      </c>
      <c r="M293" s="80"/>
      <c r="N293" s="86">
        <v>391</v>
      </c>
      <c r="O293" s="86"/>
      <c r="P293" s="79">
        <v>1</v>
      </c>
      <c r="Q293" s="87"/>
    </row>
    <row r="294" ht="15" spans="1:17">
      <c r="A294" s="89">
        <v>43322</v>
      </c>
      <c r="B294" s="78"/>
      <c r="C294" s="79">
        <v>1</v>
      </c>
      <c r="D294" s="88"/>
      <c r="E294" s="79">
        <v>60</v>
      </c>
      <c r="F294" s="80">
        <v>0.4074</v>
      </c>
      <c r="G294" s="79">
        <v>85</v>
      </c>
      <c r="H294" s="80">
        <v>0.4074</v>
      </c>
      <c r="I294" s="83">
        <v>1</v>
      </c>
      <c r="J294" s="79">
        <v>29</v>
      </c>
      <c r="K294" s="79"/>
      <c r="L294" s="80">
        <v>0</v>
      </c>
      <c r="M294" s="80"/>
      <c r="N294" s="86">
        <v>76</v>
      </c>
      <c r="O294" s="86"/>
      <c r="P294" s="79">
        <v>2</v>
      </c>
      <c r="Q294" s="87"/>
    </row>
    <row r="295" ht="15" spans="1:17">
      <c r="A295" s="89">
        <v>43323</v>
      </c>
      <c r="B295" s="78"/>
      <c r="C295" s="79">
        <v>4</v>
      </c>
      <c r="D295" s="88"/>
      <c r="E295" s="79">
        <v>54</v>
      </c>
      <c r="F295" s="80">
        <v>0.0122</v>
      </c>
      <c r="G295" s="79">
        <v>17</v>
      </c>
      <c r="H295" s="80">
        <v>0.0122</v>
      </c>
      <c r="I295" s="83">
        <v>1</v>
      </c>
      <c r="J295" s="79">
        <v>30</v>
      </c>
      <c r="K295" s="79"/>
      <c r="L295" s="80">
        <v>0</v>
      </c>
      <c r="M295" s="80"/>
      <c r="N295" s="86">
        <v>198</v>
      </c>
      <c r="O295" s="86"/>
      <c r="P295" s="79">
        <v>11</v>
      </c>
      <c r="Q295" s="87"/>
    </row>
    <row r="296" ht="15" spans="1:17">
      <c r="A296" s="89">
        <v>43323</v>
      </c>
      <c r="B296" s="78"/>
      <c r="C296" s="79">
        <v>2</v>
      </c>
      <c r="D296" s="88"/>
      <c r="E296" s="79">
        <v>4</v>
      </c>
      <c r="F296" s="80">
        <v>0.0244</v>
      </c>
      <c r="G296" s="79">
        <v>48</v>
      </c>
      <c r="H296" s="80">
        <v>0.0244</v>
      </c>
      <c r="I296" s="83">
        <v>1</v>
      </c>
      <c r="J296" s="79">
        <v>6</v>
      </c>
      <c r="K296" s="79"/>
      <c r="L296" s="80">
        <v>0</v>
      </c>
      <c r="M296" s="80"/>
      <c r="N296" s="86">
        <v>362</v>
      </c>
      <c r="O296" s="86"/>
      <c r="P296" s="79">
        <v>0</v>
      </c>
      <c r="Q296" s="87"/>
    </row>
    <row r="297" ht="15" spans="1:17">
      <c r="A297" s="89">
        <v>43323</v>
      </c>
      <c r="B297" s="78"/>
      <c r="C297" s="79">
        <v>5</v>
      </c>
      <c r="D297" s="88"/>
      <c r="E297" s="79">
        <v>92</v>
      </c>
      <c r="F297" s="80">
        <v>0.6829</v>
      </c>
      <c r="G297" s="79">
        <v>94</v>
      </c>
      <c r="H297" s="80">
        <v>0.6829</v>
      </c>
      <c r="I297" s="83">
        <v>1</v>
      </c>
      <c r="J297" s="79">
        <v>29</v>
      </c>
      <c r="K297" s="79"/>
      <c r="L297" s="80">
        <v>0.0889</v>
      </c>
      <c r="M297" s="80"/>
      <c r="N297" s="86">
        <v>138</v>
      </c>
      <c r="O297" s="86"/>
      <c r="P297" s="79">
        <v>6</v>
      </c>
      <c r="Q297" s="87"/>
    </row>
    <row r="298" ht="15" spans="1:17">
      <c r="A298" s="89">
        <v>43323</v>
      </c>
      <c r="B298" s="78"/>
      <c r="C298" s="79">
        <v>3</v>
      </c>
      <c r="D298" s="88"/>
      <c r="E298" s="79">
        <v>83</v>
      </c>
      <c r="F298" s="80">
        <v>0.0122</v>
      </c>
      <c r="G298" s="79">
        <v>68</v>
      </c>
      <c r="H298" s="80">
        <v>0.0122</v>
      </c>
      <c r="I298" s="83">
        <v>1</v>
      </c>
      <c r="J298" s="79">
        <v>11</v>
      </c>
      <c r="K298" s="79"/>
      <c r="L298" s="80">
        <v>0</v>
      </c>
      <c r="M298" s="80"/>
      <c r="N298" s="86">
        <v>185</v>
      </c>
      <c r="O298" s="86"/>
      <c r="P298" s="79">
        <v>0</v>
      </c>
      <c r="Q298" s="87"/>
    </row>
    <row r="299" ht="15" spans="1:17">
      <c r="A299" s="89">
        <v>43323</v>
      </c>
      <c r="B299" s="78"/>
      <c r="C299" s="79">
        <v>1</v>
      </c>
      <c r="D299" s="88"/>
      <c r="E299" s="79">
        <v>32</v>
      </c>
      <c r="F299" s="80">
        <v>0.2683</v>
      </c>
      <c r="G299" s="79">
        <v>86</v>
      </c>
      <c r="H299" s="80">
        <v>0.2683</v>
      </c>
      <c r="I299" s="83">
        <v>1</v>
      </c>
      <c r="J299" s="79">
        <v>10</v>
      </c>
      <c r="K299" s="79"/>
      <c r="L299" s="80">
        <v>0.05</v>
      </c>
      <c r="M299" s="80"/>
      <c r="N299" s="86">
        <v>495</v>
      </c>
      <c r="O299" s="86"/>
      <c r="P299" s="79">
        <v>0</v>
      </c>
      <c r="Q299" s="87"/>
    </row>
    <row r="300" ht="15" spans="1:17">
      <c r="A300" s="89">
        <v>43324</v>
      </c>
      <c r="B300" s="78"/>
      <c r="C300" s="79">
        <v>5</v>
      </c>
      <c r="D300" s="88"/>
      <c r="E300" s="79">
        <v>89</v>
      </c>
      <c r="F300" s="80">
        <v>0.6923</v>
      </c>
      <c r="G300" s="79">
        <v>33</v>
      </c>
      <c r="H300" s="80">
        <v>0.6923</v>
      </c>
      <c r="I300" s="83">
        <v>0.99</v>
      </c>
      <c r="J300" s="79">
        <v>30</v>
      </c>
      <c r="K300" s="79"/>
      <c r="L300" s="80">
        <v>0.2157</v>
      </c>
      <c r="M300" s="80"/>
      <c r="N300" s="86">
        <v>435</v>
      </c>
      <c r="O300" s="86"/>
      <c r="P300" s="79">
        <v>16</v>
      </c>
      <c r="Q300" s="87"/>
    </row>
    <row r="301" ht="15" spans="1:17">
      <c r="A301" s="89">
        <v>43324</v>
      </c>
      <c r="B301" s="78"/>
      <c r="C301" s="79">
        <v>2</v>
      </c>
      <c r="D301" s="88"/>
      <c r="E301" s="79">
        <v>12</v>
      </c>
      <c r="F301" s="80">
        <v>0.0096</v>
      </c>
      <c r="G301" s="79">
        <v>25</v>
      </c>
      <c r="H301" s="80">
        <v>0.0096</v>
      </c>
      <c r="I301" s="83">
        <v>0</v>
      </c>
      <c r="J301" s="79">
        <v>8</v>
      </c>
      <c r="K301" s="79"/>
      <c r="L301" s="80">
        <v>0</v>
      </c>
      <c r="M301" s="80"/>
      <c r="N301" s="86">
        <v>411</v>
      </c>
      <c r="O301" s="86"/>
      <c r="P301" s="79">
        <v>15</v>
      </c>
      <c r="Q301" s="87"/>
    </row>
    <row r="302" ht="15" spans="1:17">
      <c r="A302" s="89">
        <v>43324</v>
      </c>
      <c r="B302" s="78"/>
      <c r="C302" s="79">
        <v>3</v>
      </c>
      <c r="D302" s="88"/>
      <c r="E302" s="79">
        <v>75</v>
      </c>
      <c r="F302" s="80">
        <v>0.0096</v>
      </c>
      <c r="G302" s="79">
        <v>96</v>
      </c>
      <c r="H302" s="80">
        <v>0.0096</v>
      </c>
      <c r="I302" s="83">
        <v>0</v>
      </c>
      <c r="J302" s="79">
        <v>30</v>
      </c>
      <c r="K302" s="79"/>
      <c r="L302" s="80">
        <v>0</v>
      </c>
      <c r="M302" s="80"/>
      <c r="N302" s="86">
        <v>372</v>
      </c>
      <c r="O302" s="86"/>
      <c r="P302" s="79">
        <v>12</v>
      </c>
      <c r="Q302" s="87"/>
    </row>
    <row r="303" ht="15" spans="1:17">
      <c r="A303" s="89">
        <v>43324</v>
      </c>
      <c r="B303" s="78"/>
      <c r="C303" s="79">
        <v>1</v>
      </c>
      <c r="D303" s="88"/>
      <c r="E303" s="79">
        <v>22</v>
      </c>
      <c r="F303" s="80">
        <v>0.2885</v>
      </c>
      <c r="G303" s="79">
        <v>14</v>
      </c>
      <c r="H303" s="80">
        <v>0.2885</v>
      </c>
      <c r="I303" s="83">
        <v>1</v>
      </c>
      <c r="J303" s="79">
        <v>28</v>
      </c>
      <c r="K303" s="79"/>
      <c r="L303" s="80">
        <v>0.1818</v>
      </c>
      <c r="M303" s="80"/>
      <c r="N303" s="86">
        <v>423</v>
      </c>
      <c r="O303" s="86"/>
      <c r="P303" s="79">
        <v>1</v>
      </c>
      <c r="Q303" s="87"/>
    </row>
    <row r="304" ht="15" spans="1:17">
      <c r="A304" s="89">
        <v>43325</v>
      </c>
      <c r="B304" s="78"/>
      <c r="C304" s="79">
        <v>4</v>
      </c>
      <c r="D304" s="88"/>
      <c r="E304" s="79">
        <v>85</v>
      </c>
      <c r="F304" s="80">
        <v>0.0091</v>
      </c>
      <c r="G304" s="79">
        <v>84</v>
      </c>
      <c r="H304" s="80">
        <v>0.0091</v>
      </c>
      <c r="I304" s="83">
        <v>1</v>
      </c>
      <c r="J304" s="79">
        <v>19</v>
      </c>
      <c r="K304" s="79"/>
      <c r="L304" s="80">
        <v>0</v>
      </c>
      <c r="M304" s="80"/>
      <c r="N304" s="86">
        <v>417</v>
      </c>
      <c r="O304" s="86"/>
      <c r="P304" s="79">
        <v>14</v>
      </c>
      <c r="Q304" s="87"/>
    </row>
    <row r="305" ht="15" spans="1:17">
      <c r="A305" s="89">
        <v>43325</v>
      </c>
      <c r="B305" s="78"/>
      <c r="C305" s="79">
        <v>2</v>
      </c>
      <c r="D305" s="88"/>
      <c r="E305" s="79">
        <v>53</v>
      </c>
      <c r="F305" s="80">
        <v>0.0727</v>
      </c>
      <c r="G305" s="79">
        <v>80</v>
      </c>
      <c r="H305" s="80">
        <v>0.0727</v>
      </c>
      <c r="I305" s="83">
        <v>1</v>
      </c>
      <c r="J305" s="79">
        <v>20</v>
      </c>
      <c r="K305" s="79"/>
      <c r="L305" s="80">
        <v>0</v>
      </c>
      <c r="M305" s="80"/>
      <c r="N305" s="86">
        <v>51</v>
      </c>
      <c r="O305" s="86"/>
      <c r="P305" s="79">
        <v>6</v>
      </c>
      <c r="Q305" s="87"/>
    </row>
    <row r="306" ht="15" spans="1:17">
      <c r="A306" s="89">
        <v>43325</v>
      </c>
      <c r="B306" s="78"/>
      <c r="C306" s="79">
        <v>5</v>
      </c>
      <c r="D306" s="88"/>
      <c r="E306" s="79">
        <v>84</v>
      </c>
      <c r="F306" s="80">
        <v>0.6091</v>
      </c>
      <c r="G306" s="79">
        <v>35</v>
      </c>
      <c r="H306" s="80">
        <v>0.6091</v>
      </c>
      <c r="I306" s="83">
        <v>1</v>
      </c>
      <c r="J306" s="79">
        <v>24</v>
      </c>
      <c r="K306" s="79"/>
      <c r="L306" s="80">
        <v>0.1224</v>
      </c>
      <c r="M306" s="80"/>
      <c r="N306" s="86">
        <v>269</v>
      </c>
      <c r="O306" s="86"/>
      <c r="P306" s="79">
        <v>14</v>
      </c>
      <c r="Q306" s="87"/>
    </row>
    <row r="307" ht="15" spans="1:17">
      <c r="A307" s="89">
        <v>43325</v>
      </c>
      <c r="B307" s="78"/>
      <c r="C307" s="79">
        <v>3</v>
      </c>
      <c r="D307" s="88"/>
      <c r="E307" s="79">
        <v>98</v>
      </c>
      <c r="F307" s="80">
        <v>0.0273</v>
      </c>
      <c r="G307" s="79">
        <v>1</v>
      </c>
      <c r="H307" s="80">
        <v>0.0273</v>
      </c>
      <c r="I307" s="83">
        <v>1</v>
      </c>
      <c r="J307" s="79">
        <v>16</v>
      </c>
      <c r="K307" s="79"/>
      <c r="L307" s="80">
        <v>0</v>
      </c>
      <c r="M307" s="80"/>
      <c r="N307" s="86">
        <v>462</v>
      </c>
      <c r="O307" s="86"/>
      <c r="P307" s="79">
        <v>20</v>
      </c>
      <c r="Q307" s="87"/>
    </row>
    <row r="308" ht="15" spans="1:17">
      <c r="A308" s="89">
        <v>43325</v>
      </c>
      <c r="B308" s="78"/>
      <c r="C308" s="79">
        <v>1</v>
      </c>
      <c r="D308" s="88"/>
      <c r="E308" s="79">
        <v>19</v>
      </c>
      <c r="F308" s="80">
        <v>0.2818</v>
      </c>
      <c r="G308" s="79">
        <v>72</v>
      </c>
      <c r="H308" s="80">
        <v>0.2818</v>
      </c>
      <c r="I308" s="83">
        <v>0.97</v>
      </c>
      <c r="J308" s="79">
        <v>7</v>
      </c>
      <c r="K308" s="79"/>
      <c r="L308" s="80">
        <v>0.087</v>
      </c>
      <c r="M308" s="80"/>
      <c r="N308" s="86">
        <v>486</v>
      </c>
      <c r="O308" s="86"/>
      <c r="P308" s="79">
        <v>15</v>
      </c>
      <c r="Q308" s="87"/>
    </row>
    <row r="309" ht="15" spans="1:17">
      <c r="A309" s="89">
        <v>43326</v>
      </c>
      <c r="B309" s="78"/>
      <c r="C309" s="79">
        <v>5</v>
      </c>
      <c r="D309" s="88"/>
      <c r="E309" s="79">
        <v>9</v>
      </c>
      <c r="F309" s="80">
        <v>0.6619</v>
      </c>
      <c r="G309" s="79">
        <v>15</v>
      </c>
      <c r="H309" s="80">
        <v>0.6619</v>
      </c>
      <c r="I309" s="83">
        <v>0.99</v>
      </c>
      <c r="J309" s="79">
        <v>10</v>
      </c>
      <c r="K309" s="79"/>
      <c r="L309" s="80">
        <v>0.2581</v>
      </c>
      <c r="M309" s="80"/>
      <c r="N309" s="86">
        <v>180</v>
      </c>
      <c r="O309" s="86"/>
      <c r="P309" s="79">
        <v>13</v>
      </c>
      <c r="Q309" s="87"/>
    </row>
    <row r="310" ht="15" spans="1:17">
      <c r="A310" s="89">
        <v>43326</v>
      </c>
      <c r="B310" s="78"/>
      <c r="C310" s="79">
        <v>4</v>
      </c>
      <c r="D310" s="88"/>
      <c r="E310" s="79">
        <v>37</v>
      </c>
      <c r="F310" s="80">
        <v>0.0144</v>
      </c>
      <c r="G310" s="79">
        <v>58</v>
      </c>
      <c r="H310" s="80">
        <v>0.0144</v>
      </c>
      <c r="I310" s="83">
        <v>1</v>
      </c>
      <c r="J310" s="79">
        <v>6</v>
      </c>
      <c r="K310" s="79"/>
      <c r="L310" s="80">
        <v>0</v>
      </c>
      <c r="M310" s="80"/>
      <c r="N310" s="86">
        <v>152</v>
      </c>
      <c r="O310" s="86"/>
      <c r="P310" s="79">
        <v>13</v>
      </c>
      <c r="Q310" s="87"/>
    </row>
    <row r="311" ht="15" spans="1:17">
      <c r="A311" s="89">
        <v>43326</v>
      </c>
      <c r="B311" s="78"/>
      <c r="C311" s="79">
        <v>2</v>
      </c>
      <c r="D311" s="88"/>
      <c r="E311" s="79">
        <v>76</v>
      </c>
      <c r="F311" s="80">
        <v>0.0072</v>
      </c>
      <c r="G311" s="79">
        <v>96</v>
      </c>
      <c r="H311" s="80">
        <v>0.0072</v>
      </c>
      <c r="I311" s="83">
        <v>1</v>
      </c>
      <c r="J311" s="79">
        <v>24</v>
      </c>
      <c r="K311" s="79"/>
      <c r="L311" s="80">
        <v>1</v>
      </c>
      <c r="M311" s="80"/>
      <c r="N311" s="86">
        <v>477</v>
      </c>
      <c r="O311" s="86"/>
      <c r="P311" s="79">
        <v>2</v>
      </c>
      <c r="Q311" s="87"/>
    </row>
    <row r="312" ht="15" spans="1:17">
      <c r="A312" s="89">
        <v>43326</v>
      </c>
      <c r="B312" s="78"/>
      <c r="C312" s="79">
        <v>1</v>
      </c>
      <c r="D312" s="88"/>
      <c r="E312" s="79">
        <v>38</v>
      </c>
      <c r="F312" s="80">
        <v>0.3165</v>
      </c>
      <c r="G312" s="79">
        <v>87</v>
      </c>
      <c r="H312" s="80">
        <v>0.3165</v>
      </c>
      <c r="I312" s="83">
        <v>1</v>
      </c>
      <c r="J312" s="79">
        <v>7</v>
      </c>
      <c r="K312" s="79"/>
      <c r="L312" s="80">
        <v>0</v>
      </c>
      <c r="M312" s="80"/>
      <c r="N312" s="86">
        <v>116</v>
      </c>
      <c r="O312" s="86"/>
      <c r="P312" s="79">
        <v>17</v>
      </c>
      <c r="Q312" s="87"/>
    </row>
    <row r="313" ht="15" spans="1:17">
      <c r="A313" s="89">
        <v>43327</v>
      </c>
      <c r="B313" s="78"/>
      <c r="C313" s="79">
        <v>2</v>
      </c>
      <c r="D313" s="88"/>
      <c r="E313" s="79">
        <v>86</v>
      </c>
      <c r="F313" s="80">
        <v>0.0081</v>
      </c>
      <c r="G313" s="79">
        <v>26</v>
      </c>
      <c r="H313" s="80">
        <v>0.0081</v>
      </c>
      <c r="I313" s="83">
        <v>1</v>
      </c>
      <c r="J313" s="79">
        <v>4</v>
      </c>
      <c r="K313" s="79"/>
      <c r="L313" s="80">
        <v>0</v>
      </c>
      <c r="M313" s="80"/>
      <c r="N313" s="86">
        <v>215</v>
      </c>
      <c r="O313" s="86"/>
      <c r="P313" s="79">
        <v>2</v>
      </c>
      <c r="Q313" s="87"/>
    </row>
    <row r="314" ht="15" spans="1:17">
      <c r="A314" s="89">
        <v>43327</v>
      </c>
      <c r="B314" s="78"/>
      <c r="C314" s="79">
        <v>5</v>
      </c>
      <c r="D314" s="88"/>
      <c r="E314" s="79">
        <v>7</v>
      </c>
      <c r="F314" s="80">
        <v>0.6179</v>
      </c>
      <c r="G314" s="79">
        <v>13</v>
      </c>
      <c r="H314" s="80">
        <v>0.6179</v>
      </c>
      <c r="I314" s="83">
        <v>0.99</v>
      </c>
      <c r="J314" s="79">
        <v>14</v>
      </c>
      <c r="K314" s="79"/>
      <c r="L314" s="80">
        <v>0.102</v>
      </c>
      <c r="M314" s="80"/>
      <c r="N314" s="86">
        <v>206</v>
      </c>
      <c r="O314" s="86"/>
      <c r="P314" s="79">
        <v>16</v>
      </c>
      <c r="Q314" s="87"/>
    </row>
    <row r="315" ht="15" spans="1:17">
      <c r="A315" s="89">
        <v>43327</v>
      </c>
      <c r="B315" s="78"/>
      <c r="C315" s="79">
        <v>3</v>
      </c>
      <c r="D315" s="88"/>
      <c r="E315" s="79">
        <v>37</v>
      </c>
      <c r="F315" s="80">
        <v>0.0244</v>
      </c>
      <c r="G315" s="79">
        <v>33</v>
      </c>
      <c r="H315" s="80">
        <v>0.0244</v>
      </c>
      <c r="I315" s="83">
        <v>0.67</v>
      </c>
      <c r="J315" s="79">
        <v>0</v>
      </c>
      <c r="K315" s="79"/>
      <c r="L315" s="80">
        <v>0</v>
      </c>
      <c r="M315" s="80"/>
      <c r="N315" s="86">
        <v>173</v>
      </c>
      <c r="O315" s="86"/>
      <c r="P315" s="79">
        <v>15</v>
      </c>
      <c r="Q315" s="87"/>
    </row>
    <row r="316" ht="15" spans="1:17">
      <c r="A316" s="89">
        <v>43327</v>
      </c>
      <c r="B316" s="78"/>
      <c r="C316" s="79">
        <v>1</v>
      </c>
      <c r="D316" s="88"/>
      <c r="E316" s="79">
        <v>13</v>
      </c>
      <c r="F316" s="80">
        <v>0.3496</v>
      </c>
      <c r="G316" s="79">
        <v>60</v>
      </c>
      <c r="H316" s="80">
        <v>0.3496</v>
      </c>
      <c r="I316" s="83">
        <v>0.98</v>
      </c>
      <c r="J316" s="79">
        <v>25</v>
      </c>
      <c r="K316" s="79"/>
      <c r="L316" s="80">
        <v>0.0385</v>
      </c>
      <c r="M316" s="80"/>
      <c r="N316" s="86">
        <v>132</v>
      </c>
      <c r="O316" s="86"/>
      <c r="P316" s="79">
        <v>8</v>
      </c>
      <c r="Q316" s="87"/>
    </row>
    <row r="317" ht="15" spans="1:17">
      <c r="A317" s="89">
        <v>43328</v>
      </c>
      <c r="B317" s="78"/>
      <c r="C317" s="79">
        <v>5</v>
      </c>
      <c r="D317" s="88"/>
      <c r="E317" s="79">
        <v>29</v>
      </c>
      <c r="F317" s="80">
        <v>0.7596</v>
      </c>
      <c r="G317" s="79">
        <v>8</v>
      </c>
      <c r="H317" s="80">
        <v>0.7596</v>
      </c>
      <c r="I317" s="83">
        <v>0.99</v>
      </c>
      <c r="J317" s="79">
        <v>24</v>
      </c>
      <c r="K317" s="79"/>
      <c r="L317" s="80">
        <v>0.1042</v>
      </c>
      <c r="M317" s="80"/>
      <c r="N317" s="86">
        <v>417</v>
      </c>
      <c r="O317" s="86"/>
      <c r="P317" s="79">
        <v>7</v>
      </c>
      <c r="Q317" s="87"/>
    </row>
    <row r="318" ht="15" spans="1:17">
      <c r="A318" s="89">
        <v>43328</v>
      </c>
      <c r="B318" s="78"/>
      <c r="C318" s="79">
        <v>2</v>
      </c>
      <c r="D318" s="88"/>
      <c r="E318" s="79">
        <v>22</v>
      </c>
      <c r="F318" s="80">
        <v>0.0288</v>
      </c>
      <c r="G318" s="79">
        <v>33</v>
      </c>
      <c r="H318" s="80">
        <v>0.0288</v>
      </c>
      <c r="I318" s="83">
        <v>1</v>
      </c>
      <c r="J318" s="79">
        <v>27</v>
      </c>
      <c r="K318" s="79"/>
      <c r="L318" s="80">
        <v>0</v>
      </c>
      <c r="M318" s="80"/>
      <c r="N318" s="86">
        <v>81</v>
      </c>
      <c r="O318" s="86"/>
      <c r="P318" s="79">
        <v>2</v>
      </c>
      <c r="Q318" s="87"/>
    </row>
    <row r="319" ht="15" spans="1:17">
      <c r="A319" s="89">
        <v>43328</v>
      </c>
      <c r="B319" s="78"/>
      <c r="C319" s="79">
        <v>1</v>
      </c>
      <c r="D319" s="88"/>
      <c r="E319" s="79">
        <v>33</v>
      </c>
      <c r="F319" s="80">
        <v>0.2115</v>
      </c>
      <c r="G319" s="79">
        <v>54</v>
      </c>
      <c r="H319" s="80">
        <v>0.2115</v>
      </c>
      <c r="I319" s="83">
        <v>1</v>
      </c>
      <c r="J319" s="79">
        <v>1</v>
      </c>
      <c r="K319" s="79"/>
      <c r="L319" s="80">
        <v>0</v>
      </c>
      <c r="M319" s="80"/>
      <c r="N319" s="86">
        <v>171</v>
      </c>
      <c r="O319" s="86"/>
      <c r="P319" s="79">
        <v>9</v>
      </c>
      <c r="Q319" s="87"/>
    </row>
    <row r="320" ht="15" spans="1:17">
      <c r="A320" s="89">
        <v>43329</v>
      </c>
      <c r="B320" s="78"/>
      <c r="C320" s="79">
        <v>2</v>
      </c>
      <c r="D320" s="88"/>
      <c r="E320" s="79">
        <v>19</v>
      </c>
      <c r="F320" s="80">
        <v>0.0306</v>
      </c>
      <c r="G320" s="79">
        <v>61</v>
      </c>
      <c r="H320" s="80">
        <v>0.0306</v>
      </c>
      <c r="I320" s="83">
        <v>1</v>
      </c>
      <c r="J320" s="79">
        <v>14</v>
      </c>
      <c r="K320" s="79"/>
      <c r="L320" s="80">
        <v>0</v>
      </c>
      <c r="M320" s="80"/>
      <c r="N320" s="86">
        <v>214</v>
      </c>
      <c r="O320" s="86"/>
      <c r="P320" s="79">
        <v>1</v>
      </c>
      <c r="Q320" s="87"/>
    </row>
    <row r="321" ht="15" spans="1:17">
      <c r="A321" s="89">
        <v>43329</v>
      </c>
      <c r="B321" s="78"/>
      <c r="C321" s="79">
        <v>5</v>
      </c>
      <c r="D321" s="88"/>
      <c r="E321" s="79">
        <v>32</v>
      </c>
      <c r="F321" s="80">
        <v>0.6327</v>
      </c>
      <c r="G321" s="79">
        <v>58</v>
      </c>
      <c r="H321" s="80">
        <v>0.6327</v>
      </c>
      <c r="I321" s="83">
        <v>1</v>
      </c>
      <c r="J321" s="79">
        <v>27</v>
      </c>
      <c r="K321" s="79"/>
      <c r="L321" s="80">
        <v>0.3864</v>
      </c>
      <c r="M321" s="80"/>
      <c r="N321" s="86">
        <v>479</v>
      </c>
      <c r="O321" s="86"/>
      <c r="P321" s="79">
        <v>2</v>
      </c>
      <c r="Q321" s="87"/>
    </row>
    <row r="322" ht="15" spans="1:17">
      <c r="A322" s="89">
        <v>43329</v>
      </c>
      <c r="B322" s="78"/>
      <c r="C322" s="79">
        <v>3</v>
      </c>
      <c r="D322" s="88"/>
      <c r="E322" s="79">
        <v>76</v>
      </c>
      <c r="F322" s="80">
        <v>0.0102</v>
      </c>
      <c r="G322" s="79">
        <v>74</v>
      </c>
      <c r="H322" s="80">
        <v>0.0102</v>
      </c>
      <c r="I322" s="83">
        <v>0</v>
      </c>
      <c r="J322" s="79">
        <v>30</v>
      </c>
      <c r="K322" s="79"/>
      <c r="L322" s="80">
        <v>0</v>
      </c>
      <c r="M322" s="80"/>
      <c r="N322" s="86">
        <v>53</v>
      </c>
      <c r="O322" s="86"/>
      <c r="P322" s="79">
        <v>5</v>
      </c>
      <c r="Q322" s="87"/>
    </row>
    <row r="323" ht="15" spans="1:17">
      <c r="A323" s="89">
        <v>43329</v>
      </c>
      <c r="B323" s="78"/>
      <c r="C323" s="79">
        <v>1</v>
      </c>
      <c r="D323" s="88"/>
      <c r="E323" s="79">
        <v>53</v>
      </c>
      <c r="F323" s="80">
        <v>0.3265</v>
      </c>
      <c r="G323" s="79">
        <v>41</v>
      </c>
      <c r="H323" s="80">
        <v>0.3265</v>
      </c>
      <c r="I323" s="83">
        <v>1</v>
      </c>
      <c r="J323" s="79">
        <v>26</v>
      </c>
      <c r="K323" s="79"/>
      <c r="L323" s="80">
        <v>0.087</v>
      </c>
      <c r="M323" s="80"/>
      <c r="N323" s="86">
        <v>215</v>
      </c>
      <c r="O323" s="86"/>
      <c r="P323" s="79">
        <v>4</v>
      </c>
      <c r="Q323" s="87"/>
    </row>
    <row r="324" ht="15" spans="1:17">
      <c r="A324" s="89">
        <v>43330</v>
      </c>
      <c r="B324" s="78"/>
      <c r="C324" s="79">
        <v>2</v>
      </c>
      <c r="D324" s="88"/>
      <c r="E324" s="79">
        <v>28</v>
      </c>
      <c r="F324" s="80">
        <v>0.04</v>
      </c>
      <c r="G324" s="79">
        <v>89</v>
      </c>
      <c r="H324" s="80">
        <v>0.04</v>
      </c>
      <c r="I324" s="83">
        <v>1</v>
      </c>
      <c r="J324" s="79">
        <v>15</v>
      </c>
      <c r="K324" s="79"/>
      <c r="L324" s="80">
        <v>0</v>
      </c>
      <c r="M324" s="80"/>
      <c r="N324" s="86">
        <v>132</v>
      </c>
      <c r="O324" s="86"/>
      <c r="P324" s="79">
        <v>17</v>
      </c>
      <c r="Q324" s="87"/>
    </row>
    <row r="325" ht="15" spans="1:17">
      <c r="A325" s="89">
        <v>43330</v>
      </c>
      <c r="B325" s="78"/>
      <c r="C325" s="79">
        <v>5</v>
      </c>
      <c r="D325" s="88"/>
      <c r="E325" s="79">
        <v>23</v>
      </c>
      <c r="F325" s="80">
        <v>0.68</v>
      </c>
      <c r="G325" s="79">
        <v>69</v>
      </c>
      <c r="H325" s="80">
        <v>0.68</v>
      </c>
      <c r="I325" s="83">
        <v>1</v>
      </c>
      <c r="J325" s="79">
        <v>11</v>
      </c>
      <c r="K325" s="79"/>
      <c r="L325" s="80">
        <v>0.1765</v>
      </c>
      <c r="M325" s="80"/>
      <c r="N325" s="86">
        <v>236</v>
      </c>
      <c r="O325" s="86"/>
      <c r="P325" s="79">
        <v>20</v>
      </c>
      <c r="Q325" s="87"/>
    </row>
    <row r="326" ht="15" spans="1:17">
      <c r="A326" s="89">
        <v>43330</v>
      </c>
      <c r="B326" s="78"/>
      <c r="C326" s="79">
        <v>3</v>
      </c>
      <c r="D326" s="88"/>
      <c r="E326" s="79">
        <v>88</v>
      </c>
      <c r="F326" s="80">
        <v>0.02</v>
      </c>
      <c r="G326" s="79">
        <v>91</v>
      </c>
      <c r="H326" s="80">
        <v>0.02</v>
      </c>
      <c r="I326" s="83">
        <v>1</v>
      </c>
      <c r="J326" s="79">
        <v>19</v>
      </c>
      <c r="K326" s="79"/>
      <c r="L326" s="80">
        <v>0</v>
      </c>
      <c r="M326" s="80"/>
      <c r="N326" s="86">
        <v>297</v>
      </c>
      <c r="O326" s="86"/>
      <c r="P326" s="79">
        <v>17</v>
      </c>
      <c r="Q326" s="87"/>
    </row>
    <row r="327" ht="15" spans="1:17">
      <c r="A327" s="89">
        <v>43330</v>
      </c>
      <c r="B327" s="78"/>
      <c r="C327" s="79">
        <v>1</v>
      </c>
      <c r="D327" s="88"/>
      <c r="E327" s="79">
        <v>13</v>
      </c>
      <c r="F327" s="80">
        <v>0.26</v>
      </c>
      <c r="G327" s="79">
        <v>49</v>
      </c>
      <c r="H327" s="80">
        <v>0.26</v>
      </c>
      <c r="I327" s="83">
        <v>1</v>
      </c>
      <c r="J327" s="79">
        <v>27</v>
      </c>
      <c r="K327" s="79"/>
      <c r="L327" s="80">
        <v>0</v>
      </c>
      <c r="M327" s="80"/>
      <c r="N327" s="86">
        <v>360</v>
      </c>
      <c r="O327" s="86"/>
      <c r="P327" s="79">
        <v>8</v>
      </c>
      <c r="Q327" s="87"/>
    </row>
    <row r="328" ht="15" spans="1:20">
      <c r="A328" s="89">
        <v>43331</v>
      </c>
      <c r="B328" s="78"/>
      <c r="C328" s="79">
        <v>2</v>
      </c>
      <c r="D328" s="88"/>
      <c r="E328" s="79">
        <v>45</v>
      </c>
      <c r="F328" s="80">
        <v>0.0261</v>
      </c>
      <c r="G328" s="79">
        <v>59</v>
      </c>
      <c r="H328" s="80">
        <v>0.0261</v>
      </c>
      <c r="I328" s="83">
        <v>1</v>
      </c>
      <c r="J328" s="79">
        <v>29</v>
      </c>
      <c r="K328" s="79"/>
      <c r="L328" s="80">
        <v>0</v>
      </c>
      <c r="M328" s="80"/>
      <c r="N328" s="86">
        <v>251</v>
      </c>
      <c r="O328" s="86"/>
      <c r="P328" s="79">
        <v>15</v>
      </c>
      <c r="Q328" s="86"/>
      <c r="R328" s="86"/>
      <c r="S328" s="79"/>
      <c r="T328" s="79"/>
    </row>
    <row r="329" ht="15" spans="1:20">
      <c r="A329" s="89">
        <v>43331</v>
      </c>
      <c r="B329" s="78"/>
      <c r="C329" s="79">
        <v>5</v>
      </c>
      <c r="D329" s="88"/>
      <c r="E329" s="79">
        <v>13</v>
      </c>
      <c r="F329" s="80">
        <v>0.6522</v>
      </c>
      <c r="G329" s="79">
        <v>31</v>
      </c>
      <c r="H329" s="80">
        <v>0.6522</v>
      </c>
      <c r="I329" s="83">
        <v>1</v>
      </c>
      <c r="J329" s="79">
        <v>5</v>
      </c>
      <c r="K329" s="79"/>
      <c r="L329" s="80">
        <v>0.32</v>
      </c>
      <c r="M329" s="80"/>
      <c r="N329" s="86">
        <v>183</v>
      </c>
      <c r="O329" s="86"/>
      <c r="P329" s="79">
        <v>3</v>
      </c>
      <c r="Q329" s="86"/>
      <c r="R329" s="86"/>
      <c r="S329" s="79"/>
      <c r="T329" s="79"/>
    </row>
    <row r="330" ht="15" spans="1:20">
      <c r="A330" s="89">
        <v>43331</v>
      </c>
      <c r="B330" s="78"/>
      <c r="C330" s="79">
        <v>1</v>
      </c>
      <c r="D330" s="88"/>
      <c r="E330" s="79">
        <v>38</v>
      </c>
      <c r="F330" s="80">
        <v>0.3217</v>
      </c>
      <c r="G330" s="79">
        <v>27</v>
      </c>
      <c r="H330" s="80">
        <v>0.3217</v>
      </c>
      <c r="I330" s="83">
        <v>1</v>
      </c>
      <c r="J330" s="79">
        <v>13</v>
      </c>
      <c r="K330" s="79"/>
      <c r="L330" s="80">
        <v>0.037</v>
      </c>
      <c r="M330" s="80"/>
      <c r="N330" s="86">
        <v>497</v>
      </c>
      <c r="O330" s="86"/>
      <c r="P330" s="79">
        <v>6</v>
      </c>
      <c r="Q330" s="86"/>
      <c r="R330" s="86"/>
      <c r="S330" s="79"/>
      <c r="T330" s="79"/>
    </row>
    <row r="331" ht="15" spans="1:17">
      <c r="A331" s="89">
        <v>43332</v>
      </c>
      <c r="B331" s="78"/>
      <c r="C331" s="79">
        <v>5</v>
      </c>
      <c r="D331" s="88"/>
      <c r="E331" s="79">
        <v>17</v>
      </c>
      <c r="F331" s="80">
        <v>0.6144</v>
      </c>
      <c r="G331" s="79">
        <v>51</v>
      </c>
      <c r="H331" s="80">
        <v>0.6144</v>
      </c>
      <c r="I331" s="83">
        <v>0.99</v>
      </c>
      <c r="J331" s="79">
        <v>5</v>
      </c>
      <c r="K331" s="79"/>
      <c r="L331" s="80">
        <v>0.2241</v>
      </c>
      <c r="M331" s="80"/>
      <c r="N331" s="86">
        <v>162</v>
      </c>
      <c r="O331" s="86"/>
      <c r="P331" s="79">
        <v>0</v>
      </c>
      <c r="Q331" s="87"/>
    </row>
    <row r="332" ht="15" spans="1:17">
      <c r="A332" s="89">
        <v>43332</v>
      </c>
      <c r="B332" s="78"/>
      <c r="C332" s="79">
        <v>4</v>
      </c>
      <c r="D332" s="88"/>
      <c r="E332" s="79">
        <v>47</v>
      </c>
      <c r="F332" s="80">
        <v>0.0261</v>
      </c>
      <c r="G332" s="79">
        <v>59</v>
      </c>
      <c r="H332" s="80">
        <v>0.0261</v>
      </c>
      <c r="I332" s="83">
        <v>1</v>
      </c>
      <c r="J332" s="79">
        <v>28</v>
      </c>
      <c r="K332" s="79"/>
      <c r="L332" s="80">
        <v>0</v>
      </c>
      <c r="M332" s="80"/>
      <c r="N332" s="86">
        <v>88</v>
      </c>
      <c r="O332" s="86"/>
      <c r="P332" s="79">
        <v>12</v>
      </c>
      <c r="Q332" s="87"/>
    </row>
    <row r="333" ht="15" spans="1:17">
      <c r="A333" s="89">
        <v>43332</v>
      </c>
      <c r="B333" s="78"/>
      <c r="C333" s="79">
        <v>2</v>
      </c>
      <c r="D333" s="88"/>
      <c r="E333" s="79">
        <v>76</v>
      </c>
      <c r="F333" s="80">
        <v>0.0327</v>
      </c>
      <c r="G333" s="79">
        <v>12</v>
      </c>
      <c r="H333" s="80">
        <v>0.0327</v>
      </c>
      <c r="I333" s="83">
        <v>1</v>
      </c>
      <c r="J333" s="79">
        <v>5</v>
      </c>
      <c r="K333" s="79"/>
      <c r="L333" s="80">
        <v>0</v>
      </c>
      <c r="M333" s="80"/>
      <c r="N333" s="86">
        <v>367</v>
      </c>
      <c r="O333" s="86"/>
      <c r="P333" s="79">
        <v>15</v>
      </c>
      <c r="Q333" s="87"/>
    </row>
    <row r="334" ht="15" spans="1:17">
      <c r="A334" s="89">
        <v>43332</v>
      </c>
      <c r="B334" s="78"/>
      <c r="C334" s="79">
        <v>3</v>
      </c>
      <c r="D334" s="88"/>
      <c r="E334" s="79">
        <v>22</v>
      </c>
      <c r="F334" s="80">
        <v>0.0131</v>
      </c>
      <c r="G334" s="79">
        <v>41</v>
      </c>
      <c r="H334" s="80">
        <v>0.0131</v>
      </c>
      <c r="I334" s="83">
        <v>0</v>
      </c>
      <c r="J334" s="79">
        <v>24</v>
      </c>
      <c r="K334" s="79"/>
      <c r="L334" s="80">
        <v>0</v>
      </c>
      <c r="M334" s="80"/>
      <c r="N334" s="86">
        <v>287</v>
      </c>
      <c r="O334" s="86"/>
      <c r="P334" s="79">
        <v>6</v>
      </c>
      <c r="Q334" s="87"/>
    </row>
    <row r="335" ht="15" spans="1:17">
      <c r="A335" s="89">
        <v>43332</v>
      </c>
      <c r="B335" s="78"/>
      <c r="C335" s="79">
        <v>1</v>
      </c>
      <c r="D335" s="88"/>
      <c r="E335" s="79">
        <v>26</v>
      </c>
      <c r="F335" s="80">
        <v>0.3137</v>
      </c>
      <c r="G335" s="79">
        <v>10</v>
      </c>
      <c r="H335" s="80">
        <v>0.3137</v>
      </c>
      <c r="I335" s="83">
        <v>1</v>
      </c>
      <c r="J335" s="79">
        <v>24</v>
      </c>
      <c r="K335" s="79"/>
      <c r="L335" s="80">
        <v>0.0645</v>
      </c>
      <c r="M335" s="80"/>
      <c r="N335" s="86">
        <v>80</v>
      </c>
      <c r="O335" s="86"/>
      <c r="P335" s="79">
        <v>18</v>
      </c>
      <c r="Q335" s="87"/>
    </row>
    <row r="336" ht="15" spans="1:17">
      <c r="A336" s="89">
        <v>43333</v>
      </c>
      <c r="B336" s="78"/>
      <c r="C336" s="79">
        <v>4</v>
      </c>
      <c r="D336" s="88"/>
      <c r="E336" s="79">
        <v>72</v>
      </c>
      <c r="F336" s="80">
        <v>0.0067</v>
      </c>
      <c r="G336" s="79">
        <v>87</v>
      </c>
      <c r="H336" s="80">
        <v>0.0067</v>
      </c>
      <c r="I336" s="83">
        <v>1</v>
      </c>
      <c r="J336" s="79">
        <v>2</v>
      </c>
      <c r="K336" s="79"/>
      <c r="L336" s="80">
        <v>0</v>
      </c>
      <c r="M336" s="80"/>
      <c r="N336" s="86">
        <v>398</v>
      </c>
      <c r="O336" s="86"/>
      <c r="P336" s="79">
        <v>16</v>
      </c>
      <c r="Q336" s="87"/>
    </row>
    <row r="337" ht="15" spans="1:17">
      <c r="A337" s="89">
        <v>43333</v>
      </c>
      <c r="B337" s="78"/>
      <c r="C337" s="79">
        <v>2</v>
      </c>
      <c r="D337" s="88"/>
      <c r="E337" s="79">
        <v>84</v>
      </c>
      <c r="F337" s="80">
        <v>0.0604</v>
      </c>
      <c r="G337" s="79">
        <v>5</v>
      </c>
      <c r="H337" s="80">
        <v>0.0604</v>
      </c>
      <c r="I337" s="83">
        <v>1</v>
      </c>
      <c r="J337" s="79">
        <v>8</v>
      </c>
      <c r="K337" s="79"/>
      <c r="L337" s="80">
        <v>0.25</v>
      </c>
      <c r="M337" s="80"/>
      <c r="N337" s="86">
        <v>177</v>
      </c>
      <c r="O337" s="86"/>
      <c r="P337" s="79">
        <v>15</v>
      </c>
      <c r="Q337" s="87"/>
    </row>
    <row r="338" ht="15" spans="1:17">
      <c r="A338" s="89">
        <v>43333</v>
      </c>
      <c r="B338" s="78"/>
      <c r="C338" s="79">
        <v>5</v>
      </c>
      <c r="D338" s="88"/>
      <c r="E338" s="79">
        <v>2</v>
      </c>
      <c r="F338" s="80">
        <v>0.5705</v>
      </c>
      <c r="G338" s="79">
        <v>75</v>
      </c>
      <c r="H338" s="80">
        <v>0.5705</v>
      </c>
      <c r="I338" s="83">
        <v>0.98</v>
      </c>
      <c r="J338" s="79">
        <v>9</v>
      </c>
      <c r="K338" s="79"/>
      <c r="L338" s="80">
        <v>0.2167</v>
      </c>
      <c r="M338" s="80"/>
      <c r="N338" s="86">
        <v>441</v>
      </c>
      <c r="O338" s="86"/>
      <c r="P338" s="79">
        <v>3</v>
      </c>
      <c r="Q338" s="87"/>
    </row>
    <row r="339" ht="15" spans="1:17">
      <c r="A339" s="89">
        <v>43333</v>
      </c>
      <c r="B339" s="78"/>
      <c r="C339" s="79">
        <v>3</v>
      </c>
      <c r="D339" s="88"/>
      <c r="E339" s="79">
        <v>4</v>
      </c>
      <c r="F339" s="80">
        <v>0.0134</v>
      </c>
      <c r="G339" s="79">
        <v>24</v>
      </c>
      <c r="H339" s="80">
        <v>0.0134</v>
      </c>
      <c r="I339" s="83">
        <v>1</v>
      </c>
      <c r="J339" s="79">
        <v>27</v>
      </c>
      <c r="K339" s="79"/>
      <c r="L339" s="80">
        <v>0</v>
      </c>
      <c r="M339" s="80"/>
      <c r="N339" s="86">
        <v>390</v>
      </c>
      <c r="O339" s="86"/>
      <c r="P339" s="79">
        <v>6</v>
      </c>
      <c r="Q339" s="87"/>
    </row>
    <row r="340" ht="15" spans="1:17">
      <c r="A340" s="89">
        <v>43333</v>
      </c>
      <c r="B340" s="78"/>
      <c r="C340" s="79">
        <v>1</v>
      </c>
      <c r="D340" s="88"/>
      <c r="E340" s="79">
        <v>89</v>
      </c>
      <c r="F340" s="80">
        <v>0.349</v>
      </c>
      <c r="G340" s="79">
        <v>21</v>
      </c>
      <c r="H340" s="80">
        <v>0.349</v>
      </c>
      <c r="I340" s="83">
        <v>0.94</v>
      </c>
      <c r="J340" s="79">
        <v>14</v>
      </c>
      <c r="K340" s="79"/>
      <c r="L340" s="80">
        <v>0.0263</v>
      </c>
      <c r="M340" s="80"/>
      <c r="N340" s="86">
        <v>438</v>
      </c>
      <c r="O340" s="86"/>
      <c r="P340" s="79">
        <v>16</v>
      </c>
      <c r="Q340" s="87"/>
    </row>
    <row r="341" ht="15" spans="1:17">
      <c r="A341" s="89">
        <v>43334</v>
      </c>
      <c r="B341" s="78"/>
      <c r="C341" s="79">
        <v>4</v>
      </c>
      <c r="D341" s="88"/>
      <c r="E341" s="79">
        <v>60</v>
      </c>
      <c r="F341" s="80">
        <v>0.0313</v>
      </c>
      <c r="G341" s="79">
        <v>8</v>
      </c>
      <c r="H341" s="80">
        <v>0.0313</v>
      </c>
      <c r="I341" s="83">
        <v>1</v>
      </c>
      <c r="J341" s="79">
        <v>22</v>
      </c>
      <c r="K341" s="79"/>
      <c r="L341" s="80">
        <v>0</v>
      </c>
      <c r="M341" s="80"/>
      <c r="N341" s="86">
        <v>57</v>
      </c>
      <c r="O341" s="86"/>
      <c r="P341" s="79">
        <v>3</v>
      </c>
      <c r="Q341" s="87"/>
    </row>
    <row r="342" ht="15" spans="1:17">
      <c r="A342" s="89">
        <v>43334</v>
      </c>
      <c r="B342" s="78"/>
      <c r="C342" s="79">
        <v>2</v>
      </c>
      <c r="D342" s="88"/>
      <c r="E342" s="79">
        <v>5</v>
      </c>
      <c r="F342" s="80">
        <v>0.0375</v>
      </c>
      <c r="G342" s="79">
        <v>59</v>
      </c>
      <c r="H342" s="80">
        <v>0.0375</v>
      </c>
      <c r="I342" s="83">
        <v>1</v>
      </c>
      <c r="J342" s="79">
        <v>23</v>
      </c>
      <c r="K342" s="79"/>
      <c r="L342" s="80">
        <v>0.3333</v>
      </c>
      <c r="M342" s="80"/>
      <c r="N342" s="86">
        <v>265</v>
      </c>
      <c r="O342" s="86"/>
      <c r="P342" s="79">
        <v>17</v>
      </c>
      <c r="Q342" s="87"/>
    </row>
    <row r="343" ht="15" spans="1:17">
      <c r="A343" s="89">
        <v>43334</v>
      </c>
      <c r="B343" s="78"/>
      <c r="C343" s="79">
        <v>5</v>
      </c>
      <c r="D343" s="88"/>
      <c r="E343" s="79">
        <v>43</v>
      </c>
      <c r="F343" s="80">
        <v>0.6188</v>
      </c>
      <c r="G343" s="79">
        <v>24</v>
      </c>
      <c r="H343" s="80">
        <v>0.6188</v>
      </c>
      <c r="I343" s="83">
        <v>0.95</v>
      </c>
      <c r="J343" s="79">
        <v>0</v>
      </c>
      <c r="K343" s="79"/>
      <c r="L343" s="80">
        <v>0.5455</v>
      </c>
      <c r="M343" s="80"/>
      <c r="N343" s="86">
        <v>127</v>
      </c>
      <c r="O343" s="86"/>
      <c r="P343" s="79">
        <v>8</v>
      </c>
      <c r="Q343" s="87"/>
    </row>
    <row r="344" ht="15" spans="1:17">
      <c r="A344" s="89">
        <v>43334</v>
      </c>
      <c r="B344" s="78"/>
      <c r="C344" s="79">
        <v>3</v>
      </c>
      <c r="D344" s="88"/>
      <c r="E344" s="79">
        <v>56</v>
      </c>
      <c r="F344" s="80">
        <v>0.0125</v>
      </c>
      <c r="G344" s="79">
        <v>33</v>
      </c>
      <c r="H344" s="80">
        <v>0.0125</v>
      </c>
      <c r="I344" s="83">
        <v>1</v>
      </c>
      <c r="J344" s="79">
        <v>22</v>
      </c>
      <c r="K344" s="79"/>
      <c r="L344" s="80">
        <v>0</v>
      </c>
      <c r="M344" s="80"/>
      <c r="N344" s="86">
        <v>158</v>
      </c>
      <c r="O344" s="86"/>
      <c r="P344" s="79">
        <v>16</v>
      </c>
      <c r="Q344" s="87"/>
    </row>
    <row r="345" ht="15" spans="1:17">
      <c r="A345" s="89">
        <v>43334</v>
      </c>
      <c r="B345" s="78"/>
      <c r="C345" s="79">
        <v>1</v>
      </c>
      <c r="D345" s="88"/>
      <c r="E345" s="79">
        <v>90</v>
      </c>
      <c r="F345" s="80">
        <v>0.3</v>
      </c>
      <c r="G345" s="79">
        <v>41</v>
      </c>
      <c r="H345" s="80">
        <v>0.3</v>
      </c>
      <c r="I345" s="83">
        <v>1</v>
      </c>
      <c r="J345" s="79">
        <v>12</v>
      </c>
      <c r="K345" s="79"/>
      <c r="L345" s="80">
        <v>0.0588</v>
      </c>
      <c r="M345" s="80"/>
      <c r="N345" s="86">
        <v>167</v>
      </c>
      <c r="O345" s="86"/>
      <c r="P345" s="79">
        <v>1</v>
      </c>
      <c r="Q345" s="87"/>
    </row>
    <row r="346" ht="15" spans="1:17">
      <c r="A346" s="89">
        <v>43335</v>
      </c>
      <c r="B346" s="78"/>
      <c r="C346" s="79">
        <v>4</v>
      </c>
      <c r="D346" s="88"/>
      <c r="E346" s="79">
        <v>30</v>
      </c>
      <c r="F346" s="80">
        <v>0.0685</v>
      </c>
      <c r="G346" s="79">
        <v>66</v>
      </c>
      <c r="H346" s="80">
        <v>0.0685</v>
      </c>
      <c r="I346" s="83">
        <v>1</v>
      </c>
      <c r="J346" s="79">
        <v>9</v>
      </c>
      <c r="K346" s="79"/>
      <c r="L346" s="80">
        <v>0</v>
      </c>
      <c r="M346" s="80"/>
      <c r="N346" s="86">
        <v>470</v>
      </c>
      <c r="O346" s="86"/>
      <c r="P346" s="79">
        <v>8</v>
      </c>
      <c r="Q346" s="87"/>
    </row>
    <row r="347" ht="15" spans="1:17">
      <c r="A347" s="89">
        <v>43335</v>
      </c>
      <c r="B347" s="78"/>
      <c r="C347" s="79">
        <v>2</v>
      </c>
      <c r="D347" s="88"/>
      <c r="E347" s="79">
        <v>61</v>
      </c>
      <c r="F347" s="80">
        <v>0.0411</v>
      </c>
      <c r="G347" s="79">
        <v>4</v>
      </c>
      <c r="H347" s="80">
        <v>0.0411</v>
      </c>
      <c r="I347" s="83">
        <v>1</v>
      </c>
      <c r="J347" s="79">
        <v>9</v>
      </c>
      <c r="K347" s="79"/>
      <c r="L347" s="80">
        <v>0</v>
      </c>
      <c r="M347" s="80"/>
      <c r="N347" s="86">
        <v>400</v>
      </c>
      <c r="O347" s="86"/>
      <c r="P347" s="79">
        <v>14</v>
      </c>
      <c r="Q347" s="87"/>
    </row>
    <row r="348" ht="15" spans="1:17">
      <c r="A348" s="89">
        <v>43335</v>
      </c>
      <c r="B348" s="78"/>
      <c r="C348" s="79">
        <v>5</v>
      </c>
      <c r="D348" s="88"/>
      <c r="E348" s="79">
        <v>51</v>
      </c>
      <c r="F348" s="80">
        <v>0.5822</v>
      </c>
      <c r="G348" s="79">
        <v>100</v>
      </c>
      <c r="H348" s="80">
        <v>0.5822</v>
      </c>
      <c r="I348" s="83">
        <v>1</v>
      </c>
      <c r="J348" s="79">
        <v>1</v>
      </c>
      <c r="K348" s="79"/>
      <c r="L348" s="80">
        <v>0.1563</v>
      </c>
      <c r="M348" s="80"/>
      <c r="N348" s="86">
        <v>309</v>
      </c>
      <c r="O348" s="86"/>
      <c r="P348" s="79">
        <v>19</v>
      </c>
      <c r="Q348" s="87"/>
    </row>
    <row r="349" ht="15" spans="1:17">
      <c r="A349" s="89">
        <v>43335</v>
      </c>
      <c r="B349" s="78"/>
      <c r="C349" s="79">
        <v>3</v>
      </c>
      <c r="D349" s="88"/>
      <c r="E349" s="79">
        <v>39</v>
      </c>
      <c r="F349" s="80">
        <v>0.0068</v>
      </c>
      <c r="G349" s="79">
        <v>49</v>
      </c>
      <c r="H349" s="80">
        <v>0.0068</v>
      </c>
      <c r="I349" s="83">
        <v>1</v>
      </c>
      <c r="J349" s="79">
        <v>10</v>
      </c>
      <c r="K349" s="79"/>
      <c r="L349" s="80">
        <v>0</v>
      </c>
      <c r="M349" s="80"/>
      <c r="N349" s="86">
        <v>117</v>
      </c>
      <c r="O349" s="86"/>
      <c r="P349" s="79">
        <v>7</v>
      </c>
      <c r="Q349" s="87"/>
    </row>
    <row r="350" ht="15" spans="1:17">
      <c r="A350" s="89">
        <v>43335</v>
      </c>
      <c r="B350" s="78"/>
      <c r="C350" s="79">
        <v>1</v>
      </c>
      <c r="D350" s="88"/>
      <c r="E350" s="79">
        <v>56</v>
      </c>
      <c r="F350" s="80">
        <v>0.3014</v>
      </c>
      <c r="G350" s="79">
        <v>67</v>
      </c>
      <c r="H350" s="80">
        <v>0.3014</v>
      </c>
      <c r="I350" s="83">
        <v>1</v>
      </c>
      <c r="J350" s="79">
        <v>9</v>
      </c>
      <c r="K350" s="79"/>
      <c r="L350" s="80">
        <v>0.1212</v>
      </c>
      <c r="M350" s="80"/>
      <c r="N350" s="86">
        <v>250</v>
      </c>
      <c r="O350" s="86"/>
      <c r="P350" s="79">
        <v>0</v>
      </c>
      <c r="Q350" s="87"/>
    </row>
    <row r="351" ht="15" spans="1:17">
      <c r="A351" s="89">
        <v>43336</v>
      </c>
      <c r="B351" s="78"/>
      <c r="C351" s="79">
        <v>4</v>
      </c>
      <c r="D351" s="88"/>
      <c r="E351" s="79">
        <v>84</v>
      </c>
      <c r="F351" s="80">
        <v>0.0214</v>
      </c>
      <c r="G351" s="79">
        <v>67</v>
      </c>
      <c r="H351" s="80">
        <v>0.0214</v>
      </c>
      <c r="I351" s="83">
        <v>1</v>
      </c>
      <c r="J351" s="79">
        <v>15</v>
      </c>
      <c r="K351" s="79"/>
      <c r="L351" s="80">
        <v>0</v>
      </c>
      <c r="M351" s="80"/>
      <c r="N351" s="86">
        <v>436</v>
      </c>
      <c r="O351" s="86"/>
      <c r="P351" s="79">
        <v>18</v>
      </c>
      <c r="Q351" s="87"/>
    </row>
    <row r="352" ht="15" spans="1:17">
      <c r="A352" s="89">
        <v>43336</v>
      </c>
      <c r="B352" s="78"/>
      <c r="C352" s="79">
        <v>2</v>
      </c>
      <c r="D352" s="88"/>
      <c r="E352" s="79">
        <v>69</v>
      </c>
      <c r="F352" s="80">
        <v>0.0429</v>
      </c>
      <c r="G352" s="79">
        <v>53</v>
      </c>
      <c r="H352" s="80">
        <v>0.0429</v>
      </c>
      <c r="I352" s="83">
        <v>1</v>
      </c>
      <c r="J352" s="79">
        <v>28</v>
      </c>
      <c r="K352" s="79"/>
      <c r="L352" s="80">
        <v>0.2</v>
      </c>
      <c r="M352" s="80"/>
      <c r="N352" s="86">
        <v>302</v>
      </c>
      <c r="O352" s="86"/>
      <c r="P352" s="79">
        <v>3</v>
      </c>
      <c r="Q352" s="87"/>
    </row>
    <row r="353" ht="15" spans="1:17">
      <c r="A353" s="89">
        <v>43336</v>
      </c>
      <c r="B353" s="78"/>
      <c r="C353" s="79">
        <v>5</v>
      </c>
      <c r="D353" s="88"/>
      <c r="E353" s="79">
        <v>42</v>
      </c>
      <c r="F353" s="80">
        <v>0.5714</v>
      </c>
      <c r="G353" s="79">
        <v>8</v>
      </c>
      <c r="H353" s="80">
        <v>0.5714</v>
      </c>
      <c r="I353" s="83">
        <v>1</v>
      </c>
      <c r="J353" s="79">
        <v>24</v>
      </c>
      <c r="K353" s="79"/>
      <c r="L353" s="80">
        <v>0.2069</v>
      </c>
      <c r="M353" s="80"/>
      <c r="N353" s="86">
        <v>128</v>
      </c>
      <c r="O353" s="86"/>
      <c r="P353" s="79">
        <v>3</v>
      </c>
      <c r="Q353" s="87"/>
    </row>
    <row r="354" ht="15" spans="1:17">
      <c r="A354" s="89">
        <v>43336</v>
      </c>
      <c r="B354" s="78"/>
      <c r="C354" s="79">
        <v>3</v>
      </c>
      <c r="D354" s="88"/>
      <c r="E354" s="79">
        <v>73</v>
      </c>
      <c r="F354" s="80">
        <v>0.0143</v>
      </c>
      <c r="G354" s="79">
        <v>40</v>
      </c>
      <c r="H354" s="80">
        <v>0.0143</v>
      </c>
      <c r="I354" s="83">
        <v>1</v>
      </c>
      <c r="J354" s="79">
        <v>1</v>
      </c>
      <c r="K354" s="79"/>
      <c r="L354" s="80">
        <v>0</v>
      </c>
      <c r="M354" s="80"/>
      <c r="N354" s="86">
        <v>246</v>
      </c>
      <c r="O354" s="86"/>
      <c r="P354" s="79">
        <v>14</v>
      </c>
      <c r="Q354" s="87"/>
    </row>
    <row r="355" ht="15" spans="1:17">
      <c r="A355" s="89">
        <v>43336</v>
      </c>
      <c r="B355" s="78"/>
      <c r="C355" s="79">
        <v>1</v>
      </c>
      <c r="D355" s="88"/>
      <c r="E355" s="79">
        <v>69</v>
      </c>
      <c r="F355" s="80">
        <v>0.35</v>
      </c>
      <c r="G355" s="79">
        <v>22</v>
      </c>
      <c r="H355" s="80">
        <v>0.35</v>
      </c>
      <c r="I355" s="83">
        <v>1</v>
      </c>
      <c r="J355" s="79">
        <v>15</v>
      </c>
      <c r="K355" s="79"/>
      <c r="L355" s="80">
        <v>0.0625</v>
      </c>
      <c r="M355" s="80"/>
      <c r="N355" s="86">
        <v>429</v>
      </c>
      <c r="O355" s="86"/>
      <c r="P355" s="79">
        <v>8</v>
      </c>
      <c r="Q355" s="87"/>
    </row>
    <row r="356" spans="1:17">
      <c r="A356" s="89">
        <v>43337</v>
      </c>
      <c r="B356" s="78"/>
      <c r="C356" s="79">
        <v>4</v>
      </c>
      <c r="D356" s="79"/>
      <c r="E356" s="79">
        <v>65</v>
      </c>
      <c r="F356" s="80">
        <v>0.018</v>
      </c>
      <c r="G356" s="79">
        <v>81</v>
      </c>
      <c r="H356" s="80">
        <v>0.018</v>
      </c>
      <c r="I356" s="83">
        <v>1</v>
      </c>
      <c r="J356" s="79">
        <v>23</v>
      </c>
      <c r="K356" s="79"/>
      <c r="L356" s="80">
        <v>0</v>
      </c>
      <c r="M356" s="80"/>
      <c r="N356" s="86">
        <v>244</v>
      </c>
      <c r="O356" s="86"/>
      <c r="P356" s="79">
        <v>17</v>
      </c>
      <c r="Q356" s="87"/>
    </row>
    <row r="357" spans="1:17">
      <c r="A357" s="89">
        <v>43337</v>
      </c>
      <c r="B357" s="78"/>
      <c r="C357" s="79">
        <v>2</v>
      </c>
      <c r="D357" s="79"/>
      <c r="E357" s="79">
        <v>89</v>
      </c>
      <c r="F357" s="80">
        <v>0.0541</v>
      </c>
      <c r="G357" s="79">
        <v>38</v>
      </c>
      <c r="H357" s="80">
        <v>0.0541</v>
      </c>
      <c r="I357" s="83">
        <v>1</v>
      </c>
      <c r="J357" s="79">
        <v>23</v>
      </c>
      <c r="K357" s="79"/>
      <c r="L357" s="80">
        <v>0.25</v>
      </c>
      <c r="M357" s="80"/>
      <c r="N357" s="86">
        <v>218</v>
      </c>
      <c r="O357" s="86"/>
      <c r="P357" s="79">
        <v>18</v>
      </c>
      <c r="Q357" s="87"/>
    </row>
    <row r="358" spans="1:17">
      <c r="A358" s="89">
        <v>43337</v>
      </c>
      <c r="B358" s="78"/>
      <c r="C358" s="79">
        <v>5</v>
      </c>
      <c r="D358" s="79"/>
      <c r="E358" s="79">
        <v>71</v>
      </c>
      <c r="F358" s="80">
        <v>0.5946</v>
      </c>
      <c r="G358" s="79">
        <v>28</v>
      </c>
      <c r="H358" s="80">
        <v>0.5946</v>
      </c>
      <c r="I358" s="83">
        <v>0.98</v>
      </c>
      <c r="J358" s="79">
        <v>12</v>
      </c>
      <c r="K358" s="79"/>
      <c r="L358" s="80">
        <v>0.2553</v>
      </c>
      <c r="M358" s="80"/>
      <c r="N358" s="86">
        <v>118</v>
      </c>
      <c r="O358" s="86"/>
      <c r="P358" s="79">
        <v>0</v>
      </c>
      <c r="Q358" s="87"/>
    </row>
    <row r="359" spans="1:17">
      <c r="A359" s="89">
        <v>43337</v>
      </c>
      <c r="B359" s="78"/>
      <c r="C359" s="79">
        <v>3</v>
      </c>
      <c r="D359" s="79"/>
      <c r="E359" s="79">
        <v>18</v>
      </c>
      <c r="F359" s="80">
        <v>0.045</v>
      </c>
      <c r="G359" s="79">
        <v>11</v>
      </c>
      <c r="H359" s="80">
        <v>0.045</v>
      </c>
      <c r="I359" s="83">
        <v>0.8</v>
      </c>
      <c r="J359" s="79">
        <v>21</v>
      </c>
      <c r="K359" s="79"/>
      <c r="L359" s="80">
        <v>0</v>
      </c>
      <c r="M359" s="80"/>
      <c r="N359" s="86">
        <v>479</v>
      </c>
      <c r="O359" s="86"/>
      <c r="P359" s="79">
        <v>11</v>
      </c>
      <c r="Q359" s="87"/>
    </row>
    <row r="360" spans="1:17">
      <c r="A360" s="89">
        <v>43337</v>
      </c>
      <c r="B360" s="78"/>
      <c r="C360" s="79">
        <v>1</v>
      </c>
      <c r="D360" s="79"/>
      <c r="E360" s="79">
        <v>95</v>
      </c>
      <c r="F360" s="80">
        <v>0.2883</v>
      </c>
      <c r="G360" s="79">
        <v>61</v>
      </c>
      <c r="H360" s="80">
        <v>0.2883</v>
      </c>
      <c r="I360" s="83">
        <v>1</v>
      </c>
      <c r="J360" s="79">
        <v>0</v>
      </c>
      <c r="K360" s="79"/>
      <c r="L360" s="80">
        <v>0.0385</v>
      </c>
      <c r="M360" s="80"/>
      <c r="N360" s="86">
        <v>54</v>
      </c>
      <c r="O360" s="86"/>
      <c r="P360" s="79">
        <v>11</v>
      </c>
      <c r="Q360" s="87"/>
    </row>
    <row r="361" ht="15" spans="1:17">
      <c r="A361" s="89">
        <v>43338</v>
      </c>
      <c r="B361" s="78"/>
      <c r="C361" s="79">
        <v>4</v>
      </c>
      <c r="D361" s="88"/>
      <c r="E361" s="79">
        <v>61</v>
      </c>
      <c r="F361" s="80">
        <v>0.0132</v>
      </c>
      <c r="G361" s="79">
        <v>41</v>
      </c>
      <c r="H361" s="80">
        <v>0.0132</v>
      </c>
      <c r="I361" s="83">
        <v>1</v>
      </c>
      <c r="J361" s="79">
        <v>21</v>
      </c>
      <c r="K361" s="79"/>
      <c r="L361" s="80">
        <v>0</v>
      </c>
      <c r="M361" s="80"/>
      <c r="N361" s="86">
        <v>307</v>
      </c>
      <c r="O361" s="86"/>
      <c r="P361" s="79">
        <v>19</v>
      </c>
      <c r="Q361" s="87"/>
    </row>
    <row r="362" ht="15" spans="1:17">
      <c r="A362" s="89">
        <v>43338</v>
      </c>
      <c r="B362" s="78"/>
      <c r="C362" s="79">
        <v>2</v>
      </c>
      <c r="D362" s="88"/>
      <c r="E362" s="79">
        <v>58</v>
      </c>
      <c r="F362" s="80">
        <v>0.0724</v>
      </c>
      <c r="G362" s="79">
        <v>86</v>
      </c>
      <c r="H362" s="80">
        <v>0.0724</v>
      </c>
      <c r="I362" s="83">
        <v>1</v>
      </c>
      <c r="J362" s="79">
        <v>10</v>
      </c>
      <c r="K362" s="79"/>
      <c r="L362" s="80">
        <v>0</v>
      </c>
      <c r="M362" s="80"/>
      <c r="N362" s="86">
        <v>250</v>
      </c>
      <c r="O362" s="86"/>
      <c r="P362" s="79">
        <v>19</v>
      </c>
      <c r="Q362" s="87"/>
    </row>
    <row r="363" ht="15" spans="1:17">
      <c r="A363" s="89">
        <v>43338</v>
      </c>
      <c r="B363" s="78"/>
      <c r="C363" s="79">
        <v>5</v>
      </c>
      <c r="D363" s="88"/>
      <c r="E363" s="79">
        <v>34</v>
      </c>
      <c r="F363" s="80">
        <v>0.5789</v>
      </c>
      <c r="G363" s="79">
        <v>31</v>
      </c>
      <c r="H363" s="80">
        <v>0.5789</v>
      </c>
      <c r="I363" s="83">
        <v>1</v>
      </c>
      <c r="J363" s="79">
        <v>20</v>
      </c>
      <c r="K363" s="79"/>
      <c r="L363" s="80">
        <v>0.2131</v>
      </c>
      <c r="M363" s="80"/>
      <c r="N363" s="86">
        <v>300</v>
      </c>
      <c r="O363" s="86"/>
      <c r="P363" s="79">
        <v>1</v>
      </c>
      <c r="Q363" s="87"/>
    </row>
    <row r="364" ht="15" spans="1:17">
      <c r="A364" s="89">
        <v>43338</v>
      </c>
      <c r="B364" s="78"/>
      <c r="C364" s="79">
        <v>1</v>
      </c>
      <c r="D364" s="88"/>
      <c r="E364" s="79">
        <v>95</v>
      </c>
      <c r="F364" s="80">
        <v>0.3355</v>
      </c>
      <c r="G364" s="79">
        <v>54</v>
      </c>
      <c r="H364" s="80">
        <v>0.3355</v>
      </c>
      <c r="I364" s="83">
        <v>0.9</v>
      </c>
      <c r="J364" s="79">
        <v>12</v>
      </c>
      <c r="K364" s="79"/>
      <c r="L364" s="80">
        <v>0.0909</v>
      </c>
      <c r="M364" s="80"/>
      <c r="N364" s="86">
        <v>242</v>
      </c>
      <c r="O364" s="86"/>
      <c r="P364" s="79">
        <v>10</v>
      </c>
      <c r="Q364" s="87"/>
    </row>
    <row r="365" ht="15" spans="1:17">
      <c r="A365" s="89">
        <v>43339</v>
      </c>
      <c r="B365" s="78"/>
      <c r="C365" s="79">
        <v>1</v>
      </c>
      <c r="D365" s="88"/>
      <c r="E365" s="79">
        <v>17</v>
      </c>
      <c r="F365" s="80">
        <v>0.3221</v>
      </c>
      <c r="G365" s="79">
        <v>31</v>
      </c>
      <c r="H365" s="80">
        <v>0.3221</v>
      </c>
      <c r="I365" s="83">
        <v>1</v>
      </c>
      <c r="J365" s="79">
        <v>12</v>
      </c>
      <c r="K365" s="79"/>
      <c r="L365" s="80">
        <v>0.1034</v>
      </c>
      <c r="M365" s="80"/>
      <c r="N365" s="86">
        <v>119</v>
      </c>
      <c r="O365" s="86"/>
      <c r="P365" s="79">
        <v>14</v>
      </c>
      <c r="Q365" s="87"/>
    </row>
    <row r="366" ht="15" spans="1:17">
      <c r="A366" s="89">
        <v>43339</v>
      </c>
      <c r="B366" s="78"/>
      <c r="C366" s="79">
        <v>4</v>
      </c>
      <c r="D366" s="88"/>
      <c r="E366" s="79">
        <v>88</v>
      </c>
      <c r="F366" s="80">
        <v>0.0067</v>
      </c>
      <c r="G366" s="79">
        <v>13</v>
      </c>
      <c r="H366" s="80">
        <v>0.0067</v>
      </c>
      <c r="I366" s="83">
        <v>1</v>
      </c>
      <c r="J366" s="79">
        <v>9</v>
      </c>
      <c r="K366" s="79"/>
      <c r="L366" s="80">
        <v>0</v>
      </c>
      <c r="M366" s="80"/>
      <c r="N366" s="86">
        <v>124</v>
      </c>
      <c r="O366" s="86"/>
      <c r="P366" s="79">
        <v>10</v>
      </c>
      <c r="Q366" s="87"/>
    </row>
    <row r="367" ht="15" spans="1:17">
      <c r="A367" s="89">
        <v>43339</v>
      </c>
      <c r="B367" s="78"/>
      <c r="C367" s="79">
        <v>2</v>
      </c>
      <c r="D367" s="88"/>
      <c r="E367" s="79">
        <v>6</v>
      </c>
      <c r="F367" s="80">
        <v>0.0738</v>
      </c>
      <c r="G367" s="79">
        <v>8</v>
      </c>
      <c r="H367" s="80">
        <v>0.0738</v>
      </c>
      <c r="I367" s="83">
        <v>0.91</v>
      </c>
      <c r="J367" s="79">
        <v>16</v>
      </c>
      <c r="K367" s="79"/>
      <c r="L367" s="80">
        <v>0</v>
      </c>
      <c r="M367" s="80"/>
      <c r="N367" s="86">
        <v>358</v>
      </c>
      <c r="O367" s="86"/>
      <c r="P367" s="79">
        <v>5</v>
      </c>
      <c r="Q367" s="87"/>
    </row>
    <row r="368" ht="15" spans="1:17">
      <c r="A368" s="89">
        <v>43339</v>
      </c>
      <c r="B368" s="78"/>
      <c r="C368" s="79">
        <v>5</v>
      </c>
      <c r="D368" s="88"/>
      <c r="E368" s="79">
        <v>33</v>
      </c>
      <c r="F368" s="80">
        <v>0.5772</v>
      </c>
      <c r="G368" s="79">
        <v>49</v>
      </c>
      <c r="H368" s="80">
        <v>0.5772</v>
      </c>
      <c r="I368" s="83">
        <v>0.99</v>
      </c>
      <c r="J368" s="79">
        <v>26</v>
      </c>
      <c r="K368" s="79"/>
      <c r="L368" s="80">
        <v>0.0952</v>
      </c>
      <c r="M368" s="80"/>
      <c r="N368" s="86">
        <v>316</v>
      </c>
      <c r="O368" s="86"/>
      <c r="P368" s="79">
        <v>11</v>
      </c>
      <c r="Q368" s="87"/>
    </row>
    <row r="369" ht="15" spans="1:17">
      <c r="A369" s="89">
        <v>43339</v>
      </c>
      <c r="B369" s="78"/>
      <c r="C369" s="79">
        <v>3</v>
      </c>
      <c r="D369" s="88"/>
      <c r="E369" s="79">
        <v>75</v>
      </c>
      <c r="F369" s="80">
        <v>0.0201</v>
      </c>
      <c r="G369" s="79">
        <v>70</v>
      </c>
      <c r="H369" s="80">
        <v>0.0201</v>
      </c>
      <c r="I369" s="83">
        <v>1</v>
      </c>
      <c r="J369" s="79">
        <v>11</v>
      </c>
      <c r="K369" s="79"/>
      <c r="L369" s="80">
        <v>0</v>
      </c>
      <c r="M369" s="80"/>
      <c r="N369" s="86">
        <v>395</v>
      </c>
      <c r="O369" s="86"/>
      <c r="P369" s="79">
        <v>2</v>
      </c>
      <c r="Q369" s="87"/>
    </row>
    <row r="370" ht="15" spans="1:17">
      <c r="A370" s="89">
        <v>43340</v>
      </c>
      <c r="B370" s="78"/>
      <c r="C370" s="79">
        <v>4</v>
      </c>
      <c r="D370" s="88"/>
      <c r="E370" s="79">
        <v>87</v>
      </c>
      <c r="F370" s="80">
        <v>0.0137</v>
      </c>
      <c r="G370" s="79">
        <v>18</v>
      </c>
      <c r="H370" s="80">
        <v>0.0137</v>
      </c>
      <c r="I370" s="83">
        <v>1</v>
      </c>
      <c r="J370" s="79">
        <v>22</v>
      </c>
      <c r="K370" s="79"/>
      <c r="L370" s="80">
        <v>0</v>
      </c>
      <c r="M370" s="80"/>
      <c r="N370" s="86">
        <v>404</v>
      </c>
      <c r="O370" s="86"/>
      <c r="P370" s="79">
        <v>8</v>
      </c>
      <c r="Q370" s="87"/>
    </row>
    <row r="371" ht="15" spans="1:17">
      <c r="A371" s="89">
        <v>43340</v>
      </c>
      <c r="B371" s="78"/>
      <c r="C371" s="79">
        <v>2</v>
      </c>
      <c r="D371" s="88"/>
      <c r="E371" s="79">
        <v>49</v>
      </c>
      <c r="F371" s="80">
        <v>0.0548</v>
      </c>
      <c r="G371" s="79">
        <v>24</v>
      </c>
      <c r="H371" s="80">
        <v>0.0548</v>
      </c>
      <c r="I371" s="83">
        <v>1</v>
      </c>
      <c r="J371" s="79">
        <v>24</v>
      </c>
      <c r="K371" s="79"/>
      <c r="L371" s="80">
        <v>0.2857</v>
      </c>
      <c r="M371" s="80"/>
      <c r="N371" s="86">
        <v>115</v>
      </c>
      <c r="O371" s="86"/>
      <c r="P371" s="79">
        <v>7</v>
      </c>
      <c r="Q371" s="87"/>
    </row>
    <row r="372" ht="15" spans="1:17">
      <c r="A372" s="89">
        <v>43340</v>
      </c>
      <c r="B372" s="78"/>
      <c r="C372" s="79">
        <v>5</v>
      </c>
      <c r="D372" s="88"/>
      <c r="E372" s="79">
        <v>17</v>
      </c>
      <c r="F372" s="80">
        <v>0.6712</v>
      </c>
      <c r="G372" s="79">
        <v>58</v>
      </c>
      <c r="H372" s="80">
        <v>0.6712</v>
      </c>
      <c r="I372" s="83">
        <v>1</v>
      </c>
      <c r="J372" s="79">
        <v>14</v>
      </c>
      <c r="K372" s="79"/>
      <c r="L372" s="80">
        <v>0.1233</v>
      </c>
      <c r="M372" s="80"/>
      <c r="N372" s="86">
        <v>447</v>
      </c>
      <c r="O372" s="86"/>
      <c r="P372" s="79">
        <v>1</v>
      </c>
      <c r="Q372" s="87"/>
    </row>
    <row r="373" ht="15" spans="1:17">
      <c r="A373" s="89">
        <v>43340</v>
      </c>
      <c r="B373" s="78"/>
      <c r="C373" s="79">
        <v>3</v>
      </c>
      <c r="D373" s="88"/>
      <c r="E373" s="79">
        <v>72</v>
      </c>
      <c r="F373" s="80">
        <v>0.0616</v>
      </c>
      <c r="G373" s="79">
        <v>27</v>
      </c>
      <c r="H373" s="80">
        <v>0.0616</v>
      </c>
      <c r="I373" s="83">
        <v>0.78</v>
      </c>
      <c r="J373" s="79">
        <v>0</v>
      </c>
      <c r="K373" s="79"/>
      <c r="L373" s="80">
        <v>0</v>
      </c>
      <c r="M373" s="80"/>
      <c r="N373" s="86">
        <v>292</v>
      </c>
      <c r="O373" s="86"/>
      <c r="P373" s="79">
        <v>18</v>
      </c>
      <c r="Q373" s="87"/>
    </row>
    <row r="374" ht="15" spans="1:17">
      <c r="A374" s="89">
        <v>43340</v>
      </c>
      <c r="B374" s="78"/>
      <c r="C374" s="79">
        <v>1</v>
      </c>
      <c r="D374" s="88"/>
      <c r="E374" s="79">
        <v>19</v>
      </c>
      <c r="F374" s="80">
        <v>0.1986</v>
      </c>
      <c r="G374" s="79">
        <v>47</v>
      </c>
      <c r="H374" s="80">
        <v>0.1986</v>
      </c>
      <c r="I374" s="83">
        <v>1</v>
      </c>
      <c r="J374" s="79">
        <v>24</v>
      </c>
      <c r="K374" s="79"/>
      <c r="L374" s="80">
        <v>0.0417</v>
      </c>
      <c r="M374" s="80"/>
      <c r="N374" s="86">
        <v>140</v>
      </c>
      <c r="O374" s="86"/>
      <c r="P374" s="79">
        <v>5</v>
      </c>
      <c r="Q374" s="87"/>
    </row>
    <row r="375" ht="15" spans="1:17">
      <c r="A375" s="89">
        <v>43341</v>
      </c>
      <c r="B375" s="78"/>
      <c r="C375" s="79">
        <v>4</v>
      </c>
      <c r="D375" s="88"/>
      <c r="E375" s="79">
        <v>44</v>
      </c>
      <c r="F375" s="80">
        <v>0.0345</v>
      </c>
      <c r="G375" s="79">
        <v>74</v>
      </c>
      <c r="H375" s="80">
        <v>0.0345</v>
      </c>
      <c r="I375" s="83">
        <v>1</v>
      </c>
      <c r="J375" s="79">
        <v>10</v>
      </c>
      <c r="K375" s="79"/>
      <c r="L375" s="80">
        <v>0</v>
      </c>
      <c r="M375" s="80"/>
      <c r="N375" s="86">
        <v>197</v>
      </c>
      <c r="O375" s="86"/>
      <c r="P375" s="79">
        <v>5</v>
      </c>
      <c r="Q375" s="87"/>
    </row>
    <row r="376" ht="15" spans="1:17">
      <c r="A376" s="89">
        <v>43341</v>
      </c>
      <c r="B376" s="78"/>
      <c r="C376" s="79">
        <v>2</v>
      </c>
      <c r="D376" s="88"/>
      <c r="E376" s="79">
        <v>93</v>
      </c>
      <c r="F376" s="80">
        <v>0.1241</v>
      </c>
      <c r="G376" s="79">
        <v>21</v>
      </c>
      <c r="H376" s="80">
        <v>0.1241</v>
      </c>
      <c r="I376" s="83">
        <v>1</v>
      </c>
      <c r="J376" s="79">
        <v>7</v>
      </c>
      <c r="K376" s="79"/>
      <c r="L376" s="80">
        <v>0.0833</v>
      </c>
      <c r="M376" s="80"/>
      <c r="N376" s="86">
        <v>139</v>
      </c>
      <c r="O376" s="86"/>
      <c r="P376" s="79">
        <v>12</v>
      </c>
      <c r="Q376" s="87"/>
    </row>
    <row r="377" ht="15" spans="1:17">
      <c r="A377" s="89">
        <v>43341</v>
      </c>
      <c r="B377" s="78"/>
      <c r="C377" s="79">
        <v>5</v>
      </c>
      <c r="D377" s="88"/>
      <c r="E377" s="79">
        <v>3</v>
      </c>
      <c r="F377" s="80">
        <v>0.6483</v>
      </c>
      <c r="G377" s="79">
        <v>46</v>
      </c>
      <c r="H377" s="80">
        <v>0.6483</v>
      </c>
      <c r="I377" s="83">
        <v>0.99</v>
      </c>
      <c r="J377" s="79">
        <v>8</v>
      </c>
      <c r="K377" s="79"/>
      <c r="L377" s="80">
        <v>0.2571</v>
      </c>
      <c r="M377" s="80"/>
      <c r="N377" s="86">
        <v>216</v>
      </c>
      <c r="O377" s="86"/>
      <c r="P377" s="79">
        <v>14</v>
      </c>
      <c r="Q377" s="87"/>
    </row>
    <row r="378" ht="15" spans="1:17">
      <c r="A378" s="89">
        <v>43341</v>
      </c>
      <c r="B378" s="78"/>
      <c r="C378" s="79">
        <v>3</v>
      </c>
      <c r="D378" s="88"/>
      <c r="E378" s="79">
        <v>36</v>
      </c>
      <c r="F378" s="80">
        <v>0.0276</v>
      </c>
      <c r="G378" s="79">
        <v>77</v>
      </c>
      <c r="H378" s="80">
        <v>0.0276</v>
      </c>
      <c r="I378" s="83">
        <v>1</v>
      </c>
      <c r="J378" s="79">
        <v>3</v>
      </c>
      <c r="K378" s="79"/>
      <c r="L378" s="80">
        <v>0</v>
      </c>
      <c r="M378" s="80"/>
      <c r="N378" s="86">
        <v>227</v>
      </c>
      <c r="O378" s="86"/>
      <c r="P378" s="79">
        <v>20</v>
      </c>
      <c r="Q378" s="87"/>
    </row>
    <row r="379" ht="15" spans="1:17">
      <c r="A379" s="89">
        <v>43341</v>
      </c>
      <c r="B379" s="78"/>
      <c r="C379" s="79">
        <v>1</v>
      </c>
      <c r="D379" s="88"/>
      <c r="E379" s="79">
        <v>54</v>
      </c>
      <c r="F379" s="80">
        <v>0.1448</v>
      </c>
      <c r="G379" s="79">
        <v>16</v>
      </c>
      <c r="H379" s="80">
        <v>0.1448</v>
      </c>
      <c r="I379" s="83">
        <v>0.9</v>
      </c>
      <c r="J379" s="79">
        <v>3</v>
      </c>
      <c r="K379" s="79"/>
      <c r="L379" s="80">
        <v>0.0556</v>
      </c>
      <c r="M379" s="80"/>
      <c r="N379" s="86">
        <v>387</v>
      </c>
      <c r="O379" s="86"/>
      <c r="P379" s="79">
        <v>20</v>
      </c>
      <c r="Q379" s="87"/>
    </row>
    <row r="380" ht="15" spans="1:17">
      <c r="A380" s="89">
        <v>43341</v>
      </c>
      <c r="B380" s="78"/>
      <c r="C380" s="79">
        <v>7</v>
      </c>
      <c r="D380" s="88"/>
      <c r="E380" s="79">
        <v>30</v>
      </c>
      <c r="F380" s="80">
        <v>0.0207</v>
      </c>
      <c r="G380" s="79">
        <v>56</v>
      </c>
      <c r="H380" s="80">
        <v>0.0207</v>
      </c>
      <c r="I380" s="83">
        <v>0.33</v>
      </c>
      <c r="J380" s="79">
        <v>26</v>
      </c>
      <c r="K380" s="79"/>
      <c r="L380" s="80">
        <v>0</v>
      </c>
      <c r="M380" s="80"/>
      <c r="N380" s="86">
        <v>322</v>
      </c>
      <c r="O380" s="86"/>
      <c r="P380" s="79">
        <v>4</v>
      </c>
      <c r="Q380" s="87"/>
    </row>
    <row r="381" ht="15" spans="1:17">
      <c r="A381" s="89">
        <v>43342</v>
      </c>
      <c r="B381" s="78"/>
      <c r="C381" s="79">
        <v>4</v>
      </c>
      <c r="D381" s="88"/>
      <c r="E381" s="79">
        <v>21</v>
      </c>
      <c r="F381" s="80">
        <v>0.0235</v>
      </c>
      <c r="G381" s="79">
        <v>77</v>
      </c>
      <c r="H381" s="80">
        <v>0.0235</v>
      </c>
      <c r="I381" s="83">
        <v>1</v>
      </c>
      <c r="J381" s="79">
        <v>11</v>
      </c>
      <c r="K381" s="79"/>
      <c r="L381" s="80">
        <v>0</v>
      </c>
      <c r="M381" s="80"/>
      <c r="N381" s="86">
        <v>500</v>
      </c>
      <c r="O381" s="86"/>
      <c r="P381" s="79">
        <v>20</v>
      </c>
      <c r="Q381" s="87"/>
    </row>
    <row r="382" ht="15" spans="1:17">
      <c r="A382" s="89">
        <v>43342</v>
      </c>
      <c r="B382" s="78"/>
      <c r="C382" s="79">
        <v>2</v>
      </c>
      <c r="D382" s="88"/>
      <c r="E382" s="79">
        <v>45</v>
      </c>
      <c r="F382" s="80">
        <v>0.1925</v>
      </c>
      <c r="G382" s="79">
        <v>63</v>
      </c>
      <c r="H382" s="80">
        <v>0.1925</v>
      </c>
      <c r="I382" s="83">
        <v>1</v>
      </c>
      <c r="J382" s="79">
        <v>20</v>
      </c>
      <c r="K382" s="79"/>
      <c r="L382" s="80">
        <v>0.1739</v>
      </c>
      <c r="M382" s="80"/>
      <c r="N382" s="86">
        <v>128</v>
      </c>
      <c r="O382" s="86"/>
      <c r="P382" s="79">
        <v>4</v>
      </c>
      <c r="Q382" s="87"/>
    </row>
    <row r="383" ht="15" spans="1:17">
      <c r="A383" s="89">
        <v>43342</v>
      </c>
      <c r="B383" s="78"/>
      <c r="C383" s="79">
        <v>5</v>
      </c>
      <c r="D383" s="88"/>
      <c r="E383" s="79">
        <v>95</v>
      </c>
      <c r="F383" s="80">
        <v>0.5352</v>
      </c>
      <c r="G383" s="79">
        <v>16</v>
      </c>
      <c r="H383" s="80">
        <v>0.5352</v>
      </c>
      <c r="I383" s="83">
        <v>1</v>
      </c>
      <c r="J383" s="79">
        <v>11</v>
      </c>
      <c r="K383" s="79"/>
      <c r="L383" s="80">
        <v>0.1875</v>
      </c>
      <c r="M383" s="80"/>
      <c r="N383" s="86">
        <v>463</v>
      </c>
      <c r="O383" s="86"/>
      <c r="P383" s="79">
        <v>10</v>
      </c>
      <c r="Q383" s="87"/>
    </row>
    <row r="384" ht="15" spans="1:17">
      <c r="A384" s="89">
        <v>43342</v>
      </c>
      <c r="B384" s="78"/>
      <c r="C384" s="79">
        <v>3</v>
      </c>
      <c r="D384" s="88"/>
      <c r="E384" s="79">
        <v>87</v>
      </c>
      <c r="F384" s="80">
        <v>0.0329</v>
      </c>
      <c r="G384" s="79">
        <v>23</v>
      </c>
      <c r="H384" s="80">
        <v>0.0329</v>
      </c>
      <c r="I384" s="83">
        <v>1</v>
      </c>
      <c r="J384" s="79">
        <v>14</v>
      </c>
      <c r="K384" s="79"/>
      <c r="L384" s="80">
        <v>0</v>
      </c>
      <c r="M384" s="80"/>
      <c r="N384" s="86">
        <v>306</v>
      </c>
      <c r="O384" s="86"/>
      <c r="P384" s="79">
        <v>4</v>
      </c>
      <c r="Q384" s="87"/>
    </row>
    <row r="385" ht="15" spans="1:17">
      <c r="A385" s="89">
        <v>43342</v>
      </c>
      <c r="B385" s="78"/>
      <c r="C385" s="79">
        <v>1</v>
      </c>
      <c r="D385" s="88"/>
      <c r="E385" s="79">
        <v>77</v>
      </c>
      <c r="F385" s="80">
        <v>0.2019</v>
      </c>
      <c r="G385" s="79">
        <v>79</v>
      </c>
      <c r="H385" s="80">
        <v>0.2019</v>
      </c>
      <c r="I385" s="83">
        <v>1</v>
      </c>
      <c r="J385" s="79">
        <v>25</v>
      </c>
      <c r="K385" s="79"/>
      <c r="L385" s="80">
        <v>0.6389</v>
      </c>
      <c r="M385" s="80"/>
      <c r="N385" s="86">
        <v>303</v>
      </c>
      <c r="O385" s="86"/>
      <c r="P385" s="79">
        <v>8</v>
      </c>
      <c r="Q385" s="87"/>
    </row>
    <row r="386" ht="15" spans="1:17">
      <c r="A386" s="89">
        <v>43342</v>
      </c>
      <c r="B386" s="78"/>
      <c r="C386" s="79">
        <v>6</v>
      </c>
      <c r="D386" s="88"/>
      <c r="E386" s="79">
        <v>51</v>
      </c>
      <c r="F386" s="80">
        <v>0.0047</v>
      </c>
      <c r="G386" s="79">
        <v>52</v>
      </c>
      <c r="H386" s="80">
        <v>0.0047</v>
      </c>
      <c r="I386" s="83">
        <v>1</v>
      </c>
      <c r="J386" s="79">
        <v>18</v>
      </c>
      <c r="K386" s="79"/>
      <c r="L386" s="80">
        <v>0</v>
      </c>
      <c r="M386" s="80"/>
      <c r="N386" s="86">
        <v>378</v>
      </c>
      <c r="O386" s="86"/>
      <c r="P386" s="79">
        <v>13</v>
      </c>
      <c r="Q386" s="87"/>
    </row>
    <row r="387" ht="15" spans="1:17">
      <c r="A387" s="89">
        <v>43342</v>
      </c>
      <c r="B387" s="78"/>
      <c r="C387" s="79">
        <v>7</v>
      </c>
      <c r="D387" s="88"/>
      <c r="E387" s="79">
        <v>6</v>
      </c>
      <c r="F387" s="80">
        <v>0.0094</v>
      </c>
      <c r="G387" s="79">
        <v>30</v>
      </c>
      <c r="H387" s="80">
        <v>0.0094</v>
      </c>
      <c r="I387" s="83">
        <v>1</v>
      </c>
      <c r="J387" s="79">
        <v>5</v>
      </c>
      <c r="K387" s="79"/>
      <c r="L387" s="80">
        <v>0</v>
      </c>
      <c r="M387" s="80"/>
      <c r="N387" s="86">
        <v>143</v>
      </c>
      <c r="O387" s="86"/>
      <c r="P387" s="79">
        <v>10</v>
      </c>
      <c r="Q387" s="87"/>
    </row>
    <row r="388" ht="15" spans="1:17">
      <c r="A388" s="89">
        <v>43343</v>
      </c>
      <c r="B388" s="78"/>
      <c r="C388" s="79">
        <v>2</v>
      </c>
      <c r="D388" s="88"/>
      <c r="E388" s="79">
        <v>99</v>
      </c>
      <c r="F388" s="80">
        <v>0.1908</v>
      </c>
      <c r="G388" s="79">
        <v>47</v>
      </c>
      <c r="H388" s="80">
        <v>0.1908</v>
      </c>
      <c r="I388" s="83">
        <v>1</v>
      </c>
      <c r="J388" s="79">
        <v>1</v>
      </c>
      <c r="K388" s="79"/>
      <c r="L388" s="80">
        <v>0.0556</v>
      </c>
      <c r="M388" s="80"/>
      <c r="N388" s="86">
        <v>102</v>
      </c>
      <c r="O388" s="86"/>
      <c r="P388" s="79">
        <v>14</v>
      </c>
      <c r="Q388" s="87"/>
    </row>
    <row r="389" ht="15" spans="1:17">
      <c r="A389" s="89">
        <v>43343</v>
      </c>
      <c r="B389" s="78"/>
      <c r="C389" s="79">
        <v>5</v>
      </c>
      <c r="D389" s="88"/>
      <c r="E389" s="79">
        <v>10</v>
      </c>
      <c r="F389" s="80">
        <v>0.6031</v>
      </c>
      <c r="G389" s="79">
        <v>73</v>
      </c>
      <c r="H389" s="80">
        <v>0.6031</v>
      </c>
      <c r="I389" s="83">
        <v>1</v>
      </c>
      <c r="J389" s="79">
        <v>12</v>
      </c>
      <c r="K389" s="79"/>
      <c r="L389" s="80">
        <v>0.2453</v>
      </c>
      <c r="M389" s="80"/>
      <c r="N389" s="86">
        <v>384</v>
      </c>
      <c r="O389" s="86"/>
      <c r="P389" s="79">
        <v>20</v>
      </c>
      <c r="Q389" s="87"/>
    </row>
    <row r="390" ht="15" spans="1:17">
      <c r="A390" s="89">
        <v>43343</v>
      </c>
      <c r="B390" s="78"/>
      <c r="C390" s="79">
        <v>3</v>
      </c>
      <c r="D390" s="88"/>
      <c r="E390" s="79">
        <v>61</v>
      </c>
      <c r="F390" s="80">
        <v>0.0534</v>
      </c>
      <c r="G390" s="79">
        <v>64</v>
      </c>
      <c r="H390" s="80">
        <v>0.0534</v>
      </c>
      <c r="I390" s="83">
        <v>0.86</v>
      </c>
      <c r="J390" s="79">
        <v>19</v>
      </c>
      <c r="K390" s="79"/>
      <c r="L390" s="80">
        <v>0.25</v>
      </c>
      <c r="M390" s="80"/>
      <c r="N390" s="86">
        <v>499</v>
      </c>
      <c r="O390" s="86"/>
      <c r="P390" s="79">
        <v>6</v>
      </c>
      <c r="Q390" s="87"/>
    </row>
    <row r="391" ht="15" spans="1:17">
      <c r="A391" s="89">
        <v>43343</v>
      </c>
      <c r="B391" s="78"/>
      <c r="C391" s="79">
        <v>1</v>
      </c>
      <c r="D391" s="88"/>
      <c r="E391" s="79">
        <v>1</v>
      </c>
      <c r="F391" s="80">
        <v>0.145</v>
      </c>
      <c r="G391" s="79">
        <v>68</v>
      </c>
      <c r="H391" s="80">
        <v>0.145</v>
      </c>
      <c r="I391" s="83">
        <v>0.95</v>
      </c>
      <c r="J391" s="79">
        <v>19</v>
      </c>
      <c r="K391" s="79"/>
      <c r="L391" s="80">
        <v>1.2</v>
      </c>
      <c r="M391" s="80"/>
      <c r="N391" s="86">
        <v>492</v>
      </c>
      <c r="O391" s="86"/>
      <c r="P391" s="79">
        <v>2</v>
      </c>
      <c r="Q391" s="87"/>
    </row>
    <row r="392" ht="15" spans="1:17">
      <c r="A392" s="89">
        <v>43343</v>
      </c>
      <c r="B392" s="78"/>
      <c r="C392" s="79">
        <v>6</v>
      </c>
      <c r="D392" s="88"/>
      <c r="E392" s="79">
        <v>59</v>
      </c>
      <c r="F392" s="80">
        <v>0.0076</v>
      </c>
      <c r="G392" s="79">
        <v>3</v>
      </c>
      <c r="H392" s="80">
        <v>0.0076</v>
      </c>
      <c r="I392" s="83">
        <v>1</v>
      </c>
      <c r="J392" s="79">
        <v>23</v>
      </c>
      <c r="K392" s="79"/>
      <c r="L392" s="80">
        <v>0</v>
      </c>
      <c r="M392" s="80"/>
      <c r="N392" s="86">
        <v>310</v>
      </c>
      <c r="O392" s="86"/>
      <c r="P392" s="79">
        <v>20</v>
      </c>
      <c r="Q392" s="87"/>
    </row>
    <row r="393" spans="1:17">
      <c r="A393" s="89">
        <v>43344</v>
      </c>
      <c r="B393" s="78"/>
      <c r="C393" s="79">
        <v>4</v>
      </c>
      <c r="D393" s="79"/>
      <c r="E393" s="79">
        <v>1</v>
      </c>
      <c r="F393" s="80">
        <v>0.0112</v>
      </c>
      <c r="G393" s="79">
        <v>96</v>
      </c>
      <c r="H393" s="80">
        <v>0.0112</v>
      </c>
      <c r="I393" s="83">
        <v>1</v>
      </c>
      <c r="J393" s="79">
        <v>11</v>
      </c>
      <c r="K393" s="79"/>
      <c r="L393" s="80">
        <v>0</v>
      </c>
      <c r="M393" s="80"/>
      <c r="N393" s="86">
        <v>320</v>
      </c>
      <c r="O393" s="86"/>
      <c r="P393" s="79">
        <v>5</v>
      </c>
      <c r="Q393" s="87"/>
    </row>
    <row r="394" spans="1:17">
      <c r="A394" s="89">
        <v>43344</v>
      </c>
      <c r="B394" s="78"/>
      <c r="C394" s="79">
        <v>2</v>
      </c>
      <c r="D394" s="79"/>
      <c r="E394" s="79">
        <v>71</v>
      </c>
      <c r="F394" s="80">
        <v>0.2022</v>
      </c>
      <c r="G394" s="79">
        <v>99</v>
      </c>
      <c r="H394" s="80">
        <v>0.2022</v>
      </c>
      <c r="I394" s="83">
        <v>1</v>
      </c>
      <c r="J394" s="79">
        <v>19</v>
      </c>
      <c r="K394" s="79"/>
      <c r="L394" s="80">
        <v>0.125</v>
      </c>
      <c r="M394" s="80"/>
      <c r="N394" s="86">
        <v>275</v>
      </c>
      <c r="O394" s="86"/>
      <c r="P394" s="79">
        <v>12</v>
      </c>
      <c r="Q394" s="87"/>
    </row>
    <row r="395" spans="1:17">
      <c r="A395" s="89">
        <v>43344</v>
      </c>
      <c r="B395" s="78"/>
      <c r="C395" s="79">
        <v>5</v>
      </c>
      <c r="D395" s="79"/>
      <c r="E395" s="79">
        <v>89</v>
      </c>
      <c r="F395" s="80">
        <v>0.4157</v>
      </c>
      <c r="G395" s="79">
        <v>92</v>
      </c>
      <c r="H395" s="80">
        <v>0.4157</v>
      </c>
      <c r="I395" s="83">
        <v>1</v>
      </c>
      <c r="J395" s="79">
        <v>9</v>
      </c>
      <c r="K395" s="79"/>
      <c r="L395" s="80">
        <v>0.4615</v>
      </c>
      <c r="M395" s="80"/>
      <c r="N395" s="86">
        <v>246</v>
      </c>
      <c r="O395" s="86"/>
      <c r="P395" s="79">
        <v>12</v>
      </c>
      <c r="Q395" s="87"/>
    </row>
    <row r="396" spans="1:17">
      <c r="A396" s="89">
        <v>43344</v>
      </c>
      <c r="B396" s="78"/>
      <c r="C396" s="79">
        <v>1</v>
      </c>
      <c r="D396" s="79"/>
      <c r="E396" s="79">
        <v>54</v>
      </c>
      <c r="F396" s="80">
        <v>0.3708</v>
      </c>
      <c r="G396" s="79">
        <v>76</v>
      </c>
      <c r="H396" s="80">
        <v>0.3708</v>
      </c>
      <c r="I396" s="83">
        <v>1</v>
      </c>
      <c r="J396" s="79">
        <v>22</v>
      </c>
      <c r="K396" s="79"/>
      <c r="L396" s="80">
        <v>0.1304</v>
      </c>
      <c r="M396" s="80"/>
      <c r="N396" s="86">
        <v>416</v>
      </c>
      <c r="O396" s="86"/>
      <c r="P396" s="79">
        <v>20</v>
      </c>
      <c r="Q396" s="87"/>
    </row>
    <row r="397" ht="15" spans="1:17">
      <c r="A397" s="89">
        <v>43345</v>
      </c>
      <c r="B397" s="78"/>
      <c r="C397" s="79">
        <v>5</v>
      </c>
      <c r="D397" s="88"/>
      <c r="E397" s="79">
        <v>40</v>
      </c>
      <c r="F397" s="80">
        <v>0.4828</v>
      </c>
      <c r="G397" s="79">
        <v>97</v>
      </c>
      <c r="H397" s="80">
        <v>0.4828</v>
      </c>
      <c r="I397" s="83">
        <v>0.98</v>
      </c>
      <c r="J397" s="79">
        <v>17</v>
      </c>
      <c r="K397" s="79"/>
      <c r="L397" s="80">
        <v>0.303</v>
      </c>
      <c r="M397" s="80"/>
      <c r="N397" s="86">
        <v>197</v>
      </c>
      <c r="O397" s="86"/>
      <c r="P397" s="79">
        <v>1</v>
      </c>
      <c r="Q397" s="87"/>
    </row>
    <row r="398" ht="15" spans="1:17">
      <c r="A398" s="89">
        <v>43345</v>
      </c>
      <c r="B398" s="78"/>
      <c r="C398" s="79">
        <v>2</v>
      </c>
      <c r="D398" s="88"/>
      <c r="E398" s="79">
        <v>31</v>
      </c>
      <c r="F398" s="80">
        <v>0.2328</v>
      </c>
      <c r="G398" s="79">
        <v>28</v>
      </c>
      <c r="H398" s="80">
        <v>0.2328</v>
      </c>
      <c r="I398" s="83">
        <v>1</v>
      </c>
      <c r="J398" s="79">
        <v>15</v>
      </c>
      <c r="K398" s="79"/>
      <c r="L398" s="80">
        <v>0.1429</v>
      </c>
      <c r="M398" s="80"/>
      <c r="N398" s="86">
        <v>86</v>
      </c>
      <c r="O398" s="86"/>
      <c r="P398" s="79">
        <v>6</v>
      </c>
      <c r="Q398" s="87"/>
    </row>
    <row r="399" ht="15" spans="1:17">
      <c r="A399" s="89">
        <v>43345</v>
      </c>
      <c r="B399" s="78"/>
      <c r="C399" s="79">
        <v>3</v>
      </c>
      <c r="D399" s="88"/>
      <c r="E399" s="79">
        <v>98</v>
      </c>
      <c r="F399" s="80">
        <v>0.0431</v>
      </c>
      <c r="G399" s="79">
        <v>31</v>
      </c>
      <c r="H399" s="80">
        <v>0.0431</v>
      </c>
      <c r="I399" s="83">
        <v>1</v>
      </c>
      <c r="J399" s="79">
        <v>23</v>
      </c>
      <c r="K399" s="79"/>
      <c r="L399" s="80">
        <v>0</v>
      </c>
      <c r="M399" s="80"/>
      <c r="N399" s="86">
        <v>271</v>
      </c>
      <c r="O399" s="86"/>
      <c r="P399" s="79">
        <v>8</v>
      </c>
      <c r="Q399" s="87"/>
    </row>
    <row r="400" ht="15" spans="1:17">
      <c r="A400" s="89">
        <v>43345</v>
      </c>
      <c r="B400" s="78"/>
      <c r="C400" s="79">
        <v>1</v>
      </c>
      <c r="D400" s="88"/>
      <c r="E400" s="79">
        <v>83</v>
      </c>
      <c r="F400" s="80">
        <v>0.2155</v>
      </c>
      <c r="G400" s="79">
        <v>42</v>
      </c>
      <c r="H400" s="80">
        <v>0.2155</v>
      </c>
      <c r="I400" s="83">
        <v>1</v>
      </c>
      <c r="J400" s="79">
        <v>9</v>
      </c>
      <c r="K400" s="79"/>
      <c r="L400" s="80">
        <v>0.1765</v>
      </c>
      <c r="M400" s="80"/>
      <c r="N400" s="86">
        <v>364</v>
      </c>
      <c r="O400" s="86"/>
      <c r="P400" s="79">
        <v>1</v>
      </c>
      <c r="Q400" s="87"/>
    </row>
    <row r="401" ht="15" spans="1:17">
      <c r="A401" s="89">
        <v>43345</v>
      </c>
      <c r="B401" s="78"/>
      <c r="C401" s="79">
        <v>6</v>
      </c>
      <c r="D401" s="88"/>
      <c r="E401" s="79">
        <v>14</v>
      </c>
      <c r="F401" s="80">
        <v>0.0172</v>
      </c>
      <c r="G401" s="79">
        <v>11</v>
      </c>
      <c r="H401" s="80">
        <v>0.0172</v>
      </c>
      <c r="I401" s="83">
        <v>1</v>
      </c>
      <c r="J401" s="79">
        <v>24</v>
      </c>
      <c r="K401" s="79"/>
      <c r="L401" s="80">
        <v>0</v>
      </c>
      <c r="M401" s="80"/>
      <c r="N401" s="86">
        <v>432</v>
      </c>
      <c r="O401" s="86"/>
      <c r="P401" s="79">
        <v>6</v>
      </c>
      <c r="Q401" s="87"/>
    </row>
    <row r="402" ht="15" spans="1:17">
      <c r="A402" s="89">
        <v>43345</v>
      </c>
      <c r="B402" s="78"/>
      <c r="C402" s="79">
        <v>7</v>
      </c>
      <c r="D402" s="88"/>
      <c r="E402" s="79">
        <v>64</v>
      </c>
      <c r="F402" s="80">
        <v>0.0086</v>
      </c>
      <c r="G402" s="79">
        <v>15</v>
      </c>
      <c r="H402" s="80">
        <v>0.0086</v>
      </c>
      <c r="I402" s="83">
        <v>1</v>
      </c>
      <c r="J402" s="79">
        <v>23</v>
      </c>
      <c r="K402" s="79"/>
      <c r="L402" s="80">
        <v>0</v>
      </c>
      <c r="M402" s="80"/>
      <c r="N402" s="86">
        <v>190</v>
      </c>
      <c r="O402" s="86"/>
      <c r="P402" s="79">
        <v>18</v>
      </c>
      <c r="Q402" s="87"/>
    </row>
    <row r="403" ht="15" spans="1:17">
      <c r="A403" s="89">
        <v>43346</v>
      </c>
      <c r="B403" s="78"/>
      <c r="C403" s="79">
        <v>4</v>
      </c>
      <c r="D403" s="88"/>
      <c r="E403" s="79">
        <v>7</v>
      </c>
      <c r="F403" s="80">
        <v>0.0059</v>
      </c>
      <c r="G403" s="79">
        <v>42</v>
      </c>
      <c r="H403" s="80">
        <v>0.0059</v>
      </c>
      <c r="I403" s="83">
        <v>1</v>
      </c>
      <c r="J403" s="79">
        <v>22</v>
      </c>
      <c r="K403" s="79"/>
      <c r="L403" s="80">
        <v>0</v>
      </c>
      <c r="M403" s="80"/>
      <c r="N403" s="86">
        <v>395</v>
      </c>
      <c r="O403" s="86"/>
      <c r="P403" s="79">
        <v>15</v>
      </c>
      <c r="Q403" s="87"/>
    </row>
    <row r="404" ht="15" spans="1:17">
      <c r="A404" s="89">
        <v>43346</v>
      </c>
      <c r="B404" s="78"/>
      <c r="C404" s="79">
        <v>2</v>
      </c>
      <c r="D404" s="88"/>
      <c r="E404" s="79">
        <v>3</v>
      </c>
      <c r="F404" s="80">
        <v>0.1647</v>
      </c>
      <c r="G404" s="79">
        <v>80</v>
      </c>
      <c r="H404" s="80">
        <v>0.1647</v>
      </c>
      <c r="I404" s="83">
        <v>1</v>
      </c>
      <c r="J404" s="79">
        <v>8</v>
      </c>
      <c r="K404" s="79"/>
      <c r="L404" s="80">
        <v>0.15</v>
      </c>
      <c r="M404" s="80"/>
      <c r="N404" s="86">
        <v>136</v>
      </c>
      <c r="O404" s="86"/>
      <c r="P404" s="79">
        <v>10</v>
      </c>
      <c r="Q404" s="87"/>
    </row>
    <row r="405" ht="15" spans="1:17">
      <c r="A405" s="89">
        <v>43346</v>
      </c>
      <c r="B405" s="78"/>
      <c r="C405" s="79">
        <v>5</v>
      </c>
      <c r="D405" s="88"/>
      <c r="E405" s="79">
        <v>69</v>
      </c>
      <c r="F405" s="80">
        <v>0.4294</v>
      </c>
      <c r="G405" s="79">
        <v>70</v>
      </c>
      <c r="H405" s="80">
        <v>0.4294</v>
      </c>
      <c r="I405" s="83">
        <v>1</v>
      </c>
      <c r="J405" s="79">
        <v>1</v>
      </c>
      <c r="K405" s="79"/>
      <c r="L405" s="80">
        <v>0.2273</v>
      </c>
      <c r="M405" s="80"/>
      <c r="N405" s="86">
        <v>344</v>
      </c>
      <c r="O405" s="86"/>
      <c r="P405" s="79">
        <v>3</v>
      </c>
      <c r="Q405" s="87"/>
    </row>
    <row r="406" ht="15" spans="1:17">
      <c r="A406" s="89">
        <v>43346</v>
      </c>
      <c r="B406" s="78"/>
      <c r="C406" s="79">
        <v>3</v>
      </c>
      <c r="D406" s="88"/>
      <c r="E406" s="79">
        <v>7</v>
      </c>
      <c r="F406" s="80">
        <v>0.0529</v>
      </c>
      <c r="G406" s="79">
        <v>7</v>
      </c>
      <c r="H406" s="80">
        <v>0.0529</v>
      </c>
      <c r="I406" s="83">
        <v>1</v>
      </c>
      <c r="J406" s="79">
        <v>18</v>
      </c>
      <c r="K406" s="79"/>
      <c r="L406" s="80">
        <v>0</v>
      </c>
      <c r="M406" s="80"/>
      <c r="N406" s="86">
        <v>498</v>
      </c>
      <c r="O406" s="86"/>
      <c r="P406" s="79">
        <v>8</v>
      </c>
      <c r="Q406" s="87"/>
    </row>
    <row r="407" ht="15" spans="1:17">
      <c r="A407" s="89">
        <v>43346</v>
      </c>
      <c r="B407" s="78"/>
      <c r="C407" s="79">
        <v>1</v>
      </c>
      <c r="D407" s="88"/>
      <c r="E407" s="79">
        <v>48</v>
      </c>
      <c r="F407" s="80">
        <v>0.2706</v>
      </c>
      <c r="G407" s="79">
        <v>42</v>
      </c>
      <c r="H407" s="80">
        <v>0.2706</v>
      </c>
      <c r="I407" s="83">
        <v>1</v>
      </c>
      <c r="J407" s="79">
        <v>27</v>
      </c>
      <c r="K407" s="79"/>
      <c r="L407" s="80">
        <v>0.0345</v>
      </c>
      <c r="M407" s="80"/>
      <c r="N407" s="86">
        <v>258</v>
      </c>
      <c r="O407" s="86"/>
      <c r="P407" s="79">
        <v>13</v>
      </c>
      <c r="Q407" s="87"/>
    </row>
    <row r="408" ht="15" spans="1:17">
      <c r="A408" s="89">
        <v>43346</v>
      </c>
      <c r="B408" s="78"/>
      <c r="C408" s="79">
        <v>6</v>
      </c>
      <c r="D408" s="88"/>
      <c r="E408" s="79">
        <v>75</v>
      </c>
      <c r="F408" s="80">
        <v>0.0235</v>
      </c>
      <c r="G408" s="79">
        <v>51</v>
      </c>
      <c r="H408" s="80">
        <v>0.0235</v>
      </c>
      <c r="I408" s="83">
        <v>1</v>
      </c>
      <c r="J408" s="79">
        <v>8</v>
      </c>
      <c r="K408" s="79"/>
      <c r="L408" s="80">
        <v>0</v>
      </c>
      <c r="M408" s="80"/>
      <c r="N408" s="86">
        <v>352</v>
      </c>
      <c r="O408" s="86"/>
      <c r="P408" s="79">
        <v>15</v>
      </c>
      <c r="Q408" s="87"/>
    </row>
    <row r="409" ht="15" spans="1:17">
      <c r="A409" s="89">
        <v>43346</v>
      </c>
      <c r="B409" s="78"/>
      <c r="C409" s="79">
        <v>7</v>
      </c>
      <c r="D409" s="88"/>
      <c r="E409" s="79">
        <v>47</v>
      </c>
      <c r="F409" s="80">
        <v>0.0529</v>
      </c>
      <c r="G409" s="79">
        <v>30</v>
      </c>
      <c r="H409" s="80">
        <v>0.0529</v>
      </c>
      <c r="I409" s="83">
        <v>1</v>
      </c>
      <c r="J409" s="79">
        <v>27</v>
      </c>
      <c r="K409" s="79"/>
      <c r="L409" s="80">
        <v>0.125</v>
      </c>
      <c r="M409" s="80"/>
      <c r="N409" s="86">
        <v>151</v>
      </c>
      <c r="O409" s="86"/>
      <c r="P409" s="79">
        <v>0</v>
      </c>
      <c r="Q409" s="87"/>
    </row>
    <row r="410" ht="15" spans="1:17">
      <c r="A410" s="89">
        <v>43347</v>
      </c>
      <c r="B410" s="78"/>
      <c r="C410" s="79">
        <v>4</v>
      </c>
      <c r="D410" s="88"/>
      <c r="E410" s="79">
        <v>98</v>
      </c>
      <c r="F410" s="80">
        <v>0.0051</v>
      </c>
      <c r="G410" s="79">
        <v>46</v>
      </c>
      <c r="H410" s="80">
        <v>0.0051</v>
      </c>
      <c r="I410" s="83">
        <v>1</v>
      </c>
      <c r="J410" s="79">
        <v>13</v>
      </c>
      <c r="K410" s="79"/>
      <c r="L410" s="80">
        <v>0</v>
      </c>
      <c r="M410" s="80"/>
      <c r="N410" s="86">
        <v>446</v>
      </c>
      <c r="O410" s="86"/>
      <c r="P410" s="79">
        <v>7</v>
      </c>
      <c r="Q410" s="87"/>
    </row>
    <row r="411" ht="15" spans="1:17">
      <c r="A411" s="89">
        <v>43347</v>
      </c>
      <c r="B411" s="78"/>
      <c r="C411" s="79">
        <v>2</v>
      </c>
      <c r="D411" s="88"/>
      <c r="E411" s="79">
        <v>78</v>
      </c>
      <c r="F411" s="80">
        <v>0.1939</v>
      </c>
      <c r="G411" s="79">
        <v>90</v>
      </c>
      <c r="H411" s="80">
        <v>0.1939</v>
      </c>
      <c r="I411" s="83">
        <v>1</v>
      </c>
      <c r="J411" s="79">
        <v>2</v>
      </c>
      <c r="K411" s="79"/>
      <c r="L411" s="80">
        <v>0.25</v>
      </c>
      <c r="M411" s="80"/>
      <c r="N411" s="86">
        <v>394</v>
      </c>
      <c r="O411" s="86"/>
      <c r="P411" s="79">
        <v>9</v>
      </c>
      <c r="Q411" s="87"/>
    </row>
    <row r="412" ht="15" spans="1:17">
      <c r="A412" s="89">
        <v>43347</v>
      </c>
      <c r="B412" s="78"/>
      <c r="C412" s="79">
        <v>5</v>
      </c>
      <c r="D412" s="88"/>
      <c r="E412" s="79">
        <v>12</v>
      </c>
      <c r="F412" s="80">
        <v>0.4643</v>
      </c>
      <c r="G412" s="79">
        <v>90</v>
      </c>
      <c r="H412" s="80">
        <v>0.4643</v>
      </c>
      <c r="I412" s="83">
        <v>0.99</v>
      </c>
      <c r="J412" s="79">
        <v>28</v>
      </c>
      <c r="K412" s="79"/>
      <c r="L412" s="80">
        <v>0.3276</v>
      </c>
      <c r="M412" s="80"/>
      <c r="N412" s="86">
        <v>428</v>
      </c>
      <c r="O412" s="86"/>
      <c r="P412" s="79">
        <v>18</v>
      </c>
      <c r="Q412" s="87"/>
    </row>
    <row r="413" ht="15" spans="1:17">
      <c r="A413" s="89">
        <v>43347</v>
      </c>
      <c r="B413" s="78"/>
      <c r="C413" s="79">
        <v>3</v>
      </c>
      <c r="D413" s="88"/>
      <c r="E413" s="79">
        <v>74</v>
      </c>
      <c r="F413" s="80">
        <v>0.0765</v>
      </c>
      <c r="G413" s="79">
        <v>69</v>
      </c>
      <c r="H413" s="80">
        <v>0.0765</v>
      </c>
      <c r="I413" s="83">
        <v>1</v>
      </c>
      <c r="J413" s="79">
        <v>17</v>
      </c>
      <c r="K413" s="79"/>
      <c r="L413" s="80">
        <v>0.125</v>
      </c>
      <c r="M413" s="80"/>
      <c r="N413" s="86">
        <v>174</v>
      </c>
      <c r="O413" s="86"/>
      <c r="P413" s="79">
        <v>6</v>
      </c>
      <c r="Q413" s="87"/>
    </row>
    <row r="414" ht="15" spans="1:17">
      <c r="A414" s="89">
        <v>43347</v>
      </c>
      <c r="B414" s="78"/>
      <c r="C414" s="79">
        <v>1</v>
      </c>
      <c r="D414" s="88"/>
      <c r="E414" s="79">
        <v>87</v>
      </c>
      <c r="F414" s="80">
        <v>0.148</v>
      </c>
      <c r="G414" s="79">
        <v>75</v>
      </c>
      <c r="H414" s="80">
        <v>0.148</v>
      </c>
      <c r="I414" s="83">
        <v>1</v>
      </c>
      <c r="J414" s="79">
        <v>29</v>
      </c>
      <c r="K414" s="79"/>
      <c r="L414" s="80">
        <v>0.12</v>
      </c>
      <c r="M414" s="80"/>
      <c r="N414" s="86">
        <v>350</v>
      </c>
      <c r="O414" s="86"/>
      <c r="P414" s="79">
        <v>11</v>
      </c>
      <c r="Q414" s="87"/>
    </row>
    <row r="415" ht="15" spans="1:17">
      <c r="A415" s="89">
        <v>43347</v>
      </c>
      <c r="B415" s="78"/>
      <c r="C415" s="79">
        <v>6</v>
      </c>
      <c r="D415" s="88"/>
      <c r="E415" s="79">
        <v>53</v>
      </c>
      <c r="F415" s="80">
        <v>0.0255</v>
      </c>
      <c r="G415" s="79">
        <v>76</v>
      </c>
      <c r="H415" s="80">
        <v>0.0255</v>
      </c>
      <c r="I415" s="83">
        <v>1</v>
      </c>
      <c r="J415" s="79">
        <v>12</v>
      </c>
      <c r="K415" s="79"/>
      <c r="L415" s="80">
        <v>0</v>
      </c>
      <c r="M415" s="80"/>
      <c r="N415" s="86">
        <v>226</v>
      </c>
      <c r="O415" s="86"/>
      <c r="P415" s="79">
        <v>12</v>
      </c>
      <c r="Q415" s="87"/>
    </row>
    <row r="416" ht="15" spans="1:17">
      <c r="A416" s="89">
        <v>43347</v>
      </c>
      <c r="B416" s="78"/>
      <c r="C416" s="79">
        <v>7</v>
      </c>
      <c r="D416" s="88"/>
      <c r="E416" s="79">
        <v>28</v>
      </c>
      <c r="F416" s="80">
        <v>0.0867</v>
      </c>
      <c r="G416" s="79">
        <v>60</v>
      </c>
      <c r="H416" s="80">
        <v>0.0867</v>
      </c>
      <c r="I416" s="83">
        <v>1</v>
      </c>
      <c r="J416" s="79">
        <v>5</v>
      </c>
      <c r="K416" s="79"/>
      <c r="L416" s="80">
        <v>0</v>
      </c>
      <c r="M416" s="80"/>
      <c r="N416" s="86">
        <v>406</v>
      </c>
      <c r="O416" s="86"/>
      <c r="P416" s="79">
        <v>9</v>
      </c>
      <c r="Q416" s="87"/>
    </row>
    <row r="417" ht="15" spans="1:17">
      <c r="A417" s="89">
        <v>43348</v>
      </c>
      <c r="B417" s="78"/>
      <c r="C417" s="79">
        <v>2</v>
      </c>
      <c r="D417" s="88"/>
      <c r="E417" s="79">
        <v>76</v>
      </c>
      <c r="F417" s="80">
        <v>0.1624</v>
      </c>
      <c r="G417" s="79">
        <v>58</v>
      </c>
      <c r="H417" s="80">
        <v>0.1624</v>
      </c>
      <c r="I417" s="83">
        <v>0.97</v>
      </c>
      <c r="J417" s="79">
        <v>20</v>
      </c>
      <c r="K417" s="79"/>
      <c r="L417" s="80">
        <v>0</v>
      </c>
      <c r="M417" s="80"/>
      <c r="N417" s="86">
        <v>375</v>
      </c>
      <c r="O417" s="86"/>
      <c r="P417" s="79">
        <v>16</v>
      </c>
      <c r="Q417" s="87"/>
    </row>
    <row r="418" ht="15" spans="1:17">
      <c r="A418" s="89">
        <v>43348</v>
      </c>
      <c r="B418" s="78"/>
      <c r="C418" s="79">
        <v>5</v>
      </c>
      <c r="D418" s="88"/>
      <c r="E418" s="79">
        <v>41</v>
      </c>
      <c r="F418" s="80">
        <v>0.4467</v>
      </c>
      <c r="G418" s="79">
        <v>41</v>
      </c>
      <c r="H418" s="80">
        <v>0.4467</v>
      </c>
      <c r="I418" s="83">
        <v>0.98</v>
      </c>
      <c r="J418" s="79">
        <v>16</v>
      </c>
      <c r="K418" s="79"/>
      <c r="L418" s="80">
        <v>0.4655</v>
      </c>
      <c r="M418" s="80"/>
      <c r="N418" s="86">
        <v>405</v>
      </c>
      <c r="O418" s="86"/>
      <c r="P418" s="79">
        <v>3</v>
      </c>
      <c r="Q418" s="87"/>
    </row>
    <row r="419" ht="15" spans="1:17">
      <c r="A419" s="89">
        <v>43348</v>
      </c>
      <c r="B419" s="78"/>
      <c r="C419" s="79">
        <v>3</v>
      </c>
      <c r="D419" s="88"/>
      <c r="E419" s="79">
        <v>87</v>
      </c>
      <c r="F419" s="80">
        <v>0.0457</v>
      </c>
      <c r="G419" s="79">
        <v>68</v>
      </c>
      <c r="H419" s="80">
        <v>0.0457</v>
      </c>
      <c r="I419" s="83">
        <v>1</v>
      </c>
      <c r="J419" s="79">
        <v>23</v>
      </c>
      <c r="K419" s="79"/>
      <c r="L419" s="80">
        <v>0</v>
      </c>
      <c r="M419" s="80"/>
      <c r="N419" s="86">
        <v>290</v>
      </c>
      <c r="O419" s="86"/>
      <c r="P419" s="79">
        <v>15</v>
      </c>
      <c r="Q419" s="87"/>
    </row>
    <row r="420" ht="15" spans="1:17">
      <c r="A420" s="89">
        <v>43348</v>
      </c>
      <c r="B420" s="78"/>
      <c r="C420" s="79">
        <v>1</v>
      </c>
      <c r="D420" s="88"/>
      <c r="E420" s="79">
        <v>64</v>
      </c>
      <c r="F420" s="80">
        <v>0.2132</v>
      </c>
      <c r="G420" s="79">
        <v>25</v>
      </c>
      <c r="H420" s="80">
        <v>0.2132</v>
      </c>
      <c r="I420" s="83">
        <v>1</v>
      </c>
      <c r="J420" s="79">
        <v>24</v>
      </c>
      <c r="K420" s="79"/>
      <c r="L420" s="80">
        <v>0.0645</v>
      </c>
      <c r="M420" s="80"/>
      <c r="N420" s="86">
        <v>163</v>
      </c>
      <c r="O420" s="86"/>
      <c r="P420" s="79">
        <v>3</v>
      </c>
      <c r="Q420" s="87"/>
    </row>
    <row r="421" ht="15" spans="1:17">
      <c r="A421" s="89">
        <v>43348</v>
      </c>
      <c r="B421" s="78"/>
      <c r="C421" s="79">
        <v>6</v>
      </c>
      <c r="D421" s="88"/>
      <c r="E421" s="79">
        <v>51</v>
      </c>
      <c r="F421" s="80">
        <v>0.0152</v>
      </c>
      <c r="G421" s="79">
        <v>22</v>
      </c>
      <c r="H421" s="80">
        <v>0.0152</v>
      </c>
      <c r="I421" s="83">
        <v>1</v>
      </c>
      <c r="J421" s="79">
        <v>26</v>
      </c>
      <c r="K421" s="79"/>
      <c r="L421" s="80">
        <v>0</v>
      </c>
      <c r="M421" s="80"/>
      <c r="N421" s="86">
        <v>104</v>
      </c>
      <c r="O421" s="86"/>
      <c r="P421" s="79">
        <v>10</v>
      </c>
      <c r="Q421" s="87"/>
    </row>
    <row r="422" ht="15" spans="1:17">
      <c r="A422" s="89">
        <v>43348</v>
      </c>
      <c r="B422" s="78"/>
      <c r="C422" s="79">
        <v>7</v>
      </c>
      <c r="D422" s="88"/>
      <c r="E422" s="79">
        <v>1</v>
      </c>
      <c r="F422" s="80">
        <v>0.1168</v>
      </c>
      <c r="G422" s="79">
        <v>45</v>
      </c>
      <c r="H422" s="80">
        <v>0.1168</v>
      </c>
      <c r="I422" s="83">
        <v>0.96</v>
      </c>
      <c r="J422" s="79">
        <v>21</v>
      </c>
      <c r="K422" s="79"/>
      <c r="L422" s="80">
        <v>0.0556</v>
      </c>
      <c r="M422" s="80"/>
      <c r="N422" s="86">
        <v>389</v>
      </c>
      <c r="O422" s="86"/>
      <c r="P422" s="79">
        <v>17</v>
      </c>
      <c r="Q422" s="87"/>
    </row>
    <row r="423" ht="15" spans="1:17">
      <c r="A423" s="89">
        <v>43349</v>
      </c>
      <c r="B423" s="78"/>
      <c r="C423" s="79">
        <v>2</v>
      </c>
      <c r="D423" s="88"/>
      <c r="E423" s="79">
        <v>93</v>
      </c>
      <c r="F423" s="80">
        <v>0.1806</v>
      </c>
      <c r="G423" s="79">
        <v>16</v>
      </c>
      <c r="H423" s="80">
        <v>0.1806</v>
      </c>
      <c r="I423" s="83">
        <v>1</v>
      </c>
      <c r="J423" s="79">
        <v>3</v>
      </c>
      <c r="K423" s="79"/>
      <c r="L423" s="80">
        <v>0</v>
      </c>
      <c r="M423" s="80"/>
      <c r="N423" s="86">
        <v>201</v>
      </c>
      <c r="O423" s="86"/>
      <c r="P423" s="79">
        <v>11</v>
      </c>
      <c r="Q423" s="87"/>
    </row>
    <row r="424" ht="15" spans="1:17">
      <c r="A424" s="89">
        <v>43349</v>
      </c>
      <c r="B424" s="78"/>
      <c r="C424" s="79">
        <v>5</v>
      </c>
      <c r="D424" s="88"/>
      <c r="E424" s="79">
        <v>54</v>
      </c>
      <c r="F424" s="80">
        <v>0.5</v>
      </c>
      <c r="G424" s="79">
        <v>6</v>
      </c>
      <c r="H424" s="80">
        <v>0.5</v>
      </c>
      <c r="I424" s="83">
        <v>0.99</v>
      </c>
      <c r="J424" s="79">
        <v>30</v>
      </c>
      <c r="K424" s="79"/>
      <c r="L424" s="80">
        <v>0.1915</v>
      </c>
      <c r="M424" s="80"/>
      <c r="N424" s="86">
        <v>412</v>
      </c>
      <c r="O424" s="86"/>
      <c r="P424" s="79">
        <v>17</v>
      </c>
      <c r="Q424" s="87"/>
    </row>
    <row r="425" ht="15" spans="1:17">
      <c r="A425" s="89">
        <v>43349</v>
      </c>
      <c r="B425" s="78"/>
      <c r="C425" s="79">
        <v>3</v>
      </c>
      <c r="D425" s="88"/>
      <c r="E425" s="79">
        <v>29</v>
      </c>
      <c r="F425" s="80">
        <v>0.0486</v>
      </c>
      <c r="G425" s="79">
        <v>68</v>
      </c>
      <c r="H425" s="80">
        <v>0.0486</v>
      </c>
      <c r="I425" s="83">
        <v>1</v>
      </c>
      <c r="J425" s="79">
        <v>7</v>
      </c>
      <c r="K425" s="79"/>
      <c r="L425" s="80">
        <v>0</v>
      </c>
      <c r="M425" s="80"/>
      <c r="N425" s="86">
        <v>211</v>
      </c>
      <c r="O425" s="86"/>
      <c r="P425" s="79">
        <v>18</v>
      </c>
      <c r="Q425" s="87"/>
    </row>
    <row r="426" ht="15" spans="1:17">
      <c r="A426" s="89">
        <v>43349</v>
      </c>
      <c r="B426" s="78"/>
      <c r="C426" s="79">
        <v>1</v>
      </c>
      <c r="D426" s="88"/>
      <c r="E426" s="79">
        <v>40</v>
      </c>
      <c r="F426" s="80">
        <v>0.1806</v>
      </c>
      <c r="G426" s="79">
        <v>58</v>
      </c>
      <c r="H426" s="80">
        <v>0.1806</v>
      </c>
      <c r="I426" s="83">
        <v>1</v>
      </c>
      <c r="J426" s="79">
        <v>15</v>
      </c>
      <c r="K426" s="79"/>
      <c r="L426" s="80">
        <v>0.0952</v>
      </c>
      <c r="M426" s="80"/>
      <c r="N426" s="86">
        <v>81</v>
      </c>
      <c r="O426" s="86"/>
      <c r="P426" s="79">
        <v>10</v>
      </c>
      <c r="Q426" s="87"/>
    </row>
    <row r="427" ht="15" spans="1:17">
      <c r="A427" s="89">
        <v>43349</v>
      </c>
      <c r="B427" s="78"/>
      <c r="C427" s="79">
        <v>6</v>
      </c>
      <c r="D427" s="88"/>
      <c r="E427" s="79">
        <v>76</v>
      </c>
      <c r="F427" s="80">
        <v>0.0139</v>
      </c>
      <c r="G427" s="79">
        <v>31</v>
      </c>
      <c r="H427" s="80">
        <v>0.0139</v>
      </c>
      <c r="I427" s="83">
        <v>1</v>
      </c>
      <c r="J427" s="79">
        <v>4</v>
      </c>
      <c r="K427" s="79"/>
      <c r="L427" s="80">
        <v>0</v>
      </c>
      <c r="M427" s="80"/>
      <c r="N427" s="86">
        <v>431</v>
      </c>
      <c r="O427" s="86"/>
      <c r="P427" s="79">
        <v>13</v>
      </c>
      <c r="Q427" s="87"/>
    </row>
    <row r="428" ht="15" spans="1:17">
      <c r="A428" s="89">
        <v>43349</v>
      </c>
      <c r="B428" s="78"/>
      <c r="C428" s="79">
        <v>7</v>
      </c>
      <c r="D428" s="88"/>
      <c r="E428" s="79">
        <v>8</v>
      </c>
      <c r="F428" s="80">
        <v>0.0764</v>
      </c>
      <c r="G428" s="79">
        <v>93</v>
      </c>
      <c r="H428" s="80">
        <v>0.0764</v>
      </c>
      <c r="I428" s="83">
        <v>1</v>
      </c>
      <c r="J428" s="79">
        <v>22</v>
      </c>
      <c r="K428" s="79"/>
      <c r="L428" s="80">
        <v>0</v>
      </c>
      <c r="M428" s="80"/>
      <c r="N428" s="86">
        <v>467</v>
      </c>
      <c r="O428" s="86"/>
      <c r="P428" s="79">
        <v>19</v>
      </c>
      <c r="Q428" s="87"/>
    </row>
    <row r="429" ht="15" spans="1:17">
      <c r="A429" s="89">
        <v>43350</v>
      </c>
      <c r="B429" s="78"/>
      <c r="C429" s="79">
        <v>2</v>
      </c>
      <c r="D429" s="88"/>
      <c r="E429" s="79">
        <v>85</v>
      </c>
      <c r="F429" s="80">
        <v>0.2426</v>
      </c>
      <c r="G429" s="79">
        <v>56</v>
      </c>
      <c r="H429" s="80">
        <v>0.2426</v>
      </c>
      <c r="I429" s="83">
        <v>1</v>
      </c>
      <c r="J429" s="79">
        <v>16</v>
      </c>
      <c r="K429" s="79"/>
      <c r="L429" s="80">
        <v>0.125</v>
      </c>
      <c r="M429" s="80"/>
      <c r="N429" s="86">
        <v>364</v>
      </c>
      <c r="O429" s="86"/>
      <c r="P429" s="79">
        <v>9</v>
      </c>
      <c r="Q429" s="87"/>
    </row>
    <row r="430" ht="15" spans="1:17">
      <c r="A430" s="89">
        <v>43350</v>
      </c>
      <c r="B430" s="78"/>
      <c r="C430" s="79">
        <v>5</v>
      </c>
      <c r="D430" s="88"/>
      <c r="E430" s="79">
        <v>93</v>
      </c>
      <c r="F430" s="80">
        <v>0.3432</v>
      </c>
      <c r="G430" s="79">
        <v>68</v>
      </c>
      <c r="H430" s="80">
        <v>0.3432</v>
      </c>
      <c r="I430" s="83">
        <v>1</v>
      </c>
      <c r="J430" s="79">
        <v>18</v>
      </c>
      <c r="K430" s="79"/>
      <c r="L430" s="80">
        <v>0.2391</v>
      </c>
      <c r="M430" s="80"/>
      <c r="N430" s="86">
        <v>159</v>
      </c>
      <c r="O430" s="86"/>
      <c r="P430" s="79">
        <v>16</v>
      </c>
      <c r="Q430" s="87"/>
    </row>
    <row r="431" ht="15" spans="1:17">
      <c r="A431" s="89">
        <v>43350</v>
      </c>
      <c r="B431" s="78"/>
      <c r="C431" s="79">
        <v>3</v>
      </c>
      <c r="D431" s="88"/>
      <c r="E431" s="79">
        <v>45</v>
      </c>
      <c r="F431" s="80">
        <v>0.0769</v>
      </c>
      <c r="G431" s="79">
        <v>80</v>
      </c>
      <c r="H431" s="80">
        <v>0.0769</v>
      </c>
      <c r="I431" s="83">
        <v>1</v>
      </c>
      <c r="J431" s="79">
        <v>7</v>
      </c>
      <c r="K431" s="79"/>
      <c r="L431" s="80">
        <v>0.0909</v>
      </c>
      <c r="M431" s="80"/>
      <c r="N431" s="86">
        <v>393</v>
      </c>
      <c r="O431" s="86"/>
      <c r="P431" s="79">
        <v>6</v>
      </c>
      <c r="Q431" s="87"/>
    </row>
    <row r="432" ht="15" spans="1:17">
      <c r="A432" s="89">
        <v>43350</v>
      </c>
      <c r="B432" s="78"/>
      <c r="C432" s="79">
        <v>1</v>
      </c>
      <c r="D432" s="88"/>
      <c r="E432" s="79">
        <v>34</v>
      </c>
      <c r="F432" s="80">
        <v>0.1538</v>
      </c>
      <c r="G432" s="79">
        <v>88</v>
      </c>
      <c r="H432" s="80">
        <v>0.1538</v>
      </c>
      <c r="I432" s="83">
        <v>1</v>
      </c>
      <c r="J432" s="79">
        <v>14</v>
      </c>
      <c r="K432" s="79"/>
      <c r="L432" s="80">
        <v>0.1429</v>
      </c>
      <c r="M432" s="80"/>
      <c r="N432" s="86">
        <v>282</v>
      </c>
      <c r="O432" s="86"/>
      <c r="P432" s="79">
        <v>17</v>
      </c>
      <c r="Q432" s="87"/>
    </row>
    <row r="433" ht="15" spans="1:17">
      <c r="A433" s="89">
        <v>43350</v>
      </c>
      <c r="B433" s="78"/>
      <c r="C433" s="79">
        <v>6</v>
      </c>
      <c r="D433" s="88"/>
      <c r="E433" s="79">
        <v>34</v>
      </c>
      <c r="F433" s="80">
        <v>0.0414</v>
      </c>
      <c r="G433" s="79">
        <v>15</v>
      </c>
      <c r="H433" s="80">
        <v>0.0414</v>
      </c>
      <c r="I433" s="83">
        <v>1</v>
      </c>
      <c r="J433" s="79">
        <v>6</v>
      </c>
      <c r="K433" s="79"/>
      <c r="L433" s="80">
        <v>0</v>
      </c>
      <c r="M433" s="80"/>
      <c r="N433" s="86">
        <v>108</v>
      </c>
      <c r="O433" s="86"/>
      <c r="P433" s="79">
        <v>15</v>
      </c>
      <c r="Q433" s="87"/>
    </row>
    <row r="434" ht="15" spans="1:17">
      <c r="A434" s="89">
        <v>43350</v>
      </c>
      <c r="B434" s="78"/>
      <c r="C434" s="79">
        <v>7</v>
      </c>
      <c r="D434" s="88"/>
      <c r="E434" s="79">
        <v>25</v>
      </c>
      <c r="F434" s="80">
        <v>0.142</v>
      </c>
      <c r="G434" s="79">
        <v>84</v>
      </c>
      <c r="H434" s="80">
        <v>0.142</v>
      </c>
      <c r="I434" s="83">
        <v>1</v>
      </c>
      <c r="J434" s="79">
        <v>10</v>
      </c>
      <c r="K434" s="79"/>
      <c r="L434" s="80">
        <v>0.05</v>
      </c>
      <c r="M434" s="80"/>
      <c r="N434" s="86">
        <v>126</v>
      </c>
      <c r="O434" s="86"/>
      <c r="P434" s="79">
        <v>11</v>
      </c>
      <c r="Q434" s="87"/>
    </row>
    <row r="435" ht="15" spans="1:17">
      <c r="A435" s="89">
        <v>43351</v>
      </c>
      <c r="B435" s="78"/>
      <c r="C435" s="79">
        <v>4</v>
      </c>
      <c r="D435" s="88"/>
      <c r="E435" s="79">
        <v>87</v>
      </c>
      <c r="F435" s="80">
        <v>0.016</v>
      </c>
      <c r="G435" s="79">
        <v>22</v>
      </c>
      <c r="H435" s="80">
        <v>0.016</v>
      </c>
      <c r="I435" s="83">
        <v>1</v>
      </c>
      <c r="J435" s="79">
        <v>15</v>
      </c>
      <c r="K435" s="79"/>
      <c r="L435" s="80">
        <v>0</v>
      </c>
      <c r="M435" s="80"/>
      <c r="N435" s="86">
        <v>153</v>
      </c>
      <c r="O435" s="86"/>
      <c r="P435" s="79">
        <v>5</v>
      </c>
      <c r="Q435" s="87"/>
    </row>
    <row r="436" ht="15" spans="1:17">
      <c r="A436" s="89">
        <v>43351</v>
      </c>
      <c r="B436" s="78"/>
      <c r="C436" s="79">
        <v>2</v>
      </c>
      <c r="D436" s="88"/>
      <c r="E436" s="79">
        <v>27</v>
      </c>
      <c r="F436" s="80">
        <v>0.1649</v>
      </c>
      <c r="G436" s="79">
        <v>68</v>
      </c>
      <c r="H436" s="80">
        <v>0.1649</v>
      </c>
      <c r="I436" s="83">
        <v>1</v>
      </c>
      <c r="J436" s="79">
        <v>14</v>
      </c>
      <c r="K436" s="79"/>
      <c r="L436" s="80">
        <v>0.0476</v>
      </c>
      <c r="M436" s="80"/>
      <c r="N436" s="86">
        <v>325</v>
      </c>
      <c r="O436" s="86"/>
      <c r="P436" s="79">
        <v>9</v>
      </c>
      <c r="Q436" s="87"/>
    </row>
    <row r="437" ht="15" spans="1:17">
      <c r="A437" s="89">
        <v>43351</v>
      </c>
      <c r="B437" s="78"/>
      <c r="C437" s="79">
        <v>5</v>
      </c>
      <c r="D437" s="88"/>
      <c r="E437" s="79">
        <v>18</v>
      </c>
      <c r="F437" s="80">
        <v>0.5106</v>
      </c>
      <c r="G437" s="79">
        <v>9</v>
      </c>
      <c r="H437" s="80">
        <v>0.5106</v>
      </c>
      <c r="I437" s="83">
        <v>0.99</v>
      </c>
      <c r="J437" s="79">
        <v>30</v>
      </c>
      <c r="K437" s="79"/>
      <c r="L437" s="80">
        <v>0.2154</v>
      </c>
      <c r="M437" s="80"/>
      <c r="N437" s="86">
        <v>142</v>
      </c>
      <c r="O437" s="86"/>
      <c r="P437" s="79">
        <v>7</v>
      </c>
      <c r="Q437" s="87"/>
    </row>
    <row r="438" ht="15" spans="1:17">
      <c r="A438" s="89">
        <v>43351</v>
      </c>
      <c r="B438" s="78"/>
      <c r="C438" s="79">
        <v>3</v>
      </c>
      <c r="D438" s="88"/>
      <c r="E438" s="79">
        <v>18</v>
      </c>
      <c r="F438" s="80">
        <v>0.0266</v>
      </c>
      <c r="G438" s="79">
        <v>26</v>
      </c>
      <c r="H438" s="80">
        <v>0.0266</v>
      </c>
      <c r="I438" s="83">
        <v>1</v>
      </c>
      <c r="J438" s="79">
        <v>25</v>
      </c>
      <c r="K438" s="79"/>
      <c r="L438" s="80">
        <v>0</v>
      </c>
      <c r="M438" s="80"/>
      <c r="N438" s="86">
        <v>251</v>
      </c>
      <c r="O438" s="86"/>
      <c r="P438" s="79">
        <v>9</v>
      </c>
      <c r="Q438" s="87"/>
    </row>
    <row r="439" ht="15" spans="1:17">
      <c r="A439" s="89">
        <v>43351</v>
      </c>
      <c r="B439" s="78"/>
      <c r="C439" s="79">
        <v>1</v>
      </c>
      <c r="D439" s="88"/>
      <c r="E439" s="79">
        <v>94</v>
      </c>
      <c r="F439" s="80">
        <v>0.1596</v>
      </c>
      <c r="G439" s="79">
        <v>69</v>
      </c>
      <c r="H439" s="80">
        <v>0.1596</v>
      </c>
      <c r="I439" s="83">
        <v>1</v>
      </c>
      <c r="J439" s="79">
        <v>28</v>
      </c>
      <c r="K439" s="79"/>
      <c r="L439" s="80">
        <v>0.2174</v>
      </c>
      <c r="M439" s="80"/>
      <c r="N439" s="86">
        <v>399</v>
      </c>
      <c r="O439" s="86"/>
      <c r="P439" s="79">
        <v>12</v>
      </c>
      <c r="Q439" s="87"/>
    </row>
    <row r="440" ht="15" spans="1:17">
      <c r="A440" s="89">
        <v>43351</v>
      </c>
      <c r="B440" s="78"/>
      <c r="C440" s="79">
        <v>6</v>
      </c>
      <c r="D440" s="88"/>
      <c r="E440" s="79">
        <v>99</v>
      </c>
      <c r="F440" s="80">
        <v>0.0106</v>
      </c>
      <c r="G440" s="79">
        <v>79</v>
      </c>
      <c r="H440" s="80">
        <v>0.0106</v>
      </c>
      <c r="I440" s="83">
        <v>1</v>
      </c>
      <c r="J440" s="79">
        <v>22</v>
      </c>
      <c r="K440" s="79"/>
      <c r="L440" s="80">
        <v>0</v>
      </c>
      <c r="M440" s="80"/>
      <c r="N440" s="86">
        <v>199</v>
      </c>
      <c r="O440" s="86"/>
      <c r="P440" s="79">
        <v>7</v>
      </c>
      <c r="Q440" s="87"/>
    </row>
    <row r="441" ht="15" spans="1:17">
      <c r="A441" s="89">
        <v>43351</v>
      </c>
      <c r="B441" s="78"/>
      <c r="C441" s="79">
        <v>7</v>
      </c>
      <c r="D441" s="88"/>
      <c r="E441" s="79">
        <v>31</v>
      </c>
      <c r="F441" s="80">
        <v>0.1117</v>
      </c>
      <c r="G441" s="79">
        <v>62</v>
      </c>
      <c r="H441" s="80">
        <v>0.1117</v>
      </c>
      <c r="I441" s="83">
        <v>1</v>
      </c>
      <c r="J441" s="79">
        <v>14</v>
      </c>
      <c r="K441" s="79"/>
      <c r="L441" s="80">
        <v>0.1176</v>
      </c>
      <c r="M441" s="80"/>
      <c r="N441" s="86">
        <v>410</v>
      </c>
      <c r="O441" s="86"/>
      <c r="P441" s="79">
        <v>7</v>
      </c>
      <c r="Q441" s="87"/>
    </row>
    <row r="442" ht="15" spans="1:17">
      <c r="A442" s="89">
        <v>43352</v>
      </c>
      <c r="B442" s="78"/>
      <c r="C442" s="79">
        <v>4</v>
      </c>
      <c r="D442" s="88"/>
      <c r="E442" s="79">
        <v>40</v>
      </c>
      <c r="F442" s="80">
        <v>0.0343</v>
      </c>
      <c r="G442" s="79">
        <v>14</v>
      </c>
      <c r="H442" s="80">
        <v>0.0343</v>
      </c>
      <c r="I442" s="83">
        <v>1</v>
      </c>
      <c r="J442" s="79">
        <v>4</v>
      </c>
      <c r="K442" s="79"/>
      <c r="L442" s="80">
        <v>0</v>
      </c>
      <c r="M442" s="80"/>
      <c r="N442" s="86">
        <v>488</v>
      </c>
      <c r="O442" s="86"/>
      <c r="P442" s="79">
        <v>2</v>
      </c>
      <c r="Q442" s="87"/>
    </row>
    <row r="443" ht="15" spans="1:17">
      <c r="A443" s="89">
        <v>43352</v>
      </c>
      <c r="B443" s="78"/>
      <c r="C443" s="79">
        <v>2</v>
      </c>
      <c r="D443" s="88"/>
      <c r="E443" s="79">
        <v>83</v>
      </c>
      <c r="F443" s="80">
        <v>0.1314</v>
      </c>
      <c r="G443" s="79">
        <v>23</v>
      </c>
      <c r="H443" s="80">
        <v>0.1314</v>
      </c>
      <c r="I443" s="83">
        <v>1</v>
      </c>
      <c r="J443" s="79">
        <v>8</v>
      </c>
      <c r="K443" s="79"/>
      <c r="L443" s="80">
        <v>0.0667</v>
      </c>
      <c r="M443" s="80"/>
      <c r="N443" s="86">
        <v>114</v>
      </c>
      <c r="O443" s="86"/>
      <c r="P443" s="79">
        <v>17</v>
      </c>
      <c r="Q443" s="87"/>
    </row>
    <row r="444" ht="15" spans="1:17">
      <c r="A444" s="89">
        <v>43352</v>
      </c>
      <c r="B444" s="78"/>
      <c r="C444" s="79">
        <v>5</v>
      </c>
      <c r="D444" s="88"/>
      <c r="E444" s="79">
        <v>86</v>
      </c>
      <c r="F444" s="80">
        <v>0.4514</v>
      </c>
      <c r="G444" s="79">
        <v>12</v>
      </c>
      <c r="H444" s="80">
        <v>0.4514</v>
      </c>
      <c r="I444" s="83">
        <v>0.96</v>
      </c>
      <c r="J444" s="79">
        <v>3</v>
      </c>
      <c r="K444" s="79"/>
      <c r="L444" s="80">
        <v>0.1489</v>
      </c>
      <c r="M444" s="80"/>
      <c r="N444" s="86">
        <v>492</v>
      </c>
      <c r="O444" s="86"/>
      <c r="P444" s="79">
        <v>14</v>
      </c>
      <c r="Q444" s="87"/>
    </row>
    <row r="445" ht="15" spans="1:17">
      <c r="A445" s="89">
        <v>43352</v>
      </c>
      <c r="B445" s="78"/>
      <c r="C445" s="79">
        <v>3</v>
      </c>
      <c r="D445" s="88"/>
      <c r="E445" s="79">
        <v>29</v>
      </c>
      <c r="F445" s="80">
        <v>0.0229</v>
      </c>
      <c r="G445" s="79">
        <v>19</v>
      </c>
      <c r="H445" s="80">
        <v>0.0229</v>
      </c>
      <c r="I445" s="83">
        <v>1</v>
      </c>
      <c r="J445" s="79">
        <v>6</v>
      </c>
      <c r="K445" s="79"/>
      <c r="L445" s="80">
        <v>0</v>
      </c>
      <c r="M445" s="80"/>
      <c r="N445" s="86">
        <v>231</v>
      </c>
      <c r="O445" s="86"/>
      <c r="P445" s="79">
        <v>7</v>
      </c>
      <c r="Q445" s="87"/>
    </row>
    <row r="446" ht="15" spans="1:17">
      <c r="A446" s="89">
        <v>43352</v>
      </c>
      <c r="B446" s="78"/>
      <c r="C446" s="79">
        <v>1</v>
      </c>
      <c r="D446" s="88"/>
      <c r="E446" s="79">
        <v>77</v>
      </c>
      <c r="F446" s="80">
        <v>0.1257</v>
      </c>
      <c r="G446" s="79">
        <v>51</v>
      </c>
      <c r="H446" s="80">
        <v>0.1257</v>
      </c>
      <c r="I446" s="83">
        <v>1</v>
      </c>
      <c r="J446" s="79">
        <v>25</v>
      </c>
      <c r="K446" s="79"/>
      <c r="L446" s="80">
        <v>0</v>
      </c>
      <c r="M446" s="80"/>
      <c r="N446" s="86">
        <v>482</v>
      </c>
      <c r="O446" s="86"/>
      <c r="P446" s="79">
        <v>15</v>
      </c>
      <c r="Q446" s="87"/>
    </row>
    <row r="447" ht="15" spans="1:17">
      <c r="A447" s="89">
        <v>43352</v>
      </c>
      <c r="B447" s="78"/>
      <c r="C447" s="79">
        <v>6</v>
      </c>
      <c r="D447" s="88"/>
      <c r="E447" s="79">
        <v>15</v>
      </c>
      <c r="F447" s="80">
        <v>0.0857</v>
      </c>
      <c r="G447" s="79">
        <v>86</v>
      </c>
      <c r="H447" s="80">
        <v>0.0857</v>
      </c>
      <c r="I447" s="83">
        <v>1</v>
      </c>
      <c r="J447" s="79">
        <v>4</v>
      </c>
      <c r="K447" s="79"/>
      <c r="L447" s="80">
        <v>0.25</v>
      </c>
      <c r="M447" s="80"/>
      <c r="N447" s="86">
        <v>476</v>
      </c>
      <c r="O447" s="86"/>
      <c r="P447" s="79">
        <v>5</v>
      </c>
      <c r="Q447" s="87"/>
    </row>
    <row r="448" ht="15" spans="1:17">
      <c r="A448" s="89">
        <v>43352</v>
      </c>
      <c r="B448" s="78"/>
      <c r="C448" s="79">
        <v>7</v>
      </c>
      <c r="D448" s="88"/>
      <c r="E448" s="79">
        <v>4</v>
      </c>
      <c r="F448" s="80">
        <v>0.1486</v>
      </c>
      <c r="G448" s="79">
        <v>12</v>
      </c>
      <c r="H448" s="80">
        <v>0.1486</v>
      </c>
      <c r="I448" s="83">
        <v>0.92</v>
      </c>
      <c r="J448" s="79">
        <v>21</v>
      </c>
      <c r="K448" s="79"/>
      <c r="L448" s="80">
        <v>0.0476</v>
      </c>
      <c r="M448" s="80"/>
      <c r="N448" s="86">
        <v>152</v>
      </c>
      <c r="O448" s="86"/>
      <c r="P448" s="79">
        <v>16</v>
      </c>
      <c r="Q448" s="87"/>
    </row>
    <row r="449" ht="15" spans="1:17">
      <c r="A449" s="89">
        <v>43353</v>
      </c>
      <c r="B449" s="78"/>
      <c r="C449" s="79">
        <v>5</v>
      </c>
      <c r="D449" s="88"/>
      <c r="E449" s="79">
        <v>44</v>
      </c>
      <c r="F449" s="80">
        <v>0.3918</v>
      </c>
      <c r="G449" s="79">
        <v>68</v>
      </c>
      <c r="H449" s="80">
        <v>0.3918</v>
      </c>
      <c r="I449" s="83">
        <v>0.97</v>
      </c>
      <c r="J449" s="79">
        <v>6</v>
      </c>
      <c r="K449" s="79"/>
      <c r="L449" s="80">
        <v>0.78</v>
      </c>
      <c r="M449" s="80"/>
      <c r="N449" s="86">
        <v>342</v>
      </c>
      <c r="O449" s="86"/>
      <c r="P449" s="79">
        <v>7</v>
      </c>
      <c r="Q449" s="87"/>
    </row>
    <row r="450" ht="15" spans="1:17">
      <c r="A450" s="89">
        <v>43353</v>
      </c>
      <c r="B450" s="78"/>
      <c r="C450" s="79">
        <v>4</v>
      </c>
      <c r="D450" s="88"/>
      <c r="E450" s="79">
        <v>34</v>
      </c>
      <c r="F450" s="80">
        <v>0.0103</v>
      </c>
      <c r="G450" s="79">
        <v>49</v>
      </c>
      <c r="H450" s="80">
        <v>0.0103</v>
      </c>
      <c r="I450" s="83">
        <v>1</v>
      </c>
      <c r="J450" s="79">
        <v>0</v>
      </c>
      <c r="K450" s="79"/>
      <c r="L450" s="80">
        <v>0</v>
      </c>
      <c r="M450" s="80"/>
      <c r="N450" s="86">
        <v>151</v>
      </c>
      <c r="O450" s="86"/>
      <c r="P450" s="79">
        <v>3</v>
      </c>
      <c r="Q450" s="87"/>
    </row>
    <row r="451" ht="15" spans="1:17">
      <c r="A451" s="89">
        <v>43353</v>
      </c>
      <c r="B451" s="78"/>
      <c r="C451" s="79">
        <v>2</v>
      </c>
      <c r="D451" s="88"/>
      <c r="E451" s="79">
        <v>35</v>
      </c>
      <c r="F451" s="80">
        <v>0.1186</v>
      </c>
      <c r="G451" s="79">
        <v>57</v>
      </c>
      <c r="H451" s="80">
        <v>0.1186</v>
      </c>
      <c r="I451" s="83">
        <v>1</v>
      </c>
      <c r="J451" s="79">
        <v>20</v>
      </c>
      <c r="K451" s="79"/>
      <c r="L451" s="80">
        <v>0.3077</v>
      </c>
      <c r="M451" s="80"/>
      <c r="N451" s="86">
        <v>144</v>
      </c>
      <c r="O451" s="86"/>
      <c r="P451" s="79">
        <v>2</v>
      </c>
      <c r="Q451" s="87"/>
    </row>
    <row r="452" ht="15" spans="1:17">
      <c r="A452" s="89">
        <v>43353</v>
      </c>
      <c r="B452" s="78"/>
      <c r="C452" s="79">
        <v>3</v>
      </c>
      <c r="D452" s="88"/>
      <c r="E452" s="79">
        <v>87</v>
      </c>
      <c r="F452" s="80">
        <v>0.0206</v>
      </c>
      <c r="G452" s="79">
        <v>37</v>
      </c>
      <c r="H452" s="80">
        <v>0.0206</v>
      </c>
      <c r="I452" s="83">
        <v>1</v>
      </c>
      <c r="J452" s="79">
        <v>4</v>
      </c>
      <c r="K452" s="79"/>
      <c r="L452" s="80">
        <v>0</v>
      </c>
      <c r="M452" s="80"/>
      <c r="N452" s="86">
        <v>368</v>
      </c>
      <c r="O452" s="86"/>
      <c r="P452" s="79">
        <v>11</v>
      </c>
      <c r="Q452" s="87"/>
    </row>
    <row r="453" ht="15" spans="1:17">
      <c r="A453" s="89">
        <v>43353</v>
      </c>
      <c r="B453" s="78"/>
      <c r="C453" s="79">
        <v>1</v>
      </c>
      <c r="D453" s="88"/>
      <c r="E453" s="79">
        <v>39</v>
      </c>
      <c r="F453" s="80">
        <v>0.232</v>
      </c>
      <c r="G453" s="79">
        <v>11</v>
      </c>
      <c r="H453" s="80">
        <v>0.232</v>
      </c>
      <c r="I453" s="83">
        <v>1</v>
      </c>
      <c r="J453" s="79">
        <v>7</v>
      </c>
      <c r="K453" s="79"/>
      <c r="L453" s="80">
        <v>0.0606</v>
      </c>
      <c r="M453" s="80"/>
      <c r="N453" s="86">
        <v>482</v>
      </c>
      <c r="O453" s="86"/>
      <c r="P453" s="79">
        <v>18</v>
      </c>
      <c r="Q453" s="87"/>
    </row>
    <row r="454" ht="15" spans="1:17">
      <c r="A454" s="89">
        <v>43353</v>
      </c>
      <c r="B454" s="78"/>
      <c r="C454" s="79">
        <v>6</v>
      </c>
      <c r="D454" s="88"/>
      <c r="E454" s="79">
        <v>87</v>
      </c>
      <c r="F454" s="80">
        <v>0.0825</v>
      </c>
      <c r="G454" s="79">
        <v>48</v>
      </c>
      <c r="H454" s="80">
        <v>0.0825</v>
      </c>
      <c r="I454" s="83">
        <v>1</v>
      </c>
      <c r="J454" s="79">
        <v>19</v>
      </c>
      <c r="K454" s="79"/>
      <c r="L454" s="80">
        <v>0</v>
      </c>
      <c r="M454" s="80"/>
      <c r="N454" s="86">
        <v>361</v>
      </c>
      <c r="O454" s="86"/>
      <c r="P454" s="79">
        <v>10</v>
      </c>
      <c r="Q454" s="87"/>
    </row>
    <row r="455" ht="15" spans="1:17">
      <c r="A455" s="89">
        <v>43353</v>
      </c>
      <c r="B455" s="78"/>
      <c r="C455" s="79">
        <v>7</v>
      </c>
      <c r="D455" s="88"/>
      <c r="E455" s="79">
        <v>6</v>
      </c>
      <c r="F455" s="80">
        <v>0.1443</v>
      </c>
      <c r="G455" s="79">
        <v>38</v>
      </c>
      <c r="H455" s="80">
        <v>0.1443</v>
      </c>
      <c r="I455" s="83">
        <v>1</v>
      </c>
      <c r="J455" s="79">
        <v>9</v>
      </c>
      <c r="K455" s="79"/>
      <c r="L455" s="80">
        <v>0.1</v>
      </c>
      <c r="M455" s="80"/>
      <c r="N455" s="86">
        <v>222</v>
      </c>
      <c r="O455" s="86"/>
      <c r="P455" s="79">
        <v>5</v>
      </c>
      <c r="Q455" s="87"/>
    </row>
    <row r="456" ht="15" spans="1:17">
      <c r="A456" s="89">
        <v>43354</v>
      </c>
      <c r="B456" s="78"/>
      <c r="C456" s="79">
        <v>4</v>
      </c>
      <c r="D456" s="88"/>
      <c r="E456" s="79">
        <v>10</v>
      </c>
      <c r="F456" s="80">
        <v>0.0061</v>
      </c>
      <c r="G456" s="79">
        <v>74</v>
      </c>
      <c r="H456" s="80">
        <v>0.0061</v>
      </c>
      <c r="I456" s="83">
        <v>1</v>
      </c>
      <c r="J456" s="79">
        <v>14</v>
      </c>
      <c r="K456" s="79"/>
      <c r="L456" s="80">
        <v>0</v>
      </c>
      <c r="M456" s="80"/>
      <c r="N456" s="86">
        <v>386</v>
      </c>
      <c r="O456" s="86"/>
      <c r="P456" s="79">
        <v>5</v>
      </c>
      <c r="Q456" s="87"/>
    </row>
    <row r="457" ht="15" spans="1:17">
      <c r="A457" s="89">
        <v>43354</v>
      </c>
      <c r="B457" s="78"/>
      <c r="C457" s="79">
        <v>2</v>
      </c>
      <c r="D457" s="88"/>
      <c r="E457" s="79">
        <v>6</v>
      </c>
      <c r="F457" s="80">
        <v>0.135</v>
      </c>
      <c r="G457" s="79">
        <v>4</v>
      </c>
      <c r="H457" s="80">
        <v>0.135</v>
      </c>
      <c r="I457" s="83">
        <v>1</v>
      </c>
      <c r="J457" s="79">
        <v>26</v>
      </c>
      <c r="K457" s="79"/>
      <c r="L457" s="80">
        <v>0</v>
      </c>
      <c r="M457" s="80"/>
      <c r="N457" s="86">
        <v>353</v>
      </c>
      <c r="O457" s="86"/>
      <c r="P457" s="79">
        <v>5</v>
      </c>
      <c r="Q457" s="87"/>
    </row>
    <row r="458" ht="15" spans="1:17">
      <c r="A458" s="89">
        <v>43354</v>
      </c>
      <c r="B458" s="78"/>
      <c r="C458" s="79">
        <v>5</v>
      </c>
      <c r="D458" s="88"/>
      <c r="E458" s="79">
        <v>59</v>
      </c>
      <c r="F458" s="80">
        <v>0.4908</v>
      </c>
      <c r="G458" s="79">
        <v>22</v>
      </c>
      <c r="H458" s="80">
        <v>0.4908</v>
      </c>
      <c r="I458" s="83">
        <v>0.99</v>
      </c>
      <c r="J458" s="79">
        <v>11</v>
      </c>
      <c r="K458" s="79"/>
      <c r="L458" s="80">
        <v>0.4909</v>
      </c>
      <c r="M458" s="80"/>
      <c r="N458" s="86">
        <v>182</v>
      </c>
      <c r="O458" s="86"/>
      <c r="P458" s="79">
        <v>4</v>
      </c>
      <c r="Q458" s="87"/>
    </row>
    <row r="459" ht="15" spans="1:17">
      <c r="A459" s="89">
        <v>43354</v>
      </c>
      <c r="B459" s="78"/>
      <c r="C459" s="79">
        <v>3</v>
      </c>
      <c r="D459" s="88"/>
      <c r="E459" s="79">
        <v>26</v>
      </c>
      <c r="F459" s="80">
        <v>0.0368</v>
      </c>
      <c r="G459" s="79">
        <v>43</v>
      </c>
      <c r="H459" s="80">
        <v>0.0368</v>
      </c>
      <c r="I459" s="83">
        <v>1</v>
      </c>
      <c r="J459" s="79">
        <v>28</v>
      </c>
      <c r="K459" s="79"/>
      <c r="L459" s="80">
        <v>0</v>
      </c>
      <c r="M459" s="80"/>
      <c r="N459" s="86">
        <v>161</v>
      </c>
      <c r="O459" s="86"/>
      <c r="P459" s="79">
        <v>2</v>
      </c>
      <c r="Q459" s="87"/>
    </row>
    <row r="460" ht="15" spans="1:17">
      <c r="A460" s="89">
        <v>43354</v>
      </c>
      <c r="B460" s="78"/>
      <c r="C460" s="79">
        <v>1</v>
      </c>
      <c r="D460" s="88"/>
      <c r="E460" s="79">
        <v>71</v>
      </c>
      <c r="F460" s="80">
        <v>0.1411</v>
      </c>
      <c r="G460" s="79">
        <v>3</v>
      </c>
      <c r="H460" s="80">
        <v>0.1411</v>
      </c>
      <c r="I460" s="83">
        <v>1</v>
      </c>
      <c r="J460" s="79">
        <v>12</v>
      </c>
      <c r="K460" s="79"/>
      <c r="L460" s="80">
        <v>0.1176</v>
      </c>
      <c r="M460" s="80"/>
      <c r="N460" s="86">
        <v>392</v>
      </c>
      <c r="O460" s="86"/>
      <c r="P460" s="79">
        <v>13</v>
      </c>
      <c r="Q460" s="87"/>
    </row>
    <row r="461" ht="15" spans="1:17">
      <c r="A461" s="89">
        <v>43354</v>
      </c>
      <c r="B461" s="78"/>
      <c r="C461" s="79">
        <v>6</v>
      </c>
      <c r="D461" s="88"/>
      <c r="E461" s="79">
        <v>20</v>
      </c>
      <c r="F461" s="80">
        <v>0.0736</v>
      </c>
      <c r="G461" s="79">
        <v>31</v>
      </c>
      <c r="H461" s="80">
        <v>0.0736</v>
      </c>
      <c r="I461" s="83">
        <v>1</v>
      </c>
      <c r="J461" s="79">
        <v>17</v>
      </c>
      <c r="K461" s="79"/>
      <c r="L461" s="80">
        <v>0</v>
      </c>
      <c r="M461" s="80"/>
      <c r="N461" s="86">
        <v>236</v>
      </c>
      <c r="O461" s="86"/>
      <c r="P461" s="79">
        <v>3</v>
      </c>
      <c r="Q461" s="87"/>
    </row>
    <row r="462" ht="15" spans="1:17">
      <c r="A462" s="89">
        <v>43354</v>
      </c>
      <c r="B462" s="78"/>
      <c r="C462" s="79">
        <v>7</v>
      </c>
      <c r="D462" s="88"/>
      <c r="E462" s="79">
        <v>26</v>
      </c>
      <c r="F462" s="80">
        <v>0.1166</v>
      </c>
      <c r="G462" s="79">
        <v>33</v>
      </c>
      <c r="H462" s="80">
        <v>0.1166</v>
      </c>
      <c r="I462" s="83">
        <v>1</v>
      </c>
      <c r="J462" s="79">
        <v>14</v>
      </c>
      <c r="K462" s="79"/>
      <c r="L462" s="80">
        <v>0</v>
      </c>
      <c r="M462" s="80"/>
      <c r="N462" s="86">
        <v>462</v>
      </c>
      <c r="O462" s="86"/>
      <c r="P462" s="79">
        <v>19</v>
      </c>
      <c r="Q462" s="87"/>
    </row>
    <row r="463" ht="15" spans="1:17">
      <c r="A463" s="89">
        <v>43355</v>
      </c>
      <c r="B463" s="78"/>
      <c r="C463" s="79">
        <v>5</v>
      </c>
      <c r="D463" s="88"/>
      <c r="E463" s="79">
        <v>46</v>
      </c>
      <c r="F463" s="80">
        <v>0.6032</v>
      </c>
      <c r="G463" s="79">
        <v>30</v>
      </c>
      <c r="H463" s="80">
        <v>0.6032</v>
      </c>
      <c r="I463" s="83">
        <v>1</v>
      </c>
      <c r="J463" s="79">
        <v>13</v>
      </c>
      <c r="K463" s="79"/>
      <c r="L463" s="80">
        <v>0.2917</v>
      </c>
      <c r="M463" s="80"/>
      <c r="N463" s="86">
        <v>180</v>
      </c>
      <c r="O463" s="86"/>
      <c r="P463" s="79">
        <v>18</v>
      </c>
      <c r="Q463" s="87"/>
    </row>
    <row r="464" ht="15" spans="1:17">
      <c r="A464" s="89">
        <v>43355</v>
      </c>
      <c r="B464" s="78"/>
      <c r="C464" s="79">
        <v>4</v>
      </c>
      <c r="D464" s="88"/>
      <c r="E464" s="79">
        <v>84</v>
      </c>
      <c r="F464" s="80">
        <v>0.0159</v>
      </c>
      <c r="G464" s="79">
        <v>73</v>
      </c>
      <c r="H464" s="80">
        <v>0.0159</v>
      </c>
      <c r="I464" s="83">
        <v>1</v>
      </c>
      <c r="J464" s="79">
        <v>24</v>
      </c>
      <c r="K464" s="79"/>
      <c r="L464" s="80">
        <v>0</v>
      </c>
      <c r="M464" s="80"/>
      <c r="N464" s="86">
        <v>284</v>
      </c>
      <c r="O464" s="86"/>
      <c r="P464" s="79">
        <v>7</v>
      </c>
      <c r="Q464" s="87"/>
    </row>
    <row r="465" ht="15" spans="1:17">
      <c r="A465" s="89">
        <v>43355</v>
      </c>
      <c r="B465" s="78"/>
      <c r="C465" s="79">
        <v>2</v>
      </c>
      <c r="D465" s="88"/>
      <c r="E465" s="79">
        <v>55</v>
      </c>
      <c r="F465" s="80">
        <v>0.1349</v>
      </c>
      <c r="G465" s="79">
        <v>79</v>
      </c>
      <c r="H465" s="80">
        <v>0.1349</v>
      </c>
      <c r="I465" s="83">
        <v>1</v>
      </c>
      <c r="J465" s="79">
        <v>24</v>
      </c>
      <c r="K465" s="79"/>
      <c r="L465" s="80">
        <v>0</v>
      </c>
      <c r="M465" s="80"/>
      <c r="N465" s="86">
        <v>294</v>
      </c>
      <c r="O465" s="86"/>
      <c r="P465" s="79">
        <v>16</v>
      </c>
      <c r="Q465" s="87"/>
    </row>
    <row r="466" ht="15" spans="1:17">
      <c r="A466" s="89">
        <v>43355</v>
      </c>
      <c r="B466" s="78"/>
      <c r="C466" s="79">
        <v>3</v>
      </c>
      <c r="D466" s="88"/>
      <c r="E466" s="79">
        <v>23</v>
      </c>
      <c r="F466" s="80">
        <v>0.0476</v>
      </c>
      <c r="G466" s="79">
        <v>55</v>
      </c>
      <c r="H466" s="80">
        <v>0.0476</v>
      </c>
      <c r="I466" s="83">
        <v>1</v>
      </c>
      <c r="J466" s="79">
        <v>19</v>
      </c>
      <c r="K466" s="79"/>
      <c r="L466" s="80">
        <v>0.25</v>
      </c>
      <c r="M466" s="80"/>
      <c r="N466" s="86">
        <v>453</v>
      </c>
      <c r="O466" s="86"/>
      <c r="P466" s="79">
        <v>17</v>
      </c>
      <c r="Q466" s="87"/>
    </row>
    <row r="467" ht="15" spans="1:17">
      <c r="A467" s="89">
        <v>43355</v>
      </c>
      <c r="B467" s="78"/>
      <c r="C467" s="79">
        <v>1</v>
      </c>
      <c r="D467" s="88"/>
      <c r="E467" s="79">
        <v>54</v>
      </c>
      <c r="F467" s="80">
        <v>0.1508</v>
      </c>
      <c r="G467" s="79">
        <v>42</v>
      </c>
      <c r="H467" s="80">
        <v>0.1508</v>
      </c>
      <c r="I467" s="83">
        <v>1</v>
      </c>
      <c r="J467" s="79">
        <v>13</v>
      </c>
      <c r="K467" s="79"/>
      <c r="L467" s="80">
        <v>0</v>
      </c>
      <c r="M467" s="80"/>
      <c r="N467" s="86">
        <v>297</v>
      </c>
      <c r="O467" s="86"/>
      <c r="P467" s="79">
        <v>14</v>
      </c>
      <c r="Q467" s="87"/>
    </row>
    <row r="468" ht="15" spans="1:17">
      <c r="A468" s="89">
        <v>43355</v>
      </c>
      <c r="B468" s="78"/>
      <c r="C468" s="79">
        <v>7</v>
      </c>
      <c r="D468" s="88"/>
      <c r="E468" s="79">
        <v>78</v>
      </c>
      <c r="F468" s="80">
        <v>0.0476</v>
      </c>
      <c r="G468" s="79">
        <v>49</v>
      </c>
      <c r="H468" s="80">
        <v>0.0476</v>
      </c>
      <c r="I468" s="83">
        <v>1</v>
      </c>
      <c r="J468" s="79">
        <v>19</v>
      </c>
      <c r="K468" s="79"/>
      <c r="L468" s="80">
        <v>0.2</v>
      </c>
      <c r="M468" s="80"/>
      <c r="N468" s="86">
        <v>457</v>
      </c>
      <c r="O468" s="86"/>
      <c r="P468" s="79">
        <v>16</v>
      </c>
      <c r="Q468" s="87"/>
    </row>
    <row r="469" ht="15" spans="1:17">
      <c r="A469" s="89">
        <v>43356</v>
      </c>
      <c r="B469" s="78"/>
      <c r="C469" s="79">
        <v>4</v>
      </c>
      <c r="D469" s="88"/>
      <c r="E469" s="79">
        <v>27</v>
      </c>
      <c r="F469" s="80">
        <v>0.0055</v>
      </c>
      <c r="G469" s="79">
        <v>88</v>
      </c>
      <c r="H469" s="80">
        <v>0.0055</v>
      </c>
      <c r="I469" s="83">
        <v>1</v>
      </c>
      <c r="J469" s="79">
        <v>16</v>
      </c>
      <c r="K469" s="79"/>
      <c r="L469" s="80">
        <v>0</v>
      </c>
      <c r="M469" s="80"/>
      <c r="N469" s="86">
        <v>461</v>
      </c>
      <c r="O469" s="86"/>
      <c r="P469" s="79">
        <v>20</v>
      </c>
      <c r="Q469" s="87"/>
    </row>
    <row r="470" ht="15" spans="1:17">
      <c r="A470" s="89">
        <v>43356</v>
      </c>
      <c r="B470" s="78"/>
      <c r="C470" s="79">
        <v>2</v>
      </c>
      <c r="D470" s="88"/>
      <c r="E470" s="79">
        <v>1</v>
      </c>
      <c r="F470" s="80">
        <v>0.1585</v>
      </c>
      <c r="G470" s="79">
        <v>71</v>
      </c>
      <c r="H470" s="80">
        <v>0.1585</v>
      </c>
      <c r="I470" s="83">
        <v>1</v>
      </c>
      <c r="J470" s="79">
        <v>23</v>
      </c>
      <c r="K470" s="79"/>
      <c r="L470" s="80">
        <v>0.1364</v>
      </c>
      <c r="M470" s="80"/>
      <c r="N470" s="86">
        <v>281</v>
      </c>
      <c r="O470" s="86"/>
      <c r="P470" s="79">
        <v>6</v>
      </c>
      <c r="Q470" s="87"/>
    </row>
    <row r="471" ht="15" spans="1:17">
      <c r="A471" s="89">
        <v>43356</v>
      </c>
      <c r="B471" s="78"/>
      <c r="C471" s="79">
        <v>5</v>
      </c>
      <c r="D471" s="88"/>
      <c r="E471" s="79">
        <v>54</v>
      </c>
      <c r="F471" s="80">
        <v>0.5082</v>
      </c>
      <c r="G471" s="79">
        <v>9</v>
      </c>
      <c r="H471" s="80">
        <v>0.5082</v>
      </c>
      <c r="I471" s="83">
        <v>1</v>
      </c>
      <c r="J471" s="79">
        <v>25</v>
      </c>
      <c r="K471" s="79"/>
      <c r="L471" s="80">
        <v>0.1639</v>
      </c>
      <c r="M471" s="80"/>
      <c r="N471" s="86">
        <v>219</v>
      </c>
      <c r="O471" s="86"/>
      <c r="P471" s="79">
        <v>20</v>
      </c>
      <c r="Q471" s="87"/>
    </row>
    <row r="472" ht="15" spans="1:17">
      <c r="A472" s="89">
        <v>43356</v>
      </c>
      <c r="B472" s="78"/>
      <c r="C472" s="79">
        <v>3</v>
      </c>
      <c r="D472" s="88"/>
      <c r="E472" s="79">
        <v>72</v>
      </c>
      <c r="F472" s="80">
        <v>0.0164</v>
      </c>
      <c r="G472" s="79">
        <v>58</v>
      </c>
      <c r="H472" s="80">
        <v>0.0164</v>
      </c>
      <c r="I472" s="83">
        <v>1</v>
      </c>
      <c r="J472" s="79">
        <v>2</v>
      </c>
      <c r="K472" s="79"/>
      <c r="L472" s="80">
        <v>0</v>
      </c>
      <c r="M472" s="80"/>
      <c r="N472" s="86">
        <v>300</v>
      </c>
      <c r="O472" s="86"/>
      <c r="P472" s="79">
        <v>5</v>
      </c>
      <c r="Q472" s="87"/>
    </row>
    <row r="473" ht="15" spans="1:17">
      <c r="A473" s="89">
        <v>43356</v>
      </c>
      <c r="B473" s="78"/>
      <c r="C473" s="79">
        <v>1</v>
      </c>
      <c r="D473" s="88"/>
      <c r="E473" s="79">
        <v>24</v>
      </c>
      <c r="F473" s="80">
        <v>0.1967</v>
      </c>
      <c r="G473" s="79">
        <v>78</v>
      </c>
      <c r="H473" s="80">
        <v>0.1967</v>
      </c>
      <c r="I473" s="83">
        <v>1</v>
      </c>
      <c r="J473" s="79">
        <v>26</v>
      </c>
      <c r="K473" s="79"/>
      <c r="L473" s="80">
        <v>0.0741</v>
      </c>
      <c r="M473" s="80"/>
      <c r="N473" s="86">
        <v>298</v>
      </c>
      <c r="O473" s="86"/>
      <c r="P473" s="79">
        <v>8</v>
      </c>
      <c r="Q473" s="87"/>
    </row>
    <row r="474" ht="15" spans="1:17">
      <c r="A474" s="89">
        <v>43356</v>
      </c>
      <c r="B474" s="78"/>
      <c r="C474" s="79">
        <v>6</v>
      </c>
      <c r="D474" s="88"/>
      <c r="E474" s="79">
        <v>73</v>
      </c>
      <c r="F474" s="80">
        <v>0.0273</v>
      </c>
      <c r="G474" s="79">
        <v>40</v>
      </c>
      <c r="H474" s="80">
        <v>0.0273</v>
      </c>
      <c r="I474" s="83">
        <v>1</v>
      </c>
      <c r="J474" s="79">
        <v>2</v>
      </c>
      <c r="K474" s="79"/>
      <c r="L474" s="80">
        <v>0.4</v>
      </c>
      <c r="M474" s="80"/>
      <c r="N474" s="86">
        <v>124</v>
      </c>
      <c r="O474" s="86"/>
      <c r="P474" s="79">
        <v>16</v>
      </c>
      <c r="Q474" s="87"/>
    </row>
    <row r="475" ht="15" spans="1:17">
      <c r="A475" s="89">
        <v>43356</v>
      </c>
      <c r="B475" s="78"/>
      <c r="C475" s="79">
        <v>7</v>
      </c>
      <c r="D475" s="88"/>
      <c r="E475" s="79">
        <v>1</v>
      </c>
      <c r="F475" s="80">
        <v>0.0874</v>
      </c>
      <c r="G475" s="79">
        <v>39</v>
      </c>
      <c r="H475" s="80">
        <v>0.0874</v>
      </c>
      <c r="I475" s="83">
        <v>1</v>
      </c>
      <c r="J475" s="79">
        <v>17</v>
      </c>
      <c r="K475" s="79"/>
      <c r="L475" s="80">
        <v>0</v>
      </c>
      <c r="M475" s="80"/>
      <c r="N475" s="86">
        <v>173</v>
      </c>
      <c r="O475" s="86"/>
      <c r="P475" s="79">
        <v>11</v>
      </c>
      <c r="Q475" s="87"/>
    </row>
    <row r="476" ht="15" spans="1:17">
      <c r="A476" s="89">
        <v>43357</v>
      </c>
      <c r="B476" s="78"/>
      <c r="C476" s="79">
        <v>4</v>
      </c>
      <c r="D476" s="88"/>
      <c r="E476" s="79">
        <v>64</v>
      </c>
      <c r="F476" s="80">
        <v>0.006</v>
      </c>
      <c r="G476" s="79">
        <v>31</v>
      </c>
      <c r="H476" s="80">
        <v>0.006</v>
      </c>
      <c r="I476" s="83">
        <v>1</v>
      </c>
      <c r="J476" s="79">
        <v>1</v>
      </c>
      <c r="K476" s="79"/>
      <c r="L476" s="80">
        <v>0</v>
      </c>
      <c r="M476" s="80"/>
      <c r="N476" s="86">
        <v>416</v>
      </c>
      <c r="O476" s="86"/>
      <c r="P476" s="79">
        <v>11</v>
      </c>
      <c r="Q476" s="87"/>
    </row>
    <row r="477" ht="15" spans="1:17">
      <c r="A477" s="89">
        <v>43357</v>
      </c>
      <c r="B477" s="78"/>
      <c r="C477" s="79">
        <v>2</v>
      </c>
      <c r="D477" s="88"/>
      <c r="E477" s="79">
        <v>29</v>
      </c>
      <c r="F477" s="80">
        <v>0.1506</v>
      </c>
      <c r="G477" s="79">
        <v>63</v>
      </c>
      <c r="H477" s="80">
        <v>0.1506</v>
      </c>
      <c r="I477" s="83">
        <v>1</v>
      </c>
      <c r="J477" s="79">
        <v>8</v>
      </c>
      <c r="K477" s="79"/>
      <c r="L477" s="80">
        <v>0.0526</v>
      </c>
      <c r="M477" s="80"/>
      <c r="N477" s="86">
        <v>167</v>
      </c>
      <c r="O477" s="86"/>
      <c r="P477" s="79">
        <v>12</v>
      </c>
      <c r="Q477" s="87"/>
    </row>
    <row r="478" ht="15" spans="1:17">
      <c r="A478" s="89">
        <v>43357</v>
      </c>
      <c r="B478" s="78"/>
      <c r="C478" s="79">
        <v>5</v>
      </c>
      <c r="D478" s="88"/>
      <c r="E478" s="79">
        <v>7</v>
      </c>
      <c r="F478" s="80">
        <v>0.4759</v>
      </c>
      <c r="G478" s="79">
        <v>41</v>
      </c>
      <c r="H478" s="80">
        <v>0.4759</v>
      </c>
      <c r="I478" s="83">
        <v>1</v>
      </c>
      <c r="J478" s="79">
        <v>20</v>
      </c>
      <c r="K478" s="79"/>
      <c r="L478" s="80">
        <v>0.102</v>
      </c>
      <c r="M478" s="80"/>
      <c r="N478" s="86">
        <v>124</v>
      </c>
      <c r="O478" s="86"/>
      <c r="P478" s="79">
        <v>8</v>
      </c>
      <c r="Q478" s="87"/>
    </row>
    <row r="479" ht="15" spans="1:17">
      <c r="A479" s="89">
        <v>43357</v>
      </c>
      <c r="B479" s="78"/>
      <c r="C479" s="79">
        <v>3</v>
      </c>
      <c r="D479" s="88"/>
      <c r="E479" s="79">
        <v>38</v>
      </c>
      <c r="F479" s="80">
        <v>0.0361</v>
      </c>
      <c r="G479" s="79">
        <v>97</v>
      </c>
      <c r="H479" s="80">
        <v>0.0361</v>
      </c>
      <c r="I479" s="83">
        <v>1</v>
      </c>
      <c r="J479" s="79">
        <v>29</v>
      </c>
      <c r="K479" s="79"/>
      <c r="L479" s="80">
        <v>0</v>
      </c>
      <c r="M479" s="80"/>
      <c r="N479" s="86">
        <v>184</v>
      </c>
      <c r="O479" s="86"/>
      <c r="P479" s="79">
        <v>10</v>
      </c>
      <c r="Q479" s="87"/>
    </row>
    <row r="480" ht="15" spans="1:17">
      <c r="A480" s="89">
        <v>43357</v>
      </c>
      <c r="B480" s="78"/>
      <c r="C480" s="79">
        <v>1</v>
      </c>
      <c r="D480" s="88"/>
      <c r="E480" s="79">
        <v>83</v>
      </c>
      <c r="F480" s="80">
        <v>0.259</v>
      </c>
      <c r="G480" s="79">
        <v>90</v>
      </c>
      <c r="H480" s="80">
        <v>0.259</v>
      </c>
      <c r="I480" s="83">
        <v>1</v>
      </c>
      <c r="J480" s="79">
        <v>22</v>
      </c>
      <c r="K480" s="79"/>
      <c r="L480" s="80">
        <v>0.0323</v>
      </c>
      <c r="M480" s="80"/>
      <c r="N480" s="86">
        <v>159</v>
      </c>
      <c r="O480" s="86"/>
      <c r="P480" s="79">
        <v>5</v>
      </c>
      <c r="Q480" s="87"/>
    </row>
    <row r="481" ht="15" spans="1:17">
      <c r="A481" s="89">
        <v>43357</v>
      </c>
      <c r="B481" s="78"/>
      <c r="C481" s="79">
        <v>6</v>
      </c>
      <c r="D481" s="88"/>
      <c r="E481" s="79">
        <v>77</v>
      </c>
      <c r="F481" s="80">
        <v>0</v>
      </c>
      <c r="G481" s="79">
        <v>85</v>
      </c>
      <c r="H481" s="80">
        <v>0</v>
      </c>
      <c r="I481" s="83">
        <v>0</v>
      </c>
      <c r="J481" s="79">
        <v>25</v>
      </c>
      <c r="K481" s="79"/>
      <c r="L481" s="80">
        <v>0</v>
      </c>
      <c r="M481" s="80"/>
      <c r="N481" s="86">
        <v>259</v>
      </c>
      <c r="O481" s="86"/>
      <c r="P481" s="79">
        <v>1</v>
      </c>
      <c r="Q481" s="87"/>
    </row>
    <row r="482" ht="15" spans="1:17">
      <c r="A482" s="89">
        <v>43357</v>
      </c>
      <c r="B482" s="78"/>
      <c r="C482" s="79">
        <v>7</v>
      </c>
      <c r="D482" s="88"/>
      <c r="E482" s="79">
        <v>99</v>
      </c>
      <c r="F482" s="80">
        <v>0.0723</v>
      </c>
      <c r="G482" s="79">
        <v>42</v>
      </c>
      <c r="H482" s="80">
        <v>0.0723</v>
      </c>
      <c r="I482" s="83">
        <v>1</v>
      </c>
      <c r="J482" s="79">
        <v>12</v>
      </c>
      <c r="K482" s="79"/>
      <c r="L482" s="80">
        <v>0.1667</v>
      </c>
      <c r="M482" s="80"/>
      <c r="N482" s="86">
        <v>264</v>
      </c>
      <c r="O482" s="86"/>
      <c r="P482" s="79">
        <v>8</v>
      </c>
      <c r="Q482" s="87"/>
    </row>
    <row r="483" ht="15" spans="1:17">
      <c r="A483" s="89">
        <v>43358</v>
      </c>
      <c r="B483" s="78"/>
      <c r="C483" s="79">
        <v>4</v>
      </c>
      <c r="D483" s="88"/>
      <c r="E483" s="79">
        <v>6</v>
      </c>
      <c r="F483" s="80">
        <v>0.0078</v>
      </c>
      <c r="G483" s="79">
        <v>89</v>
      </c>
      <c r="H483" s="80">
        <v>0.0078</v>
      </c>
      <c r="I483" s="83">
        <v>1</v>
      </c>
      <c r="J483" s="79">
        <v>9</v>
      </c>
      <c r="K483" s="79"/>
      <c r="L483" s="80">
        <v>0</v>
      </c>
      <c r="M483" s="80"/>
      <c r="N483" s="86">
        <v>185</v>
      </c>
      <c r="O483" s="86"/>
      <c r="P483" s="79">
        <v>16</v>
      </c>
      <c r="Q483" s="87"/>
    </row>
    <row r="484" ht="15" spans="1:17">
      <c r="A484" s="89">
        <v>43358</v>
      </c>
      <c r="B484" s="78"/>
      <c r="C484" s="79">
        <v>2</v>
      </c>
      <c r="D484" s="88"/>
      <c r="E484" s="79">
        <v>68</v>
      </c>
      <c r="F484" s="80">
        <v>0.2031</v>
      </c>
      <c r="G484" s="79">
        <v>29</v>
      </c>
      <c r="H484" s="80">
        <v>0.2031</v>
      </c>
      <c r="I484" s="83">
        <v>1</v>
      </c>
      <c r="J484" s="79">
        <v>26</v>
      </c>
      <c r="K484" s="79"/>
      <c r="L484" s="80">
        <v>0</v>
      </c>
      <c r="M484" s="80"/>
      <c r="N484" s="86">
        <v>322</v>
      </c>
      <c r="O484" s="86"/>
      <c r="P484" s="79">
        <v>14</v>
      </c>
      <c r="Q484" s="87"/>
    </row>
    <row r="485" ht="15" spans="1:17">
      <c r="A485" s="89">
        <v>43358</v>
      </c>
      <c r="B485" s="78"/>
      <c r="C485" s="79">
        <v>5</v>
      </c>
      <c r="D485" s="88"/>
      <c r="E485" s="79">
        <v>56</v>
      </c>
      <c r="F485" s="80">
        <v>0.3438</v>
      </c>
      <c r="G485" s="79">
        <v>54</v>
      </c>
      <c r="H485" s="80">
        <v>0.3438</v>
      </c>
      <c r="I485" s="83">
        <v>1</v>
      </c>
      <c r="J485" s="79">
        <v>11</v>
      </c>
      <c r="K485" s="79"/>
      <c r="L485" s="80">
        <v>0.1622</v>
      </c>
      <c r="M485" s="80"/>
      <c r="N485" s="86">
        <v>272</v>
      </c>
      <c r="O485" s="86"/>
      <c r="P485" s="79">
        <v>18</v>
      </c>
      <c r="Q485" s="87"/>
    </row>
    <row r="486" ht="15" spans="1:17">
      <c r="A486" s="89">
        <v>43358</v>
      </c>
      <c r="B486" s="78"/>
      <c r="C486" s="79">
        <v>1</v>
      </c>
      <c r="D486" s="88"/>
      <c r="E486" s="79">
        <v>87</v>
      </c>
      <c r="F486" s="80">
        <v>0.2656</v>
      </c>
      <c r="G486" s="79">
        <v>7</v>
      </c>
      <c r="H486" s="80">
        <v>0.2656</v>
      </c>
      <c r="I486" s="83">
        <v>1</v>
      </c>
      <c r="J486" s="79">
        <v>27</v>
      </c>
      <c r="K486" s="79"/>
      <c r="L486" s="80">
        <v>0</v>
      </c>
      <c r="M486" s="80"/>
      <c r="N486" s="86">
        <v>218</v>
      </c>
      <c r="O486" s="86"/>
      <c r="P486" s="79">
        <v>16</v>
      </c>
      <c r="Q486" s="87"/>
    </row>
    <row r="487" ht="15" spans="1:17">
      <c r="A487" s="89">
        <v>43358</v>
      </c>
      <c r="B487" s="78"/>
      <c r="C487" s="79">
        <v>6</v>
      </c>
      <c r="D487" s="88"/>
      <c r="E487" s="79">
        <v>60</v>
      </c>
      <c r="F487" s="80">
        <v>0.0547</v>
      </c>
      <c r="G487" s="79">
        <v>79</v>
      </c>
      <c r="H487" s="80">
        <v>0.0547</v>
      </c>
      <c r="I487" s="83">
        <v>1</v>
      </c>
      <c r="J487" s="79">
        <v>16</v>
      </c>
      <c r="K487" s="79"/>
      <c r="L487" s="80">
        <v>0</v>
      </c>
      <c r="M487" s="80"/>
      <c r="N487" s="86">
        <v>178</v>
      </c>
      <c r="O487" s="86"/>
      <c r="P487" s="79">
        <v>5</v>
      </c>
      <c r="Q487" s="87"/>
    </row>
    <row r="488" ht="15" spans="1:17">
      <c r="A488" s="89">
        <v>43358</v>
      </c>
      <c r="B488" s="78"/>
      <c r="C488" s="79">
        <v>7</v>
      </c>
      <c r="D488" s="88"/>
      <c r="E488" s="79">
        <v>55</v>
      </c>
      <c r="F488" s="80">
        <v>0.125</v>
      </c>
      <c r="G488" s="79">
        <v>97</v>
      </c>
      <c r="H488" s="80">
        <v>0.125</v>
      </c>
      <c r="I488" s="83">
        <v>1</v>
      </c>
      <c r="J488" s="79">
        <v>13</v>
      </c>
      <c r="K488" s="79"/>
      <c r="L488" s="80">
        <v>0.0769</v>
      </c>
      <c r="M488" s="80"/>
      <c r="N488" s="86">
        <v>290</v>
      </c>
      <c r="O488" s="86"/>
      <c r="P488" s="79">
        <v>16</v>
      </c>
      <c r="Q488" s="87"/>
    </row>
    <row r="489" ht="15" spans="1:17">
      <c r="A489" s="89">
        <v>43359</v>
      </c>
      <c r="B489" s="78"/>
      <c r="C489" s="79">
        <v>4</v>
      </c>
      <c r="D489" s="88"/>
      <c r="E489" s="79">
        <v>60</v>
      </c>
      <c r="F489" s="80">
        <v>0.0263</v>
      </c>
      <c r="G489" s="79">
        <v>99</v>
      </c>
      <c r="H489" s="80">
        <v>0.0263</v>
      </c>
      <c r="I489" s="83">
        <v>1</v>
      </c>
      <c r="J489" s="79">
        <v>21</v>
      </c>
      <c r="K489" s="79"/>
      <c r="L489" s="80">
        <v>0</v>
      </c>
      <c r="M489" s="80"/>
      <c r="N489" s="86">
        <v>312</v>
      </c>
      <c r="O489" s="86"/>
      <c r="P489" s="79">
        <v>8</v>
      </c>
      <c r="Q489" s="87"/>
    </row>
    <row r="490" ht="15" spans="1:17">
      <c r="A490" s="89">
        <v>43359</v>
      </c>
      <c r="B490" s="78"/>
      <c r="C490" s="79">
        <v>2</v>
      </c>
      <c r="D490" s="88"/>
      <c r="E490" s="79">
        <v>88</v>
      </c>
      <c r="F490" s="80">
        <v>0.1645</v>
      </c>
      <c r="G490" s="79">
        <v>92</v>
      </c>
      <c r="H490" s="80">
        <v>0.1645</v>
      </c>
      <c r="I490" s="83">
        <v>1</v>
      </c>
      <c r="J490" s="79">
        <v>18</v>
      </c>
      <c r="K490" s="79"/>
      <c r="L490" s="80">
        <v>0.4375</v>
      </c>
      <c r="M490" s="80"/>
      <c r="N490" s="86">
        <v>226</v>
      </c>
      <c r="O490" s="86"/>
      <c r="P490" s="79">
        <v>4</v>
      </c>
      <c r="Q490" s="87"/>
    </row>
    <row r="491" ht="15" spans="1:17">
      <c r="A491" s="89">
        <v>43359</v>
      </c>
      <c r="B491" s="78"/>
      <c r="C491" s="79">
        <v>5</v>
      </c>
      <c r="D491" s="88"/>
      <c r="E491" s="79">
        <v>45</v>
      </c>
      <c r="F491" s="80">
        <v>0.5</v>
      </c>
      <c r="G491" s="79">
        <v>38</v>
      </c>
      <c r="H491" s="80">
        <v>0.5</v>
      </c>
      <c r="I491" s="83">
        <v>0.97</v>
      </c>
      <c r="J491" s="79">
        <v>4</v>
      </c>
      <c r="K491" s="79"/>
      <c r="L491" s="80">
        <v>0.0893</v>
      </c>
      <c r="M491" s="80"/>
      <c r="N491" s="86">
        <v>181</v>
      </c>
      <c r="O491" s="86"/>
      <c r="P491" s="79">
        <v>15</v>
      </c>
      <c r="Q491" s="87"/>
    </row>
    <row r="492" ht="15" spans="1:17">
      <c r="A492" s="89">
        <v>43359</v>
      </c>
      <c r="B492" s="78"/>
      <c r="C492" s="79">
        <v>3</v>
      </c>
      <c r="D492" s="88"/>
      <c r="E492" s="79">
        <v>86</v>
      </c>
      <c r="F492" s="80">
        <v>0.0263</v>
      </c>
      <c r="G492" s="79">
        <v>44</v>
      </c>
      <c r="H492" s="80">
        <v>0.0263</v>
      </c>
      <c r="I492" s="83">
        <v>1</v>
      </c>
      <c r="J492" s="79">
        <v>21</v>
      </c>
      <c r="K492" s="79"/>
      <c r="L492" s="80">
        <v>0</v>
      </c>
      <c r="M492" s="80"/>
      <c r="N492" s="86">
        <v>79</v>
      </c>
      <c r="O492" s="86"/>
      <c r="P492" s="79">
        <v>1</v>
      </c>
      <c r="Q492" s="87"/>
    </row>
    <row r="493" ht="15" spans="1:17">
      <c r="A493" s="89">
        <v>43359</v>
      </c>
      <c r="B493" s="78"/>
      <c r="C493" s="79">
        <v>1</v>
      </c>
      <c r="D493" s="88"/>
      <c r="E493" s="79">
        <v>40</v>
      </c>
      <c r="F493" s="80">
        <v>0.1776</v>
      </c>
      <c r="G493" s="79">
        <v>15</v>
      </c>
      <c r="H493" s="80">
        <v>0.1776</v>
      </c>
      <c r="I493" s="83">
        <v>1</v>
      </c>
      <c r="J493" s="79">
        <v>6</v>
      </c>
      <c r="K493" s="79"/>
      <c r="L493" s="80">
        <v>0.1579</v>
      </c>
      <c r="M493" s="80"/>
      <c r="N493" s="86">
        <v>396</v>
      </c>
      <c r="O493" s="86"/>
      <c r="P493" s="79">
        <v>11</v>
      </c>
      <c r="Q493" s="87"/>
    </row>
    <row r="494" ht="15" spans="1:17">
      <c r="A494" s="89">
        <v>43359</v>
      </c>
      <c r="B494" s="78"/>
      <c r="C494" s="79">
        <v>6</v>
      </c>
      <c r="D494" s="88"/>
      <c r="E494" s="79">
        <v>64</v>
      </c>
      <c r="F494" s="80">
        <v>0.0132</v>
      </c>
      <c r="G494" s="79">
        <v>40</v>
      </c>
      <c r="H494" s="80">
        <v>0.0132</v>
      </c>
      <c r="I494" s="83">
        <v>1</v>
      </c>
      <c r="J494" s="79">
        <v>19</v>
      </c>
      <c r="K494" s="79"/>
      <c r="L494" s="80">
        <v>0</v>
      </c>
      <c r="M494" s="80"/>
      <c r="N494" s="86">
        <v>190</v>
      </c>
      <c r="O494" s="86"/>
      <c r="P494" s="79">
        <v>7</v>
      </c>
      <c r="Q494" s="87"/>
    </row>
    <row r="495" ht="15" spans="1:17">
      <c r="A495" s="89">
        <v>43359</v>
      </c>
      <c r="B495" s="78"/>
      <c r="C495" s="79">
        <v>7</v>
      </c>
      <c r="D495" s="88"/>
      <c r="E495" s="79">
        <v>63</v>
      </c>
      <c r="F495" s="80">
        <v>0.0921</v>
      </c>
      <c r="G495" s="79">
        <v>82</v>
      </c>
      <c r="H495" s="80">
        <v>0.0921</v>
      </c>
      <c r="I495" s="83">
        <v>1</v>
      </c>
      <c r="J495" s="79">
        <v>28</v>
      </c>
      <c r="K495" s="79"/>
      <c r="L495" s="80">
        <v>0.1</v>
      </c>
      <c r="M495" s="80"/>
      <c r="N495" s="86">
        <v>239</v>
      </c>
      <c r="O495" s="86"/>
      <c r="P495" s="79">
        <v>8</v>
      </c>
      <c r="Q495" s="87"/>
    </row>
    <row r="496" ht="15" spans="1:17">
      <c r="A496" s="89">
        <v>43360</v>
      </c>
      <c r="B496" s="78"/>
      <c r="C496" s="79">
        <v>4</v>
      </c>
      <c r="D496" s="88"/>
      <c r="E496" s="79">
        <v>97</v>
      </c>
      <c r="F496" s="80">
        <v>0.0378</v>
      </c>
      <c r="G496" s="79">
        <v>56</v>
      </c>
      <c r="H496" s="80">
        <v>0.0378</v>
      </c>
      <c r="I496" s="83">
        <v>1</v>
      </c>
      <c r="J496" s="79">
        <v>20</v>
      </c>
      <c r="K496" s="79"/>
      <c r="L496" s="80">
        <v>0</v>
      </c>
      <c r="M496" s="80"/>
      <c r="N496" s="86">
        <v>338</v>
      </c>
      <c r="O496" s="86"/>
      <c r="P496" s="79">
        <v>19</v>
      </c>
      <c r="Q496" s="87"/>
    </row>
    <row r="497" ht="15" spans="1:17">
      <c r="A497" s="89">
        <v>43360</v>
      </c>
      <c r="B497" s="78"/>
      <c r="C497" s="79">
        <v>2</v>
      </c>
      <c r="D497" s="88"/>
      <c r="E497" s="79">
        <v>91</v>
      </c>
      <c r="F497" s="80">
        <v>0.1933</v>
      </c>
      <c r="G497" s="79">
        <v>96</v>
      </c>
      <c r="H497" s="80">
        <v>0.1933</v>
      </c>
      <c r="I497" s="83">
        <v>1</v>
      </c>
      <c r="J497" s="79">
        <v>3</v>
      </c>
      <c r="K497" s="79"/>
      <c r="L497" s="80">
        <v>0.037</v>
      </c>
      <c r="M497" s="80"/>
      <c r="N497" s="86">
        <v>160</v>
      </c>
      <c r="O497" s="86"/>
      <c r="P497" s="79">
        <v>6</v>
      </c>
      <c r="Q497" s="87"/>
    </row>
    <row r="498" ht="15" spans="1:17">
      <c r="A498" s="89">
        <v>43360</v>
      </c>
      <c r="B498" s="78"/>
      <c r="C498" s="79">
        <v>5</v>
      </c>
      <c r="D498" s="88"/>
      <c r="E498" s="79">
        <v>17</v>
      </c>
      <c r="F498" s="80">
        <v>0.4454</v>
      </c>
      <c r="G498" s="79">
        <v>92</v>
      </c>
      <c r="H498" s="80">
        <v>0.4454</v>
      </c>
      <c r="I498" s="83">
        <v>0.99</v>
      </c>
      <c r="J498" s="79">
        <v>13</v>
      </c>
      <c r="K498" s="79"/>
      <c r="L498" s="80">
        <v>0.1351</v>
      </c>
      <c r="M498" s="80"/>
      <c r="N498" s="86">
        <v>192</v>
      </c>
      <c r="O498" s="86"/>
      <c r="P498" s="79">
        <v>7</v>
      </c>
      <c r="Q498" s="87"/>
    </row>
    <row r="499" ht="15" spans="1:17">
      <c r="A499" s="89">
        <v>43360</v>
      </c>
      <c r="B499" s="78"/>
      <c r="C499" s="79">
        <v>3</v>
      </c>
      <c r="D499" s="88"/>
      <c r="E499" s="79">
        <v>54</v>
      </c>
      <c r="F499" s="80">
        <v>0.0546</v>
      </c>
      <c r="G499" s="79">
        <v>57</v>
      </c>
      <c r="H499" s="80">
        <v>0.0546</v>
      </c>
      <c r="I499" s="83">
        <v>1</v>
      </c>
      <c r="J499" s="79">
        <v>17</v>
      </c>
      <c r="K499" s="79"/>
      <c r="L499" s="80">
        <v>0</v>
      </c>
      <c r="M499" s="80"/>
      <c r="N499" s="86">
        <v>273</v>
      </c>
      <c r="O499" s="86"/>
      <c r="P499" s="79">
        <v>13</v>
      </c>
      <c r="Q499" s="87"/>
    </row>
    <row r="500" ht="15" spans="1:17">
      <c r="A500" s="89">
        <v>43360</v>
      </c>
      <c r="B500" s="78"/>
      <c r="C500" s="79">
        <v>1</v>
      </c>
      <c r="D500" s="88"/>
      <c r="E500" s="79">
        <v>61</v>
      </c>
      <c r="F500" s="80">
        <v>0.1555</v>
      </c>
      <c r="G500" s="79">
        <v>84</v>
      </c>
      <c r="H500" s="80">
        <v>0.1555</v>
      </c>
      <c r="I500" s="83">
        <v>1</v>
      </c>
      <c r="J500" s="79">
        <v>13</v>
      </c>
      <c r="K500" s="79"/>
      <c r="L500" s="80">
        <v>0.2333</v>
      </c>
      <c r="M500" s="80"/>
      <c r="N500" s="86">
        <v>448</v>
      </c>
      <c r="O500" s="86"/>
      <c r="P500" s="79">
        <v>16</v>
      </c>
      <c r="Q500" s="87"/>
    </row>
    <row r="501" ht="15" spans="1:17">
      <c r="A501" s="89">
        <v>43360</v>
      </c>
      <c r="B501" s="78"/>
      <c r="C501" s="79">
        <v>6</v>
      </c>
      <c r="D501" s="88"/>
      <c r="E501" s="79">
        <v>25</v>
      </c>
      <c r="F501" s="80">
        <v>0.0168</v>
      </c>
      <c r="G501" s="79">
        <v>20</v>
      </c>
      <c r="H501" s="80">
        <v>0.0168</v>
      </c>
      <c r="I501" s="83">
        <v>1</v>
      </c>
      <c r="J501" s="79">
        <v>21</v>
      </c>
      <c r="K501" s="79"/>
      <c r="L501" s="80">
        <v>0</v>
      </c>
      <c r="M501" s="80"/>
      <c r="N501" s="86">
        <v>92</v>
      </c>
      <c r="O501" s="86"/>
      <c r="P501" s="79">
        <v>9</v>
      </c>
      <c r="Q501" s="87"/>
    </row>
    <row r="502" ht="15" spans="1:17">
      <c r="A502" s="89">
        <v>43360</v>
      </c>
      <c r="B502" s="78"/>
      <c r="C502" s="79">
        <v>7</v>
      </c>
      <c r="D502" s="88"/>
      <c r="E502" s="79">
        <v>37</v>
      </c>
      <c r="F502" s="80">
        <v>0.0966</v>
      </c>
      <c r="G502" s="79">
        <v>92</v>
      </c>
      <c r="H502" s="80">
        <v>0.0966</v>
      </c>
      <c r="I502" s="83">
        <v>1</v>
      </c>
      <c r="J502" s="79">
        <v>23</v>
      </c>
      <c r="K502" s="79"/>
      <c r="L502" s="80">
        <v>0.0588</v>
      </c>
      <c r="M502" s="80"/>
      <c r="N502" s="86">
        <v>257</v>
      </c>
      <c r="O502" s="86"/>
      <c r="P502" s="79">
        <v>17</v>
      </c>
      <c r="Q502" s="87"/>
    </row>
    <row r="503" ht="15" spans="1:17">
      <c r="A503" s="89">
        <v>43361</v>
      </c>
      <c r="B503" s="78"/>
      <c r="C503" s="79">
        <v>1</v>
      </c>
      <c r="D503" s="88"/>
      <c r="E503" s="79">
        <v>6</v>
      </c>
      <c r="F503" s="80">
        <v>0.2216</v>
      </c>
      <c r="G503" s="79">
        <v>21</v>
      </c>
      <c r="H503" s="80">
        <v>0.2216</v>
      </c>
      <c r="I503" s="83">
        <v>1</v>
      </c>
      <c r="J503" s="79">
        <v>11</v>
      </c>
      <c r="K503" s="79"/>
      <c r="L503" s="80">
        <v>0.5882</v>
      </c>
      <c r="M503" s="80"/>
      <c r="N503" s="86">
        <v>499</v>
      </c>
      <c r="O503" s="86"/>
      <c r="P503" s="79">
        <v>9</v>
      </c>
      <c r="Q503" s="87"/>
    </row>
    <row r="504" ht="15" spans="1:17">
      <c r="A504" s="89">
        <v>43361</v>
      </c>
      <c r="B504" s="78"/>
      <c r="C504" s="79">
        <v>2</v>
      </c>
      <c r="D504" s="88"/>
      <c r="E504" s="79">
        <v>42</v>
      </c>
      <c r="F504" s="80">
        <v>0.1568</v>
      </c>
      <c r="G504" s="79">
        <v>86</v>
      </c>
      <c r="H504" s="80">
        <v>0.1568</v>
      </c>
      <c r="I504" s="83">
        <v>1</v>
      </c>
      <c r="J504" s="79">
        <v>3</v>
      </c>
      <c r="K504" s="79"/>
      <c r="L504" s="80">
        <v>0.087</v>
      </c>
      <c r="M504" s="80"/>
      <c r="N504" s="86">
        <v>62</v>
      </c>
      <c r="O504" s="86"/>
      <c r="P504" s="79">
        <v>1</v>
      </c>
      <c r="Q504" s="87"/>
    </row>
    <row r="505" ht="15" spans="1:17">
      <c r="A505" s="89">
        <v>43361</v>
      </c>
      <c r="B505" s="78"/>
      <c r="C505" s="79">
        <v>5</v>
      </c>
      <c r="D505" s="88"/>
      <c r="E505" s="79">
        <v>91</v>
      </c>
      <c r="F505" s="80">
        <v>0.5135</v>
      </c>
      <c r="G505" s="79">
        <v>12</v>
      </c>
      <c r="H505" s="80">
        <v>0.5135</v>
      </c>
      <c r="I505" s="83">
        <v>0.99</v>
      </c>
      <c r="J505" s="79">
        <v>21</v>
      </c>
      <c r="K505" s="79"/>
      <c r="L505" s="80">
        <v>0.1905</v>
      </c>
      <c r="M505" s="80"/>
      <c r="N505" s="86">
        <v>213</v>
      </c>
      <c r="O505" s="86"/>
      <c r="P505" s="79">
        <v>2</v>
      </c>
      <c r="Q505" s="87"/>
    </row>
    <row r="506" ht="15" spans="1:17">
      <c r="A506" s="89">
        <v>43361</v>
      </c>
      <c r="B506" s="78"/>
      <c r="C506" s="79">
        <v>3</v>
      </c>
      <c r="D506" s="88"/>
      <c r="E506" s="79">
        <v>47</v>
      </c>
      <c r="F506" s="80">
        <v>0.0649</v>
      </c>
      <c r="G506" s="79">
        <v>91</v>
      </c>
      <c r="H506" s="80">
        <v>0.0649</v>
      </c>
      <c r="I506" s="83">
        <v>1</v>
      </c>
      <c r="J506" s="79">
        <v>30</v>
      </c>
      <c r="K506" s="79"/>
      <c r="L506" s="80">
        <v>0</v>
      </c>
      <c r="M506" s="80"/>
      <c r="N506" s="86">
        <v>474</v>
      </c>
      <c r="O506" s="86"/>
      <c r="P506" s="79">
        <v>13</v>
      </c>
      <c r="Q506" s="87"/>
    </row>
    <row r="507" ht="15" spans="1:17">
      <c r="A507" s="89">
        <v>43361</v>
      </c>
      <c r="B507" s="78"/>
      <c r="C507" s="79">
        <v>6</v>
      </c>
      <c r="D507" s="88"/>
      <c r="E507" s="79">
        <v>33</v>
      </c>
      <c r="F507" s="80">
        <v>0.0054</v>
      </c>
      <c r="G507" s="79">
        <v>4</v>
      </c>
      <c r="H507" s="80">
        <v>0.0054</v>
      </c>
      <c r="I507" s="83">
        <v>1</v>
      </c>
      <c r="J507" s="79">
        <v>17</v>
      </c>
      <c r="K507" s="79"/>
      <c r="L507" s="80">
        <v>0</v>
      </c>
      <c r="M507" s="80"/>
      <c r="N507" s="86">
        <v>123</v>
      </c>
      <c r="O507" s="86"/>
      <c r="P507" s="79">
        <v>4</v>
      </c>
      <c r="Q507" s="87"/>
    </row>
    <row r="508" ht="15" spans="1:17">
      <c r="A508" s="89">
        <v>43361</v>
      </c>
      <c r="B508" s="78"/>
      <c r="C508" s="79">
        <v>7</v>
      </c>
      <c r="D508" s="88"/>
      <c r="E508" s="79">
        <v>44</v>
      </c>
      <c r="F508" s="80">
        <v>0.0378</v>
      </c>
      <c r="G508" s="79">
        <v>13</v>
      </c>
      <c r="H508" s="80">
        <v>0.0378</v>
      </c>
      <c r="I508" s="83">
        <v>1</v>
      </c>
      <c r="J508" s="79">
        <v>29</v>
      </c>
      <c r="K508" s="79"/>
      <c r="L508" s="80">
        <v>0</v>
      </c>
      <c r="M508" s="80"/>
      <c r="N508" s="86">
        <v>126</v>
      </c>
      <c r="O508" s="86"/>
      <c r="P508" s="79">
        <v>9</v>
      </c>
      <c r="Q508" s="87"/>
    </row>
    <row r="509" ht="15" spans="1:17">
      <c r="A509" s="89">
        <v>43362</v>
      </c>
      <c r="B509" s="78"/>
      <c r="C509" s="79">
        <v>5</v>
      </c>
      <c r="D509" s="88"/>
      <c r="E509" s="79">
        <v>49</v>
      </c>
      <c r="F509" s="80">
        <v>0.6689</v>
      </c>
      <c r="G509" s="79">
        <v>42</v>
      </c>
      <c r="H509" s="80">
        <v>0.6689</v>
      </c>
      <c r="I509" s="83">
        <v>1</v>
      </c>
      <c r="J509" s="79">
        <v>13</v>
      </c>
      <c r="K509" s="79"/>
      <c r="L509" s="80">
        <v>0.2823</v>
      </c>
      <c r="M509" s="80"/>
      <c r="N509" s="86">
        <v>211</v>
      </c>
      <c r="O509" s="86"/>
      <c r="P509" s="79">
        <v>10</v>
      </c>
      <c r="Q509" s="87"/>
    </row>
    <row r="510" ht="15" spans="1:17">
      <c r="A510" s="89">
        <v>43362</v>
      </c>
      <c r="B510" s="78"/>
      <c r="C510" s="79">
        <v>4</v>
      </c>
      <c r="D510" s="88"/>
      <c r="E510" s="79">
        <v>27</v>
      </c>
      <c r="F510" s="80">
        <v>0.0033</v>
      </c>
      <c r="G510" s="79">
        <v>50</v>
      </c>
      <c r="H510" s="80">
        <v>0.0033</v>
      </c>
      <c r="I510" s="83">
        <v>1</v>
      </c>
      <c r="J510" s="79">
        <v>25</v>
      </c>
      <c r="K510" s="79"/>
      <c r="L510" s="80">
        <v>0</v>
      </c>
      <c r="M510" s="80"/>
      <c r="N510" s="86">
        <v>154</v>
      </c>
      <c r="O510" s="86"/>
      <c r="P510" s="79">
        <v>12</v>
      </c>
      <c r="Q510" s="87"/>
    </row>
    <row r="511" ht="15" spans="1:17">
      <c r="A511" s="89">
        <v>43362</v>
      </c>
      <c r="B511" s="78"/>
      <c r="C511" s="79">
        <v>2</v>
      </c>
      <c r="D511" s="88"/>
      <c r="E511" s="79">
        <v>50</v>
      </c>
      <c r="F511" s="80">
        <v>0.106</v>
      </c>
      <c r="G511" s="79">
        <v>31</v>
      </c>
      <c r="H511" s="80">
        <v>0.106</v>
      </c>
      <c r="I511" s="83">
        <v>1</v>
      </c>
      <c r="J511" s="79">
        <v>28</v>
      </c>
      <c r="K511" s="79"/>
      <c r="L511" s="80">
        <v>0.2</v>
      </c>
      <c r="M511" s="80"/>
      <c r="N511" s="86">
        <v>267</v>
      </c>
      <c r="O511" s="86"/>
      <c r="P511" s="79">
        <v>9</v>
      </c>
      <c r="Q511" s="87"/>
    </row>
    <row r="512" ht="15" spans="1:17">
      <c r="A512" s="89">
        <v>43362</v>
      </c>
      <c r="B512" s="78"/>
      <c r="C512" s="79">
        <v>3</v>
      </c>
      <c r="D512" s="88"/>
      <c r="E512" s="79">
        <v>65</v>
      </c>
      <c r="F512" s="80">
        <v>0.0497</v>
      </c>
      <c r="G512" s="79">
        <v>83</v>
      </c>
      <c r="H512" s="80">
        <v>0.0497</v>
      </c>
      <c r="I512" s="83">
        <v>1</v>
      </c>
      <c r="J512" s="79">
        <v>21</v>
      </c>
      <c r="K512" s="79"/>
      <c r="L512" s="80">
        <v>0</v>
      </c>
      <c r="M512" s="80"/>
      <c r="N512" s="86">
        <v>288</v>
      </c>
      <c r="O512" s="86"/>
      <c r="P512" s="79">
        <v>1</v>
      </c>
      <c r="Q512" s="87"/>
    </row>
    <row r="513" ht="15" spans="1:17">
      <c r="A513" s="89">
        <v>43362</v>
      </c>
      <c r="B513" s="78"/>
      <c r="C513" s="79">
        <v>1</v>
      </c>
      <c r="D513" s="88"/>
      <c r="E513" s="79">
        <v>14</v>
      </c>
      <c r="F513" s="80">
        <v>0.1026</v>
      </c>
      <c r="G513" s="79">
        <v>46</v>
      </c>
      <c r="H513" s="80">
        <v>0.1026</v>
      </c>
      <c r="I513" s="83">
        <v>1</v>
      </c>
      <c r="J513" s="79">
        <v>5</v>
      </c>
      <c r="K513" s="79"/>
      <c r="L513" s="80">
        <v>0</v>
      </c>
      <c r="M513" s="80"/>
      <c r="N513" s="86">
        <v>193</v>
      </c>
      <c r="O513" s="86"/>
      <c r="P513" s="79">
        <v>14</v>
      </c>
      <c r="Q513" s="87"/>
    </row>
    <row r="514" ht="15" spans="1:17">
      <c r="A514" s="89">
        <v>43362</v>
      </c>
      <c r="B514" s="78"/>
      <c r="C514" s="79">
        <v>6</v>
      </c>
      <c r="D514" s="88"/>
      <c r="E514" s="79">
        <v>30</v>
      </c>
      <c r="F514" s="80">
        <v>0.0132</v>
      </c>
      <c r="G514" s="79">
        <v>54</v>
      </c>
      <c r="H514" s="80">
        <v>0.0132</v>
      </c>
      <c r="I514" s="83">
        <v>1</v>
      </c>
      <c r="J514" s="79">
        <v>2</v>
      </c>
      <c r="K514" s="79"/>
      <c r="L514" s="80">
        <v>0</v>
      </c>
      <c r="M514" s="80"/>
      <c r="N514" s="86">
        <v>452</v>
      </c>
      <c r="O514" s="86"/>
      <c r="P514" s="79">
        <v>4</v>
      </c>
      <c r="Q514" s="87"/>
    </row>
    <row r="515" ht="15" spans="1:17">
      <c r="A515" s="89">
        <v>43362</v>
      </c>
      <c r="B515" s="78"/>
      <c r="C515" s="79">
        <v>7</v>
      </c>
      <c r="D515" s="88"/>
      <c r="E515" s="79">
        <v>2</v>
      </c>
      <c r="F515" s="80">
        <v>0.0563</v>
      </c>
      <c r="G515" s="79">
        <v>29</v>
      </c>
      <c r="H515" s="80">
        <v>0.0563</v>
      </c>
      <c r="I515" s="83">
        <v>1</v>
      </c>
      <c r="J515" s="79">
        <v>24</v>
      </c>
      <c r="K515" s="79"/>
      <c r="L515" s="80">
        <v>0.1538</v>
      </c>
      <c r="M515" s="80"/>
      <c r="N515" s="86">
        <v>345</v>
      </c>
      <c r="O515" s="86"/>
      <c r="P515" s="79">
        <v>5</v>
      </c>
      <c r="Q515" s="87"/>
    </row>
    <row r="516" spans="1:17">
      <c r="A516" s="89">
        <v>43363</v>
      </c>
      <c r="B516" s="78"/>
      <c r="C516" s="79">
        <v>4</v>
      </c>
      <c r="D516" s="79"/>
      <c r="E516" s="79">
        <v>80</v>
      </c>
      <c r="F516" s="80">
        <v>0.0044</v>
      </c>
      <c r="G516" s="79">
        <v>38</v>
      </c>
      <c r="H516" s="80">
        <v>0.0044</v>
      </c>
      <c r="I516" s="83">
        <v>1</v>
      </c>
      <c r="J516" s="79">
        <v>20</v>
      </c>
      <c r="K516" s="79"/>
      <c r="L516" s="80">
        <v>0</v>
      </c>
      <c r="M516" s="80"/>
      <c r="N516" s="86">
        <v>348</v>
      </c>
      <c r="O516" s="86"/>
      <c r="P516" s="79">
        <v>17</v>
      </c>
      <c r="Q516" s="87"/>
    </row>
    <row r="517" spans="1:17">
      <c r="A517" s="89">
        <v>43363</v>
      </c>
      <c r="B517" s="78"/>
      <c r="C517" s="79">
        <v>2</v>
      </c>
      <c r="D517" s="79"/>
      <c r="E517" s="79">
        <v>63</v>
      </c>
      <c r="F517" s="80">
        <v>0.0929</v>
      </c>
      <c r="G517" s="79">
        <v>39</v>
      </c>
      <c r="H517" s="80">
        <v>0.0929</v>
      </c>
      <c r="I517" s="83">
        <v>1</v>
      </c>
      <c r="J517" s="79">
        <v>4</v>
      </c>
      <c r="K517" s="79"/>
      <c r="L517" s="80">
        <v>0.1667</v>
      </c>
      <c r="M517" s="80"/>
      <c r="N517" s="86">
        <v>393</v>
      </c>
      <c r="O517" s="86"/>
      <c r="P517" s="79">
        <v>11</v>
      </c>
      <c r="Q517" s="87"/>
    </row>
    <row r="518" spans="1:17">
      <c r="A518" s="89">
        <v>43363</v>
      </c>
      <c r="B518" s="78"/>
      <c r="C518" s="79">
        <v>5</v>
      </c>
      <c r="D518" s="79"/>
      <c r="E518" s="79">
        <v>70</v>
      </c>
      <c r="F518" s="80">
        <v>0.4867</v>
      </c>
      <c r="G518" s="79">
        <v>37</v>
      </c>
      <c r="H518" s="80">
        <v>0.4867</v>
      </c>
      <c r="I518" s="83">
        <v>1</v>
      </c>
      <c r="J518" s="79">
        <v>4</v>
      </c>
      <c r="K518" s="79"/>
      <c r="L518" s="80">
        <v>0.4308</v>
      </c>
      <c r="M518" s="80"/>
      <c r="N518" s="86">
        <v>327</v>
      </c>
      <c r="O518" s="86"/>
      <c r="P518" s="79">
        <v>14</v>
      </c>
      <c r="Q518" s="87"/>
    </row>
    <row r="519" spans="1:17">
      <c r="A519" s="89">
        <v>43363</v>
      </c>
      <c r="B519" s="78"/>
      <c r="C519" s="79">
        <v>3</v>
      </c>
      <c r="D519" s="79"/>
      <c r="E519" s="79">
        <v>57</v>
      </c>
      <c r="F519" s="80">
        <v>0.0133</v>
      </c>
      <c r="G519" s="79">
        <v>10</v>
      </c>
      <c r="H519" s="80">
        <v>0.0133</v>
      </c>
      <c r="I519" s="83">
        <v>1</v>
      </c>
      <c r="J519" s="79">
        <v>17</v>
      </c>
      <c r="K519" s="79"/>
      <c r="L519" s="80">
        <v>0.5</v>
      </c>
      <c r="M519" s="80"/>
      <c r="N519" s="86">
        <v>53</v>
      </c>
      <c r="O519" s="86"/>
      <c r="P519" s="79">
        <v>20</v>
      </c>
      <c r="Q519" s="87"/>
    </row>
    <row r="520" spans="1:17">
      <c r="A520" s="89">
        <v>43363</v>
      </c>
      <c r="B520" s="78"/>
      <c r="C520" s="79">
        <v>1</v>
      </c>
      <c r="D520" s="79"/>
      <c r="E520" s="79">
        <v>46</v>
      </c>
      <c r="F520" s="80">
        <v>0.2345</v>
      </c>
      <c r="G520" s="79">
        <v>34</v>
      </c>
      <c r="H520" s="80">
        <v>0.2345</v>
      </c>
      <c r="I520" s="83">
        <v>1</v>
      </c>
      <c r="J520" s="79">
        <v>4</v>
      </c>
      <c r="K520" s="79"/>
      <c r="L520" s="80">
        <v>0.0323</v>
      </c>
      <c r="M520" s="80"/>
      <c r="N520" s="86">
        <v>171</v>
      </c>
      <c r="O520" s="86"/>
      <c r="P520" s="79">
        <v>17</v>
      </c>
      <c r="Q520" s="87"/>
    </row>
    <row r="521" spans="1:17">
      <c r="A521" s="89">
        <v>43363</v>
      </c>
      <c r="B521" s="78"/>
      <c r="C521" s="79">
        <v>6</v>
      </c>
      <c r="D521" s="79"/>
      <c r="E521" s="79">
        <v>25</v>
      </c>
      <c r="F521" s="80">
        <v>0.0133</v>
      </c>
      <c r="G521" s="79">
        <v>38</v>
      </c>
      <c r="H521" s="80">
        <v>0.0133</v>
      </c>
      <c r="I521" s="83">
        <v>1</v>
      </c>
      <c r="J521" s="79">
        <v>28</v>
      </c>
      <c r="K521" s="79"/>
      <c r="L521" s="80">
        <v>0.5</v>
      </c>
      <c r="M521" s="80"/>
      <c r="N521" s="86">
        <v>96</v>
      </c>
      <c r="O521" s="86"/>
      <c r="P521" s="79">
        <v>5</v>
      </c>
      <c r="Q521" s="87"/>
    </row>
    <row r="522" spans="1:17">
      <c r="A522" s="89">
        <v>43363</v>
      </c>
      <c r="B522" s="78"/>
      <c r="C522" s="79">
        <v>7</v>
      </c>
      <c r="D522" s="79"/>
      <c r="E522" s="79">
        <v>54</v>
      </c>
      <c r="F522" s="80">
        <v>0.1549</v>
      </c>
      <c r="G522" s="79">
        <v>98</v>
      </c>
      <c r="H522" s="80">
        <v>0.1549</v>
      </c>
      <c r="I522" s="83">
        <v>0.97</v>
      </c>
      <c r="J522" s="79">
        <v>24</v>
      </c>
      <c r="K522" s="79"/>
      <c r="L522" s="80">
        <v>0</v>
      </c>
      <c r="M522" s="80"/>
      <c r="N522" s="86">
        <v>366</v>
      </c>
      <c r="O522" s="86"/>
      <c r="P522" s="79">
        <v>13</v>
      </c>
      <c r="Q522" s="87"/>
    </row>
    <row r="523" ht="15" spans="1:17">
      <c r="A523" s="89">
        <v>43364</v>
      </c>
      <c r="B523" s="78"/>
      <c r="C523" s="79">
        <v>2</v>
      </c>
      <c r="D523" s="88"/>
      <c r="E523" s="79">
        <v>54</v>
      </c>
      <c r="F523" s="80">
        <v>0.1594</v>
      </c>
      <c r="G523" s="79">
        <v>92</v>
      </c>
      <c r="H523" s="80">
        <v>0.1594</v>
      </c>
      <c r="I523" s="83">
        <v>0.95</v>
      </c>
      <c r="J523" s="79">
        <v>28</v>
      </c>
      <c r="K523" s="79"/>
      <c r="L523" s="80">
        <v>0.0625</v>
      </c>
      <c r="M523" s="80"/>
      <c r="N523" s="86">
        <v>419</v>
      </c>
      <c r="O523" s="86"/>
      <c r="P523" s="79">
        <v>1</v>
      </c>
      <c r="Q523" s="87"/>
    </row>
    <row r="524" ht="15" spans="1:17">
      <c r="A524" s="89">
        <v>43364</v>
      </c>
      <c r="B524" s="78"/>
      <c r="C524" s="79">
        <v>5</v>
      </c>
      <c r="D524" s="88"/>
      <c r="E524" s="79">
        <v>1</v>
      </c>
      <c r="F524" s="80">
        <v>0.4058</v>
      </c>
      <c r="G524" s="79">
        <v>6</v>
      </c>
      <c r="H524" s="80">
        <v>0.4058</v>
      </c>
      <c r="I524" s="83">
        <v>0.98</v>
      </c>
      <c r="J524" s="79">
        <v>4</v>
      </c>
      <c r="K524" s="79"/>
      <c r="L524" s="80">
        <v>0.2381</v>
      </c>
      <c r="M524" s="80"/>
      <c r="N524" s="86">
        <v>280</v>
      </c>
      <c r="O524" s="86"/>
      <c r="P524" s="79">
        <v>5</v>
      </c>
      <c r="Q524" s="87"/>
    </row>
    <row r="525" ht="15" spans="1:17">
      <c r="A525" s="89">
        <v>43364</v>
      </c>
      <c r="B525" s="78"/>
      <c r="C525" s="79">
        <v>3</v>
      </c>
      <c r="D525" s="88"/>
      <c r="E525" s="79">
        <v>76</v>
      </c>
      <c r="F525" s="80">
        <v>0.029</v>
      </c>
      <c r="G525" s="79">
        <v>29</v>
      </c>
      <c r="H525" s="80">
        <v>0.029</v>
      </c>
      <c r="I525" s="83">
        <v>1</v>
      </c>
      <c r="J525" s="79">
        <v>11</v>
      </c>
      <c r="K525" s="79"/>
      <c r="L525" s="80">
        <v>0</v>
      </c>
      <c r="M525" s="80"/>
      <c r="N525" s="86">
        <v>163</v>
      </c>
      <c r="O525" s="86"/>
      <c r="P525" s="79">
        <v>11</v>
      </c>
      <c r="Q525" s="87"/>
    </row>
    <row r="526" ht="15" spans="1:17">
      <c r="A526" s="89">
        <v>43364</v>
      </c>
      <c r="B526" s="78"/>
      <c r="C526" s="79">
        <v>1</v>
      </c>
      <c r="D526" s="88"/>
      <c r="E526" s="79">
        <v>52</v>
      </c>
      <c r="F526" s="80">
        <v>0.2899</v>
      </c>
      <c r="G526" s="79">
        <v>95</v>
      </c>
      <c r="H526" s="80">
        <v>0.2899</v>
      </c>
      <c r="I526" s="83">
        <v>1</v>
      </c>
      <c r="J526" s="79">
        <v>8</v>
      </c>
      <c r="K526" s="79"/>
      <c r="L526" s="80">
        <v>0.0333</v>
      </c>
      <c r="M526" s="80"/>
      <c r="N526" s="86">
        <v>450</v>
      </c>
      <c r="O526" s="86"/>
      <c r="P526" s="79">
        <v>4</v>
      </c>
      <c r="Q526" s="87"/>
    </row>
    <row r="527" ht="15" spans="1:17">
      <c r="A527" s="89">
        <v>43364</v>
      </c>
      <c r="B527" s="78"/>
      <c r="C527" s="79">
        <v>6</v>
      </c>
      <c r="D527" s="88"/>
      <c r="E527" s="79">
        <v>61</v>
      </c>
      <c r="F527" s="80">
        <v>0.0072</v>
      </c>
      <c r="G527" s="79">
        <v>8</v>
      </c>
      <c r="H527" s="80">
        <v>0.0072</v>
      </c>
      <c r="I527" s="83">
        <v>1</v>
      </c>
      <c r="J527" s="79">
        <v>5</v>
      </c>
      <c r="K527" s="79"/>
      <c r="L527" s="80">
        <v>0</v>
      </c>
      <c r="M527" s="80"/>
      <c r="N527" s="86">
        <v>264</v>
      </c>
      <c r="O527" s="86"/>
      <c r="P527" s="79">
        <v>16</v>
      </c>
      <c r="Q527" s="87"/>
    </row>
    <row r="528" ht="15" spans="1:17">
      <c r="A528" s="89">
        <v>43364</v>
      </c>
      <c r="B528" s="78"/>
      <c r="C528" s="79">
        <v>7</v>
      </c>
      <c r="D528" s="88"/>
      <c r="E528" s="79">
        <v>35</v>
      </c>
      <c r="F528" s="80">
        <v>0.1087</v>
      </c>
      <c r="G528" s="79">
        <v>40</v>
      </c>
      <c r="H528" s="80">
        <v>0.1087</v>
      </c>
      <c r="I528" s="83">
        <v>1</v>
      </c>
      <c r="J528" s="79">
        <v>13</v>
      </c>
      <c r="K528" s="79"/>
      <c r="L528" s="80">
        <v>0.0909</v>
      </c>
      <c r="M528" s="80"/>
      <c r="N528" s="86">
        <v>476</v>
      </c>
      <c r="O528" s="86"/>
      <c r="P528" s="79">
        <v>8</v>
      </c>
      <c r="Q528" s="87"/>
    </row>
    <row r="529" ht="15" spans="1:17">
      <c r="A529" s="89">
        <v>43365</v>
      </c>
      <c r="B529" s="78"/>
      <c r="C529" s="79">
        <v>2</v>
      </c>
      <c r="D529" s="88"/>
      <c r="E529" s="79">
        <v>13</v>
      </c>
      <c r="F529" s="80">
        <v>0.1645</v>
      </c>
      <c r="G529" s="79">
        <v>81</v>
      </c>
      <c r="H529" s="80">
        <v>0.1645</v>
      </c>
      <c r="I529" s="83">
        <v>1</v>
      </c>
      <c r="J529" s="79">
        <v>4</v>
      </c>
      <c r="K529" s="79"/>
      <c r="L529" s="80">
        <v>0.2941</v>
      </c>
      <c r="M529" s="80"/>
      <c r="N529" s="86">
        <v>131</v>
      </c>
      <c r="O529" s="86"/>
      <c r="P529" s="79">
        <v>8</v>
      </c>
      <c r="Q529" s="87"/>
    </row>
    <row r="530" ht="15" spans="1:17">
      <c r="A530" s="89">
        <v>43365</v>
      </c>
      <c r="B530" s="78"/>
      <c r="C530" s="79">
        <v>5</v>
      </c>
      <c r="D530" s="88"/>
      <c r="E530" s="79">
        <v>34</v>
      </c>
      <c r="F530" s="80">
        <v>0.375</v>
      </c>
      <c r="G530" s="79">
        <v>33</v>
      </c>
      <c r="H530" s="80">
        <v>0.375</v>
      </c>
      <c r="I530" s="83">
        <v>1</v>
      </c>
      <c r="J530" s="79">
        <v>22</v>
      </c>
      <c r="K530" s="79"/>
      <c r="L530" s="80">
        <v>0.1277</v>
      </c>
      <c r="M530" s="80"/>
      <c r="N530" s="86">
        <v>416</v>
      </c>
      <c r="O530" s="86"/>
      <c r="P530" s="79">
        <v>14</v>
      </c>
      <c r="Q530" s="87"/>
    </row>
    <row r="531" ht="15" spans="1:17">
      <c r="A531" s="89">
        <v>43365</v>
      </c>
      <c r="B531" s="78"/>
      <c r="C531" s="79">
        <v>3</v>
      </c>
      <c r="D531" s="88"/>
      <c r="E531" s="79">
        <v>68</v>
      </c>
      <c r="F531" s="80">
        <v>0.0329</v>
      </c>
      <c r="G531" s="79">
        <v>96</v>
      </c>
      <c r="H531" s="80">
        <v>0.0329</v>
      </c>
      <c r="I531" s="83">
        <v>1</v>
      </c>
      <c r="J531" s="79">
        <v>18</v>
      </c>
      <c r="K531" s="79"/>
      <c r="L531" s="80">
        <v>0.25</v>
      </c>
      <c r="M531" s="80"/>
      <c r="N531" s="86">
        <v>252</v>
      </c>
      <c r="O531" s="86"/>
      <c r="P531" s="79">
        <v>9</v>
      </c>
      <c r="Q531" s="87"/>
    </row>
    <row r="532" ht="15" spans="1:17">
      <c r="A532" s="89">
        <v>43365</v>
      </c>
      <c r="B532" s="78"/>
      <c r="C532" s="79">
        <v>1</v>
      </c>
      <c r="D532" s="88"/>
      <c r="E532" s="79">
        <v>59</v>
      </c>
      <c r="F532" s="80">
        <v>0.3487</v>
      </c>
      <c r="G532" s="79">
        <v>21</v>
      </c>
      <c r="H532" s="80">
        <v>0.3487</v>
      </c>
      <c r="I532" s="83">
        <v>0.98</v>
      </c>
      <c r="J532" s="79">
        <v>13</v>
      </c>
      <c r="K532" s="79"/>
      <c r="L532" s="80">
        <v>0.0968</v>
      </c>
      <c r="M532" s="80"/>
      <c r="N532" s="86">
        <v>240</v>
      </c>
      <c r="O532" s="86"/>
      <c r="P532" s="79">
        <v>7</v>
      </c>
      <c r="Q532" s="87"/>
    </row>
    <row r="533" ht="15" spans="1:17">
      <c r="A533" s="89">
        <v>43365</v>
      </c>
      <c r="B533" s="78"/>
      <c r="C533" s="79">
        <v>6</v>
      </c>
      <c r="D533" s="88"/>
      <c r="E533" s="79">
        <v>86</v>
      </c>
      <c r="F533" s="80">
        <v>0.0132</v>
      </c>
      <c r="G533" s="79">
        <v>87</v>
      </c>
      <c r="H533" s="80">
        <v>0.0132</v>
      </c>
      <c r="I533" s="83">
        <v>1</v>
      </c>
      <c r="J533" s="79">
        <v>21</v>
      </c>
      <c r="K533" s="79"/>
      <c r="L533" s="80">
        <v>0</v>
      </c>
      <c r="M533" s="80"/>
      <c r="N533" s="86">
        <v>83</v>
      </c>
      <c r="O533" s="86"/>
      <c r="P533" s="79">
        <v>3</v>
      </c>
      <c r="Q533" s="87"/>
    </row>
    <row r="534" ht="15" spans="1:17">
      <c r="A534" s="89">
        <v>43365</v>
      </c>
      <c r="B534" s="78"/>
      <c r="C534" s="79">
        <v>7</v>
      </c>
      <c r="D534" s="88"/>
      <c r="E534" s="79">
        <v>81</v>
      </c>
      <c r="F534" s="80">
        <v>0.0658</v>
      </c>
      <c r="G534" s="79">
        <v>69</v>
      </c>
      <c r="H534" s="80">
        <v>0.0658</v>
      </c>
      <c r="I534" s="83">
        <v>1</v>
      </c>
      <c r="J534" s="79">
        <v>24</v>
      </c>
      <c r="K534" s="79"/>
      <c r="L534" s="80">
        <v>0.3</v>
      </c>
      <c r="M534" s="80"/>
      <c r="N534" s="86">
        <v>336</v>
      </c>
      <c r="O534" s="86"/>
      <c r="P534" s="79">
        <v>18</v>
      </c>
      <c r="Q534" s="87"/>
    </row>
    <row r="535" ht="15" spans="1:17">
      <c r="A535" s="89">
        <v>43366</v>
      </c>
      <c r="B535" s="78"/>
      <c r="C535" s="79">
        <v>4</v>
      </c>
      <c r="D535" s="88"/>
      <c r="E535" s="79">
        <v>9</v>
      </c>
      <c r="F535" s="80">
        <v>0.0437</v>
      </c>
      <c r="G535" s="79">
        <v>3</v>
      </c>
      <c r="H535" s="80">
        <v>0.0437</v>
      </c>
      <c r="I535" s="83">
        <v>1</v>
      </c>
      <c r="J535" s="79">
        <v>29</v>
      </c>
      <c r="K535" s="79"/>
      <c r="L535" s="80">
        <v>0</v>
      </c>
      <c r="M535" s="80"/>
      <c r="N535" s="86">
        <v>465</v>
      </c>
      <c r="O535" s="86"/>
      <c r="P535" s="79">
        <v>5</v>
      </c>
      <c r="Q535" s="87"/>
    </row>
    <row r="536" ht="15" spans="1:17">
      <c r="A536" s="89">
        <v>43366</v>
      </c>
      <c r="B536" s="78"/>
      <c r="C536" s="79">
        <v>2</v>
      </c>
      <c r="D536" s="88"/>
      <c r="E536" s="79">
        <v>52</v>
      </c>
      <c r="F536" s="80">
        <v>0.1366</v>
      </c>
      <c r="G536" s="79">
        <v>95</v>
      </c>
      <c r="H536" s="80">
        <v>0.1366</v>
      </c>
      <c r="I536" s="83">
        <v>1</v>
      </c>
      <c r="J536" s="79">
        <v>1</v>
      </c>
      <c r="K536" s="79"/>
      <c r="L536" s="80">
        <v>0</v>
      </c>
      <c r="M536" s="80"/>
      <c r="N536" s="86">
        <v>153</v>
      </c>
      <c r="O536" s="86"/>
      <c r="P536" s="79">
        <v>7</v>
      </c>
      <c r="Q536" s="87"/>
    </row>
    <row r="537" ht="15" spans="1:17">
      <c r="A537" s="89">
        <v>43366</v>
      </c>
      <c r="B537" s="78"/>
      <c r="C537" s="79">
        <v>5</v>
      </c>
      <c r="D537" s="88"/>
      <c r="E537" s="79">
        <v>67</v>
      </c>
      <c r="F537" s="80">
        <v>0.3934</v>
      </c>
      <c r="G537" s="79">
        <v>63</v>
      </c>
      <c r="H537" s="80">
        <v>0.3934</v>
      </c>
      <c r="I537" s="83">
        <v>1</v>
      </c>
      <c r="J537" s="79">
        <v>24</v>
      </c>
      <c r="K537" s="79"/>
      <c r="L537" s="80">
        <v>0.1321</v>
      </c>
      <c r="M537" s="80"/>
      <c r="N537" s="86">
        <v>258</v>
      </c>
      <c r="O537" s="86"/>
      <c r="P537" s="79">
        <v>13</v>
      </c>
      <c r="Q537" s="87"/>
    </row>
    <row r="538" ht="15" spans="1:17">
      <c r="A538" s="89">
        <v>43366</v>
      </c>
      <c r="B538" s="78"/>
      <c r="C538" s="79">
        <v>3</v>
      </c>
      <c r="D538" s="88"/>
      <c r="E538" s="79">
        <v>69</v>
      </c>
      <c r="F538" s="80">
        <v>0.0273</v>
      </c>
      <c r="G538" s="79">
        <v>9</v>
      </c>
      <c r="H538" s="80">
        <v>0.0273</v>
      </c>
      <c r="I538" s="83">
        <v>1</v>
      </c>
      <c r="J538" s="79">
        <v>11</v>
      </c>
      <c r="K538" s="79"/>
      <c r="L538" s="80">
        <v>0</v>
      </c>
      <c r="M538" s="80"/>
      <c r="N538" s="86">
        <v>173</v>
      </c>
      <c r="O538" s="86"/>
      <c r="P538" s="79">
        <v>5</v>
      </c>
      <c r="Q538" s="87"/>
    </row>
    <row r="539" ht="15" spans="1:17">
      <c r="A539" s="89">
        <v>43366</v>
      </c>
      <c r="B539" s="78"/>
      <c r="C539" s="79">
        <v>1</v>
      </c>
      <c r="D539" s="88"/>
      <c r="E539" s="79">
        <v>61</v>
      </c>
      <c r="F539" s="80">
        <v>0.235</v>
      </c>
      <c r="G539" s="79">
        <v>27</v>
      </c>
      <c r="H539" s="80">
        <v>0.235</v>
      </c>
      <c r="I539" s="83">
        <v>1</v>
      </c>
      <c r="J539" s="79">
        <v>3</v>
      </c>
      <c r="K539" s="79"/>
      <c r="L539" s="80">
        <v>0.0811</v>
      </c>
      <c r="M539" s="80"/>
      <c r="N539" s="86">
        <v>446</v>
      </c>
      <c r="O539" s="86"/>
      <c r="P539" s="79">
        <v>10</v>
      </c>
      <c r="Q539" s="87"/>
    </row>
    <row r="540" ht="15" spans="1:17">
      <c r="A540" s="89">
        <v>43366</v>
      </c>
      <c r="B540" s="78"/>
      <c r="C540" s="79">
        <v>6</v>
      </c>
      <c r="D540" s="88"/>
      <c r="E540" s="79">
        <v>30</v>
      </c>
      <c r="F540" s="80">
        <v>0.0492</v>
      </c>
      <c r="G540" s="79">
        <v>50</v>
      </c>
      <c r="H540" s="80">
        <v>0.0492</v>
      </c>
      <c r="I540" s="83">
        <v>1</v>
      </c>
      <c r="J540" s="79">
        <v>4</v>
      </c>
      <c r="K540" s="79"/>
      <c r="L540" s="80">
        <v>0</v>
      </c>
      <c r="M540" s="80"/>
      <c r="N540" s="86">
        <v>188</v>
      </c>
      <c r="O540" s="86"/>
      <c r="P540" s="79">
        <v>8</v>
      </c>
      <c r="Q540" s="87"/>
    </row>
    <row r="541" ht="15" spans="1:17">
      <c r="A541" s="89">
        <v>43366</v>
      </c>
      <c r="B541" s="78"/>
      <c r="C541" s="79">
        <v>7</v>
      </c>
      <c r="D541" s="88"/>
      <c r="E541" s="79">
        <v>89</v>
      </c>
      <c r="F541" s="80">
        <v>0.1148</v>
      </c>
      <c r="G541" s="79">
        <v>79</v>
      </c>
      <c r="H541" s="80">
        <v>0.1148</v>
      </c>
      <c r="I541" s="83">
        <v>1</v>
      </c>
      <c r="J541" s="79">
        <v>2</v>
      </c>
      <c r="K541" s="79"/>
      <c r="L541" s="80">
        <v>0</v>
      </c>
      <c r="M541" s="80"/>
      <c r="N541" s="86">
        <v>261</v>
      </c>
      <c r="O541" s="86"/>
      <c r="P541" s="79">
        <v>10</v>
      </c>
      <c r="Q541" s="87"/>
    </row>
    <row r="542" ht="15" spans="1:17">
      <c r="A542" s="89">
        <v>43367</v>
      </c>
      <c r="B542" s="78"/>
      <c r="C542" s="79">
        <v>2</v>
      </c>
      <c r="D542" s="88"/>
      <c r="E542" s="79">
        <v>52</v>
      </c>
      <c r="F542" s="80">
        <v>0.1011</v>
      </c>
      <c r="G542" s="79">
        <v>36</v>
      </c>
      <c r="H542" s="80">
        <v>0.1011</v>
      </c>
      <c r="I542" s="83">
        <v>1</v>
      </c>
      <c r="J542" s="79">
        <v>4</v>
      </c>
      <c r="K542" s="79"/>
      <c r="L542" s="80">
        <v>0.2857</v>
      </c>
      <c r="M542" s="80"/>
      <c r="N542" s="86">
        <v>261</v>
      </c>
      <c r="O542" s="86"/>
      <c r="P542" s="79">
        <v>5</v>
      </c>
      <c r="Q542" s="87"/>
    </row>
    <row r="543" ht="15" spans="1:17">
      <c r="A543" s="89">
        <v>43367</v>
      </c>
      <c r="B543" s="78"/>
      <c r="C543" s="79">
        <v>5</v>
      </c>
      <c r="D543" s="88"/>
      <c r="E543" s="79">
        <v>30</v>
      </c>
      <c r="F543" s="80">
        <v>0.5266</v>
      </c>
      <c r="G543" s="79">
        <v>72</v>
      </c>
      <c r="H543" s="80">
        <v>0.5266</v>
      </c>
      <c r="I543" s="83">
        <v>0.99</v>
      </c>
      <c r="J543" s="79">
        <v>13</v>
      </c>
      <c r="K543" s="79"/>
      <c r="L543" s="80">
        <v>0.3333</v>
      </c>
      <c r="M543" s="80"/>
      <c r="N543" s="86">
        <v>247</v>
      </c>
      <c r="O543" s="86"/>
      <c r="P543" s="79">
        <v>3</v>
      </c>
      <c r="Q543" s="87"/>
    </row>
    <row r="544" ht="15" spans="1:17">
      <c r="A544" s="89">
        <v>43367</v>
      </c>
      <c r="B544" s="78"/>
      <c r="C544" s="79">
        <v>3</v>
      </c>
      <c r="D544" s="88"/>
      <c r="E544" s="79">
        <v>57</v>
      </c>
      <c r="F544" s="80">
        <v>0.016</v>
      </c>
      <c r="G544" s="79">
        <v>50</v>
      </c>
      <c r="H544" s="80">
        <v>0.016</v>
      </c>
      <c r="I544" s="83">
        <v>1</v>
      </c>
      <c r="J544" s="79">
        <v>17</v>
      </c>
      <c r="K544" s="79"/>
      <c r="L544" s="80">
        <v>0</v>
      </c>
      <c r="M544" s="80"/>
      <c r="N544" s="86">
        <v>393</v>
      </c>
      <c r="O544" s="86"/>
      <c r="P544" s="79">
        <v>0</v>
      </c>
      <c r="Q544" s="87"/>
    </row>
    <row r="545" ht="15" spans="1:17">
      <c r="A545" s="89">
        <v>43367</v>
      </c>
      <c r="B545" s="78"/>
      <c r="C545" s="79">
        <v>1</v>
      </c>
      <c r="D545" s="88"/>
      <c r="E545" s="79">
        <v>28</v>
      </c>
      <c r="F545" s="80">
        <v>0.2553</v>
      </c>
      <c r="G545" s="79">
        <v>59</v>
      </c>
      <c r="H545" s="80">
        <v>0.2553</v>
      </c>
      <c r="I545" s="83">
        <v>1</v>
      </c>
      <c r="J545" s="79">
        <v>16</v>
      </c>
      <c r="K545" s="79"/>
      <c r="L545" s="80">
        <v>0.0811</v>
      </c>
      <c r="M545" s="80"/>
      <c r="N545" s="86">
        <v>481</v>
      </c>
      <c r="O545" s="86"/>
      <c r="P545" s="79">
        <v>15</v>
      </c>
      <c r="Q545" s="87"/>
    </row>
    <row r="546" ht="15" spans="1:17">
      <c r="A546" s="89">
        <v>43367</v>
      </c>
      <c r="B546" s="78"/>
      <c r="C546" s="79">
        <v>6</v>
      </c>
      <c r="D546" s="88"/>
      <c r="E546" s="79">
        <v>64</v>
      </c>
      <c r="F546" s="80">
        <v>0.0213</v>
      </c>
      <c r="G546" s="79">
        <v>71</v>
      </c>
      <c r="H546" s="80">
        <v>0.0213</v>
      </c>
      <c r="I546" s="83">
        <v>1</v>
      </c>
      <c r="J546" s="79">
        <v>18</v>
      </c>
      <c r="K546" s="79"/>
      <c r="L546" s="80">
        <v>0</v>
      </c>
      <c r="M546" s="80"/>
      <c r="N546" s="86">
        <v>412</v>
      </c>
      <c r="O546" s="86"/>
      <c r="P546" s="79">
        <v>1</v>
      </c>
      <c r="Q546" s="87"/>
    </row>
    <row r="547" ht="15" spans="1:17">
      <c r="A547" s="89">
        <v>43367</v>
      </c>
      <c r="B547" s="78"/>
      <c r="C547" s="79">
        <v>7</v>
      </c>
      <c r="D547" s="88"/>
      <c r="E547" s="79">
        <v>85</v>
      </c>
      <c r="F547" s="80">
        <v>0.0798</v>
      </c>
      <c r="G547" s="79">
        <v>6</v>
      </c>
      <c r="H547" s="80">
        <v>0.0798</v>
      </c>
      <c r="I547" s="83">
        <v>1</v>
      </c>
      <c r="J547" s="79">
        <v>21</v>
      </c>
      <c r="K547" s="79"/>
      <c r="L547" s="80">
        <v>0.4615</v>
      </c>
      <c r="M547" s="80"/>
      <c r="N547" s="86">
        <v>345</v>
      </c>
      <c r="O547" s="86"/>
      <c r="P547" s="79">
        <v>12</v>
      </c>
      <c r="Q547" s="87"/>
    </row>
    <row r="548" ht="15" spans="1:17">
      <c r="A548" s="89">
        <v>43368</v>
      </c>
      <c r="B548" s="78"/>
      <c r="C548" s="79">
        <v>4</v>
      </c>
      <c r="D548" s="88"/>
      <c r="E548" s="79">
        <v>15</v>
      </c>
      <c r="F548" s="80">
        <v>0.0061</v>
      </c>
      <c r="G548" s="79">
        <v>88</v>
      </c>
      <c r="H548" s="80">
        <v>0.0061</v>
      </c>
      <c r="I548" s="83">
        <v>1</v>
      </c>
      <c r="J548" s="79">
        <v>6</v>
      </c>
      <c r="K548" s="79"/>
      <c r="L548" s="80">
        <v>0</v>
      </c>
      <c r="M548" s="80"/>
      <c r="N548" s="86">
        <v>449</v>
      </c>
      <c r="O548" s="86"/>
      <c r="P548" s="79">
        <v>1</v>
      </c>
      <c r="Q548" s="87"/>
    </row>
    <row r="549" ht="15" spans="1:17">
      <c r="A549" s="89">
        <v>43368</v>
      </c>
      <c r="B549" s="78"/>
      <c r="C549" s="79">
        <v>2</v>
      </c>
      <c r="D549" s="88"/>
      <c r="E549" s="79">
        <v>33</v>
      </c>
      <c r="F549" s="80">
        <v>0.0909</v>
      </c>
      <c r="G549" s="79">
        <v>7</v>
      </c>
      <c r="H549" s="80">
        <v>0.0909</v>
      </c>
      <c r="I549" s="83">
        <v>1</v>
      </c>
      <c r="J549" s="79">
        <v>20</v>
      </c>
      <c r="K549" s="79"/>
      <c r="L549" s="80">
        <v>0.0833</v>
      </c>
      <c r="M549" s="80"/>
      <c r="N549" s="86">
        <v>278</v>
      </c>
      <c r="O549" s="86"/>
      <c r="P549" s="79">
        <v>7</v>
      </c>
      <c r="Q549" s="87"/>
    </row>
    <row r="550" ht="15" spans="1:17">
      <c r="A550" s="89">
        <v>43368</v>
      </c>
      <c r="B550" s="78"/>
      <c r="C550" s="79">
        <v>5</v>
      </c>
      <c r="D550" s="88"/>
      <c r="E550" s="79">
        <v>47</v>
      </c>
      <c r="F550" s="80">
        <v>0.4667</v>
      </c>
      <c r="G550" s="79">
        <v>42</v>
      </c>
      <c r="H550" s="80">
        <v>0.4667</v>
      </c>
      <c r="I550" s="83">
        <v>0.99</v>
      </c>
      <c r="J550" s="79">
        <v>25</v>
      </c>
      <c r="K550" s="79"/>
      <c r="L550" s="80">
        <v>0.2075</v>
      </c>
      <c r="M550" s="80"/>
      <c r="N550" s="86">
        <v>305</v>
      </c>
      <c r="O550" s="86"/>
      <c r="P550" s="79">
        <v>10</v>
      </c>
      <c r="Q550" s="87"/>
    </row>
    <row r="551" ht="15" spans="1:17">
      <c r="A551" s="89">
        <v>43368</v>
      </c>
      <c r="B551" s="78"/>
      <c r="C551" s="79">
        <v>3</v>
      </c>
      <c r="D551" s="88"/>
      <c r="E551" s="79">
        <v>98</v>
      </c>
      <c r="F551" s="80">
        <v>0.0364</v>
      </c>
      <c r="G551" s="79">
        <v>36</v>
      </c>
      <c r="H551" s="80">
        <v>0.0364</v>
      </c>
      <c r="I551" s="83">
        <v>1</v>
      </c>
      <c r="J551" s="79">
        <v>24</v>
      </c>
      <c r="K551" s="79"/>
      <c r="L551" s="80">
        <v>0</v>
      </c>
      <c r="M551" s="80"/>
      <c r="N551" s="86">
        <v>346</v>
      </c>
      <c r="O551" s="86"/>
      <c r="P551" s="79">
        <v>1</v>
      </c>
      <c r="Q551" s="87"/>
    </row>
    <row r="552" ht="15" spans="1:17">
      <c r="A552" s="89">
        <v>43368</v>
      </c>
      <c r="B552" s="78"/>
      <c r="C552" s="79">
        <v>1</v>
      </c>
      <c r="D552" s="88"/>
      <c r="E552" s="79">
        <v>53</v>
      </c>
      <c r="F552" s="80">
        <v>0.2788</v>
      </c>
      <c r="G552" s="79">
        <v>67</v>
      </c>
      <c r="H552" s="80">
        <v>0.2788</v>
      </c>
      <c r="I552" s="83">
        <v>1</v>
      </c>
      <c r="J552" s="79">
        <v>24</v>
      </c>
      <c r="K552" s="79"/>
      <c r="L552" s="80">
        <v>0.0588</v>
      </c>
      <c r="M552" s="80"/>
      <c r="N552" s="86">
        <v>278</v>
      </c>
      <c r="O552" s="86"/>
      <c r="P552" s="79">
        <v>9</v>
      </c>
      <c r="Q552" s="87"/>
    </row>
    <row r="553" ht="15" spans="1:17">
      <c r="A553" s="89">
        <v>43368</v>
      </c>
      <c r="B553" s="78"/>
      <c r="C553" s="79">
        <v>6</v>
      </c>
      <c r="D553" s="88"/>
      <c r="E553" s="79">
        <v>21</v>
      </c>
      <c r="F553" s="80">
        <v>0.0121</v>
      </c>
      <c r="G553" s="79">
        <v>73</v>
      </c>
      <c r="H553" s="80">
        <v>0.0121</v>
      </c>
      <c r="I553" s="83">
        <v>1</v>
      </c>
      <c r="J553" s="79">
        <v>6</v>
      </c>
      <c r="K553" s="79"/>
      <c r="L553" s="80">
        <v>0</v>
      </c>
      <c r="M553" s="80"/>
      <c r="N553" s="86">
        <v>345</v>
      </c>
      <c r="O553" s="86"/>
      <c r="P553" s="79">
        <v>14</v>
      </c>
      <c r="Q553" s="87"/>
    </row>
    <row r="554" ht="15" spans="1:17">
      <c r="A554" s="89">
        <v>43368</v>
      </c>
      <c r="B554" s="78"/>
      <c r="C554" s="79">
        <v>7</v>
      </c>
      <c r="D554" s="88"/>
      <c r="E554" s="79">
        <v>51</v>
      </c>
      <c r="F554" s="80">
        <v>0.1091</v>
      </c>
      <c r="G554" s="79">
        <v>85</v>
      </c>
      <c r="H554" s="80">
        <v>0.1091</v>
      </c>
      <c r="I554" s="83">
        <v>1</v>
      </c>
      <c r="J554" s="79">
        <v>27</v>
      </c>
      <c r="K554" s="79"/>
      <c r="L554" s="80">
        <v>0.125</v>
      </c>
      <c r="M554" s="80"/>
      <c r="N554" s="86">
        <v>367</v>
      </c>
      <c r="O554" s="86"/>
      <c r="P554" s="79">
        <v>20</v>
      </c>
      <c r="Q554" s="87"/>
    </row>
    <row r="555" ht="15" spans="1:17">
      <c r="A555" s="89">
        <v>43369</v>
      </c>
      <c r="B555" s="78"/>
      <c r="C555" s="79">
        <v>2</v>
      </c>
      <c r="D555" s="88"/>
      <c r="E555" s="79">
        <v>80</v>
      </c>
      <c r="F555" s="80">
        <v>0.1294</v>
      </c>
      <c r="G555" s="79">
        <v>61</v>
      </c>
      <c r="H555" s="80">
        <v>0.1294</v>
      </c>
      <c r="I555" s="83">
        <v>1</v>
      </c>
      <c r="J555" s="79">
        <v>18</v>
      </c>
      <c r="K555" s="79"/>
      <c r="L555" s="80">
        <v>0.0714</v>
      </c>
      <c r="M555" s="80"/>
      <c r="N555" s="86">
        <v>322</v>
      </c>
      <c r="O555" s="86"/>
      <c r="P555" s="79">
        <v>16</v>
      </c>
      <c r="Q555" s="87"/>
    </row>
    <row r="556" ht="15" spans="1:17">
      <c r="A556" s="89">
        <v>43369</v>
      </c>
      <c r="B556" s="78"/>
      <c r="C556" s="79">
        <v>5</v>
      </c>
      <c r="D556" s="88"/>
      <c r="E556" s="79">
        <v>69</v>
      </c>
      <c r="F556" s="80">
        <v>0.5412</v>
      </c>
      <c r="G556" s="79">
        <v>40</v>
      </c>
      <c r="H556" s="80">
        <v>0.5412</v>
      </c>
      <c r="I556" s="83">
        <v>1</v>
      </c>
      <c r="J556" s="79">
        <v>15</v>
      </c>
      <c r="K556" s="79"/>
      <c r="L556" s="80">
        <v>0.4444</v>
      </c>
      <c r="M556" s="80"/>
      <c r="N556" s="86">
        <v>149</v>
      </c>
      <c r="O556" s="86"/>
      <c r="P556" s="79">
        <v>9</v>
      </c>
      <c r="Q556" s="87"/>
    </row>
    <row r="557" ht="15" spans="1:17">
      <c r="A557" s="89">
        <v>43369</v>
      </c>
      <c r="B557" s="78"/>
      <c r="C557" s="79">
        <v>3</v>
      </c>
      <c r="D557" s="88"/>
      <c r="E557" s="79">
        <v>68</v>
      </c>
      <c r="F557" s="80">
        <v>0.0294</v>
      </c>
      <c r="G557" s="79">
        <v>37</v>
      </c>
      <c r="H557" s="80">
        <v>0.0294</v>
      </c>
      <c r="I557" s="83">
        <v>1</v>
      </c>
      <c r="J557" s="79">
        <v>1</v>
      </c>
      <c r="K557" s="79"/>
      <c r="L557" s="80">
        <v>0</v>
      </c>
      <c r="M557" s="80"/>
      <c r="N557" s="86">
        <v>382</v>
      </c>
      <c r="O557" s="86"/>
      <c r="P557" s="79">
        <v>5</v>
      </c>
      <c r="Q557" s="87"/>
    </row>
    <row r="558" ht="15" spans="1:17">
      <c r="A558" s="89">
        <v>43369</v>
      </c>
      <c r="B558" s="78"/>
      <c r="C558" s="79">
        <v>1</v>
      </c>
      <c r="D558" s="88"/>
      <c r="E558" s="79">
        <v>79</v>
      </c>
      <c r="F558" s="80">
        <v>0.2412</v>
      </c>
      <c r="G558" s="79">
        <v>80</v>
      </c>
      <c r="H558" s="80">
        <v>0.2412</v>
      </c>
      <c r="I558" s="83">
        <v>1</v>
      </c>
      <c r="J558" s="79">
        <v>3</v>
      </c>
      <c r="K558" s="79"/>
      <c r="L558" s="80">
        <v>0</v>
      </c>
      <c r="M558" s="80"/>
      <c r="N558" s="86">
        <v>190</v>
      </c>
      <c r="O558" s="86"/>
      <c r="P558" s="79">
        <v>19</v>
      </c>
      <c r="Q558" s="87"/>
    </row>
    <row r="559" ht="15" spans="1:17">
      <c r="A559" s="89">
        <v>43369</v>
      </c>
      <c r="B559" s="78"/>
      <c r="C559" s="79">
        <v>7</v>
      </c>
      <c r="D559" s="88"/>
      <c r="E559" s="79">
        <v>64</v>
      </c>
      <c r="F559" s="80">
        <v>0.0588</v>
      </c>
      <c r="G559" s="79">
        <v>56</v>
      </c>
      <c r="H559" s="80">
        <v>0.0588</v>
      </c>
      <c r="I559" s="83">
        <v>1</v>
      </c>
      <c r="J559" s="79">
        <v>18</v>
      </c>
      <c r="K559" s="79"/>
      <c r="L559" s="80">
        <v>0</v>
      </c>
      <c r="M559" s="80"/>
      <c r="N559" s="86">
        <v>130</v>
      </c>
      <c r="O559" s="86"/>
      <c r="P559" s="79">
        <v>9</v>
      </c>
      <c r="Q559" s="87"/>
    </row>
    <row r="560" ht="15" spans="1:17">
      <c r="A560" s="89">
        <v>43370</v>
      </c>
      <c r="B560" s="78"/>
      <c r="C560" s="79">
        <v>2</v>
      </c>
      <c r="D560" s="88"/>
      <c r="E560" s="79">
        <v>17</v>
      </c>
      <c r="F560" s="80">
        <v>0.0719</v>
      </c>
      <c r="G560" s="79">
        <v>33</v>
      </c>
      <c r="H560" s="80">
        <v>0.0719</v>
      </c>
      <c r="I560" s="83">
        <v>1</v>
      </c>
      <c r="J560" s="79">
        <v>24</v>
      </c>
      <c r="K560" s="79"/>
      <c r="L560" s="80">
        <v>0</v>
      </c>
      <c r="M560" s="80"/>
      <c r="N560" s="86">
        <v>241</v>
      </c>
      <c r="O560" s="86"/>
      <c r="P560" s="79">
        <v>5</v>
      </c>
      <c r="Q560" s="87"/>
    </row>
    <row r="561" ht="15" spans="1:17">
      <c r="A561" s="89">
        <v>43370</v>
      </c>
      <c r="B561" s="78"/>
      <c r="C561" s="79">
        <v>5</v>
      </c>
      <c r="D561" s="88"/>
      <c r="E561" s="79">
        <v>28</v>
      </c>
      <c r="F561" s="80">
        <v>0.6043</v>
      </c>
      <c r="G561" s="79">
        <v>46</v>
      </c>
      <c r="H561" s="80">
        <v>0.6043</v>
      </c>
      <c r="I561" s="83">
        <v>0.99</v>
      </c>
      <c r="J561" s="79">
        <v>20</v>
      </c>
      <c r="K561" s="79"/>
      <c r="L561" s="80">
        <v>0.2222</v>
      </c>
      <c r="M561" s="80"/>
      <c r="N561" s="86">
        <v>249</v>
      </c>
      <c r="O561" s="86"/>
      <c r="P561" s="79">
        <v>5</v>
      </c>
      <c r="Q561" s="87"/>
    </row>
    <row r="562" ht="15" spans="1:17">
      <c r="A562" s="89">
        <v>43370</v>
      </c>
      <c r="B562" s="78"/>
      <c r="C562" s="79">
        <v>3</v>
      </c>
      <c r="D562" s="88"/>
      <c r="E562" s="79">
        <v>72</v>
      </c>
      <c r="F562" s="80">
        <v>0.0216</v>
      </c>
      <c r="G562" s="79">
        <v>61</v>
      </c>
      <c r="H562" s="80">
        <v>0.0216</v>
      </c>
      <c r="I562" s="83">
        <v>1</v>
      </c>
      <c r="J562" s="79">
        <v>22</v>
      </c>
      <c r="K562" s="79"/>
      <c r="L562" s="80">
        <v>0</v>
      </c>
      <c r="M562" s="80"/>
      <c r="N562" s="86">
        <v>183</v>
      </c>
      <c r="O562" s="86"/>
      <c r="P562" s="79">
        <v>5</v>
      </c>
      <c r="Q562" s="87"/>
    </row>
    <row r="563" ht="15" spans="1:17">
      <c r="A563" s="89">
        <v>43370</v>
      </c>
      <c r="B563" s="78"/>
      <c r="C563" s="79">
        <v>1</v>
      </c>
      <c r="D563" s="88"/>
      <c r="E563" s="79">
        <v>51</v>
      </c>
      <c r="F563" s="80">
        <v>0.223</v>
      </c>
      <c r="G563" s="79">
        <v>19</v>
      </c>
      <c r="H563" s="80">
        <v>0.223</v>
      </c>
      <c r="I563" s="83">
        <v>1</v>
      </c>
      <c r="J563" s="79">
        <v>28</v>
      </c>
      <c r="K563" s="79"/>
      <c r="L563" s="80">
        <v>0.1154</v>
      </c>
      <c r="M563" s="80"/>
      <c r="N563" s="86">
        <v>432</v>
      </c>
      <c r="O563" s="86"/>
      <c r="P563" s="79">
        <v>13</v>
      </c>
      <c r="Q563" s="87"/>
    </row>
    <row r="564" ht="15" spans="1:17">
      <c r="A564" s="89">
        <v>43370</v>
      </c>
      <c r="B564" s="78"/>
      <c r="C564" s="79">
        <v>6</v>
      </c>
      <c r="D564" s="88"/>
      <c r="E564" s="79">
        <v>56</v>
      </c>
      <c r="F564" s="80">
        <v>0.0216</v>
      </c>
      <c r="G564" s="79">
        <v>91</v>
      </c>
      <c r="H564" s="80">
        <v>0.0216</v>
      </c>
      <c r="I564" s="83">
        <v>1</v>
      </c>
      <c r="J564" s="79">
        <v>23</v>
      </c>
      <c r="K564" s="79"/>
      <c r="L564" s="80">
        <v>0</v>
      </c>
      <c r="M564" s="80"/>
      <c r="N564" s="86">
        <v>167</v>
      </c>
      <c r="O564" s="86"/>
      <c r="P564" s="79">
        <v>13</v>
      </c>
      <c r="Q564" s="87"/>
    </row>
    <row r="565" ht="15" spans="1:17">
      <c r="A565" s="89">
        <v>43370</v>
      </c>
      <c r="B565" s="78"/>
      <c r="C565" s="79">
        <v>7</v>
      </c>
      <c r="D565" s="88"/>
      <c r="E565" s="79">
        <v>16</v>
      </c>
      <c r="F565" s="80">
        <v>0.0576</v>
      </c>
      <c r="G565" s="79">
        <v>97</v>
      </c>
      <c r="H565" s="80">
        <v>0.0576</v>
      </c>
      <c r="I565" s="83">
        <v>1</v>
      </c>
      <c r="J565" s="79">
        <v>7</v>
      </c>
      <c r="K565" s="79"/>
      <c r="L565" s="80">
        <v>0.375</v>
      </c>
      <c r="M565" s="80"/>
      <c r="N565" s="86">
        <v>119</v>
      </c>
      <c r="O565" s="86"/>
      <c r="P565" s="79">
        <v>6</v>
      </c>
      <c r="Q565" s="87"/>
    </row>
    <row r="566" ht="15" spans="1:17">
      <c r="A566" s="89">
        <v>43371</v>
      </c>
      <c r="B566" s="78"/>
      <c r="C566" s="79">
        <v>5</v>
      </c>
      <c r="D566" s="88"/>
      <c r="E566" s="79">
        <v>45</v>
      </c>
      <c r="F566" s="80">
        <v>0.4306</v>
      </c>
      <c r="G566" s="79">
        <v>15</v>
      </c>
      <c r="H566" s="80">
        <v>0.4306</v>
      </c>
      <c r="I566" s="83">
        <v>1</v>
      </c>
      <c r="J566" s="79">
        <v>3</v>
      </c>
      <c r="K566" s="79"/>
      <c r="L566" s="80">
        <v>0.4098</v>
      </c>
      <c r="M566" s="80"/>
      <c r="N566" s="86">
        <v>70</v>
      </c>
      <c r="O566" s="86"/>
      <c r="P566" s="79">
        <v>1</v>
      </c>
      <c r="Q566" s="87"/>
    </row>
    <row r="567" ht="15" spans="1:17">
      <c r="A567" s="89">
        <v>43371</v>
      </c>
      <c r="B567" s="78"/>
      <c r="C567" s="79">
        <v>1</v>
      </c>
      <c r="D567" s="88"/>
      <c r="E567" s="79">
        <v>98</v>
      </c>
      <c r="F567" s="80">
        <v>0.2344</v>
      </c>
      <c r="G567" s="79">
        <v>99</v>
      </c>
      <c r="H567" s="80">
        <v>0.2344</v>
      </c>
      <c r="I567" s="83">
        <v>1</v>
      </c>
      <c r="J567" s="79">
        <v>26</v>
      </c>
      <c r="K567" s="79"/>
      <c r="L567" s="80">
        <v>0.1389</v>
      </c>
      <c r="M567" s="80"/>
      <c r="N567" s="86">
        <v>208</v>
      </c>
      <c r="O567" s="86"/>
      <c r="P567" s="79">
        <v>12</v>
      </c>
      <c r="Q567" s="87"/>
    </row>
    <row r="568" ht="15" spans="1:17">
      <c r="A568" s="89">
        <v>43371</v>
      </c>
      <c r="B568" s="78"/>
      <c r="C568" s="79">
        <v>4</v>
      </c>
      <c r="D568" s="88"/>
      <c r="E568" s="79">
        <v>83</v>
      </c>
      <c r="F568" s="80">
        <v>0.0096</v>
      </c>
      <c r="G568" s="79">
        <v>43</v>
      </c>
      <c r="H568" s="80">
        <v>0.0096</v>
      </c>
      <c r="I568" s="83">
        <v>1</v>
      </c>
      <c r="J568" s="79">
        <v>2</v>
      </c>
      <c r="K568" s="79"/>
      <c r="L568" s="80">
        <v>0</v>
      </c>
      <c r="M568" s="80"/>
      <c r="N568" s="86">
        <v>232</v>
      </c>
      <c r="O568" s="86"/>
      <c r="P568" s="79">
        <v>19</v>
      </c>
      <c r="Q568" s="87"/>
    </row>
    <row r="569" ht="15" spans="1:17">
      <c r="A569" s="89">
        <v>43371</v>
      </c>
      <c r="B569" s="78"/>
      <c r="C569" s="79">
        <v>2</v>
      </c>
      <c r="D569" s="88"/>
      <c r="E569" s="79">
        <v>44</v>
      </c>
      <c r="F569" s="80">
        <v>0.1531</v>
      </c>
      <c r="G569" s="79">
        <v>75</v>
      </c>
      <c r="H569" s="80">
        <v>0.1531</v>
      </c>
      <c r="I569" s="83">
        <v>1</v>
      </c>
      <c r="J569" s="79">
        <v>6</v>
      </c>
      <c r="K569" s="79"/>
      <c r="L569" s="80">
        <v>0.2</v>
      </c>
      <c r="M569" s="80"/>
      <c r="N569" s="86">
        <v>58</v>
      </c>
      <c r="O569" s="86"/>
      <c r="P569" s="79">
        <v>1</v>
      </c>
      <c r="Q569" s="87"/>
    </row>
    <row r="570" ht="15" spans="1:17">
      <c r="A570" s="89">
        <v>43371</v>
      </c>
      <c r="B570" s="78"/>
      <c r="C570" s="79">
        <v>3</v>
      </c>
      <c r="D570" s="88"/>
      <c r="E570" s="79">
        <v>59</v>
      </c>
      <c r="F570" s="80">
        <v>0.0239</v>
      </c>
      <c r="G570" s="79">
        <v>37</v>
      </c>
      <c r="H570" s="80">
        <v>0.0239</v>
      </c>
      <c r="I570" s="83">
        <v>1</v>
      </c>
      <c r="J570" s="79">
        <v>0</v>
      </c>
      <c r="K570" s="79"/>
      <c r="L570" s="80">
        <v>0</v>
      </c>
      <c r="M570" s="80"/>
      <c r="N570" s="86">
        <v>440</v>
      </c>
      <c r="O570" s="86"/>
      <c r="P570" s="79">
        <v>15</v>
      </c>
      <c r="Q570" s="87"/>
    </row>
    <row r="571" ht="15" spans="1:17">
      <c r="A571" s="89">
        <v>43371</v>
      </c>
      <c r="B571" s="78"/>
      <c r="C571" s="79">
        <v>6</v>
      </c>
      <c r="D571" s="88"/>
      <c r="E571" s="79">
        <v>25</v>
      </c>
      <c r="F571" s="80">
        <v>0.0622</v>
      </c>
      <c r="G571" s="79">
        <v>95</v>
      </c>
      <c r="H571" s="80">
        <v>0.0622</v>
      </c>
      <c r="I571" s="83">
        <v>1</v>
      </c>
      <c r="J571" s="79">
        <v>3</v>
      </c>
      <c r="K571" s="79"/>
      <c r="L571" s="80">
        <v>0</v>
      </c>
      <c r="M571" s="80"/>
      <c r="N571" s="86">
        <v>460</v>
      </c>
      <c r="O571" s="86"/>
      <c r="P571" s="79">
        <v>2</v>
      </c>
      <c r="Q571" s="87"/>
    </row>
    <row r="572" ht="15" spans="1:17">
      <c r="A572" s="89">
        <v>43371</v>
      </c>
      <c r="B572" s="78"/>
      <c r="C572" s="79">
        <v>7</v>
      </c>
      <c r="D572" s="88"/>
      <c r="E572" s="79">
        <v>52</v>
      </c>
      <c r="F572" s="80">
        <v>0.0861</v>
      </c>
      <c r="G572" s="79">
        <v>64</v>
      </c>
      <c r="H572" s="80">
        <v>0.0861</v>
      </c>
      <c r="I572" s="83">
        <v>1</v>
      </c>
      <c r="J572" s="79">
        <v>8</v>
      </c>
      <c r="K572" s="79"/>
      <c r="L572" s="80">
        <v>0.1429</v>
      </c>
      <c r="M572" s="80"/>
      <c r="N572" s="86">
        <v>88</v>
      </c>
      <c r="O572" s="86"/>
      <c r="P572" s="79">
        <v>18</v>
      </c>
      <c r="Q572" s="87"/>
    </row>
    <row r="573" ht="15" spans="1:17">
      <c r="A573" s="89">
        <v>43372</v>
      </c>
      <c r="B573" s="78"/>
      <c r="C573" s="79">
        <v>1</v>
      </c>
      <c r="D573" s="88"/>
      <c r="E573" s="79">
        <v>63</v>
      </c>
      <c r="F573" s="80">
        <v>0.3624</v>
      </c>
      <c r="G573" s="79">
        <v>0</v>
      </c>
      <c r="H573" s="80">
        <v>0.3624</v>
      </c>
      <c r="I573" s="83">
        <v>1</v>
      </c>
      <c r="J573" s="79">
        <v>21</v>
      </c>
      <c r="K573" s="79"/>
      <c r="L573" s="80">
        <v>0.119</v>
      </c>
      <c r="M573" s="80"/>
      <c r="N573" s="86">
        <v>352</v>
      </c>
      <c r="O573" s="86"/>
      <c r="P573" s="79">
        <v>2</v>
      </c>
      <c r="Q573" s="87"/>
    </row>
    <row r="574" ht="15" spans="1:17">
      <c r="A574" s="89">
        <v>43372</v>
      </c>
      <c r="B574" s="78"/>
      <c r="C574" s="79">
        <v>4</v>
      </c>
      <c r="D574" s="88"/>
      <c r="E574" s="79">
        <v>40</v>
      </c>
      <c r="F574" s="80">
        <v>0.0067</v>
      </c>
      <c r="G574" s="79">
        <v>37</v>
      </c>
      <c r="H574" s="80">
        <v>0.0067</v>
      </c>
      <c r="I574" s="83">
        <v>1</v>
      </c>
      <c r="J574" s="79">
        <v>0</v>
      </c>
      <c r="K574" s="79"/>
      <c r="L574" s="80">
        <v>0</v>
      </c>
      <c r="M574" s="80"/>
      <c r="N574" s="86">
        <v>473</v>
      </c>
      <c r="O574" s="86"/>
      <c r="P574" s="79">
        <v>18</v>
      </c>
      <c r="Q574" s="87"/>
    </row>
    <row r="575" ht="15" spans="1:17">
      <c r="A575" s="89">
        <v>43372</v>
      </c>
      <c r="B575" s="78"/>
      <c r="C575" s="79">
        <v>2</v>
      </c>
      <c r="D575" s="88"/>
      <c r="E575" s="79">
        <v>7</v>
      </c>
      <c r="F575" s="80">
        <v>0.1007</v>
      </c>
      <c r="G575" s="79">
        <v>49</v>
      </c>
      <c r="H575" s="80">
        <v>0.1007</v>
      </c>
      <c r="I575" s="83">
        <v>1</v>
      </c>
      <c r="J575" s="79">
        <v>21</v>
      </c>
      <c r="K575" s="79"/>
      <c r="L575" s="80">
        <v>0.3333</v>
      </c>
      <c r="M575" s="80"/>
      <c r="N575" s="86">
        <v>188</v>
      </c>
      <c r="O575" s="86"/>
      <c r="P575" s="79">
        <v>10</v>
      </c>
      <c r="Q575" s="87"/>
    </row>
    <row r="576" ht="15" spans="1:17">
      <c r="A576" s="89">
        <v>43372</v>
      </c>
      <c r="B576" s="78"/>
      <c r="C576" s="79">
        <v>5</v>
      </c>
      <c r="D576" s="88"/>
      <c r="E576" s="79">
        <v>58</v>
      </c>
      <c r="F576" s="80">
        <v>0.4161</v>
      </c>
      <c r="G576" s="79">
        <v>96</v>
      </c>
      <c r="H576" s="80">
        <v>0.4161</v>
      </c>
      <c r="I576" s="83">
        <v>1</v>
      </c>
      <c r="J576" s="79">
        <v>3</v>
      </c>
      <c r="K576" s="79"/>
      <c r="L576" s="80">
        <v>0.2083</v>
      </c>
      <c r="M576" s="80"/>
      <c r="N576" s="86">
        <v>364</v>
      </c>
      <c r="O576" s="86"/>
      <c r="P576" s="79">
        <v>7</v>
      </c>
      <c r="Q576" s="87"/>
    </row>
    <row r="577" ht="15" spans="1:17">
      <c r="A577" s="89">
        <v>43372</v>
      </c>
      <c r="B577" s="78"/>
      <c r="C577" s="79">
        <v>3</v>
      </c>
      <c r="D577" s="88"/>
      <c r="E577" s="79">
        <v>4</v>
      </c>
      <c r="F577" s="80">
        <v>0.0336</v>
      </c>
      <c r="G577" s="79">
        <v>40</v>
      </c>
      <c r="H577" s="80">
        <v>0.0336</v>
      </c>
      <c r="I577" s="83">
        <v>1</v>
      </c>
      <c r="J577" s="79">
        <v>15</v>
      </c>
      <c r="K577" s="79"/>
      <c r="L577" s="80">
        <v>0</v>
      </c>
      <c r="M577" s="80"/>
      <c r="N577" s="86">
        <v>145</v>
      </c>
      <c r="O577" s="86"/>
      <c r="P577" s="79">
        <v>7</v>
      </c>
      <c r="Q577" s="87"/>
    </row>
    <row r="578" ht="15" spans="1:17">
      <c r="A578" s="89">
        <v>43372</v>
      </c>
      <c r="B578" s="78"/>
      <c r="C578" s="79">
        <v>6</v>
      </c>
      <c r="D578" s="88"/>
      <c r="E578" s="79">
        <v>93</v>
      </c>
      <c r="F578" s="80">
        <v>0.0067</v>
      </c>
      <c r="G578" s="79">
        <v>17</v>
      </c>
      <c r="H578" s="80">
        <v>0.0067</v>
      </c>
      <c r="I578" s="83">
        <v>1</v>
      </c>
      <c r="J578" s="79">
        <v>8</v>
      </c>
      <c r="K578" s="79"/>
      <c r="L578" s="80">
        <v>0</v>
      </c>
      <c r="M578" s="80"/>
      <c r="N578" s="86">
        <v>122</v>
      </c>
      <c r="O578" s="86"/>
      <c r="P578" s="79">
        <v>10</v>
      </c>
      <c r="Q578" s="87"/>
    </row>
    <row r="579" ht="15" spans="1:17">
      <c r="A579" s="89">
        <v>43372</v>
      </c>
      <c r="B579" s="78"/>
      <c r="C579" s="79">
        <v>7</v>
      </c>
      <c r="D579" s="88"/>
      <c r="E579" s="79">
        <v>51</v>
      </c>
      <c r="F579" s="80">
        <v>0.0738</v>
      </c>
      <c r="G579" s="79">
        <v>66</v>
      </c>
      <c r="H579" s="80">
        <v>0.0738</v>
      </c>
      <c r="I579" s="83">
        <v>1</v>
      </c>
      <c r="J579" s="79">
        <v>14</v>
      </c>
      <c r="K579" s="79"/>
      <c r="L579" s="80">
        <v>0</v>
      </c>
      <c r="M579" s="80"/>
      <c r="N579" s="86">
        <v>264</v>
      </c>
      <c r="O579" s="86"/>
      <c r="P579" s="79">
        <v>0</v>
      </c>
      <c r="Q579" s="87"/>
    </row>
    <row r="580" ht="15" spans="1:17">
      <c r="A580" s="89">
        <v>43373</v>
      </c>
      <c r="B580" s="78"/>
      <c r="C580" s="79">
        <v>5</v>
      </c>
      <c r="D580" s="88"/>
      <c r="E580" s="79">
        <v>45</v>
      </c>
      <c r="F580" s="80">
        <v>0.6857</v>
      </c>
      <c r="G580" s="79">
        <v>55</v>
      </c>
      <c r="H580" s="80">
        <v>0.6857</v>
      </c>
      <c r="I580" s="83">
        <v>1</v>
      </c>
      <c r="J580" s="79">
        <v>3</v>
      </c>
      <c r="K580" s="79"/>
      <c r="L580" s="80">
        <v>0.2102</v>
      </c>
      <c r="M580" s="80"/>
      <c r="N580" s="86">
        <v>264</v>
      </c>
      <c r="O580" s="86"/>
      <c r="P580" s="79">
        <v>9</v>
      </c>
      <c r="Q580" s="87"/>
    </row>
    <row r="581" ht="15" spans="1:17">
      <c r="A581" s="89">
        <v>43373</v>
      </c>
      <c r="B581" s="78"/>
      <c r="C581" s="79">
        <v>2</v>
      </c>
      <c r="D581" s="88"/>
      <c r="E581" s="79">
        <v>81</v>
      </c>
      <c r="F581" s="80">
        <v>0.075</v>
      </c>
      <c r="G581" s="79">
        <v>94</v>
      </c>
      <c r="H581" s="80">
        <v>0.075</v>
      </c>
      <c r="I581" s="83">
        <v>1</v>
      </c>
      <c r="J581" s="79">
        <v>12</v>
      </c>
      <c r="K581" s="79"/>
      <c r="L581" s="80">
        <v>0.1333</v>
      </c>
      <c r="M581" s="80"/>
      <c r="N581" s="86">
        <v>402</v>
      </c>
      <c r="O581" s="86"/>
      <c r="P581" s="79">
        <v>0</v>
      </c>
      <c r="Q581" s="87"/>
    </row>
    <row r="582" ht="15" spans="1:17">
      <c r="A582" s="89">
        <v>43373</v>
      </c>
      <c r="B582" s="78"/>
      <c r="C582" s="79">
        <v>3</v>
      </c>
      <c r="D582" s="88"/>
      <c r="E582" s="79">
        <v>90</v>
      </c>
      <c r="F582" s="80">
        <v>0.0143</v>
      </c>
      <c r="G582" s="79">
        <v>0</v>
      </c>
      <c r="H582" s="80">
        <v>0.0143</v>
      </c>
      <c r="I582" s="83">
        <v>1</v>
      </c>
      <c r="J582" s="79">
        <v>19</v>
      </c>
      <c r="K582" s="79"/>
      <c r="L582" s="80">
        <v>0</v>
      </c>
      <c r="M582" s="80"/>
      <c r="N582" s="86">
        <v>149</v>
      </c>
      <c r="O582" s="86"/>
      <c r="P582" s="79">
        <v>17</v>
      </c>
      <c r="Q582" s="87"/>
    </row>
    <row r="583" ht="15" spans="1:17">
      <c r="A583" s="89">
        <v>43373</v>
      </c>
      <c r="B583" s="78"/>
      <c r="C583" s="79">
        <v>1</v>
      </c>
      <c r="D583" s="88"/>
      <c r="E583" s="79">
        <v>21</v>
      </c>
      <c r="F583" s="80">
        <v>0.1571</v>
      </c>
      <c r="G583" s="79">
        <v>89</v>
      </c>
      <c r="H583" s="80">
        <v>0.1571</v>
      </c>
      <c r="I583" s="83">
        <v>1</v>
      </c>
      <c r="J583" s="79">
        <v>8</v>
      </c>
      <c r="K583" s="79"/>
      <c r="L583" s="80">
        <v>0.1176</v>
      </c>
      <c r="M583" s="80"/>
      <c r="N583" s="86">
        <v>362</v>
      </c>
      <c r="O583" s="86"/>
      <c r="P583" s="79">
        <v>18</v>
      </c>
      <c r="Q583" s="87"/>
    </row>
    <row r="584" ht="15" spans="1:17">
      <c r="A584" s="89">
        <v>43373</v>
      </c>
      <c r="B584" s="78"/>
      <c r="C584" s="79">
        <v>6</v>
      </c>
      <c r="D584" s="88"/>
      <c r="E584" s="79">
        <v>34</v>
      </c>
      <c r="F584" s="80">
        <v>0.0071</v>
      </c>
      <c r="G584" s="79">
        <v>93</v>
      </c>
      <c r="H584" s="80">
        <v>0.0071</v>
      </c>
      <c r="I584" s="83">
        <v>1</v>
      </c>
      <c r="J584" s="79">
        <v>25</v>
      </c>
      <c r="K584" s="79"/>
      <c r="L584" s="80">
        <v>0</v>
      </c>
      <c r="M584" s="80"/>
      <c r="N584" s="86">
        <v>126</v>
      </c>
      <c r="O584" s="86"/>
      <c r="P584" s="79">
        <v>10</v>
      </c>
      <c r="Q584" s="87"/>
    </row>
    <row r="585" ht="15" spans="1:17">
      <c r="A585" s="89">
        <v>43373</v>
      </c>
      <c r="B585" s="78"/>
      <c r="C585" s="79">
        <v>7</v>
      </c>
      <c r="D585" s="88"/>
      <c r="E585" s="79">
        <v>59</v>
      </c>
      <c r="F585" s="80">
        <v>0.0607</v>
      </c>
      <c r="G585" s="79">
        <v>93</v>
      </c>
      <c r="H585" s="80">
        <v>0.0607</v>
      </c>
      <c r="I585" s="83">
        <v>1</v>
      </c>
      <c r="J585" s="79">
        <v>4</v>
      </c>
      <c r="K585" s="79"/>
      <c r="L585" s="80">
        <v>0.0714</v>
      </c>
      <c r="M585" s="80"/>
      <c r="N585" s="86">
        <v>111</v>
      </c>
      <c r="O585" s="86"/>
      <c r="P585" s="79">
        <v>2</v>
      </c>
      <c r="Q585" s="87"/>
    </row>
    <row r="586" ht="15" spans="1:17">
      <c r="A586" s="89">
        <v>43374</v>
      </c>
      <c r="B586" s="78"/>
      <c r="C586" s="79">
        <v>5</v>
      </c>
      <c r="D586" s="88"/>
      <c r="E586" s="79">
        <v>42</v>
      </c>
      <c r="F586" s="80">
        <v>0.7591</v>
      </c>
      <c r="G586" s="79">
        <v>26</v>
      </c>
      <c r="H586" s="80">
        <v>0.7591</v>
      </c>
      <c r="I586" s="83">
        <v>0.99</v>
      </c>
      <c r="J586" s="79">
        <v>11</v>
      </c>
      <c r="K586" s="79"/>
      <c r="L586" s="80">
        <v>0.2755</v>
      </c>
      <c r="M586" s="80"/>
      <c r="N586" s="86">
        <v>395</v>
      </c>
      <c r="O586" s="86"/>
      <c r="P586" s="79">
        <v>17</v>
      </c>
      <c r="Q586" s="87"/>
    </row>
    <row r="587" ht="15" spans="1:17">
      <c r="A587" s="89">
        <v>43374</v>
      </c>
      <c r="B587" s="78"/>
      <c r="C587" s="79">
        <v>1</v>
      </c>
      <c r="D587" s="88"/>
      <c r="E587" s="79">
        <v>9</v>
      </c>
      <c r="F587" s="80">
        <v>0.122</v>
      </c>
      <c r="G587" s="79">
        <v>96</v>
      </c>
      <c r="H587" s="80">
        <v>0.122</v>
      </c>
      <c r="I587" s="83">
        <v>1</v>
      </c>
      <c r="J587" s="79">
        <v>26</v>
      </c>
      <c r="K587" s="79"/>
      <c r="L587" s="80">
        <v>0.0909</v>
      </c>
      <c r="M587" s="80"/>
      <c r="N587" s="86">
        <v>284</v>
      </c>
      <c r="O587" s="86"/>
      <c r="P587" s="79">
        <v>18</v>
      </c>
      <c r="Q587" s="87"/>
    </row>
    <row r="588" ht="15" spans="1:17">
      <c r="A588" s="89">
        <v>43374</v>
      </c>
      <c r="B588" s="78"/>
      <c r="C588" s="79">
        <v>2</v>
      </c>
      <c r="D588" s="88"/>
      <c r="E588" s="79">
        <v>16</v>
      </c>
      <c r="F588" s="80">
        <v>0.0579</v>
      </c>
      <c r="G588" s="79">
        <v>90</v>
      </c>
      <c r="H588" s="80">
        <v>0.0579</v>
      </c>
      <c r="I588" s="83">
        <v>1</v>
      </c>
      <c r="J588" s="79">
        <v>26</v>
      </c>
      <c r="K588" s="79"/>
      <c r="L588" s="80">
        <v>0.0714</v>
      </c>
      <c r="M588" s="80"/>
      <c r="N588" s="86">
        <v>187</v>
      </c>
      <c r="O588" s="86"/>
      <c r="P588" s="79">
        <v>9</v>
      </c>
      <c r="Q588" s="87"/>
    </row>
    <row r="589" ht="15" spans="1:17">
      <c r="A589" s="89">
        <v>43374</v>
      </c>
      <c r="B589" s="78"/>
      <c r="C589" s="79">
        <v>3</v>
      </c>
      <c r="D589" s="88"/>
      <c r="E589" s="79">
        <v>77</v>
      </c>
      <c r="F589" s="80">
        <v>0.0213</v>
      </c>
      <c r="G589" s="79">
        <v>8</v>
      </c>
      <c r="H589" s="80">
        <v>0.0213</v>
      </c>
      <c r="I589" s="83">
        <v>1</v>
      </c>
      <c r="J589" s="79">
        <v>5</v>
      </c>
      <c r="K589" s="79"/>
      <c r="L589" s="80">
        <v>0</v>
      </c>
      <c r="M589" s="80"/>
      <c r="N589" s="86">
        <v>486</v>
      </c>
      <c r="O589" s="86"/>
      <c r="P589" s="79">
        <v>12</v>
      </c>
      <c r="Q589" s="87"/>
    </row>
    <row r="590" ht="15" spans="1:17">
      <c r="A590" s="89">
        <v>43374</v>
      </c>
      <c r="B590" s="78"/>
      <c r="C590" s="79">
        <v>7</v>
      </c>
      <c r="D590" s="88"/>
      <c r="E590" s="79">
        <v>59</v>
      </c>
      <c r="F590" s="80">
        <v>0.0396</v>
      </c>
      <c r="G590" s="79">
        <v>29</v>
      </c>
      <c r="H590" s="80">
        <v>0.0396</v>
      </c>
      <c r="I590" s="83">
        <v>0.92</v>
      </c>
      <c r="J590" s="79">
        <v>12</v>
      </c>
      <c r="K590" s="79"/>
      <c r="L590" s="80">
        <v>0</v>
      </c>
      <c r="M590" s="80"/>
      <c r="N590" s="86">
        <v>166</v>
      </c>
      <c r="O590" s="86"/>
      <c r="P590" s="79">
        <v>9</v>
      </c>
      <c r="Q590" s="87"/>
    </row>
    <row r="591" ht="15" spans="1:17">
      <c r="A591" s="89">
        <v>43375</v>
      </c>
      <c r="B591" s="78"/>
      <c r="C591" s="79">
        <v>2</v>
      </c>
      <c r="D591" s="88"/>
      <c r="E591" s="79">
        <v>59</v>
      </c>
      <c r="F591" s="80">
        <v>0.0885</v>
      </c>
      <c r="G591" s="79">
        <v>16</v>
      </c>
      <c r="H591" s="80">
        <v>0.0885</v>
      </c>
      <c r="I591" s="83">
        <v>1</v>
      </c>
      <c r="J591" s="79">
        <v>13</v>
      </c>
      <c r="K591" s="79"/>
      <c r="L591" s="80">
        <v>0.1333</v>
      </c>
      <c r="M591" s="80"/>
      <c r="N591" s="86">
        <v>337</v>
      </c>
      <c r="O591" s="86"/>
      <c r="P591" s="79">
        <v>12</v>
      </c>
      <c r="Q591" s="87"/>
    </row>
    <row r="592" ht="15" spans="1:17">
      <c r="A592" s="89">
        <v>43375</v>
      </c>
      <c r="B592" s="78"/>
      <c r="C592" s="79">
        <v>5</v>
      </c>
      <c r="D592" s="88"/>
      <c r="E592" s="79">
        <v>89</v>
      </c>
      <c r="F592" s="80">
        <v>0.4323</v>
      </c>
      <c r="G592" s="79">
        <v>79</v>
      </c>
      <c r="H592" s="80">
        <v>0.4323</v>
      </c>
      <c r="I592" s="83">
        <v>1</v>
      </c>
      <c r="J592" s="79">
        <v>1</v>
      </c>
      <c r="K592" s="79"/>
      <c r="L592" s="80">
        <v>0.1406</v>
      </c>
      <c r="M592" s="80"/>
      <c r="N592" s="86">
        <v>263</v>
      </c>
      <c r="O592" s="86"/>
      <c r="P592" s="79">
        <v>8</v>
      </c>
      <c r="Q592" s="87"/>
    </row>
    <row r="593" ht="15" spans="1:17">
      <c r="A593" s="89">
        <v>43375</v>
      </c>
      <c r="B593" s="78"/>
      <c r="C593" s="79">
        <v>3</v>
      </c>
      <c r="D593" s="88"/>
      <c r="E593" s="79">
        <v>16</v>
      </c>
      <c r="F593" s="80">
        <v>0.0104</v>
      </c>
      <c r="G593" s="79">
        <v>64</v>
      </c>
      <c r="H593" s="80">
        <v>0.0104</v>
      </c>
      <c r="I593" s="83">
        <v>1</v>
      </c>
      <c r="J593" s="79">
        <v>2</v>
      </c>
      <c r="K593" s="79"/>
      <c r="L593" s="80">
        <v>0</v>
      </c>
      <c r="M593" s="80"/>
      <c r="N593" s="86">
        <v>485</v>
      </c>
      <c r="O593" s="86"/>
      <c r="P593" s="79">
        <v>20</v>
      </c>
      <c r="Q593" s="87"/>
    </row>
    <row r="594" ht="15" spans="1:17">
      <c r="A594" s="89">
        <v>43375</v>
      </c>
      <c r="B594" s="78"/>
      <c r="C594" s="79">
        <v>1</v>
      </c>
      <c r="D594" s="88"/>
      <c r="E594" s="79">
        <v>4</v>
      </c>
      <c r="F594" s="80">
        <v>0.3385</v>
      </c>
      <c r="G594" s="79">
        <v>95</v>
      </c>
      <c r="H594" s="80">
        <v>0.3385</v>
      </c>
      <c r="I594" s="83">
        <v>1</v>
      </c>
      <c r="J594" s="79">
        <v>10</v>
      </c>
      <c r="K594" s="79"/>
      <c r="L594" s="80">
        <v>0.0732</v>
      </c>
      <c r="M594" s="80"/>
      <c r="N594" s="86">
        <v>246</v>
      </c>
      <c r="O594" s="86"/>
      <c r="P594" s="79">
        <v>18</v>
      </c>
      <c r="Q594" s="87"/>
    </row>
    <row r="595" ht="15" spans="1:17">
      <c r="A595" s="89">
        <v>43375</v>
      </c>
      <c r="B595" s="78"/>
      <c r="C595" s="79">
        <v>6</v>
      </c>
      <c r="D595" s="88"/>
      <c r="E595" s="79">
        <v>33</v>
      </c>
      <c r="F595" s="80">
        <v>0</v>
      </c>
      <c r="G595" s="79">
        <v>95</v>
      </c>
      <c r="H595" s="80">
        <v>0</v>
      </c>
      <c r="I595" s="83">
        <v>0</v>
      </c>
      <c r="J595" s="79">
        <v>17</v>
      </c>
      <c r="K595" s="79"/>
      <c r="L595" s="80">
        <v>0</v>
      </c>
      <c r="M595" s="80"/>
      <c r="N595" s="86">
        <v>485</v>
      </c>
      <c r="O595" s="86"/>
      <c r="P595" s="79">
        <v>20</v>
      </c>
      <c r="Q595" s="87"/>
    </row>
    <row r="596" ht="15" spans="1:17">
      <c r="A596" s="89">
        <v>43375</v>
      </c>
      <c r="B596" s="78"/>
      <c r="C596" s="79">
        <v>7</v>
      </c>
      <c r="D596" s="88"/>
      <c r="E596" s="79">
        <v>74</v>
      </c>
      <c r="F596" s="80">
        <v>0.1302</v>
      </c>
      <c r="G596" s="79">
        <v>20</v>
      </c>
      <c r="H596" s="80">
        <v>0.1302</v>
      </c>
      <c r="I596" s="83">
        <v>0.96</v>
      </c>
      <c r="J596" s="79">
        <v>13</v>
      </c>
      <c r="K596" s="79"/>
      <c r="L596" s="80">
        <v>0.1053</v>
      </c>
      <c r="M596" s="80"/>
      <c r="N596" s="86">
        <v>477</v>
      </c>
      <c r="O596" s="86"/>
      <c r="P596" s="79">
        <v>8</v>
      </c>
      <c r="Q596" s="87"/>
    </row>
    <row r="597" ht="15" spans="1:17">
      <c r="A597" s="89">
        <v>43376</v>
      </c>
      <c r="B597" s="78"/>
      <c r="C597" s="79">
        <v>2</v>
      </c>
      <c r="D597" s="88"/>
      <c r="E597" s="79">
        <v>38</v>
      </c>
      <c r="F597" s="80">
        <v>0.1449</v>
      </c>
      <c r="G597" s="79">
        <v>38</v>
      </c>
      <c r="H597" s="80">
        <v>0.1449</v>
      </c>
      <c r="I597" s="83">
        <v>1</v>
      </c>
      <c r="J597" s="79">
        <v>25</v>
      </c>
      <c r="K597" s="79"/>
      <c r="L597" s="80">
        <v>0.1765</v>
      </c>
      <c r="M597" s="80"/>
      <c r="N597" s="86">
        <v>490</v>
      </c>
      <c r="O597" s="86"/>
      <c r="P597" s="79">
        <v>3</v>
      </c>
      <c r="Q597" s="87"/>
    </row>
    <row r="598" ht="15" spans="1:17">
      <c r="A598" s="89">
        <v>43376</v>
      </c>
      <c r="B598" s="78"/>
      <c r="C598" s="79">
        <v>5</v>
      </c>
      <c r="D598" s="88"/>
      <c r="E598" s="79">
        <v>55</v>
      </c>
      <c r="F598" s="80">
        <v>0.4493</v>
      </c>
      <c r="G598" s="79">
        <v>86</v>
      </c>
      <c r="H598" s="80">
        <v>0.4493</v>
      </c>
      <c r="I598" s="83">
        <v>0.98</v>
      </c>
      <c r="J598" s="79">
        <v>13</v>
      </c>
      <c r="K598" s="79"/>
      <c r="L598" s="80">
        <v>0.2553</v>
      </c>
      <c r="M598" s="80"/>
      <c r="N598" s="86">
        <v>101</v>
      </c>
      <c r="O598" s="86"/>
      <c r="P598" s="79">
        <v>16</v>
      </c>
      <c r="Q598" s="87"/>
    </row>
    <row r="599" ht="15" spans="1:17">
      <c r="A599" s="89">
        <v>43376</v>
      </c>
      <c r="B599" s="78"/>
      <c r="C599" s="79">
        <v>3</v>
      </c>
      <c r="D599" s="88"/>
      <c r="E599" s="79">
        <v>68</v>
      </c>
      <c r="F599" s="80">
        <v>0.029</v>
      </c>
      <c r="G599" s="79">
        <v>12</v>
      </c>
      <c r="H599" s="80">
        <v>0.029</v>
      </c>
      <c r="I599" s="83">
        <v>1</v>
      </c>
      <c r="J599" s="79">
        <v>12</v>
      </c>
      <c r="K599" s="79"/>
      <c r="L599" s="80">
        <v>0</v>
      </c>
      <c r="M599" s="80"/>
      <c r="N599" s="86">
        <v>475</v>
      </c>
      <c r="O599" s="86"/>
      <c r="P599" s="79">
        <v>2</v>
      </c>
      <c r="Q599" s="87"/>
    </row>
    <row r="600" ht="15" spans="1:17">
      <c r="A600" s="89">
        <v>43376</v>
      </c>
      <c r="B600" s="78"/>
      <c r="C600" s="79">
        <v>1</v>
      </c>
      <c r="D600" s="88"/>
      <c r="E600" s="79">
        <v>36</v>
      </c>
      <c r="F600" s="80">
        <v>0.2899</v>
      </c>
      <c r="G600" s="79">
        <v>87</v>
      </c>
      <c r="H600" s="80">
        <v>0.2899</v>
      </c>
      <c r="I600" s="83">
        <v>1</v>
      </c>
      <c r="J600" s="79">
        <v>0</v>
      </c>
      <c r="K600" s="79"/>
      <c r="L600" s="80">
        <v>0.1333</v>
      </c>
      <c r="M600" s="80"/>
      <c r="N600" s="86">
        <v>139</v>
      </c>
      <c r="O600" s="86"/>
      <c r="P600" s="79">
        <v>18</v>
      </c>
      <c r="Q600" s="87"/>
    </row>
    <row r="601" ht="15" spans="1:17">
      <c r="A601" s="89">
        <v>43376</v>
      </c>
      <c r="B601" s="78"/>
      <c r="C601" s="79">
        <v>7</v>
      </c>
      <c r="D601" s="88"/>
      <c r="E601" s="79">
        <v>53</v>
      </c>
      <c r="F601" s="80">
        <v>0.087</v>
      </c>
      <c r="G601" s="79">
        <v>85</v>
      </c>
      <c r="H601" s="80">
        <v>0.087</v>
      </c>
      <c r="I601" s="83">
        <v>1</v>
      </c>
      <c r="J601" s="79">
        <v>21</v>
      </c>
      <c r="K601" s="79"/>
      <c r="L601" s="80">
        <v>0.1818</v>
      </c>
      <c r="M601" s="80"/>
      <c r="N601" s="86">
        <v>257</v>
      </c>
      <c r="O601" s="86"/>
      <c r="P601" s="79">
        <v>17</v>
      </c>
      <c r="Q601" s="87"/>
    </row>
    <row r="602" ht="15" spans="1:17">
      <c r="A602" s="89">
        <v>43377</v>
      </c>
      <c r="B602" s="78"/>
      <c r="C602" s="79">
        <v>5</v>
      </c>
      <c r="D602" s="88"/>
      <c r="E602" s="79">
        <v>2</v>
      </c>
      <c r="F602" s="80">
        <v>0.4505</v>
      </c>
      <c r="G602" s="79">
        <v>21</v>
      </c>
      <c r="H602" s="80">
        <v>0.4505</v>
      </c>
      <c r="I602" s="83">
        <v>1</v>
      </c>
      <c r="J602" s="79">
        <v>1</v>
      </c>
      <c r="K602" s="79"/>
      <c r="L602" s="80">
        <v>0.1091</v>
      </c>
      <c r="M602" s="80"/>
      <c r="N602" s="86">
        <v>449</v>
      </c>
      <c r="O602" s="86"/>
      <c r="P602" s="79">
        <v>14</v>
      </c>
      <c r="Q602" s="87"/>
    </row>
    <row r="603" ht="15" spans="1:17">
      <c r="A603" s="89">
        <v>43377</v>
      </c>
      <c r="B603" s="78"/>
      <c r="C603" s="79">
        <v>2</v>
      </c>
      <c r="D603" s="88"/>
      <c r="E603" s="79">
        <v>9</v>
      </c>
      <c r="F603" s="80">
        <v>0.1782</v>
      </c>
      <c r="G603" s="79">
        <v>40</v>
      </c>
      <c r="H603" s="80">
        <v>0.1782</v>
      </c>
      <c r="I603" s="83">
        <v>1</v>
      </c>
      <c r="J603" s="79">
        <v>25</v>
      </c>
      <c r="K603" s="79"/>
      <c r="L603" s="80">
        <v>0.0952</v>
      </c>
      <c r="M603" s="80"/>
      <c r="N603" s="86">
        <v>98</v>
      </c>
      <c r="O603" s="86"/>
      <c r="P603" s="79">
        <v>1</v>
      </c>
      <c r="Q603" s="87"/>
    </row>
    <row r="604" ht="15" spans="1:17">
      <c r="A604" s="89">
        <v>43377</v>
      </c>
      <c r="B604" s="78"/>
      <c r="C604" s="79">
        <v>3</v>
      </c>
      <c r="D604" s="88"/>
      <c r="E604" s="79">
        <v>99</v>
      </c>
      <c r="F604" s="80">
        <v>0.0149</v>
      </c>
      <c r="G604" s="79">
        <v>23</v>
      </c>
      <c r="H604" s="80">
        <v>0.0149</v>
      </c>
      <c r="I604" s="83">
        <v>1</v>
      </c>
      <c r="J604" s="79">
        <v>21</v>
      </c>
      <c r="K604" s="79"/>
      <c r="L604" s="80">
        <v>0.3333</v>
      </c>
      <c r="M604" s="80"/>
      <c r="N604" s="86">
        <v>412</v>
      </c>
      <c r="O604" s="86"/>
      <c r="P604" s="79">
        <v>10</v>
      </c>
      <c r="Q604" s="87"/>
    </row>
    <row r="605" ht="15" spans="1:17">
      <c r="A605" s="89">
        <v>43377</v>
      </c>
      <c r="B605" s="78"/>
      <c r="C605" s="79">
        <v>1</v>
      </c>
      <c r="D605" s="88"/>
      <c r="E605" s="79">
        <v>31</v>
      </c>
      <c r="F605" s="80">
        <v>0.3168</v>
      </c>
      <c r="G605" s="79">
        <v>89</v>
      </c>
      <c r="H605" s="80">
        <v>0.3168</v>
      </c>
      <c r="I605" s="83">
        <v>1</v>
      </c>
      <c r="J605" s="79">
        <v>10</v>
      </c>
      <c r="K605" s="79"/>
      <c r="L605" s="80">
        <v>0.0909</v>
      </c>
      <c r="M605" s="80"/>
      <c r="N605" s="86">
        <v>180</v>
      </c>
      <c r="O605" s="86"/>
      <c r="P605" s="79">
        <v>9</v>
      </c>
      <c r="Q605" s="87"/>
    </row>
    <row r="606" ht="15" spans="1:17">
      <c r="A606" s="89">
        <v>43377</v>
      </c>
      <c r="B606" s="78"/>
      <c r="C606" s="79">
        <v>7</v>
      </c>
      <c r="D606" s="88"/>
      <c r="E606" s="79">
        <v>47</v>
      </c>
      <c r="F606" s="80">
        <v>0.0396</v>
      </c>
      <c r="G606" s="79">
        <v>12</v>
      </c>
      <c r="H606" s="80">
        <v>0.0396</v>
      </c>
      <c r="I606" s="83">
        <v>1</v>
      </c>
      <c r="J606" s="79">
        <v>7</v>
      </c>
      <c r="K606" s="79"/>
      <c r="L606" s="80">
        <v>0.5</v>
      </c>
      <c r="M606" s="80"/>
      <c r="N606" s="86">
        <v>156</v>
      </c>
      <c r="O606" s="86"/>
      <c r="P606" s="79">
        <v>20</v>
      </c>
      <c r="Q606" s="87"/>
    </row>
    <row r="607" ht="15" spans="1:17">
      <c r="A607" s="89">
        <v>43378</v>
      </c>
      <c r="B607" s="78"/>
      <c r="C607" s="79">
        <v>2</v>
      </c>
      <c r="D607" s="88"/>
      <c r="E607" s="79">
        <v>19</v>
      </c>
      <c r="F607" s="80">
        <v>0.1289</v>
      </c>
      <c r="G607" s="79">
        <v>2</v>
      </c>
      <c r="H607" s="80">
        <v>0.1289</v>
      </c>
      <c r="I607" s="83">
        <v>1</v>
      </c>
      <c r="J607" s="79">
        <v>3</v>
      </c>
      <c r="K607" s="79"/>
      <c r="L607" s="80">
        <v>0.2143</v>
      </c>
      <c r="M607" s="80"/>
      <c r="N607" s="86">
        <v>446</v>
      </c>
      <c r="O607" s="86"/>
      <c r="P607" s="79">
        <v>5</v>
      </c>
      <c r="Q607" s="87"/>
    </row>
    <row r="608" ht="15" spans="1:17">
      <c r="A608" s="89">
        <v>43378</v>
      </c>
      <c r="B608" s="78"/>
      <c r="C608" s="79">
        <v>5</v>
      </c>
      <c r="D608" s="88"/>
      <c r="E608" s="79">
        <v>52</v>
      </c>
      <c r="F608" s="80">
        <v>0.4933</v>
      </c>
      <c r="G608" s="79">
        <v>18</v>
      </c>
      <c r="H608" s="80">
        <v>0.4933</v>
      </c>
      <c r="I608" s="83">
        <v>1</v>
      </c>
      <c r="J608" s="79">
        <v>19</v>
      </c>
      <c r="K608" s="79"/>
      <c r="L608" s="80">
        <v>0.1346</v>
      </c>
      <c r="M608" s="80"/>
      <c r="N608" s="86">
        <v>58</v>
      </c>
      <c r="O608" s="86"/>
      <c r="P608" s="79">
        <v>0</v>
      </c>
      <c r="Q608" s="87"/>
    </row>
    <row r="609" ht="15" spans="1:17">
      <c r="A609" s="89">
        <v>43378</v>
      </c>
      <c r="B609" s="78"/>
      <c r="C609" s="79">
        <v>3</v>
      </c>
      <c r="D609" s="88"/>
      <c r="E609" s="79">
        <v>14</v>
      </c>
      <c r="F609" s="80">
        <v>0.0133</v>
      </c>
      <c r="G609" s="79">
        <v>62</v>
      </c>
      <c r="H609" s="80">
        <v>0.0133</v>
      </c>
      <c r="I609" s="83">
        <v>1</v>
      </c>
      <c r="J609" s="79">
        <v>18</v>
      </c>
      <c r="K609" s="79"/>
      <c r="L609" s="80">
        <v>0</v>
      </c>
      <c r="M609" s="80"/>
      <c r="N609" s="86">
        <v>423</v>
      </c>
      <c r="O609" s="86"/>
      <c r="P609" s="79">
        <v>10</v>
      </c>
      <c r="Q609" s="87"/>
    </row>
    <row r="610" ht="15" spans="1:17">
      <c r="A610" s="89">
        <v>43378</v>
      </c>
      <c r="B610" s="78"/>
      <c r="C610" s="79">
        <v>1</v>
      </c>
      <c r="D610" s="88"/>
      <c r="E610" s="79">
        <v>68</v>
      </c>
      <c r="F610" s="80">
        <v>0.2711</v>
      </c>
      <c r="G610" s="79">
        <v>54</v>
      </c>
      <c r="H610" s="80">
        <v>0.2711</v>
      </c>
      <c r="I610" s="83">
        <v>1</v>
      </c>
      <c r="J610" s="79">
        <v>14</v>
      </c>
      <c r="K610" s="79"/>
      <c r="L610" s="80">
        <v>0.16</v>
      </c>
      <c r="M610" s="80"/>
      <c r="N610" s="86">
        <v>310</v>
      </c>
      <c r="O610" s="86"/>
      <c r="P610" s="79">
        <v>20</v>
      </c>
      <c r="Q610" s="87"/>
    </row>
    <row r="611" ht="15" spans="1:17">
      <c r="A611" s="89">
        <v>43378</v>
      </c>
      <c r="B611" s="78"/>
      <c r="C611" s="79">
        <v>7</v>
      </c>
      <c r="D611" s="88"/>
      <c r="E611" s="79">
        <v>21</v>
      </c>
      <c r="F611" s="80">
        <v>0.0933</v>
      </c>
      <c r="G611" s="79">
        <v>1</v>
      </c>
      <c r="H611" s="80">
        <v>0.0933</v>
      </c>
      <c r="I611" s="83">
        <v>0.95</v>
      </c>
      <c r="J611" s="79">
        <v>15</v>
      </c>
      <c r="K611" s="79"/>
      <c r="L611" s="80">
        <v>0.1765</v>
      </c>
      <c r="M611" s="80"/>
      <c r="N611" s="86">
        <v>210</v>
      </c>
      <c r="O611" s="86"/>
      <c r="P611" s="79">
        <v>5</v>
      </c>
      <c r="Q611" s="87"/>
    </row>
    <row r="612" ht="15" spans="1:17">
      <c r="A612" s="89">
        <v>43379</v>
      </c>
      <c r="B612" s="78"/>
      <c r="C612" s="79">
        <v>2</v>
      </c>
      <c r="D612" s="88"/>
      <c r="E612" s="79">
        <v>77</v>
      </c>
      <c r="F612" s="80">
        <v>0.2249</v>
      </c>
      <c r="G612" s="79">
        <v>43</v>
      </c>
      <c r="H612" s="80">
        <v>0.2249</v>
      </c>
      <c r="I612" s="83">
        <v>1</v>
      </c>
      <c r="J612" s="79">
        <v>21</v>
      </c>
      <c r="K612" s="79"/>
      <c r="L612" s="80">
        <v>0.0455</v>
      </c>
      <c r="M612" s="80"/>
      <c r="N612" s="86">
        <v>364</v>
      </c>
      <c r="O612" s="86"/>
      <c r="P612" s="79">
        <v>19</v>
      </c>
      <c r="Q612" s="87"/>
    </row>
    <row r="613" ht="15" spans="1:17">
      <c r="A613" s="89">
        <v>43379</v>
      </c>
      <c r="B613" s="78"/>
      <c r="C613" s="79">
        <v>5</v>
      </c>
      <c r="D613" s="88"/>
      <c r="E613" s="79">
        <v>31</v>
      </c>
      <c r="F613" s="80">
        <v>0.502</v>
      </c>
      <c r="G613" s="79">
        <v>94</v>
      </c>
      <c r="H613" s="80">
        <v>0.502</v>
      </c>
      <c r="I613" s="83">
        <v>1</v>
      </c>
      <c r="J613" s="79">
        <v>17</v>
      </c>
      <c r="K613" s="79"/>
      <c r="L613" s="80">
        <v>0.1667</v>
      </c>
      <c r="M613" s="80"/>
      <c r="N613" s="86">
        <v>198</v>
      </c>
      <c r="O613" s="86"/>
      <c r="P613" s="79">
        <v>14</v>
      </c>
      <c r="Q613" s="87"/>
    </row>
    <row r="614" ht="15" spans="1:17">
      <c r="A614" s="89">
        <v>43379</v>
      </c>
      <c r="B614" s="78"/>
      <c r="C614" s="79">
        <v>3</v>
      </c>
      <c r="D614" s="88"/>
      <c r="E614" s="79">
        <v>81</v>
      </c>
      <c r="F614" s="80">
        <v>0.0281</v>
      </c>
      <c r="G614" s="79">
        <v>42</v>
      </c>
      <c r="H614" s="80">
        <v>0.0281</v>
      </c>
      <c r="I614" s="83">
        <v>1</v>
      </c>
      <c r="J614" s="79">
        <v>8</v>
      </c>
      <c r="K614" s="79"/>
      <c r="L614" s="80">
        <v>0.3333</v>
      </c>
      <c r="M614" s="80"/>
      <c r="N614" s="86">
        <v>429</v>
      </c>
      <c r="O614" s="86"/>
      <c r="P614" s="79">
        <v>17</v>
      </c>
      <c r="Q614" s="87"/>
    </row>
    <row r="615" ht="15" spans="1:17">
      <c r="A615" s="89">
        <v>43379</v>
      </c>
      <c r="B615" s="78"/>
      <c r="C615" s="79">
        <v>1</v>
      </c>
      <c r="D615" s="88"/>
      <c r="E615" s="79">
        <v>55</v>
      </c>
      <c r="F615" s="80">
        <v>0.1687</v>
      </c>
      <c r="G615" s="79">
        <v>88</v>
      </c>
      <c r="H615" s="80">
        <v>0.1687</v>
      </c>
      <c r="I615" s="83">
        <v>1</v>
      </c>
      <c r="J615" s="79">
        <v>24</v>
      </c>
      <c r="K615" s="79"/>
      <c r="L615" s="80">
        <v>0</v>
      </c>
      <c r="M615" s="80"/>
      <c r="N615" s="86">
        <v>187</v>
      </c>
      <c r="O615" s="86"/>
      <c r="P615" s="79">
        <v>14</v>
      </c>
      <c r="Q615" s="87"/>
    </row>
    <row r="616" ht="15" spans="1:17">
      <c r="A616" s="89">
        <v>43379</v>
      </c>
      <c r="B616" s="78"/>
      <c r="C616" s="79">
        <v>7</v>
      </c>
      <c r="D616" s="88"/>
      <c r="E616" s="79">
        <v>21</v>
      </c>
      <c r="F616" s="80">
        <v>0.0763</v>
      </c>
      <c r="G616" s="79">
        <v>40</v>
      </c>
      <c r="H616" s="80">
        <v>0.0763</v>
      </c>
      <c r="I616" s="83">
        <v>1</v>
      </c>
      <c r="J616" s="79">
        <v>2</v>
      </c>
      <c r="K616" s="79"/>
      <c r="L616" s="80">
        <v>0.2</v>
      </c>
      <c r="M616" s="80"/>
      <c r="N616" s="86">
        <v>334</v>
      </c>
      <c r="O616" s="86"/>
      <c r="P616" s="79">
        <v>11</v>
      </c>
      <c r="Q616" s="87"/>
    </row>
    <row r="617" ht="15" spans="1:17">
      <c r="A617" s="89">
        <v>43380</v>
      </c>
      <c r="B617" s="78"/>
      <c r="C617" s="79">
        <v>2</v>
      </c>
      <c r="D617" s="88"/>
      <c r="E617" s="79">
        <v>49</v>
      </c>
      <c r="F617" s="80">
        <v>0.1139</v>
      </c>
      <c r="G617" s="79">
        <v>29</v>
      </c>
      <c r="H617" s="80">
        <v>0.1139</v>
      </c>
      <c r="I617" s="83">
        <v>1</v>
      </c>
      <c r="J617" s="79">
        <v>8</v>
      </c>
      <c r="K617" s="79"/>
      <c r="L617" s="80">
        <v>0.1333</v>
      </c>
      <c r="M617" s="80"/>
      <c r="N617" s="86">
        <v>51</v>
      </c>
      <c r="O617" s="86"/>
      <c r="P617" s="79">
        <v>11</v>
      </c>
      <c r="Q617" s="87"/>
    </row>
    <row r="618" ht="15" spans="1:17">
      <c r="A618" s="89">
        <v>43380</v>
      </c>
      <c r="B618" s="78"/>
      <c r="C618" s="79">
        <v>5</v>
      </c>
      <c r="D618" s="88"/>
      <c r="E618" s="79">
        <v>41</v>
      </c>
      <c r="F618" s="80">
        <v>0.4272</v>
      </c>
      <c r="G618" s="79">
        <v>59</v>
      </c>
      <c r="H618" s="80">
        <v>0.4272</v>
      </c>
      <c r="I618" s="83">
        <v>0.99</v>
      </c>
      <c r="J618" s="79">
        <v>26</v>
      </c>
      <c r="K618" s="79"/>
      <c r="L618" s="80">
        <v>0.1224</v>
      </c>
      <c r="M618" s="80"/>
      <c r="N618" s="86">
        <v>369</v>
      </c>
      <c r="O618" s="86"/>
      <c r="P618" s="79">
        <v>0</v>
      </c>
      <c r="Q618" s="87"/>
    </row>
    <row r="619" ht="15" spans="1:17">
      <c r="A619" s="89">
        <v>43380</v>
      </c>
      <c r="B619" s="78"/>
      <c r="C619" s="79">
        <v>3</v>
      </c>
      <c r="D619" s="88"/>
      <c r="E619" s="79">
        <v>69</v>
      </c>
      <c r="F619" s="80">
        <v>0.0665</v>
      </c>
      <c r="G619" s="79">
        <v>49</v>
      </c>
      <c r="H619" s="80">
        <v>0.0665</v>
      </c>
      <c r="I619" s="83">
        <v>1</v>
      </c>
      <c r="J619" s="79">
        <v>26</v>
      </c>
      <c r="K619" s="79"/>
      <c r="L619" s="80">
        <v>0</v>
      </c>
      <c r="M619" s="80"/>
      <c r="N619" s="86">
        <v>104</v>
      </c>
      <c r="O619" s="86"/>
      <c r="P619" s="79">
        <v>2</v>
      </c>
      <c r="Q619" s="87"/>
    </row>
    <row r="620" ht="15" spans="1:17">
      <c r="A620" s="89">
        <v>43380</v>
      </c>
      <c r="B620" s="78"/>
      <c r="C620" s="79">
        <v>1</v>
      </c>
      <c r="D620" s="88"/>
      <c r="E620" s="79">
        <v>37</v>
      </c>
      <c r="F620" s="80">
        <v>0.3006</v>
      </c>
      <c r="G620" s="79">
        <v>59</v>
      </c>
      <c r="H620" s="80">
        <v>0.3006</v>
      </c>
      <c r="I620" s="83">
        <v>1</v>
      </c>
      <c r="J620" s="79">
        <v>5</v>
      </c>
      <c r="K620" s="79"/>
      <c r="L620" s="80">
        <v>0.0263</v>
      </c>
      <c r="M620" s="80"/>
      <c r="N620" s="86">
        <v>218</v>
      </c>
      <c r="O620" s="86"/>
      <c r="P620" s="79">
        <v>12</v>
      </c>
      <c r="Q620" s="87"/>
    </row>
    <row r="621" ht="15" spans="1:17">
      <c r="A621" s="89">
        <v>43380</v>
      </c>
      <c r="B621" s="78"/>
      <c r="C621" s="79">
        <v>7</v>
      </c>
      <c r="D621" s="88"/>
      <c r="E621" s="79">
        <v>71</v>
      </c>
      <c r="F621" s="80">
        <v>0.0918</v>
      </c>
      <c r="G621" s="79">
        <v>96</v>
      </c>
      <c r="H621" s="80">
        <v>0.0918</v>
      </c>
      <c r="I621" s="83">
        <v>1</v>
      </c>
      <c r="J621" s="79">
        <v>18</v>
      </c>
      <c r="K621" s="79"/>
      <c r="L621" s="80">
        <v>0.0455</v>
      </c>
      <c r="M621" s="80"/>
      <c r="N621" s="86">
        <v>102</v>
      </c>
      <c r="O621" s="86"/>
      <c r="P621" s="79">
        <v>15</v>
      </c>
      <c r="Q621" s="87"/>
    </row>
    <row r="622" ht="15" spans="1:17">
      <c r="A622" s="89">
        <v>43381</v>
      </c>
      <c r="B622" s="78"/>
      <c r="C622" s="79">
        <v>2</v>
      </c>
      <c r="D622" s="88"/>
      <c r="E622" s="79">
        <v>96</v>
      </c>
      <c r="F622" s="80">
        <v>0.1124</v>
      </c>
      <c r="G622" s="79">
        <v>100</v>
      </c>
      <c r="H622" s="80">
        <v>0.1124</v>
      </c>
      <c r="I622" s="83">
        <v>1</v>
      </c>
      <c r="J622" s="79">
        <v>0</v>
      </c>
      <c r="K622" s="79"/>
      <c r="L622" s="80">
        <v>0.3529</v>
      </c>
      <c r="M622" s="80"/>
      <c r="N622" s="86">
        <v>128</v>
      </c>
      <c r="O622" s="86"/>
      <c r="P622" s="79">
        <v>2</v>
      </c>
      <c r="Q622" s="87"/>
    </row>
    <row r="623" ht="15" spans="1:17">
      <c r="A623" s="89">
        <v>43381</v>
      </c>
      <c r="B623" s="78"/>
      <c r="C623" s="79">
        <v>5</v>
      </c>
      <c r="D623" s="88"/>
      <c r="E623" s="79">
        <v>37</v>
      </c>
      <c r="F623" s="80">
        <v>0.5891</v>
      </c>
      <c r="G623" s="79">
        <v>30</v>
      </c>
      <c r="H623" s="80">
        <v>0.5891</v>
      </c>
      <c r="I623" s="83">
        <v>0.99</v>
      </c>
      <c r="J623" s="79">
        <v>2</v>
      </c>
      <c r="K623" s="79"/>
      <c r="L623" s="80">
        <v>0.0938</v>
      </c>
      <c r="M623" s="80"/>
      <c r="N623" s="86">
        <v>334</v>
      </c>
      <c r="O623" s="86"/>
      <c r="P623" s="79">
        <v>1</v>
      </c>
      <c r="Q623" s="87"/>
    </row>
    <row r="624" ht="15" spans="1:17">
      <c r="A624" s="89">
        <v>43381</v>
      </c>
      <c r="B624" s="78"/>
      <c r="C624" s="79">
        <v>3</v>
      </c>
      <c r="D624" s="88"/>
      <c r="E624" s="79">
        <v>85</v>
      </c>
      <c r="F624" s="80">
        <v>0.0233</v>
      </c>
      <c r="G624" s="79">
        <v>59</v>
      </c>
      <c r="H624" s="80">
        <v>0.0233</v>
      </c>
      <c r="I624" s="83">
        <v>1</v>
      </c>
      <c r="J624" s="79">
        <v>30</v>
      </c>
      <c r="K624" s="79"/>
      <c r="L624" s="80">
        <v>0</v>
      </c>
      <c r="M624" s="80"/>
      <c r="N624" s="86">
        <v>88</v>
      </c>
      <c r="O624" s="86"/>
      <c r="P624" s="79">
        <v>14</v>
      </c>
      <c r="Q624" s="87"/>
    </row>
    <row r="625" ht="15" spans="1:17">
      <c r="A625" s="89">
        <v>43381</v>
      </c>
      <c r="B625" s="78"/>
      <c r="C625" s="79">
        <v>1</v>
      </c>
      <c r="D625" s="88"/>
      <c r="E625" s="79">
        <v>86</v>
      </c>
      <c r="F625" s="80">
        <v>0.2016</v>
      </c>
      <c r="G625" s="79">
        <v>42</v>
      </c>
      <c r="H625" s="80">
        <v>0.2016</v>
      </c>
      <c r="I625" s="83">
        <v>1</v>
      </c>
      <c r="J625" s="79">
        <v>27</v>
      </c>
      <c r="K625" s="79"/>
      <c r="L625" s="80">
        <v>0.1795</v>
      </c>
      <c r="M625" s="80"/>
      <c r="N625" s="86">
        <v>224</v>
      </c>
      <c r="O625" s="86"/>
      <c r="P625" s="79">
        <v>7</v>
      </c>
      <c r="Q625" s="87"/>
    </row>
    <row r="626" ht="15" spans="1:17">
      <c r="A626" s="89">
        <v>43381</v>
      </c>
      <c r="B626" s="78"/>
      <c r="C626" s="79">
        <v>7</v>
      </c>
      <c r="D626" s="88"/>
      <c r="E626" s="79">
        <v>78</v>
      </c>
      <c r="F626" s="80">
        <v>0.0736</v>
      </c>
      <c r="G626" s="79">
        <v>97</v>
      </c>
      <c r="H626" s="80">
        <v>0.0736</v>
      </c>
      <c r="I626" s="83">
        <v>0.95</v>
      </c>
      <c r="J626" s="79">
        <v>29</v>
      </c>
      <c r="K626" s="79"/>
      <c r="L626" s="80">
        <v>0.3333</v>
      </c>
      <c r="M626" s="80"/>
      <c r="N626" s="86">
        <v>201</v>
      </c>
      <c r="O626" s="86"/>
      <c r="P626" s="79">
        <v>0</v>
      </c>
      <c r="Q626" s="87"/>
    </row>
    <row r="627" ht="15" spans="1:17">
      <c r="A627" s="89">
        <v>43382</v>
      </c>
      <c r="B627" s="78"/>
      <c r="C627" s="79">
        <v>5</v>
      </c>
      <c r="D627" s="88"/>
      <c r="E627" s="79">
        <v>74</v>
      </c>
      <c r="F627" s="80">
        <v>0.5151</v>
      </c>
      <c r="G627" s="79">
        <v>50</v>
      </c>
      <c r="H627" s="80">
        <v>0.5151</v>
      </c>
      <c r="I627" s="83">
        <v>0.99</v>
      </c>
      <c r="J627" s="79">
        <v>20</v>
      </c>
      <c r="K627" s="79"/>
      <c r="L627" s="80">
        <v>0.2708</v>
      </c>
      <c r="M627" s="80"/>
      <c r="N627" s="86">
        <v>344</v>
      </c>
      <c r="O627" s="86"/>
      <c r="P627" s="79">
        <v>4</v>
      </c>
      <c r="Q627" s="87"/>
    </row>
    <row r="628" ht="15" spans="1:17">
      <c r="A628" s="89">
        <v>43382</v>
      </c>
      <c r="B628" s="78"/>
      <c r="C628" s="79">
        <v>4</v>
      </c>
      <c r="D628" s="88"/>
      <c r="E628" s="79">
        <v>28</v>
      </c>
      <c r="F628" s="80">
        <v>0.0082</v>
      </c>
      <c r="G628" s="79">
        <v>48</v>
      </c>
      <c r="H628" s="80">
        <v>0.0082</v>
      </c>
      <c r="I628" s="83">
        <v>0</v>
      </c>
      <c r="J628" s="79">
        <v>22</v>
      </c>
      <c r="K628" s="79"/>
      <c r="L628" s="80">
        <v>0</v>
      </c>
      <c r="M628" s="80"/>
      <c r="N628" s="86">
        <v>209</v>
      </c>
      <c r="O628" s="86"/>
      <c r="P628" s="79">
        <v>10</v>
      </c>
      <c r="Q628" s="87"/>
    </row>
    <row r="629" ht="15" spans="1:17">
      <c r="A629" s="89">
        <v>43382</v>
      </c>
      <c r="B629" s="78"/>
      <c r="C629" s="79">
        <v>2</v>
      </c>
      <c r="D629" s="88"/>
      <c r="E629" s="79">
        <v>79</v>
      </c>
      <c r="F629" s="80">
        <v>0.0712</v>
      </c>
      <c r="G629" s="79">
        <v>47</v>
      </c>
      <c r="H629" s="80">
        <v>0.0712</v>
      </c>
      <c r="I629" s="83">
        <v>1</v>
      </c>
      <c r="J629" s="79">
        <v>19</v>
      </c>
      <c r="K629" s="79"/>
      <c r="L629" s="80">
        <v>0</v>
      </c>
      <c r="M629" s="80"/>
      <c r="N629" s="86">
        <v>99</v>
      </c>
      <c r="O629" s="86"/>
      <c r="P629" s="79">
        <v>10</v>
      </c>
      <c r="Q629" s="87"/>
    </row>
    <row r="630" ht="15" spans="1:17">
      <c r="A630" s="89">
        <v>43382</v>
      </c>
      <c r="B630" s="78"/>
      <c r="C630" s="79">
        <v>3</v>
      </c>
      <c r="D630" s="88"/>
      <c r="E630" s="79">
        <v>47</v>
      </c>
      <c r="F630" s="80">
        <v>0.0192</v>
      </c>
      <c r="G630" s="79">
        <v>21</v>
      </c>
      <c r="H630" s="80">
        <v>0.0192</v>
      </c>
      <c r="I630" s="83">
        <v>1</v>
      </c>
      <c r="J630" s="79">
        <v>2</v>
      </c>
      <c r="K630" s="79"/>
      <c r="L630" s="80">
        <v>0</v>
      </c>
      <c r="M630" s="80"/>
      <c r="N630" s="86">
        <v>314</v>
      </c>
      <c r="O630" s="86"/>
      <c r="P630" s="79">
        <v>10</v>
      </c>
      <c r="Q630" s="87"/>
    </row>
    <row r="631" ht="15" spans="1:17">
      <c r="A631" s="89">
        <v>43382</v>
      </c>
      <c r="B631" s="78"/>
      <c r="C631" s="79">
        <v>1</v>
      </c>
      <c r="D631" s="88"/>
      <c r="E631" s="79">
        <v>13</v>
      </c>
      <c r="F631" s="80">
        <v>0.1973</v>
      </c>
      <c r="G631" s="79">
        <v>91</v>
      </c>
      <c r="H631" s="80">
        <v>0.1973</v>
      </c>
      <c r="I631" s="83">
        <v>1</v>
      </c>
      <c r="J631" s="79">
        <v>17</v>
      </c>
      <c r="K631" s="79"/>
      <c r="L631" s="80">
        <v>0</v>
      </c>
      <c r="M631" s="80"/>
      <c r="N631" s="86">
        <v>235</v>
      </c>
      <c r="O631" s="86"/>
      <c r="P631" s="79">
        <v>1</v>
      </c>
      <c r="Q631" s="87"/>
    </row>
    <row r="632" ht="15" spans="1:17">
      <c r="A632" s="89">
        <v>43382</v>
      </c>
      <c r="B632" s="78"/>
      <c r="C632" s="79">
        <v>6</v>
      </c>
      <c r="D632" s="88"/>
      <c r="E632" s="79">
        <v>68</v>
      </c>
      <c r="F632" s="80">
        <v>0.0082</v>
      </c>
      <c r="G632" s="79">
        <v>82</v>
      </c>
      <c r="H632" s="80">
        <v>0.0082</v>
      </c>
      <c r="I632" s="83">
        <v>0</v>
      </c>
      <c r="J632" s="79">
        <v>15</v>
      </c>
      <c r="K632" s="79"/>
      <c r="L632" s="80">
        <v>0</v>
      </c>
      <c r="M632" s="80"/>
      <c r="N632" s="86">
        <v>275</v>
      </c>
      <c r="O632" s="86"/>
      <c r="P632" s="79">
        <v>16</v>
      </c>
      <c r="Q632" s="87"/>
    </row>
    <row r="633" ht="15" spans="1:17">
      <c r="A633" s="89">
        <v>43382</v>
      </c>
      <c r="B633" s="78"/>
      <c r="C633" s="79">
        <v>7</v>
      </c>
      <c r="D633" s="88"/>
      <c r="E633" s="79">
        <v>100</v>
      </c>
      <c r="F633" s="80">
        <v>0.1808</v>
      </c>
      <c r="G633" s="79">
        <v>2</v>
      </c>
      <c r="H633" s="80">
        <v>0.1808</v>
      </c>
      <c r="I633" s="83">
        <v>0.98</v>
      </c>
      <c r="J633" s="79">
        <v>23</v>
      </c>
      <c r="K633" s="79"/>
      <c r="L633" s="80">
        <v>0.1176</v>
      </c>
      <c r="M633" s="80"/>
      <c r="N633" s="86">
        <v>284</v>
      </c>
      <c r="O633" s="86"/>
      <c r="P633" s="79">
        <v>6</v>
      </c>
      <c r="Q633" s="87"/>
    </row>
    <row r="634" ht="15" spans="1:17">
      <c r="A634" s="89">
        <v>43383</v>
      </c>
      <c r="B634" s="78"/>
      <c r="C634" s="79">
        <v>2</v>
      </c>
      <c r="D634" s="88"/>
      <c r="E634" s="79">
        <v>22</v>
      </c>
      <c r="F634" s="80">
        <v>0.1657</v>
      </c>
      <c r="G634" s="79">
        <v>34</v>
      </c>
      <c r="H634" s="80">
        <v>0.1657</v>
      </c>
      <c r="I634" s="83">
        <v>1</v>
      </c>
      <c r="J634" s="79">
        <v>24</v>
      </c>
      <c r="K634" s="79"/>
      <c r="L634" s="80">
        <v>0</v>
      </c>
      <c r="M634" s="80"/>
      <c r="N634" s="86">
        <v>175</v>
      </c>
      <c r="O634" s="86"/>
      <c r="P634" s="79">
        <v>11</v>
      </c>
      <c r="Q634" s="87"/>
    </row>
    <row r="635" ht="15" spans="1:17">
      <c r="A635" s="89">
        <v>43383</v>
      </c>
      <c r="B635" s="78"/>
      <c r="C635" s="79">
        <v>5</v>
      </c>
      <c r="D635" s="88"/>
      <c r="E635" s="79">
        <v>78</v>
      </c>
      <c r="F635" s="80">
        <v>0.4475</v>
      </c>
      <c r="G635" s="79">
        <v>62</v>
      </c>
      <c r="H635" s="80">
        <v>0.4475</v>
      </c>
      <c r="I635" s="83">
        <v>1</v>
      </c>
      <c r="J635" s="79">
        <v>2</v>
      </c>
      <c r="K635" s="79"/>
      <c r="L635" s="80">
        <v>0.0588</v>
      </c>
      <c r="M635" s="80"/>
      <c r="N635" s="86">
        <v>252</v>
      </c>
      <c r="O635" s="86"/>
      <c r="P635" s="79">
        <v>1</v>
      </c>
      <c r="Q635" s="87"/>
    </row>
    <row r="636" ht="15" spans="1:17">
      <c r="A636" s="89">
        <v>43383</v>
      </c>
      <c r="B636" s="78"/>
      <c r="C636" s="79">
        <v>3</v>
      </c>
      <c r="D636" s="88"/>
      <c r="E636" s="79">
        <v>55</v>
      </c>
      <c r="F636" s="80">
        <v>0.0221</v>
      </c>
      <c r="G636" s="79">
        <v>80</v>
      </c>
      <c r="H636" s="80">
        <v>0.0221</v>
      </c>
      <c r="I636" s="83">
        <v>1</v>
      </c>
      <c r="J636" s="79">
        <v>4</v>
      </c>
      <c r="K636" s="79"/>
      <c r="L636" s="80">
        <v>0.25</v>
      </c>
      <c r="M636" s="80"/>
      <c r="N636" s="86">
        <v>197</v>
      </c>
      <c r="O636" s="86"/>
      <c r="P636" s="79">
        <v>11</v>
      </c>
      <c r="Q636" s="87"/>
    </row>
    <row r="637" ht="15" spans="1:17">
      <c r="A637" s="89">
        <v>43383</v>
      </c>
      <c r="B637" s="78"/>
      <c r="C637" s="79">
        <v>1</v>
      </c>
      <c r="D637" s="88"/>
      <c r="E637" s="79">
        <v>29</v>
      </c>
      <c r="F637" s="80">
        <v>0.2652</v>
      </c>
      <c r="G637" s="79">
        <v>38</v>
      </c>
      <c r="H637" s="80">
        <v>0.2652</v>
      </c>
      <c r="I637" s="83">
        <v>1</v>
      </c>
      <c r="J637" s="79">
        <v>29</v>
      </c>
      <c r="K637" s="79"/>
      <c r="L637" s="80">
        <v>0.0882</v>
      </c>
      <c r="M637" s="80"/>
      <c r="N637" s="86">
        <v>417</v>
      </c>
      <c r="O637" s="86"/>
      <c r="P637" s="79">
        <v>8</v>
      </c>
      <c r="Q637" s="87"/>
    </row>
    <row r="638" ht="15" spans="1:17">
      <c r="A638" s="89">
        <v>43383</v>
      </c>
      <c r="B638" s="78"/>
      <c r="C638" s="79">
        <v>7</v>
      </c>
      <c r="D638" s="88"/>
      <c r="E638" s="79">
        <v>66</v>
      </c>
      <c r="F638" s="80">
        <v>0.0994</v>
      </c>
      <c r="G638" s="79">
        <v>12</v>
      </c>
      <c r="H638" s="80">
        <v>0.0994</v>
      </c>
      <c r="I638" s="83">
        <v>1</v>
      </c>
      <c r="J638" s="79">
        <v>19</v>
      </c>
      <c r="K638" s="79"/>
      <c r="L638" s="80">
        <v>0</v>
      </c>
      <c r="M638" s="80"/>
      <c r="N638" s="86">
        <v>89</v>
      </c>
      <c r="O638" s="86"/>
      <c r="P638" s="79">
        <v>4</v>
      </c>
      <c r="Q638" s="87"/>
    </row>
    <row r="639" ht="15" spans="1:17">
      <c r="A639" s="89">
        <v>43384</v>
      </c>
      <c r="B639" s="78"/>
      <c r="C639" s="79">
        <v>2</v>
      </c>
      <c r="D639" s="88"/>
      <c r="E639" s="79">
        <v>12</v>
      </c>
      <c r="F639" s="80">
        <v>0.157</v>
      </c>
      <c r="G639" s="79">
        <v>8</v>
      </c>
      <c r="H639" s="80">
        <v>0.157</v>
      </c>
      <c r="I639" s="83">
        <v>1</v>
      </c>
      <c r="J639" s="79">
        <v>15</v>
      </c>
      <c r="K639" s="79"/>
      <c r="L639" s="80">
        <v>0.0625</v>
      </c>
      <c r="M639" s="80"/>
      <c r="N639" s="86">
        <v>111</v>
      </c>
      <c r="O639" s="86"/>
      <c r="P639" s="79">
        <v>5</v>
      </c>
      <c r="Q639" s="87"/>
    </row>
    <row r="640" ht="15" spans="1:17">
      <c r="A640" s="89">
        <v>43384</v>
      </c>
      <c r="B640" s="78"/>
      <c r="C640" s="79">
        <v>5</v>
      </c>
      <c r="D640" s="88"/>
      <c r="E640" s="79">
        <v>22</v>
      </c>
      <c r="F640" s="80">
        <v>0.4012</v>
      </c>
      <c r="G640" s="79">
        <v>44</v>
      </c>
      <c r="H640" s="80">
        <v>0.4012</v>
      </c>
      <c r="I640" s="83">
        <v>1</v>
      </c>
      <c r="J640" s="79">
        <v>1</v>
      </c>
      <c r="K640" s="79"/>
      <c r="L640" s="80">
        <v>0.3529</v>
      </c>
      <c r="M640" s="80"/>
      <c r="N640" s="86">
        <v>463</v>
      </c>
      <c r="O640" s="86"/>
      <c r="P640" s="79">
        <v>13</v>
      </c>
      <c r="Q640" s="87"/>
    </row>
    <row r="641" ht="15" spans="1:17">
      <c r="A641" s="89">
        <v>43384</v>
      </c>
      <c r="B641" s="78"/>
      <c r="C641" s="79">
        <v>3</v>
      </c>
      <c r="D641" s="88"/>
      <c r="E641" s="79">
        <v>88</v>
      </c>
      <c r="F641" s="80">
        <v>0.0407</v>
      </c>
      <c r="G641" s="79">
        <v>63</v>
      </c>
      <c r="H641" s="80">
        <v>0.0407</v>
      </c>
      <c r="I641" s="83">
        <v>1</v>
      </c>
      <c r="J641" s="79">
        <v>0</v>
      </c>
      <c r="K641" s="79"/>
      <c r="L641" s="80">
        <v>0</v>
      </c>
      <c r="M641" s="80"/>
      <c r="N641" s="86">
        <v>216</v>
      </c>
      <c r="O641" s="86"/>
      <c r="P641" s="79">
        <v>3</v>
      </c>
      <c r="Q641" s="87"/>
    </row>
    <row r="642" ht="15" spans="1:17">
      <c r="A642" s="89">
        <v>43384</v>
      </c>
      <c r="B642" s="78"/>
      <c r="C642" s="79">
        <v>1</v>
      </c>
      <c r="D642" s="88"/>
      <c r="E642" s="79">
        <v>32</v>
      </c>
      <c r="F642" s="80">
        <v>0.2849</v>
      </c>
      <c r="G642" s="79">
        <v>95</v>
      </c>
      <c r="H642" s="80">
        <v>0.2849</v>
      </c>
      <c r="I642" s="83">
        <v>1</v>
      </c>
      <c r="J642" s="79">
        <v>15</v>
      </c>
      <c r="K642" s="79"/>
      <c r="L642" s="80">
        <v>0.0606</v>
      </c>
      <c r="M642" s="80"/>
      <c r="N642" s="86">
        <v>108</v>
      </c>
      <c r="O642" s="86"/>
      <c r="P642" s="79">
        <v>8</v>
      </c>
      <c r="Q642" s="87"/>
    </row>
    <row r="643" ht="15" spans="1:17">
      <c r="A643" s="89">
        <v>43384</v>
      </c>
      <c r="B643" s="78"/>
      <c r="C643" s="79">
        <v>7</v>
      </c>
      <c r="D643" s="88"/>
      <c r="E643" s="79">
        <v>12</v>
      </c>
      <c r="F643" s="80">
        <v>0.1163</v>
      </c>
      <c r="G643" s="79">
        <v>57</v>
      </c>
      <c r="H643" s="80">
        <v>0.1163</v>
      </c>
      <c r="I643" s="83">
        <v>1</v>
      </c>
      <c r="J643" s="79">
        <v>27</v>
      </c>
      <c r="K643" s="79"/>
      <c r="L643" s="80">
        <v>0</v>
      </c>
      <c r="M643" s="80"/>
      <c r="N643" s="86">
        <v>262</v>
      </c>
      <c r="O643" s="86"/>
      <c r="P643" s="79">
        <v>17</v>
      </c>
      <c r="Q643" s="87"/>
    </row>
    <row r="644" ht="15" spans="1:17">
      <c r="A644" s="89">
        <v>43385</v>
      </c>
      <c r="B644" s="78"/>
      <c r="C644" s="79">
        <v>2</v>
      </c>
      <c r="D644" s="88"/>
      <c r="E644" s="79">
        <v>100</v>
      </c>
      <c r="F644" s="80">
        <v>0.1538</v>
      </c>
      <c r="G644" s="79">
        <v>92</v>
      </c>
      <c r="H644" s="80">
        <v>0.1538</v>
      </c>
      <c r="I644" s="83">
        <v>0.95</v>
      </c>
      <c r="J644" s="79">
        <v>18</v>
      </c>
      <c r="K644" s="79"/>
      <c r="L644" s="80">
        <v>0.1579</v>
      </c>
      <c r="M644" s="80"/>
      <c r="N644" s="86">
        <v>84</v>
      </c>
      <c r="O644" s="86"/>
      <c r="P644" s="79">
        <v>16</v>
      </c>
      <c r="Q644" s="87"/>
    </row>
    <row r="645" ht="15" spans="1:17">
      <c r="A645" s="89">
        <v>43385</v>
      </c>
      <c r="B645" s="78"/>
      <c r="C645" s="79">
        <v>5</v>
      </c>
      <c r="D645" s="88"/>
      <c r="E645" s="79">
        <v>54</v>
      </c>
      <c r="F645" s="80">
        <v>0.4266</v>
      </c>
      <c r="G645" s="79">
        <v>76</v>
      </c>
      <c r="H645" s="80">
        <v>0.4266</v>
      </c>
      <c r="I645" s="83">
        <v>1</v>
      </c>
      <c r="J645" s="79">
        <v>7</v>
      </c>
      <c r="K645" s="79"/>
      <c r="L645" s="80">
        <v>0.1522</v>
      </c>
      <c r="M645" s="80"/>
      <c r="N645" s="86">
        <v>370</v>
      </c>
      <c r="O645" s="86"/>
      <c r="P645" s="79">
        <v>16</v>
      </c>
      <c r="Q645" s="87"/>
    </row>
    <row r="646" ht="15" spans="1:17">
      <c r="A646" s="89">
        <v>43385</v>
      </c>
      <c r="B646" s="78"/>
      <c r="C646" s="79">
        <v>3</v>
      </c>
      <c r="D646" s="88"/>
      <c r="E646" s="79">
        <v>42</v>
      </c>
      <c r="F646" s="80">
        <v>0.021</v>
      </c>
      <c r="G646" s="79">
        <v>12</v>
      </c>
      <c r="H646" s="80">
        <v>0.021</v>
      </c>
      <c r="I646" s="83">
        <v>1</v>
      </c>
      <c r="J646" s="79">
        <v>15</v>
      </c>
      <c r="K646" s="79"/>
      <c r="L646" s="80">
        <v>0</v>
      </c>
      <c r="M646" s="80"/>
      <c r="N646" s="86">
        <v>481</v>
      </c>
      <c r="O646" s="86"/>
      <c r="P646" s="79">
        <v>9</v>
      </c>
      <c r="Q646" s="87"/>
    </row>
    <row r="647" ht="15" spans="1:17">
      <c r="A647" s="89">
        <v>43385</v>
      </c>
      <c r="B647" s="78"/>
      <c r="C647" s="79">
        <v>1</v>
      </c>
      <c r="D647" s="88"/>
      <c r="E647" s="79">
        <v>87</v>
      </c>
      <c r="F647" s="80">
        <v>0.3357</v>
      </c>
      <c r="G647" s="79">
        <v>7</v>
      </c>
      <c r="H647" s="80">
        <v>0.3357</v>
      </c>
      <c r="I647" s="83">
        <v>1</v>
      </c>
      <c r="J647" s="79">
        <v>29</v>
      </c>
      <c r="K647" s="79"/>
      <c r="L647" s="80">
        <v>0.2069</v>
      </c>
      <c r="M647" s="80"/>
      <c r="N647" s="86">
        <v>362</v>
      </c>
      <c r="O647" s="86"/>
      <c r="P647" s="79">
        <v>3</v>
      </c>
      <c r="Q647" s="87"/>
    </row>
    <row r="648" ht="15" spans="1:17">
      <c r="A648" s="89">
        <v>43385</v>
      </c>
      <c r="B648" s="78"/>
      <c r="C648" s="79">
        <v>7</v>
      </c>
      <c r="D648" s="88"/>
      <c r="E648" s="79">
        <v>18</v>
      </c>
      <c r="F648" s="80">
        <v>0.0629</v>
      </c>
      <c r="G648" s="79">
        <v>75</v>
      </c>
      <c r="H648" s="80">
        <v>0.0629</v>
      </c>
      <c r="I648" s="83">
        <v>1</v>
      </c>
      <c r="J648" s="79">
        <v>23</v>
      </c>
      <c r="K648" s="79"/>
      <c r="L648" s="80">
        <v>0.2222</v>
      </c>
      <c r="M648" s="80"/>
      <c r="N648" s="86">
        <v>206</v>
      </c>
      <c r="O648" s="86"/>
      <c r="P648" s="79">
        <v>11</v>
      </c>
      <c r="Q648" s="87"/>
    </row>
    <row r="649" ht="15" spans="1:17">
      <c r="A649" s="89">
        <v>43386</v>
      </c>
      <c r="B649" s="78"/>
      <c r="C649" s="79">
        <v>5</v>
      </c>
      <c r="D649" s="88"/>
      <c r="E649" s="79">
        <v>3</v>
      </c>
      <c r="F649" s="80">
        <v>0.4158</v>
      </c>
      <c r="G649" s="79">
        <v>44</v>
      </c>
      <c r="H649" s="80">
        <v>0.4158</v>
      </c>
      <c r="I649" s="83">
        <v>1</v>
      </c>
      <c r="J649" s="79">
        <v>10</v>
      </c>
      <c r="K649" s="79"/>
      <c r="L649" s="80">
        <v>0.7931</v>
      </c>
      <c r="M649" s="80"/>
      <c r="N649" s="86">
        <v>172</v>
      </c>
      <c r="O649" s="86"/>
      <c r="P649" s="79">
        <v>15</v>
      </c>
      <c r="Q649" s="87"/>
    </row>
    <row r="650" ht="15" spans="1:17">
      <c r="A650" s="89">
        <v>43386</v>
      </c>
      <c r="B650" s="78"/>
      <c r="C650" s="79">
        <v>2</v>
      </c>
      <c r="D650" s="88"/>
      <c r="E650" s="79">
        <v>67</v>
      </c>
      <c r="F650" s="80">
        <v>0.2277</v>
      </c>
      <c r="G650" s="79">
        <v>43</v>
      </c>
      <c r="H650" s="80">
        <v>0.2277</v>
      </c>
      <c r="I650" s="83">
        <v>0.96</v>
      </c>
      <c r="J650" s="79">
        <v>8</v>
      </c>
      <c r="K650" s="79"/>
      <c r="L650" s="80">
        <v>0.0556</v>
      </c>
      <c r="M650" s="80"/>
      <c r="N650" s="86">
        <v>434</v>
      </c>
      <c r="O650" s="86"/>
      <c r="P650" s="79">
        <v>16</v>
      </c>
      <c r="Q650" s="87"/>
    </row>
    <row r="651" ht="15" spans="1:17">
      <c r="A651" s="89">
        <v>43386</v>
      </c>
      <c r="B651" s="78"/>
      <c r="C651" s="79">
        <v>3</v>
      </c>
      <c r="D651" s="88"/>
      <c r="E651" s="79">
        <v>90</v>
      </c>
      <c r="F651" s="80">
        <v>0.0099</v>
      </c>
      <c r="G651" s="79">
        <v>77</v>
      </c>
      <c r="H651" s="80">
        <v>0.0099</v>
      </c>
      <c r="I651" s="83">
        <v>1</v>
      </c>
      <c r="J651" s="79">
        <v>8</v>
      </c>
      <c r="K651" s="79"/>
      <c r="L651" s="80">
        <v>0</v>
      </c>
      <c r="M651" s="80"/>
      <c r="N651" s="86">
        <v>160</v>
      </c>
      <c r="O651" s="86"/>
      <c r="P651" s="79">
        <v>4</v>
      </c>
      <c r="Q651" s="87"/>
    </row>
    <row r="652" ht="15" spans="1:17">
      <c r="A652" s="89">
        <v>43386</v>
      </c>
      <c r="B652" s="78"/>
      <c r="C652" s="79">
        <v>1</v>
      </c>
      <c r="D652" s="88"/>
      <c r="E652" s="79">
        <v>43</v>
      </c>
      <c r="F652" s="80">
        <v>0.2871</v>
      </c>
      <c r="G652" s="79">
        <v>24</v>
      </c>
      <c r="H652" s="80">
        <v>0.2871</v>
      </c>
      <c r="I652" s="83">
        <v>1</v>
      </c>
      <c r="J652" s="79">
        <v>28</v>
      </c>
      <c r="K652" s="79"/>
      <c r="L652" s="80">
        <v>0.0741</v>
      </c>
      <c r="M652" s="80"/>
      <c r="N652" s="86">
        <v>225</v>
      </c>
      <c r="O652" s="86"/>
      <c r="P652" s="79">
        <v>7</v>
      </c>
      <c r="Q652" s="87"/>
    </row>
    <row r="653" ht="15" spans="1:17">
      <c r="A653" s="89">
        <v>43386</v>
      </c>
      <c r="B653" s="78"/>
      <c r="C653" s="79">
        <v>7</v>
      </c>
      <c r="D653" s="88"/>
      <c r="E653" s="79">
        <v>62</v>
      </c>
      <c r="F653" s="80">
        <v>0.0594</v>
      </c>
      <c r="G653" s="79">
        <v>97</v>
      </c>
      <c r="H653" s="80">
        <v>0.0594</v>
      </c>
      <c r="I653" s="83">
        <v>1</v>
      </c>
      <c r="J653" s="79">
        <v>6</v>
      </c>
      <c r="K653" s="79"/>
      <c r="L653" s="80">
        <v>0.1667</v>
      </c>
      <c r="M653" s="80"/>
      <c r="N653" s="86">
        <v>151</v>
      </c>
      <c r="O653" s="86"/>
      <c r="P653" s="79">
        <v>4</v>
      </c>
      <c r="Q653" s="87"/>
    </row>
    <row r="654" ht="15" spans="1:17">
      <c r="A654" s="89">
        <v>43387</v>
      </c>
      <c r="B654" s="78"/>
      <c r="C654" s="79">
        <v>1</v>
      </c>
      <c r="D654" s="88"/>
      <c r="E654" s="79">
        <v>53</v>
      </c>
      <c r="F654" s="80">
        <v>0.3111</v>
      </c>
      <c r="G654" s="79">
        <v>19</v>
      </c>
      <c r="H654" s="80">
        <v>0.3111</v>
      </c>
      <c r="I654" s="83">
        <v>1</v>
      </c>
      <c r="J654" s="79">
        <v>0</v>
      </c>
      <c r="K654" s="79"/>
      <c r="L654" s="80">
        <v>0.1667</v>
      </c>
      <c r="M654" s="80"/>
      <c r="N654" s="86">
        <v>318</v>
      </c>
      <c r="O654" s="86"/>
      <c r="P654" s="79">
        <v>14</v>
      </c>
      <c r="Q654" s="87"/>
    </row>
    <row r="655" ht="15" spans="1:17">
      <c r="A655" s="89">
        <v>43387</v>
      </c>
      <c r="B655" s="78"/>
      <c r="C655" s="79">
        <v>4</v>
      </c>
      <c r="D655" s="88"/>
      <c r="E655" s="79">
        <v>12</v>
      </c>
      <c r="F655" s="80">
        <v>0</v>
      </c>
      <c r="G655" s="79">
        <v>25</v>
      </c>
      <c r="H655" s="80">
        <v>0</v>
      </c>
      <c r="I655" s="83">
        <v>0</v>
      </c>
      <c r="J655" s="79">
        <v>18</v>
      </c>
      <c r="K655" s="79"/>
      <c r="L655" s="80">
        <v>0</v>
      </c>
      <c r="M655" s="80"/>
      <c r="N655" s="86">
        <v>128</v>
      </c>
      <c r="O655" s="86"/>
      <c r="P655" s="79">
        <v>7</v>
      </c>
      <c r="Q655" s="87"/>
    </row>
    <row r="656" ht="15" spans="1:17">
      <c r="A656" s="89">
        <v>43387</v>
      </c>
      <c r="B656" s="78"/>
      <c r="C656" s="79">
        <v>2</v>
      </c>
      <c r="D656" s="88"/>
      <c r="E656" s="79">
        <v>83</v>
      </c>
      <c r="F656" s="80">
        <v>0.1407</v>
      </c>
      <c r="G656" s="79">
        <v>22</v>
      </c>
      <c r="H656" s="80">
        <v>0.1407</v>
      </c>
      <c r="I656" s="83">
        <v>1</v>
      </c>
      <c r="J656" s="79">
        <v>29</v>
      </c>
      <c r="K656" s="79"/>
      <c r="L656" s="80">
        <v>0.1538</v>
      </c>
      <c r="M656" s="80"/>
      <c r="N656" s="86">
        <v>299</v>
      </c>
      <c r="O656" s="86"/>
      <c r="P656" s="79">
        <v>9</v>
      </c>
      <c r="Q656" s="87"/>
    </row>
    <row r="657" ht="15" spans="1:17">
      <c r="A657" s="89">
        <v>43387</v>
      </c>
      <c r="B657" s="78"/>
      <c r="C657" s="79">
        <v>5</v>
      </c>
      <c r="D657" s="88"/>
      <c r="E657" s="79">
        <v>37</v>
      </c>
      <c r="F657" s="80">
        <v>0.4815</v>
      </c>
      <c r="G657" s="79">
        <v>97</v>
      </c>
      <c r="H657" s="80">
        <v>0.4815</v>
      </c>
      <c r="I657" s="83">
        <v>1</v>
      </c>
      <c r="J657" s="79">
        <v>4</v>
      </c>
      <c r="K657" s="79"/>
      <c r="L657" s="80">
        <v>0.125</v>
      </c>
      <c r="M657" s="80"/>
      <c r="N657" s="86">
        <v>80</v>
      </c>
      <c r="O657" s="86"/>
      <c r="P657" s="79">
        <v>11</v>
      </c>
      <c r="Q657" s="87"/>
    </row>
    <row r="658" ht="15" spans="1:17">
      <c r="A658" s="89">
        <v>43387</v>
      </c>
      <c r="B658" s="78"/>
      <c r="C658" s="79">
        <v>3</v>
      </c>
      <c r="D658" s="88"/>
      <c r="E658" s="79">
        <v>41</v>
      </c>
      <c r="F658" s="80">
        <v>0.0148</v>
      </c>
      <c r="G658" s="79">
        <v>11</v>
      </c>
      <c r="H658" s="80">
        <v>0.0148</v>
      </c>
      <c r="I658" s="83">
        <v>1</v>
      </c>
      <c r="J658" s="79">
        <v>5</v>
      </c>
      <c r="K658" s="79"/>
      <c r="L658" s="80">
        <v>0</v>
      </c>
      <c r="M658" s="80"/>
      <c r="N658" s="86">
        <v>89</v>
      </c>
      <c r="O658" s="86"/>
      <c r="P658" s="79">
        <v>7</v>
      </c>
      <c r="Q658" s="87"/>
    </row>
    <row r="659" ht="15" spans="1:17">
      <c r="A659" s="89">
        <v>43387</v>
      </c>
      <c r="B659" s="78"/>
      <c r="C659" s="79">
        <v>7</v>
      </c>
      <c r="D659" s="88"/>
      <c r="E659" s="79">
        <v>12</v>
      </c>
      <c r="F659" s="80">
        <v>0.0519</v>
      </c>
      <c r="G659" s="79">
        <v>49</v>
      </c>
      <c r="H659" s="80">
        <v>0.0519</v>
      </c>
      <c r="I659" s="83">
        <v>1</v>
      </c>
      <c r="J659" s="79">
        <v>26</v>
      </c>
      <c r="K659" s="79"/>
      <c r="L659" s="80">
        <v>0.1667</v>
      </c>
      <c r="M659" s="80"/>
      <c r="N659" s="86">
        <v>104</v>
      </c>
      <c r="O659" s="86"/>
      <c r="P659" s="79">
        <v>10</v>
      </c>
      <c r="Q659" s="87"/>
    </row>
    <row r="660" ht="15" spans="1:17">
      <c r="A660" s="89">
        <v>43388</v>
      </c>
      <c r="B660" s="78"/>
      <c r="C660" s="79">
        <v>2</v>
      </c>
      <c r="D660" s="88"/>
      <c r="E660" s="79">
        <v>38</v>
      </c>
      <c r="F660" s="80">
        <v>0.1862</v>
      </c>
      <c r="G660" s="79">
        <v>97</v>
      </c>
      <c r="H660" s="80">
        <v>0.1862</v>
      </c>
      <c r="I660" s="83">
        <v>1</v>
      </c>
      <c r="J660" s="79">
        <v>12</v>
      </c>
      <c r="K660" s="79"/>
      <c r="L660" s="80">
        <v>0.1818</v>
      </c>
      <c r="M660" s="80"/>
      <c r="N660" s="86">
        <v>158</v>
      </c>
      <c r="O660" s="86"/>
      <c r="P660" s="79">
        <v>11</v>
      </c>
      <c r="Q660" s="87"/>
    </row>
    <row r="661" ht="15" spans="1:17">
      <c r="A661" s="89">
        <v>43388</v>
      </c>
      <c r="B661" s="78"/>
      <c r="C661" s="79">
        <v>5</v>
      </c>
      <c r="D661" s="88"/>
      <c r="E661" s="79">
        <v>72</v>
      </c>
      <c r="F661" s="80">
        <v>0.4414</v>
      </c>
      <c r="G661" s="79">
        <v>5</v>
      </c>
      <c r="H661" s="80">
        <v>0.4414</v>
      </c>
      <c r="I661" s="83">
        <v>1</v>
      </c>
      <c r="J661" s="79">
        <v>11</v>
      </c>
      <c r="K661" s="79"/>
      <c r="L661" s="80">
        <v>0.3488</v>
      </c>
      <c r="M661" s="80"/>
      <c r="N661" s="86">
        <v>114</v>
      </c>
      <c r="O661" s="86"/>
      <c r="P661" s="79">
        <v>2</v>
      </c>
      <c r="Q661" s="87"/>
    </row>
    <row r="662" ht="15" spans="1:17">
      <c r="A662" s="89">
        <v>43388</v>
      </c>
      <c r="B662" s="78"/>
      <c r="C662" s="79">
        <v>3</v>
      </c>
      <c r="D662" s="88"/>
      <c r="E662" s="79">
        <v>43</v>
      </c>
      <c r="F662" s="80">
        <v>0.0276</v>
      </c>
      <c r="G662" s="79">
        <v>88</v>
      </c>
      <c r="H662" s="80">
        <v>0.0276</v>
      </c>
      <c r="I662" s="83">
        <v>1</v>
      </c>
      <c r="J662" s="79">
        <v>2</v>
      </c>
      <c r="K662" s="79"/>
      <c r="L662" s="80">
        <v>0</v>
      </c>
      <c r="M662" s="80"/>
      <c r="N662" s="86">
        <v>183</v>
      </c>
      <c r="O662" s="86"/>
      <c r="P662" s="79">
        <v>6</v>
      </c>
      <c r="Q662" s="87"/>
    </row>
    <row r="663" ht="15" spans="1:17">
      <c r="A663" s="89">
        <v>43388</v>
      </c>
      <c r="B663" s="78"/>
      <c r="C663" s="79">
        <v>1</v>
      </c>
      <c r="D663" s="88"/>
      <c r="E663" s="79">
        <v>45</v>
      </c>
      <c r="F663" s="80">
        <v>0.2897</v>
      </c>
      <c r="G663" s="79">
        <v>14</v>
      </c>
      <c r="H663" s="80">
        <v>0.2897</v>
      </c>
      <c r="I663" s="83">
        <v>1</v>
      </c>
      <c r="J663" s="79">
        <v>26</v>
      </c>
      <c r="K663" s="79"/>
      <c r="L663" s="80">
        <v>0.129</v>
      </c>
      <c r="M663" s="80"/>
      <c r="N663" s="86">
        <v>133</v>
      </c>
      <c r="O663" s="86"/>
      <c r="P663" s="79">
        <v>6</v>
      </c>
      <c r="Q663" s="87"/>
    </row>
    <row r="664" ht="15" spans="1:17">
      <c r="A664" s="89">
        <v>43388</v>
      </c>
      <c r="B664" s="78"/>
      <c r="C664" s="79">
        <v>7</v>
      </c>
      <c r="D664" s="88"/>
      <c r="E664" s="79">
        <v>55</v>
      </c>
      <c r="F664" s="80">
        <v>0.0552</v>
      </c>
      <c r="G664" s="79">
        <v>37</v>
      </c>
      <c r="H664" s="80">
        <v>0.0552</v>
      </c>
      <c r="I664" s="83">
        <v>1</v>
      </c>
      <c r="J664" s="79">
        <v>20</v>
      </c>
      <c r="K664" s="79"/>
      <c r="L664" s="80">
        <v>0.1667</v>
      </c>
      <c r="M664" s="80"/>
      <c r="N664" s="86">
        <v>104</v>
      </c>
      <c r="O664" s="86"/>
      <c r="P664" s="79">
        <v>2</v>
      </c>
      <c r="Q664" s="87"/>
    </row>
    <row r="665" ht="15" spans="1:17">
      <c r="A665" s="89">
        <v>43389</v>
      </c>
      <c r="B665" s="78"/>
      <c r="C665" s="79">
        <v>2</v>
      </c>
      <c r="D665" s="88"/>
      <c r="E665" s="79">
        <v>40</v>
      </c>
      <c r="F665" s="80">
        <v>0.2072</v>
      </c>
      <c r="G665" s="79">
        <v>95</v>
      </c>
      <c r="H665" s="80">
        <v>0.2072</v>
      </c>
      <c r="I665" s="83">
        <v>1</v>
      </c>
      <c r="J665" s="79">
        <v>23</v>
      </c>
      <c r="K665" s="79"/>
      <c r="L665" s="80">
        <v>0</v>
      </c>
      <c r="M665" s="80"/>
      <c r="N665" s="86">
        <v>207</v>
      </c>
      <c r="O665" s="86"/>
      <c r="P665" s="79">
        <v>13</v>
      </c>
      <c r="Q665" s="87"/>
    </row>
    <row r="666" ht="15" spans="1:17">
      <c r="A666" s="89">
        <v>43389</v>
      </c>
      <c r="B666" s="78"/>
      <c r="C666" s="79">
        <v>5</v>
      </c>
      <c r="D666" s="88"/>
      <c r="E666" s="79">
        <v>82</v>
      </c>
      <c r="F666" s="80">
        <v>0.3604</v>
      </c>
      <c r="G666" s="79">
        <v>93</v>
      </c>
      <c r="H666" s="80">
        <v>0.3604</v>
      </c>
      <c r="I666" s="83">
        <v>1</v>
      </c>
      <c r="J666" s="79">
        <v>0</v>
      </c>
      <c r="K666" s="79"/>
      <c r="L666" s="80">
        <v>0</v>
      </c>
      <c r="M666" s="80"/>
      <c r="N666" s="86">
        <v>298</v>
      </c>
      <c r="O666" s="86"/>
      <c r="P666" s="79">
        <v>6</v>
      </c>
      <c r="Q666" s="87"/>
    </row>
    <row r="667" ht="15" spans="1:17">
      <c r="A667" s="89">
        <v>43389</v>
      </c>
      <c r="B667" s="78"/>
      <c r="C667" s="79">
        <v>3</v>
      </c>
      <c r="D667" s="88"/>
      <c r="E667" s="79">
        <v>97</v>
      </c>
      <c r="F667" s="80">
        <v>0.018</v>
      </c>
      <c r="G667" s="79">
        <v>3</v>
      </c>
      <c r="H667" s="80">
        <v>0.018</v>
      </c>
      <c r="I667" s="83">
        <v>1</v>
      </c>
      <c r="J667" s="79">
        <v>9</v>
      </c>
      <c r="K667" s="79"/>
      <c r="L667" s="80">
        <v>0</v>
      </c>
      <c r="M667" s="80"/>
      <c r="N667" s="86">
        <v>74</v>
      </c>
      <c r="O667" s="86"/>
      <c r="P667" s="79">
        <v>8</v>
      </c>
      <c r="Q667" s="87"/>
    </row>
    <row r="668" ht="15" spans="1:17">
      <c r="A668" s="89">
        <v>43389</v>
      </c>
      <c r="B668" s="78"/>
      <c r="C668" s="79">
        <v>1</v>
      </c>
      <c r="D668" s="88"/>
      <c r="E668" s="79">
        <v>33</v>
      </c>
      <c r="F668" s="80">
        <v>0.3694</v>
      </c>
      <c r="G668" s="79">
        <v>99</v>
      </c>
      <c r="H668" s="80">
        <v>0.3694</v>
      </c>
      <c r="I668" s="83">
        <v>1</v>
      </c>
      <c r="J668" s="79">
        <v>15</v>
      </c>
      <c r="K668" s="79"/>
      <c r="L668" s="80">
        <v>0</v>
      </c>
      <c r="M668" s="80"/>
      <c r="N668" s="86">
        <v>331</v>
      </c>
      <c r="O668" s="86"/>
      <c r="P668" s="79">
        <v>6</v>
      </c>
      <c r="Q668" s="87"/>
    </row>
    <row r="669" ht="15" spans="1:17">
      <c r="A669" s="89">
        <v>43389</v>
      </c>
      <c r="B669" s="78"/>
      <c r="C669" s="79">
        <v>6</v>
      </c>
      <c r="D669" s="88"/>
      <c r="E669" s="79">
        <v>6</v>
      </c>
      <c r="F669" s="80">
        <v>0.009</v>
      </c>
      <c r="G669" s="79">
        <v>84</v>
      </c>
      <c r="H669" s="80">
        <v>0.009</v>
      </c>
      <c r="I669" s="83">
        <v>1</v>
      </c>
      <c r="J669" s="79">
        <v>24</v>
      </c>
      <c r="K669" s="79"/>
      <c r="L669" s="80">
        <v>0</v>
      </c>
      <c r="M669" s="80"/>
      <c r="N669" s="86">
        <v>377</v>
      </c>
      <c r="O669" s="86"/>
      <c r="P669" s="79">
        <v>1</v>
      </c>
      <c r="Q669" s="87"/>
    </row>
    <row r="670" ht="15" spans="1:17">
      <c r="A670" s="89">
        <v>43389</v>
      </c>
      <c r="B670" s="78"/>
      <c r="C670" s="79">
        <v>7</v>
      </c>
      <c r="D670" s="88"/>
      <c r="E670" s="79">
        <v>1</v>
      </c>
      <c r="F670" s="80">
        <v>0.036</v>
      </c>
      <c r="G670" s="79">
        <v>3</v>
      </c>
      <c r="H670" s="80">
        <v>0.036</v>
      </c>
      <c r="I670" s="83">
        <v>0.75</v>
      </c>
      <c r="J670" s="79">
        <v>6</v>
      </c>
      <c r="K670" s="79"/>
      <c r="L670" s="80">
        <v>0</v>
      </c>
      <c r="M670" s="80"/>
      <c r="N670" s="86">
        <v>400</v>
      </c>
      <c r="O670" s="86"/>
      <c r="P670" s="79">
        <v>19</v>
      </c>
      <c r="Q670" s="87"/>
    </row>
    <row r="671" ht="15" spans="1:17">
      <c r="A671" s="89">
        <v>43390</v>
      </c>
      <c r="B671" s="78"/>
      <c r="C671" s="79">
        <v>5</v>
      </c>
      <c r="D671" s="88"/>
      <c r="E671" s="79">
        <v>45</v>
      </c>
      <c r="F671" s="80">
        <v>0.4872</v>
      </c>
      <c r="G671" s="79">
        <v>86</v>
      </c>
      <c r="H671" s="80">
        <v>0.4872</v>
      </c>
      <c r="I671" s="83">
        <v>1</v>
      </c>
      <c r="J671" s="79">
        <v>15</v>
      </c>
      <c r="K671" s="79"/>
      <c r="L671" s="80">
        <v>0.2698</v>
      </c>
      <c r="M671" s="80"/>
      <c r="N671" s="86">
        <v>79</v>
      </c>
      <c r="O671" s="86"/>
      <c r="P671" s="79">
        <v>6</v>
      </c>
      <c r="Q671" s="87"/>
    </row>
    <row r="672" ht="15" spans="1:17">
      <c r="A672" s="89">
        <v>43390</v>
      </c>
      <c r="B672" s="78"/>
      <c r="C672" s="79">
        <v>2</v>
      </c>
      <c r="D672" s="88"/>
      <c r="E672" s="79">
        <v>52</v>
      </c>
      <c r="F672" s="80">
        <v>0.1744</v>
      </c>
      <c r="G672" s="79">
        <v>5</v>
      </c>
      <c r="H672" s="80">
        <v>0.1744</v>
      </c>
      <c r="I672" s="83">
        <v>0.97</v>
      </c>
      <c r="J672" s="79">
        <v>15</v>
      </c>
      <c r="K672" s="79"/>
      <c r="L672" s="80">
        <v>0.069</v>
      </c>
      <c r="M672" s="80"/>
      <c r="N672" s="86">
        <v>392</v>
      </c>
      <c r="O672" s="86"/>
      <c r="P672" s="79">
        <v>8</v>
      </c>
      <c r="Q672" s="87"/>
    </row>
    <row r="673" ht="15" spans="1:17">
      <c r="A673" s="89">
        <v>43390</v>
      </c>
      <c r="B673" s="78"/>
      <c r="C673" s="79">
        <v>3</v>
      </c>
      <c r="D673" s="88"/>
      <c r="E673" s="79">
        <v>73</v>
      </c>
      <c r="F673" s="80">
        <v>0.0308</v>
      </c>
      <c r="G673" s="79">
        <v>5</v>
      </c>
      <c r="H673" s="80">
        <v>0.0308</v>
      </c>
      <c r="I673" s="83">
        <v>1</v>
      </c>
      <c r="J673" s="79">
        <v>10</v>
      </c>
      <c r="K673" s="79"/>
      <c r="L673" s="80">
        <v>0.6</v>
      </c>
      <c r="M673" s="80"/>
      <c r="N673" s="86">
        <v>271</v>
      </c>
      <c r="O673" s="86"/>
      <c r="P673" s="79">
        <v>16</v>
      </c>
      <c r="Q673" s="87"/>
    </row>
    <row r="674" ht="15" spans="1:17">
      <c r="A674" s="89">
        <v>43390</v>
      </c>
      <c r="B674" s="78"/>
      <c r="C674" s="79">
        <v>1</v>
      </c>
      <c r="D674" s="88"/>
      <c r="E674" s="79">
        <v>8</v>
      </c>
      <c r="F674" s="80">
        <v>0.241</v>
      </c>
      <c r="G674" s="79">
        <v>95</v>
      </c>
      <c r="H674" s="80">
        <v>0.241</v>
      </c>
      <c r="I674" s="83">
        <v>1</v>
      </c>
      <c r="J674" s="79">
        <v>14</v>
      </c>
      <c r="K674" s="79"/>
      <c r="L674" s="80">
        <v>0.0857</v>
      </c>
      <c r="M674" s="80"/>
      <c r="N674" s="86">
        <v>89</v>
      </c>
      <c r="O674" s="86"/>
      <c r="P674" s="79">
        <v>2</v>
      </c>
      <c r="Q674" s="87"/>
    </row>
    <row r="675" ht="15" spans="1:17">
      <c r="A675" s="89">
        <v>43390</v>
      </c>
      <c r="B675" s="78"/>
      <c r="C675" s="79">
        <v>6</v>
      </c>
      <c r="D675" s="88"/>
      <c r="E675" s="79">
        <v>75</v>
      </c>
      <c r="F675" s="80">
        <v>0.0051</v>
      </c>
      <c r="G675" s="79">
        <v>68</v>
      </c>
      <c r="H675" s="80">
        <v>0.0051</v>
      </c>
      <c r="I675" s="83">
        <v>0</v>
      </c>
      <c r="J675" s="79">
        <v>22</v>
      </c>
      <c r="K675" s="79"/>
      <c r="L675" s="80">
        <v>0</v>
      </c>
      <c r="M675" s="80"/>
      <c r="N675" s="86">
        <v>105</v>
      </c>
      <c r="O675" s="86"/>
      <c r="P675" s="79">
        <v>11</v>
      </c>
      <c r="Q675" s="87"/>
    </row>
    <row r="676" ht="15" spans="1:17">
      <c r="A676" s="89">
        <v>43390</v>
      </c>
      <c r="B676" s="78"/>
      <c r="C676" s="79">
        <v>7</v>
      </c>
      <c r="D676" s="88"/>
      <c r="E676" s="79">
        <v>59</v>
      </c>
      <c r="F676" s="80">
        <v>0.0615</v>
      </c>
      <c r="G676" s="79">
        <v>52</v>
      </c>
      <c r="H676" s="80">
        <v>0.0615</v>
      </c>
      <c r="I676" s="83">
        <v>1</v>
      </c>
      <c r="J676" s="79">
        <v>30</v>
      </c>
      <c r="K676" s="79"/>
      <c r="L676" s="80">
        <v>0.125</v>
      </c>
      <c r="M676" s="80"/>
      <c r="N676" s="86">
        <v>373</v>
      </c>
      <c r="O676" s="86"/>
      <c r="P676" s="79">
        <v>6</v>
      </c>
      <c r="Q676" s="87"/>
    </row>
    <row r="677" ht="15" spans="1:17">
      <c r="A677" s="89">
        <v>43391</v>
      </c>
      <c r="B677" s="78"/>
      <c r="C677" s="79">
        <v>5</v>
      </c>
      <c r="D677" s="88"/>
      <c r="E677" s="79">
        <v>94</v>
      </c>
      <c r="F677" s="80">
        <v>0.5063</v>
      </c>
      <c r="G677" s="79">
        <v>68</v>
      </c>
      <c r="H677" s="80">
        <v>0.5063</v>
      </c>
      <c r="I677" s="83">
        <v>1</v>
      </c>
      <c r="J677" s="79">
        <v>24</v>
      </c>
      <c r="K677" s="79"/>
      <c r="L677" s="80">
        <v>0.2586</v>
      </c>
      <c r="M677" s="80"/>
      <c r="N677" s="86">
        <v>183</v>
      </c>
      <c r="O677" s="86"/>
      <c r="P677" s="79">
        <v>17</v>
      </c>
      <c r="Q677" s="87"/>
    </row>
    <row r="678" ht="15" spans="1:17">
      <c r="A678" s="89">
        <v>43391</v>
      </c>
      <c r="B678" s="78"/>
      <c r="C678" s="79">
        <v>2</v>
      </c>
      <c r="D678" s="88"/>
      <c r="E678" s="79">
        <v>63</v>
      </c>
      <c r="F678" s="80">
        <v>0.2125</v>
      </c>
      <c r="G678" s="79">
        <v>37</v>
      </c>
      <c r="H678" s="80">
        <v>0.2125</v>
      </c>
      <c r="I678" s="83">
        <v>1</v>
      </c>
      <c r="J678" s="79">
        <v>28</v>
      </c>
      <c r="K678" s="79"/>
      <c r="L678" s="80">
        <v>0</v>
      </c>
      <c r="M678" s="80"/>
      <c r="N678" s="86">
        <v>147</v>
      </c>
      <c r="O678" s="86"/>
      <c r="P678" s="79">
        <v>0</v>
      </c>
      <c r="Q678" s="87"/>
    </row>
    <row r="679" ht="15" spans="1:17">
      <c r="A679" s="89">
        <v>43391</v>
      </c>
      <c r="B679" s="78"/>
      <c r="C679" s="79">
        <v>3</v>
      </c>
      <c r="D679" s="88"/>
      <c r="E679" s="79">
        <v>57</v>
      </c>
      <c r="F679" s="80">
        <v>0.025</v>
      </c>
      <c r="G679" s="79">
        <v>29</v>
      </c>
      <c r="H679" s="80">
        <v>0.025</v>
      </c>
      <c r="I679" s="83">
        <v>1</v>
      </c>
      <c r="J679" s="79">
        <v>5</v>
      </c>
      <c r="K679" s="79"/>
      <c r="L679" s="80">
        <v>0</v>
      </c>
      <c r="M679" s="80"/>
      <c r="N679" s="86">
        <v>497</v>
      </c>
      <c r="O679" s="86"/>
      <c r="P679" s="79">
        <v>16</v>
      </c>
      <c r="Q679" s="87"/>
    </row>
    <row r="680" ht="15" spans="1:17">
      <c r="A680" s="89">
        <v>43391</v>
      </c>
      <c r="B680" s="78"/>
      <c r="C680" s="79">
        <v>1</v>
      </c>
      <c r="D680" s="88"/>
      <c r="E680" s="79">
        <v>75</v>
      </c>
      <c r="F680" s="80">
        <v>0.2063</v>
      </c>
      <c r="G680" s="79">
        <v>72</v>
      </c>
      <c r="H680" s="80">
        <v>0.2063</v>
      </c>
      <c r="I680" s="83">
        <v>1</v>
      </c>
      <c r="J680" s="79">
        <v>21</v>
      </c>
      <c r="K680" s="79"/>
      <c r="L680" s="80">
        <v>0.0741</v>
      </c>
      <c r="M680" s="80"/>
      <c r="N680" s="86">
        <v>397</v>
      </c>
      <c r="O680" s="86"/>
      <c r="P680" s="79">
        <v>15</v>
      </c>
      <c r="Q680" s="87"/>
    </row>
    <row r="681" ht="15" spans="1:17">
      <c r="A681" s="89">
        <v>43391</v>
      </c>
      <c r="B681" s="78"/>
      <c r="C681" s="79">
        <v>7</v>
      </c>
      <c r="D681" s="88"/>
      <c r="E681" s="79">
        <v>21</v>
      </c>
      <c r="F681" s="80">
        <v>0.05</v>
      </c>
      <c r="G681" s="79">
        <v>51</v>
      </c>
      <c r="H681" s="80">
        <v>0.05</v>
      </c>
      <c r="I681" s="83">
        <v>1</v>
      </c>
      <c r="J681" s="79">
        <v>30</v>
      </c>
      <c r="K681" s="79"/>
      <c r="L681" s="80">
        <v>0.1667</v>
      </c>
      <c r="M681" s="80"/>
      <c r="N681" s="86">
        <v>469</v>
      </c>
      <c r="O681" s="86"/>
      <c r="P681" s="79">
        <v>13</v>
      </c>
      <c r="Q681" s="87"/>
    </row>
    <row r="682" ht="15" spans="1:17">
      <c r="A682" s="89">
        <v>43392</v>
      </c>
      <c r="B682" s="78"/>
      <c r="C682" s="79">
        <v>4</v>
      </c>
      <c r="D682" s="88"/>
      <c r="E682" s="79">
        <v>74</v>
      </c>
      <c r="F682" s="80">
        <v>0.004</v>
      </c>
      <c r="G682" s="79">
        <v>80</v>
      </c>
      <c r="H682" s="80">
        <v>0.004</v>
      </c>
      <c r="I682" s="83">
        <v>1</v>
      </c>
      <c r="J682" s="79">
        <v>28</v>
      </c>
      <c r="K682" s="79"/>
      <c r="L682" s="80">
        <v>0</v>
      </c>
      <c r="M682" s="80"/>
      <c r="N682" s="86">
        <v>322</v>
      </c>
      <c r="O682" s="86"/>
      <c r="P682" s="79">
        <v>12</v>
      </c>
      <c r="Q682" s="87"/>
    </row>
    <row r="683" ht="15" spans="1:17">
      <c r="A683" s="89">
        <v>43392</v>
      </c>
      <c r="B683" s="78"/>
      <c r="C683" s="79">
        <v>2</v>
      </c>
      <c r="D683" s="88"/>
      <c r="E683" s="79">
        <v>61</v>
      </c>
      <c r="F683" s="80">
        <v>0.1613</v>
      </c>
      <c r="G683" s="79">
        <v>39</v>
      </c>
      <c r="H683" s="80">
        <v>0.1613</v>
      </c>
      <c r="I683" s="83">
        <v>0.95</v>
      </c>
      <c r="J683" s="79">
        <v>11</v>
      </c>
      <c r="K683" s="79"/>
      <c r="L683" s="80">
        <v>0.04</v>
      </c>
      <c r="M683" s="80"/>
      <c r="N683" s="86">
        <v>126</v>
      </c>
      <c r="O683" s="86"/>
      <c r="P683" s="79">
        <v>9</v>
      </c>
      <c r="Q683" s="87"/>
    </row>
    <row r="684" ht="15" spans="1:17">
      <c r="A684" s="89">
        <v>43392</v>
      </c>
      <c r="B684" s="78"/>
      <c r="C684" s="79">
        <v>5</v>
      </c>
      <c r="D684" s="88"/>
      <c r="E684" s="79">
        <v>46</v>
      </c>
      <c r="F684" s="80">
        <v>0.5605</v>
      </c>
      <c r="G684" s="79">
        <v>86</v>
      </c>
      <c r="H684" s="80">
        <v>0.5605</v>
      </c>
      <c r="I684" s="83">
        <v>1</v>
      </c>
      <c r="J684" s="79">
        <v>19</v>
      </c>
      <c r="K684" s="79"/>
      <c r="L684" s="80">
        <v>0.2243</v>
      </c>
      <c r="M684" s="80"/>
      <c r="N684" s="86">
        <v>112</v>
      </c>
      <c r="O684" s="86"/>
      <c r="P684" s="79">
        <v>19</v>
      </c>
      <c r="Q684" s="87"/>
    </row>
    <row r="685" ht="15" spans="1:17">
      <c r="A685" s="89">
        <v>43392</v>
      </c>
      <c r="B685" s="78"/>
      <c r="C685" s="79">
        <v>3</v>
      </c>
      <c r="D685" s="88"/>
      <c r="E685" s="79">
        <v>14</v>
      </c>
      <c r="F685" s="80">
        <v>0.0323</v>
      </c>
      <c r="G685" s="79">
        <v>59</v>
      </c>
      <c r="H685" s="80">
        <v>0.0323</v>
      </c>
      <c r="I685" s="83">
        <v>1</v>
      </c>
      <c r="J685" s="79">
        <v>26</v>
      </c>
      <c r="K685" s="79"/>
      <c r="L685" s="80">
        <v>0</v>
      </c>
      <c r="M685" s="80"/>
      <c r="N685" s="86">
        <v>97</v>
      </c>
      <c r="O685" s="86"/>
      <c r="P685" s="79">
        <v>20</v>
      </c>
      <c r="Q685" s="87"/>
    </row>
    <row r="686" ht="15" spans="1:17">
      <c r="A686" s="89">
        <v>43392</v>
      </c>
      <c r="B686" s="78"/>
      <c r="C686" s="79">
        <v>1</v>
      </c>
      <c r="D686" s="88"/>
      <c r="E686" s="79">
        <v>50</v>
      </c>
      <c r="F686" s="80">
        <v>0.1694</v>
      </c>
      <c r="G686" s="79">
        <v>73</v>
      </c>
      <c r="H686" s="80">
        <v>0.1694</v>
      </c>
      <c r="I686" s="83">
        <v>1</v>
      </c>
      <c r="J686" s="79">
        <v>8</v>
      </c>
      <c r="K686" s="79"/>
      <c r="L686" s="80">
        <v>0.0588</v>
      </c>
      <c r="M686" s="80"/>
      <c r="N686" s="86">
        <v>186</v>
      </c>
      <c r="O686" s="86"/>
      <c r="P686" s="79">
        <v>14</v>
      </c>
      <c r="Q686" s="87"/>
    </row>
    <row r="687" ht="15" spans="1:17">
      <c r="A687" s="89">
        <v>43392</v>
      </c>
      <c r="B687" s="78"/>
      <c r="C687" s="79">
        <v>7</v>
      </c>
      <c r="D687" s="88"/>
      <c r="E687" s="79">
        <v>12</v>
      </c>
      <c r="F687" s="80">
        <v>0.0726</v>
      </c>
      <c r="G687" s="79">
        <v>56</v>
      </c>
      <c r="H687" s="80">
        <v>0.0726</v>
      </c>
      <c r="I687" s="83">
        <v>1</v>
      </c>
      <c r="J687" s="79">
        <v>24</v>
      </c>
      <c r="K687" s="79"/>
      <c r="L687" s="80">
        <v>0.0625</v>
      </c>
      <c r="M687" s="80"/>
      <c r="N687" s="86">
        <v>329</v>
      </c>
      <c r="O687" s="86"/>
      <c r="P687" s="79">
        <v>12</v>
      </c>
      <c r="Q687" s="87"/>
    </row>
    <row r="688" ht="15" spans="1:17">
      <c r="A688" s="89">
        <v>43393</v>
      </c>
      <c r="B688" s="78"/>
      <c r="C688" s="79">
        <v>2</v>
      </c>
      <c r="D688" s="88"/>
      <c r="E688" s="79">
        <v>24</v>
      </c>
      <c r="F688" s="80">
        <v>0.2229</v>
      </c>
      <c r="G688" s="79">
        <v>67</v>
      </c>
      <c r="H688" s="80">
        <v>0.2229</v>
      </c>
      <c r="I688" s="83">
        <v>1</v>
      </c>
      <c r="J688" s="79">
        <v>9</v>
      </c>
      <c r="K688" s="79"/>
      <c r="L688" s="80">
        <v>0.08</v>
      </c>
      <c r="M688" s="80"/>
      <c r="N688" s="86">
        <v>147</v>
      </c>
      <c r="O688" s="86"/>
      <c r="P688" s="79">
        <v>3</v>
      </c>
      <c r="Q688" s="87"/>
    </row>
    <row r="689" ht="15" spans="1:17">
      <c r="A689" s="89">
        <v>43393</v>
      </c>
      <c r="B689" s="78"/>
      <c r="C689" s="79">
        <v>5</v>
      </c>
      <c r="D689" s="88"/>
      <c r="E689" s="79">
        <v>79</v>
      </c>
      <c r="F689" s="80">
        <v>0.4586</v>
      </c>
      <c r="G689" s="79">
        <v>14</v>
      </c>
      <c r="H689" s="80">
        <v>0.4586</v>
      </c>
      <c r="I689" s="83">
        <v>1</v>
      </c>
      <c r="J689" s="79">
        <v>16</v>
      </c>
      <c r="K689" s="79"/>
      <c r="L689" s="80">
        <v>0.0612</v>
      </c>
      <c r="M689" s="80"/>
      <c r="N689" s="86">
        <v>362</v>
      </c>
      <c r="O689" s="86"/>
      <c r="P689" s="79">
        <v>4</v>
      </c>
      <c r="Q689" s="87"/>
    </row>
    <row r="690" ht="15" spans="1:17">
      <c r="A690" s="89">
        <v>43393</v>
      </c>
      <c r="B690" s="78"/>
      <c r="C690" s="79">
        <v>3</v>
      </c>
      <c r="D690" s="88"/>
      <c r="E690" s="79">
        <v>14</v>
      </c>
      <c r="F690" s="80">
        <v>0.0318</v>
      </c>
      <c r="G690" s="79">
        <v>78</v>
      </c>
      <c r="H690" s="80">
        <v>0.0318</v>
      </c>
      <c r="I690" s="83">
        <v>1</v>
      </c>
      <c r="J690" s="79">
        <v>14</v>
      </c>
      <c r="K690" s="79"/>
      <c r="L690" s="80">
        <v>0</v>
      </c>
      <c r="M690" s="80"/>
      <c r="N690" s="86">
        <v>209</v>
      </c>
      <c r="O690" s="86"/>
      <c r="P690" s="79">
        <v>6</v>
      </c>
      <c r="Q690" s="87"/>
    </row>
    <row r="691" ht="15" spans="1:17">
      <c r="A691" s="89">
        <v>43393</v>
      </c>
      <c r="B691" s="78"/>
      <c r="C691" s="79">
        <v>1</v>
      </c>
      <c r="D691" s="88"/>
      <c r="E691" s="79">
        <v>32</v>
      </c>
      <c r="F691" s="80">
        <v>0.1592</v>
      </c>
      <c r="G691" s="79">
        <v>45</v>
      </c>
      <c r="H691" s="80">
        <v>0.1592</v>
      </c>
      <c r="I691" s="83">
        <v>1</v>
      </c>
      <c r="J691" s="79">
        <v>16</v>
      </c>
      <c r="K691" s="79"/>
      <c r="L691" s="80">
        <v>0.0476</v>
      </c>
      <c r="M691" s="80"/>
      <c r="N691" s="86">
        <v>178</v>
      </c>
      <c r="O691" s="86"/>
      <c r="P691" s="79">
        <v>11</v>
      </c>
      <c r="Q691" s="87"/>
    </row>
    <row r="692" ht="15" spans="1:17">
      <c r="A692" s="89">
        <v>43393</v>
      </c>
      <c r="B692" s="78"/>
      <c r="C692" s="79">
        <v>7</v>
      </c>
      <c r="D692" s="88"/>
      <c r="E692" s="79">
        <v>48</v>
      </c>
      <c r="F692" s="80">
        <v>0.1274</v>
      </c>
      <c r="G692" s="79">
        <v>36</v>
      </c>
      <c r="H692" s="80">
        <v>0.1274</v>
      </c>
      <c r="I692" s="83">
        <v>1</v>
      </c>
      <c r="J692" s="79">
        <v>11</v>
      </c>
      <c r="K692" s="79"/>
      <c r="L692" s="80">
        <v>0.1538</v>
      </c>
      <c r="M692" s="80"/>
      <c r="N692" s="86">
        <v>330</v>
      </c>
      <c r="O692" s="86"/>
      <c r="P692" s="79">
        <v>0</v>
      </c>
      <c r="Q692" s="87"/>
    </row>
    <row r="693" ht="15" spans="1:17">
      <c r="A693" s="89">
        <v>43394</v>
      </c>
      <c r="B693" s="78"/>
      <c r="C693" s="79">
        <v>4</v>
      </c>
      <c r="D693" s="88"/>
      <c r="E693" s="79">
        <v>76</v>
      </c>
      <c r="F693" s="80">
        <v>0.0062</v>
      </c>
      <c r="G693" s="79">
        <v>47</v>
      </c>
      <c r="H693" s="80">
        <v>0.0062</v>
      </c>
      <c r="I693" s="83">
        <v>0</v>
      </c>
      <c r="J693" s="79">
        <v>21</v>
      </c>
      <c r="K693" s="79"/>
      <c r="L693" s="80">
        <v>0</v>
      </c>
      <c r="M693" s="80"/>
      <c r="N693" s="86">
        <v>362</v>
      </c>
      <c r="O693" s="86"/>
      <c r="P693" s="79">
        <v>2</v>
      </c>
      <c r="Q693" s="87"/>
    </row>
    <row r="694" ht="15" spans="1:17">
      <c r="A694" s="89">
        <v>43394</v>
      </c>
      <c r="B694" s="78"/>
      <c r="C694" s="79">
        <v>2</v>
      </c>
      <c r="D694" s="88"/>
      <c r="E694" s="79">
        <v>57</v>
      </c>
      <c r="F694" s="80">
        <v>0.1491</v>
      </c>
      <c r="G694" s="79">
        <v>16</v>
      </c>
      <c r="H694" s="80">
        <v>0.1491</v>
      </c>
      <c r="I694" s="83">
        <v>0.96</v>
      </c>
      <c r="J694" s="79">
        <v>27</v>
      </c>
      <c r="K694" s="79"/>
      <c r="L694" s="80">
        <v>0.0588</v>
      </c>
      <c r="M694" s="80"/>
      <c r="N694" s="86">
        <v>201</v>
      </c>
      <c r="O694" s="86"/>
      <c r="P694" s="79">
        <v>3</v>
      </c>
      <c r="Q694" s="87"/>
    </row>
    <row r="695" ht="15" spans="1:17">
      <c r="A695" s="89">
        <v>43394</v>
      </c>
      <c r="B695" s="78"/>
      <c r="C695" s="79">
        <v>5</v>
      </c>
      <c r="D695" s="88"/>
      <c r="E695" s="79">
        <v>45</v>
      </c>
      <c r="F695" s="80">
        <v>0.4472</v>
      </c>
      <c r="G695" s="79">
        <v>24</v>
      </c>
      <c r="H695" s="80">
        <v>0.4472</v>
      </c>
      <c r="I695" s="83">
        <v>1</v>
      </c>
      <c r="J695" s="79">
        <v>11</v>
      </c>
      <c r="K695" s="79"/>
      <c r="L695" s="80">
        <v>0.2931</v>
      </c>
      <c r="M695" s="80"/>
      <c r="N695" s="86">
        <v>404</v>
      </c>
      <c r="O695" s="86"/>
      <c r="P695" s="79">
        <v>6</v>
      </c>
      <c r="Q695" s="87"/>
    </row>
    <row r="696" ht="15" spans="1:17">
      <c r="A696" s="89">
        <v>43394</v>
      </c>
      <c r="B696" s="78"/>
      <c r="C696" s="79">
        <v>3</v>
      </c>
      <c r="D696" s="88"/>
      <c r="E696" s="79">
        <v>5</v>
      </c>
      <c r="F696" s="80">
        <v>0.0062</v>
      </c>
      <c r="G696" s="79">
        <v>6</v>
      </c>
      <c r="H696" s="80">
        <v>0.0062</v>
      </c>
      <c r="I696" s="83">
        <v>1</v>
      </c>
      <c r="J696" s="79">
        <v>12</v>
      </c>
      <c r="K696" s="79"/>
      <c r="L696" s="80">
        <v>0</v>
      </c>
      <c r="M696" s="80"/>
      <c r="N696" s="86">
        <v>378</v>
      </c>
      <c r="O696" s="86"/>
      <c r="P696" s="79">
        <v>6</v>
      </c>
      <c r="Q696" s="87"/>
    </row>
    <row r="697" ht="15" spans="1:17">
      <c r="A697" s="89">
        <v>43394</v>
      </c>
      <c r="B697" s="78"/>
      <c r="C697" s="79">
        <v>1</v>
      </c>
      <c r="D697" s="88"/>
      <c r="E697" s="79">
        <v>53</v>
      </c>
      <c r="F697" s="80">
        <v>0.2671</v>
      </c>
      <c r="G697" s="79">
        <v>28</v>
      </c>
      <c r="H697" s="80">
        <v>0.2671</v>
      </c>
      <c r="I697" s="83">
        <v>1</v>
      </c>
      <c r="J697" s="79">
        <v>10</v>
      </c>
      <c r="K697" s="79"/>
      <c r="L697" s="80">
        <v>0.1379</v>
      </c>
      <c r="M697" s="80"/>
      <c r="N697" s="86">
        <v>170</v>
      </c>
      <c r="O697" s="86"/>
      <c r="P697" s="79">
        <v>12</v>
      </c>
      <c r="Q697" s="87"/>
    </row>
    <row r="698" ht="15" spans="1:17">
      <c r="A698" s="89">
        <v>43394</v>
      </c>
      <c r="B698" s="78"/>
      <c r="C698" s="79">
        <v>6</v>
      </c>
      <c r="D698" s="88"/>
      <c r="E698" s="79">
        <v>37</v>
      </c>
      <c r="F698" s="80">
        <v>0.0062</v>
      </c>
      <c r="G698" s="79">
        <v>79</v>
      </c>
      <c r="H698" s="80">
        <v>0.0062</v>
      </c>
      <c r="I698" s="83">
        <v>0</v>
      </c>
      <c r="J698" s="79">
        <v>4</v>
      </c>
      <c r="K698" s="79"/>
      <c r="L698" s="80">
        <v>0</v>
      </c>
      <c r="M698" s="80"/>
      <c r="N698" s="86">
        <v>480</v>
      </c>
      <c r="O698" s="86"/>
      <c r="P698" s="79">
        <v>18</v>
      </c>
      <c r="Q698" s="87"/>
    </row>
    <row r="699" ht="15" spans="1:17">
      <c r="A699" s="89">
        <v>43394</v>
      </c>
      <c r="B699" s="78"/>
      <c r="C699" s="79">
        <v>7</v>
      </c>
      <c r="D699" s="88"/>
      <c r="E699" s="79">
        <v>38</v>
      </c>
      <c r="F699" s="80">
        <v>0.118</v>
      </c>
      <c r="G699" s="79">
        <v>80</v>
      </c>
      <c r="H699" s="80">
        <v>0.118</v>
      </c>
      <c r="I699" s="83">
        <v>1</v>
      </c>
      <c r="J699" s="79">
        <v>15</v>
      </c>
      <c r="K699" s="79"/>
      <c r="L699" s="80">
        <v>0.0714</v>
      </c>
      <c r="M699" s="80"/>
      <c r="N699" s="86">
        <v>187</v>
      </c>
      <c r="O699" s="86"/>
      <c r="P699" s="79">
        <v>8</v>
      </c>
      <c r="Q699" s="87"/>
    </row>
    <row r="700" ht="15" spans="1:17">
      <c r="A700" s="89">
        <v>43395</v>
      </c>
      <c r="B700" s="78"/>
      <c r="C700" s="79">
        <v>7</v>
      </c>
      <c r="D700" s="88"/>
      <c r="E700" s="79">
        <v>72</v>
      </c>
      <c r="F700" s="80">
        <v>0.125</v>
      </c>
      <c r="G700" s="79">
        <v>14</v>
      </c>
      <c r="H700" s="80">
        <v>0.125</v>
      </c>
      <c r="I700" s="83">
        <v>1</v>
      </c>
      <c r="J700" s="79">
        <v>12</v>
      </c>
      <c r="K700" s="79"/>
      <c r="L700" s="80">
        <v>0.2105</v>
      </c>
      <c r="M700" s="80"/>
      <c r="N700" s="86">
        <v>463</v>
      </c>
      <c r="O700" s="86"/>
      <c r="P700" s="79">
        <v>14</v>
      </c>
      <c r="Q700" s="87"/>
    </row>
    <row r="701" ht="15" spans="1:17">
      <c r="A701" s="89">
        <v>43395</v>
      </c>
      <c r="B701" s="78"/>
      <c r="C701" s="79">
        <v>2</v>
      </c>
      <c r="D701" s="88"/>
      <c r="E701" s="79">
        <v>90</v>
      </c>
      <c r="F701" s="80">
        <v>0.1902</v>
      </c>
      <c r="G701" s="79">
        <v>82</v>
      </c>
      <c r="H701" s="80">
        <v>0.1902</v>
      </c>
      <c r="I701" s="83">
        <v>1</v>
      </c>
      <c r="J701" s="79">
        <v>4</v>
      </c>
      <c r="K701" s="79"/>
      <c r="L701" s="80">
        <v>0</v>
      </c>
      <c r="M701" s="80"/>
      <c r="N701" s="86">
        <v>309</v>
      </c>
      <c r="O701" s="86"/>
      <c r="P701" s="79">
        <v>15</v>
      </c>
      <c r="Q701" s="87"/>
    </row>
    <row r="702" ht="15" spans="1:17">
      <c r="A702" s="89">
        <v>43395</v>
      </c>
      <c r="B702" s="78"/>
      <c r="C702" s="79">
        <v>5</v>
      </c>
      <c r="D702" s="88"/>
      <c r="E702" s="79">
        <v>42</v>
      </c>
      <c r="F702" s="80">
        <v>0.5163</v>
      </c>
      <c r="G702" s="79">
        <v>47</v>
      </c>
      <c r="H702" s="80">
        <v>0.5163</v>
      </c>
      <c r="I702" s="83">
        <v>1</v>
      </c>
      <c r="J702" s="79">
        <v>6</v>
      </c>
      <c r="K702" s="79"/>
      <c r="L702" s="80">
        <v>0.1892</v>
      </c>
      <c r="M702" s="80"/>
      <c r="N702" s="86">
        <v>356</v>
      </c>
      <c r="O702" s="86"/>
      <c r="P702" s="79">
        <v>1</v>
      </c>
      <c r="Q702" s="87"/>
    </row>
    <row r="703" ht="15" spans="1:17">
      <c r="A703" s="89">
        <v>43395</v>
      </c>
      <c r="B703" s="78"/>
      <c r="C703" s="79">
        <v>3</v>
      </c>
      <c r="D703" s="88"/>
      <c r="E703" s="79">
        <v>36</v>
      </c>
      <c r="F703" s="80">
        <v>0.0217</v>
      </c>
      <c r="G703" s="79">
        <v>61</v>
      </c>
      <c r="H703" s="80">
        <v>0.0217</v>
      </c>
      <c r="I703" s="83">
        <v>1</v>
      </c>
      <c r="J703" s="79">
        <v>10</v>
      </c>
      <c r="K703" s="79"/>
      <c r="L703" s="80">
        <v>0</v>
      </c>
      <c r="M703" s="80"/>
      <c r="N703" s="86">
        <v>60</v>
      </c>
      <c r="O703" s="86"/>
      <c r="P703" s="79">
        <v>1</v>
      </c>
      <c r="Q703" s="87"/>
    </row>
    <row r="704" ht="15" spans="1:17">
      <c r="A704" s="89">
        <v>43395</v>
      </c>
      <c r="B704" s="78"/>
      <c r="C704" s="79">
        <v>1</v>
      </c>
      <c r="D704" s="88"/>
      <c r="E704" s="79">
        <v>83</v>
      </c>
      <c r="F704" s="80">
        <v>0.1413</v>
      </c>
      <c r="G704" s="79">
        <v>24</v>
      </c>
      <c r="H704" s="80">
        <v>0.1413</v>
      </c>
      <c r="I704" s="83">
        <v>1</v>
      </c>
      <c r="J704" s="79">
        <v>15</v>
      </c>
      <c r="K704" s="79"/>
      <c r="L704" s="80">
        <v>0.1364</v>
      </c>
      <c r="M704" s="80"/>
      <c r="N704" s="86">
        <v>136</v>
      </c>
      <c r="O704" s="86"/>
      <c r="P704" s="79">
        <v>19</v>
      </c>
      <c r="Q704" s="87"/>
    </row>
    <row r="705" ht="15" spans="1:17">
      <c r="A705" s="89">
        <v>43395</v>
      </c>
      <c r="B705" s="78"/>
      <c r="C705" s="79">
        <v>6</v>
      </c>
      <c r="D705" s="88"/>
      <c r="E705" s="79">
        <v>95</v>
      </c>
      <c r="F705" s="80">
        <v>0.0054</v>
      </c>
      <c r="G705" s="79">
        <v>96</v>
      </c>
      <c r="H705" s="80">
        <v>0.0054</v>
      </c>
      <c r="I705" s="83">
        <v>1</v>
      </c>
      <c r="J705" s="79">
        <v>11</v>
      </c>
      <c r="K705" s="79"/>
      <c r="L705" s="80">
        <v>0</v>
      </c>
      <c r="M705" s="80"/>
      <c r="N705" s="86">
        <v>367</v>
      </c>
      <c r="O705" s="86"/>
      <c r="P705" s="79">
        <v>12</v>
      </c>
      <c r="Q705" s="87"/>
    </row>
    <row r="706" ht="15" spans="1:17">
      <c r="A706" s="89">
        <v>43396</v>
      </c>
      <c r="B706" s="78"/>
      <c r="C706" s="79">
        <v>2</v>
      </c>
      <c r="D706" s="88"/>
      <c r="E706" s="79">
        <v>23</v>
      </c>
      <c r="F706" s="80">
        <v>0.205</v>
      </c>
      <c r="G706" s="79">
        <v>64</v>
      </c>
      <c r="H706" s="80">
        <v>0.205</v>
      </c>
      <c r="I706" s="83">
        <v>0.97</v>
      </c>
      <c r="J706" s="79">
        <v>29</v>
      </c>
      <c r="K706" s="79"/>
      <c r="L706" s="80">
        <v>0.0417</v>
      </c>
      <c r="M706" s="80"/>
      <c r="N706" s="86">
        <v>168</v>
      </c>
      <c r="O706" s="86"/>
      <c r="P706" s="79">
        <v>13</v>
      </c>
      <c r="Q706" s="87"/>
    </row>
    <row r="707" ht="15" spans="1:17">
      <c r="A707" s="89">
        <v>43396</v>
      </c>
      <c r="B707" s="78"/>
      <c r="C707" s="79">
        <v>5</v>
      </c>
      <c r="D707" s="88"/>
      <c r="E707" s="79">
        <v>37</v>
      </c>
      <c r="F707" s="80">
        <v>0.4348</v>
      </c>
      <c r="G707" s="79">
        <v>78</v>
      </c>
      <c r="H707" s="80">
        <v>0.4348</v>
      </c>
      <c r="I707" s="83">
        <v>1</v>
      </c>
      <c r="J707" s="79">
        <v>9</v>
      </c>
      <c r="K707" s="79"/>
      <c r="L707" s="80">
        <v>0.12</v>
      </c>
      <c r="M707" s="80"/>
      <c r="N707" s="86">
        <v>380</v>
      </c>
      <c r="O707" s="86"/>
      <c r="P707" s="79">
        <v>18</v>
      </c>
      <c r="Q707" s="87"/>
    </row>
    <row r="708" ht="15" spans="1:17">
      <c r="A708" s="89">
        <v>43396</v>
      </c>
      <c r="B708" s="78"/>
      <c r="C708" s="79">
        <v>3</v>
      </c>
      <c r="D708" s="88"/>
      <c r="E708" s="79">
        <v>58</v>
      </c>
      <c r="F708" s="80">
        <v>0.0248</v>
      </c>
      <c r="G708" s="79">
        <v>20</v>
      </c>
      <c r="H708" s="80">
        <v>0.0248</v>
      </c>
      <c r="I708" s="83">
        <v>1</v>
      </c>
      <c r="J708" s="79">
        <v>13</v>
      </c>
      <c r="K708" s="79"/>
      <c r="L708" s="80">
        <v>0</v>
      </c>
      <c r="M708" s="80"/>
      <c r="N708" s="86">
        <v>224</v>
      </c>
      <c r="O708" s="86"/>
      <c r="P708" s="79">
        <v>18</v>
      </c>
      <c r="Q708" s="87"/>
    </row>
    <row r="709" ht="15" spans="1:17">
      <c r="A709" s="89">
        <v>43396</v>
      </c>
      <c r="B709" s="78"/>
      <c r="C709" s="79">
        <v>1</v>
      </c>
      <c r="D709" s="88"/>
      <c r="E709" s="79">
        <v>66</v>
      </c>
      <c r="F709" s="80">
        <v>0.2298</v>
      </c>
      <c r="G709" s="79">
        <v>57</v>
      </c>
      <c r="H709" s="80">
        <v>0.2298</v>
      </c>
      <c r="I709" s="83">
        <v>0.97</v>
      </c>
      <c r="J709" s="79">
        <v>17</v>
      </c>
      <c r="K709" s="79"/>
      <c r="L709" s="80">
        <v>0.0385</v>
      </c>
      <c r="M709" s="80"/>
      <c r="N709" s="86">
        <v>106</v>
      </c>
      <c r="O709" s="86"/>
      <c r="P709" s="79">
        <v>6</v>
      </c>
      <c r="Q709" s="87"/>
    </row>
    <row r="710" ht="15" spans="1:17">
      <c r="A710" s="89">
        <v>43396</v>
      </c>
      <c r="B710" s="78"/>
      <c r="C710" s="79">
        <v>7</v>
      </c>
      <c r="D710" s="88"/>
      <c r="E710" s="79">
        <v>87</v>
      </c>
      <c r="F710" s="80">
        <v>0.1056</v>
      </c>
      <c r="G710" s="79">
        <v>85</v>
      </c>
      <c r="H710" s="80">
        <v>0.1056</v>
      </c>
      <c r="I710" s="83">
        <v>1</v>
      </c>
      <c r="J710" s="79">
        <v>0</v>
      </c>
      <c r="K710" s="79"/>
      <c r="L710" s="80">
        <v>0.3636</v>
      </c>
      <c r="M710" s="80"/>
      <c r="N710" s="86">
        <v>456</v>
      </c>
      <c r="O710" s="86"/>
      <c r="P710" s="79">
        <v>15</v>
      </c>
      <c r="Q710" s="87"/>
    </row>
    <row r="711" ht="15" spans="1:17">
      <c r="A711" s="89">
        <v>43397</v>
      </c>
      <c r="B711" s="78"/>
      <c r="C711" s="79">
        <v>5</v>
      </c>
      <c r="D711" s="88"/>
      <c r="E711" s="79">
        <v>42</v>
      </c>
      <c r="F711" s="80">
        <v>0.2734</v>
      </c>
      <c r="G711" s="79">
        <v>43</v>
      </c>
      <c r="H711" s="80">
        <v>0.2734</v>
      </c>
      <c r="I711" s="83">
        <v>0.95</v>
      </c>
      <c r="J711" s="79">
        <v>22</v>
      </c>
      <c r="K711" s="79"/>
      <c r="L711" s="80">
        <v>0.3077</v>
      </c>
      <c r="M711" s="80"/>
      <c r="N711" s="86">
        <v>292</v>
      </c>
      <c r="O711" s="86"/>
      <c r="P711" s="79">
        <v>20</v>
      </c>
      <c r="Q711" s="87"/>
    </row>
    <row r="712" ht="15" spans="1:17">
      <c r="A712" s="89">
        <v>43397</v>
      </c>
      <c r="B712" s="78"/>
      <c r="C712" s="79">
        <v>2</v>
      </c>
      <c r="D712" s="88"/>
      <c r="E712" s="79">
        <v>92</v>
      </c>
      <c r="F712" s="80">
        <v>0.2158</v>
      </c>
      <c r="G712" s="79">
        <v>66</v>
      </c>
      <c r="H712" s="80">
        <v>0.2158</v>
      </c>
      <c r="I712" s="83">
        <v>1</v>
      </c>
      <c r="J712" s="79">
        <v>14</v>
      </c>
      <c r="K712" s="79"/>
      <c r="L712" s="80">
        <v>0</v>
      </c>
      <c r="M712" s="80"/>
      <c r="N712" s="86">
        <v>297</v>
      </c>
      <c r="O712" s="86"/>
      <c r="P712" s="79">
        <v>19</v>
      </c>
      <c r="Q712" s="87"/>
    </row>
    <row r="713" ht="15" spans="1:17">
      <c r="A713" s="89">
        <v>43397</v>
      </c>
      <c r="B713" s="78"/>
      <c r="C713" s="79">
        <v>3</v>
      </c>
      <c r="D713" s="88"/>
      <c r="E713" s="79">
        <v>17</v>
      </c>
      <c r="F713" s="80">
        <v>0.0216</v>
      </c>
      <c r="G713" s="79">
        <v>90</v>
      </c>
      <c r="H713" s="80">
        <v>0.0216</v>
      </c>
      <c r="I713" s="83">
        <v>1</v>
      </c>
      <c r="J713" s="79">
        <v>4</v>
      </c>
      <c r="K713" s="79"/>
      <c r="L713" s="80">
        <v>0</v>
      </c>
      <c r="M713" s="80"/>
      <c r="N713" s="86">
        <v>80</v>
      </c>
      <c r="O713" s="86"/>
      <c r="P713" s="79">
        <v>6</v>
      </c>
      <c r="Q713" s="87"/>
    </row>
    <row r="714" ht="15" spans="1:17">
      <c r="A714" s="89">
        <v>43397</v>
      </c>
      <c r="B714" s="78"/>
      <c r="C714" s="79">
        <v>1</v>
      </c>
      <c r="D714" s="88"/>
      <c r="E714" s="79">
        <v>68</v>
      </c>
      <c r="F714" s="80">
        <v>0.2878</v>
      </c>
      <c r="G714" s="79">
        <v>89</v>
      </c>
      <c r="H714" s="80">
        <v>0.2878</v>
      </c>
      <c r="I714" s="83">
        <v>1</v>
      </c>
      <c r="J714" s="79">
        <v>19</v>
      </c>
      <c r="K714" s="79"/>
      <c r="L714" s="80">
        <v>0.0345</v>
      </c>
      <c r="M714" s="80"/>
      <c r="N714" s="86">
        <v>483</v>
      </c>
      <c r="O714" s="86"/>
      <c r="P714" s="79">
        <v>10</v>
      </c>
      <c r="Q714" s="87"/>
    </row>
    <row r="715" ht="15" spans="1:17">
      <c r="A715" s="89">
        <v>43397</v>
      </c>
      <c r="B715" s="78"/>
      <c r="C715" s="79">
        <v>7</v>
      </c>
      <c r="D715" s="88"/>
      <c r="E715" s="79">
        <v>48</v>
      </c>
      <c r="F715" s="80">
        <v>0.2014</v>
      </c>
      <c r="G715" s="79">
        <v>16</v>
      </c>
      <c r="H715" s="80">
        <v>0.2014</v>
      </c>
      <c r="I715" s="83">
        <v>1</v>
      </c>
      <c r="J715" s="79">
        <v>20</v>
      </c>
      <c r="K715" s="79"/>
      <c r="L715" s="80">
        <v>0</v>
      </c>
      <c r="M715" s="80"/>
      <c r="N715" s="86">
        <v>255</v>
      </c>
      <c r="O715" s="86"/>
      <c r="P715" s="79">
        <v>13</v>
      </c>
      <c r="Q715" s="87"/>
    </row>
    <row r="716" ht="15" spans="1:17">
      <c r="A716" s="89">
        <v>43398</v>
      </c>
      <c r="B716" s="78"/>
      <c r="C716" s="79">
        <v>2</v>
      </c>
      <c r="D716" s="88"/>
      <c r="E716" s="79">
        <v>45</v>
      </c>
      <c r="F716" s="80">
        <v>0.2324</v>
      </c>
      <c r="G716" s="79">
        <v>41</v>
      </c>
      <c r="H716" s="80">
        <v>0.2324</v>
      </c>
      <c r="I716" s="83">
        <v>1</v>
      </c>
      <c r="J716" s="79">
        <v>18</v>
      </c>
      <c r="K716" s="79"/>
      <c r="L716" s="80">
        <v>0.087</v>
      </c>
      <c r="M716" s="80"/>
      <c r="N716" s="86">
        <v>340</v>
      </c>
      <c r="O716" s="86"/>
      <c r="P716" s="79">
        <v>4</v>
      </c>
      <c r="Q716" s="87"/>
    </row>
    <row r="717" ht="15" spans="1:17">
      <c r="A717" s="89">
        <v>43398</v>
      </c>
      <c r="B717" s="78"/>
      <c r="C717" s="79">
        <v>5</v>
      </c>
      <c r="D717" s="88"/>
      <c r="E717" s="79">
        <v>62</v>
      </c>
      <c r="F717" s="80">
        <v>0.4085</v>
      </c>
      <c r="G717" s="79">
        <v>95</v>
      </c>
      <c r="H717" s="80">
        <v>0.4085</v>
      </c>
      <c r="I717" s="83">
        <v>1</v>
      </c>
      <c r="J717" s="79">
        <v>13</v>
      </c>
      <c r="K717" s="79"/>
      <c r="L717" s="80">
        <v>0.0714</v>
      </c>
      <c r="M717" s="80"/>
      <c r="N717" s="86">
        <v>284</v>
      </c>
      <c r="O717" s="86"/>
      <c r="P717" s="79">
        <v>11</v>
      </c>
      <c r="Q717" s="87"/>
    </row>
    <row r="718" ht="15" spans="1:17">
      <c r="A718" s="89">
        <v>43398</v>
      </c>
      <c r="B718" s="78"/>
      <c r="C718" s="79">
        <v>3</v>
      </c>
      <c r="D718" s="88"/>
      <c r="E718" s="79">
        <v>29</v>
      </c>
      <c r="F718" s="80">
        <v>0.0211</v>
      </c>
      <c r="G718" s="79">
        <v>81</v>
      </c>
      <c r="H718" s="80">
        <v>0.0211</v>
      </c>
      <c r="I718" s="83">
        <v>1</v>
      </c>
      <c r="J718" s="79">
        <v>13</v>
      </c>
      <c r="K718" s="79"/>
      <c r="L718" s="80">
        <v>0</v>
      </c>
      <c r="M718" s="80"/>
      <c r="N718" s="86">
        <v>390</v>
      </c>
      <c r="O718" s="86"/>
      <c r="P718" s="79">
        <v>3</v>
      </c>
      <c r="Q718" s="87"/>
    </row>
    <row r="719" ht="15" spans="1:17">
      <c r="A719" s="89">
        <v>43398</v>
      </c>
      <c r="B719" s="78"/>
      <c r="C719" s="79">
        <v>1</v>
      </c>
      <c r="D719" s="88"/>
      <c r="E719" s="79">
        <v>97</v>
      </c>
      <c r="F719" s="80">
        <v>0.2254</v>
      </c>
      <c r="G719" s="79">
        <v>79</v>
      </c>
      <c r="H719" s="80">
        <v>0.2254</v>
      </c>
      <c r="I719" s="83">
        <v>1</v>
      </c>
      <c r="J719" s="79">
        <v>11</v>
      </c>
      <c r="K719" s="79"/>
      <c r="L719" s="80">
        <v>0.0385</v>
      </c>
      <c r="M719" s="80"/>
      <c r="N719" s="86">
        <v>343</v>
      </c>
      <c r="O719" s="86"/>
      <c r="P719" s="79">
        <v>2</v>
      </c>
      <c r="Q719" s="87"/>
    </row>
    <row r="720" ht="15" spans="1:17">
      <c r="A720" s="89">
        <v>43398</v>
      </c>
      <c r="B720" s="78"/>
      <c r="C720" s="79">
        <v>6</v>
      </c>
      <c r="D720" s="88"/>
      <c r="E720" s="79">
        <v>74</v>
      </c>
      <c r="F720" s="80">
        <v>0.007</v>
      </c>
      <c r="G720" s="79">
        <v>79</v>
      </c>
      <c r="H720" s="80">
        <v>0.007</v>
      </c>
      <c r="I720" s="83">
        <v>1</v>
      </c>
      <c r="J720" s="79">
        <v>27</v>
      </c>
      <c r="K720" s="79"/>
      <c r="L720" s="80">
        <v>0</v>
      </c>
      <c r="M720" s="80"/>
      <c r="N720" s="86">
        <v>335</v>
      </c>
      <c r="O720" s="86"/>
      <c r="P720" s="79">
        <v>17</v>
      </c>
      <c r="Q720" s="87"/>
    </row>
    <row r="721" ht="15" spans="1:17">
      <c r="A721" s="89">
        <v>43398</v>
      </c>
      <c r="B721" s="78"/>
      <c r="C721" s="79">
        <v>7</v>
      </c>
      <c r="D721" s="88"/>
      <c r="E721" s="79">
        <v>95</v>
      </c>
      <c r="F721" s="80">
        <v>0.1056</v>
      </c>
      <c r="G721" s="79">
        <v>3</v>
      </c>
      <c r="H721" s="80">
        <v>0.1056</v>
      </c>
      <c r="I721" s="83">
        <v>1</v>
      </c>
      <c r="J721" s="79">
        <v>17</v>
      </c>
      <c r="K721" s="79"/>
      <c r="L721" s="80">
        <v>0.0769</v>
      </c>
      <c r="M721" s="80"/>
      <c r="N721" s="86">
        <v>423</v>
      </c>
      <c r="O721" s="86"/>
      <c r="P721" s="79">
        <v>11</v>
      </c>
      <c r="Q721" s="87"/>
    </row>
    <row r="722" ht="15" spans="1:17">
      <c r="A722" s="89">
        <v>43399</v>
      </c>
      <c r="B722" s="78"/>
      <c r="C722" s="79">
        <v>4</v>
      </c>
      <c r="D722" s="88"/>
      <c r="E722" s="79">
        <v>28</v>
      </c>
      <c r="F722" s="80">
        <v>0</v>
      </c>
      <c r="G722" s="79">
        <v>94</v>
      </c>
      <c r="H722" s="80">
        <v>0</v>
      </c>
      <c r="I722" s="83">
        <v>0</v>
      </c>
      <c r="J722" s="79">
        <v>16</v>
      </c>
      <c r="K722" s="79"/>
      <c r="L722" s="80">
        <v>0</v>
      </c>
      <c r="M722" s="80"/>
      <c r="N722" s="86">
        <v>246</v>
      </c>
      <c r="O722" s="86"/>
      <c r="P722" s="79">
        <v>7</v>
      </c>
      <c r="Q722" s="87"/>
    </row>
    <row r="723" ht="15" spans="1:17">
      <c r="A723" s="89">
        <v>43399</v>
      </c>
      <c r="B723" s="78"/>
      <c r="C723" s="79">
        <v>2</v>
      </c>
      <c r="D723" s="88"/>
      <c r="E723" s="79">
        <v>98</v>
      </c>
      <c r="F723" s="80">
        <v>0.1732</v>
      </c>
      <c r="G723" s="79">
        <v>40</v>
      </c>
      <c r="H723" s="80">
        <v>0.1732</v>
      </c>
      <c r="I723" s="83">
        <v>1</v>
      </c>
      <c r="J723" s="79">
        <v>1</v>
      </c>
      <c r="K723" s="79"/>
      <c r="L723" s="80">
        <v>0.1333</v>
      </c>
      <c r="M723" s="80"/>
      <c r="N723" s="86">
        <v>433</v>
      </c>
      <c r="O723" s="86"/>
      <c r="P723" s="79">
        <v>20</v>
      </c>
      <c r="Q723" s="87"/>
    </row>
    <row r="724" ht="15" spans="1:17">
      <c r="A724" s="89">
        <v>43399</v>
      </c>
      <c r="B724" s="78"/>
      <c r="C724" s="79">
        <v>5</v>
      </c>
      <c r="D724" s="88"/>
      <c r="E724" s="79">
        <v>37</v>
      </c>
      <c r="F724" s="80">
        <v>0.4016</v>
      </c>
      <c r="G724" s="79">
        <v>96</v>
      </c>
      <c r="H724" s="80">
        <v>0.4016</v>
      </c>
      <c r="I724" s="83">
        <v>1</v>
      </c>
      <c r="J724" s="79">
        <v>19</v>
      </c>
      <c r="K724" s="79"/>
      <c r="L724" s="80">
        <v>0.129</v>
      </c>
      <c r="M724" s="80"/>
      <c r="N724" s="86">
        <v>72</v>
      </c>
      <c r="O724" s="86"/>
      <c r="P724" s="79">
        <v>0</v>
      </c>
      <c r="Q724" s="87"/>
    </row>
    <row r="725" ht="15" spans="1:17">
      <c r="A725" s="89">
        <v>43399</v>
      </c>
      <c r="B725" s="78"/>
      <c r="C725" s="79">
        <v>3</v>
      </c>
      <c r="D725" s="88"/>
      <c r="E725" s="79">
        <v>27</v>
      </c>
      <c r="F725" s="80">
        <v>0.0551</v>
      </c>
      <c r="G725" s="79">
        <v>23</v>
      </c>
      <c r="H725" s="80">
        <v>0.0551</v>
      </c>
      <c r="I725" s="83">
        <v>1</v>
      </c>
      <c r="J725" s="79">
        <v>7</v>
      </c>
      <c r="K725" s="79"/>
      <c r="L725" s="80">
        <v>0</v>
      </c>
      <c r="M725" s="80"/>
      <c r="N725" s="86">
        <v>492</v>
      </c>
      <c r="O725" s="86"/>
      <c r="P725" s="79">
        <v>9</v>
      </c>
      <c r="Q725" s="87"/>
    </row>
    <row r="726" ht="15" spans="1:17">
      <c r="A726" s="89">
        <v>43399</v>
      </c>
      <c r="B726" s="78"/>
      <c r="C726" s="79">
        <v>1</v>
      </c>
      <c r="D726" s="88"/>
      <c r="E726" s="79">
        <v>35</v>
      </c>
      <c r="F726" s="80">
        <v>0.2677</v>
      </c>
      <c r="G726" s="79">
        <v>43</v>
      </c>
      <c r="H726" s="80">
        <v>0.2677</v>
      </c>
      <c r="I726" s="83">
        <v>0.97</v>
      </c>
      <c r="J726" s="79">
        <v>17</v>
      </c>
      <c r="K726" s="79"/>
      <c r="L726" s="80">
        <v>0.0741</v>
      </c>
      <c r="M726" s="80"/>
      <c r="N726" s="86">
        <v>379</v>
      </c>
      <c r="O726" s="86"/>
      <c r="P726" s="79">
        <v>1</v>
      </c>
      <c r="Q726" s="87"/>
    </row>
    <row r="727" ht="15" spans="1:17">
      <c r="A727" s="89">
        <v>43399</v>
      </c>
      <c r="B727" s="78"/>
      <c r="C727" s="79">
        <v>7</v>
      </c>
      <c r="D727" s="88"/>
      <c r="E727" s="79">
        <v>30</v>
      </c>
      <c r="F727" s="80">
        <v>0.1024</v>
      </c>
      <c r="G727" s="79">
        <v>86</v>
      </c>
      <c r="H727" s="80">
        <v>0.1024</v>
      </c>
      <c r="I727" s="83">
        <v>1</v>
      </c>
      <c r="J727" s="79">
        <v>2</v>
      </c>
      <c r="K727" s="79"/>
      <c r="L727" s="80">
        <v>0.0909</v>
      </c>
      <c r="M727" s="80"/>
      <c r="N727" s="86">
        <v>388</v>
      </c>
      <c r="O727" s="86"/>
      <c r="P727" s="79">
        <v>14</v>
      </c>
      <c r="Q727" s="87"/>
    </row>
    <row r="728" ht="15" spans="1:17">
      <c r="A728" s="89">
        <v>43400</v>
      </c>
      <c r="B728" s="78"/>
      <c r="C728" s="79">
        <v>2</v>
      </c>
      <c r="D728" s="88"/>
      <c r="E728" s="79">
        <v>32</v>
      </c>
      <c r="F728" s="80">
        <v>0.1765</v>
      </c>
      <c r="G728" s="79">
        <v>98</v>
      </c>
      <c r="H728" s="80">
        <v>0.1765</v>
      </c>
      <c r="I728" s="83">
        <v>1</v>
      </c>
      <c r="J728" s="79">
        <v>19</v>
      </c>
      <c r="K728" s="79"/>
      <c r="L728" s="80">
        <v>0.0556</v>
      </c>
      <c r="M728" s="80"/>
      <c r="N728" s="86">
        <v>235</v>
      </c>
      <c r="O728" s="86"/>
      <c r="P728" s="79">
        <v>7</v>
      </c>
      <c r="Q728" s="87"/>
    </row>
    <row r="729" ht="15" spans="1:17">
      <c r="A729" s="89">
        <v>43400</v>
      </c>
      <c r="B729" s="78"/>
      <c r="C729" s="79">
        <v>5</v>
      </c>
      <c r="D729" s="88"/>
      <c r="E729" s="79">
        <v>26</v>
      </c>
      <c r="F729" s="80">
        <v>0.437</v>
      </c>
      <c r="G729" s="79">
        <v>55</v>
      </c>
      <c r="H729" s="80">
        <v>0.437</v>
      </c>
      <c r="I729" s="83">
        <v>1</v>
      </c>
      <c r="J729" s="79">
        <v>10</v>
      </c>
      <c r="K729" s="79"/>
      <c r="L729" s="80">
        <v>0.0909</v>
      </c>
      <c r="M729" s="80"/>
      <c r="N729" s="86">
        <v>455</v>
      </c>
      <c r="O729" s="86"/>
      <c r="P729" s="79">
        <v>2</v>
      </c>
      <c r="Q729" s="87"/>
    </row>
    <row r="730" ht="15" spans="1:17">
      <c r="A730" s="89">
        <v>43400</v>
      </c>
      <c r="B730" s="78"/>
      <c r="C730" s="79">
        <v>3</v>
      </c>
      <c r="D730" s="88"/>
      <c r="E730" s="79">
        <v>89</v>
      </c>
      <c r="F730" s="80">
        <v>0.0336</v>
      </c>
      <c r="G730" s="79">
        <v>19</v>
      </c>
      <c r="H730" s="80">
        <v>0.0336</v>
      </c>
      <c r="I730" s="83">
        <v>1</v>
      </c>
      <c r="J730" s="79">
        <v>26</v>
      </c>
      <c r="K730" s="79"/>
      <c r="L730" s="80">
        <v>0</v>
      </c>
      <c r="M730" s="80"/>
      <c r="N730" s="86">
        <v>173</v>
      </c>
      <c r="O730" s="86"/>
      <c r="P730" s="79">
        <v>19</v>
      </c>
      <c r="Q730" s="87"/>
    </row>
    <row r="731" ht="15" spans="1:17">
      <c r="A731" s="89">
        <v>43400</v>
      </c>
      <c r="B731" s="78"/>
      <c r="C731" s="79">
        <v>1</v>
      </c>
      <c r="D731" s="88"/>
      <c r="E731" s="79">
        <v>67</v>
      </c>
      <c r="F731" s="80">
        <v>0.2521</v>
      </c>
      <c r="G731" s="79">
        <v>48</v>
      </c>
      <c r="H731" s="80">
        <v>0.2521</v>
      </c>
      <c r="I731" s="83">
        <v>1</v>
      </c>
      <c r="J731" s="79">
        <v>25</v>
      </c>
      <c r="K731" s="79"/>
      <c r="L731" s="80">
        <v>0.2857</v>
      </c>
      <c r="M731" s="80"/>
      <c r="N731" s="86">
        <v>312</v>
      </c>
      <c r="O731" s="86"/>
      <c r="P731" s="79">
        <v>13</v>
      </c>
      <c r="Q731" s="87"/>
    </row>
    <row r="732" ht="15" spans="1:17">
      <c r="A732" s="89">
        <v>43400</v>
      </c>
      <c r="B732" s="78"/>
      <c r="C732" s="79">
        <v>7</v>
      </c>
      <c r="D732" s="88"/>
      <c r="E732" s="79">
        <v>61</v>
      </c>
      <c r="F732" s="80">
        <v>0.1008</v>
      </c>
      <c r="G732" s="79">
        <v>8</v>
      </c>
      <c r="H732" s="80">
        <v>0.1008</v>
      </c>
      <c r="I732" s="83">
        <v>0.92</v>
      </c>
      <c r="J732" s="79">
        <v>13</v>
      </c>
      <c r="K732" s="79"/>
      <c r="L732" s="80">
        <v>0.5</v>
      </c>
      <c r="M732" s="80"/>
      <c r="N732" s="86">
        <v>185</v>
      </c>
      <c r="O732" s="86"/>
      <c r="P732" s="79">
        <v>9</v>
      </c>
      <c r="Q732" s="87"/>
    </row>
    <row r="733" ht="15" spans="1:17">
      <c r="A733" s="89">
        <v>43401</v>
      </c>
      <c r="B733" s="78"/>
      <c r="C733" s="79">
        <v>2</v>
      </c>
      <c r="D733" s="88"/>
      <c r="E733" s="79">
        <v>20</v>
      </c>
      <c r="F733" s="80">
        <v>0.1742</v>
      </c>
      <c r="G733" s="79">
        <v>18</v>
      </c>
      <c r="H733" s="80">
        <v>0.1742</v>
      </c>
      <c r="I733" s="83">
        <v>1</v>
      </c>
      <c r="J733" s="79">
        <v>27</v>
      </c>
      <c r="K733" s="79"/>
      <c r="L733" s="80">
        <v>0.0526</v>
      </c>
      <c r="M733" s="80"/>
      <c r="N733" s="86">
        <v>190</v>
      </c>
      <c r="O733" s="86"/>
      <c r="P733" s="79">
        <v>0</v>
      </c>
      <c r="Q733" s="87"/>
    </row>
    <row r="734" ht="15" spans="1:17">
      <c r="A734" s="89">
        <v>43401</v>
      </c>
      <c r="B734" s="78"/>
      <c r="C734" s="79">
        <v>5</v>
      </c>
      <c r="D734" s="88"/>
      <c r="E734" s="79">
        <v>89</v>
      </c>
      <c r="F734" s="80">
        <v>0.5032</v>
      </c>
      <c r="G734" s="79">
        <v>56</v>
      </c>
      <c r="H734" s="80">
        <v>0.5032</v>
      </c>
      <c r="I734" s="83">
        <v>1</v>
      </c>
      <c r="J734" s="79">
        <v>23</v>
      </c>
      <c r="K734" s="79"/>
      <c r="L734" s="80">
        <v>0.2069</v>
      </c>
      <c r="M734" s="80"/>
      <c r="N734" s="86">
        <v>116</v>
      </c>
      <c r="O734" s="86"/>
      <c r="P734" s="79">
        <v>7</v>
      </c>
      <c r="Q734" s="87"/>
    </row>
    <row r="735" ht="15" spans="1:17">
      <c r="A735" s="89">
        <v>43401</v>
      </c>
      <c r="B735" s="78"/>
      <c r="C735" s="79">
        <v>3</v>
      </c>
      <c r="D735" s="88"/>
      <c r="E735" s="79">
        <v>10</v>
      </c>
      <c r="F735" s="80">
        <v>0.0516</v>
      </c>
      <c r="G735" s="79">
        <v>12</v>
      </c>
      <c r="H735" s="80">
        <v>0.0516</v>
      </c>
      <c r="I735" s="83">
        <v>1</v>
      </c>
      <c r="J735" s="79">
        <v>4</v>
      </c>
      <c r="K735" s="79"/>
      <c r="L735" s="80">
        <v>0</v>
      </c>
      <c r="M735" s="80"/>
      <c r="N735" s="86">
        <v>300</v>
      </c>
      <c r="O735" s="86"/>
      <c r="P735" s="79">
        <v>19</v>
      </c>
      <c r="Q735" s="87"/>
    </row>
    <row r="736" ht="15" spans="1:17">
      <c r="A736" s="89">
        <v>43401</v>
      </c>
      <c r="B736" s="78"/>
      <c r="C736" s="79">
        <v>1</v>
      </c>
      <c r="D736" s="88"/>
      <c r="E736" s="79">
        <v>98</v>
      </c>
      <c r="F736" s="80">
        <v>0.1677</v>
      </c>
      <c r="G736" s="79">
        <v>100</v>
      </c>
      <c r="H736" s="80">
        <v>0.1677</v>
      </c>
      <c r="I736" s="83">
        <v>1</v>
      </c>
      <c r="J736" s="79">
        <v>2</v>
      </c>
      <c r="K736" s="79"/>
      <c r="L736" s="80">
        <v>0.0476</v>
      </c>
      <c r="M736" s="80"/>
      <c r="N736" s="86">
        <v>259</v>
      </c>
      <c r="O736" s="86"/>
      <c r="P736" s="79">
        <v>0</v>
      </c>
      <c r="Q736" s="87"/>
    </row>
    <row r="737" ht="15" spans="1:17">
      <c r="A737" s="89">
        <v>43401</v>
      </c>
      <c r="B737" s="78"/>
      <c r="C737" s="79">
        <v>6</v>
      </c>
      <c r="D737" s="88"/>
      <c r="E737" s="79">
        <v>87</v>
      </c>
      <c r="F737" s="80">
        <v>0.0129</v>
      </c>
      <c r="G737" s="79">
        <v>73</v>
      </c>
      <c r="H737" s="80">
        <v>0.0129</v>
      </c>
      <c r="I737" s="83">
        <v>1</v>
      </c>
      <c r="J737" s="79">
        <v>4</v>
      </c>
      <c r="K737" s="79"/>
      <c r="L737" s="80">
        <v>0</v>
      </c>
      <c r="M737" s="80"/>
      <c r="N737" s="86">
        <v>421</v>
      </c>
      <c r="O737" s="86"/>
      <c r="P737" s="79">
        <v>11</v>
      </c>
      <c r="Q737" s="87"/>
    </row>
    <row r="738" ht="15" spans="1:17">
      <c r="A738" s="89">
        <v>43401</v>
      </c>
      <c r="B738" s="78"/>
      <c r="C738" s="79">
        <v>7</v>
      </c>
      <c r="D738" s="88"/>
      <c r="E738" s="79">
        <v>51</v>
      </c>
      <c r="F738" s="80">
        <v>0.0903</v>
      </c>
      <c r="G738" s="79">
        <v>2</v>
      </c>
      <c r="H738" s="80">
        <v>0.0903</v>
      </c>
      <c r="I738" s="83">
        <v>1</v>
      </c>
      <c r="J738" s="79">
        <v>7</v>
      </c>
      <c r="K738" s="79"/>
      <c r="L738" s="80">
        <v>0.1667</v>
      </c>
      <c r="M738" s="80"/>
      <c r="N738" s="86">
        <v>181</v>
      </c>
      <c r="O738" s="86"/>
      <c r="P738" s="79">
        <v>19</v>
      </c>
      <c r="Q738" s="87"/>
    </row>
    <row r="739" ht="15" spans="1:17">
      <c r="A739" s="89">
        <v>43402</v>
      </c>
      <c r="B739" s="78"/>
      <c r="C739" s="79">
        <v>2</v>
      </c>
      <c r="D739" s="88"/>
      <c r="E739" s="79">
        <v>83</v>
      </c>
      <c r="F739" s="80">
        <v>0.2057</v>
      </c>
      <c r="G739" s="79">
        <v>44</v>
      </c>
      <c r="H739" s="80">
        <v>0.2057</v>
      </c>
      <c r="I739" s="83">
        <v>1</v>
      </c>
      <c r="J739" s="79">
        <v>9</v>
      </c>
      <c r="K739" s="79"/>
      <c r="L739" s="80">
        <v>0.1304</v>
      </c>
      <c r="M739" s="80"/>
      <c r="N739" s="86">
        <v>280</v>
      </c>
      <c r="O739" s="86"/>
      <c r="P739" s="79">
        <v>10</v>
      </c>
      <c r="Q739" s="87"/>
    </row>
    <row r="740" ht="15" spans="1:17">
      <c r="A740" s="89">
        <v>43402</v>
      </c>
      <c r="B740" s="78"/>
      <c r="C740" s="79">
        <v>5</v>
      </c>
      <c r="D740" s="88"/>
      <c r="E740" s="79">
        <v>35</v>
      </c>
      <c r="F740" s="80">
        <v>0.3886</v>
      </c>
      <c r="G740" s="79">
        <v>89</v>
      </c>
      <c r="H740" s="80">
        <v>0.3886</v>
      </c>
      <c r="I740" s="83">
        <v>0.99</v>
      </c>
      <c r="J740" s="79">
        <v>17</v>
      </c>
      <c r="K740" s="79"/>
      <c r="L740" s="80">
        <v>0.3725</v>
      </c>
      <c r="M740" s="80"/>
      <c r="N740" s="86">
        <v>430</v>
      </c>
      <c r="O740" s="86"/>
      <c r="P740" s="79">
        <v>0</v>
      </c>
      <c r="Q740" s="87"/>
    </row>
    <row r="741" ht="15" spans="1:17">
      <c r="A741" s="89">
        <v>43402</v>
      </c>
      <c r="B741" s="78"/>
      <c r="C741" s="79">
        <v>3</v>
      </c>
      <c r="D741" s="88"/>
      <c r="E741" s="79">
        <v>42</v>
      </c>
      <c r="F741" s="80">
        <v>0.0171</v>
      </c>
      <c r="G741" s="79">
        <v>33</v>
      </c>
      <c r="H741" s="80">
        <v>0.0171</v>
      </c>
      <c r="I741" s="83">
        <v>1</v>
      </c>
      <c r="J741" s="79">
        <v>10</v>
      </c>
      <c r="K741" s="79"/>
      <c r="L741" s="80">
        <v>0</v>
      </c>
      <c r="M741" s="80"/>
      <c r="N741" s="86">
        <v>434</v>
      </c>
      <c r="O741" s="86"/>
      <c r="P741" s="79">
        <v>5</v>
      </c>
      <c r="Q741" s="87"/>
    </row>
    <row r="742" ht="15" spans="1:17">
      <c r="A742" s="89">
        <v>43402</v>
      </c>
      <c r="B742" s="78"/>
      <c r="C742" s="79">
        <v>1</v>
      </c>
      <c r="D742" s="88"/>
      <c r="E742" s="79">
        <v>72</v>
      </c>
      <c r="F742" s="80">
        <v>0.2057</v>
      </c>
      <c r="G742" s="79">
        <v>3</v>
      </c>
      <c r="H742" s="80">
        <v>0.2057</v>
      </c>
      <c r="I742" s="83">
        <v>1</v>
      </c>
      <c r="J742" s="79">
        <v>29</v>
      </c>
      <c r="K742" s="79"/>
      <c r="L742" s="80">
        <v>0.0345</v>
      </c>
      <c r="M742" s="80"/>
      <c r="N742" s="86">
        <v>384</v>
      </c>
      <c r="O742" s="86"/>
      <c r="P742" s="79">
        <v>3</v>
      </c>
      <c r="Q742" s="87"/>
    </row>
    <row r="743" ht="15" spans="1:17">
      <c r="A743" s="89">
        <v>43402</v>
      </c>
      <c r="B743" s="78"/>
      <c r="C743" s="79">
        <v>6</v>
      </c>
      <c r="D743" s="88"/>
      <c r="E743" s="79">
        <v>49</v>
      </c>
      <c r="F743" s="80">
        <v>0.0229</v>
      </c>
      <c r="G743" s="79">
        <v>14</v>
      </c>
      <c r="H743" s="80">
        <v>0.0229</v>
      </c>
      <c r="I743" s="83">
        <v>1</v>
      </c>
      <c r="J743" s="79">
        <v>27</v>
      </c>
      <c r="K743" s="79"/>
      <c r="L743" s="80">
        <v>0</v>
      </c>
      <c r="M743" s="80"/>
      <c r="N743" s="86">
        <v>253</v>
      </c>
      <c r="O743" s="86"/>
      <c r="P743" s="79">
        <v>18</v>
      </c>
      <c r="Q743" s="87"/>
    </row>
    <row r="744" ht="15" spans="1:17">
      <c r="A744" s="89">
        <v>43402</v>
      </c>
      <c r="B744" s="78"/>
      <c r="C744" s="79">
        <v>7</v>
      </c>
      <c r="D744" s="88"/>
      <c r="E744" s="79">
        <v>12</v>
      </c>
      <c r="F744" s="80">
        <v>0.16</v>
      </c>
      <c r="G744" s="79">
        <v>39</v>
      </c>
      <c r="H744" s="80">
        <v>0.16</v>
      </c>
      <c r="I744" s="83">
        <v>1</v>
      </c>
      <c r="J744" s="79">
        <v>17</v>
      </c>
      <c r="K744" s="79"/>
      <c r="L744" s="80">
        <v>0.1667</v>
      </c>
      <c r="M744" s="80"/>
      <c r="N744" s="86">
        <v>452</v>
      </c>
      <c r="O744" s="86"/>
      <c r="P744" s="79">
        <v>16</v>
      </c>
      <c r="Q744" s="87"/>
    </row>
    <row r="745" ht="15" spans="1:17">
      <c r="A745" s="89">
        <v>43403</v>
      </c>
      <c r="B745" s="78"/>
      <c r="C745" s="79">
        <v>5</v>
      </c>
      <c r="D745" s="88"/>
      <c r="E745" s="79">
        <v>68</v>
      </c>
      <c r="F745" s="80">
        <v>0.4737</v>
      </c>
      <c r="G745" s="79">
        <v>77</v>
      </c>
      <c r="H745" s="80">
        <v>0.4737</v>
      </c>
      <c r="I745" s="83">
        <v>1</v>
      </c>
      <c r="J745" s="79">
        <v>9</v>
      </c>
      <c r="K745" s="79"/>
      <c r="L745" s="80">
        <v>0.2558</v>
      </c>
      <c r="M745" s="80"/>
      <c r="N745" s="86">
        <v>437</v>
      </c>
      <c r="O745" s="86"/>
      <c r="P745" s="79">
        <v>19</v>
      </c>
      <c r="Q745" s="87"/>
    </row>
    <row r="746" ht="15" spans="1:17">
      <c r="A746" s="89">
        <v>43403</v>
      </c>
      <c r="B746" s="78"/>
      <c r="C746" s="79">
        <v>2</v>
      </c>
      <c r="D746" s="88"/>
      <c r="E746" s="79">
        <v>9</v>
      </c>
      <c r="F746" s="80">
        <v>0.1278</v>
      </c>
      <c r="G746" s="79">
        <v>31</v>
      </c>
      <c r="H746" s="80">
        <v>0.1278</v>
      </c>
      <c r="I746" s="83">
        <v>1</v>
      </c>
      <c r="J746" s="79">
        <v>6</v>
      </c>
      <c r="K746" s="79"/>
      <c r="L746" s="80">
        <v>0.25</v>
      </c>
      <c r="M746" s="80"/>
      <c r="N746" s="86">
        <v>395</v>
      </c>
      <c r="O746" s="86"/>
      <c r="P746" s="79">
        <v>11</v>
      </c>
      <c r="Q746" s="87"/>
    </row>
    <row r="747" ht="15" spans="1:17">
      <c r="A747" s="89">
        <v>43403</v>
      </c>
      <c r="B747" s="78"/>
      <c r="C747" s="79">
        <v>3</v>
      </c>
      <c r="D747" s="88"/>
      <c r="E747" s="79">
        <v>96</v>
      </c>
      <c r="F747" s="80">
        <v>0.0301</v>
      </c>
      <c r="G747" s="79">
        <v>50</v>
      </c>
      <c r="H747" s="80">
        <v>0.0301</v>
      </c>
      <c r="I747" s="83">
        <v>1</v>
      </c>
      <c r="J747" s="79">
        <v>22</v>
      </c>
      <c r="K747" s="79"/>
      <c r="L747" s="80">
        <v>0</v>
      </c>
      <c r="M747" s="80"/>
      <c r="N747" s="86">
        <v>253</v>
      </c>
      <c r="O747" s="86"/>
      <c r="P747" s="79">
        <v>14</v>
      </c>
      <c r="Q747" s="87"/>
    </row>
    <row r="748" ht="15" spans="1:17">
      <c r="A748" s="89">
        <v>43403</v>
      </c>
      <c r="B748" s="78"/>
      <c r="C748" s="79">
        <v>1</v>
      </c>
      <c r="D748" s="88"/>
      <c r="E748" s="79">
        <v>20</v>
      </c>
      <c r="F748" s="80">
        <v>0.2406</v>
      </c>
      <c r="G748" s="79">
        <v>3</v>
      </c>
      <c r="H748" s="80">
        <v>0.2406</v>
      </c>
      <c r="I748" s="83">
        <v>1</v>
      </c>
      <c r="J748" s="79">
        <v>20</v>
      </c>
      <c r="K748" s="79"/>
      <c r="L748" s="80">
        <v>0.125</v>
      </c>
      <c r="M748" s="80"/>
      <c r="N748" s="86">
        <v>201</v>
      </c>
      <c r="O748" s="86"/>
      <c r="P748" s="79">
        <v>12</v>
      </c>
      <c r="Q748" s="87"/>
    </row>
    <row r="749" ht="15" spans="1:17">
      <c r="A749" s="89">
        <v>43403</v>
      </c>
      <c r="B749" s="78"/>
      <c r="C749" s="79">
        <v>7</v>
      </c>
      <c r="D749" s="88"/>
      <c r="E749" s="79">
        <v>78</v>
      </c>
      <c r="F749" s="80">
        <v>0.1278</v>
      </c>
      <c r="G749" s="79">
        <v>47</v>
      </c>
      <c r="H749" s="80">
        <v>0.1278</v>
      </c>
      <c r="I749" s="83">
        <v>1</v>
      </c>
      <c r="J749" s="79">
        <v>21</v>
      </c>
      <c r="K749" s="79"/>
      <c r="L749" s="80">
        <v>0.4545</v>
      </c>
      <c r="M749" s="80"/>
      <c r="N749" s="86">
        <v>107</v>
      </c>
      <c r="O749" s="86"/>
      <c r="P749" s="79">
        <v>14</v>
      </c>
      <c r="Q749" s="87"/>
    </row>
    <row r="750" ht="15" spans="1:17">
      <c r="A750" s="89">
        <v>43404</v>
      </c>
      <c r="B750" s="78"/>
      <c r="C750" s="79">
        <v>5</v>
      </c>
      <c r="D750" s="88"/>
      <c r="E750" s="79">
        <v>95</v>
      </c>
      <c r="F750" s="80">
        <v>0.4722</v>
      </c>
      <c r="G750" s="79">
        <v>6</v>
      </c>
      <c r="H750" s="80">
        <v>0.4722</v>
      </c>
      <c r="I750" s="83">
        <v>1</v>
      </c>
      <c r="J750" s="79">
        <v>15</v>
      </c>
      <c r="K750" s="79"/>
      <c r="L750" s="80">
        <v>0.0952</v>
      </c>
      <c r="M750" s="80"/>
      <c r="N750" s="86">
        <v>285</v>
      </c>
      <c r="O750" s="86"/>
      <c r="P750" s="79">
        <v>14</v>
      </c>
      <c r="Q750" s="87"/>
    </row>
    <row r="751" ht="15" spans="1:17">
      <c r="A751" s="89">
        <v>43404</v>
      </c>
      <c r="B751" s="78"/>
      <c r="C751" s="79">
        <v>2</v>
      </c>
      <c r="D751" s="88"/>
      <c r="E751" s="79">
        <v>97</v>
      </c>
      <c r="F751" s="80">
        <v>0.1296</v>
      </c>
      <c r="G751" s="79">
        <v>58</v>
      </c>
      <c r="H751" s="80">
        <v>0.1296</v>
      </c>
      <c r="I751" s="83">
        <v>1</v>
      </c>
      <c r="J751" s="79">
        <v>30</v>
      </c>
      <c r="K751" s="79"/>
      <c r="L751" s="80">
        <v>0.0909</v>
      </c>
      <c r="M751" s="80"/>
      <c r="N751" s="86">
        <v>235</v>
      </c>
      <c r="O751" s="86"/>
      <c r="P751" s="79">
        <v>10</v>
      </c>
      <c r="Q751" s="87"/>
    </row>
    <row r="752" ht="15" spans="1:17">
      <c r="A752" s="89">
        <v>43404</v>
      </c>
      <c r="B752" s="78"/>
      <c r="C752" s="79">
        <v>3</v>
      </c>
      <c r="D752" s="88"/>
      <c r="E752" s="79">
        <v>5</v>
      </c>
      <c r="F752" s="80">
        <v>0.0185</v>
      </c>
      <c r="G752" s="79">
        <v>2</v>
      </c>
      <c r="H752" s="80">
        <v>0.0185</v>
      </c>
      <c r="I752" s="83">
        <v>1</v>
      </c>
      <c r="J752" s="79">
        <v>29</v>
      </c>
      <c r="K752" s="79"/>
      <c r="L752" s="80">
        <v>0</v>
      </c>
      <c r="M752" s="80"/>
      <c r="N752" s="86">
        <v>257</v>
      </c>
      <c r="O752" s="86"/>
      <c r="P752" s="79">
        <v>20</v>
      </c>
      <c r="Q752" s="87"/>
    </row>
    <row r="753" ht="15" spans="1:17">
      <c r="A753" s="89">
        <v>43404</v>
      </c>
      <c r="B753" s="78"/>
      <c r="C753" s="79">
        <v>1</v>
      </c>
      <c r="D753" s="88"/>
      <c r="E753" s="79">
        <v>13</v>
      </c>
      <c r="F753" s="80">
        <v>0.2222</v>
      </c>
      <c r="G753" s="79">
        <v>46</v>
      </c>
      <c r="H753" s="80">
        <v>0.2222</v>
      </c>
      <c r="I753" s="83">
        <v>1</v>
      </c>
      <c r="J753" s="79">
        <v>3</v>
      </c>
      <c r="K753" s="79"/>
      <c r="L753" s="80">
        <v>0.0526</v>
      </c>
      <c r="M753" s="80"/>
      <c r="N753" s="86">
        <v>70</v>
      </c>
      <c r="O753" s="86"/>
      <c r="P753" s="79">
        <v>3</v>
      </c>
      <c r="Q753" s="87"/>
    </row>
    <row r="754" ht="15" spans="1:17">
      <c r="A754" s="89">
        <v>43404</v>
      </c>
      <c r="B754" s="78"/>
      <c r="C754" s="79">
        <v>6</v>
      </c>
      <c r="D754" s="88"/>
      <c r="E754" s="79">
        <v>54</v>
      </c>
      <c r="F754" s="80">
        <v>0.0278</v>
      </c>
      <c r="G754" s="79">
        <v>5</v>
      </c>
      <c r="H754" s="80">
        <v>0.0278</v>
      </c>
      <c r="I754" s="83">
        <v>1</v>
      </c>
      <c r="J754" s="79">
        <v>8</v>
      </c>
      <c r="K754" s="79"/>
      <c r="L754" s="80">
        <v>0.6667</v>
      </c>
      <c r="M754" s="80"/>
      <c r="N754" s="86">
        <v>105</v>
      </c>
      <c r="O754" s="86"/>
      <c r="P754" s="79">
        <v>11</v>
      </c>
      <c r="Q754" s="87"/>
    </row>
    <row r="755" ht="15" spans="1:17">
      <c r="A755" s="89">
        <v>43404</v>
      </c>
      <c r="B755" s="78"/>
      <c r="C755" s="79">
        <v>7</v>
      </c>
      <c r="D755" s="88"/>
      <c r="E755" s="79">
        <v>81</v>
      </c>
      <c r="F755" s="80">
        <v>0.1296</v>
      </c>
      <c r="G755" s="79">
        <v>26</v>
      </c>
      <c r="H755" s="80">
        <v>0.1296</v>
      </c>
      <c r="I755" s="83">
        <v>1</v>
      </c>
      <c r="J755" s="79">
        <v>3</v>
      </c>
      <c r="K755" s="79"/>
      <c r="L755" s="80">
        <v>0.0909</v>
      </c>
      <c r="M755" s="80"/>
      <c r="N755" s="86">
        <v>464</v>
      </c>
      <c r="O755" s="86"/>
      <c r="P755" s="79">
        <v>8</v>
      </c>
      <c r="Q755" s="87"/>
    </row>
    <row r="756" ht="15" spans="1:17">
      <c r="A756" s="89">
        <v>43405</v>
      </c>
      <c r="B756" s="78"/>
      <c r="C756" s="79">
        <v>2</v>
      </c>
      <c r="D756" s="88"/>
      <c r="E756" s="79">
        <v>72</v>
      </c>
      <c r="F756" s="80">
        <v>0.2756</v>
      </c>
      <c r="G756" s="79">
        <v>6</v>
      </c>
      <c r="H756" s="80">
        <v>0.2756</v>
      </c>
      <c r="I756" s="83">
        <v>1</v>
      </c>
      <c r="J756" s="79">
        <v>10</v>
      </c>
      <c r="K756" s="79"/>
      <c r="L756" s="80">
        <v>0.1364</v>
      </c>
      <c r="M756" s="80"/>
      <c r="N756" s="86">
        <v>193</v>
      </c>
      <c r="O756" s="86"/>
      <c r="P756" s="79">
        <v>3</v>
      </c>
      <c r="Q756" s="87"/>
    </row>
    <row r="757" ht="15" spans="1:17">
      <c r="A757" s="89">
        <v>43405</v>
      </c>
      <c r="B757" s="78"/>
      <c r="C757" s="79">
        <v>5</v>
      </c>
      <c r="D757" s="88"/>
      <c r="E757" s="79">
        <v>93</v>
      </c>
      <c r="F757" s="80">
        <v>0.3858</v>
      </c>
      <c r="G757" s="79">
        <v>40</v>
      </c>
      <c r="H757" s="80">
        <v>0.3858</v>
      </c>
      <c r="I757" s="83">
        <v>1</v>
      </c>
      <c r="J757" s="79">
        <v>15</v>
      </c>
      <c r="K757" s="79"/>
      <c r="L757" s="80">
        <v>0.225</v>
      </c>
      <c r="M757" s="80"/>
      <c r="N757" s="86">
        <v>139</v>
      </c>
      <c r="O757" s="86"/>
      <c r="P757" s="79">
        <v>1</v>
      </c>
      <c r="Q757" s="87"/>
    </row>
    <row r="758" ht="15" spans="1:17">
      <c r="A758" s="89">
        <v>43405</v>
      </c>
      <c r="B758" s="78"/>
      <c r="C758" s="79">
        <v>3</v>
      </c>
      <c r="D758" s="88"/>
      <c r="E758" s="79">
        <v>96</v>
      </c>
      <c r="F758" s="80">
        <v>0.0079</v>
      </c>
      <c r="G758" s="79">
        <v>48</v>
      </c>
      <c r="H758" s="80">
        <v>0.0079</v>
      </c>
      <c r="I758" s="83">
        <v>1</v>
      </c>
      <c r="J758" s="79">
        <v>0</v>
      </c>
      <c r="K758" s="79"/>
      <c r="L758" s="80">
        <v>0</v>
      </c>
      <c r="M758" s="80"/>
      <c r="N758" s="86">
        <v>165</v>
      </c>
      <c r="O758" s="86"/>
      <c r="P758" s="79">
        <v>8</v>
      </c>
      <c r="Q758" s="87"/>
    </row>
    <row r="759" ht="15" spans="1:17">
      <c r="A759" s="89">
        <v>43405</v>
      </c>
      <c r="B759" s="78"/>
      <c r="C759" s="79">
        <v>1</v>
      </c>
      <c r="D759" s="88"/>
      <c r="E759" s="79">
        <v>64</v>
      </c>
      <c r="F759" s="80">
        <v>0.1339</v>
      </c>
      <c r="G759" s="79">
        <v>82</v>
      </c>
      <c r="H759" s="80">
        <v>0.1339</v>
      </c>
      <c r="I759" s="83">
        <v>1</v>
      </c>
      <c r="J759" s="79">
        <v>24</v>
      </c>
      <c r="K759" s="79"/>
      <c r="L759" s="80">
        <v>0.2</v>
      </c>
      <c r="M759" s="80"/>
      <c r="N759" s="86">
        <v>151</v>
      </c>
      <c r="O759" s="86"/>
      <c r="P759" s="79">
        <v>1</v>
      </c>
      <c r="Q759" s="87"/>
    </row>
    <row r="760" ht="15" spans="1:17">
      <c r="A760" s="89">
        <v>43405</v>
      </c>
      <c r="B760" s="78"/>
      <c r="C760" s="79">
        <v>6</v>
      </c>
      <c r="D760" s="88"/>
      <c r="E760" s="79">
        <v>59</v>
      </c>
      <c r="F760" s="80">
        <v>0.0394</v>
      </c>
      <c r="G760" s="79">
        <v>27</v>
      </c>
      <c r="H760" s="80">
        <v>0.0394</v>
      </c>
      <c r="I760" s="83">
        <v>1</v>
      </c>
      <c r="J760" s="79">
        <v>16</v>
      </c>
      <c r="K760" s="79"/>
      <c r="L760" s="80">
        <v>2</v>
      </c>
      <c r="M760" s="80"/>
      <c r="N760" s="86">
        <v>74</v>
      </c>
      <c r="O760" s="86"/>
      <c r="P760" s="79">
        <v>11</v>
      </c>
      <c r="Q760" s="87"/>
    </row>
    <row r="761" ht="15" spans="1:17">
      <c r="A761" s="89">
        <v>43405</v>
      </c>
      <c r="B761" s="78"/>
      <c r="C761" s="79">
        <v>7</v>
      </c>
      <c r="D761" s="88"/>
      <c r="E761" s="79">
        <v>98</v>
      </c>
      <c r="F761" s="80">
        <v>0.1575</v>
      </c>
      <c r="G761" s="79">
        <v>80</v>
      </c>
      <c r="H761" s="80">
        <v>0.1575</v>
      </c>
      <c r="I761" s="83">
        <v>1</v>
      </c>
      <c r="J761" s="79">
        <v>2</v>
      </c>
      <c r="K761" s="79"/>
      <c r="L761" s="80">
        <v>0.1111</v>
      </c>
      <c r="M761" s="80"/>
      <c r="N761" s="86">
        <v>499</v>
      </c>
      <c r="O761" s="86"/>
      <c r="P761" s="79">
        <v>7</v>
      </c>
      <c r="Q761" s="87"/>
    </row>
    <row r="762" ht="15" spans="1:17">
      <c r="A762" s="89">
        <v>43406</v>
      </c>
      <c r="B762" s="78"/>
      <c r="C762" s="79">
        <v>5</v>
      </c>
      <c r="D762" s="88"/>
      <c r="E762" s="79">
        <v>46</v>
      </c>
      <c r="F762" s="80">
        <v>0.3359</v>
      </c>
      <c r="G762" s="79">
        <v>44</v>
      </c>
      <c r="H762" s="80">
        <v>0.3359</v>
      </c>
      <c r="I762" s="83">
        <v>1</v>
      </c>
      <c r="J762" s="79">
        <v>3</v>
      </c>
      <c r="K762" s="79"/>
      <c r="L762" s="80">
        <v>0.2963</v>
      </c>
      <c r="M762" s="80"/>
      <c r="N762" s="86">
        <v>63</v>
      </c>
      <c r="O762" s="86"/>
      <c r="P762" s="79">
        <v>10</v>
      </c>
      <c r="Q762" s="87"/>
    </row>
    <row r="763" ht="15" spans="1:17">
      <c r="A763" s="89">
        <v>43406</v>
      </c>
      <c r="B763" s="78"/>
      <c r="C763" s="79">
        <v>2</v>
      </c>
      <c r="D763" s="88"/>
      <c r="E763" s="79">
        <v>8</v>
      </c>
      <c r="F763" s="80">
        <v>0.1527</v>
      </c>
      <c r="G763" s="79">
        <v>58</v>
      </c>
      <c r="H763" s="80">
        <v>0.1527</v>
      </c>
      <c r="I763" s="83">
        <v>1</v>
      </c>
      <c r="J763" s="79">
        <v>8</v>
      </c>
      <c r="K763" s="79"/>
      <c r="L763" s="80">
        <v>0.0909</v>
      </c>
      <c r="M763" s="80"/>
      <c r="N763" s="86">
        <v>272</v>
      </c>
      <c r="O763" s="86"/>
      <c r="P763" s="79">
        <v>16</v>
      </c>
      <c r="Q763" s="87"/>
    </row>
    <row r="764" ht="15" spans="1:17">
      <c r="A764" s="89">
        <v>43406</v>
      </c>
      <c r="B764" s="78"/>
      <c r="C764" s="79">
        <v>3</v>
      </c>
      <c r="D764" s="88"/>
      <c r="E764" s="79">
        <v>85</v>
      </c>
      <c r="F764" s="80">
        <v>0.0611</v>
      </c>
      <c r="G764" s="79">
        <v>73</v>
      </c>
      <c r="H764" s="80">
        <v>0.0611</v>
      </c>
      <c r="I764" s="83">
        <v>1</v>
      </c>
      <c r="J764" s="79">
        <v>28</v>
      </c>
      <c r="K764" s="79"/>
      <c r="L764" s="80">
        <v>0</v>
      </c>
      <c r="M764" s="80"/>
      <c r="N764" s="86">
        <v>307</v>
      </c>
      <c r="O764" s="86"/>
      <c r="P764" s="79">
        <v>4</v>
      </c>
      <c r="Q764" s="87"/>
    </row>
    <row r="765" ht="15" spans="1:17">
      <c r="A765" s="89">
        <v>43406</v>
      </c>
      <c r="B765" s="78"/>
      <c r="C765" s="79">
        <v>1</v>
      </c>
      <c r="D765" s="88"/>
      <c r="E765" s="79">
        <v>79</v>
      </c>
      <c r="F765" s="80">
        <v>0.1908</v>
      </c>
      <c r="G765" s="79">
        <v>95</v>
      </c>
      <c r="H765" s="80">
        <v>0.1908</v>
      </c>
      <c r="I765" s="83">
        <v>1</v>
      </c>
      <c r="J765" s="79">
        <v>26</v>
      </c>
      <c r="K765" s="79"/>
      <c r="L765" s="80">
        <v>0.2727</v>
      </c>
      <c r="M765" s="80"/>
      <c r="N765" s="86">
        <v>153</v>
      </c>
      <c r="O765" s="86"/>
      <c r="P765" s="79">
        <v>9</v>
      </c>
      <c r="Q765" s="87"/>
    </row>
    <row r="766" ht="15" spans="1:17">
      <c r="A766" s="89">
        <v>43406</v>
      </c>
      <c r="B766" s="78"/>
      <c r="C766" s="79">
        <v>6</v>
      </c>
      <c r="D766" s="88"/>
      <c r="E766" s="79">
        <v>23</v>
      </c>
      <c r="F766" s="80">
        <v>0.0687</v>
      </c>
      <c r="G766" s="79">
        <v>49</v>
      </c>
      <c r="H766" s="80">
        <v>0.0687</v>
      </c>
      <c r="I766" s="83">
        <v>1</v>
      </c>
      <c r="J766" s="79">
        <v>17</v>
      </c>
      <c r="K766" s="79"/>
      <c r="L766" s="80">
        <v>0.2222</v>
      </c>
      <c r="M766" s="80"/>
      <c r="N766" s="86">
        <v>453</v>
      </c>
      <c r="O766" s="86"/>
      <c r="P766" s="79">
        <v>3</v>
      </c>
      <c r="Q766" s="87"/>
    </row>
    <row r="767" ht="15" spans="1:17">
      <c r="A767" s="89">
        <v>43406</v>
      </c>
      <c r="B767" s="78"/>
      <c r="C767" s="79">
        <v>7</v>
      </c>
      <c r="D767" s="88"/>
      <c r="E767" s="79">
        <v>48</v>
      </c>
      <c r="F767" s="80">
        <v>0.1908</v>
      </c>
      <c r="G767" s="79">
        <v>96</v>
      </c>
      <c r="H767" s="80">
        <v>0.1908</v>
      </c>
      <c r="I767" s="83">
        <v>1</v>
      </c>
      <c r="J767" s="79">
        <v>0</v>
      </c>
      <c r="K767" s="79"/>
      <c r="L767" s="80">
        <v>0.4286</v>
      </c>
      <c r="M767" s="80"/>
      <c r="N767" s="86">
        <v>249</v>
      </c>
      <c r="O767" s="86"/>
      <c r="P767" s="79">
        <v>9</v>
      </c>
      <c r="Q767" s="87"/>
    </row>
    <row r="768" ht="15" spans="1:17">
      <c r="A768" s="89">
        <v>43407</v>
      </c>
      <c r="B768" s="78"/>
      <c r="C768" s="79">
        <v>2</v>
      </c>
      <c r="D768" s="88"/>
      <c r="E768" s="79">
        <v>87</v>
      </c>
      <c r="F768" s="80">
        <v>0.045</v>
      </c>
      <c r="G768" s="79">
        <v>77</v>
      </c>
      <c r="H768" s="80">
        <v>0.045</v>
      </c>
      <c r="I768" s="83">
        <v>1</v>
      </c>
      <c r="J768" s="79">
        <v>19</v>
      </c>
      <c r="K768" s="79"/>
      <c r="L768" s="80">
        <v>3</v>
      </c>
      <c r="M768" s="80"/>
      <c r="N768" s="86">
        <v>322</v>
      </c>
      <c r="O768" s="86"/>
      <c r="P768" s="79">
        <v>14</v>
      </c>
      <c r="Q768" s="87"/>
    </row>
    <row r="769" ht="15" spans="1:17">
      <c r="A769" s="89">
        <v>43407</v>
      </c>
      <c r="B769" s="78"/>
      <c r="C769" s="79">
        <v>5</v>
      </c>
      <c r="D769" s="88"/>
      <c r="E769" s="79">
        <v>87</v>
      </c>
      <c r="F769" s="80">
        <v>0.4324</v>
      </c>
      <c r="G769" s="79">
        <v>23</v>
      </c>
      <c r="H769" s="80">
        <v>0.4324</v>
      </c>
      <c r="I769" s="83">
        <v>1</v>
      </c>
      <c r="J769" s="79">
        <v>29</v>
      </c>
      <c r="K769" s="79"/>
      <c r="L769" s="80">
        <v>0.2162</v>
      </c>
      <c r="M769" s="80"/>
      <c r="N769" s="86">
        <v>435</v>
      </c>
      <c r="O769" s="86"/>
      <c r="P769" s="79">
        <v>2</v>
      </c>
      <c r="Q769" s="87"/>
    </row>
    <row r="770" ht="15" spans="1:17">
      <c r="A770" s="89">
        <v>43407</v>
      </c>
      <c r="B770" s="78"/>
      <c r="C770" s="79">
        <v>3</v>
      </c>
      <c r="D770" s="88"/>
      <c r="E770" s="79">
        <v>100</v>
      </c>
      <c r="F770" s="80">
        <v>0.018</v>
      </c>
      <c r="G770" s="79">
        <v>69</v>
      </c>
      <c r="H770" s="80">
        <v>0.018</v>
      </c>
      <c r="I770" s="83">
        <v>1</v>
      </c>
      <c r="J770" s="79">
        <v>7</v>
      </c>
      <c r="K770" s="79"/>
      <c r="L770" s="80">
        <v>0</v>
      </c>
      <c r="M770" s="80"/>
      <c r="N770" s="86">
        <v>406</v>
      </c>
      <c r="O770" s="86"/>
      <c r="P770" s="79">
        <v>2</v>
      </c>
      <c r="Q770" s="87"/>
    </row>
    <row r="771" ht="15" spans="1:17">
      <c r="A771" s="89">
        <v>43407</v>
      </c>
      <c r="B771" s="78"/>
      <c r="C771" s="79">
        <v>1</v>
      </c>
      <c r="D771" s="88"/>
      <c r="E771" s="79">
        <v>98</v>
      </c>
      <c r="F771" s="80">
        <v>0.2342</v>
      </c>
      <c r="G771" s="79">
        <v>29</v>
      </c>
      <c r="H771" s="80">
        <v>0.2342</v>
      </c>
      <c r="I771" s="83">
        <v>1</v>
      </c>
      <c r="J771" s="79">
        <v>20</v>
      </c>
      <c r="K771" s="79"/>
      <c r="L771" s="80">
        <v>0</v>
      </c>
      <c r="M771" s="80"/>
      <c r="N771" s="86">
        <v>70</v>
      </c>
      <c r="O771" s="86"/>
      <c r="P771" s="79">
        <v>16</v>
      </c>
      <c r="Q771" s="87"/>
    </row>
    <row r="772" ht="15" spans="1:17">
      <c r="A772" s="89">
        <v>43407</v>
      </c>
      <c r="B772" s="78"/>
      <c r="C772" s="79">
        <v>6</v>
      </c>
      <c r="D772" s="88"/>
      <c r="E772" s="79">
        <v>4</v>
      </c>
      <c r="F772" s="80">
        <v>0.045</v>
      </c>
      <c r="G772" s="79">
        <v>58</v>
      </c>
      <c r="H772" s="80">
        <v>0.045</v>
      </c>
      <c r="I772" s="83">
        <v>1</v>
      </c>
      <c r="J772" s="79">
        <v>11</v>
      </c>
      <c r="K772" s="79"/>
      <c r="L772" s="80">
        <v>0.25</v>
      </c>
      <c r="M772" s="80"/>
      <c r="N772" s="86">
        <v>394</v>
      </c>
      <c r="O772" s="86"/>
      <c r="P772" s="79">
        <v>20</v>
      </c>
      <c r="Q772" s="87"/>
    </row>
    <row r="773" ht="15" spans="1:17">
      <c r="A773" s="89">
        <v>43407</v>
      </c>
      <c r="B773" s="78"/>
      <c r="C773" s="79">
        <v>7</v>
      </c>
      <c r="D773" s="88"/>
      <c r="E773" s="79">
        <v>53</v>
      </c>
      <c r="F773" s="80">
        <v>0.2252</v>
      </c>
      <c r="G773" s="79">
        <v>92</v>
      </c>
      <c r="H773" s="80">
        <v>0.2252</v>
      </c>
      <c r="I773" s="83">
        <v>1</v>
      </c>
      <c r="J773" s="79">
        <v>7</v>
      </c>
      <c r="K773" s="79"/>
      <c r="L773" s="80">
        <v>0.1875</v>
      </c>
      <c r="M773" s="80"/>
      <c r="N773" s="86">
        <v>345</v>
      </c>
      <c r="O773" s="86"/>
      <c r="P773" s="79">
        <v>17</v>
      </c>
      <c r="Q773" s="87"/>
    </row>
    <row r="774" spans="1:17">
      <c r="A774" s="89">
        <v>43408</v>
      </c>
      <c r="B774" s="78"/>
      <c r="C774" s="79">
        <v>2</v>
      </c>
      <c r="D774" s="79"/>
      <c r="E774" s="79">
        <v>32</v>
      </c>
      <c r="F774" s="80">
        <v>0.1148</v>
      </c>
      <c r="G774" s="79">
        <v>63</v>
      </c>
      <c r="H774" s="80">
        <v>0.1148</v>
      </c>
      <c r="I774" s="83">
        <v>1</v>
      </c>
      <c r="J774" s="79">
        <v>11</v>
      </c>
      <c r="K774" s="79"/>
      <c r="L774" s="80">
        <v>0.1667</v>
      </c>
      <c r="M774" s="80"/>
      <c r="N774" s="86">
        <v>224</v>
      </c>
      <c r="O774" s="86"/>
      <c r="P774" s="79">
        <v>12</v>
      </c>
      <c r="Q774" s="87"/>
    </row>
    <row r="775" spans="1:17">
      <c r="A775" s="89">
        <v>43408</v>
      </c>
      <c r="B775" s="78"/>
      <c r="C775" s="79">
        <v>5</v>
      </c>
      <c r="D775" s="79"/>
      <c r="E775" s="79">
        <v>94</v>
      </c>
      <c r="F775" s="80">
        <v>0.4918</v>
      </c>
      <c r="G775" s="79">
        <v>89</v>
      </c>
      <c r="H775" s="80">
        <v>0.4918</v>
      </c>
      <c r="I775" s="83">
        <v>1</v>
      </c>
      <c r="J775" s="79">
        <v>18</v>
      </c>
      <c r="K775" s="79"/>
      <c r="L775" s="80">
        <v>0.2885</v>
      </c>
      <c r="M775" s="80"/>
      <c r="N775" s="86">
        <v>315</v>
      </c>
      <c r="O775" s="86"/>
      <c r="P775" s="79">
        <v>17</v>
      </c>
      <c r="Q775" s="87"/>
    </row>
    <row r="776" spans="1:17">
      <c r="A776" s="89">
        <v>43408</v>
      </c>
      <c r="B776" s="78"/>
      <c r="C776" s="79">
        <v>3</v>
      </c>
      <c r="D776" s="79"/>
      <c r="E776" s="79">
        <v>2</v>
      </c>
      <c r="F776" s="80">
        <v>0</v>
      </c>
      <c r="G776" s="79">
        <v>53</v>
      </c>
      <c r="H776" s="80">
        <v>0</v>
      </c>
      <c r="I776" s="83">
        <v>0</v>
      </c>
      <c r="J776" s="79">
        <v>20</v>
      </c>
      <c r="K776" s="79"/>
      <c r="L776" s="80">
        <v>0</v>
      </c>
      <c r="M776" s="80"/>
      <c r="N776" s="86">
        <v>464</v>
      </c>
      <c r="O776" s="86"/>
      <c r="P776" s="79">
        <v>11</v>
      </c>
      <c r="Q776" s="87"/>
    </row>
    <row r="777" spans="1:17">
      <c r="A777" s="89">
        <v>43408</v>
      </c>
      <c r="B777" s="78"/>
      <c r="C777" s="79">
        <v>1</v>
      </c>
      <c r="D777" s="79"/>
      <c r="E777" s="79">
        <v>97</v>
      </c>
      <c r="F777" s="80">
        <v>0.2787</v>
      </c>
      <c r="G777" s="79">
        <v>6</v>
      </c>
      <c r="H777" s="80">
        <v>0.2787</v>
      </c>
      <c r="I777" s="83">
        <v>1</v>
      </c>
      <c r="J777" s="79">
        <v>23</v>
      </c>
      <c r="K777" s="79"/>
      <c r="L777" s="80">
        <v>0</v>
      </c>
      <c r="M777" s="80"/>
      <c r="N777" s="86">
        <v>140</v>
      </c>
      <c r="O777" s="86"/>
      <c r="P777" s="79">
        <v>13</v>
      </c>
      <c r="Q777" s="87"/>
    </row>
    <row r="778" spans="1:17">
      <c r="A778" s="89">
        <v>43408</v>
      </c>
      <c r="B778" s="78"/>
      <c r="C778" s="79">
        <v>6</v>
      </c>
      <c r="D778" s="79"/>
      <c r="E778" s="79">
        <v>43</v>
      </c>
      <c r="F778" s="80">
        <v>0.0738</v>
      </c>
      <c r="G778" s="79">
        <v>13</v>
      </c>
      <c r="H778" s="80">
        <v>0.0738</v>
      </c>
      <c r="I778" s="83">
        <v>1</v>
      </c>
      <c r="J778" s="79">
        <v>19</v>
      </c>
      <c r="K778" s="79"/>
      <c r="L778" s="80">
        <v>0</v>
      </c>
      <c r="M778" s="80"/>
      <c r="N778" s="86">
        <v>127</v>
      </c>
      <c r="O778" s="86"/>
      <c r="P778" s="79">
        <v>6</v>
      </c>
      <c r="Q778" s="87"/>
    </row>
    <row r="779" spans="1:17">
      <c r="A779" s="89">
        <v>43408</v>
      </c>
      <c r="B779" s="78"/>
      <c r="C779" s="79">
        <v>7</v>
      </c>
      <c r="D779" s="79"/>
      <c r="E779" s="79">
        <v>3</v>
      </c>
      <c r="F779" s="80">
        <v>0.041</v>
      </c>
      <c r="G779" s="79">
        <v>55</v>
      </c>
      <c r="H779" s="80">
        <v>0.041</v>
      </c>
      <c r="I779" s="83">
        <v>1</v>
      </c>
      <c r="J779" s="79">
        <v>4</v>
      </c>
      <c r="K779" s="79"/>
      <c r="L779" s="80">
        <v>0.75</v>
      </c>
      <c r="M779" s="80"/>
      <c r="N779" s="86">
        <v>116</v>
      </c>
      <c r="O779" s="86"/>
      <c r="P779" s="79">
        <v>20</v>
      </c>
      <c r="Q779" s="87"/>
    </row>
    <row r="780" ht="15" spans="1:17">
      <c r="A780" s="89">
        <v>43409</v>
      </c>
      <c r="B780" s="78"/>
      <c r="C780" s="79">
        <v>5</v>
      </c>
      <c r="D780" s="88"/>
      <c r="E780" s="79">
        <v>83</v>
      </c>
      <c r="F780" s="80">
        <v>0.4432</v>
      </c>
      <c r="G780" s="79">
        <v>53</v>
      </c>
      <c r="H780" s="80">
        <v>0.4432</v>
      </c>
      <c r="I780" s="83">
        <v>1</v>
      </c>
      <c r="J780" s="79">
        <v>11</v>
      </c>
      <c r="K780" s="79"/>
      <c r="L780" s="80">
        <v>0.1552</v>
      </c>
      <c r="M780" s="80"/>
      <c r="N780" s="86">
        <v>104</v>
      </c>
      <c r="O780" s="86"/>
      <c r="P780" s="79">
        <v>4</v>
      </c>
      <c r="Q780" s="87"/>
    </row>
    <row r="781" ht="15" spans="1:17">
      <c r="A781" s="89">
        <v>43409</v>
      </c>
      <c r="B781" s="78"/>
      <c r="C781" s="79">
        <v>2</v>
      </c>
      <c r="D781" s="88"/>
      <c r="E781" s="79">
        <v>93</v>
      </c>
      <c r="F781" s="80">
        <v>0.0966</v>
      </c>
      <c r="G781" s="79">
        <v>83</v>
      </c>
      <c r="H781" s="80">
        <v>0.0966</v>
      </c>
      <c r="I781" s="83">
        <v>0.94</v>
      </c>
      <c r="J781" s="79">
        <v>6</v>
      </c>
      <c r="K781" s="79"/>
      <c r="L781" s="80">
        <v>0.1333</v>
      </c>
      <c r="M781" s="80"/>
      <c r="N781" s="86">
        <v>186</v>
      </c>
      <c r="O781" s="86"/>
      <c r="P781" s="79">
        <v>4</v>
      </c>
      <c r="Q781" s="87"/>
    </row>
    <row r="782" ht="15" spans="1:17">
      <c r="A782" s="89">
        <v>43409</v>
      </c>
      <c r="B782" s="78"/>
      <c r="C782" s="79">
        <v>3</v>
      </c>
      <c r="D782" s="88"/>
      <c r="E782" s="79">
        <v>46</v>
      </c>
      <c r="F782" s="80">
        <v>0.0284</v>
      </c>
      <c r="G782" s="79">
        <v>45</v>
      </c>
      <c r="H782" s="80">
        <v>0.0284</v>
      </c>
      <c r="I782" s="83">
        <v>1</v>
      </c>
      <c r="J782" s="79">
        <v>6</v>
      </c>
      <c r="K782" s="79"/>
      <c r="L782" s="80">
        <v>0</v>
      </c>
      <c r="M782" s="80"/>
      <c r="N782" s="86">
        <v>323</v>
      </c>
      <c r="O782" s="86"/>
      <c r="P782" s="79">
        <v>16</v>
      </c>
      <c r="Q782" s="87"/>
    </row>
    <row r="783" ht="15" spans="1:17">
      <c r="A783" s="89">
        <v>43409</v>
      </c>
      <c r="B783" s="78"/>
      <c r="C783" s="79">
        <v>1</v>
      </c>
      <c r="D783" s="88"/>
      <c r="E783" s="79">
        <v>15</v>
      </c>
      <c r="F783" s="80">
        <v>0.2102</v>
      </c>
      <c r="G783" s="79">
        <v>67</v>
      </c>
      <c r="H783" s="80">
        <v>0.2102</v>
      </c>
      <c r="I783" s="83">
        <v>1</v>
      </c>
      <c r="J783" s="79">
        <v>15</v>
      </c>
      <c r="K783" s="79"/>
      <c r="L783" s="80">
        <v>0.0345</v>
      </c>
      <c r="M783" s="80"/>
      <c r="N783" s="86">
        <v>124</v>
      </c>
      <c r="O783" s="86"/>
      <c r="P783" s="79">
        <v>0</v>
      </c>
      <c r="Q783" s="87"/>
    </row>
    <row r="784" ht="15" spans="1:17">
      <c r="A784" s="89">
        <v>43409</v>
      </c>
      <c r="B784" s="78"/>
      <c r="C784" s="79">
        <v>6</v>
      </c>
      <c r="D784" s="88"/>
      <c r="E784" s="79">
        <v>91</v>
      </c>
      <c r="F784" s="80">
        <v>0.0795</v>
      </c>
      <c r="G784" s="79">
        <v>16</v>
      </c>
      <c r="H784" s="80">
        <v>0.0795</v>
      </c>
      <c r="I784" s="83">
        <v>1</v>
      </c>
      <c r="J784" s="79">
        <v>29</v>
      </c>
      <c r="K784" s="79"/>
      <c r="L784" s="80">
        <v>0.2</v>
      </c>
      <c r="M784" s="80"/>
      <c r="N784" s="86">
        <v>494</v>
      </c>
      <c r="O784" s="86"/>
      <c r="P784" s="79">
        <v>2</v>
      </c>
      <c r="Q784" s="87"/>
    </row>
    <row r="785" ht="15" spans="1:17">
      <c r="A785" s="89">
        <v>43409</v>
      </c>
      <c r="B785" s="78"/>
      <c r="C785" s="79">
        <v>7</v>
      </c>
      <c r="D785" s="88"/>
      <c r="E785" s="79">
        <v>25</v>
      </c>
      <c r="F785" s="80">
        <v>0.142</v>
      </c>
      <c r="G785" s="79">
        <v>38</v>
      </c>
      <c r="H785" s="80">
        <v>0.142</v>
      </c>
      <c r="I785" s="83">
        <v>1</v>
      </c>
      <c r="J785" s="79">
        <v>15</v>
      </c>
      <c r="K785" s="79"/>
      <c r="L785" s="80">
        <v>0.3846</v>
      </c>
      <c r="M785" s="80"/>
      <c r="N785" s="86">
        <v>340</v>
      </c>
      <c r="O785" s="86"/>
      <c r="P785" s="79">
        <v>5</v>
      </c>
      <c r="Q785" s="87"/>
    </row>
    <row r="786" ht="15" spans="1:17">
      <c r="A786" s="89">
        <v>43410</v>
      </c>
      <c r="B786" s="78"/>
      <c r="C786" s="79">
        <v>2</v>
      </c>
      <c r="D786" s="88"/>
      <c r="E786" s="79">
        <v>41</v>
      </c>
      <c r="F786" s="80">
        <v>0.1103</v>
      </c>
      <c r="G786" s="79">
        <v>0</v>
      </c>
      <c r="H786" s="80">
        <v>0.1103</v>
      </c>
      <c r="I786" s="83">
        <v>1</v>
      </c>
      <c r="J786" s="79">
        <v>14</v>
      </c>
      <c r="K786" s="79"/>
      <c r="L786" s="80">
        <v>0</v>
      </c>
      <c r="M786" s="80"/>
      <c r="N786" s="86">
        <v>462</v>
      </c>
      <c r="O786" s="86"/>
      <c r="P786" s="79">
        <v>2</v>
      </c>
      <c r="Q786" s="87"/>
    </row>
    <row r="787" ht="15" spans="1:17">
      <c r="A787" s="89">
        <v>43410</v>
      </c>
      <c r="B787" s="78"/>
      <c r="C787" s="79">
        <v>5</v>
      </c>
      <c r="D787" s="88"/>
      <c r="E787" s="79">
        <v>38</v>
      </c>
      <c r="F787" s="80">
        <v>0.469</v>
      </c>
      <c r="G787" s="79">
        <v>18</v>
      </c>
      <c r="H787" s="80">
        <v>0.469</v>
      </c>
      <c r="I787" s="83">
        <v>1</v>
      </c>
      <c r="J787" s="79">
        <v>21</v>
      </c>
      <c r="K787" s="79"/>
      <c r="L787" s="80">
        <v>0.1957</v>
      </c>
      <c r="M787" s="80"/>
      <c r="N787" s="86">
        <v>361</v>
      </c>
      <c r="O787" s="86"/>
      <c r="P787" s="79">
        <v>17</v>
      </c>
      <c r="Q787" s="87"/>
    </row>
    <row r="788" ht="15" spans="1:17">
      <c r="A788" s="89">
        <v>43410</v>
      </c>
      <c r="B788" s="78"/>
      <c r="C788" s="79">
        <v>3</v>
      </c>
      <c r="D788" s="88"/>
      <c r="E788" s="79">
        <v>16</v>
      </c>
      <c r="F788" s="80">
        <v>0.0138</v>
      </c>
      <c r="G788" s="79">
        <v>35</v>
      </c>
      <c r="H788" s="80">
        <v>0.0138</v>
      </c>
      <c r="I788" s="83">
        <v>1</v>
      </c>
      <c r="J788" s="79">
        <v>9</v>
      </c>
      <c r="K788" s="79"/>
      <c r="L788" s="80">
        <v>1</v>
      </c>
      <c r="M788" s="80"/>
      <c r="N788" s="86">
        <v>168</v>
      </c>
      <c r="O788" s="86"/>
      <c r="P788" s="79">
        <v>15</v>
      </c>
      <c r="Q788" s="87"/>
    </row>
    <row r="789" ht="15" spans="1:17">
      <c r="A789" s="89">
        <v>43410</v>
      </c>
      <c r="B789" s="78"/>
      <c r="C789" s="79">
        <v>1</v>
      </c>
      <c r="D789" s="88"/>
      <c r="E789" s="79">
        <v>69</v>
      </c>
      <c r="F789" s="80">
        <v>0.1172</v>
      </c>
      <c r="G789" s="79">
        <v>98</v>
      </c>
      <c r="H789" s="80">
        <v>0.1172</v>
      </c>
      <c r="I789" s="83">
        <v>1</v>
      </c>
      <c r="J789" s="79">
        <v>27</v>
      </c>
      <c r="K789" s="79"/>
      <c r="L789" s="80">
        <v>0</v>
      </c>
      <c r="M789" s="80"/>
      <c r="N789" s="86">
        <v>205</v>
      </c>
      <c r="O789" s="86"/>
      <c r="P789" s="79">
        <v>2</v>
      </c>
      <c r="Q789" s="87"/>
    </row>
    <row r="790" ht="15" spans="1:17">
      <c r="A790" s="89">
        <v>43410</v>
      </c>
      <c r="B790" s="78"/>
      <c r="C790" s="79">
        <v>6</v>
      </c>
      <c r="D790" s="88"/>
      <c r="E790" s="79">
        <v>60</v>
      </c>
      <c r="F790" s="80">
        <v>0.0828</v>
      </c>
      <c r="G790" s="79">
        <v>32</v>
      </c>
      <c r="H790" s="80">
        <v>0.0828</v>
      </c>
      <c r="I790" s="83">
        <v>1</v>
      </c>
      <c r="J790" s="79">
        <v>29</v>
      </c>
      <c r="K790" s="79"/>
      <c r="L790" s="80">
        <v>0</v>
      </c>
      <c r="M790" s="80"/>
      <c r="N790" s="86">
        <v>259</v>
      </c>
      <c r="O790" s="86"/>
      <c r="P790" s="79">
        <v>10</v>
      </c>
      <c r="Q790" s="87"/>
    </row>
    <row r="791" ht="15" spans="1:17">
      <c r="A791" s="89">
        <v>43410</v>
      </c>
      <c r="B791" s="78"/>
      <c r="C791" s="79">
        <v>7</v>
      </c>
      <c r="D791" s="88"/>
      <c r="E791" s="79">
        <v>23</v>
      </c>
      <c r="F791" s="80">
        <v>0.2069</v>
      </c>
      <c r="G791" s="79">
        <v>82</v>
      </c>
      <c r="H791" s="80">
        <v>0.2069</v>
      </c>
      <c r="I791" s="83">
        <v>1</v>
      </c>
      <c r="J791" s="79">
        <v>15</v>
      </c>
      <c r="K791" s="79"/>
      <c r="L791" s="80">
        <v>0.087</v>
      </c>
      <c r="M791" s="80"/>
      <c r="N791" s="86">
        <v>360</v>
      </c>
      <c r="O791" s="86"/>
      <c r="P791" s="79">
        <v>2</v>
      </c>
      <c r="Q791" s="87"/>
    </row>
    <row r="792" ht="15" spans="1:17">
      <c r="A792" s="89">
        <v>43411</v>
      </c>
      <c r="B792" s="78"/>
      <c r="C792" s="79">
        <v>2</v>
      </c>
      <c r="D792" s="88"/>
      <c r="E792" s="79">
        <v>27</v>
      </c>
      <c r="F792" s="80">
        <v>0.0694</v>
      </c>
      <c r="G792" s="79">
        <v>23</v>
      </c>
      <c r="H792" s="80">
        <v>0.0694</v>
      </c>
      <c r="I792" s="83">
        <v>1</v>
      </c>
      <c r="J792" s="79">
        <v>21</v>
      </c>
      <c r="K792" s="79"/>
      <c r="L792" s="80">
        <v>0.3</v>
      </c>
      <c r="M792" s="80"/>
      <c r="N792" s="86">
        <v>416</v>
      </c>
      <c r="O792" s="86"/>
      <c r="P792" s="79">
        <v>6</v>
      </c>
      <c r="Q792" s="87"/>
    </row>
    <row r="793" ht="15" spans="1:17">
      <c r="A793" s="89">
        <v>43411</v>
      </c>
      <c r="B793" s="78"/>
      <c r="C793" s="79">
        <v>5</v>
      </c>
      <c r="D793" s="88"/>
      <c r="E793" s="79">
        <v>80</v>
      </c>
      <c r="F793" s="80">
        <v>0.422</v>
      </c>
      <c r="G793" s="79">
        <v>26</v>
      </c>
      <c r="H793" s="80">
        <v>0.422</v>
      </c>
      <c r="I793" s="83">
        <v>1</v>
      </c>
      <c r="J793" s="79">
        <v>14</v>
      </c>
      <c r="K793" s="79"/>
      <c r="L793" s="80">
        <v>0.28</v>
      </c>
      <c r="M793" s="80"/>
      <c r="N793" s="86">
        <v>492</v>
      </c>
      <c r="O793" s="86"/>
      <c r="P793" s="79">
        <v>14</v>
      </c>
      <c r="Q793" s="87"/>
    </row>
    <row r="794" ht="15" spans="1:17">
      <c r="A794" s="89">
        <v>43411</v>
      </c>
      <c r="B794" s="78"/>
      <c r="C794" s="79">
        <v>1</v>
      </c>
      <c r="D794" s="88"/>
      <c r="E794" s="79">
        <v>74</v>
      </c>
      <c r="F794" s="80">
        <v>0.1618</v>
      </c>
      <c r="G794" s="79">
        <v>4</v>
      </c>
      <c r="H794" s="80">
        <v>0.1618</v>
      </c>
      <c r="I794" s="83">
        <v>1</v>
      </c>
      <c r="J794" s="79">
        <v>22</v>
      </c>
      <c r="K794" s="79"/>
      <c r="L794" s="80">
        <v>0.2857</v>
      </c>
      <c r="M794" s="80"/>
      <c r="N794" s="86">
        <v>271</v>
      </c>
      <c r="O794" s="86"/>
      <c r="P794" s="79">
        <v>11</v>
      </c>
      <c r="Q794" s="87"/>
    </row>
    <row r="795" ht="15" spans="1:17">
      <c r="A795" s="89">
        <v>43411</v>
      </c>
      <c r="B795" s="78"/>
      <c r="C795" s="79">
        <v>6</v>
      </c>
      <c r="D795" s="88"/>
      <c r="E795" s="79">
        <v>34</v>
      </c>
      <c r="F795" s="80">
        <v>0.0925</v>
      </c>
      <c r="G795" s="79">
        <v>24</v>
      </c>
      <c r="H795" s="80">
        <v>0.0925</v>
      </c>
      <c r="I795" s="83">
        <v>1</v>
      </c>
      <c r="J795" s="79">
        <v>11</v>
      </c>
      <c r="K795" s="79"/>
      <c r="L795" s="80">
        <v>0.3077</v>
      </c>
      <c r="M795" s="80"/>
      <c r="N795" s="86">
        <v>219</v>
      </c>
      <c r="O795" s="86"/>
      <c r="P795" s="79">
        <v>0</v>
      </c>
      <c r="Q795" s="87"/>
    </row>
    <row r="796" ht="15" spans="1:17">
      <c r="A796" s="89">
        <v>43411</v>
      </c>
      <c r="B796" s="78"/>
      <c r="C796" s="79">
        <v>7</v>
      </c>
      <c r="D796" s="88"/>
      <c r="E796" s="79">
        <v>2</v>
      </c>
      <c r="F796" s="80">
        <v>0.2543</v>
      </c>
      <c r="G796" s="79">
        <v>55</v>
      </c>
      <c r="H796" s="80">
        <v>0.2543</v>
      </c>
      <c r="I796" s="83">
        <v>1</v>
      </c>
      <c r="J796" s="79">
        <v>2</v>
      </c>
      <c r="K796" s="79"/>
      <c r="L796" s="80">
        <v>0.1579</v>
      </c>
      <c r="M796" s="80"/>
      <c r="N796" s="86">
        <v>246</v>
      </c>
      <c r="O796" s="86"/>
      <c r="P796" s="79">
        <v>8</v>
      </c>
      <c r="Q796" s="87"/>
    </row>
    <row r="797" ht="15" spans="1:17">
      <c r="A797" s="89">
        <v>43412</v>
      </c>
      <c r="B797" s="78"/>
      <c r="C797" s="79">
        <v>5</v>
      </c>
      <c r="D797" s="88"/>
      <c r="E797" s="79">
        <v>7</v>
      </c>
      <c r="F797" s="80">
        <v>0.5294</v>
      </c>
      <c r="G797" s="79">
        <v>58</v>
      </c>
      <c r="H797" s="80">
        <v>0.5294</v>
      </c>
      <c r="I797" s="83">
        <v>1</v>
      </c>
      <c r="J797" s="79">
        <v>25</v>
      </c>
      <c r="K797" s="79"/>
      <c r="L797" s="80">
        <v>1.3611</v>
      </c>
      <c r="M797" s="80"/>
      <c r="N797" s="86">
        <v>367</v>
      </c>
      <c r="O797" s="86"/>
      <c r="P797" s="79">
        <v>11</v>
      </c>
      <c r="Q797" s="87"/>
    </row>
    <row r="798" ht="15" spans="1:17">
      <c r="A798" s="89">
        <v>43412</v>
      </c>
      <c r="B798" s="78"/>
      <c r="C798" s="79">
        <v>2</v>
      </c>
      <c r="D798" s="88"/>
      <c r="E798" s="79">
        <v>20</v>
      </c>
      <c r="F798" s="80">
        <v>0.1275</v>
      </c>
      <c r="G798" s="79">
        <v>45</v>
      </c>
      <c r="H798" s="80">
        <v>0.1275</v>
      </c>
      <c r="I798" s="83">
        <v>1</v>
      </c>
      <c r="J798" s="79">
        <v>28</v>
      </c>
      <c r="K798" s="79"/>
      <c r="L798" s="80">
        <v>0.3333</v>
      </c>
      <c r="M798" s="80"/>
      <c r="N798" s="86">
        <v>394</v>
      </c>
      <c r="O798" s="86"/>
      <c r="P798" s="79">
        <v>0</v>
      </c>
      <c r="Q798" s="87"/>
    </row>
    <row r="799" ht="15" spans="1:17">
      <c r="A799" s="89">
        <v>43412</v>
      </c>
      <c r="B799" s="78"/>
      <c r="C799" s="79">
        <v>1</v>
      </c>
      <c r="D799" s="88"/>
      <c r="E799" s="79">
        <v>73</v>
      </c>
      <c r="F799" s="80">
        <v>0.2255</v>
      </c>
      <c r="G799" s="79">
        <v>64</v>
      </c>
      <c r="H799" s="80">
        <v>0.2255</v>
      </c>
      <c r="I799" s="83">
        <v>1</v>
      </c>
      <c r="J799" s="79">
        <v>1</v>
      </c>
      <c r="K799" s="79"/>
      <c r="L799" s="80">
        <v>0.0476</v>
      </c>
      <c r="M799" s="80"/>
      <c r="N799" s="86">
        <v>317</v>
      </c>
      <c r="O799" s="86"/>
      <c r="P799" s="79">
        <v>10</v>
      </c>
      <c r="Q799" s="87"/>
    </row>
    <row r="800" ht="15" spans="1:17">
      <c r="A800" s="89">
        <v>43412</v>
      </c>
      <c r="B800" s="78"/>
      <c r="C800" s="79">
        <v>6</v>
      </c>
      <c r="D800" s="88"/>
      <c r="E800" s="79">
        <v>22</v>
      </c>
      <c r="F800" s="80">
        <v>0.0294</v>
      </c>
      <c r="G800" s="79">
        <v>15</v>
      </c>
      <c r="H800" s="80">
        <v>0.0294</v>
      </c>
      <c r="I800" s="83">
        <v>1</v>
      </c>
      <c r="J800" s="79">
        <v>5</v>
      </c>
      <c r="K800" s="79"/>
      <c r="L800" s="80">
        <v>0.3333</v>
      </c>
      <c r="M800" s="80"/>
      <c r="N800" s="86">
        <v>405</v>
      </c>
      <c r="O800" s="86"/>
      <c r="P800" s="79">
        <v>1</v>
      </c>
      <c r="Q800" s="87"/>
    </row>
    <row r="801" ht="15" spans="1:17">
      <c r="A801" s="89">
        <v>43412</v>
      </c>
      <c r="B801" s="78"/>
      <c r="C801" s="79">
        <v>7</v>
      </c>
      <c r="D801" s="88"/>
      <c r="E801" s="79">
        <v>9</v>
      </c>
      <c r="F801" s="80">
        <v>0.0882</v>
      </c>
      <c r="G801" s="79">
        <v>69</v>
      </c>
      <c r="H801" s="80">
        <v>0.0882</v>
      </c>
      <c r="I801" s="83">
        <v>1</v>
      </c>
      <c r="J801" s="79">
        <v>18</v>
      </c>
      <c r="K801" s="79"/>
      <c r="L801" s="80">
        <v>0.2</v>
      </c>
      <c r="M801" s="80"/>
      <c r="N801" s="86">
        <v>53</v>
      </c>
      <c r="O801" s="86"/>
      <c r="P801" s="79">
        <v>17</v>
      </c>
      <c r="Q801" s="87"/>
    </row>
    <row r="802" ht="15" spans="1:17">
      <c r="A802" s="89">
        <v>43413</v>
      </c>
      <c r="B802" s="78"/>
      <c r="C802" s="79">
        <v>5</v>
      </c>
      <c r="D802" s="88"/>
      <c r="E802" s="79">
        <v>89</v>
      </c>
      <c r="F802" s="80">
        <v>0.5979</v>
      </c>
      <c r="G802" s="79">
        <v>87</v>
      </c>
      <c r="H802" s="80">
        <v>0.5979</v>
      </c>
      <c r="I802" s="83">
        <v>1</v>
      </c>
      <c r="J802" s="79">
        <v>21</v>
      </c>
      <c r="K802" s="79"/>
      <c r="L802" s="80">
        <v>0.2051</v>
      </c>
      <c r="M802" s="80"/>
      <c r="N802" s="86">
        <v>446</v>
      </c>
      <c r="O802" s="86"/>
      <c r="P802" s="79">
        <v>19</v>
      </c>
      <c r="Q802" s="87"/>
    </row>
    <row r="803" ht="15" spans="1:17">
      <c r="A803" s="89">
        <v>43413</v>
      </c>
      <c r="B803" s="78"/>
      <c r="C803" s="79">
        <v>2</v>
      </c>
      <c r="D803" s="88"/>
      <c r="E803" s="79">
        <v>23</v>
      </c>
      <c r="F803" s="80">
        <v>0.1031</v>
      </c>
      <c r="G803" s="79">
        <v>83</v>
      </c>
      <c r="H803" s="80">
        <v>0.1031</v>
      </c>
      <c r="I803" s="83">
        <v>1</v>
      </c>
      <c r="J803" s="79">
        <v>28</v>
      </c>
      <c r="K803" s="79"/>
      <c r="L803" s="80">
        <v>0.4286</v>
      </c>
      <c r="M803" s="80"/>
      <c r="N803" s="86">
        <v>218</v>
      </c>
      <c r="O803" s="86"/>
      <c r="P803" s="79">
        <v>14</v>
      </c>
      <c r="Q803" s="87"/>
    </row>
    <row r="804" ht="15" spans="1:17">
      <c r="A804" s="89">
        <v>43413</v>
      </c>
      <c r="B804" s="78"/>
      <c r="C804" s="79">
        <v>1</v>
      </c>
      <c r="D804" s="88"/>
      <c r="E804" s="79">
        <v>59</v>
      </c>
      <c r="F804" s="80">
        <v>0.1546</v>
      </c>
      <c r="G804" s="79">
        <v>72</v>
      </c>
      <c r="H804" s="80">
        <v>0.1546</v>
      </c>
      <c r="I804" s="83">
        <v>1</v>
      </c>
      <c r="J804" s="79">
        <v>25</v>
      </c>
      <c r="K804" s="79"/>
      <c r="L804" s="80">
        <v>0.0714</v>
      </c>
      <c r="M804" s="80"/>
      <c r="N804" s="86">
        <v>318</v>
      </c>
      <c r="O804" s="86"/>
      <c r="P804" s="79">
        <v>4</v>
      </c>
      <c r="Q804" s="87"/>
    </row>
    <row r="805" ht="15" spans="1:17">
      <c r="A805" s="89">
        <v>43413</v>
      </c>
      <c r="B805" s="78"/>
      <c r="C805" s="79">
        <v>6</v>
      </c>
      <c r="D805" s="88"/>
      <c r="E805" s="79">
        <v>58</v>
      </c>
      <c r="F805" s="80">
        <v>0.0309</v>
      </c>
      <c r="G805" s="79">
        <v>13</v>
      </c>
      <c r="H805" s="80">
        <v>0.0309</v>
      </c>
      <c r="I805" s="83">
        <v>1</v>
      </c>
      <c r="J805" s="79">
        <v>13</v>
      </c>
      <c r="K805" s="79"/>
      <c r="L805" s="80">
        <v>0</v>
      </c>
      <c r="M805" s="80"/>
      <c r="N805" s="86">
        <v>407</v>
      </c>
      <c r="O805" s="86"/>
      <c r="P805" s="79">
        <v>2</v>
      </c>
      <c r="Q805" s="87"/>
    </row>
    <row r="806" ht="15" spans="1:17">
      <c r="A806" s="89">
        <v>43413</v>
      </c>
      <c r="B806" s="78"/>
      <c r="C806" s="79">
        <v>7</v>
      </c>
      <c r="D806" s="88"/>
      <c r="E806" s="79">
        <v>38</v>
      </c>
      <c r="F806" s="80">
        <v>0.1134</v>
      </c>
      <c r="G806" s="79">
        <v>27</v>
      </c>
      <c r="H806" s="80">
        <v>0.1134</v>
      </c>
      <c r="I806" s="83">
        <v>1</v>
      </c>
      <c r="J806" s="79">
        <v>16</v>
      </c>
      <c r="K806" s="79"/>
      <c r="L806" s="80">
        <v>0.3333</v>
      </c>
      <c r="M806" s="80"/>
      <c r="N806" s="86">
        <v>390</v>
      </c>
      <c r="O806" s="86"/>
      <c r="P806" s="79">
        <v>5</v>
      </c>
      <c r="Q806" s="87"/>
    </row>
    <row r="807" ht="15" spans="1:17">
      <c r="A807" s="89">
        <v>43414</v>
      </c>
      <c r="B807" s="78"/>
      <c r="C807" s="79">
        <v>2</v>
      </c>
      <c r="D807" s="88"/>
      <c r="E807" s="79">
        <v>51</v>
      </c>
      <c r="F807" s="80">
        <v>0.1724</v>
      </c>
      <c r="G807" s="79">
        <v>48</v>
      </c>
      <c r="H807" s="80">
        <v>0.1724</v>
      </c>
      <c r="I807" s="83">
        <v>1</v>
      </c>
      <c r="J807" s="79">
        <v>23</v>
      </c>
      <c r="K807" s="79"/>
      <c r="L807" s="80">
        <v>0.1538</v>
      </c>
      <c r="M807" s="80"/>
      <c r="N807" s="86">
        <v>220</v>
      </c>
      <c r="O807" s="86"/>
      <c r="P807" s="79">
        <v>4</v>
      </c>
      <c r="Q807" s="87"/>
    </row>
    <row r="808" ht="15" spans="1:17">
      <c r="A808" s="89">
        <v>43414</v>
      </c>
      <c r="B808" s="78"/>
      <c r="C808" s="79">
        <v>5</v>
      </c>
      <c r="D808" s="88"/>
      <c r="E808" s="79">
        <v>59</v>
      </c>
      <c r="F808" s="80">
        <v>0.5287</v>
      </c>
      <c r="G808" s="79">
        <v>2</v>
      </c>
      <c r="H808" s="80">
        <v>0.5287</v>
      </c>
      <c r="I808" s="83">
        <v>1</v>
      </c>
      <c r="J808" s="79">
        <v>14</v>
      </c>
      <c r="K808" s="79"/>
      <c r="L808" s="80">
        <v>0.3438</v>
      </c>
      <c r="M808" s="80"/>
      <c r="N808" s="86">
        <v>276</v>
      </c>
      <c r="O808" s="86"/>
      <c r="P808" s="79">
        <v>4</v>
      </c>
      <c r="Q808" s="87"/>
    </row>
    <row r="809" ht="15" spans="1:17">
      <c r="A809" s="89">
        <v>43414</v>
      </c>
      <c r="B809" s="78"/>
      <c r="C809" s="79">
        <v>1</v>
      </c>
      <c r="D809" s="88"/>
      <c r="E809" s="79">
        <v>16</v>
      </c>
      <c r="F809" s="80">
        <v>0.1149</v>
      </c>
      <c r="G809" s="79">
        <v>89</v>
      </c>
      <c r="H809" s="80">
        <v>0.1149</v>
      </c>
      <c r="I809" s="83">
        <v>1</v>
      </c>
      <c r="J809" s="79">
        <v>6</v>
      </c>
      <c r="K809" s="79"/>
      <c r="L809" s="80">
        <v>0</v>
      </c>
      <c r="M809" s="80"/>
      <c r="N809" s="86">
        <v>439</v>
      </c>
      <c r="O809" s="86"/>
      <c r="P809" s="79">
        <v>13</v>
      </c>
      <c r="Q809" s="87"/>
    </row>
    <row r="810" ht="15" spans="1:17">
      <c r="A810" s="89">
        <v>43414</v>
      </c>
      <c r="B810" s="78"/>
      <c r="C810" s="79">
        <v>6</v>
      </c>
      <c r="D810" s="88"/>
      <c r="E810" s="79">
        <v>40</v>
      </c>
      <c r="F810" s="80">
        <v>0.046</v>
      </c>
      <c r="G810" s="79">
        <v>82</v>
      </c>
      <c r="H810" s="80">
        <v>0.046</v>
      </c>
      <c r="I810" s="83">
        <v>1</v>
      </c>
      <c r="J810" s="79">
        <v>21</v>
      </c>
      <c r="K810" s="79"/>
      <c r="L810" s="80">
        <v>0</v>
      </c>
      <c r="M810" s="80"/>
      <c r="N810" s="86">
        <v>239</v>
      </c>
      <c r="O810" s="86"/>
      <c r="P810" s="79">
        <v>12</v>
      </c>
      <c r="Q810" s="87"/>
    </row>
    <row r="811" ht="15" spans="1:17">
      <c r="A811" s="89">
        <v>43414</v>
      </c>
      <c r="B811" s="78"/>
      <c r="C811" s="79">
        <v>7</v>
      </c>
      <c r="D811" s="88"/>
      <c r="E811" s="79">
        <v>66</v>
      </c>
      <c r="F811" s="80">
        <v>0.1379</v>
      </c>
      <c r="G811" s="79">
        <v>66</v>
      </c>
      <c r="H811" s="80">
        <v>0.1379</v>
      </c>
      <c r="I811" s="83">
        <v>1</v>
      </c>
      <c r="J811" s="79">
        <v>3</v>
      </c>
      <c r="K811" s="79"/>
      <c r="L811" s="80">
        <v>0.3333</v>
      </c>
      <c r="M811" s="80"/>
      <c r="N811" s="86">
        <v>62</v>
      </c>
      <c r="O811" s="86"/>
      <c r="P811" s="79">
        <v>3</v>
      </c>
      <c r="Q811" s="87"/>
    </row>
    <row r="812" ht="15" spans="1:17">
      <c r="A812" s="89">
        <v>43415</v>
      </c>
      <c r="B812" s="78"/>
      <c r="C812" s="79">
        <v>2</v>
      </c>
      <c r="D812" s="88"/>
      <c r="E812" s="79">
        <v>16</v>
      </c>
      <c r="F812" s="80">
        <v>0.0872</v>
      </c>
      <c r="G812" s="79">
        <v>37</v>
      </c>
      <c r="H812" s="80">
        <v>0.0872</v>
      </c>
      <c r="I812" s="83">
        <v>1</v>
      </c>
      <c r="J812" s="79">
        <v>11</v>
      </c>
      <c r="K812" s="79"/>
      <c r="L812" s="80">
        <v>0</v>
      </c>
      <c r="M812" s="80"/>
      <c r="N812" s="86">
        <v>237</v>
      </c>
      <c r="O812" s="86"/>
      <c r="P812" s="79">
        <v>17</v>
      </c>
      <c r="Q812" s="87"/>
    </row>
    <row r="813" ht="15" spans="1:17">
      <c r="A813" s="89">
        <v>43415</v>
      </c>
      <c r="B813" s="78"/>
      <c r="C813" s="79">
        <v>5</v>
      </c>
      <c r="D813" s="88"/>
      <c r="E813" s="79">
        <v>43</v>
      </c>
      <c r="F813" s="80">
        <v>0.604</v>
      </c>
      <c r="G813" s="79">
        <v>48</v>
      </c>
      <c r="H813" s="80">
        <v>0.604</v>
      </c>
      <c r="I813" s="83">
        <v>0.98</v>
      </c>
      <c r="J813" s="79">
        <v>9</v>
      </c>
      <c r="K813" s="79"/>
      <c r="L813" s="80">
        <v>0.2833</v>
      </c>
      <c r="M813" s="80"/>
      <c r="N813" s="86">
        <v>133</v>
      </c>
      <c r="O813" s="86"/>
      <c r="P813" s="79">
        <v>1</v>
      </c>
      <c r="Q813" s="87"/>
    </row>
    <row r="814" ht="15" spans="1:17">
      <c r="A814" s="89">
        <v>43415</v>
      </c>
      <c r="B814" s="78"/>
      <c r="C814" s="79">
        <v>1</v>
      </c>
      <c r="D814" s="88"/>
      <c r="E814" s="79">
        <v>65</v>
      </c>
      <c r="F814" s="80">
        <v>0.0201</v>
      </c>
      <c r="G814" s="79">
        <v>24</v>
      </c>
      <c r="H814" s="80">
        <v>0.0201</v>
      </c>
      <c r="I814" s="83">
        <v>1</v>
      </c>
      <c r="J814" s="79">
        <v>12</v>
      </c>
      <c r="K814" s="79"/>
      <c r="L814" s="80">
        <v>0.5</v>
      </c>
      <c r="M814" s="80"/>
      <c r="N814" s="86">
        <v>351</v>
      </c>
      <c r="O814" s="86"/>
      <c r="P814" s="79">
        <v>10</v>
      </c>
      <c r="Q814" s="87"/>
    </row>
    <row r="815" ht="15" spans="1:17">
      <c r="A815" s="89">
        <v>43415</v>
      </c>
      <c r="B815" s="78"/>
      <c r="C815" s="79">
        <v>6</v>
      </c>
      <c r="D815" s="88"/>
      <c r="E815" s="79">
        <v>2</v>
      </c>
      <c r="F815" s="80">
        <v>0.1208</v>
      </c>
      <c r="G815" s="79">
        <v>84</v>
      </c>
      <c r="H815" s="80">
        <v>0.1208</v>
      </c>
      <c r="I815" s="83">
        <v>1</v>
      </c>
      <c r="J815" s="79">
        <v>15</v>
      </c>
      <c r="K815" s="79"/>
      <c r="L815" s="80">
        <v>0</v>
      </c>
      <c r="M815" s="80"/>
      <c r="N815" s="86">
        <v>295</v>
      </c>
      <c r="O815" s="86"/>
      <c r="P815" s="79">
        <v>2</v>
      </c>
      <c r="Q815" s="87"/>
    </row>
    <row r="816" ht="15" spans="1:17">
      <c r="A816" s="89">
        <v>43415</v>
      </c>
      <c r="B816" s="78"/>
      <c r="C816" s="79">
        <v>7</v>
      </c>
      <c r="D816" s="88"/>
      <c r="E816" s="79">
        <v>55</v>
      </c>
      <c r="F816" s="80">
        <v>0.1678</v>
      </c>
      <c r="G816" s="79">
        <v>76</v>
      </c>
      <c r="H816" s="80">
        <v>0.1678</v>
      </c>
      <c r="I816" s="83">
        <v>1</v>
      </c>
      <c r="J816" s="79">
        <v>20</v>
      </c>
      <c r="K816" s="79"/>
      <c r="L816" s="80">
        <v>0.1429</v>
      </c>
      <c r="M816" s="80"/>
      <c r="N816" s="86">
        <v>282</v>
      </c>
      <c r="O816" s="86"/>
      <c r="P816" s="79">
        <v>20</v>
      </c>
      <c r="Q816" s="87"/>
    </row>
    <row r="817" ht="15" spans="1:17">
      <c r="A817" s="89">
        <v>43416</v>
      </c>
      <c r="B817" s="78"/>
      <c r="C817" s="79">
        <v>2</v>
      </c>
      <c r="D817" s="88"/>
      <c r="E817" s="79">
        <v>16</v>
      </c>
      <c r="F817" s="80">
        <v>0.0647</v>
      </c>
      <c r="G817" s="79">
        <v>30</v>
      </c>
      <c r="H817" s="80">
        <v>0.0647</v>
      </c>
      <c r="I817" s="83">
        <v>1</v>
      </c>
      <c r="J817" s="79">
        <v>7</v>
      </c>
      <c r="K817" s="79"/>
      <c r="L817" s="80">
        <v>0.1667</v>
      </c>
      <c r="M817" s="80"/>
      <c r="N817" s="86">
        <v>203</v>
      </c>
      <c r="O817" s="86"/>
      <c r="P817" s="79">
        <v>1</v>
      </c>
      <c r="Q817" s="87"/>
    </row>
    <row r="818" ht="15" spans="1:17">
      <c r="A818" s="89">
        <v>43416</v>
      </c>
      <c r="B818" s="78"/>
      <c r="C818" s="79">
        <v>5</v>
      </c>
      <c r="D818" s="88"/>
      <c r="E818" s="79">
        <v>41</v>
      </c>
      <c r="F818" s="80">
        <v>0.6115</v>
      </c>
      <c r="G818" s="79">
        <v>39</v>
      </c>
      <c r="H818" s="80">
        <v>0.6115</v>
      </c>
      <c r="I818" s="83">
        <v>1</v>
      </c>
      <c r="J818" s="79">
        <v>24</v>
      </c>
      <c r="K818" s="79"/>
      <c r="L818" s="80">
        <v>0.1639</v>
      </c>
      <c r="M818" s="80"/>
      <c r="N818" s="86">
        <v>159</v>
      </c>
      <c r="O818" s="86"/>
      <c r="P818" s="79">
        <v>5</v>
      </c>
      <c r="Q818" s="87"/>
    </row>
    <row r="819" ht="15" spans="1:17">
      <c r="A819" s="89">
        <v>43416</v>
      </c>
      <c r="B819" s="78"/>
      <c r="C819" s="79">
        <v>1</v>
      </c>
      <c r="D819" s="88"/>
      <c r="E819" s="79">
        <v>84</v>
      </c>
      <c r="F819" s="80">
        <v>0.0288</v>
      </c>
      <c r="G819" s="79">
        <v>70</v>
      </c>
      <c r="H819" s="80">
        <v>0.0288</v>
      </c>
      <c r="I819" s="83">
        <v>1</v>
      </c>
      <c r="J819" s="79">
        <v>22</v>
      </c>
      <c r="K819" s="79"/>
      <c r="L819" s="80">
        <v>0</v>
      </c>
      <c r="M819" s="80"/>
      <c r="N819" s="86">
        <v>147</v>
      </c>
      <c r="O819" s="86"/>
      <c r="P819" s="79">
        <v>6</v>
      </c>
      <c r="Q819" s="87"/>
    </row>
    <row r="820" ht="15" spans="1:17">
      <c r="A820" s="89">
        <v>43416</v>
      </c>
      <c r="B820" s="78"/>
      <c r="C820" s="79">
        <v>6</v>
      </c>
      <c r="D820" s="88"/>
      <c r="E820" s="79">
        <v>62</v>
      </c>
      <c r="F820" s="80">
        <v>0.1583</v>
      </c>
      <c r="G820" s="79">
        <v>80</v>
      </c>
      <c r="H820" s="80">
        <v>0.1583</v>
      </c>
      <c r="I820" s="83">
        <v>1</v>
      </c>
      <c r="J820" s="79">
        <v>5</v>
      </c>
      <c r="K820" s="79"/>
      <c r="L820" s="80">
        <v>0.125</v>
      </c>
      <c r="M820" s="80"/>
      <c r="N820" s="86">
        <v>366</v>
      </c>
      <c r="O820" s="86"/>
      <c r="P820" s="79">
        <v>18</v>
      </c>
      <c r="Q820" s="87"/>
    </row>
    <row r="821" ht="15" spans="1:17">
      <c r="A821" s="89">
        <v>43416</v>
      </c>
      <c r="B821" s="78"/>
      <c r="C821" s="79">
        <v>7</v>
      </c>
      <c r="D821" s="88"/>
      <c r="E821" s="79">
        <v>67</v>
      </c>
      <c r="F821" s="80">
        <v>0.1367</v>
      </c>
      <c r="G821" s="79">
        <v>85</v>
      </c>
      <c r="H821" s="80">
        <v>0.1367</v>
      </c>
      <c r="I821" s="83">
        <v>1</v>
      </c>
      <c r="J821" s="79">
        <v>1</v>
      </c>
      <c r="K821" s="79"/>
      <c r="L821" s="80">
        <v>0.2222</v>
      </c>
      <c r="M821" s="80"/>
      <c r="N821" s="86">
        <v>203</v>
      </c>
      <c r="O821" s="86"/>
      <c r="P821" s="79">
        <v>5</v>
      </c>
      <c r="Q821" s="87"/>
    </row>
    <row r="822" ht="15" spans="1:17">
      <c r="A822" s="89">
        <v>43417</v>
      </c>
      <c r="B822" s="78"/>
      <c r="C822" s="79">
        <v>2</v>
      </c>
      <c r="D822" s="88"/>
      <c r="E822" s="79">
        <v>67</v>
      </c>
      <c r="F822" s="80">
        <v>0.0846</v>
      </c>
      <c r="G822" s="79">
        <v>87</v>
      </c>
      <c r="H822" s="80">
        <v>0.0846</v>
      </c>
      <c r="I822" s="83">
        <v>1</v>
      </c>
      <c r="J822" s="79">
        <v>20</v>
      </c>
      <c r="K822" s="79"/>
      <c r="L822" s="80">
        <v>0</v>
      </c>
      <c r="M822" s="80"/>
      <c r="N822" s="86">
        <v>278</v>
      </c>
      <c r="O822" s="86"/>
      <c r="P822" s="79">
        <v>14</v>
      </c>
      <c r="Q822" s="87"/>
    </row>
    <row r="823" ht="15" spans="1:17">
      <c r="A823" s="89">
        <v>43417</v>
      </c>
      <c r="B823" s="78"/>
      <c r="C823" s="79">
        <v>5</v>
      </c>
      <c r="D823" s="88"/>
      <c r="E823" s="79">
        <v>84</v>
      </c>
      <c r="F823" s="80">
        <v>0.5615</v>
      </c>
      <c r="G823" s="79">
        <v>38</v>
      </c>
      <c r="H823" s="80">
        <v>0.5615</v>
      </c>
      <c r="I823" s="83">
        <v>0.97</v>
      </c>
      <c r="J823" s="79">
        <v>8</v>
      </c>
      <c r="K823" s="79"/>
      <c r="L823" s="80">
        <v>0.2115</v>
      </c>
      <c r="M823" s="80"/>
      <c r="N823" s="86">
        <v>449</v>
      </c>
      <c r="O823" s="86"/>
      <c r="P823" s="79">
        <v>5</v>
      </c>
      <c r="Q823" s="87"/>
    </row>
    <row r="824" ht="15" spans="1:17">
      <c r="A824" s="89">
        <v>43417</v>
      </c>
      <c r="B824" s="78"/>
      <c r="C824" s="79">
        <v>1</v>
      </c>
      <c r="D824" s="88"/>
      <c r="E824" s="79">
        <v>17</v>
      </c>
      <c r="F824" s="80">
        <v>0.0846</v>
      </c>
      <c r="G824" s="79">
        <v>5</v>
      </c>
      <c r="H824" s="80">
        <v>0.0846</v>
      </c>
      <c r="I824" s="83">
        <v>1</v>
      </c>
      <c r="J824" s="79">
        <v>7</v>
      </c>
      <c r="K824" s="79"/>
      <c r="L824" s="80">
        <v>0</v>
      </c>
      <c r="M824" s="80"/>
      <c r="N824" s="86">
        <v>145</v>
      </c>
      <c r="O824" s="86"/>
      <c r="P824" s="79">
        <v>12</v>
      </c>
      <c r="Q824" s="87"/>
    </row>
    <row r="825" ht="15" spans="1:17">
      <c r="A825" s="89">
        <v>43417</v>
      </c>
      <c r="B825" s="78"/>
      <c r="C825" s="79">
        <v>6</v>
      </c>
      <c r="D825" s="88"/>
      <c r="E825" s="79">
        <v>43</v>
      </c>
      <c r="F825" s="80">
        <v>0.1154</v>
      </c>
      <c r="G825" s="79">
        <v>29</v>
      </c>
      <c r="H825" s="80">
        <v>0.1154</v>
      </c>
      <c r="I825" s="83">
        <v>1</v>
      </c>
      <c r="J825" s="79">
        <v>6</v>
      </c>
      <c r="K825" s="79"/>
      <c r="L825" s="80">
        <v>0</v>
      </c>
      <c r="M825" s="80"/>
      <c r="N825" s="86">
        <v>62</v>
      </c>
      <c r="O825" s="86"/>
      <c r="P825" s="79">
        <v>8</v>
      </c>
      <c r="Q825" s="87"/>
    </row>
    <row r="826" ht="15" spans="1:17">
      <c r="A826" s="89">
        <v>43417</v>
      </c>
      <c r="B826" s="78"/>
      <c r="C826" s="79">
        <v>7</v>
      </c>
      <c r="D826" s="88"/>
      <c r="E826" s="79">
        <v>30</v>
      </c>
      <c r="F826" s="80">
        <v>0.1538</v>
      </c>
      <c r="G826" s="79">
        <v>56</v>
      </c>
      <c r="H826" s="80">
        <v>0.1538</v>
      </c>
      <c r="I826" s="83">
        <v>1</v>
      </c>
      <c r="J826" s="79">
        <v>15</v>
      </c>
      <c r="K826" s="79"/>
      <c r="L826" s="80">
        <v>0.0714</v>
      </c>
      <c r="M826" s="80"/>
      <c r="N826" s="86">
        <v>302</v>
      </c>
      <c r="O826" s="86"/>
      <c r="P826" s="79">
        <v>19</v>
      </c>
      <c r="Q826" s="87"/>
    </row>
    <row r="827" ht="15" spans="1:17">
      <c r="A827" s="89">
        <v>43418</v>
      </c>
      <c r="B827" s="78"/>
      <c r="C827" s="79">
        <v>2</v>
      </c>
      <c r="D827" s="88"/>
      <c r="E827" s="79">
        <v>25</v>
      </c>
      <c r="F827" s="80">
        <v>0.0606</v>
      </c>
      <c r="G827" s="79">
        <v>15</v>
      </c>
      <c r="H827" s="80">
        <v>0.0606</v>
      </c>
      <c r="I827" s="83">
        <v>1</v>
      </c>
      <c r="J827" s="79">
        <v>4</v>
      </c>
      <c r="K827" s="79"/>
      <c r="L827" s="80">
        <v>0</v>
      </c>
      <c r="M827" s="80"/>
      <c r="N827" s="86">
        <v>423</v>
      </c>
      <c r="O827" s="86"/>
      <c r="P827" s="79">
        <v>14</v>
      </c>
      <c r="Q827" s="87"/>
    </row>
    <row r="828" ht="15" spans="1:17">
      <c r="A828" s="89">
        <v>43418</v>
      </c>
      <c r="B828" s="78"/>
      <c r="C828" s="79">
        <v>5</v>
      </c>
      <c r="D828" s="88"/>
      <c r="E828" s="79">
        <v>87</v>
      </c>
      <c r="F828" s="80">
        <v>0.5758</v>
      </c>
      <c r="G828" s="79">
        <v>0</v>
      </c>
      <c r="H828" s="80">
        <v>0.5758</v>
      </c>
      <c r="I828" s="83">
        <v>1</v>
      </c>
      <c r="J828" s="79">
        <v>14</v>
      </c>
      <c r="K828" s="79"/>
      <c r="L828" s="80">
        <v>0.2449</v>
      </c>
      <c r="M828" s="80"/>
      <c r="N828" s="86">
        <v>435</v>
      </c>
      <c r="O828" s="86"/>
      <c r="P828" s="79">
        <v>11</v>
      </c>
      <c r="Q828" s="87"/>
    </row>
    <row r="829" ht="15" spans="1:17">
      <c r="A829" s="89">
        <v>43418</v>
      </c>
      <c r="B829" s="78"/>
      <c r="C829" s="79">
        <v>1</v>
      </c>
      <c r="D829" s="88"/>
      <c r="E829" s="79">
        <v>79</v>
      </c>
      <c r="F829" s="80">
        <v>0.0606</v>
      </c>
      <c r="G829" s="79">
        <v>9</v>
      </c>
      <c r="H829" s="80">
        <v>0.0606</v>
      </c>
      <c r="I829" s="83">
        <v>1</v>
      </c>
      <c r="J829" s="79">
        <v>8</v>
      </c>
      <c r="K829" s="79"/>
      <c r="L829" s="80">
        <v>0.25</v>
      </c>
      <c r="M829" s="80"/>
      <c r="N829" s="86">
        <v>265</v>
      </c>
      <c r="O829" s="86"/>
      <c r="P829" s="79">
        <v>2</v>
      </c>
      <c r="Q829" s="87"/>
    </row>
    <row r="830" ht="15" spans="1:17">
      <c r="A830" s="89">
        <v>43418</v>
      </c>
      <c r="B830" s="78"/>
      <c r="C830" s="79">
        <v>6</v>
      </c>
      <c r="D830" s="88"/>
      <c r="E830" s="79">
        <v>64</v>
      </c>
      <c r="F830" s="80">
        <v>0.101</v>
      </c>
      <c r="G830" s="79">
        <v>5</v>
      </c>
      <c r="H830" s="80">
        <v>0.101</v>
      </c>
      <c r="I830" s="83">
        <v>1</v>
      </c>
      <c r="J830" s="79">
        <v>1</v>
      </c>
      <c r="K830" s="79"/>
      <c r="L830" s="80">
        <v>0</v>
      </c>
      <c r="M830" s="80"/>
      <c r="N830" s="86">
        <v>280</v>
      </c>
      <c r="O830" s="86"/>
      <c r="P830" s="79">
        <v>13</v>
      </c>
      <c r="Q830" s="87"/>
    </row>
    <row r="831" ht="15" spans="1:17">
      <c r="A831" s="89">
        <v>43418</v>
      </c>
      <c r="B831" s="78"/>
      <c r="C831" s="79">
        <v>7</v>
      </c>
      <c r="D831" s="88"/>
      <c r="E831" s="79">
        <v>27</v>
      </c>
      <c r="F831" s="80">
        <v>0.202</v>
      </c>
      <c r="G831" s="79">
        <v>42</v>
      </c>
      <c r="H831" s="80">
        <v>0.202</v>
      </c>
      <c r="I831" s="83">
        <v>1</v>
      </c>
      <c r="J831" s="79">
        <v>1</v>
      </c>
      <c r="K831" s="79"/>
      <c r="L831" s="80">
        <v>0.2353</v>
      </c>
      <c r="M831" s="80"/>
      <c r="N831" s="86">
        <v>142</v>
      </c>
      <c r="O831" s="86"/>
      <c r="P831" s="79">
        <v>18</v>
      </c>
      <c r="Q831" s="87"/>
    </row>
    <row r="832" ht="15" spans="1:17">
      <c r="A832" s="89">
        <v>43419</v>
      </c>
      <c r="B832" s="78"/>
      <c r="C832" s="79">
        <v>4</v>
      </c>
      <c r="D832" s="88"/>
      <c r="E832" s="79">
        <v>90</v>
      </c>
      <c r="F832" s="80">
        <v>0.0078</v>
      </c>
      <c r="G832" s="79">
        <v>80</v>
      </c>
      <c r="H832" s="80">
        <v>0.0078</v>
      </c>
      <c r="I832" s="83">
        <v>1</v>
      </c>
      <c r="J832" s="79">
        <v>15</v>
      </c>
      <c r="K832" s="79"/>
      <c r="L832" s="80">
        <v>0</v>
      </c>
      <c r="M832" s="80"/>
      <c r="N832" s="86">
        <v>72</v>
      </c>
      <c r="O832" s="86"/>
      <c r="P832" s="79">
        <v>8</v>
      </c>
      <c r="Q832" s="87"/>
    </row>
    <row r="833" ht="15" spans="1:17">
      <c r="A833" s="89">
        <v>43419</v>
      </c>
      <c r="B833" s="78"/>
      <c r="C833" s="79">
        <v>2</v>
      </c>
      <c r="D833" s="88"/>
      <c r="E833" s="79">
        <v>93</v>
      </c>
      <c r="F833" s="80">
        <v>0.0775</v>
      </c>
      <c r="G833" s="79">
        <v>46</v>
      </c>
      <c r="H833" s="80">
        <v>0.0775</v>
      </c>
      <c r="I833" s="83">
        <v>1</v>
      </c>
      <c r="J833" s="79">
        <v>7</v>
      </c>
      <c r="K833" s="79"/>
      <c r="L833" s="80">
        <v>0</v>
      </c>
      <c r="M833" s="80"/>
      <c r="N833" s="86">
        <v>301</v>
      </c>
      <c r="O833" s="86"/>
      <c r="P833" s="79">
        <v>19</v>
      </c>
      <c r="Q833" s="87"/>
    </row>
    <row r="834" ht="15" spans="1:17">
      <c r="A834" s="89">
        <v>43419</v>
      </c>
      <c r="B834" s="78"/>
      <c r="C834" s="79">
        <v>5</v>
      </c>
      <c r="D834" s="88"/>
      <c r="E834" s="79">
        <v>98</v>
      </c>
      <c r="F834" s="80">
        <v>0.4806</v>
      </c>
      <c r="G834" s="79">
        <v>66</v>
      </c>
      <c r="H834" s="80">
        <v>0.4806</v>
      </c>
      <c r="I834" s="83">
        <v>1</v>
      </c>
      <c r="J834" s="79">
        <v>21</v>
      </c>
      <c r="K834" s="79"/>
      <c r="L834" s="80">
        <v>0.1522</v>
      </c>
      <c r="M834" s="80"/>
      <c r="N834" s="86">
        <v>455</v>
      </c>
      <c r="O834" s="86"/>
      <c r="P834" s="79">
        <v>18</v>
      </c>
      <c r="Q834" s="87"/>
    </row>
    <row r="835" ht="15" spans="1:17">
      <c r="A835" s="89">
        <v>43419</v>
      </c>
      <c r="B835" s="78"/>
      <c r="C835" s="79">
        <v>1</v>
      </c>
      <c r="D835" s="88"/>
      <c r="E835" s="79">
        <v>47</v>
      </c>
      <c r="F835" s="80">
        <v>0.1085</v>
      </c>
      <c r="G835" s="79">
        <v>1</v>
      </c>
      <c r="H835" s="80">
        <v>0.1085</v>
      </c>
      <c r="I835" s="83">
        <v>1</v>
      </c>
      <c r="J835" s="79">
        <v>11</v>
      </c>
      <c r="K835" s="79"/>
      <c r="L835" s="80">
        <v>0</v>
      </c>
      <c r="M835" s="80"/>
      <c r="N835" s="86">
        <v>284</v>
      </c>
      <c r="O835" s="86"/>
      <c r="P835" s="79">
        <v>0</v>
      </c>
      <c r="Q835" s="87"/>
    </row>
    <row r="836" ht="15" spans="1:17">
      <c r="A836" s="89">
        <v>43419</v>
      </c>
      <c r="B836" s="78"/>
      <c r="C836" s="79">
        <v>6</v>
      </c>
      <c r="D836" s="88"/>
      <c r="E836" s="79">
        <v>93</v>
      </c>
      <c r="F836" s="80">
        <v>0.124</v>
      </c>
      <c r="G836" s="79">
        <v>33</v>
      </c>
      <c r="H836" s="80">
        <v>0.124</v>
      </c>
      <c r="I836" s="83">
        <v>1</v>
      </c>
      <c r="J836" s="79">
        <v>16</v>
      </c>
      <c r="K836" s="79"/>
      <c r="L836" s="80">
        <v>0.1333</v>
      </c>
      <c r="M836" s="80"/>
      <c r="N836" s="86">
        <v>75</v>
      </c>
      <c r="O836" s="86"/>
      <c r="P836" s="79">
        <v>4</v>
      </c>
      <c r="Q836" s="87"/>
    </row>
    <row r="837" ht="15" spans="1:17">
      <c r="A837" s="89">
        <v>43419</v>
      </c>
      <c r="B837" s="78"/>
      <c r="C837" s="79">
        <v>7</v>
      </c>
      <c r="D837" s="88"/>
      <c r="E837" s="79">
        <v>34</v>
      </c>
      <c r="F837" s="80">
        <v>0.1705</v>
      </c>
      <c r="G837" s="79">
        <v>53</v>
      </c>
      <c r="H837" s="80">
        <v>0.1705</v>
      </c>
      <c r="I837" s="83">
        <v>1</v>
      </c>
      <c r="J837" s="79">
        <v>25</v>
      </c>
      <c r="K837" s="79"/>
      <c r="L837" s="80">
        <v>0.2308</v>
      </c>
      <c r="M837" s="80"/>
      <c r="N837" s="86">
        <v>333</v>
      </c>
      <c r="O837" s="86"/>
      <c r="P837" s="79">
        <v>10</v>
      </c>
      <c r="Q837" s="87"/>
    </row>
    <row r="838" ht="15" spans="1:17">
      <c r="A838" s="89">
        <v>43419</v>
      </c>
      <c r="B838" s="78"/>
      <c r="C838" s="79">
        <v>9</v>
      </c>
      <c r="D838" s="88"/>
      <c r="E838" s="79">
        <v>78</v>
      </c>
      <c r="F838" s="80">
        <v>0.031</v>
      </c>
      <c r="G838" s="79">
        <v>73</v>
      </c>
      <c r="H838" s="80">
        <v>0.031</v>
      </c>
      <c r="I838" s="83">
        <v>1</v>
      </c>
      <c r="J838" s="79">
        <v>4</v>
      </c>
      <c r="K838" s="79"/>
      <c r="L838" s="80">
        <v>0</v>
      </c>
      <c r="M838" s="80"/>
      <c r="N838" s="86">
        <v>152</v>
      </c>
      <c r="O838" s="86"/>
      <c r="P838" s="79">
        <v>9</v>
      </c>
      <c r="Q838" s="87"/>
    </row>
    <row r="839" ht="15" spans="1:17">
      <c r="A839" s="89">
        <v>43420</v>
      </c>
      <c r="B839" s="78"/>
      <c r="C839" s="79">
        <v>5</v>
      </c>
      <c r="D839" s="88"/>
      <c r="E839" s="79">
        <v>31</v>
      </c>
      <c r="F839" s="80">
        <v>0.4309</v>
      </c>
      <c r="G839" s="79">
        <v>29</v>
      </c>
      <c r="H839" s="80">
        <v>0.4309</v>
      </c>
      <c r="I839" s="83">
        <v>1</v>
      </c>
      <c r="J839" s="79">
        <v>17</v>
      </c>
      <c r="K839" s="79"/>
      <c r="L839" s="80">
        <v>0.2381</v>
      </c>
      <c r="M839" s="80"/>
      <c r="N839" s="86">
        <v>262</v>
      </c>
      <c r="O839" s="86"/>
      <c r="P839" s="79">
        <v>1</v>
      </c>
      <c r="Q839" s="87"/>
    </row>
    <row r="840" ht="15" spans="1:17">
      <c r="A840" s="89">
        <v>43420</v>
      </c>
      <c r="B840" s="78"/>
      <c r="C840" s="79">
        <v>4</v>
      </c>
      <c r="D840" s="88"/>
      <c r="E840" s="79">
        <v>27</v>
      </c>
      <c r="F840" s="80">
        <v>0.0325</v>
      </c>
      <c r="G840" s="79">
        <v>46</v>
      </c>
      <c r="H840" s="80">
        <v>0.0325</v>
      </c>
      <c r="I840" s="83">
        <v>1</v>
      </c>
      <c r="J840" s="79">
        <v>4</v>
      </c>
      <c r="K840" s="79"/>
      <c r="L840" s="80">
        <v>0</v>
      </c>
      <c r="M840" s="80"/>
      <c r="N840" s="86">
        <v>412</v>
      </c>
      <c r="O840" s="86"/>
      <c r="P840" s="79">
        <v>18</v>
      </c>
      <c r="Q840" s="87"/>
    </row>
    <row r="841" ht="15" spans="1:17">
      <c r="A841" s="89">
        <v>43420</v>
      </c>
      <c r="B841" s="78"/>
      <c r="C841" s="79">
        <v>2</v>
      </c>
      <c r="D841" s="88"/>
      <c r="E841" s="79">
        <v>38</v>
      </c>
      <c r="F841" s="80">
        <v>0.0732</v>
      </c>
      <c r="G841" s="79">
        <v>25</v>
      </c>
      <c r="H841" s="80">
        <v>0.0732</v>
      </c>
      <c r="I841" s="83">
        <v>1</v>
      </c>
      <c r="J841" s="79">
        <v>18</v>
      </c>
      <c r="K841" s="79"/>
      <c r="L841" s="80">
        <v>0</v>
      </c>
      <c r="M841" s="80"/>
      <c r="N841" s="86">
        <v>484</v>
      </c>
      <c r="O841" s="86"/>
      <c r="P841" s="79">
        <v>19</v>
      </c>
      <c r="Q841" s="87"/>
    </row>
    <row r="842" ht="15" spans="1:17">
      <c r="A842" s="89">
        <v>43420</v>
      </c>
      <c r="B842" s="78"/>
      <c r="C842" s="79">
        <v>3</v>
      </c>
      <c r="D842" s="88"/>
      <c r="E842" s="79">
        <v>100</v>
      </c>
      <c r="F842" s="80">
        <v>0.0081</v>
      </c>
      <c r="G842" s="79">
        <v>6</v>
      </c>
      <c r="H842" s="80">
        <v>0.0081</v>
      </c>
      <c r="I842" s="83">
        <v>1</v>
      </c>
      <c r="J842" s="79">
        <v>19</v>
      </c>
      <c r="K842" s="79"/>
      <c r="L842" s="80">
        <v>0</v>
      </c>
      <c r="M842" s="80"/>
      <c r="N842" s="86">
        <v>320</v>
      </c>
      <c r="O842" s="86"/>
      <c r="P842" s="79">
        <v>16</v>
      </c>
      <c r="Q842" s="87"/>
    </row>
    <row r="843" ht="15" spans="1:17">
      <c r="A843" s="89">
        <v>43420</v>
      </c>
      <c r="B843" s="78"/>
      <c r="C843" s="79">
        <v>1</v>
      </c>
      <c r="D843" s="88"/>
      <c r="E843" s="79">
        <v>46</v>
      </c>
      <c r="F843" s="80">
        <v>0.0244</v>
      </c>
      <c r="G843" s="79">
        <v>91</v>
      </c>
      <c r="H843" s="80">
        <v>0.0244</v>
      </c>
      <c r="I843" s="83">
        <v>1</v>
      </c>
      <c r="J843" s="79">
        <v>20</v>
      </c>
      <c r="K843" s="79"/>
      <c r="L843" s="80">
        <v>0</v>
      </c>
      <c r="M843" s="80"/>
      <c r="N843" s="86">
        <v>419</v>
      </c>
      <c r="O843" s="86"/>
      <c r="P843" s="79">
        <v>8</v>
      </c>
      <c r="Q843" s="87"/>
    </row>
    <row r="844" ht="15" spans="1:17">
      <c r="A844" s="89">
        <v>43420</v>
      </c>
      <c r="B844" s="78"/>
      <c r="C844" s="79">
        <v>6</v>
      </c>
      <c r="D844" s="88"/>
      <c r="E844" s="79">
        <v>18</v>
      </c>
      <c r="F844" s="80">
        <v>0.1951</v>
      </c>
      <c r="G844" s="79">
        <v>82</v>
      </c>
      <c r="H844" s="80">
        <v>0.1951</v>
      </c>
      <c r="I844" s="83">
        <v>1</v>
      </c>
      <c r="J844" s="79">
        <v>29</v>
      </c>
      <c r="K844" s="79"/>
      <c r="L844" s="80">
        <v>0.25</v>
      </c>
      <c r="M844" s="80"/>
      <c r="N844" s="86">
        <v>55</v>
      </c>
      <c r="O844" s="86"/>
      <c r="P844" s="79">
        <v>2</v>
      </c>
      <c r="Q844" s="87"/>
    </row>
    <row r="845" ht="15" spans="1:17">
      <c r="A845" s="89">
        <v>43420</v>
      </c>
      <c r="B845" s="78"/>
      <c r="C845" s="79">
        <v>7</v>
      </c>
      <c r="D845" s="88"/>
      <c r="E845" s="79">
        <v>30</v>
      </c>
      <c r="F845" s="80">
        <v>0.2276</v>
      </c>
      <c r="G845" s="79">
        <v>58</v>
      </c>
      <c r="H845" s="80">
        <v>0.2276</v>
      </c>
      <c r="I845" s="83">
        <v>1</v>
      </c>
      <c r="J845" s="79">
        <v>7</v>
      </c>
      <c r="K845" s="79"/>
      <c r="L845" s="80">
        <v>0.1429</v>
      </c>
      <c r="M845" s="80"/>
      <c r="N845" s="86">
        <v>434</v>
      </c>
      <c r="O845" s="86"/>
      <c r="P845" s="79">
        <v>8</v>
      </c>
      <c r="Q845" s="87"/>
    </row>
    <row r="846" ht="15" spans="1:17">
      <c r="A846" s="89">
        <v>43420</v>
      </c>
      <c r="B846" s="78"/>
      <c r="C846" s="79">
        <v>9</v>
      </c>
      <c r="D846" s="88"/>
      <c r="E846" s="79">
        <v>8</v>
      </c>
      <c r="F846" s="80">
        <v>0.0081</v>
      </c>
      <c r="G846" s="79">
        <v>88</v>
      </c>
      <c r="H846" s="80">
        <v>0.0081</v>
      </c>
      <c r="I846" s="83">
        <v>1</v>
      </c>
      <c r="J846" s="79">
        <v>16</v>
      </c>
      <c r="K846" s="79"/>
      <c r="L846" s="80">
        <v>0</v>
      </c>
      <c r="M846" s="80"/>
      <c r="N846" s="86">
        <v>380</v>
      </c>
      <c r="O846" s="86"/>
      <c r="P846" s="79">
        <v>1</v>
      </c>
      <c r="Q846" s="87"/>
    </row>
    <row r="847" ht="15" spans="1:17">
      <c r="A847" s="89">
        <v>43421</v>
      </c>
      <c r="B847" s="78"/>
      <c r="C847" s="79">
        <v>4</v>
      </c>
      <c r="D847" s="88"/>
      <c r="E847" s="79">
        <v>2</v>
      </c>
      <c r="F847" s="80">
        <v>0.0652</v>
      </c>
      <c r="G847" s="79">
        <v>50</v>
      </c>
      <c r="H847" s="80">
        <v>0.0652</v>
      </c>
      <c r="I847" s="83">
        <v>1</v>
      </c>
      <c r="J847" s="79">
        <v>16</v>
      </c>
      <c r="K847" s="79"/>
      <c r="L847" s="80">
        <v>0</v>
      </c>
      <c r="M847" s="80"/>
      <c r="N847" s="86">
        <v>435</v>
      </c>
      <c r="O847" s="86"/>
      <c r="P847" s="79">
        <v>20</v>
      </c>
      <c r="Q847" s="87"/>
    </row>
    <row r="848" ht="15" spans="1:17">
      <c r="A848" s="89">
        <v>43421</v>
      </c>
      <c r="B848" s="78"/>
      <c r="C848" s="79">
        <v>2</v>
      </c>
      <c r="D848" s="88"/>
      <c r="E848" s="79">
        <v>86</v>
      </c>
      <c r="F848" s="80">
        <v>0.0109</v>
      </c>
      <c r="G848" s="79">
        <v>72</v>
      </c>
      <c r="H848" s="80">
        <v>0.0109</v>
      </c>
      <c r="I848" s="83">
        <v>1</v>
      </c>
      <c r="J848" s="79">
        <v>2</v>
      </c>
      <c r="K848" s="79"/>
      <c r="L848" s="80">
        <v>0</v>
      </c>
      <c r="M848" s="80"/>
      <c r="N848" s="86">
        <v>342</v>
      </c>
      <c r="O848" s="86"/>
      <c r="P848" s="79">
        <v>15</v>
      </c>
      <c r="Q848" s="87"/>
    </row>
    <row r="849" ht="15" spans="1:17">
      <c r="A849" s="89">
        <v>43421</v>
      </c>
      <c r="B849" s="78"/>
      <c r="C849" s="79">
        <v>5</v>
      </c>
      <c r="D849" s="88"/>
      <c r="E849" s="79">
        <v>24</v>
      </c>
      <c r="F849" s="80">
        <v>0.5</v>
      </c>
      <c r="G849" s="79">
        <v>21</v>
      </c>
      <c r="H849" s="80">
        <v>0.5</v>
      </c>
      <c r="I849" s="83">
        <v>0.98</v>
      </c>
      <c r="J849" s="79">
        <v>22</v>
      </c>
      <c r="K849" s="79"/>
      <c r="L849" s="80">
        <v>0.25</v>
      </c>
      <c r="M849" s="80"/>
      <c r="N849" s="86">
        <v>72</v>
      </c>
      <c r="O849" s="86"/>
      <c r="P849" s="79">
        <v>17</v>
      </c>
      <c r="Q849" s="87"/>
    </row>
    <row r="850" ht="15" spans="1:17">
      <c r="A850" s="89">
        <v>43421</v>
      </c>
      <c r="B850" s="78"/>
      <c r="C850" s="79">
        <v>3</v>
      </c>
      <c r="D850" s="88"/>
      <c r="E850" s="79">
        <v>60</v>
      </c>
      <c r="F850" s="80">
        <v>0.0109</v>
      </c>
      <c r="G850" s="79">
        <v>32</v>
      </c>
      <c r="H850" s="80">
        <v>0.0109</v>
      </c>
      <c r="I850" s="83">
        <v>1</v>
      </c>
      <c r="J850" s="79">
        <v>24</v>
      </c>
      <c r="K850" s="79"/>
      <c r="L850" s="80">
        <v>0</v>
      </c>
      <c r="M850" s="80"/>
      <c r="N850" s="86">
        <v>156</v>
      </c>
      <c r="O850" s="86"/>
      <c r="P850" s="79">
        <v>8</v>
      </c>
      <c r="Q850" s="87"/>
    </row>
    <row r="851" ht="15" spans="1:17">
      <c r="A851" s="89">
        <v>43421</v>
      </c>
      <c r="B851" s="78"/>
      <c r="C851" s="79">
        <v>1</v>
      </c>
      <c r="D851" s="88"/>
      <c r="E851" s="79">
        <v>78</v>
      </c>
      <c r="F851" s="80">
        <v>0.0652</v>
      </c>
      <c r="G851" s="79">
        <v>61</v>
      </c>
      <c r="H851" s="80">
        <v>0.0652</v>
      </c>
      <c r="I851" s="83">
        <v>1</v>
      </c>
      <c r="J851" s="79">
        <v>27</v>
      </c>
      <c r="K851" s="79"/>
      <c r="L851" s="80">
        <v>0</v>
      </c>
      <c r="M851" s="80"/>
      <c r="N851" s="86">
        <v>214</v>
      </c>
      <c r="O851" s="86"/>
      <c r="P851" s="79">
        <v>4</v>
      </c>
      <c r="Q851" s="87"/>
    </row>
    <row r="852" ht="15" spans="1:17">
      <c r="A852" s="89">
        <v>43421</v>
      </c>
      <c r="B852" s="78"/>
      <c r="C852" s="79">
        <v>6</v>
      </c>
      <c r="D852" s="88"/>
      <c r="E852" s="79">
        <v>81</v>
      </c>
      <c r="F852" s="80">
        <v>0.1739</v>
      </c>
      <c r="G852" s="79">
        <v>30</v>
      </c>
      <c r="H852" s="80">
        <v>0.1739</v>
      </c>
      <c r="I852" s="83">
        <v>1</v>
      </c>
      <c r="J852" s="79">
        <v>29</v>
      </c>
      <c r="K852" s="79"/>
      <c r="L852" s="80">
        <v>0.1111</v>
      </c>
      <c r="M852" s="80"/>
      <c r="N852" s="86">
        <v>419</v>
      </c>
      <c r="O852" s="86"/>
      <c r="P852" s="79">
        <v>11</v>
      </c>
      <c r="Q852" s="87"/>
    </row>
    <row r="853" ht="15" spans="1:17">
      <c r="A853" s="89">
        <v>43421</v>
      </c>
      <c r="B853" s="78"/>
      <c r="C853" s="79">
        <v>7</v>
      </c>
      <c r="D853" s="88"/>
      <c r="E853" s="79">
        <v>72</v>
      </c>
      <c r="F853" s="80">
        <v>0.1413</v>
      </c>
      <c r="G853" s="79">
        <v>66</v>
      </c>
      <c r="H853" s="80">
        <v>0.1413</v>
      </c>
      <c r="I853" s="83">
        <v>1</v>
      </c>
      <c r="J853" s="79">
        <v>28</v>
      </c>
      <c r="K853" s="79"/>
      <c r="L853" s="80">
        <v>0.3333</v>
      </c>
      <c r="M853" s="80"/>
      <c r="N853" s="86">
        <v>256</v>
      </c>
      <c r="O853" s="86"/>
      <c r="P853" s="79">
        <v>19</v>
      </c>
      <c r="Q853" s="87"/>
    </row>
    <row r="854" ht="15" spans="1:17">
      <c r="A854" s="89">
        <v>43421</v>
      </c>
      <c r="B854" s="78"/>
      <c r="C854" s="79">
        <v>8</v>
      </c>
      <c r="D854" s="88"/>
      <c r="E854" s="79">
        <v>9</v>
      </c>
      <c r="F854" s="80">
        <v>0.0326</v>
      </c>
      <c r="G854" s="79">
        <v>50</v>
      </c>
      <c r="H854" s="80">
        <v>0.0326</v>
      </c>
      <c r="I854" s="83">
        <v>1</v>
      </c>
      <c r="J854" s="79">
        <v>13</v>
      </c>
      <c r="K854" s="79"/>
      <c r="L854" s="80">
        <v>0</v>
      </c>
      <c r="M854" s="80"/>
      <c r="N854" s="86">
        <v>387</v>
      </c>
      <c r="O854" s="86"/>
      <c r="P854" s="79">
        <v>6</v>
      </c>
      <c r="Q854" s="87"/>
    </row>
    <row r="855" ht="15" spans="1:17">
      <c r="A855" s="89">
        <v>43422</v>
      </c>
      <c r="B855" s="78"/>
      <c r="C855" s="79">
        <v>3</v>
      </c>
      <c r="D855" s="88"/>
      <c r="E855" s="79">
        <v>51</v>
      </c>
      <c r="F855" s="80">
        <v>0</v>
      </c>
      <c r="G855" s="79">
        <v>6</v>
      </c>
      <c r="H855" s="80">
        <v>0</v>
      </c>
      <c r="I855" s="83">
        <v>0</v>
      </c>
      <c r="J855" s="79">
        <v>12</v>
      </c>
      <c r="K855" s="79"/>
      <c r="L855" s="80">
        <v>0</v>
      </c>
      <c r="M855" s="80"/>
      <c r="N855" s="86">
        <v>484</v>
      </c>
      <c r="O855" s="86"/>
      <c r="P855" s="79">
        <v>1</v>
      </c>
      <c r="Q855" s="87"/>
    </row>
    <row r="856" ht="15" spans="1:17">
      <c r="A856" s="89">
        <v>43422</v>
      </c>
      <c r="B856" s="78"/>
      <c r="C856" s="79">
        <v>4</v>
      </c>
      <c r="D856" s="88"/>
      <c r="E856" s="79">
        <v>87</v>
      </c>
      <c r="F856" s="80">
        <v>0.1088</v>
      </c>
      <c r="G856" s="79">
        <v>46</v>
      </c>
      <c r="H856" s="80">
        <v>0.1088</v>
      </c>
      <c r="I856" s="83">
        <v>0.94</v>
      </c>
      <c r="J856" s="79">
        <v>0</v>
      </c>
      <c r="K856" s="79"/>
      <c r="L856" s="80">
        <v>0.1</v>
      </c>
      <c r="M856" s="80"/>
      <c r="N856" s="86">
        <v>473</v>
      </c>
      <c r="O856" s="86"/>
      <c r="P856" s="79">
        <v>10</v>
      </c>
      <c r="Q856" s="87"/>
    </row>
    <row r="857" ht="15" spans="1:17">
      <c r="A857" s="89">
        <v>43422</v>
      </c>
      <c r="B857" s="78"/>
      <c r="C857" s="79">
        <v>2</v>
      </c>
      <c r="D857" s="88"/>
      <c r="E857" s="79">
        <v>65</v>
      </c>
      <c r="F857" s="80">
        <v>0.0408</v>
      </c>
      <c r="G857" s="79">
        <v>27</v>
      </c>
      <c r="H857" s="80">
        <v>0.0408</v>
      </c>
      <c r="I857" s="83">
        <v>1</v>
      </c>
      <c r="J857" s="79">
        <v>14</v>
      </c>
      <c r="K857" s="79"/>
      <c r="L857" s="80">
        <v>0</v>
      </c>
      <c r="M857" s="80"/>
      <c r="N857" s="86">
        <v>495</v>
      </c>
      <c r="O857" s="86"/>
      <c r="P857" s="79">
        <v>9</v>
      </c>
      <c r="Q857" s="87"/>
    </row>
    <row r="858" ht="15" spans="1:17">
      <c r="A858" s="89">
        <v>43422</v>
      </c>
      <c r="B858" s="78"/>
      <c r="C858" s="79">
        <v>5</v>
      </c>
      <c r="D858" s="88"/>
      <c r="E858" s="79">
        <v>19</v>
      </c>
      <c r="F858" s="80">
        <v>0.5102</v>
      </c>
      <c r="G858" s="79">
        <v>84</v>
      </c>
      <c r="H858" s="80">
        <v>0.5102</v>
      </c>
      <c r="I858" s="83">
        <v>0.99</v>
      </c>
      <c r="J858" s="79">
        <v>17</v>
      </c>
      <c r="K858" s="79"/>
      <c r="L858" s="80">
        <v>0.25</v>
      </c>
      <c r="M858" s="80"/>
      <c r="N858" s="86">
        <v>61</v>
      </c>
      <c r="O858" s="86"/>
      <c r="P858" s="79">
        <v>3</v>
      </c>
      <c r="Q858" s="87"/>
    </row>
    <row r="859" ht="15" spans="1:17">
      <c r="A859" s="89">
        <v>43422</v>
      </c>
      <c r="B859" s="78"/>
      <c r="C859" s="79">
        <v>1</v>
      </c>
      <c r="D859" s="88"/>
      <c r="E859" s="79">
        <v>67</v>
      </c>
      <c r="F859" s="80">
        <v>0.0748</v>
      </c>
      <c r="G859" s="79">
        <v>37</v>
      </c>
      <c r="H859" s="80">
        <v>0.0748</v>
      </c>
      <c r="I859" s="83">
        <v>1</v>
      </c>
      <c r="J859" s="79">
        <v>13</v>
      </c>
      <c r="K859" s="79"/>
      <c r="L859" s="80">
        <v>0</v>
      </c>
      <c r="M859" s="80"/>
      <c r="N859" s="86">
        <v>255</v>
      </c>
      <c r="O859" s="86"/>
      <c r="P859" s="79">
        <v>17</v>
      </c>
      <c r="Q859" s="87"/>
    </row>
    <row r="860" ht="15" spans="1:17">
      <c r="A860" s="89">
        <v>43422</v>
      </c>
      <c r="B860" s="78"/>
      <c r="C860" s="79">
        <v>6</v>
      </c>
      <c r="D860" s="88"/>
      <c r="E860" s="79">
        <v>86</v>
      </c>
      <c r="F860" s="80">
        <v>0.1088</v>
      </c>
      <c r="G860" s="79">
        <v>38</v>
      </c>
      <c r="H860" s="80">
        <v>0.1088</v>
      </c>
      <c r="I860" s="83">
        <v>1</v>
      </c>
      <c r="J860" s="79">
        <v>17</v>
      </c>
      <c r="K860" s="79"/>
      <c r="L860" s="80">
        <v>0.0714</v>
      </c>
      <c r="M860" s="80"/>
      <c r="N860" s="86">
        <v>67</v>
      </c>
      <c r="O860" s="86"/>
      <c r="P860" s="79">
        <v>3</v>
      </c>
      <c r="Q860" s="87"/>
    </row>
    <row r="861" ht="15" spans="1:17">
      <c r="A861" s="89">
        <v>43422</v>
      </c>
      <c r="B861" s="78"/>
      <c r="C861" s="79">
        <v>7</v>
      </c>
      <c r="D861" s="88"/>
      <c r="E861" s="79">
        <v>18</v>
      </c>
      <c r="F861" s="80">
        <v>0.1293</v>
      </c>
      <c r="G861" s="79">
        <v>20</v>
      </c>
      <c r="H861" s="80">
        <v>0.1293</v>
      </c>
      <c r="I861" s="83">
        <v>0.95</v>
      </c>
      <c r="J861" s="79">
        <v>29</v>
      </c>
      <c r="K861" s="79"/>
      <c r="L861" s="80">
        <v>0</v>
      </c>
      <c r="M861" s="80"/>
      <c r="N861" s="86">
        <v>158</v>
      </c>
      <c r="O861" s="86"/>
      <c r="P861" s="79">
        <v>9</v>
      </c>
      <c r="Q861" s="87"/>
    </row>
    <row r="862" ht="15" spans="1:17">
      <c r="A862" s="89">
        <v>43422</v>
      </c>
      <c r="B862" s="78"/>
      <c r="C862" s="79">
        <v>9</v>
      </c>
      <c r="D862" s="88"/>
      <c r="E862" s="79">
        <v>97</v>
      </c>
      <c r="F862" s="80">
        <v>0.0272</v>
      </c>
      <c r="G862" s="79">
        <v>47</v>
      </c>
      <c r="H862" s="80">
        <v>0.0272</v>
      </c>
      <c r="I862" s="83">
        <v>1</v>
      </c>
      <c r="J862" s="79">
        <v>26</v>
      </c>
      <c r="K862" s="79"/>
      <c r="L862" s="80">
        <v>0</v>
      </c>
      <c r="M862" s="80"/>
      <c r="N862" s="86">
        <v>483</v>
      </c>
      <c r="O862" s="86"/>
      <c r="P862" s="79">
        <v>8</v>
      </c>
      <c r="Q862" s="87"/>
    </row>
    <row r="863" ht="15" spans="1:17">
      <c r="A863" s="89">
        <v>43423</v>
      </c>
      <c r="B863" s="78"/>
      <c r="C863" s="79">
        <v>8</v>
      </c>
      <c r="D863" s="88"/>
      <c r="E863" s="79">
        <v>66</v>
      </c>
      <c r="F863" s="80">
        <v>0.0068</v>
      </c>
      <c r="G863" s="79">
        <v>79</v>
      </c>
      <c r="H863" s="80">
        <v>0.0068</v>
      </c>
      <c r="I863" s="83">
        <v>1</v>
      </c>
      <c r="J863" s="79">
        <v>15</v>
      </c>
      <c r="K863" s="79"/>
      <c r="L863" s="80">
        <v>1</v>
      </c>
      <c r="M863" s="80"/>
      <c r="N863" s="86">
        <v>158</v>
      </c>
      <c r="O863" s="86"/>
      <c r="P863" s="79">
        <v>11</v>
      </c>
      <c r="Q863" s="87"/>
    </row>
    <row r="864" ht="15" spans="1:17">
      <c r="A864" s="89">
        <v>43423</v>
      </c>
      <c r="B864" s="78"/>
      <c r="C864" s="79">
        <v>4</v>
      </c>
      <c r="D864" s="88"/>
      <c r="E864" s="79">
        <v>12</v>
      </c>
      <c r="F864" s="80">
        <v>0.0612</v>
      </c>
      <c r="G864" s="79">
        <v>34</v>
      </c>
      <c r="H864" s="80">
        <v>0.0612</v>
      </c>
      <c r="I864" s="83">
        <v>1</v>
      </c>
      <c r="J864" s="79">
        <v>20</v>
      </c>
      <c r="K864" s="79"/>
      <c r="L864" s="80">
        <v>0</v>
      </c>
      <c r="M864" s="80"/>
      <c r="N864" s="86">
        <v>254</v>
      </c>
      <c r="O864" s="86"/>
      <c r="P864" s="79">
        <v>14</v>
      </c>
      <c r="Q864" s="87"/>
    </row>
    <row r="865" ht="15" spans="1:17">
      <c r="A865" s="89">
        <v>43423</v>
      </c>
      <c r="B865" s="78"/>
      <c r="C865" s="79">
        <v>2</v>
      </c>
      <c r="D865" s="88"/>
      <c r="E865" s="79">
        <v>54</v>
      </c>
      <c r="F865" s="80">
        <v>0.0884</v>
      </c>
      <c r="G865" s="79">
        <v>69</v>
      </c>
      <c r="H865" s="80">
        <v>0.0884</v>
      </c>
      <c r="I865" s="83">
        <v>0.92</v>
      </c>
      <c r="J865" s="79">
        <v>9</v>
      </c>
      <c r="K865" s="79"/>
      <c r="L865" s="80">
        <v>0.2857</v>
      </c>
      <c r="M865" s="80"/>
      <c r="N865" s="86">
        <v>84</v>
      </c>
      <c r="O865" s="86"/>
      <c r="P865" s="79">
        <v>1</v>
      </c>
      <c r="Q865" s="87"/>
    </row>
    <row r="866" ht="15" spans="1:17">
      <c r="A866" s="89">
        <v>43423</v>
      </c>
      <c r="B866" s="78"/>
      <c r="C866" s="79">
        <v>5</v>
      </c>
      <c r="D866" s="88"/>
      <c r="E866" s="79">
        <v>89</v>
      </c>
      <c r="F866" s="80">
        <v>0.4014</v>
      </c>
      <c r="G866" s="79">
        <v>85</v>
      </c>
      <c r="H866" s="80">
        <v>0.4014</v>
      </c>
      <c r="I866" s="83">
        <v>1</v>
      </c>
      <c r="J866" s="79">
        <v>22</v>
      </c>
      <c r="K866" s="79"/>
      <c r="L866" s="80">
        <v>0.2619</v>
      </c>
      <c r="M866" s="80"/>
      <c r="N866" s="86">
        <v>348</v>
      </c>
      <c r="O866" s="86"/>
      <c r="P866" s="79">
        <v>9</v>
      </c>
      <c r="Q866" s="87"/>
    </row>
    <row r="867" ht="15" spans="1:17">
      <c r="A867" s="89">
        <v>43423</v>
      </c>
      <c r="B867" s="78"/>
      <c r="C867" s="79">
        <v>1</v>
      </c>
      <c r="D867" s="88"/>
      <c r="E867" s="79">
        <v>55</v>
      </c>
      <c r="F867" s="80">
        <v>0.1769</v>
      </c>
      <c r="G867" s="79">
        <v>41</v>
      </c>
      <c r="H867" s="80">
        <v>0.1769</v>
      </c>
      <c r="I867" s="83">
        <v>1</v>
      </c>
      <c r="J867" s="79">
        <v>29</v>
      </c>
      <c r="K867" s="79"/>
      <c r="L867" s="80">
        <v>0.0909</v>
      </c>
      <c r="M867" s="80"/>
      <c r="N867" s="86">
        <v>342</v>
      </c>
      <c r="O867" s="86"/>
      <c r="P867" s="79">
        <v>10</v>
      </c>
      <c r="Q867" s="87"/>
    </row>
    <row r="868" ht="15" spans="1:17">
      <c r="A868" s="89">
        <v>43423</v>
      </c>
      <c r="B868" s="78"/>
      <c r="C868" s="79">
        <v>6</v>
      </c>
      <c r="D868" s="88"/>
      <c r="E868" s="79">
        <v>7</v>
      </c>
      <c r="F868" s="80">
        <v>0.1361</v>
      </c>
      <c r="G868" s="79">
        <v>99</v>
      </c>
      <c r="H868" s="80">
        <v>0.1361</v>
      </c>
      <c r="I868" s="83">
        <v>1</v>
      </c>
      <c r="J868" s="79">
        <v>19</v>
      </c>
      <c r="K868" s="79"/>
      <c r="L868" s="80">
        <v>0.1538</v>
      </c>
      <c r="M868" s="80"/>
      <c r="N868" s="86">
        <v>131</v>
      </c>
      <c r="O868" s="86"/>
      <c r="P868" s="79">
        <v>4</v>
      </c>
      <c r="Q868" s="87"/>
    </row>
    <row r="869" ht="15" spans="1:17">
      <c r="A869" s="89">
        <v>43423</v>
      </c>
      <c r="B869" s="78"/>
      <c r="C869" s="79">
        <v>7</v>
      </c>
      <c r="D869" s="88"/>
      <c r="E869" s="79">
        <v>13</v>
      </c>
      <c r="F869" s="80">
        <v>0.0884</v>
      </c>
      <c r="G869" s="79">
        <v>90</v>
      </c>
      <c r="H869" s="80">
        <v>0.0884</v>
      </c>
      <c r="I869" s="83">
        <v>1</v>
      </c>
      <c r="J869" s="79">
        <v>26</v>
      </c>
      <c r="K869" s="79"/>
      <c r="L869" s="80">
        <v>0.4</v>
      </c>
      <c r="M869" s="80"/>
      <c r="N869" s="86">
        <v>300</v>
      </c>
      <c r="O869" s="86"/>
      <c r="P869" s="79">
        <v>19</v>
      </c>
      <c r="Q869" s="87"/>
    </row>
    <row r="870" ht="15" spans="1:17">
      <c r="A870" s="89">
        <v>43423</v>
      </c>
      <c r="B870" s="78"/>
      <c r="C870" s="79">
        <v>9</v>
      </c>
      <c r="D870" s="88"/>
      <c r="E870" s="79">
        <v>4</v>
      </c>
      <c r="F870" s="80">
        <v>0.0408</v>
      </c>
      <c r="G870" s="79">
        <v>58</v>
      </c>
      <c r="H870" s="80">
        <v>0.0408</v>
      </c>
      <c r="I870" s="83">
        <v>1</v>
      </c>
      <c r="J870" s="79">
        <v>27</v>
      </c>
      <c r="K870" s="79"/>
      <c r="L870" s="80">
        <v>0</v>
      </c>
      <c r="M870" s="80"/>
      <c r="N870" s="86">
        <v>85</v>
      </c>
      <c r="O870" s="86"/>
      <c r="P870" s="79">
        <v>1</v>
      </c>
      <c r="Q870" s="87"/>
    </row>
    <row r="871" ht="15" spans="1:17">
      <c r="A871" s="89">
        <v>43424</v>
      </c>
      <c r="B871" s="78"/>
      <c r="C871" s="79">
        <v>4</v>
      </c>
      <c r="D871" s="88"/>
      <c r="E871" s="79">
        <v>55</v>
      </c>
      <c r="F871" s="80">
        <v>0.1168</v>
      </c>
      <c r="G871" s="79">
        <v>59</v>
      </c>
      <c r="H871" s="80">
        <v>0.1168</v>
      </c>
      <c r="I871" s="83">
        <v>1</v>
      </c>
      <c r="J871" s="79">
        <v>12</v>
      </c>
      <c r="K871" s="79"/>
      <c r="L871" s="80">
        <v>0</v>
      </c>
      <c r="M871" s="80"/>
      <c r="N871" s="86">
        <v>422</v>
      </c>
      <c r="O871" s="86"/>
      <c r="P871" s="79">
        <v>16</v>
      </c>
      <c r="Q871" s="87"/>
    </row>
    <row r="872" ht="15" spans="1:17">
      <c r="A872" s="89">
        <v>43424</v>
      </c>
      <c r="B872" s="78"/>
      <c r="C872" s="79">
        <v>2</v>
      </c>
      <c r="D872" s="88"/>
      <c r="E872" s="79">
        <v>33</v>
      </c>
      <c r="F872" s="80">
        <v>0.0438</v>
      </c>
      <c r="G872" s="79">
        <v>68</v>
      </c>
      <c r="H872" s="80">
        <v>0.0438</v>
      </c>
      <c r="I872" s="83">
        <v>1</v>
      </c>
      <c r="J872" s="79">
        <v>12</v>
      </c>
      <c r="K872" s="79"/>
      <c r="L872" s="80">
        <v>0.6</v>
      </c>
      <c r="M872" s="80"/>
      <c r="N872" s="86">
        <v>464</v>
      </c>
      <c r="O872" s="86"/>
      <c r="P872" s="79">
        <v>6</v>
      </c>
      <c r="Q872" s="87"/>
    </row>
    <row r="873" ht="15" spans="1:17">
      <c r="A873" s="89">
        <v>43424</v>
      </c>
      <c r="B873" s="78"/>
      <c r="C873" s="79">
        <v>5</v>
      </c>
      <c r="D873" s="88"/>
      <c r="E873" s="79">
        <v>41</v>
      </c>
      <c r="F873" s="80">
        <v>0.5255</v>
      </c>
      <c r="G873" s="79">
        <v>71</v>
      </c>
      <c r="H873" s="80">
        <v>0.5255</v>
      </c>
      <c r="I873" s="83">
        <v>1</v>
      </c>
      <c r="J873" s="79">
        <v>6</v>
      </c>
      <c r="K873" s="79"/>
      <c r="L873" s="80">
        <v>0.1509</v>
      </c>
      <c r="M873" s="80"/>
      <c r="N873" s="86">
        <v>127</v>
      </c>
      <c r="O873" s="86"/>
      <c r="P873" s="79">
        <v>11</v>
      </c>
      <c r="Q873" s="87"/>
    </row>
    <row r="874" ht="15" spans="1:17">
      <c r="A874" s="89">
        <v>43424</v>
      </c>
      <c r="B874" s="78"/>
      <c r="C874" s="79">
        <v>1</v>
      </c>
      <c r="D874" s="88"/>
      <c r="E874" s="79">
        <v>41</v>
      </c>
      <c r="F874" s="80">
        <v>0.0803</v>
      </c>
      <c r="G874" s="79">
        <v>34</v>
      </c>
      <c r="H874" s="80">
        <v>0.0803</v>
      </c>
      <c r="I874" s="83">
        <v>1</v>
      </c>
      <c r="J874" s="79">
        <v>29</v>
      </c>
      <c r="K874" s="79"/>
      <c r="L874" s="80">
        <v>0.0909</v>
      </c>
      <c r="M874" s="80"/>
      <c r="N874" s="86">
        <v>346</v>
      </c>
      <c r="O874" s="86"/>
      <c r="P874" s="79">
        <v>12</v>
      </c>
      <c r="Q874" s="87"/>
    </row>
    <row r="875" ht="15" spans="1:17">
      <c r="A875" s="89">
        <v>43424</v>
      </c>
      <c r="B875" s="78"/>
      <c r="C875" s="79">
        <v>6</v>
      </c>
      <c r="D875" s="88"/>
      <c r="E875" s="79">
        <v>75</v>
      </c>
      <c r="F875" s="80">
        <v>0.1095</v>
      </c>
      <c r="G875" s="79">
        <v>13</v>
      </c>
      <c r="H875" s="80">
        <v>0.1095</v>
      </c>
      <c r="I875" s="83">
        <v>1</v>
      </c>
      <c r="J875" s="79">
        <v>2</v>
      </c>
      <c r="K875" s="79"/>
      <c r="L875" s="80">
        <v>0.2308</v>
      </c>
      <c r="M875" s="80"/>
      <c r="N875" s="86">
        <v>290</v>
      </c>
      <c r="O875" s="86"/>
      <c r="P875" s="79">
        <v>6</v>
      </c>
      <c r="Q875" s="87"/>
    </row>
    <row r="876" ht="15" spans="1:17">
      <c r="A876" s="89">
        <v>43424</v>
      </c>
      <c r="B876" s="78"/>
      <c r="C876" s="79">
        <v>7</v>
      </c>
      <c r="D876" s="88"/>
      <c r="E876" s="79">
        <v>97</v>
      </c>
      <c r="F876" s="80">
        <v>0.0949</v>
      </c>
      <c r="G876" s="79">
        <v>46</v>
      </c>
      <c r="H876" s="80">
        <v>0.0949</v>
      </c>
      <c r="I876" s="83">
        <v>1</v>
      </c>
      <c r="J876" s="79">
        <v>26</v>
      </c>
      <c r="K876" s="79"/>
      <c r="L876" s="80">
        <v>0.2857</v>
      </c>
      <c r="M876" s="80"/>
      <c r="N876" s="86">
        <v>149</v>
      </c>
      <c r="O876" s="86"/>
      <c r="P876" s="79">
        <v>10</v>
      </c>
      <c r="Q876" s="87"/>
    </row>
    <row r="877" ht="15" spans="1:17">
      <c r="A877" s="89">
        <v>43424</v>
      </c>
      <c r="B877" s="78"/>
      <c r="C877" s="79">
        <v>9</v>
      </c>
      <c r="D877" s="88"/>
      <c r="E877" s="79">
        <v>53</v>
      </c>
      <c r="F877" s="80">
        <v>0.0292</v>
      </c>
      <c r="G877" s="79">
        <v>59</v>
      </c>
      <c r="H877" s="80">
        <v>0.0292</v>
      </c>
      <c r="I877" s="83">
        <v>1</v>
      </c>
      <c r="J877" s="79">
        <v>29</v>
      </c>
      <c r="K877" s="79"/>
      <c r="L877" s="80">
        <v>0</v>
      </c>
      <c r="M877" s="80"/>
      <c r="N877" s="86">
        <v>427</v>
      </c>
      <c r="O877" s="86"/>
      <c r="P877" s="79">
        <v>3</v>
      </c>
      <c r="Q877" s="87"/>
    </row>
    <row r="878" ht="15" spans="1:17">
      <c r="A878" s="89">
        <v>43425</v>
      </c>
      <c r="B878" s="78"/>
      <c r="C878" s="79">
        <v>5</v>
      </c>
      <c r="D878" s="88"/>
      <c r="E878" s="79">
        <v>12</v>
      </c>
      <c r="F878" s="80">
        <v>0.431</v>
      </c>
      <c r="G878" s="79">
        <v>76</v>
      </c>
      <c r="H878" s="80">
        <v>0.431</v>
      </c>
      <c r="I878" s="83">
        <v>1</v>
      </c>
      <c r="J878" s="79">
        <v>22</v>
      </c>
      <c r="K878" s="79"/>
      <c r="L878" s="80">
        <v>1.027</v>
      </c>
      <c r="M878" s="80"/>
      <c r="N878" s="86">
        <v>72</v>
      </c>
      <c r="O878" s="86"/>
      <c r="P878" s="79">
        <v>8</v>
      </c>
      <c r="Q878" s="87"/>
    </row>
    <row r="879" ht="15" spans="1:17">
      <c r="A879" s="89">
        <v>43425</v>
      </c>
      <c r="B879" s="78"/>
      <c r="C879" s="79">
        <v>4</v>
      </c>
      <c r="D879" s="88"/>
      <c r="E879" s="79">
        <v>11</v>
      </c>
      <c r="F879" s="80">
        <v>0.069</v>
      </c>
      <c r="G879" s="79">
        <v>5</v>
      </c>
      <c r="H879" s="80">
        <v>0.069</v>
      </c>
      <c r="I879" s="83">
        <v>1</v>
      </c>
      <c r="J879" s="79">
        <v>9</v>
      </c>
      <c r="K879" s="79"/>
      <c r="L879" s="80">
        <v>0</v>
      </c>
      <c r="M879" s="80"/>
      <c r="N879" s="86">
        <v>274</v>
      </c>
      <c r="O879" s="86"/>
      <c r="P879" s="79">
        <v>1</v>
      </c>
      <c r="Q879" s="87"/>
    </row>
    <row r="880" ht="15" spans="1:17">
      <c r="A880" s="89">
        <v>43425</v>
      </c>
      <c r="B880" s="78"/>
      <c r="C880" s="79">
        <v>2</v>
      </c>
      <c r="D880" s="88"/>
      <c r="E880" s="79">
        <v>38</v>
      </c>
      <c r="F880" s="80">
        <v>0.0086</v>
      </c>
      <c r="G880" s="79">
        <v>57</v>
      </c>
      <c r="H880" s="80">
        <v>0.0086</v>
      </c>
      <c r="I880" s="83">
        <v>1</v>
      </c>
      <c r="J880" s="79">
        <v>19</v>
      </c>
      <c r="K880" s="79"/>
      <c r="L880" s="80">
        <v>0</v>
      </c>
      <c r="M880" s="80"/>
      <c r="N880" s="86">
        <v>470</v>
      </c>
      <c r="O880" s="86"/>
      <c r="P880" s="79">
        <v>7</v>
      </c>
      <c r="Q880" s="87"/>
    </row>
    <row r="881" ht="15" spans="1:17">
      <c r="A881" s="89">
        <v>43425</v>
      </c>
      <c r="B881" s="78"/>
      <c r="C881" s="79">
        <v>3</v>
      </c>
      <c r="D881" s="88"/>
      <c r="E881" s="79">
        <v>66</v>
      </c>
      <c r="F881" s="80">
        <v>0.0517</v>
      </c>
      <c r="G881" s="79">
        <v>98</v>
      </c>
      <c r="H881" s="80">
        <v>0.0517</v>
      </c>
      <c r="I881" s="83">
        <v>1</v>
      </c>
      <c r="J881" s="79">
        <v>29</v>
      </c>
      <c r="K881" s="79"/>
      <c r="L881" s="80">
        <v>0</v>
      </c>
      <c r="M881" s="80"/>
      <c r="N881" s="86">
        <v>376</v>
      </c>
      <c r="O881" s="86"/>
      <c r="P881" s="79">
        <v>20</v>
      </c>
      <c r="Q881" s="87"/>
    </row>
    <row r="882" ht="15" spans="1:17">
      <c r="A882" s="89">
        <v>43425</v>
      </c>
      <c r="B882" s="78"/>
      <c r="C882" s="79">
        <v>1</v>
      </c>
      <c r="D882" s="88"/>
      <c r="E882" s="79">
        <v>52</v>
      </c>
      <c r="F882" s="80">
        <v>0.1034</v>
      </c>
      <c r="G882" s="79">
        <v>24</v>
      </c>
      <c r="H882" s="80">
        <v>0.1034</v>
      </c>
      <c r="I882" s="83">
        <v>1</v>
      </c>
      <c r="J882" s="79">
        <v>12</v>
      </c>
      <c r="K882" s="79"/>
      <c r="L882" s="80">
        <v>0</v>
      </c>
      <c r="M882" s="80"/>
      <c r="N882" s="86">
        <v>324</v>
      </c>
      <c r="O882" s="86"/>
      <c r="P882" s="79">
        <v>6</v>
      </c>
      <c r="Q882" s="87"/>
    </row>
    <row r="883" ht="15" spans="1:17">
      <c r="A883" s="89">
        <v>43425</v>
      </c>
      <c r="B883" s="78"/>
      <c r="C883" s="79">
        <v>6</v>
      </c>
      <c r="D883" s="88"/>
      <c r="E883" s="79">
        <v>82</v>
      </c>
      <c r="F883" s="80">
        <v>0.1207</v>
      </c>
      <c r="G883" s="79">
        <v>93</v>
      </c>
      <c r="H883" s="80">
        <v>0.1207</v>
      </c>
      <c r="I883" s="83">
        <v>1</v>
      </c>
      <c r="J883" s="79">
        <v>29</v>
      </c>
      <c r="K883" s="79"/>
      <c r="L883" s="80">
        <v>0</v>
      </c>
      <c r="M883" s="80"/>
      <c r="N883" s="86">
        <v>350</v>
      </c>
      <c r="O883" s="86"/>
      <c r="P883" s="79">
        <v>20</v>
      </c>
      <c r="Q883" s="87"/>
    </row>
    <row r="884" ht="15" spans="1:17">
      <c r="A884" s="89">
        <v>43425</v>
      </c>
      <c r="B884" s="78"/>
      <c r="C884" s="79">
        <v>7</v>
      </c>
      <c r="D884" s="88"/>
      <c r="E884" s="79">
        <v>63</v>
      </c>
      <c r="F884" s="80">
        <v>0.1207</v>
      </c>
      <c r="G884" s="79">
        <v>52</v>
      </c>
      <c r="H884" s="80">
        <v>0.1207</v>
      </c>
      <c r="I884" s="83">
        <v>1</v>
      </c>
      <c r="J884" s="79">
        <v>26</v>
      </c>
      <c r="K884" s="79"/>
      <c r="L884" s="80">
        <v>0.0833</v>
      </c>
      <c r="M884" s="80"/>
      <c r="N884" s="86">
        <v>91</v>
      </c>
      <c r="O884" s="86"/>
      <c r="P884" s="79">
        <v>15</v>
      </c>
      <c r="Q884" s="87"/>
    </row>
    <row r="885" ht="15" spans="1:17">
      <c r="A885" s="89">
        <v>43425</v>
      </c>
      <c r="B885" s="78"/>
      <c r="C885" s="79">
        <v>8</v>
      </c>
      <c r="D885" s="88"/>
      <c r="E885" s="79">
        <v>60</v>
      </c>
      <c r="F885" s="80">
        <v>0.0086</v>
      </c>
      <c r="G885" s="79">
        <v>93</v>
      </c>
      <c r="H885" s="80">
        <v>0.0086</v>
      </c>
      <c r="I885" s="83">
        <v>1</v>
      </c>
      <c r="J885" s="79">
        <v>13</v>
      </c>
      <c r="K885" s="79"/>
      <c r="L885" s="80">
        <v>0</v>
      </c>
      <c r="M885" s="80"/>
      <c r="N885" s="86">
        <v>226</v>
      </c>
      <c r="O885" s="86"/>
      <c r="P885" s="79">
        <v>14</v>
      </c>
      <c r="Q885" s="87"/>
    </row>
    <row r="886" ht="15" spans="1:17">
      <c r="A886" s="89">
        <v>43425</v>
      </c>
      <c r="B886" s="78"/>
      <c r="C886" s="79">
        <v>9</v>
      </c>
      <c r="D886" s="88"/>
      <c r="E886" s="79">
        <v>32</v>
      </c>
      <c r="F886" s="80">
        <v>0.0517</v>
      </c>
      <c r="G886" s="79">
        <v>19</v>
      </c>
      <c r="H886" s="80">
        <v>0.0517</v>
      </c>
      <c r="I886" s="83">
        <v>1</v>
      </c>
      <c r="J886" s="79">
        <v>12</v>
      </c>
      <c r="K886" s="79"/>
      <c r="L886" s="80">
        <v>0</v>
      </c>
      <c r="M886" s="80"/>
      <c r="N886" s="86">
        <v>201</v>
      </c>
      <c r="O886" s="86"/>
      <c r="P886" s="79">
        <v>0</v>
      </c>
      <c r="Q886" s="87"/>
    </row>
    <row r="887" ht="15" spans="1:17">
      <c r="A887" s="89">
        <v>43425</v>
      </c>
      <c r="B887" s="78"/>
      <c r="C887" s="79">
        <v>3</v>
      </c>
      <c r="D887" s="88"/>
      <c r="E887" s="79">
        <v>8</v>
      </c>
      <c r="F887" s="80">
        <v>0.0086</v>
      </c>
      <c r="G887" s="79">
        <v>26</v>
      </c>
      <c r="H887" s="80">
        <v>0.0086</v>
      </c>
      <c r="I887" s="83">
        <v>0</v>
      </c>
      <c r="J887" s="79">
        <v>15</v>
      </c>
      <c r="K887" s="79"/>
      <c r="L887" s="80">
        <v>0</v>
      </c>
      <c r="M887" s="80"/>
      <c r="N887" s="86">
        <v>409</v>
      </c>
      <c r="O887" s="86"/>
      <c r="P887" s="79">
        <v>4</v>
      </c>
      <c r="Q887" s="87"/>
    </row>
    <row r="888" ht="15" spans="1:17">
      <c r="A888" s="89">
        <v>43425</v>
      </c>
      <c r="B888" s="78"/>
      <c r="C888" s="79">
        <v>11</v>
      </c>
      <c r="D888" s="88"/>
      <c r="E888" s="79">
        <v>4</v>
      </c>
      <c r="F888" s="80">
        <v>0.0172</v>
      </c>
      <c r="G888" s="79">
        <v>63</v>
      </c>
      <c r="H888" s="80">
        <v>0.0172</v>
      </c>
      <c r="I888" s="83">
        <v>1</v>
      </c>
      <c r="J888" s="79">
        <v>16</v>
      </c>
      <c r="K888" s="79"/>
      <c r="L888" s="80">
        <v>0</v>
      </c>
      <c r="M888" s="80"/>
      <c r="N888" s="86">
        <v>426</v>
      </c>
      <c r="O888" s="86"/>
      <c r="P888" s="79">
        <v>12</v>
      </c>
      <c r="Q888" s="87"/>
    </row>
    <row r="889" ht="15" spans="1:17">
      <c r="A889" s="89">
        <v>43425</v>
      </c>
      <c r="B889" s="78"/>
      <c r="C889" s="79">
        <v>3</v>
      </c>
      <c r="D889" s="88"/>
      <c r="E889" s="79">
        <v>19</v>
      </c>
      <c r="F889" s="80">
        <v>0.0086</v>
      </c>
      <c r="G889" s="79">
        <v>1</v>
      </c>
      <c r="H889" s="80">
        <v>0.0086</v>
      </c>
      <c r="I889" s="83">
        <v>1</v>
      </c>
      <c r="J889" s="79">
        <v>3</v>
      </c>
      <c r="K889" s="79"/>
      <c r="L889" s="80">
        <v>0</v>
      </c>
      <c r="M889" s="80"/>
      <c r="N889" s="86">
        <v>163</v>
      </c>
      <c r="O889" s="86"/>
      <c r="P889" s="79">
        <v>0</v>
      </c>
      <c r="Q889" s="87"/>
    </row>
    <row r="890" ht="15" spans="1:17">
      <c r="A890" s="89">
        <v>43426</v>
      </c>
      <c r="B890" s="78"/>
      <c r="C890" s="79">
        <v>4</v>
      </c>
      <c r="D890" s="88"/>
      <c r="E890" s="79">
        <v>22</v>
      </c>
      <c r="F890" s="80">
        <v>0.0636</v>
      </c>
      <c r="G890" s="79">
        <v>1</v>
      </c>
      <c r="H890" s="80">
        <v>0.0636</v>
      </c>
      <c r="I890" s="83">
        <v>1</v>
      </c>
      <c r="J890" s="79">
        <v>1</v>
      </c>
      <c r="K890" s="79"/>
      <c r="L890" s="80">
        <v>0</v>
      </c>
      <c r="M890" s="80"/>
      <c r="N890" s="86">
        <v>383</v>
      </c>
      <c r="O890" s="86"/>
      <c r="P890" s="79">
        <v>11</v>
      </c>
      <c r="Q890" s="87"/>
    </row>
    <row r="891" ht="15" spans="1:17">
      <c r="A891" s="89">
        <v>43426</v>
      </c>
      <c r="B891" s="78"/>
      <c r="C891" s="79">
        <v>2</v>
      </c>
      <c r="D891" s="88"/>
      <c r="E891" s="79">
        <v>85</v>
      </c>
      <c r="F891" s="80">
        <v>0.0727</v>
      </c>
      <c r="G891" s="79">
        <v>72</v>
      </c>
      <c r="H891" s="80">
        <v>0.0727</v>
      </c>
      <c r="I891" s="83">
        <v>1</v>
      </c>
      <c r="J891" s="79">
        <v>29</v>
      </c>
      <c r="K891" s="79"/>
      <c r="L891" s="80">
        <v>0</v>
      </c>
      <c r="M891" s="80"/>
      <c r="N891" s="86">
        <v>398</v>
      </c>
      <c r="O891" s="86"/>
      <c r="P891" s="79">
        <v>16</v>
      </c>
      <c r="Q891" s="87"/>
    </row>
    <row r="892" ht="15" spans="1:17">
      <c r="A892" s="89">
        <v>43426</v>
      </c>
      <c r="B892" s="78"/>
      <c r="C892" s="79">
        <v>5</v>
      </c>
      <c r="D892" s="88"/>
      <c r="E892" s="79">
        <v>100</v>
      </c>
      <c r="F892" s="80">
        <v>0.5273</v>
      </c>
      <c r="G892" s="79">
        <v>95</v>
      </c>
      <c r="H892" s="80">
        <v>0.5273</v>
      </c>
      <c r="I892" s="83">
        <v>0.98</v>
      </c>
      <c r="J892" s="79">
        <v>16</v>
      </c>
      <c r="K892" s="79"/>
      <c r="L892" s="80">
        <v>0.1395</v>
      </c>
      <c r="M892" s="80"/>
      <c r="N892" s="86">
        <v>495</v>
      </c>
      <c r="O892" s="86"/>
      <c r="P892" s="79">
        <v>8</v>
      </c>
      <c r="Q892" s="87"/>
    </row>
    <row r="893" ht="15" spans="1:17">
      <c r="A893" s="89">
        <v>43426</v>
      </c>
      <c r="B893" s="78"/>
      <c r="C893" s="79">
        <v>3</v>
      </c>
      <c r="D893" s="88"/>
      <c r="E893" s="79">
        <v>60</v>
      </c>
      <c r="F893" s="80">
        <v>0.0091</v>
      </c>
      <c r="G893" s="79">
        <v>91</v>
      </c>
      <c r="H893" s="80">
        <v>0.0091</v>
      </c>
      <c r="I893" s="83">
        <v>1</v>
      </c>
      <c r="J893" s="79">
        <v>14</v>
      </c>
      <c r="K893" s="79"/>
      <c r="L893" s="80">
        <v>0</v>
      </c>
      <c r="M893" s="80"/>
      <c r="N893" s="86">
        <v>431</v>
      </c>
      <c r="O893" s="86"/>
      <c r="P893" s="79">
        <v>7</v>
      </c>
      <c r="Q893" s="87"/>
    </row>
    <row r="894" ht="15" spans="1:17">
      <c r="A894" s="89">
        <v>43426</v>
      </c>
      <c r="B894" s="78"/>
      <c r="C894" s="79">
        <v>1</v>
      </c>
      <c r="D894" s="88"/>
      <c r="E894" s="79">
        <v>100</v>
      </c>
      <c r="F894" s="80">
        <v>0.1182</v>
      </c>
      <c r="G894" s="79">
        <v>13</v>
      </c>
      <c r="H894" s="80">
        <v>0.1182</v>
      </c>
      <c r="I894" s="83">
        <v>1</v>
      </c>
      <c r="J894" s="79">
        <v>8</v>
      </c>
      <c r="K894" s="79"/>
      <c r="L894" s="80">
        <v>0</v>
      </c>
      <c r="M894" s="80"/>
      <c r="N894" s="86">
        <v>255</v>
      </c>
      <c r="O894" s="86"/>
      <c r="P894" s="79">
        <v>3</v>
      </c>
      <c r="Q894" s="87"/>
    </row>
    <row r="895" ht="15" spans="1:17">
      <c r="A895" s="89">
        <v>43426</v>
      </c>
      <c r="B895" s="78"/>
      <c r="C895" s="79">
        <v>6</v>
      </c>
      <c r="D895" s="88"/>
      <c r="E895" s="79">
        <v>41</v>
      </c>
      <c r="F895" s="80">
        <v>0.0545</v>
      </c>
      <c r="G895" s="79">
        <v>64</v>
      </c>
      <c r="H895" s="80">
        <v>0.0545</v>
      </c>
      <c r="I895" s="83">
        <v>1</v>
      </c>
      <c r="J895" s="79">
        <v>4</v>
      </c>
      <c r="K895" s="79"/>
      <c r="L895" s="80">
        <v>0.1667</v>
      </c>
      <c r="M895" s="80"/>
      <c r="N895" s="86">
        <v>106</v>
      </c>
      <c r="O895" s="86"/>
      <c r="P895" s="79">
        <v>4</v>
      </c>
      <c r="Q895" s="87"/>
    </row>
    <row r="896" ht="15" spans="1:17">
      <c r="A896" s="89">
        <v>43426</v>
      </c>
      <c r="B896" s="78"/>
      <c r="C896" s="79">
        <v>7</v>
      </c>
      <c r="D896" s="88"/>
      <c r="E896" s="79">
        <v>3</v>
      </c>
      <c r="F896" s="80">
        <v>0.1</v>
      </c>
      <c r="G896" s="79">
        <v>63</v>
      </c>
      <c r="H896" s="80">
        <v>0.1</v>
      </c>
      <c r="I896" s="83">
        <v>1</v>
      </c>
      <c r="J896" s="79">
        <v>20</v>
      </c>
      <c r="K896" s="79"/>
      <c r="L896" s="80">
        <v>0.2</v>
      </c>
      <c r="M896" s="80"/>
      <c r="N896" s="86">
        <v>422</v>
      </c>
      <c r="O896" s="86"/>
      <c r="P896" s="79">
        <v>3</v>
      </c>
      <c r="Q896" s="87"/>
    </row>
    <row r="897" ht="15" spans="1:17">
      <c r="A897" s="89">
        <v>43426</v>
      </c>
      <c r="B897" s="78"/>
      <c r="C897" s="79">
        <v>8</v>
      </c>
      <c r="D897" s="88"/>
      <c r="E897" s="79">
        <v>92</v>
      </c>
      <c r="F897" s="80">
        <v>0.0182</v>
      </c>
      <c r="G897" s="79">
        <v>75</v>
      </c>
      <c r="H897" s="80">
        <v>0.0182</v>
      </c>
      <c r="I897" s="83">
        <v>1</v>
      </c>
      <c r="J897" s="79">
        <v>14</v>
      </c>
      <c r="K897" s="79"/>
      <c r="L897" s="80">
        <v>0</v>
      </c>
      <c r="M897" s="80"/>
      <c r="N897" s="86">
        <v>152</v>
      </c>
      <c r="O897" s="86"/>
      <c r="P897" s="79">
        <v>2</v>
      </c>
      <c r="Q897" s="87"/>
    </row>
    <row r="898" ht="15" spans="1:17">
      <c r="A898" s="89">
        <v>43426</v>
      </c>
      <c r="B898" s="78"/>
      <c r="C898" s="79">
        <v>9</v>
      </c>
      <c r="D898" s="88"/>
      <c r="E898" s="79">
        <v>24</v>
      </c>
      <c r="F898" s="80">
        <v>0.0091</v>
      </c>
      <c r="G898" s="79">
        <v>15</v>
      </c>
      <c r="H898" s="80">
        <v>0.0091</v>
      </c>
      <c r="I898" s="83">
        <v>1</v>
      </c>
      <c r="J898" s="79">
        <v>6</v>
      </c>
      <c r="K898" s="79"/>
      <c r="L898" s="80">
        <v>0</v>
      </c>
      <c r="M898" s="80"/>
      <c r="N898" s="86">
        <v>70</v>
      </c>
      <c r="O898" s="86"/>
      <c r="P898" s="79">
        <v>2</v>
      </c>
      <c r="Q898" s="87"/>
    </row>
    <row r="899" ht="15" spans="1:17">
      <c r="A899" s="89">
        <v>43426</v>
      </c>
      <c r="B899" s="78"/>
      <c r="C899" s="79">
        <v>3</v>
      </c>
      <c r="D899" s="88"/>
      <c r="E899" s="79">
        <v>4</v>
      </c>
      <c r="F899" s="80">
        <v>0.0091</v>
      </c>
      <c r="G899" s="79">
        <v>47</v>
      </c>
      <c r="H899" s="80">
        <v>0.0091</v>
      </c>
      <c r="I899" s="83">
        <v>1</v>
      </c>
      <c r="J899" s="79">
        <v>29</v>
      </c>
      <c r="K899" s="79"/>
      <c r="L899" s="80">
        <v>0</v>
      </c>
      <c r="M899" s="80"/>
      <c r="N899" s="86">
        <v>165</v>
      </c>
      <c r="O899" s="86"/>
      <c r="P899" s="79">
        <v>9</v>
      </c>
      <c r="Q899" s="87"/>
    </row>
    <row r="900" ht="15" spans="1:17">
      <c r="A900" s="89">
        <v>43426</v>
      </c>
      <c r="B900" s="78"/>
      <c r="C900" s="79">
        <v>11</v>
      </c>
      <c r="D900" s="88"/>
      <c r="E900" s="79">
        <v>18</v>
      </c>
      <c r="F900" s="80">
        <v>0.0091</v>
      </c>
      <c r="G900" s="79">
        <v>48</v>
      </c>
      <c r="H900" s="80">
        <v>0.0091</v>
      </c>
      <c r="I900" s="83">
        <v>1</v>
      </c>
      <c r="J900" s="79">
        <v>19</v>
      </c>
      <c r="K900" s="79"/>
      <c r="L900" s="80">
        <v>0</v>
      </c>
      <c r="M900" s="80"/>
      <c r="N900" s="86">
        <v>440</v>
      </c>
      <c r="O900" s="86"/>
      <c r="P900" s="79">
        <v>1</v>
      </c>
      <c r="Q900" s="87"/>
    </row>
    <row r="901" ht="15" spans="1:17">
      <c r="A901" s="89">
        <v>43426</v>
      </c>
      <c r="B901" s="78"/>
      <c r="C901" s="79">
        <v>3</v>
      </c>
      <c r="D901" s="88"/>
      <c r="E901" s="79">
        <v>51</v>
      </c>
      <c r="F901" s="80">
        <v>0.0091</v>
      </c>
      <c r="G901" s="79">
        <v>48</v>
      </c>
      <c r="H901" s="80">
        <v>0.0091</v>
      </c>
      <c r="I901" s="83">
        <v>1</v>
      </c>
      <c r="J901" s="79">
        <v>22</v>
      </c>
      <c r="K901" s="79"/>
      <c r="L901" s="80">
        <v>0</v>
      </c>
      <c r="M901" s="80"/>
      <c r="N901" s="86">
        <v>292</v>
      </c>
      <c r="O901" s="86"/>
      <c r="P901" s="79">
        <v>8</v>
      </c>
      <c r="Q901" s="87"/>
    </row>
    <row r="902" ht="15" spans="1:17">
      <c r="A902" s="89">
        <v>43427</v>
      </c>
      <c r="B902" s="78"/>
      <c r="C902" s="79">
        <v>4</v>
      </c>
      <c r="D902" s="88"/>
      <c r="E902" s="79">
        <v>18</v>
      </c>
      <c r="F902" s="80">
        <v>0.0023</v>
      </c>
      <c r="G902" s="79">
        <v>18</v>
      </c>
      <c r="H902" s="80">
        <v>0.0023</v>
      </c>
      <c r="I902" s="83">
        <v>1</v>
      </c>
      <c r="J902" s="79">
        <v>9</v>
      </c>
      <c r="K902" s="79"/>
      <c r="L902" s="80">
        <v>0</v>
      </c>
      <c r="M902" s="80"/>
      <c r="N902" s="86">
        <v>95</v>
      </c>
      <c r="O902" s="86"/>
      <c r="P902" s="79">
        <v>5</v>
      </c>
      <c r="Q902" s="87"/>
    </row>
    <row r="903" ht="15" spans="1:17">
      <c r="A903" s="89">
        <v>43427</v>
      </c>
      <c r="B903" s="78"/>
      <c r="C903" s="79">
        <v>2</v>
      </c>
      <c r="D903" s="88"/>
      <c r="E903" s="79">
        <v>63</v>
      </c>
      <c r="F903" s="80">
        <v>0.032</v>
      </c>
      <c r="G903" s="79">
        <v>73</v>
      </c>
      <c r="H903" s="80">
        <v>0.032</v>
      </c>
      <c r="I903" s="83">
        <v>1</v>
      </c>
      <c r="J903" s="79">
        <v>30</v>
      </c>
      <c r="K903" s="79"/>
      <c r="L903" s="80">
        <v>0</v>
      </c>
      <c r="M903" s="80"/>
      <c r="N903" s="86">
        <v>58</v>
      </c>
      <c r="O903" s="86"/>
      <c r="P903" s="79">
        <v>18</v>
      </c>
      <c r="Q903" s="87"/>
    </row>
    <row r="904" ht="15" spans="1:17">
      <c r="A904" s="89">
        <v>43427</v>
      </c>
      <c r="B904" s="78"/>
      <c r="C904" s="79">
        <v>5</v>
      </c>
      <c r="D904" s="88"/>
      <c r="E904" s="79">
        <v>15</v>
      </c>
      <c r="F904" s="80">
        <v>0.7872</v>
      </c>
      <c r="G904" s="79">
        <v>73</v>
      </c>
      <c r="H904" s="80">
        <v>0.7872</v>
      </c>
      <c r="I904" s="83">
        <v>1</v>
      </c>
      <c r="J904" s="79">
        <v>9</v>
      </c>
      <c r="K904" s="79"/>
      <c r="L904" s="80">
        <v>0.456</v>
      </c>
      <c r="M904" s="80"/>
      <c r="N904" s="86">
        <v>322</v>
      </c>
      <c r="O904" s="86"/>
      <c r="P904" s="79">
        <v>18</v>
      </c>
      <c r="Q904" s="87"/>
    </row>
    <row r="905" ht="15" spans="1:17">
      <c r="A905" s="89">
        <v>43427</v>
      </c>
      <c r="B905" s="78"/>
      <c r="C905" s="79">
        <v>1</v>
      </c>
      <c r="D905" s="88"/>
      <c r="E905" s="79">
        <v>46</v>
      </c>
      <c r="F905" s="80">
        <v>0.0709</v>
      </c>
      <c r="G905" s="79">
        <v>20</v>
      </c>
      <c r="H905" s="80">
        <v>0.0709</v>
      </c>
      <c r="I905" s="83">
        <v>0.97</v>
      </c>
      <c r="J905" s="79">
        <v>9</v>
      </c>
      <c r="K905" s="79"/>
      <c r="L905" s="80">
        <v>0</v>
      </c>
      <c r="M905" s="80"/>
      <c r="N905" s="86">
        <v>144</v>
      </c>
      <c r="O905" s="86"/>
      <c r="P905" s="79">
        <v>0</v>
      </c>
      <c r="Q905" s="87"/>
    </row>
    <row r="906" ht="15" spans="1:17">
      <c r="A906" s="89">
        <v>43427</v>
      </c>
      <c r="B906" s="78"/>
      <c r="C906" s="79">
        <v>6</v>
      </c>
      <c r="D906" s="88"/>
      <c r="E906" s="79">
        <v>64</v>
      </c>
      <c r="F906" s="80">
        <v>0.0412</v>
      </c>
      <c r="G906" s="79">
        <v>15</v>
      </c>
      <c r="H906" s="80">
        <v>0.0412</v>
      </c>
      <c r="I906" s="83">
        <v>1</v>
      </c>
      <c r="J906" s="79">
        <v>20</v>
      </c>
      <c r="K906" s="79"/>
      <c r="L906" s="80">
        <v>0.3333</v>
      </c>
      <c r="M906" s="80"/>
      <c r="N906" s="86">
        <v>462</v>
      </c>
      <c r="O906" s="86"/>
      <c r="P906" s="79">
        <v>9</v>
      </c>
      <c r="Q906" s="87"/>
    </row>
    <row r="907" ht="15" spans="1:17">
      <c r="A907" s="89">
        <v>43427</v>
      </c>
      <c r="B907" s="78"/>
      <c r="C907" s="79">
        <v>7</v>
      </c>
      <c r="D907" s="88"/>
      <c r="E907" s="79">
        <v>71</v>
      </c>
      <c r="F907" s="80">
        <v>0.0664</v>
      </c>
      <c r="G907" s="79">
        <v>91</v>
      </c>
      <c r="H907" s="80">
        <v>0.0664</v>
      </c>
      <c r="I907" s="83">
        <v>0.97</v>
      </c>
      <c r="J907" s="79">
        <v>0</v>
      </c>
      <c r="K907" s="79"/>
      <c r="L907" s="80">
        <v>0.2143</v>
      </c>
      <c r="M907" s="80"/>
      <c r="N907" s="86">
        <v>258</v>
      </c>
      <c r="O907" s="86"/>
      <c r="P907" s="79">
        <v>10</v>
      </c>
      <c r="Q907" s="87"/>
    </row>
    <row r="908" ht="15" spans="1:17">
      <c r="A908" s="89">
        <v>43428</v>
      </c>
      <c r="B908" s="78"/>
      <c r="C908" s="79">
        <v>4</v>
      </c>
      <c r="D908" s="88"/>
      <c r="E908" s="79">
        <v>64</v>
      </c>
      <c r="F908" s="80">
        <v>0.0229</v>
      </c>
      <c r="G908" s="79">
        <v>67</v>
      </c>
      <c r="H908" s="80">
        <v>0.0229</v>
      </c>
      <c r="I908" s="83">
        <v>1</v>
      </c>
      <c r="J908" s="79">
        <v>25</v>
      </c>
      <c r="K908" s="79"/>
      <c r="L908" s="80">
        <v>0</v>
      </c>
      <c r="M908" s="80"/>
      <c r="N908" s="86">
        <v>362</v>
      </c>
      <c r="O908" s="86"/>
      <c r="P908" s="79">
        <v>5</v>
      </c>
      <c r="Q908" s="87"/>
    </row>
    <row r="909" ht="15" spans="1:17">
      <c r="A909" s="89">
        <v>43428</v>
      </c>
      <c r="B909" s="78"/>
      <c r="C909" s="79">
        <v>2</v>
      </c>
      <c r="D909" s="88"/>
      <c r="E909" s="79">
        <v>46</v>
      </c>
      <c r="F909" s="80">
        <v>0.0458</v>
      </c>
      <c r="G909" s="79">
        <v>50</v>
      </c>
      <c r="H909" s="80">
        <v>0.0458</v>
      </c>
      <c r="I909" s="83">
        <v>1</v>
      </c>
      <c r="J909" s="79">
        <v>14</v>
      </c>
      <c r="K909" s="79"/>
      <c r="L909" s="80">
        <v>0</v>
      </c>
      <c r="M909" s="80"/>
      <c r="N909" s="86">
        <v>211</v>
      </c>
      <c r="O909" s="86"/>
      <c r="P909" s="79">
        <v>20</v>
      </c>
      <c r="Q909" s="87"/>
    </row>
    <row r="910" ht="15" spans="1:17">
      <c r="A910" s="89">
        <v>43428</v>
      </c>
      <c r="B910" s="78"/>
      <c r="C910" s="79">
        <v>5</v>
      </c>
      <c r="D910" s="88"/>
      <c r="E910" s="79">
        <v>14</v>
      </c>
      <c r="F910" s="80">
        <v>0.6489</v>
      </c>
      <c r="G910" s="79">
        <v>19</v>
      </c>
      <c r="H910" s="80">
        <v>0.6489</v>
      </c>
      <c r="I910" s="83">
        <v>0.99</v>
      </c>
      <c r="J910" s="79">
        <v>23</v>
      </c>
      <c r="K910" s="79"/>
      <c r="L910" s="80">
        <v>0.1186</v>
      </c>
      <c r="M910" s="80"/>
      <c r="N910" s="86">
        <v>127</v>
      </c>
      <c r="O910" s="86"/>
      <c r="P910" s="79">
        <v>11</v>
      </c>
      <c r="Q910" s="87"/>
    </row>
    <row r="911" ht="15" spans="1:17">
      <c r="A911" s="89">
        <v>43428</v>
      </c>
      <c r="B911" s="78"/>
      <c r="C911" s="79">
        <v>3</v>
      </c>
      <c r="D911" s="88"/>
      <c r="E911" s="79">
        <v>55</v>
      </c>
      <c r="F911" s="80">
        <v>0.0076</v>
      </c>
      <c r="G911" s="79">
        <v>42</v>
      </c>
      <c r="H911" s="80">
        <v>0.0076</v>
      </c>
      <c r="I911" s="83">
        <v>1</v>
      </c>
      <c r="J911" s="79">
        <v>14</v>
      </c>
      <c r="K911" s="79"/>
      <c r="L911" s="80">
        <v>0</v>
      </c>
      <c r="M911" s="80"/>
      <c r="N911" s="86">
        <v>387</v>
      </c>
      <c r="O911" s="86"/>
      <c r="P911" s="79">
        <v>5</v>
      </c>
      <c r="Q911" s="87"/>
    </row>
    <row r="912" ht="15" spans="1:17">
      <c r="A912" s="89">
        <v>43428</v>
      </c>
      <c r="B912" s="78"/>
      <c r="C912" s="79">
        <v>1</v>
      </c>
      <c r="D912" s="88"/>
      <c r="E912" s="79">
        <v>74</v>
      </c>
      <c r="F912" s="80">
        <v>0.1069</v>
      </c>
      <c r="G912" s="79">
        <v>23</v>
      </c>
      <c r="H912" s="80">
        <v>0.1069</v>
      </c>
      <c r="I912" s="83">
        <v>1</v>
      </c>
      <c r="J912" s="79">
        <v>15</v>
      </c>
      <c r="K912" s="79"/>
      <c r="L912" s="80">
        <v>0.1667</v>
      </c>
      <c r="M912" s="80"/>
      <c r="N912" s="86">
        <v>98</v>
      </c>
      <c r="O912" s="86"/>
      <c r="P912" s="79">
        <v>11</v>
      </c>
      <c r="Q912" s="87"/>
    </row>
    <row r="913" ht="15" spans="1:17">
      <c r="A913" s="89">
        <v>43428</v>
      </c>
      <c r="B913" s="78"/>
      <c r="C913" s="79">
        <v>6</v>
      </c>
      <c r="D913" s="88"/>
      <c r="E913" s="79">
        <v>2</v>
      </c>
      <c r="F913" s="80">
        <v>0.0992</v>
      </c>
      <c r="G913" s="79">
        <v>22</v>
      </c>
      <c r="H913" s="80">
        <v>0.0992</v>
      </c>
      <c r="I913" s="83">
        <v>1</v>
      </c>
      <c r="J913" s="79">
        <v>25</v>
      </c>
      <c r="K913" s="79"/>
      <c r="L913" s="80">
        <v>0.2</v>
      </c>
      <c r="M913" s="80"/>
      <c r="N913" s="86">
        <v>332</v>
      </c>
      <c r="O913" s="86"/>
      <c r="P913" s="79">
        <v>0</v>
      </c>
      <c r="Q913" s="87"/>
    </row>
    <row r="914" ht="15" spans="1:17">
      <c r="A914" s="89">
        <v>43428</v>
      </c>
      <c r="B914" s="78"/>
      <c r="C914" s="79">
        <v>7</v>
      </c>
      <c r="D914" s="88"/>
      <c r="E914" s="79">
        <v>1</v>
      </c>
      <c r="F914" s="80">
        <v>0.0687</v>
      </c>
      <c r="G914" s="79">
        <v>36</v>
      </c>
      <c r="H914" s="80">
        <v>0.0687</v>
      </c>
      <c r="I914" s="83">
        <v>1</v>
      </c>
      <c r="J914" s="79">
        <v>24</v>
      </c>
      <c r="K914" s="79"/>
      <c r="L914" s="80">
        <v>0.125</v>
      </c>
      <c r="M914" s="80"/>
      <c r="N914" s="86">
        <v>290</v>
      </c>
      <c r="O914" s="86"/>
      <c r="P914" s="79">
        <v>2</v>
      </c>
      <c r="Q914" s="87"/>
    </row>
    <row r="915" spans="1:17">
      <c r="A915" s="89">
        <v>43429</v>
      </c>
      <c r="B915" s="78"/>
      <c r="C915" s="79">
        <v>4</v>
      </c>
      <c r="D915" s="79"/>
      <c r="E915" s="79">
        <v>30</v>
      </c>
      <c r="F915" s="80">
        <v>0.0187</v>
      </c>
      <c r="G915" s="79">
        <v>26</v>
      </c>
      <c r="H915" s="80">
        <v>0.0187</v>
      </c>
      <c r="I915" s="83">
        <v>1</v>
      </c>
      <c r="J915" s="79">
        <v>8</v>
      </c>
      <c r="K915" s="79"/>
      <c r="L915" s="80">
        <v>0</v>
      </c>
      <c r="M915" s="80"/>
      <c r="N915" s="86">
        <v>82</v>
      </c>
      <c r="O915" s="86"/>
      <c r="P915" s="79">
        <v>1</v>
      </c>
      <c r="Q915" s="87"/>
    </row>
    <row r="916" spans="1:17">
      <c r="A916" s="89">
        <v>43429</v>
      </c>
      <c r="B916" s="78"/>
      <c r="C916" s="79">
        <v>2</v>
      </c>
      <c r="D916" s="79"/>
      <c r="E916" s="79">
        <v>6</v>
      </c>
      <c r="F916" s="80">
        <v>0.028</v>
      </c>
      <c r="G916" s="79">
        <v>31</v>
      </c>
      <c r="H916" s="80">
        <v>0.028</v>
      </c>
      <c r="I916" s="83">
        <v>1</v>
      </c>
      <c r="J916" s="79">
        <v>0</v>
      </c>
      <c r="K916" s="79"/>
      <c r="L916" s="80">
        <v>0.3333</v>
      </c>
      <c r="M916" s="80"/>
      <c r="N916" s="86">
        <v>75</v>
      </c>
      <c r="O916" s="86"/>
      <c r="P916" s="79">
        <v>3</v>
      </c>
      <c r="Q916" s="87"/>
    </row>
    <row r="917" spans="1:17">
      <c r="A917" s="89">
        <v>43429</v>
      </c>
      <c r="B917" s="78"/>
      <c r="C917" s="79">
        <v>5</v>
      </c>
      <c r="D917" s="79"/>
      <c r="E917" s="79">
        <v>51</v>
      </c>
      <c r="F917" s="80">
        <v>0.6449</v>
      </c>
      <c r="G917" s="79">
        <v>24</v>
      </c>
      <c r="H917" s="80">
        <v>0.6449</v>
      </c>
      <c r="I917" s="83">
        <v>1</v>
      </c>
      <c r="J917" s="79">
        <v>19</v>
      </c>
      <c r="K917" s="79"/>
      <c r="L917" s="80">
        <v>0.2222</v>
      </c>
      <c r="M917" s="80"/>
      <c r="N917" s="86">
        <v>137</v>
      </c>
      <c r="O917" s="86"/>
      <c r="P917" s="79">
        <v>16</v>
      </c>
      <c r="Q917" s="87"/>
    </row>
    <row r="918" spans="1:17">
      <c r="A918" s="89">
        <v>43429</v>
      </c>
      <c r="B918" s="78"/>
      <c r="C918" s="79">
        <v>1</v>
      </c>
      <c r="D918" s="79"/>
      <c r="E918" s="79">
        <v>12</v>
      </c>
      <c r="F918" s="80">
        <v>0.0841</v>
      </c>
      <c r="G918" s="79">
        <v>66</v>
      </c>
      <c r="H918" s="80">
        <v>0.0841</v>
      </c>
      <c r="I918" s="83">
        <v>1</v>
      </c>
      <c r="J918" s="79">
        <v>24</v>
      </c>
      <c r="K918" s="79"/>
      <c r="L918" s="80">
        <v>0</v>
      </c>
      <c r="M918" s="80"/>
      <c r="N918" s="86">
        <v>68</v>
      </c>
      <c r="O918" s="86"/>
      <c r="P918" s="79">
        <v>20</v>
      </c>
      <c r="Q918" s="87"/>
    </row>
    <row r="919" spans="1:17">
      <c r="A919" s="89">
        <v>43429</v>
      </c>
      <c r="B919" s="78"/>
      <c r="C919" s="79">
        <v>6</v>
      </c>
      <c r="D919" s="79"/>
      <c r="E919" s="79">
        <v>11</v>
      </c>
      <c r="F919" s="80">
        <v>0.0748</v>
      </c>
      <c r="G919" s="79">
        <v>75</v>
      </c>
      <c r="H919" s="80">
        <v>0.0748</v>
      </c>
      <c r="I919" s="83">
        <v>0.88</v>
      </c>
      <c r="J919" s="79">
        <v>19</v>
      </c>
      <c r="K919" s="79"/>
      <c r="L919" s="80">
        <v>0.8333</v>
      </c>
      <c r="M919" s="80"/>
      <c r="N919" s="86">
        <v>416</v>
      </c>
      <c r="O919" s="86"/>
      <c r="P919" s="79">
        <v>1</v>
      </c>
      <c r="Q919" s="87"/>
    </row>
    <row r="920" spans="1:17">
      <c r="A920" s="89">
        <v>43429</v>
      </c>
      <c r="B920" s="78"/>
      <c r="C920" s="79">
        <v>7</v>
      </c>
      <c r="D920" s="79"/>
      <c r="E920" s="79">
        <v>72</v>
      </c>
      <c r="F920" s="80">
        <v>0.1402</v>
      </c>
      <c r="G920" s="79">
        <v>37</v>
      </c>
      <c r="H920" s="80">
        <v>0.1402</v>
      </c>
      <c r="I920" s="83">
        <v>0.93</v>
      </c>
      <c r="J920" s="79">
        <v>0</v>
      </c>
      <c r="K920" s="79"/>
      <c r="L920" s="80">
        <v>0.1</v>
      </c>
      <c r="M920" s="80"/>
      <c r="N920" s="86">
        <v>127</v>
      </c>
      <c r="O920" s="86"/>
      <c r="P920" s="79">
        <v>10</v>
      </c>
      <c r="Q920" s="87"/>
    </row>
    <row r="921" spans="1:17">
      <c r="A921" s="89">
        <v>43429</v>
      </c>
      <c r="B921" s="78"/>
      <c r="C921" s="79">
        <v>8</v>
      </c>
      <c r="D921" s="79"/>
      <c r="E921" s="79">
        <v>10</v>
      </c>
      <c r="F921" s="80">
        <v>0.0093</v>
      </c>
      <c r="G921" s="79">
        <v>50</v>
      </c>
      <c r="H921" s="80">
        <v>0.0093</v>
      </c>
      <c r="I921" s="83">
        <v>0</v>
      </c>
      <c r="J921" s="79">
        <v>8</v>
      </c>
      <c r="K921" s="79"/>
      <c r="L921" s="80">
        <v>0</v>
      </c>
      <c r="M921" s="80"/>
      <c r="N921" s="86">
        <v>220</v>
      </c>
      <c r="O921" s="86"/>
      <c r="P921" s="79">
        <v>17</v>
      </c>
      <c r="Q921" s="87"/>
    </row>
    <row r="922" ht="15" spans="1:17">
      <c r="A922" s="89">
        <v>43430</v>
      </c>
      <c r="B922" s="78"/>
      <c r="C922" s="79">
        <v>2</v>
      </c>
      <c r="D922" s="88"/>
      <c r="E922" s="79">
        <v>95</v>
      </c>
      <c r="F922" s="80">
        <v>0.0531</v>
      </c>
      <c r="G922" s="79">
        <v>100</v>
      </c>
      <c r="H922" s="80">
        <v>0.0531</v>
      </c>
      <c r="I922" s="83">
        <v>1</v>
      </c>
      <c r="J922" s="79">
        <v>25</v>
      </c>
      <c r="K922" s="79"/>
      <c r="L922" s="80">
        <v>0.3333</v>
      </c>
      <c r="M922" s="80"/>
      <c r="N922" s="86">
        <v>139</v>
      </c>
      <c r="O922" s="86"/>
      <c r="P922" s="79">
        <v>11</v>
      </c>
      <c r="Q922" s="87"/>
    </row>
    <row r="923" ht="15" spans="1:17">
      <c r="A923" s="89">
        <v>43430</v>
      </c>
      <c r="B923" s="78"/>
      <c r="C923" s="79">
        <v>5</v>
      </c>
      <c r="D923" s="88"/>
      <c r="E923" s="79">
        <v>15</v>
      </c>
      <c r="F923" s="80">
        <v>0.7005</v>
      </c>
      <c r="G923" s="79">
        <v>69</v>
      </c>
      <c r="H923" s="80">
        <v>0.7005</v>
      </c>
      <c r="I923" s="83">
        <v>1</v>
      </c>
      <c r="J923" s="79">
        <v>26</v>
      </c>
      <c r="K923" s="79"/>
      <c r="L923" s="80">
        <v>0.3069</v>
      </c>
      <c r="M923" s="80"/>
      <c r="N923" s="86">
        <v>274</v>
      </c>
      <c r="O923" s="86"/>
      <c r="P923" s="79">
        <v>2</v>
      </c>
      <c r="Q923" s="87"/>
    </row>
    <row r="924" ht="15" spans="1:17">
      <c r="A924" s="89">
        <v>43430</v>
      </c>
      <c r="B924" s="78"/>
      <c r="C924" s="79">
        <v>3</v>
      </c>
      <c r="D924" s="88"/>
      <c r="E924" s="79">
        <v>81</v>
      </c>
      <c r="F924" s="80">
        <v>0.0048</v>
      </c>
      <c r="G924" s="79">
        <v>9</v>
      </c>
      <c r="H924" s="80">
        <v>0.0048</v>
      </c>
      <c r="I924" s="83">
        <v>1</v>
      </c>
      <c r="J924" s="79">
        <v>27</v>
      </c>
      <c r="K924" s="79"/>
      <c r="L924" s="80">
        <v>0</v>
      </c>
      <c r="M924" s="80"/>
      <c r="N924" s="86">
        <v>420</v>
      </c>
      <c r="O924" s="86"/>
      <c r="P924" s="79">
        <v>7</v>
      </c>
      <c r="Q924" s="87"/>
    </row>
    <row r="925" ht="15" spans="1:17">
      <c r="A925" s="89">
        <v>43430</v>
      </c>
      <c r="B925" s="78"/>
      <c r="C925" s="79">
        <v>1</v>
      </c>
      <c r="D925" s="88"/>
      <c r="E925" s="79">
        <v>6</v>
      </c>
      <c r="F925" s="80">
        <v>0.029</v>
      </c>
      <c r="G925" s="79">
        <v>19</v>
      </c>
      <c r="H925" s="80">
        <v>0.029</v>
      </c>
      <c r="I925" s="83">
        <v>1</v>
      </c>
      <c r="J925" s="79">
        <v>3</v>
      </c>
      <c r="K925" s="79"/>
      <c r="L925" s="80">
        <v>0.2</v>
      </c>
      <c r="M925" s="80"/>
      <c r="N925" s="86">
        <v>84</v>
      </c>
      <c r="O925" s="86"/>
      <c r="P925" s="79">
        <v>18</v>
      </c>
      <c r="Q925" s="87"/>
    </row>
    <row r="926" ht="15" spans="1:17">
      <c r="A926" s="89">
        <v>43430</v>
      </c>
      <c r="B926" s="78"/>
      <c r="C926" s="79">
        <v>6</v>
      </c>
      <c r="D926" s="88"/>
      <c r="E926" s="79">
        <v>6</v>
      </c>
      <c r="F926" s="80">
        <v>0.0821</v>
      </c>
      <c r="G926" s="79">
        <v>52</v>
      </c>
      <c r="H926" s="80">
        <v>0.0821</v>
      </c>
      <c r="I926" s="83">
        <v>1</v>
      </c>
      <c r="J926" s="79">
        <v>25</v>
      </c>
      <c r="K926" s="79"/>
      <c r="L926" s="80">
        <v>0</v>
      </c>
      <c r="M926" s="80"/>
      <c r="N926" s="86">
        <v>401</v>
      </c>
      <c r="O926" s="86"/>
      <c r="P926" s="79">
        <v>5</v>
      </c>
      <c r="Q926" s="87"/>
    </row>
    <row r="927" ht="15" spans="1:17">
      <c r="A927" s="89">
        <v>43430</v>
      </c>
      <c r="B927" s="78"/>
      <c r="C927" s="79">
        <v>7</v>
      </c>
      <c r="D927" s="88"/>
      <c r="E927" s="79">
        <v>54</v>
      </c>
      <c r="F927" s="80">
        <v>0.1304</v>
      </c>
      <c r="G927" s="79">
        <v>9</v>
      </c>
      <c r="H927" s="80">
        <v>0.1304</v>
      </c>
      <c r="I927" s="83">
        <v>1</v>
      </c>
      <c r="J927" s="79">
        <v>29</v>
      </c>
      <c r="K927" s="79"/>
      <c r="L927" s="80">
        <v>0.3333</v>
      </c>
      <c r="M927" s="80"/>
      <c r="N927" s="86">
        <v>465</v>
      </c>
      <c r="O927" s="86"/>
      <c r="P927" s="79">
        <v>2</v>
      </c>
      <c r="Q927" s="87"/>
    </row>
    <row r="928" ht="15" spans="1:17">
      <c r="A928" s="89">
        <v>43431</v>
      </c>
      <c r="B928" s="78"/>
      <c r="C928" s="79">
        <v>4</v>
      </c>
      <c r="D928" s="88"/>
      <c r="E928" s="79">
        <v>85</v>
      </c>
      <c r="F928" s="80">
        <v>0.0101</v>
      </c>
      <c r="G928" s="79">
        <v>66</v>
      </c>
      <c r="H928" s="80">
        <v>0.0101</v>
      </c>
      <c r="I928" s="83">
        <v>1</v>
      </c>
      <c r="J928" s="79">
        <v>4</v>
      </c>
      <c r="K928" s="79"/>
      <c r="L928" s="80">
        <v>0</v>
      </c>
      <c r="M928" s="80"/>
      <c r="N928" s="86">
        <v>109</v>
      </c>
      <c r="O928" s="86"/>
      <c r="P928" s="79">
        <v>16</v>
      </c>
      <c r="Q928" s="87"/>
    </row>
    <row r="929" ht="15" spans="1:17">
      <c r="A929" s="89">
        <v>43431</v>
      </c>
      <c r="B929" s="78"/>
      <c r="C929" s="79">
        <v>2</v>
      </c>
      <c r="D929" s="88"/>
      <c r="E929" s="79">
        <v>97</v>
      </c>
      <c r="F929" s="80">
        <v>0.0354</v>
      </c>
      <c r="G929" s="79">
        <v>44</v>
      </c>
      <c r="H929" s="80">
        <v>0.0354</v>
      </c>
      <c r="I929" s="83">
        <v>1</v>
      </c>
      <c r="J929" s="79">
        <v>22</v>
      </c>
      <c r="K929" s="79"/>
      <c r="L929" s="80">
        <v>0</v>
      </c>
      <c r="M929" s="80"/>
      <c r="N929" s="86">
        <v>71</v>
      </c>
      <c r="O929" s="86"/>
      <c r="P929" s="79">
        <v>13</v>
      </c>
      <c r="Q929" s="87"/>
    </row>
    <row r="930" ht="15" spans="1:17">
      <c r="A930" s="89">
        <v>43431</v>
      </c>
      <c r="B930" s="78"/>
      <c r="C930" s="79">
        <v>5</v>
      </c>
      <c r="D930" s="88"/>
      <c r="E930" s="79">
        <v>13</v>
      </c>
      <c r="F930" s="80">
        <v>0.8131</v>
      </c>
      <c r="G930" s="79">
        <v>43</v>
      </c>
      <c r="H930" s="80">
        <v>0.8131</v>
      </c>
      <c r="I930" s="83">
        <v>1</v>
      </c>
      <c r="J930" s="79">
        <v>19</v>
      </c>
      <c r="K930" s="79"/>
      <c r="L930" s="80">
        <v>0.2</v>
      </c>
      <c r="M930" s="80"/>
      <c r="N930" s="86">
        <v>331</v>
      </c>
      <c r="O930" s="86"/>
      <c r="P930" s="79">
        <v>20</v>
      </c>
      <c r="Q930" s="87"/>
    </row>
    <row r="931" ht="15" spans="1:17">
      <c r="A931" s="89">
        <v>43431</v>
      </c>
      <c r="B931" s="78"/>
      <c r="C931" s="79">
        <v>1</v>
      </c>
      <c r="D931" s="88"/>
      <c r="E931" s="79">
        <v>82</v>
      </c>
      <c r="F931" s="80">
        <v>0.0455</v>
      </c>
      <c r="G931" s="79">
        <v>65</v>
      </c>
      <c r="H931" s="80">
        <v>0.0455</v>
      </c>
      <c r="I931" s="83">
        <v>1</v>
      </c>
      <c r="J931" s="79">
        <v>3</v>
      </c>
      <c r="K931" s="79"/>
      <c r="L931" s="80">
        <v>0.125</v>
      </c>
      <c r="M931" s="80"/>
      <c r="N931" s="86">
        <v>498</v>
      </c>
      <c r="O931" s="86"/>
      <c r="P931" s="79">
        <v>0</v>
      </c>
      <c r="Q931" s="87"/>
    </row>
    <row r="932" ht="15" spans="1:17">
      <c r="A932" s="89">
        <v>43431</v>
      </c>
      <c r="B932" s="78"/>
      <c r="C932" s="79">
        <v>6</v>
      </c>
      <c r="D932" s="88"/>
      <c r="E932" s="79">
        <v>18</v>
      </c>
      <c r="F932" s="80">
        <v>0.0354</v>
      </c>
      <c r="G932" s="79">
        <v>1</v>
      </c>
      <c r="H932" s="80">
        <v>0.0354</v>
      </c>
      <c r="I932" s="83">
        <v>1</v>
      </c>
      <c r="J932" s="79">
        <v>27</v>
      </c>
      <c r="K932" s="79"/>
      <c r="L932" s="80">
        <v>0.2</v>
      </c>
      <c r="M932" s="80"/>
      <c r="N932" s="86">
        <v>262</v>
      </c>
      <c r="O932" s="86"/>
      <c r="P932" s="79">
        <v>5</v>
      </c>
      <c r="Q932" s="87"/>
    </row>
    <row r="933" ht="15" spans="1:17">
      <c r="A933" s="89">
        <v>43431</v>
      </c>
      <c r="B933" s="78"/>
      <c r="C933" s="79">
        <v>7</v>
      </c>
      <c r="D933" s="88"/>
      <c r="E933" s="79">
        <v>70</v>
      </c>
      <c r="F933" s="80">
        <v>0.0505</v>
      </c>
      <c r="G933" s="79">
        <v>38</v>
      </c>
      <c r="H933" s="80">
        <v>0.0505</v>
      </c>
      <c r="I933" s="83">
        <v>1</v>
      </c>
      <c r="J933" s="79">
        <v>9</v>
      </c>
      <c r="K933" s="79"/>
      <c r="L933" s="80">
        <v>0</v>
      </c>
      <c r="M933" s="80"/>
      <c r="N933" s="86">
        <v>420</v>
      </c>
      <c r="O933" s="86"/>
      <c r="P933" s="79">
        <v>18</v>
      </c>
      <c r="Q933" s="87"/>
    </row>
    <row r="934" ht="15" spans="1:17">
      <c r="A934" s="89">
        <v>43431</v>
      </c>
      <c r="B934" s="78"/>
      <c r="C934" s="79">
        <v>10</v>
      </c>
      <c r="D934" s="88"/>
      <c r="E934" s="79">
        <v>67</v>
      </c>
      <c r="F934" s="80">
        <v>0.0101</v>
      </c>
      <c r="G934" s="79">
        <v>98</v>
      </c>
      <c r="H934" s="80">
        <v>0.0101</v>
      </c>
      <c r="I934" s="83">
        <v>1</v>
      </c>
      <c r="J934" s="79">
        <v>9</v>
      </c>
      <c r="K934" s="79"/>
      <c r="L934" s="80">
        <v>0</v>
      </c>
      <c r="M934" s="80"/>
      <c r="N934" s="86">
        <v>419</v>
      </c>
      <c r="O934" s="86"/>
      <c r="P934" s="79">
        <v>5</v>
      </c>
      <c r="Q934" s="87"/>
    </row>
    <row r="935" ht="15" spans="1:17">
      <c r="A935" s="89">
        <v>43431</v>
      </c>
      <c r="B935" s="78"/>
      <c r="C935" s="79">
        <v>8</v>
      </c>
      <c r="D935" s="88"/>
      <c r="E935" s="79">
        <v>87</v>
      </c>
      <c r="F935" s="80">
        <v>0</v>
      </c>
      <c r="G935" s="79">
        <v>88</v>
      </c>
      <c r="H935" s="80">
        <v>0</v>
      </c>
      <c r="I935" s="83">
        <v>0</v>
      </c>
      <c r="J935" s="79">
        <v>23</v>
      </c>
      <c r="K935" s="79"/>
      <c r="L935" s="80">
        <v>0</v>
      </c>
      <c r="M935" s="80"/>
      <c r="N935" s="86">
        <v>417</v>
      </c>
      <c r="O935" s="86"/>
      <c r="P935" s="79">
        <v>12</v>
      </c>
      <c r="Q935" s="87"/>
    </row>
    <row r="936" ht="15" spans="1:17">
      <c r="A936" s="89">
        <v>43432</v>
      </c>
      <c r="B936" s="78"/>
      <c r="C936" s="79">
        <v>5</v>
      </c>
      <c r="D936" s="88"/>
      <c r="E936" s="79">
        <v>75</v>
      </c>
      <c r="F936" s="80">
        <v>0.6491</v>
      </c>
      <c r="G936" s="79">
        <v>93</v>
      </c>
      <c r="H936" s="80">
        <v>0.6491</v>
      </c>
      <c r="I936" s="83">
        <v>1</v>
      </c>
      <c r="J936" s="79">
        <v>24</v>
      </c>
      <c r="K936" s="79"/>
      <c r="L936" s="80">
        <v>0.3962</v>
      </c>
      <c r="M936" s="80"/>
      <c r="N936" s="86">
        <v>121</v>
      </c>
      <c r="O936" s="86"/>
      <c r="P936" s="79">
        <v>1</v>
      </c>
      <c r="Q936" s="87"/>
    </row>
    <row r="937" ht="15" spans="1:17">
      <c r="A937" s="89">
        <v>43432</v>
      </c>
      <c r="B937" s="78"/>
      <c r="C937" s="79">
        <v>4</v>
      </c>
      <c r="D937" s="88"/>
      <c r="E937" s="79">
        <v>79</v>
      </c>
      <c r="F937" s="80">
        <v>0.0351</v>
      </c>
      <c r="G937" s="79">
        <v>7</v>
      </c>
      <c r="H937" s="80">
        <v>0.0351</v>
      </c>
      <c r="I937" s="83">
        <v>1</v>
      </c>
      <c r="J937" s="79">
        <v>7</v>
      </c>
      <c r="K937" s="79"/>
      <c r="L937" s="80">
        <v>0</v>
      </c>
      <c r="M937" s="80"/>
      <c r="N937" s="86">
        <v>425</v>
      </c>
      <c r="O937" s="86"/>
      <c r="P937" s="79">
        <v>10</v>
      </c>
      <c r="Q937" s="87"/>
    </row>
    <row r="938" ht="15" spans="1:17">
      <c r="A938" s="89">
        <v>43432</v>
      </c>
      <c r="B938" s="78"/>
      <c r="C938" s="79">
        <v>2</v>
      </c>
      <c r="D938" s="88"/>
      <c r="E938" s="79">
        <v>2</v>
      </c>
      <c r="F938" s="80">
        <v>0.0526</v>
      </c>
      <c r="G938" s="79">
        <v>74</v>
      </c>
      <c r="H938" s="80">
        <v>0.0526</v>
      </c>
      <c r="I938" s="83">
        <v>1</v>
      </c>
      <c r="J938" s="79">
        <v>16</v>
      </c>
      <c r="K938" s="79"/>
      <c r="L938" s="80">
        <v>0</v>
      </c>
      <c r="M938" s="80"/>
      <c r="N938" s="86">
        <v>300</v>
      </c>
      <c r="O938" s="86"/>
      <c r="P938" s="79">
        <v>15</v>
      </c>
      <c r="Q938" s="87"/>
    </row>
    <row r="939" ht="15" spans="1:17">
      <c r="A939" s="89">
        <v>43432</v>
      </c>
      <c r="B939" s="78"/>
      <c r="C939" s="79">
        <v>3</v>
      </c>
      <c r="D939" s="88"/>
      <c r="E939" s="79">
        <v>17</v>
      </c>
      <c r="F939" s="80">
        <v>0.0175</v>
      </c>
      <c r="G939" s="79">
        <v>11</v>
      </c>
      <c r="H939" s="80">
        <v>0.0175</v>
      </c>
      <c r="I939" s="83">
        <v>1</v>
      </c>
      <c r="J939" s="79">
        <v>23</v>
      </c>
      <c r="K939" s="79"/>
      <c r="L939" s="80">
        <v>0</v>
      </c>
      <c r="M939" s="80"/>
      <c r="N939" s="86">
        <v>473</v>
      </c>
      <c r="O939" s="86"/>
      <c r="P939" s="79">
        <v>13</v>
      </c>
      <c r="Q939" s="87"/>
    </row>
    <row r="940" ht="15" spans="1:17">
      <c r="A940" s="89">
        <v>43432</v>
      </c>
      <c r="B940" s="78"/>
      <c r="C940" s="79">
        <v>1</v>
      </c>
      <c r="D940" s="88"/>
      <c r="E940" s="79">
        <v>25</v>
      </c>
      <c r="F940" s="80">
        <v>0.0789</v>
      </c>
      <c r="G940" s="79">
        <v>22</v>
      </c>
      <c r="H940" s="80">
        <v>0.0789</v>
      </c>
      <c r="I940" s="83">
        <v>1</v>
      </c>
      <c r="J940" s="79">
        <v>14</v>
      </c>
      <c r="K940" s="79"/>
      <c r="L940" s="80">
        <v>0</v>
      </c>
      <c r="M940" s="80"/>
      <c r="N940" s="86">
        <v>493</v>
      </c>
      <c r="O940" s="86"/>
      <c r="P940" s="79">
        <v>6</v>
      </c>
      <c r="Q940" s="87"/>
    </row>
    <row r="941" ht="15" spans="1:17">
      <c r="A941" s="89">
        <v>43432</v>
      </c>
      <c r="B941" s="78"/>
      <c r="C941" s="79">
        <v>6</v>
      </c>
      <c r="D941" s="88"/>
      <c r="E941" s="79">
        <v>66</v>
      </c>
      <c r="F941" s="80">
        <v>0.0789</v>
      </c>
      <c r="G941" s="79">
        <v>45</v>
      </c>
      <c r="H941" s="80">
        <v>0.0789</v>
      </c>
      <c r="I941" s="83">
        <v>1</v>
      </c>
      <c r="J941" s="79">
        <v>6</v>
      </c>
      <c r="K941" s="79"/>
      <c r="L941" s="80">
        <v>0.4444</v>
      </c>
      <c r="M941" s="80"/>
      <c r="N941" s="86">
        <v>60</v>
      </c>
      <c r="O941" s="86"/>
      <c r="P941" s="79">
        <v>14</v>
      </c>
      <c r="Q941" s="87"/>
    </row>
    <row r="942" ht="15" spans="1:17">
      <c r="A942" s="89">
        <v>43432</v>
      </c>
      <c r="B942" s="78"/>
      <c r="C942" s="79">
        <v>7</v>
      </c>
      <c r="D942" s="88"/>
      <c r="E942" s="79">
        <v>81</v>
      </c>
      <c r="F942" s="80">
        <v>0.0702</v>
      </c>
      <c r="G942" s="79">
        <v>26</v>
      </c>
      <c r="H942" s="80">
        <v>0.0702</v>
      </c>
      <c r="I942" s="83">
        <v>1</v>
      </c>
      <c r="J942" s="79">
        <v>9</v>
      </c>
      <c r="K942" s="79"/>
      <c r="L942" s="80">
        <v>0</v>
      </c>
      <c r="M942" s="80"/>
      <c r="N942" s="86">
        <v>343</v>
      </c>
      <c r="O942" s="86"/>
      <c r="P942" s="79">
        <v>4</v>
      </c>
      <c r="Q942" s="87"/>
    </row>
    <row r="943" ht="15" spans="1:17">
      <c r="A943" s="89">
        <v>43432</v>
      </c>
      <c r="B943" s="78"/>
      <c r="C943" s="79">
        <v>10</v>
      </c>
      <c r="D943" s="88"/>
      <c r="E943" s="79">
        <v>74</v>
      </c>
      <c r="F943" s="80">
        <v>0.0088</v>
      </c>
      <c r="G943" s="79">
        <v>83</v>
      </c>
      <c r="H943" s="80">
        <v>0.0088</v>
      </c>
      <c r="I943" s="83">
        <v>1</v>
      </c>
      <c r="J943" s="79">
        <v>16</v>
      </c>
      <c r="K943" s="79"/>
      <c r="L943" s="80">
        <v>0</v>
      </c>
      <c r="M943" s="80"/>
      <c r="N943" s="86">
        <v>421</v>
      </c>
      <c r="O943" s="86"/>
      <c r="P943" s="79">
        <v>2</v>
      </c>
      <c r="Q943" s="87"/>
    </row>
    <row r="944" ht="15" spans="1:17">
      <c r="A944" s="89">
        <v>43432</v>
      </c>
      <c r="B944" s="78"/>
      <c r="C944" s="79">
        <v>8</v>
      </c>
      <c r="D944" s="88"/>
      <c r="E944" s="79">
        <v>83</v>
      </c>
      <c r="F944" s="80">
        <v>0.0088</v>
      </c>
      <c r="G944" s="79">
        <v>24</v>
      </c>
      <c r="H944" s="80">
        <v>0.0088</v>
      </c>
      <c r="I944" s="83">
        <v>1</v>
      </c>
      <c r="J944" s="79">
        <v>26</v>
      </c>
      <c r="K944" s="79"/>
      <c r="L944" s="80">
        <v>0</v>
      </c>
      <c r="M944" s="80"/>
      <c r="N944" s="86">
        <v>79</v>
      </c>
      <c r="O944" s="86"/>
      <c r="P944" s="79">
        <v>16</v>
      </c>
      <c r="Q944" s="87"/>
    </row>
    <row r="945" ht="15" spans="1:17">
      <c r="A945" s="89">
        <v>43433</v>
      </c>
      <c r="B945" s="78"/>
      <c r="C945" s="79">
        <v>4</v>
      </c>
      <c r="D945" s="88"/>
      <c r="E945" s="79">
        <v>51</v>
      </c>
      <c r="F945" s="80">
        <v>0.0956</v>
      </c>
      <c r="G945" s="79">
        <v>50</v>
      </c>
      <c r="H945" s="80">
        <v>0.0956</v>
      </c>
      <c r="I945" s="83">
        <v>1</v>
      </c>
      <c r="J945" s="79">
        <v>25</v>
      </c>
      <c r="K945" s="79"/>
      <c r="L945" s="80">
        <v>0</v>
      </c>
      <c r="M945" s="80"/>
      <c r="N945" s="86">
        <v>291</v>
      </c>
      <c r="O945" s="86"/>
      <c r="P945" s="79">
        <v>8</v>
      </c>
      <c r="Q945" s="87"/>
    </row>
    <row r="946" ht="15" spans="1:17">
      <c r="A946" s="89">
        <v>43433</v>
      </c>
      <c r="B946" s="78"/>
      <c r="C946" s="79">
        <v>2</v>
      </c>
      <c r="D946" s="88"/>
      <c r="E946" s="79">
        <v>97</v>
      </c>
      <c r="F946" s="80">
        <v>0.0441</v>
      </c>
      <c r="G946" s="79">
        <v>9</v>
      </c>
      <c r="H946" s="80">
        <v>0.0441</v>
      </c>
      <c r="I946" s="83">
        <v>1</v>
      </c>
      <c r="J946" s="79">
        <v>13</v>
      </c>
      <c r="K946" s="79"/>
      <c r="L946" s="80">
        <v>0</v>
      </c>
      <c r="M946" s="80"/>
      <c r="N946" s="86">
        <v>487</v>
      </c>
      <c r="O946" s="86"/>
      <c r="P946" s="79">
        <v>14</v>
      </c>
      <c r="Q946" s="87"/>
    </row>
    <row r="947" ht="15" spans="1:17">
      <c r="A947" s="89">
        <v>43433</v>
      </c>
      <c r="B947" s="78"/>
      <c r="C947" s="79">
        <v>5</v>
      </c>
      <c r="D947" s="88"/>
      <c r="E947" s="79">
        <v>60</v>
      </c>
      <c r="F947" s="80">
        <v>0.5588</v>
      </c>
      <c r="G947" s="79">
        <v>27</v>
      </c>
      <c r="H947" s="80">
        <v>0.5588</v>
      </c>
      <c r="I947" s="83">
        <v>0.99</v>
      </c>
      <c r="J947" s="79">
        <v>3</v>
      </c>
      <c r="K947" s="79"/>
      <c r="L947" s="80">
        <v>0.2623</v>
      </c>
      <c r="M947" s="80"/>
      <c r="N947" s="86">
        <v>363</v>
      </c>
      <c r="O947" s="86"/>
      <c r="P947" s="79">
        <v>9</v>
      </c>
      <c r="Q947" s="87"/>
    </row>
    <row r="948" ht="15" spans="1:17">
      <c r="A948" s="89">
        <v>43433</v>
      </c>
      <c r="B948" s="78"/>
      <c r="C948" s="79">
        <v>3</v>
      </c>
      <c r="D948" s="88"/>
      <c r="E948" s="79">
        <v>78</v>
      </c>
      <c r="F948" s="80">
        <v>0.0074</v>
      </c>
      <c r="G948" s="79">
        <v>12</v>
      </c>
      <c r="H948" s="80">
        <v>0.0074</v>
      </c>
      <c r="I948" s="83">
        <v>1</v>
      </c>
      <c r="J948" s="79">
        <v>19</v>
      </c>
      <c r="K948" s="79"/>
      <c r="L948" s="80">
        <v>0</v>
      </c>
      <c r="M948" s="80"/>
      <c r="N948" s="86">
        <v>207</v>
      </c>
      <c r="O948" s="86"/>
      <c r="P948" s="79">
        <v>2</v>
      </c>
      <c r="Q948" s="87"/>
    </row>
    <row r="949" ht="15" spans="1:17">
      <c r="A949" s="89">
        <v>43433</v>
      </c>
      <c r="B949" s="78"/>
      <c r="C949" s="79">
        <v>1</v>
      </c>
      <c r="D949" s="88"/>
      <c r="E949" s="79">
        <v>52</v>
      </c>
      <c r="F949" s="80">
        <v>0.0368</v>
      </c>
      <c r="G949" s="79">
        <v>42</v>
      </c>
      <c r="H949" s="80">
        <v>0.0368</v>
      </c>
      <c r="I949" s="83">
        <v>1</v>
      </c>
      <c r="J949" s="79">
        <v>14</v>
      </c>
      <c r="K949" s="79"/>
      <c r="L949" s="80">
        <v>0.25</v>
      </c>
      <c r="M949" s="80"/>
      <c r="N949" s="86">
        <v>493</v>
      </c>
      <c r="O949" s="86"/>
      <c r="P949" s="79">
        <v>1</v>
      </c>
      <c r="Q949" s="87"/>
    </row>
    <row r="950" ht="15" spans="1:17">
      <c r="A950" s="89">
        <v>43433</v>
      </c>
      <c r="B950" s="78"/>
      <c r="C950" s="79">
        <v>6</v>
      </c>
      <c r="D950" s="88"/>
      <c r="E950" s="79">
        <v>59</v>
      </c>
      <c r="F950" s="80">
        <v>0.1176</v>
      </c>
      <c r="G950" s="79">
        <v>98</v>
      </c>
      <c r="H950" s="80">
        <v>0.1176</v>
      </c>
      <c r="I950" s="83">
        <v>1</v>
      </c>
      <c r="J950" s="79">
        <v>5</v>
      </c>
      <c r="K950" s="79"/>
      <c r="L950" s="80">
        <v>0.3</v>
      </c>
      <c r="M950" s="80"/>
      <c r="N950" s="86">
        <v>428</v>
      </c>
      <c r="O950" s="86"/>
      <c r="P950" s="79">
        <v>12</v>
      </c>
      <c r="Q950" s="87"/>
    </row>
    <row r="951" ht="15" spans="1:17">
      <c r="A951" s="89">
        <v>43433</v>
      </c>
      <c r="B951" s="78"/>
      <c r="C951" s="79">
        <v>7</v>
      </c>
      <c r="D951" s="88"/>
      <c r="E951" s="79">
        <v>68</v>
      </c>
      <c r="F951" s="80">
        <v>0.1103</v>
      </c>
      <c r="G951" s="79">
        <v>47</v>
      </c>
      <c r="H951" s="80">
        <v>0.1103</v>
      </c>
      <c r="I951" s="83">
        <v>1</v>
      </c>
      <c r="J951" s="79">
        <v>26</v>
      </c>
      <c r="K951" s="79"/>
      <c r="L951" s="80">
        <v>0</v>
      </c>
      <c r="M951" s="80"/>
      <c r="N951" s="86">
        <v>186</v>
      </c>
      <c r="O951" s="86"/>
      <c r="P951" s="79">
        <v>8</v>
      </c>
      <c r="Q951" s="87"/>
    </row>
    <row r="952" ht="15" spans="1:17">
      <c r="A952" s="89">
        <v>43433</v>
      </c>
      <c r="B952" s="78"/>
      <c r="C952" s="79">
        <v>10</v>
      </c>
      <c r="D952" s="88"/>
      <c r="E952" s="79">
        <v>30</v>
      </c>
      <c r="F952" s="80">
        <v>0.0147</v>
      </c>
      <c r="G952" s="79">
        <v>5</v>
      </c>
      <c r="H952" s="80">
        <v>0.0147</v>
      </c>
      <c r="I952" s="83">
        <v>1</v>
      </c>
      <c r="J952" s="79">
        <v>26</v>
      </c>
      <c r="K952" s="79"/>
      <c r="L952" s="80">
        <v>0</v>
      </c>
      <c r="M952" s="80"/>
      <c r="N952" s="86">
        <v>180</v>
      </c>
      <c r="O952" s="86"/>
      <c r="P952" s="79">
        <v>6</v>
      </c>
      <c r="Q952" s="87"/>
    </row>
    <row r="953" ht="15" spans="1:17">
      <c r="A953" s="89">
        <v>43433</v>
      </c>
      <c r="B953" s="78"/>
      <c r="C953" s="79">
        <v>8</v>
      </c>
      <c r="D953" s="88"/>
      <c r="E953" s="79">
        <v>41</v>
      </c>
      <c r="F953" s="80">
        <v>0.0147</v>
      </c>
      <c r="G953" s="79">
        <v>38</v>
      </c>
      <c r="H953" s="80">
        <v>0.0147</v>
      </c>
      <c r="I953" s="83">
        <v>1</v>
      </c>
      <c r="J953" s="79">
        <v>6</v>
      </c>
      <c r="K953" s="79"/>
      <c r="L953" s="80">
        <v>0</v>
      </c>
      <c r="M953" s="80"/>
      <c r="N953" s="86">
        <v>315</v>
      </c>
      <c r="O953" s="86"/>
      <c r="P953" s="79">
        <v>4</v>
      </c>
      <c r="Q953" s="87"/>
    </row>
    <row r="954" ht="15" spans="1:17">
      <c r="A954" s="89">
        <v>43434</v>
      </c>
      <c r="B954" s="78"/>
      <c r="C954" s="79">
        <v>5</v>
      </c>
      <c r="D954" s="88"/>
      <c r="E954" s="79">
        <v>12</v>
      </c>
      <c r="F954" s="80">
        <v>0.5396</v>
      </c>
      <c r="G954" s="79">
        <v>67</v>
      </c>
      <c r="H954" s="80">
        <v>0.5396</v>
      </c>
      <c r="I954" s="83">
        <v>0.99</v>
      </c>
      <c r="J954" s="79">
        <v>18</v>
      </c>
      <c r="K954" s="79"/>
      <c r="L954" s="80">
        <v>0.3333</v>
      </c>
      <c r="M954" s="80"/>
      <c r="N954" s="86">
        <v>74</v>
      </c>
      <c r="O954" s="86"/>
      <c r="P954" s="79">
        <v>10</v>
      </c>
      <c r="Q954" s="87"/>
    </row>
    <row r="955" ht="15" spans="1:17">
      <c r="A955" s="89">
        <v>43434</v>
      </c>
      <c r="B955" s="78"/>
      <c r="C955" s="79">
        <v>4</v>
      </c>
      <c r="D955" s="88"/>
      <c r="E955" s="79">
        <v>76</v>
      </c>
      <c r="F955" s="80">
        <v>0.0432</v>
      </c>
      <c r="G955" s="79">
        <v>35</v>
      </c>
      <c r="H955" s="80">
        <v>0.0432</v>
      </c>
      <c r="I955" s="83">
        <v>1</v>
      </c>
      <c r="J955" s="79">
        <v>6</v>
      </c>
      <c r="K955" s="79"/>
      <c r="L955" s="80">
        <v>0</v>
      </c>
      <c r="M955" s="80"/>
      <c r="N955" s="86">
        <v>301</v>
      </c>
      <c r="O955" s="86"/>
      <c r="P955" s="79">
        <v>4</v>
      </c>
      <c r="Q955" s="87"/>
    </row>
    <row r="956" ht="15" spans="1:17">
      <c r="A956" s="89">
        <v>43434</v>
      </c>
      <c r="B956" s="78"/>
      <c r="C956" s="79">
        <v>2</v>
      </c>
      <c r="D956" s="88"/>
      <c r="E956" s="79">
        <v>65</v>
      </c>
      <c r="F956" s="80">
        <v>0.0647</v>
      </c>
      <c r="G956" s="79">
        <v>21</v>
      </c>
      <c r="H956" s="80">
        <v>0.0647</v>
      </c>
      <c r="I956" s="83">
        <v>1</v>
      </c>
      <c r="J956" s="79">
        <v>12</v>
      </c>
      <c r="K956" s="79"/>
      <c r="L956" s="80">
        <v>0</v>
      </c>
      <c r="M956" s="80"/>
      <c r="N956" s="86">
        <v>442</v>
      </c>
      <c r="O956" s="86"/>
      <c r="P956" s="79">
        <v>1</v>
      </c>
      <c r="Q956" s="87"/>
    </row>
    <row r="957" ht="15" spans="1:17">
      <c r="A957" s="89">
        <v>43434</v>
      </c>
      <c r="B957" s="78"/>
      <c r="C957" s="79">
        <v>1</v>
      </c>
      <c r="D957" s="88"/>
      <c r="E957" s="79">
        <v>78</v>
      </c>
      <c r="F957" s="80">
        <v>0.0432</v>
      </c>
      <c r="G957" s="79">
        <v>50</v>
      </c>
      <c r="H957" s="80">
        <v>0.0432</v>
      </c>
      <c r="I957" s="83">
        <v>1</v>
      </c>
      <c r="J957" s="79">
        <v>3</v>
      </c>
      <c r="K957" s="79"/>
      <c r="L957" s="80">
        <v>0</v>
      </c>
      <c r="M957" s="80"/>
      <c r="N957" s="86">
        <v>380</v>
      </c>
      <c r="O957" s="86"/>
      <c r="P957" s="79">
        <v>8</v>
      </c>
      <c r="Q957" s="87"/>
    </row>
    <row r="958" ht="15" spans="1:17">
      <c r="A958" s="89">
        <v>43434</v>
      </c>
      <c r="B958" s="78"/>
      <c r="C958" s="79">
        <v>6</v>
      </c>
      <c r="D958" s="88"/>
      <c r="E958" s="79">
        <v>36</v>
      </c>
      <c r="F958" s="80">
        <v>0.0863</v>
      </c>
      <c r="G958" s="79">
        <v>41</v>
      </c>
      <c r="H958" s="80">
        <v>0.0863</v>
      </c>
      <c r="I958" s="83">
        <v>1</v>
      </c>
      <c r="J958" s="79">
        <v>5</v>
      </c>
      <c r="K958" s="79"/>
      <c r="L958" s="80">
        <v>0</v>
      </c>
      <c r="M958" s="80"/>
      <c r="N958" s="86">
        <v>140</v>
      </c>
      <c r="O958" s="86"/>
      <c r="P958" s="79">
        <v>3</v>
      </c>
      <c r="Q958" s="87"/>
    </row>
    <row r="959" ht="15" spans="1:17">
      <c r="A959" s="89">
        <v>43434</v>
      </c>
      <c r="B959" s="78"/>
      <c r="C959" s="79">
        <v>7</v>
      </c>
      <c r="D959" s="88"/>
      <c r="E959" s="79">
        <v>90</v>
      </c>
      <c r="F959" s="80">
        <v>0.1007</v>
      </c>
      <c r="G959" s="79">
        <v>65</v>
      </c>
      <c r="H959" s="80">
        <v>0.1007</v>
      </c>
      <c r="I959" s="83">
        <v>1</v>
      </c>
      <c r="J959" s="79">
        <v>26</v>
      </c>
      <c r="K959" s="79"/>
      <c r="L959" s="80">
        <v>0.3333</v>
      </c>
      <c r="M959" s="80"/>
      <c r="N959" s="86">
        <v>475</v>
      </c>
      <c r="O959" s="86"/>
      <c r="P959" s="79">
        <v>13</v>
      </c>
      <c r="Q959" s="87"/>
    </row>
    <row r="960" ht="15" spans="1:17">
      <c r="A960" s="89">
        <v>43434</v>
      </c>
      <c r="B960" s="78"/>
      <c r="C960" s="79">
        <v>10</v>
      </c>
      <c r="D960" s="88"/>
      <c r="E960" s="79">
        <v>72</v>
      </c>
      <c r="F960" s="80">
        <v>0.1151</v>
      </c>
      <c r="G960" s="79">
        <v>96</v>
      </c>
      <c r="H960" s="80">
        <v>0.1151</v>
      </c>
      <c r="I960" s="83">
        <v>1</v>
      </c>
      <c r="J960" s="79">
        <v>1</v>
      </c>
      <c r="K960" s="79"/>
      <c r="L960" s="80">
        <v>0</v>
      </c>
      <c r="M960" s="80"/>
      <c r="N960" s="86">
        <v>414</v>
      </c>
      <c r="O960" s="86"/>
      <c r="P960" s="79">
        <v>5</v>
      </c>
      <c r="Q960" s="87"/>
    </row>
    <row r="961" ht="15" spans="1:17">
      <c r="A961" s="89">
        <v>43434</v>
      </c>
      <c r="B961" s="78"/>
      <c r="C961" s="79">
        <v>8</v>
      </c>
      <c r="D961" s="88"/>
      <c r="E961" s="79">
        <v>94</v>
      </c>
      <c r="F961" s="80">
        <v>0.0072</v>
      </c>
      <c r="G961" s="79">
        <v>100</v>
      </c>
      <c r="H961" s="80">
        <v>0.0072</v>
      </c>
      <c r="I961" s="83">
        <v>1</v>
      </c>
      <c r="J961" s="79">
        <v>10</v>
      </c>
      <c r="K961" s="79"/>
      <c r="L961" s="80">
        <v>0</v>
      </c>
      <c r="M961" s="80"/>
      <c r="N961" s="86">
        <v>262</v>
      </c>
      <c r="O961" s="86"/>
      <c r="P961" s="79">
        <v>16</v>
      </c>
      <c r="Q961" s="87"/>
    </row>
    <row r="962" ht="15" spans="1:17">
      <c r="A962" s="89">
        <v>43435</v>
      </c>
      <c r="B962" s="78"/>
      <c r="C962" s="79">
        <v>4</v>
      </c>
      <c r="D962" s="88"/>
      <c r="E962" s="79">
        <v>22</v>
      </c>
      <c r="F962" s="80">
        <v>0.0893</v>
      </c>
      <c r="G962" s="79">
        <v>66</v>
      </c>
      <c r="H962" s="80">
        <v>0.0893</v>
      </c>
      <c r="I962" s="83">
        <v>1</v>
      </c>
      <c r="J962" s="79">
        <v>4</v>
      </c>
      <c r="K962" s="79"/>
      <c r="L962" s="80">
        <v>0.1111</v>
      </c>
      <c r="M962" s="80"/>
      <c r="N962" s="86">
        <v>184</v>
      </c>
      <c r="O962" s="86"/>
      <c r="P962" s="79">
        <v>19</v>
      </c>
      <c r="Q962" s="87"/>
    </row>
    <row r="963" ht="15" spans="1:17">
      <c r="A963" s="89">
        <v>43435</v>
      </c>
      <c r="B963" s="78"/>
      <c r="C963" s="79">
        <v>2</v>
      </c>
      <c r="D963" s="88"/>
      <c r="E963" s="79">
        <v>66</v>
      </c>
      <c r="F963" s="80">
        <v>0.0714</v>
      </c>
      <c r="G963" s="79">
        <v>76</v>
      </c>
      <c r="H963" s="80">
        <v>0.0714</v>
      </c>
      <c r="I963" s="83">
        <v>1</v>
      </c>
      <c r="J963" s="79">
        <v>29</v>
      </c>
      <c r="K963" s="79"/>
      <c r="L963" s="80">
        <v>0.2</v>
      </c>
      <c r="M963" s="80"/>
      <c r="N963" s="86">
        <v>368</v>
      </c>
      <c r="O963" s="86"/>
      <c r="P963" s="79">
        <v>7</v>
      </c>
      <c r="Q963" s="87"/>
    </row>
    <row r="964" ht="15" spans="1:17">
      <c r="A964" s="89">
        <v>43435</v>
      </c>
      <c r="B964" s="78"/>
      <c r="C964" s="79">
        <v>5</v>
      </c>
      <c r="D964" s="88"/>
      <c r="E964" s="79">
        <v>86</v>
      </c>
      <c r="F964" s="80">
        <v>0.4375</v>
      </c>
      <c r="G964" s="79">
        <v>42</v>
      </c>
      <c r="H964" s="80">
        <v>0.4375</v>
      </c>
      <c r="I964" s="83">
        <v>1</v>
      </c>
      <c r="J964" s="79">
        <v>9</v>
      </c>
      <c r="K964" s="79"/>
      <c r="L964" s="80">
        <v>0.1316</v>
      </c>
      <c r="M964" s="80"/>
      <c r="N964" s="86">
        <v>454</v>
      </c>
      <c r="O964" s="86"/>
      <c r="P964" s="79">
        <v>9</v>
      </c>
      <c r="Q964" s="87"/>
    </row>
    <row r="965" ht="15" spans="1:17">
      <c r="A965" s="89">
        <v>43435</v>
      </c>
      <c r="B965" s="78"/>
      <c r="C965" s="79">
        <v>1</v>
      </c>
      <c r="D965" s="88"/>
      <c r="E965" s="79">
        <v>99</v>
      </c>
      <c r="F965" s="80">
        <v>0.0268</v>
      </c>
      <c r="G965" s="79">
        <v>81</v>
      </c>
      <c r="H965" s="80">
        <v>0.0268</v>
      </c>
      <c r="I965" s="83">
        <v>1</v>
      </c>
      <c r="J965" s="79">
        <v>4</v>
      </c>
      <c r="K965" s="79"/>
      <c r="L965" s="80">
        <v>0</v>
      </c>
      <c r="M965" s="80"/>
      <c r="N965" s="86">
        <v>367</v>
      </c>
      <c r="O965" s="86"/>
      <c r="P965" s="79">
        <v>11</v>
      </c>
      <c r="Q965" s="87"/>
    </row>
    <row r="966" ht="15" spans="1:17">
      <c r="A966" s="89">
        <v>43435</v>
      </c>
      <c r="B966" s="78"/>
      <c r="C966" s="79">
        <v>6</v>
      </c>
      <c r="D966" s="88"/>
      <c r="E966" s="79">
        <v>30</v>
      </c>
      <c r="F966" s="80">
        <v>0.0625</v>
      </c>
      <c r="G966" s="79">
        <v>62</v>
      </c>
      <c r="H966" s="80">
        <v>0.0625</v>
      </c>
      <c r="I966" s="83">
        <v>1</v>
      </c>
      <c r="J966" s="79">
        <v>20</v>
      </c>
      <c r="K966" s="79"/>
      <c r="L966" s="80">
        <v>0</v>
      </c>
      <c r="M966" s="80"/>
      <c r="N966" s="86">
        <v>344</v>
      </c>
      <c r="O966" s="86"/>
      <c r="P966" s="79">
        <v>4</v>
      </c>
      <c r="Q966" s="87"/>
    </row>
    <row r="967" ht="15" spans="1:17">
      <c r="A967" s="89">
        <v>43435</v>
      </c>
      <c r="B967" s="78"/>
      <c r="C967" s="79">
        <v>7</v>
      </c>
      <c r="D967" s="88"/>
      <c r="E967" s="79">
        <v>8</v>
      </c>
      <c r="F967" s="80">
        <v>0.1875</v>
      </c>
      <c r="G967" s="79">
        <v>22</v>
      </c>
      <c r="H967" s="80">
        <v>0.1875</v>
      </c>
      <c r="I967" s="83">
        <v>1</v>
      </c>
      <c r="J967" s="79">
        <v>29</v>
      </c>
      <c r="K967" s="79"/>
      <c r="L967" s="80">
        <v>0.2</v>
      </c>
      <c r="M967" s="80"/>
      <c r="N967" s="86">
        <v>323</v>
      </c>
      <c r="O967" s="86"/>
      <c r="P967" s="79">
        <v>3</v>
      </c>
      <c r="Q967" s="87"/>
    </row>
    <row r="968" ht="15" spans="1:17">
      <c r="A968" s="89">
        <v>43435</v>
      </c>
      <c r="B968" s="78"/>
      <c r="C968" s="79">
        <v>10</v>
      </c>
      <c r="D968" s="88"/>
      <c r="E968" s="79">
        <v>69</v>
      </c>
      <c r="F968" s="80">
        <v>0.0893</v>
      </c>
      <c r="G968" s="79">
        <v>93</v>
      </c>
      <c r="H968" s="80">
        <v>0.0893</v>
      </c>
      <c r="I968" s="83">
        <v>1</v>
      </c>
      <c r="J968" s="79">
        <v>29</v>
      </c>
      <c r="K968" s="79"/>
      <c r="L968" s="80">
        <v>0</v>
      </c>
      <c r="M968" s="80"/>
      <c r="N968" s="86">
        <v>117</v>
      </c>
      <c r="O968" s="86"/>
      <c r="P968" s="79">
        <v>2</v>
      </c>
      <c r="Q968" s="87"/>
    </row>
    <row r="969" ht="15" spans="1:17">
      <c r="A969" s="89">
        <v>43435</v>
      </c>
      <c r="B969" s="78"/>
      <c r="C969" s="79">
        <v>8</v>
      </c>
      <c r="D969" s="88"/>
      <c r="E969" s="79">
        <v>40</v>
      </c>
      <c r="F969" s="80">
        <v>0.0357</v>
      </c>
      <c r="G969" s="79">
        <v>54</v>
      </c>
      <c r="H969" s="80">
        <v>0.0357</v>
      </c>
      <c r="I969" s="83">
        <v>1</v>
      </c>
      <c r="J969" s="79">
        <v>2</v>
      </c>
      <c r="K969" s="79"/>
      <c r="L969" s="80">
        <v>0</v>
      </c>
      <c r="M969" s="80"/>
      <c r="N969" s="86">
        <v>390</v>
      </c>
      <c r="O969" s="86"/>
      <c r="P969" s="79">
        <v>0</v>
      </c>
      <c r="Q969" s="87"/>
    </row>
    <row r="970" ht="15" spans="1:17">
      <c r="A970" s="89">
        <v>43436</v>
      </c>
      <c r="B970" s="78"/>
      <c r="C970" s="79">
        <v>4</v>
      </c>
      <c r="D970" s="88"/>
      <c r="E970" s="79">
        <v>92</v>
      </c>
      <c r="F970" s="80">
        <v>0.1024</v>
      </c>
      <c r="G970" s="79">
        <v>87</v>
      </c>
      <c r="H970" s="80">
        <v>0.1024</v>
      </c>
      <c r="I970" s="83">
        <v>1</v>
      </c>
      <c r="J970" s="79">
        <v>14</v>
      </c>
      <c r="K970" s="79"/>
      <c r="L970" s="80">
        <v>0</v>
      </c>
      <c r="M970" s="80"/>
      <c r="N970" s="86">
        <v>202</v>
      </c>
      <c r="O970" s="86"/>
      <c r="P970" s="79">
        <v>19</v>
      </c>
      <c r="Q970" s="87"/>
    </row>
    <row r="971" ht="15" spans="1:17">
      <c r="A971" s="89">
        <v>43436</v>
      </c>
      <c r="B971" s="78"/>
      <c r="C971" s="79">
        <v>2</v>
      </c>
      <c r="D971" s="88"/>
      <c r="E971" s="79">
        <v>33</v>
      </c>
      <c r="F971" s="80">
        <v>0.063</v>
      </c>
      <c r="G971" s="79">
        <v>25</v>
      </c>
      <c r="H971" s="80">
        <v>0.063</v>
      </c>
      <c r="I971" s="83">
        <v>1</v>
      </c>
      <c r="J971" s="79">
        <v>29</v>
      </c>
      <c r="K971" s="79"/>
      <c r="L971" s="80">
        <v>0.4</v>
      </c>
      <c r="M971" s="80"/>
      <c r="N971" s="86">
        <v>357</v>
      </c>
      <c r="O971" s="86"/>
      <c r="P971" s="79">
        <v>5</v>
      </c>
      <c r="Q971" s="87"/>
    </row>
    <row r="972" ht="15" spans="1:17">
      <c r="A972" s="89">
        <v>43436</v>
      </c>
      <c r="B972" s="78"/>
      <c r="C972" s="79">
        <v>5</v>
      </c>
      <c r="D972" s="88"/>
      <c r="E972" s="79">
        <v>23</v>
      </c>
      <c r="F972" s="80">
        <v>0.5039</v>
      </c>
      <c r="G972" s="79">
        <v>16</v>
      </c>
      <c r="H972" s="80">
        <v>0.5039</v>
      </c>
      <c r="I972" s="83">
        <v>1</v>
      </c>
      <c r="J972" s="79">
        <v>8</v>
      </c>
      <c r="K972" s="79"/>
      <c r="L972" s="80">
        <v>0.4038</v>
      </c>
      <c r="M972" s="80"/>
      <c r="N972" s="86">
        <v>415</v>
      </c>
      <c r="O972" s="86"/>
      <c r="P972" s="79">
        <v>5</v>
      </c>
      <c r="Q972" s="87"/>
    </row>
    <row r="973" ht="15" spans="1:17">
      <c r="A973" s="89">
        <v>43436</v>
      </c>
      <c r="B973" s="78"/>
      <c r="C973" s="79">
        <v>3</v>
      </c>
      <c r="D973" s="88"/>
      <c r="E973" s="79">
        <v>59</v>
      </c>
      <c r="F973" s="80">
        <v>0.0157</v>
      </c>
      <c r="G973" s="79">
        <v>17</v>
      </c>
      <c r="H973" s="80">
        <v>0.0157</v>
      </c>
      <c r="I973" s="83">
        <v>1</v>
      </c>
      <c r="J973" s="79">
        <v>26</v>
      </c>
      <c r="K973" s="79"/>
      <c r="L973" s="80">
        <v>0</v>
      </c>
      <c r="M973" s="80"/>
      <c r="N973" s="86">
        <v>419</v>
      </c>
      <c r="O973" s="86"/>
      <c r="P973" s="79">
        <v>6</v>
      </c>
      <c r="Q973" s="87"/>
    </row>
    <row r="974" ht="15" spans="1:17">
      <c r="A974" s="89">
        <v>43436</v>
      </c>
      <c r="B974" s="78"/>
      <c r="C974" s="79">
        <v>1</v>
      </c>
      <c r="D974" s="88"/>
      <c r="E974" s="79">
        <v>5</v>
      </c>
      <c r="F974" s="80">
        <v>0.0551</v>
      </c>
      <c r="G974" s="79">
        <v>28</v>
      </c>
      <c r="H974" s="80">
        <v>0.0551</v>
      </c>
      <c r="I974" s="83">
        <v>1</v>
      </c>
      <c r="J974" s="79">
        <v>29</v>
      </c>
      <c r="K974" s="79"/>
      <c r="L974" s="80">
        <v>0.2857</v>
      </c>
      <c r="M974" s="80"/>
      <c r="N974" s="86">
        <v>147</v>
      </c>
      <c r="O974" s="86"/>
      <c r="P974" s="79">
        <v>9</v>
      </c>
      <c r="Q974" s="87"/>
    </row>
    <row r="975" ht="15" spans="1:17">
      <c r="A975" s="89">
        <v>43436</v>
      </c>
      <c r="B975" s="78"/>
      <c r="C975" s="79">
        <v>6</v>
      </c>
      <c r="D975" s="88"/>
      <c r="E975" s="79">
        <v>40</v>
      </c>
      <c r="F975" s="80">
        <v>0.063</v>
      </c>
      <c r="G975" s="79">
        <v>72</v>
      </c>
      <c r="H975" s="80">
        <v>0.063</v>
      </c>
      <c r="I975" s="83">
        <v>1</v>
      </c>
      <c r="J975" s="79">
        <v>17</v>
      </c>
      <c r="K975" s="79"/>
      <c r="L975" s="80">
        <v>0.125</v>
      </c>
      <c r="M975" s="80"/>
      <c r="N975" s="86">
        <v>339</v>
      </c>
      <c r="O975" s="86"/>
      <c r="P975" s="79">
        <v>2</v>
      </c>
      <c r="Q975" s="87"/>
    </row>
    <row r="976" ht="15" spans="1:17">
      <c r="A976" s="89">
        <v>43436</v>
      </c>
      <c r="B976" s="78"/>
      <c r="C976" s="79">
        <v>7</v>
      </c>
      <c r="D976" s="88"/>
      <c r="E976" s="79">
        <v>85</v>
      </c>
      <c r="F976" s="80">
        <v>0.1024</v>
      </c>
      <c r="G976" s="79">
        <v>23</v>
      </c>
      <c r="H976" s="80">
        <v>0.1024</v>
      </c>
      <c r="I976" s="83">
        <v>1</v>
      </c>
      <c r="J976" s="79">
        <v>2</v>
      </c>
      <c r="K976" s="79"/>
      <c r="L976" s="80">
        <v>0.0833</v>
      </c>
      <c r="M976" s="80"/>
      <c r="N976" s="86">
        <v>186</v>
      </c>
      <c r="O976" s="86"/>
      <c r="P976" s="79">
        <v>19</v>
      </c>
      <c r="Q976" s="87"/>
    </row>
    <row r="977" ht="15" spans="1:17">
      <c r="A977" s="89">
        <v>43436</v>
      </c>
      <c r="B977" s="78"/>
      <c r="C977" s="79">
        <v>10</v>
      </c>
      <c r="D977" s="88"/>
      <c r="E977" s="79">
        <v>81</v>
      </c>
      <c r="F977" s="80">
        <v>0.0787</v>
      </c>
      <c r="G977" s="79">
        <v>7</v>
      </c>
      <c r="H977" s="80">
        <v>0.0787</v>
      </c>
      <c r="I977" s="83">
        <v>1</v>
      </c>
      <c r="J977" s="79">
        <v>9</v>
      </c>
      <c r="K977" s="79"/>
      <c r="L977" s="80">
        <v>0</v>
      </c>
      <c r="M977" s="80"/>
      <c r="N977" s="86">
        <v>347</v>
      </c>
      <c r="O977" s="86"/>
      <c r="P977" s="79">
        <v>11</v>
      </c>
      <c r="Q977" s="87"/>
    </row>
    <row r="978" ht="15" spans="1:17">
      <c r="A978" s="89">
        <v>43436</v>
      </c>
      <c r="B978" s="78"/>
      <c r="C978" s="79">
        <v>8</v>
      </c>
      <c r="D978" s="88"/>
      <c r="E978" s="79">
        <v>25</v>
      </c>
      <c r="F978" s="80">
        <v>0.0157</v>
      </c>
      <c r="G978" s="79">
        <v>71</v>
      </c>
      <c r="H978" s="80">
        <v>0.0157</v>
      </c>
      <c r="I978" s="83">
        <v>1</v>
      </c>
      <c r="J978" s="79">
        <v>17</v>
      </c>
      <c r="K978" s="79"/>
      <c r="L978" s="80">
        <v>0</v>
      </c>
      <c r="M978" s="80"/>
      <c r="N978" s="86">
        <v>86</v>
      </c>
      <c r="O978" s="86"/>
      <c r="P978" s="79">
        <v>14</v>
      </c>
      <c r="Q978" s="87"/>
    </row>
    <row r="979" ht="15" spans="1:17">
      <c r="A979" s="89">
        <v>43437</v>
      </c>
      <c r="B979" s="78"/>
      <c r="C979" s="79">
        <v>4</v>
      </c>
      <c r="D979" s="88"/>
      <c r="E979" s="79">
        <v>6</v>
      </c>
      <c r="F979" s="80">
        <v>0.0777</v>
      </c>
      <c r="G979" s="79">
        <v>95</v>
      </c>
      <c r="H979" s="80">
        <v>0.0777</v>
      </c>
      <c r="I979" s="83">
        <v>1</v>
      </c>
      <c r="J979" s="79">
        <v>23</v>
      </c>
      <c r="K979" s="79"/>
      <c r="L979" s="80">
        <v>0</v>
      </c>
      <c r="M979" s="80"/>
      <c r="N979" s="86">
        <v>482</v>
      </c>
      <c r="O979" s="86"/>
      <c r="P979" s="79">
        <v>17</v>
      </c>
      <c r="Q979" s="87"/>
    </row>
    <row r="980" ht="15" spans="1:17">
      <c r="A980" s="89">
        <v>43437</v>
      </c>
      <c r="B980" s="78"/>
      <c r="C980" s="79">
        <v>2</v>
      </c>
      <c r="D980" s="88"/>
      <c r="E980" s="79">
        <v>90</v>
      </c>
      <c r="F980" s="80">
        <v>0.068</v>
      </c>
      <c r="G980" s="79">
        <v>13</v>
      </c>
      <c r="H980" s="80">
        <v>0.068</v>
      </c>
      <c r="I980" s="83">
        <v>1</v>
      </c>
      <c r="J980" s="79">
        <v>22</v>
      </c>
      <c r="K980" s="79"/>
      <c r="L980" s="80">
        <v>0.3333</v>
      </c>
      <c r="M980" s="80"/>
      <c r="N980" s="86">
        <v>288</v>
      </c>
      <c r="O980" s="86"/>
      <c r="P980" s="79">
        <v>15</v>
      </c>
      <c r="Q980" s="87"/>
    </row>
    <row r="981" ht="15" spans="1:17">
      <c r="A981" s="89">
        <v>43437</v>
      </c>
      <c r="B981" s="78"/>
      <c r="C981" s="79">
        <v>5</v>
      </c>
      <c r="D981" s="88"/>
      <c r="E981" s="79">
        <v>82</v>
      </c>
      <c r="F981" s="80">
        <v>0.699</v>
      </c>
      <c r="G981" s="79">
        <v>55</v>
      </c>
      <c r="H981" s="80">
        <v>0.699</v>
      </c>
      <c r="I981" s="83">
        <v>1</v>
      </c>
      <c r="J981" s="79">
        <v>30</v>
      </c>
      <c r="K981" s="79"/>
      <c r="L981" s="80">
        <v>0.2128</v>
      </c>
      <c r="M981" s="80"/>
      <c r="N981" s="86">
        <v>208</v>
      </c>
      <c r="O981" s="86"/>
      <c r="P981" s="79">
        <v>7</v>
      </c>
      <c r="Q981" s="87"/>
    </row>
    <row r="982" ht="15" spans="1:17">
      <c r="A982" s="89">
        <v>43437</v>
      </c>
      <c r="B982" s="78"/>
      <c r="C982" s="79">
        <v>3</v>
      </c>
      <c r="D982" s="88"/>
      <c r="E982" s="79">
        <v>85</v>
      </c>
      <c r="F982" s="80">
        <v>0.0194</v>
      </c>
      <c r="G982" s="79">
        <v>100</v>
      </c>
      <c r="H982" s="80">
        <v>0.0194</v>
      </c>
      <c r="I982" s="83">
        <v>1</v>
      </c>
      <c r="J982" s="79">
        <v>26</v>
      </c>
      <c r="K982" s="79"/>
      <c r="L982" s="80">
        <v>0</v>
      </c>
      <c r="M982" s="80"/>
      <c r="N982" s="86">
        <v>155</v>
      </c>
      <c r="O982" s="86"/>
      <c r="P982" s="79">
        <v>3</v>
      </c>
      <c r="Q982" s="87"/>
    </row>
    <row r="983" ht="15" spans="1:17">
      <c r="A983" s="89">
        <v>43437</v>
      </c>
      <c r="B983" s="78"/>
      <c r="C983" s="79">
        <v>6</v>
      </c>
      <c r="D983" s="88"/>
      <c r="E983" s="79">
        <v>91</v>
      </c>
      <c r="F983" s="80">
        <v>0</v>
      </c>
      <c r="G983" s="79">
        <v>66</v>
      </c>
      <c r="H983" s="80">
        <v>0</v>
      </c>
      <c r="I983" s="83">
        <v>0</v>
      </c>
      <c r="J983" s="79">
        <v>26</v>
      </c>
      <c r="K983" s="79"/>
      <c r="L983" s="80">
        <v>0</v>
      </c>
      <c r="M983" s="80"/>
      <c r="N983" s="86">
        <v>340</v>
      </c>
      <c r="O983" s="86"/>
      <c r="P983" s="79">
        <v>1</v>
      </c>
      <c r="Q983" s="87"/>
    </row>
    <row r="984" ht="15" spans="1:17">
      <c r="A984" s="89">
        <v>43437</v>
      </c>
      <c r="B984" s="78"/>
      <c r="C984" s="79">
        <v>7</v>
      </c>
      <c r="D984" s="88"/>
      <c r="E984" s="79">
        <v>96</v>
      </c>
      <c r="F984" s="80">
        <v>0</v>
      </c>
      <c r="G984" s="79">
        <v>2</v>
      </c>
      <c r="H984" s="80">
        <v>0</v>
      </c>
      <c r="I984" s="83">
        <v>0</v>
      </c>
      <c r="J984" s="79">
        <v>3</v>
      </c>
      <c r="K984" s="79"/>
      <c r="L984" s="80">
        <v>0</v>
      </c>
      <c r="M984" s="80"/>
      <c r="N984" s="86">
        <v>171</v>
      </c>
      <c r="O984" s="86"/>
      <c r="P984" s="79">
        <v>12</v>
      </c>
      <c r="Q984" s="87"/>
    </row>
    <row r="985" ht="15" spans="1:17">
      <c r="A985" s="89">
        <v>43437</v>
      </c>
      <c r="B985" s="78"/>
      <c r="C985" s="79">
        <v>10</v>
      </c>
      <c r="D985" s="88"/>
      <c r="E985" s="79">
        <v>29</v>
      </c>
      <c r="F985" s="80">
        <v>0.1359</v>
      </c>
      <c r="G985" s="79">
        <v>2</v>
      </c>
      <c r="H985" s="80">
        <v>0.1359</v>
      </c>
      <c r="I985" s="83">
        <v>0.93</v>
      </c>
      <c r="J985" s="79">
        <v>22</v>
      </c>
      <c r="K985" s="79"/>
      <c r="L985" s="80">
        <v>0</v>
      </c>
      <c r="M985" s="80"/>
      <c r="N985" s="86">
        <v>213</v>
      </c>
      <c r="O985" s="86"/>
      <c r="P985" s="79">
        <v>6</v>
      </c>
      <c r="Q985" s="87"/>
    </row>
    <row r="986" ht="15" spans="1:17">
      <c r="A986" s="89">
        <v>43438</v>
      </c>
      <c r="B986" s="78"/>
      <c r="C986" s="79">
        <v>5</v>
      </c>
      <c r="D986" s="88"/>
      <c r="E986" s="79">
        <v>78</v>
      </c>
      <c r="F986" s="80">
        <v>0.4845</v>
      </c>
      <c r="G986" s="79">
        <v>79</v>
      </c>
      <c r="H986" s="80">
        <v>0.4845</v>
      </c>
      <c r="I986" s="83">
        <v>1</v>
      </c>
      <c r="J986" s="79">
        <v>20</v>
      </c>
      <c r="K986" s="79"/>
      <c r="L986" s="80">
        <v>0.3393</v>
      </c>
      <c r="M986" s="80"/>
      <c r="N986" s="86">
        <v>205</v>
      </c>
      <c r="O986" s="86"/>
      <c r="P986" s="79">
        <v>2</v>
      </c>
      <c r="Q986" s="87"/>
    </row>
    <row r="987" ht="15" spans="1:17">
      <c r="A987" s="89">
        <v>43438</v>
      </c>
      <c r="B987" s="78"/>
      <c r="C987" s="79">
        <v>4</v>
      </c>
      <c r="D987" s="88"/>
      <c r="E987" s="79">
        <v>100</v>
      </c>
      <c r="F987" s="80">
        <v>0.0683</v>
      </c>
      <c r="G987" s="79">
        <v>15</v>
      </c>
      <c r="H987" s="80">
        <v>0.0683</v>
      </c>
      <c r="I987" s="83">
        <v>1</v>
      </c>
      <c r="J987" s="79">
        <v>17</v>
      </c>
      <c r="K987" s="79"/>
      <c r="L987" s="80">
        <v>0.125</v>
      </c>
      <c r="M987" s="80"/>
      <c r="N987" s="86">
        <v>402</v>
      </c>
      <c r="O987" s="86"/>
      <c r="P987" s="79">
        <v>4</v>
      </c>
      <c r="Q987" s="87"/>
    </row>
    <row r="988" ht="15" spans="1:17">
      <c r="A988" s="89">
        <v>43438</v>
      </c>
      <c r="B988" s="78"/>
      <c r="C988" s="79">
        <v>2</v>
      </c>
      <c r="D988" s="88"/>
      <c r="E988" s="79">
        <v>62</v>
      </c>
      <c r="F988" s="80">
        <v>0.0435</v>
      </c>
      <c r="G988" s="79">
        <v>28</v>
      </c>
      <c r="H988" s="80">
        <v>0.0435</v>
      </c>
      <c r="I988" s="83">
        <v>1</v>
      </c>
      <c r="J988" s="79">
        <v>0</v>
      </c>
      <c r="K988" s="79"/>
      <c r="L988" s="80">
        <v>0</v>
      </c>
      <c r="M988" s="80"/>
      <c r="N988" s="86">
        <v>462</v>
      </c>
      <c r="O988" s="86"/>
      <c r="P988" s="79">
        <v>7</v>
      </c>
      <c r="Q988" s="87"/>
    </row>
    <row r="989" ht="15" spans="1:17">
      <c r="A989" s="89">
        <v>43438</v>
      </c>
      <c r="B989" s="78"/>
      <c r="C989" s="79">
        <v>3</v>
      </c>
      <c r="D989" s="88"/>
      <c r="E989" s="79">
        <v>14</v>
      </c>
      <c r="F989" s="80">
        <v>0.0186</v>
      </c>
      <c r="G989" s="79">
        <v>76</v>
      </c>
      <c r="H989" s="80">
        <v>0.0186</v>
      </c>
      <c r="I989" s="83">
        <v>1</v>
      </c>
      <c r="J989" s="79">
        <v>15</v>
      </c>
      <c r="K989" s="79"/>
      <c r="L989" s="80">
        <v>0</v>
      </c>
      <c r="M989" s="80"/>
      <c r="N989" s="86">
        <v>300</v>
      </c>
      <c r="O989" s="86"/>
      <c r="P989" s="79">
        <v>10</v>
      </c>
      <c r="Q989" s="87"/>
    </row>
    <row r="990" ht="15" spans="1:17">
      <c r="A990" s="89">
        <v>43438</v>
      </c>
      <c r="B990" s="78"/>
      <c r="C990" s="79">
        <v>1</v>
      </c>
      <c r="D990" s="88"/>
      <c r="E990" s="79">
        <v>61</v>
      </c>
      <c r="F990" s="80">
        <v>0.0932</v>
      </c>
      <c r="G990" s="79">
        <v>50</v>
      </c>
      <c r="H990" s="80">
        <v>0.0932</v>
      </c>
      <c r="I990" s="83">
        <v>1</v>
      </c>
      <c r="J990" s="79">
        <v>27</v>
      </c>
      <c r="K990" s="79"/>
      <c r="L990" s="80">
        <v>0.1</v>
      </c>
      <c r="M990" s="80"/>
      <c r="N990" s="86">
        <v>291</v>
      </c>
      <c r="O990" s="86"/>
      <c r="P990" s="79">
        <v>9</v>
      </c>
      <c r="Q990" s="87"/>
    </row>
    <row r="991" ht="15" spans="1:17">
      <c r="A991" s="89">
        <v>43438</v>
      </c>
      <c r="B991" s="78"/>
      <c r="C991" s="79">
        <v>6</v>
      </c>
      <c r="D991" s="88"/>
      <c r="E991" s="79">
        <v>73</v>
      </c>
      <c r="F991" s="80">
        <v>0.0994</v>
      </c>
      <c r="G991" s="79">
        <v>65</v>
      </c>
      <c r="H991" s="80">
        <v>0.0994</v>
      </c>
      <c r="I991" s="83">
        <v>1</v>
      </c>
      <c r="J991" s="79">
        <v>24</v>
      </c>
      <c r="K991" s="79"/>
      <c r="L991" s="80">
        <v>0.25</v>
      </c>
      <c r="M991" s="80"/>
      <c r="N991" s="86">
        <v>186</v>
      </c>
      <c r="O991" s="86"/>
      <c r="P991" s="79">
        <v>7</v>
      </c>
      <c r="Q991" s="87"/>
    </row>
    <row r="992" ht="15" spans="1:17">
      <c r="A992" s="89">
        <v>43438</v>
      </c>
      <c r="B992" s="78"/>
      <c r="C992" s="79">
        <v>7</v>
      </c>
      <c r="D992" s="88"/>
      <c r="E992" s="79">
        <v>87</v>
      </c>
      <c r="F992" s="80">
        <v>0.0932</v>
      </c>
      <c r="G992" s="79">
        <v>58</v>
      </c>
      <c r="H992" s="80">
        <v>0.0932</v>
      </c>
      <c r="I992" s="83">
        <v>1</v>
      </c>
      <c r="J992" s="79">
        <v>8</v>
      </c>
      <c r="K992" s="79"/>
      <c r="L992" s="80">
        <v>0.3846</v>
      </c>
      <c r="M992" s="80"/>
      <c r="N992" s="86">
        <v>249</v>
      </c>
      <c r="O992" s="86"/>
      <c r="P992" s="79">
        <v>1</v>
      </c>
      <c r="Q992" s="87"/>
    </row>
    <row r="993" ht="15" spans="1:17">
      <c r="A993" s="89">
        <v>43438</v>
      </c>
      <c r="B993" s="78"/>
      <c r="C993" s="79">
        <v>10</v>
      </c>
      <c r="D993" s="88"/>
      <c r="E993" s="79">
        <v>16</v>
      </c>
      <c r="F993" s="80">
        <v>0.0745</v>
      </c>
      <c r="G993" s="79">
        <v>6</v>
      </c>
      <c r="H993" s="80">
        <v>0.0745</v>
      </c>
      <c r="I993" s="83">
        <v>0.92</v>
      </c>
      <c r="J993" s="79">
        <v>8</v>
      </c>
      <c r="K993" s="79"/>
      <c r="L993" s="80">
        <v>0</v>
      </c>
      <c r="M993" s="80"/>
      <c r="N993" s="86">
        <v>216</v>
      </c>
      <c r="O993" s="86"/>
      <c r="P993" s="79">
        <v>0</v>
      </c>
      <c r="Q993" s="87"/>
    </row>
    <row r="994" ht="15" spans="1:17">
      <c r="A994" s="89">
        <v>43438</v>
      </c>
      <c r="B994" s="78"/>
      <c r="C994" s="79">
        <v>8</v>
      </c>
      <c r="D994" s="88"/>
      <c r="E994" s="79">
        <v>36</v>
      </c>
      <c r="F994" s="80">
        <v>0.0248</v>
      </c>
      <c r="G994" s="79">
        <v>64</v>
      </c>
      <c r="H994" s="80">
        <v>0.0248</v>
      </c>
      <c r="I994" s="83">
        <v>1</v>
      </c>
      <c r="J994" s="79">
        <v>27</v>
      </c>
      <c r="K994" s="79"/>
      <c r="L994" s="80">
        <v>0</v>
      </c>
      <c r="M994" s="80"/>
      <c r="N994" s="86">
        <v>254</v>
      </c>
      <c r="O994" s="86"/>
      <c r="P994" s="79">
        <v>18</v>
      </c>
      <c r="Q994" s="87"/>
    </row>
    <row r="995" ht="15" spans="1:17">
      <c r="A995" s="89">
        <v>43439</v>
      </c>
      <c r="B995" s="78"/>
      <c r="C995" s="79">
        <v>4</v>
      </c>
      <c r="D995" s="88"/>
      <c r="E995" s="79">
        <v>34</v>
      </c>
      <c r="F995" s="80">
        <v>0.0526</v>
      </c>
      <c r="G995" s="79">
        <v>70</v>
      </c>
      <c r="H995" s="80">
        <v>0.0526</v>
      </c>
      <c r="I995" s="83">
        <v>1</v>
      </c>
      <c r="J995" s="79">
        <v>13</v>
      </c>
      <c r="K995" s="79"/>
      <c r="L995" s="80">
        <v>0</v>
      </c>
      <c r="M995" s="80"/>
      <c r="N995" s="86">
        <v>387</v>
      </c>
      <c r="O995" s="86"/>
      <c r="P995" s="79">
        <v>17</v>
      </c>
      <c r="Q995" s="87"/>
    </row>
    <row r="996" ht="15" spans="1:17">
      <c r="A996" s="89">
        <v>43439</v>
      </c>
      <c r="B996" s="78"/>
      <c r="C996" s="79">
        <v>2</v>
      </c>
      <c r="D996" s="88"/>
      <c r="E996" s="79">
        <v>72</v>
      </c>
      <c r="F996" s="80">
        <v>0.1447</v>
      </c>
      <c r="G996" s="79">
        <v>68</v>
      </c>
      <c r="H996" s="80">
        <v>0.1447</v>
      </c>
      <c r="I996" s="83">
        <v>1</v>
      </c>
      <c r="J996" s="79">
        <v>5</v>
      </c>
      <c r="K996" s="79"/>
      <c r="L996" s="80">
        <v>0</v>
      </c>
      <c r="M996" s="80"/>
      <c r="N996" s="86">
        <v>61</v>
      </c>
      <c r="O996" s="86"/>
      <c r="P996" s="79">
        <v>15</v>
      </c>
      <c r="Q996" s="87"/>
    </row>
    <row r="997" ht="15" spans="1:17">
      <c r="A997" s="89">
        <v>43439</v>
      </c>
      <c r="B997" s="78"/>
      <c r="C997" s="79">
        <v>5</v>
      </c>
      <c r="D997" s="88"/>
      <c r="E997" s="79">
        <v>37</v>
      </c>
      <c r="F997" s="80">
        <v>0.5921</v>
      </c>
      <c r="G997" s="79">
        <v>90</v>
      </c>
      <c r="H997" s="80">
        <v>0.5921</v>
      </c>
      <c r="I997" s="83">
        <v>1</v>
      </c>
      <c r="J997" s="79">
        <v>25</v>
      </c>
      <c r="K997" s="79"/>
      <c r="L997" s="80">
        <v>0.5714</v>
      </c>
      <c r="M997" s="80"/>
      <c r="N997" s="86">
        <v>177</v>
      </c>
      <c r="O997" s="86"/>
      <c r="P997" s="79">
        <v>5</v>
      </c>
      <c r="Q997" s="87"/>
    </row>
    <row r="998" ht="15" spans="1:17">
      <c r="A998" s="89">
        <v>43439</v>
      </c>
      <c r="B998" s="78"/>
      <c r="C998" s="79">
        <v>1</v>
      </c>
      <c r="D998" s="88"/>
      <c r="E998" s="79">
        <v>51</v>
      </c>
      <c r="F998" s="80">
        <v>0.0789</v>
      </c>
      <c r="G998" s="79">
        <v>75</v>
      </c>
      <c r="H998" s="80">
        <v>0.0789</v>
      </c>
      <c r="I998" s="83">
        <v>1</v>
      </c>
      <c r="J998" s="79">
        <v>4</v>
      </c>
      <c r="K998" s="79"/>
      <c r="L998" s="80">
        <v>0</v>
      </c>
      <c r="M998" s="80"/>
      <c r="N998" s="86">
        <v>171</v>
      </c>
      <c r="O998" s="86"/>
      <c r="P998" s="79">
        <v>20</v>
      </c>
      <c r="Q998" s="87"/>
    </row>
    <row r="999" ht="15" spans="1:17">
      <c r="A999" s="89">
        <v>43439</v>
      </c>
      <c r="B999" s="78"/>
      <c r="C999" s="79">
        <v>6</v>
      </c>
      <c r="D999" s="88"/>
      <c r="E999" s="79">
        <v>80</v>
      </c>
      <c r="F999" s="80">
        <v>0.0921</v>
      </c>
      <c r="G999" s="79">
        <v>31</v>
      </c>
      <c r="H999" s="80">
        <v>0.0921</v>
      </c>
      <c r="I999" s="83">
        <v>1</v>
      </c>
      <c r="J999" s="79">
        <v>28</v>
      </c>
      <c r="K999" s="79"/>
      <c r="L999" s="80">
        <v>0</v>
      </c>
      <c r="M999" s="80"/>
      <c r="N999" s="86">
        <v>184</v>
      </c>
      <c r="O999" s="86"/>
      <c r="P999" s="79">
        <v>7</v>
      </c>
      <c r="Q999" s="87"/>
    </row>
    <row r="1000" ht="15" spans="1:17">
      <c r="A1000" s="89">
        <v>43439</v>
      </c>
      <c r="B1000" s="78"/>
      <c r="C1000" s="79">
        <v>7</v>
      </c>
      <c r="D1000" s="88"/>
      <c r="E1000" s="79">
        <v>32</v>
      </c>
      <c r="F1000" s="80">
        <v>0</v>
      </c>
      <c r="G1000" s="79">
        <v>3</v>
      </c>
      <c r="H1000" s="80">
        <v>0</v>
      </c>
      <c r="I1000" s="83">
        <v>0</v>
      </c>
      <c r="J1000" s="79">
        <v>22</v>
      </c>
      <c r="K1000" s="79"/>
      <c r="L1000" s="80">
        <v>0</v>
      </c>
      <c r="M1000" s="80"/>
      <c r="N1000" s="86">
        <v>338</v>
      </c>
      <c r="O1000" s="86"/>
      <c r="P1000" s="79">
        <v>1</v>
      </c>
      <c r="Q1000" s="87"/>
    </row>
    <row r="1001" ht="15" spans="1:17">
      <c r="A1001" s="89">
        <v>43439</v>
      </c>
      <c r="B1001" s="78"/>
      <c r="C1001" s="79">
        <v>10</v>
      </c>
      <c r="D1001" s="88"/>
      <c r="E1001" s="79">
        <v>91</v>
      </c>
      <c r="F1001" s="80">
        <v>0.0263</v>
      </c>
      <c r="G1001" s="79">
        <v>13</v>
      </c>
      <c r="H1001" s="80">
        <v>0.0263</v>
      </c>
      <c r="I1001" s="83">
        <v>1</v>
      </c>
      <c r="J1001" s="79">
        <v>1</v>
      </c>
      <c r="K1001" s="79"/>
      <c r="L1001" s="80">
        <v>0</v>
      </c>
      <c r="M1001" s="80"/>
      <c r="N1001" s="86">
        <v>178</v>
      </c>
      <c r="O1001" s="86"/>
      <c r="P1001" s="79">
        <v>13</v>
      </c>
      <c r="Q1001" s="87"/>
    </row>
    <row r="1002" ht="15" spans="1:17">
      <c r="A1002" s="89">
        <v>43439</v>
      </c>
      <c r="B1002" s="78"/>
      <c r="C1002" s="79">
        <v>8</v>
      </c>
      <c r="D1002" s="88"/>
      <c r="E1002" s="79">
        <v>55</v>
      </c>
      <c r="F1002" s="80">
        <v>0.0132</v>
      </c>
      <c r="G1002" s="79">
        <v>69</v>
      </c>
      <c r="H1002" s="80">
        <v>0.0132</v>
      </c>
      <c r="I1002" s="83">
        <v>1</v>
      </c>
      <c r="J1002" s="79">
        <v>24</v>
      </c>
      <c r="K1002" s="79"/>
      <c r="L1002" s="80">
        <v>0</v>
      </c>
      <c r="M1002" s="80"/>
      <c r="N1002" s="86">
        <v>158</v>
      </c>
      <c r="O1002" s="86"/>
      <c r="P1002" s="79">
        <v>2</v>
      </c>
      <c r="Q1002" s="87"/>
    </row>
    <row r="1003" ht="15" spans="1:17">
      <c r="A1003" s="89">
        <v>43440</v>
      </c>
      <c r="B1003" s="78"/>
      <c r="C1003" s="79">
        <v>4</v>
      </c>
      <c r="D1003" s="88"/>
      <c r="E1003" s="79">
        <v>19</v>
      </c>
      <c r="F1003" s="80">
        <v>0.069</v>
      </c>
      <c r="G1003" s="79">
        <v>22</v>
      </c>
      <c r="H1003" s="80">
        <v>0.069</v>
      </c>
      <c r="I1003" s="83">
        <v>1</v>
      </c>
      <c r="J1003" s="79">
        <v>20</v>
      </c>
      <c r="K1003" s="79"/>
      <c r="L1003" s="80">
        <v>0</v>
      </c>
      <c r="M1003" s="80"/>
      <c r="N1003" s="86">
        <v>273</v>
      </c>
      <c r="O1003" s="86"/>
      <c r="P1003" s="79">
        <v>19</v>
      </c>
      <c r="Q1003" s="87"/>
    </row>
    <row r="1004" ht="15" spans="1:17">
      <c r="A1004" s="89">
        <v>43440</v>
      </c>
      <c r="B1004" s="78"/>
      <c r="C1004" s="79">
        <v>2</v>
      </c>
      <c r="D1004" s="88"/>
      <c r="E1004" s="79">
        <v>86</v>
      </c>
      <c r="F1004" s="80">
        <v>0.0603</v>
      </c>
      <c r="G1004" s="79">
        <v>86</v>
      </c>
      <c r="H1004" s="80">
        <v>0.0603</v>
      </c>
      <c r="I1004" s="83">
        <v>1</v>
      </c>
      <c r="J1004" s="79">
        <v>4</v>
      </c>
      <c r="K1004" s="79"/>
      <c r="L1004" s="80">
        <v>0</v>
      </c>
      <c r="M1004" s="80"/>
      <c r="N1004" s="86">
        <v>114</v>
      </c>
      <c r="O1004" s="86"/>
      <c r="P1004" s="79">
        <v>19</v>
      </c>
      <c r="Q1004" s="87"/>
    </row>
    <row r="1005" ht="15" spans="1:17">
      <c r="A1005" s="89">
        <v>43440</v>
      </c>
      <c r="B1005" s="78"/>
      <c r="C1005" s="79">
        <v>5</v>
      </c>
      <c r="D1005" s="88"/>
      <c r="E1005" s="79">
        <v>57</v>
      </c>
      <c r="F1005" s="80">
        <v>0.5517</v>
      </c>
      <c r="G1005" s="79">
        <v>75</v>
      </c>
      <c r="H1005" s="80">
        <v>0.5517</v>
      </c>
      <c r="I1005" s="83">
        <v>1</v>
      </c>
      <c r="J1005" s="79">
        <v>13</v>
      </c>
      <c r="K1005" s="79"/>
      <c r="L1005" s="80">
        <v>0.186</v>
      </c>
      <c r="M1005" s="80"/>
      <c r="N1005" s="86">
        <v>305</v>
      </c>
      <c r="O1005" s="86"/>
      <c r="P1005" s="79">
        <v>20</v>
      </c>
      <c r="Q1005" s="87"/>
    </row>
    <row r="1006" ht="15" spans="1:17">
      <c r="A1006" s="89">
        <v>43440</v>
      </c>
      <c r="B1006" s="78"/>
      <c r="C1006" s="79">
        <v>3</v>
      </c>
      <c r="D1006" s="88"/>
      <c r="E1006" s="79">
        <v>86</v>
      </c>
      <c r="F1006" s="80">
        <v>0.0345</v>
      </c>
      <c r="G1006" s="79">
        <v>54</v>
      </c>
      <c r="H1006" s="80">
        <v>0.0345</v>
      </c>
      <c r="I1006" s="83">
        <v>1</v>
      </c>
      <c r="J1006" s="79">
        <v>26</v>
      </c>
      <c r="K1006" s="79"/>
      <c r="L1006" s="80">
        <v>0</v>
      </c>
      <c r="M1006" s="80"/>
      <c r="N1006" s="86">
        <v>326</v>
      </c>
      <c r="O1006" s="86"/>
      <c r="P1006" s="79">
        <v>0</v>
      </c>
      <c r="Q1006" s="87"/>
    </row>
    <row r="1007" ht="15" spans="1:17">
      <c r="A1007" s="89">
        <v>43440</v>
      </c>
      <c r="B1007" s="78"/>
      <c r="C1007" s="79">
        <v>1</v>
      </c>
      <c r="D1007" s="88"/>
      <c r="E1007" s="79">
        <v>48</v>
      </c>
      <c r="F1007" s="80">
        <v>0.1724</v>
      </c>
      <c r="G1007" s="79">
        <v>12</v>
      </c>
      <c r="H1007" s="80">
        <v>0.1724</v>
      </c>
      <c r="I1007" s="83">
        <v>1</v>
      </c>
      <c r="J1007" s="79">
        <v>17</v>
      </c>
      <c r="K1007" s="79"/>
      <c r="L1007" s="80">
        <v>0</v>
      </c>
      <c r="M1007" s="80"/>
      <c r="N1007" s="86">
        <v>110</v>
      </c>
      <c r="O1007" s="86"/>
      <c r="P1007" s="79">
        <v>12</v>
      </c>
      <c r="Q1007" s="87"/>
    </row>
    <row r="1008" ht="15" spans="1:17">
      <c r="A1008" s="89">
        <v>43440</v>
      </c>
      <c r="B1008" s="78"/>
      <c r="C1008" s="79">
        <v>6</v>
      </c>
      <c r="D1008" s="88"/>
      <c r="E1008" s="79">
        <v>44</v>
      </c>
      <c r="F1008" s="80">
        <v>0.0517</v>
      </c>
      <c r="G1008" s="79">
        <v>63</v>
      </c>
      <c r="H1008" s="80">
        <v>0.0517</v>
      </c>
      <c r="I1008" s="83">
        <v>1</v>
      </c>
      <c r="J1008" s="79">
        <v>2</v>
      </c>
      <c r="K1008" s="79"/>
      <c r="L1008" s="80">
        <v>0</v>
      </c>
      <c r="M1008" s="80"/>
      <c r="N1008" s="86">
        <v>460</v>
      </c>
      <c r="O1008" s="86"/>
      <c r="P1008" s="79">
        <v>7</v>
      </c>
      <c r="Q1008" s="87"/>
    </row>
    <row r="1009" ht="15" spans="1:17">
      <c r="A1009" s="89">
        <v>43440</v>
      </c>
      <c r="B1009" s="78"/>
      <c r="C1009" s="79">
        <v>7</v>
      </c>
      <c r="D1009" s="88"/>
      <c r="E1009" s="79">
        <v>62</v>
      </c>
      <c r="F1009" s="80">
        <v>0.0603</v>
      </c>
      <c r="G1009" s="79">
        <v>55</v>
      </c>
      <c r="H1009" s="80">
        <v>0.0603</v>
      </c>
      <c r="I1009" s="83">
        <v>1</v>
      </c>
      <c r="J1009" s="79">
        <v>16</v>
      </c>
      <c r="K1009" s="79"/>
      <c r="L1009" s="80">
        <v>0</v>
      </c>
      <c r="M1009" s="80"/>
      <c r="N1009" s="86">
        <v>68</v>
      </c>
      <c r="O1009" s="86"/>
      <c r="P1009" s="79">
        <v>11</v>
      </c>
      <c r="Q1009" s="87"/>
    </row>
    <row r="1010" ht="15" spans="1:17">
      <c r="A1010" s="89">
        <v>43441</v>
      </c>
      <c r="B1010" s="78"/>
      <c r="C1010" s="79">
        <v>2</v>
      </c>
      <c r="D1010" s="88"/>
      <c r="E1010" s="79">
        <v>88</v>
      </c>
      <c r="F1010" s="80">
        <v>0.0947</v>
      </c>
      <c r="G1010" s="79">
        <v>55</v>
      </c>
      <c r="H1010" s="80">
        <v>0.0947</v>
      </c>
      <c r="I1010" s="83">
        <v>1</v>
      </c>
      <c r="J1010" s="79">
        <v>25</v>
      </c>
      <c r="K1010" s="79"/>
      <c r="L1010" s="80">
        <v>0</v>
      </c>
      <c r="M1010" s="80"/>
      <c r="N1010" s="86">
        <v>105</v>
      </c>
      <c r="O1010" s="86"/>
      <c r="P1010" s="79">
        <v>3</v>
      </c>
      <c r="Q1010" s="87"/>
    </row>
    <row r="1011" ht="15" spans="1:17">
      <c r="A1011" s="89">
        <v>43441</v>
      </c>
      <c r="B1011" s="78"/>
      <c r="C1011" s="79">
        <v>5</v>
      </c>
      <c r="D1011" s="88"/>
      <c r="E1011" s="79">
        <v>100</v>
      </c>
      <c r="F1011" s="80">
        <v>0.5474</v>
      </c>
      <c r="G1011" s="79">
        <v>85</v>
      </c>
      <c r="H1011" s="80">
        <v>0.5474</v>
      </c>
      <c r="I1011" s="83">
        <v>1</v>
      </c>
      <c r="J1011" s="79">
        <v>20</v>
      </c>
      <c r="K1011" s="79"/>
      <c r="L1011" s="80">
        <v>0.2703</v>
      </c>
      <c r="M1011" s="80"/>
      <c r="N1011" s="86">
        <v>311</v>
      </c>
      <c r="O1011" s="86"/>
      <c r="P1011" s="79">
        <v>5</v>
      </c>
      <c r="Q1011" s="87"/>
    </row>
    <row r="1012" ht="15" spans="1:17">
      <c r="A1012" s="89">
        <v>43441</v>
      </c>
      <c r="B1012" s="78"/>
      <c r="C1012" s="79">
        <v>3</v>
      </c>
      <c r="D1012" s="88"/>
      <c r="E1012" s="79">
        <v>78</v>
      </c>
      <c r="F1012" s="80">
        <v>0.0211</v>
      </c>
      <c r="G1012" s="79">
        <v>97</v>
      </c>
      <c r="H1012" s="80">
        <v>0.0211</v>
      </c>
      <c r="I1012" s="83">
        <v>1</v>
      </c>
      <c r="J1012" s="79">
        <v>2</v>
      </c>
      <c r="K1012" s="79"/>
      <c r="L1012" s="80">
        <v>0</v>
      </c>
      <c r="M1012" s="80"/>
      <c r="N1012" s="86">
        <v>215</v>
      </c>
      <c r="O1012" s="86"/>
      <c r="P1012" s="79">
        <v>11</v>
      </c>
      <c r="Q1012" s="87"/>
    </row>
    <row r="1013" ht="15" spans="1:17">
      <c r="A1013" s="89">
        <v>43441</v>
      </c>
      <c r="B1013" s="78"/>
      <c r="C1013" s="79">
        <v>1</v>
      </c>
      <c r="D1013" s="88"/>
      <c r="E1013" s="79">
        <v>31</v>
      </c>
      <c r="F1013" s="80">
        <v>0.0737</v>
      </c>
      <c r="G1013" s="79">
        <v>100</v>
      </c>
      <c r="H1013" s="80">
        <v>0.0737</v>
      </c>
      <c r="I1013" s="83">
        <v>1</v>
      </c>
      <c r="J1013" s="79">
        <v>9</v>
      </c>
      <c r="K1013" s="79"/>
      <c r="L1013" s="80">
        <v>0</v>
      </c>
      <c r="M1013" s="80"/>
      <c r="N1013" s="86">
        <v>498</v>
      </c>
      <c r="O1013" s="86"/>
      <c r="P1013" s="79">
        <v>20</v>
      </c>
      <c r="Q1013" s="87"/>
    </row>
    <row r="1014" ht="15" spans="1:17">
      <c r="A1014" s="89">
        <v>43441</v>
      </c>
      <c r="B1014" s="78"/>
      <c r="C1014" s="79">
        <v>6</v>
      </c>
      <c r="D1014" s="88"/>
      <c r="E1014" s="79">
        <v>21</v>
      </c>
      <c r="F1014" s="80">
        <v>0.0421</v>
      </c>
      <c r="G1014" s="79">
        <v>8</v>
      </c>
      <c r="H1014" s="80">
        <v>0.0421</v>
      </c>
      <c r="I1014" s="83">
        <v>1</v>
      </c>
      <c r="J1014" s="79">
        <v>23</v>
      </c>
      <c r="K1014" s="79"/>
      <c r="L1014" s="80">
        <v>0.3333</v>
      </c>
      <c r="M1014" s="80"/>
      <c r="N1014" s="86">
        <v>419</v>
      </c>
      <c r="O1014" s="86"/>
      <c r="P1014" s="79">
        <v>14</v>
      </c>
      <c r="Q1014" s="87"/>
    </row>
    <row r="1015" ht="15" spans="1:17">
      <c r="A1015" s="89">
        <v>43441</v>
      </c>
      <c r="B1015" s="78"/>
      <c r="C1015" s="79">
        <v>7</v>
      </c>
      <c r="D1015" s="88"/>
      <c r="E1015" s="79">
        <v>34</v>
      </c>
      <c r="F1015" s="80">
        <v>0.1895</v>
      </c>
      <c r="G1015" s="79">
        <v>9</v>
      </c>
      <c r="H1015" s="80">
        <v>0.1895</v>
      </c>
      <c r="I1015" s="83">
        <v>1</v>
      </c>
      <c r="J1015" s="79">
        <v>9</v>
      </c>
      <c r="K1015" s="79"/>
      <c r="L1015" s="80">
        <v>0.2</v>
      </c>
      <c r="M1015" s="80"/>
      <c r="N1015" s="86">
        <v>274</v>
      </c>
      <c r="O1015" s="86"/>
      <c r="P1015" s="79">
        <v>10</v>
      </c>
      <c r="Q1015" s="87"/>
    </row>
    <row r="1016" ht="15" spans="1:17">
      <c r="A1016" s="89">
        <v>43441</v>
      </c>
      <c r="B1016" s="78"/>
      <c r="C1016" s="79">
        <v>10</v>
      </c>
      <c r="D1016" s="88"/>
      <c r="E1016" s="79">
        <v>55</v>
      </c>
      <c r="F1016" s="80">
        <v>0.0316</v>
      </c>
      <c r="G1016" s="79">
        <v>50</v>
      </c>
      <c r="H1016" s="80">
        <v>0.0316</v>
      </c>
      <c r="I1016" s="83">
        <v>1</v>
      </c>
      <c r="J1016" s="79">
        <v>20</v>
      </c>
      <c r="K1016" s="79"/>
      <c r="L1016" s="80">
        <v>0</v>
      </c>
      <c r="M1016" s="80"/>
      <c r="N1016" s="86">
        <v>432</v>
      </c>
      <c r="O1016" s="86"/>
      <c r="P1016" s="79">
        <v>6</v>
      </c>
      <c r="Q1016" s="87"/>
    </row>
    <row r="1017" ht="15" spans="1:17">
      <c r="A1017" s="89">
        <v>43442</v>
      </c>
      <c r="B1017" s="78"/>
      <c r="C1017" s="79">
        <v>4</v>
      </c>
      <c r="D1017" s="88"/>
      <c r="E1017" s="79">
        <v>38</v>
      </c>
      <c r="F1017" s="80">
        <v>0.0105</v>
      </c>
      <c r="G1017" s="79">
        <v>7</v>
      </c>
      <c r="H1017" s="80">
        <v>0.0105</v>
      </c>
      <c r="I1017" s="83">
        <v>1</v>
      </c>
      <c r="J1017" s="79">
        <v>25</v>
      </c>
      <c r="K1017" s="79"/>
      <c r="L1017" s="80">
        <v>0</v>
      </c>
      <c r="M1017" s="80"/>
      <c r="N1017" s="86">
        <v>383</v>
      </c>
      <c r="O1017" s="86"/>
      <c r="P1017" s="79">
        <v>14</v>
      </c>
      <c r="Q1017" s="87"/>
    </row>
    <row r="1018" ht="15" spans="1:17">
      <c r="A1018" s="89">
        <v>43442</v>
      </c>
      <c r="B1018" s="78"/>
      <c r="C1018" s="79">
        <v>2</v>
      </c>
      <c r="D1018" s="88"/>
      <c r="E1018" s="79">
        <v>99</v>
      </c>
      <c r="F1018" s="80">
        <v>0.0105</v>
      </c>
      <c r="G1018" s="79">
        <v>44</v>
      </c>
      <c r="H1018" s="80">
        <v>0.0105</v>
      </c>
      <c r="I1018" s="83">
        <v>1</v>
      </c>
      <c r="J1018" s="79">
        <v>26</v>
      </c>
      <c r="K1018" s="79"/>
      <c r="L1018" s="80">
        <v>0</v>
      </c>
      <c r="M1018" s="80"/>
      <c r="N1018" s="86">
        <v>264</v>
      </c>
      <c r="O1018" s="86"/>
      <c r="P1018" s="79">
        <v>12</v>
      </c>
      <c r="Q1018" s="87"/>
    </row>
    <row r="1019" ht="15" spans="1:17">
      <c r="A1019" s="89">
        <v>43442</v>
      </c>
      <c r="B1019" s="78"/>
      <c r="C1019" s="79">
        <v>5</v>
      </c>
      <c r="D1019" s="88"/>
      <c r="E1019" s="79">
        <v>45</v>
      </c>
      <c r="F1019" s="80">
        <v>0.5263</v>
      </c>
      <c r="G1019" s="79">
        <v>71</v>
      </c>
      <c r="H1019" s="80">
        <v>0.5263</v>
      </c>
      <c r="I1019" s="83">
        <v>1</v>
      </c>
      <c r="J1019" s="79">
        <v>13</v>
      </c>
      <c r="K1019" s="79"/>
      <c r="L1019" s="80">
        <v>0.2162</v>
      </c>
      <c r="M1019" s="80"/>
      <c r="N1019" s="86">
        <v>211</v>
      </c>
      <c r="O1019" s="86"/>
      <c r="P1019" s="79">
        <v>4</v>
      </c>
      <c r="Q1019" s="87"/>
    </row>
    <row r="1020" ht="15" spans="1:17">
      <c r="A1020" s="89">
        <v>43442</v>
      </c>
      <c r="B1020" s="78"/>
      <c r="C1020" s="79">
        <v>1</v>
      </c>
      <c r="D1020" s="88"/>
      <c r="E1020" s="79">
        <v>43</v>
      </c>
      <c r="F1020" s="80">
        <v>0.1789</v>
      </c>
      <c r="G1020" s="79">
        <v>49</v>
      </c>
      <c r="H1020" s="80">
        <v>0.1789</v>
      </c>
      <c r="I1020" s="83">
        <v>1</v>
      </c>
      <c r="J1020" s="79">
        <v>19</v>
      </c>
      <c r="K1020" s="79"/>
      <c r="L1020" s="80">
        <v>0.1667</v>
      </c>
      <c r="M1020" s="80"/>
      <c r="N1020" s="86">
        <v>153</v>
      </c>
      <c r="O1020" s="86"/>
      <c r="P1020" s="79">
        <v>4</v>
      </c>
      <c r="Q1020" s="87"/>
    </row>
    <row r="1021" ht="15" spans="1:17">
      <c r="A1021" s="89">
        <v>43442</v>
      </c>
      <c r="B1021" s="78"/>
      <c r="C1021" s="79">
        <v>6</v>
      </c>
      <c r="D1021" s="88"/>
      <c r="E1021" s="79">
        <v>11</v>
      </c>
      <c r="F1021" s="80">
        <v>0.0947</v>
      </c>
      <c r="G1021" s="79">
        <v>12</v>
      </c>
      <c r="H1021" s="80">
        <v>0.0947</v>
      </c>
      <c r="I1021" s="83">
        <v>1</v>
      </c>
      <c r="J1021" s="79">
        <v>23</v>
      </c>
      <c r="K1021" s="79"/>
      <c r="L1021" s="80">
        <v>0</v>
      </c>
      <c r="M1021" s="80"/>
      <c r="N1021" s="86">
        <v>120</v>
      </c>
      <c r="O1021" s="86"/>
      <c r="P1021" s="79">
        <v>17</v>
      </c>
      <c r="Q1021" s="87"/>
    </row>
    <row r="1022" ht="15" spans="1:17">
      <c r="A1022" s="89">
        <v>43442</v>
      </c>
      <c r="B1022" s="78"/>
      <c r="C1022" s="79">
        <v>7</v>
      </c>
      <c r="D1022" s="88"/>
      <c r="E1022" s="79">
        <v>17</v>
      </c>
      <c r="F1022" s="80">
        <v>0.0842</v>
      </c>
      <c r="G1022" s="79">
        <v>72</v>
      </c>
      <c r="H1022" s="80">
        <v>0.0842</v>
      </c>
      <c r="I1022" s="83">
        <v>1</v>
      </c>
      <c r="J1022" s="79">
        <v>5</v>
      </c>
      <c r="K1022" s="79"/>
      <c r="L1022" s="80">
        <v>0</v>
      </c>
      <c r="M1022" s="80"/>
      <c r="N1022" s="86">
        <v>141</v>
      </c>
      <c r="O1022" s="86"/>
      <c r="P1022" s="79">
        <v>4</v>
      </c>
      <c r="Q1022" s="87"/>
    </row>
    <row r="1023" ht="15" spans="1:17">
      <c r="A1023" s="89">
        <v>43442</v>
      </c>
      <c r="B1023" s="78"/>
      <c r="C1023" s="79">
        <v>10</v>
      </c>
      <c r="D1023" s="88"/>
      <c r="E1023" s="79">
        <v>36</v>
      </c>
      <c r="F1023" s="80">
        <v>0.0947</v>
      </c>
      <c r="G1023" s="79">
        <v>64</v>
      </c>
      <c r="H1023" s="80">
        <v>0.0947</v>
      </c>
      <c r="I1023" s="83">
        <v>1</v>
      </c>
      <c r="J1023" s="79">
        <v>24</v>
      </c>
      <c r="K1023" s="79"/>
      <c r="L1023" s="80">
        <v>0</v>
      </c>
      <c r="M1023" s="80"/>
      <c r="N1023" s="86">
        <v>209</v>
      </c>
      <c r="O1023" s="86"/>
      <c r="P1023" s="79">
        <v>2</v>
      </c>
      <c r="Q1023" s="87"/>
    </row>
    <row r="1024" ht="15" spans="1:17">
      <c r="A1024" s="89">
        <v>43443</v>
      </c>
      <c r="B1024" s="78"/>
      <c r="C1024" s="79">
        <v>4</v>
      </c>
      <c r="D1024" s="88"/>
      <c r="E1024" s="79">
        <v>54</v>
      </c>
      <c r="F1024" s="80">
        <v>0.0146</v>
      </c>
      <c r="G1024" s="79">
        <v>87</v>
      </c>
      <c r="H1024" s="80">
        <v>0.0146</v>
      </c>
      <c r="I1024" s="83">
        <v>0</v>
      </c>
      <c r="J1024" s="79">
        <v>25</v>
      </c>
      <c r="K1024" s="79"/>
      <c r="L1024" s="80">
        <v>0</v>
      </c>
      <c r="M1024" s="80"/>
      <c r="N1024" s="86">
        <v>102</v>
      </c>
      <c r="O1024" s="86"/>
      <c r="P1024" s="79">
        <v>15</v>
      </c>
      <c r="Q1024" s="87"/>
    </row>
    <row r="1025" ht="15" spans="1:17">
      <c r="A1025" s="89">
        <v>43443</v>
      </c>
      <c r="B1025" s="78"/>
      <c r="C1025" s="79">
        <v>2</v>
      </c>
      <c r="D1025" s="88"/>
      <c r="E1025" s="79">
        <v>16</v>
      </c>
      <c r="F1025" s="80">
        <v>0.0365</v>
      </c>
      <c r="G1025" s="79">
        <v>80</v>
      </c>
      <c r="H1025" s="80">
        <v>0.0365</v>
      </c>
      <c r="I1025" s="83">
        <v>1</v>
      </c>
      <c r="J1025" s="79">
        <v>23</v>
      </c>
      <c r="K1025" s="79"/>
      <c r="L1025" s="80">
        <v>0</v>
      </c>
      <c r="M1025" s="80"/>
      <c r="N1025" s="86">
        <v>283</v>
      </c>
      <c r="O1025" s="86"/>
      <c r="P1025" s="79">
        <v>1</v>
      </c>
      <c r="Q1025" s="87"/>
    </row>
    <row r="1026" ht="15" spans="1:17">
      <c r="A1026" s="89">
        <v>43443</v>
      </c>
      <c r="B1026" s="78"/>
      <c r="C1026" s="79">
        <v>5</v>
      </c>
      <c r="D1026" s="88"/>
      <c r="E1026" s="79">
        <v>24</v>
      </c>
      <c r="F1026" s="80">
        <v>0.6058</v>
      </c>
      <c r="G1026" s="79">
        <v>14</v>
      </c>
      <c r="H1026" s="80">
        <v>0.6058</v>
      </c>
      <c r="I1026" s="83">
        <v>1</v>
      </c>
      <c r="J1026" s="79">
        <v>24</v>
      </c>
      <c r="K1026" s="79"/>
      <c r="L1026" s="80">
        <v>0.2154</v>
      </c>
      <c r="M1026" s="80"/>
      <c r="N1026" s="86">
        <v>326</v>
      </c>
      <c r="O1026" s="86"/>
      <c r="P1026" s="79">
        <v>9</v>
      </c>
      <c r="Q1026" s="87"/>
    </row>
    <row r="1027" ht="15" spans="1:17">
      <c r="A1027" s="89">
        <v>43443</v>
      </c>
      <c r="B1027" s="78"/>
      <c r="C1027" s="79">
        <v>1</v>
      </c>
      <c r="D1027" s="88"/>
      <c r="E1027" s="79">
        <v>35</v>
      </c>
      <c r="F1027" s="80">
        <v>0.1241</v>
      </c>
      <c r="G1027" s="79">
        <v>55</v>
      </c>
      <c r="H1027" s="80">
        <v>0.1241</v>
      </c>
      <c r="I1027" s="83">
        <v>1</v>
      </c>
      <c r="J1027" s="79">
        <v>3</v>
      </c>
      <c r="K1027" s="79"/>
      <c r="L1027" s="80">
        <v>0.0625</v>
      </c>
      <c r="M1027" s="80"/>
      <c r="N1027" s="86">
        <v>178</v>
      </c>
      <c r="O1027" s="86"/>
      <c r="P1027" s="79">
        <v>0</v>
      </c>
      <c r="Q1027" s="87"/>
    </row>
    <row r="1028" ht="15" spans="1:17">
      <c r="A1028" s="89">
        <v>43443</v>
      </c>
      <c r="B1028" s="78"/>
      <c r="C1028" s="79">
        <v>6</v>
      </c>
      <c r="D1028" s="88"/>
      <c r="E1028" s="79">
        <v>15</v>
      </c>
      <c r="F1028" s="80">
        <v>0.0876</v>
      </c>
      <c r="G1028" s="79">
        <v>38</v>
      </c>
      <c r="H1028" s="80">
        <v>0.0876</v>
      </c>
      <c r="I1028" s="83">
        <v>1</v>
      </c>
      <c r="J1028" s="79">
        <v>6</v>
      </c>
      <c r="K1028" s="79"/>
      <c r="L1028" s="80">
        <v>0.2857</v>
      </c>
      <c r="M1028" s="80"/>
      <c r="N1028" s="86">
        <v>207</v>
      </c>
      <c r="O1028" s="86"/>
      <c r="P1028" s="79">
        <v>6</v>
      </c>
      <c r="Q1028" s="87"/>
    </row>
    <row r="1029" ht="15" spans="1:17">
      <c r="A1029" s="89">
        <v>43443</v>
      </c>
      <c r="B1029" s="78"/>
      <c r="C1029" s="79">
        <v>7</v>
      </c>
      <c r="D1029" s="88"/>
      <c r="E1029" s="79">
        <v>10</v>
      </c>
      <c r="F1029" s="80">
        <v>0.1168</v>
      </c>
      <c r="G1029" s="79">
        <v>67</v>
      </c>
      <c r="H1029" s="80">
        <v>0.1168</v>
      </c>
      <c r="I1029" s="83">
        <v>1</v>
      </c>
      <c r="J1029" s="79">
        <v>20</v>
      </c>
      <c r="K1029" s="79"/>
      <c r="L1029" s="80">
        <v>0.0769</v>
      </c>
      <c r="M1029" s="80"/>
      <c r="N1029" s="86">
        <v>196</v>
      </c>
      <c r="O1029" s="86"/>
      <c r="P1029" s="79">
        <v>4</v>
      </c>
      <c r="Q1029" s="87"/>
    </row>
    <row r="1030" ht="15" spans="1:17">
      <c r="A1030" s="89">
        <v>43443</v>
      </c>
      <c r="B1030" s="78"/>
      <c r="C1030" s="79">
        <v>10</v>
      </c>
      <c r="D1030" s="88"/>
      <c r="E1030" s="79">
        <v>55</v>
      </c>
      <c r="F1030" s="80">
        <v>0.0146</v>
      </c>
      <c r="G1030" s="79">
        <v>49</v>
      </c>
      <c r="H1030" s="80">
        <v>0.0146</v>
      </c>
      <c r="I1030" s="83">
        <v>1</v>
      </c>
      <c r="J1030" s="79">
        <v>25</v>
      </c>
      <c r="K1030" s="79"/>
      <c r="L1030" s="80">
        <v>0</v>
      </c>
      <c r="M1030" s="80"/>
      <c r="N1030" s="86">
        <v>496</v>
      </c>
      <c r="O1030" s="86"/>
      <c r="P1030" s="79">
        <v>16</v>
      </c>
      <c r="Q1030" s="87"/>
    </row>
    <row r="1031" ht="15" spans="1:17">
      <c r="A1031" s="89">
        <v>43444</v>
      </c>
      <c r="B1031" s="78"/>
      <c r="C1031" s="79">
        <v>4</v>
      </c>
      <c r="D1031" s="88"/>
      <c r="E1031" s="79">
        <v>42</v>
      </c>
      <c r="F1031" s="80">
        <v>0.0231</v>
      </c>
      <c r="G1031" s="79">
        <v>62</v>
      </c>
      <c r="H1031" s="80">
        <v>0.0231</v>
      </c>
      <c r="I1031" s="83">
        <v>1</v>
      </c>
      <c r="J1031" s="79">
        <v>29</v>
      </c>
      <c r="K1031" s="79"/>
      <c r="L1031" s="80">
        <v>0</v>
      </c>
      <c r="M1031" s="80"/>
      <c r="N1031" s="86">
        <v>194</v>
      </c>
      <c r="O1031" s="86"/>
      <c r="P1031" s="79">
        <v>15</v>
      </c>
      <c r="Q1031" s="87"/>
    </row>
    <row r="1032" ht="15" spans="1:17">
      <c r="A1032" s="89">
        <v>43444</v>
      </c>
      <c r="B1032" s="78"/>
      <c r="C1032" s="79">
        <v>2</v>
      </c>
      <c r="D1032" s="88"/>
      <c r="E1032" s="79">
        <v>31</v>
      </c>
      <c r="F1032" s="80">
        <v>0.0154</v>
      </c>
      <c r="G1032" s="79">
        <v>80</v>
      </c>
      <c r="H1032" s="80">
        <v>0.0154</v>
      </c>
      <c r="I1032" s="83">
        <v>1</v>
      </c>
      <c r="J1032" s="79">
        <v>18</v>
      </c>
      <c r="K1032" s="79"/>
      <c r="L1032" s="80">
        <v>1</v>
      </c>
      <c r="M1032" s="80"/>
      <c r="N1032" s="86">
        <v>376</v>
      </c>
      <c r="O1032" s="86"/>
      <c r="P1032" s="79">
        <v>2</v>
      </c>
      <c r="Q1032" s="87"/>
    </row>
    <row r="1033" ht="15" spans="1:17">
      <c r="A1033" s="89">
        <v>43444</v>
      </c>
      <c r="B1033" s="78"/>
      <c r="C1033" s="79">
        <v>5</v>
      </c>
      <c r="D1033" s="88"/>
      <c r="E1033" s="79">
        <v>5</v>
      </c>
      <c r="F1033" s="80">
        <v>0.5231</v>
      </c>
      <c r="G1033" s="79">
        <v>17</v>
      </c>
      <c r="H1033" s="80">
        <v>0.5231</v>
      </c>
      <c r="I1033" s="83">
        <v>0.99</v>
      </c>
      <c r="J1033" s="79">
        <v>7</v>
      </c>
      <c r="K1033" s="79"/>
      <c r="L1033" s="80">
        <v>0.1964</v>
      </c>
      <c r="M1033" s="80"/>
      <c r="N1033" s="86">
        <v>233</v>
      </c>
      <c r="O1033" s="86"/>
      <c r="P1033" s="79">
        <v>2</v>
      </c>
      <c r="Q1033" s="87"/>
    </row>
    <row r="1034" ht="15" spans="1:17">
      <c r="A1034" s="89">
        <v>43444</v>
      </c>
      <c r="B1034" s="78"/>
      <c r="C1034" s="79">
        <v>3</v>
      </c>
      <c r="D1034" s="88"/>
      <c r="E1034" s="79">
        <v>77</v>
      </c>
      <c r="F1034" s="80">
        <v>0.0154</v>
      </c>
      <c r="G1034" s="79">
        <v>48</v>
      </c>
      <c r="H1034" s="80">
        <v>0.0154</v>
      </c>
      <c r="I1034" s="83">
        <v>1</v>
      </c>
      <c r="J1034" s="79">
        <v>10</v>
      </c>
      <c r="K1034" s="79"/>
      <c r="L1034" s="80">
        <v>0</v>
      </c>
      <c r="M1034" s="80"/>
      <c r="N1034" s="86">
        <v>81</v>
      </c>
      <c r="O1034" s="86"/>
      <c r="P1034" s="79">
        <v>2</v>
      </c>
      <c r="Q1034" s="87"/>
    </row>
    <row r="1035" ht="15" spans="1:17">
      <c r="A1035" s="89">
        <v>43444</v>
      </c>
      <c r="B1035" s="78"/>
      <c r="C1035" s="79">
        <v>1</v>
      </c>
      <c r="D1035" s="88"/>
      <c r="E1035" s="79">
        <v>75</v>
      </c>
      <c r="F1035" s="80">
        <v>0.1769</v>
      </c>
      <c r="G1035" s="79">
        <v>11</v>
      </c>
      <c r="H1035" s="80">
        <v>0.1769</v>
      </c>
      <c r="I1035" s="83">
        <v>1</v>
      </c>
      <c r="J1035" s="79">
        <v>20</v>
      </c>
      <c r="K1035" s="79"/>
      <c r="L1035" s="80">
        <v>0.1765</v>
      </c>
      <c r="M1035" s="80"/>
      <c r="N1035" s="86">
        <v>145</v>
      </c>
      <c r="O1035" s="86"/>
      <c r="P1035" s="79">
        <v>14</v>
      </c>
      <c r="Q1035" s="87"/>
    </row>
    <row r="1036" ht="15" spans="1:17">
      <c r="A1036" s="89">
        <v>43444</v>
      </c>
      <c r="B1036" s="78"/>
      <c r="C1036" s="79">
        <v>6</v>
      </c>
      <c r="D1036" s="88"/>
      <c r="E1036" s="79">
        <v>2</v>
      </c>
      <c r="F1036" s="80">
        <v>0.1385</v>
      </c>
      <c r="G1036" s="79">
        <v>72</v>
      </c>
      <c r="H1036" s="80">
        <v>0.1385</v>
      </c>
      <c r="I1036" s="83">
        <v>1</v>
      </c>
      <c r="J1036" s="79">
        <v>28</v>
      </c>
      <c r="K1036" s="79"/>
      <c r="L1036" s="80">
        <v>0.4444</v>
      </c>
      <c r="M1036" s="80"/>
      <c r="N1036" s="86">
        <v>414</v>
      </c>
      <c r="O1036" s="86"/>
      <c r="P1036" s="79">
        <v>5</v>
      </c>
      <c r="Q1036" s="87"/>
    </row>
    <row r="1037" ht="15" spans="1:17">
      <c r="A1037" s="89">
        <v>43444</v>
      </c>
      <c r="B1037" s="78"/>
      <c r="C1037" s="79">
        <v>7</v>
      </c>
      <c r="D1037" s="88"/>
      <c r="E1037" s="79">
        <v>93</v>
      </c>
      <c r="F1037" s="80">
        <v>0.0769</v>
      </c>
      <c r="G1037" s="79">
        <v>30</v>
      </c>
      <c r="H1037" s="80">
        <v>0.0769</v>
      </c>
      <c r="I1037" s="83">
        <v>1</v>
      </c>
      <c r="J1037" s="79">
        <v>25</v>
      </c>
      <c r="K1037" s="79"/>
      <c r="L1037" s="80">
        <v>1</v>
      </c>
      <c r="M1037" s="80"/>
      <c r="N1037" s="86">
        <v>453</v>
      </c>
      <c r="O1037" s="86"/>
      <c r="P1037" s="79">
        <v>15</v>
      </c>
      <c r="Q1037" s="87"/>
    </row>
    <row r="1038" ht="15" spans="1:17">
      <c r="A1038" s="89">
        <v>43444</v>
      </c>
      <c r="B1038" s="78"/>
      <c r="C1038" s="79">
        <v>10</v>
      </c>
      <c r="D1038" s="88"/>
      <c r="E1038" s="79">
        <v>29</v>
      </c>
      <c r="F1038" s="80">
        <v>0.0308</v>
      </c>
      <c r="G1038" s="79">
        <v>71</v>
      </c>
      <c r="H1038" s="80">
        <v>0.0308</v>
      </c>
      <c r="I1038" s="83">
        <v>0.75</v>
      </c>
      <c r="J1038" s="79">
        <v>22</v>
      </c>
      <c r="K1038" s="79"/>
      <c r="L1038" s="80">
        <v>0</v>
      </c>
      <c r="M1038" s="80"/>
      <c r="N1038" s="86">
        <v>497</v>
      </c>
      <c r="O1038" s="86"/>
      <c r="P1038" s="79">
        <v>16</v>
      </c>
      <c r="Q1038" s="87"/>
    </row>
    <row r="1039" ht="15" spans="1:17">
      <c r="A1039" s="89">
        <v>43445</v>
      </c>
      <c r="B1039" s="78"/>
      <c r="C1039" s="79">
        <v>2</v>
      </c>
      <c r="D1039" s="88"/>
      <c r="E1039" s="79">
        <v>29</v>
      </c>
      <c r="F1039" s="80">
        <v>0.027</v>
      </c>
      <c r="G1039" s="79">
        <v>43</v>
      </c>
      <c r="H1039" s="80">
        <v>0.027</v>
      </c>
      <c r="I1039" s="83">
        <v>1</v>
      </c>
      <c r="J1039" s="79">
        <v>28</v>
      </c>
      <c r="K1039" s="79"/>
      <c r="L1039" s="80">
        <v>0</v>
      </c>
      <c r="M1039" s="80"/>
      <c r="N1039" s="86">
        <v>490</v>
      </c>
      <c r="O1039" s="86"/>
      <c r="P1039" s="79">
        <v>19</v>
      </c>
      <c r="Q1039" s="87"/>
    </row>
    <row r="1040" ht="15" spans="1:17">
      <c r="A1040" s="89">
        <v>43445</v>
      </c>
      <c r="B1040" s="78"/>
      <c r="C1040" s="79">
        <v>5</v>
      </c>
      <c r="D1040" s="88"/>
      <c r="E1040" s="79">
        <v>58</v>
      </c>
      <c r="F1040" s="80">
        <v>0.6622</v>
      </c>
      <c r="G1040" s="79">
        <v>26</v>
      </c>
      <c r="H1040" s="80">
        <v>0.6622</v>
      </c>
      <c r="I1040" s="83">
        <v>1</v>
      </c>
      <c r="J1040" s="79">
        <v>5</v>
      </c>
      <c r="K1040" s="79"/>
      <c r="L1040" s="80">
        <v>0.2895</v>
      </c>
      <c r="M1040" s="80"/>
      <c r="N1040" s="86">
        <v>466</v>
      </c>
      <c r="O1040" s="86"/>
      <c r="P1040" s="79">
        <v>17</v>
      </c>
      <c r="Q1040" s="87"/>
    </row>
    <row r="1041" ht="15" spans="1:17">
      <c r="A1041" s="89">
        <v>43445</v>
      </c>
      <c r="B1041" s="78"/>
      <c r="C1041" s="79">
        <v>1</v>
      </c>
      <c r="D1041" s="88"/>
      <c r="E1041" s="79">
        <v>56</v>
      </c>
      <c r="F1041" s="80">
        <v>0.1622</v>
      </c>
      <c r="G1041" s="79">
        <v>22</v>
      </c>
      <c r="H1041" s="80">
        <v>0.1622</v>
      </c>
      <c r="I1041" s="83">
        <v>1</v>
      </c>
      <c r="J1041" s="79">
        <v>5</v>
      </c>
      <c r="K1041" s="79"/>
      <c r="L1041" s="80">
        <v>0.1</v>
      </c>
      <c r="M1041" s="80"/>
      <c r="N1041" s="86">
        <v>484</v>
      </c>
      <c r="O1041" s="86"/>
      <c r="P1041" s="79">
        <v>7</v>
      </c>
      <c r="Q1041" s="87"/>
    </row>
    <row r="1042" ht="15" spans="1:17">
      <c r="A1042" s="89">
        <v>43445</v>
      </c>
      <c r="B1042" s="78"/>
      <c r="C1042" s="79">
        <v>6</v>
      </c>
      <c r="D1042" s="88"/>
      <c r="E1042" s="79">
        <v>91</v>
      </c>
      <c r="F1042" s="80">
        <v>0.0541</v>
      </c>
      <c r="G1042" s="79">
        <v>81</v>
      </c>
      <c r="H1042" s="80">
        <v>0.0541</v>
      </c>
      <c r="I1042" s="83">
        <v>1</v>
      </c>
      <c r="J1042" s="79">
        <v>23</v>
      </c>
      <c r="K1042" s="79"/>
      <c r="L1042" s="80">
        <v>0</v>
      </c>
      <c r="M1042" s="80"/>
      <c r="N1042" s="86">
        <v>449</v>
      </c>
      <c r="O1042" s="86"/>
      <c r="P1042" s="79">
        <v>15</v>
      </c>
      <c r="Q1042" s="87"/>
    </row>
    <row r="1043" ht="15" spans="1:17">
      <c r="A1043" s="89">
        <v>43445</v>
      </c>
      <c r="B1043" s="78"/>
      <c r="C1043" s="79">
        <v>7</v>
      </c>
      <c r="D1043" s="88"/>
      <c r="E1043" s="79">
        <v>73</v>
      </c>
      <c r="F1043" s="80">
        <v>0.0946</v>
      </c>
      <c r="G1043" s="79">
        <v>84</v>
      </c>
      <c r="H1043" s="80">
        <v>0.0946</v>
      </c>
      <c r="I1043" s="83">
        <v>1</v>
      </c>
      <c r="J1043" s="79">
        <v>3</v>
      </c>
      <c r="K1043" s="79"/>
      <c r="L1043" s="80">
        <v>0.2</v>
      </c>
      <c r="M1043" s="80"/>
      <c r="N1043" s="86">
        <v>65</v>
      </c>
      <c r="O1043" s="86"/>
      <c r="P1043" s="79">
        <v>17</v>
      </c>
      <c r="Q1043" s="87"/>
    </row>
    <row r="1044" ht="15" spans="1:17">
      <c r="A1044" s="89">
        <v>43446</v>
      </c>
      <c r="B1044" s="78"/>
      <c r="C1044" s="79">
        <v>5</v>
      </c>
      <c r="D1044" s="88"/>
      <c r="E1044" s="79">
        <v>40</v>
      </c>
      <c r="F1044" s="80">
        <v>0.4946</v>
      </c>
      <c r="G1044" s="79">
        <v>19</v>
      </c>
      <c r="H1044" s="80">
        <v>0.4946</v>
      </c>
      <c r="I1044" s="83">
        <v>1</v>
      </c>
      <c r="J1044" s="79">
        <v>14</v>
      </c>
      <c r="K1044" s="79"/>
      <c r="L1044" s="80">
        <v>0.5455</v>
      </c>
      <c r="M1044" s="80"/>
      <c r="N1044" s="86">
        <v>250</v>
      </c>
      <c r="O1044" s="86"/>
      <c r="P1044" s="79">
        <v>13</v>
      </c>
      <c r="Q1044" s="87"/>
    </row>
    <row r="1045" ht="15" spans="1:17">
      <c r="A1045" s="89">
        <v>43446</v>
      </c>
      <c r="B1045" s="78"/>
      <c r="C1045" s="79">
        <v>4</v>
      </c>
      <c r="D1045" s="88"/>
      <c r="E1045" s="79">
        <v>96</v>
      </c>
      <c r="F1045" s="80">
        <v>0.0215</v>
      </c>
      <c r="G1045" s="79">
        <v>44</v>
      </c>
      <c r="H1045" s="80">
        <v>0.0215</v>
      </c>
      <c r="I1045" s="83">
        <v>0.5</v>
      </c>
      <c r="J1045" s="79">
        <v>25</v>
      </c>
      <c r="K1045" s="79"/>
      <c r="L1045" s="80">
        <v>0</v>
      </c>
      <c r="M1045" s="80"/>
      <c r="N1045" s="86">
        <v>212</v>
      </c>
      <c r="O1045" s="86"/>
      <c r="P1045" s="79">
        <v>17</v>
      </c>
      <c r="Q1045" s="87"/>
    </row>
    <row r="1046" ht="15" spans="1:17">
      <c r="A1046" s="89">
        <v>43446</v>
      </c>
      <c r="B1046" s="78"/>
      <c r="C1046" s="79">
        <v>2</v>
      </c>
      <c r="D1046" s="88"/>
      <c r="E1046" s="79">
        <v>28</v>
      </c>
      <c r="F1046" s="80">
        <v>0.0323</v>
      </c>
      <c r="G1046" s="79">
        <v>1</v>
      </c>
      <c r="H1046" s="80">
        <v>0.0323</v>
      </c>
      <c r="I1046" s="83">
        <v>1</v>
      </c>
      <c r="J1046" s="79">
        <v>10</v>
      </c>
      <c r="K1046" s="79"/>
      <c r="L1046" s="80">
        <v>0</v>
      </c>
      <c r="M1046" s="80"/>
      <c r="N1046" s="86">
        <v>112</v>
      </c>
      <c r="O1046" s="86"/>
      <c r="P1046" s="79">
        <v>1</v>
      </c>
      <c r="Q1046" s="87"/>
    </row>
    <row r="1047" ht="15" spans="1:17">
      <c r="A1047" s="89">
        <v>43446</v>
      </c>
      <c r="B1047" s="78"/>
      <c r="C1047" s="79">
        <v>3</v>
      </c>
      <c r="D1047" s="88"/>
      <c r="E1047" s="79">
        <v>60</v>
      </c>
      <c r="F1047" s="80">
        <v>0.0323</v>
      </c>
      <c r="G1047" s="79">
        <v>75</v>
      </c>
      <c r="H1047" s="80">
        <v>0.0323</v>
      </c>
      <c r="I1047" s="83">
        <v>1</v>
      </c>
      <c r="J1047" s="79">
        <v>10</v>
      </c>
      <c r="K1047" s="79"/>
      <c r="L1047" s="80">
        <v>0</v>
      </c>
      <c r="M1047" s="80"/>
      <c r="N1047" s="86">
        <v>480</v>
      </c>
      <c r="O1047" s="86"/>
      <c r="P1047" s="79">
        <v>9</v>
      </c>
      <c r="Q1047" s="87"/>
    </row>
    <row r="1048" ht="15" spans="1:17">
      <c r="A1048" s="89">
        <v>43446</v>
      </c>
      <c r="B1048" s="78"/>
      <c r="C1048" s="79">
        <v>1</v>
      </c>
      <c r="D1048" s="88"/>
      <c r="E1048" s="79">
        <v>49</v>
      </c>
      <c r="F1048" s="80">
        <v>0.129</v>
      </c>
      <c r="G1048" s="79">
        <v>12</v>
      </c>
      <c r="H1048" s="80">
        <v>0.129</v>
      </c>
      <c r="I1048" s="83">
        <v>1</v>
      </c>
      <c r="J1048" s="79">
        <v>27</v>
      </c>
      <c r="K1048" s="79"/>
      <c r="L1048" s="80">
        <v>0.25</v>
      </c>
      <c r="M1048" s="80"/>
      <c r="N1048" s="86">
        <v>112</v>
      </c>
      <c r="O1048" s="86"/>
      <c r="P1048" s="79">
        <v>18</v>
      </c>
      <c r="Q1048" s="87"/>
    </row>
    <row r="1049" ht="15" spans="1:17">
      <c r="A1049" s="89">
        <v>43446</v>
      </c>
      <c r="B1049" s="78"/>
      <c r="C1049" s="79">
        <v>6</v>
      </c>
      <c r="D1049" s="88"/>
      <c r="E1049" s="79">
        <v>95</v>
      </c>
      <c r="F1049" s="80">
        <v>0.129</v>
      </c>
      <c r="G1049" s="79">
        <v>61</v>
      </c>
      <c r="H1049" s="80">
        <v>0.129</v>
      </c>
      <c r="I1049" s="83">
        <v>1</v>
      </c>
      <c r="J1049" s="79">
        <v>15</v>
      </c>
      <c r="K1049" s="79"/>
      <c r="L1049" s="80">
        <v>0.375</v>
      </c>
      <c r="M1049" s="80"/>
      <c r="N1049" s="86">
        <v>305</v>
      </c>
      <c r="O1049" s="86"/>
      <c r="P1049" s="79">
        <v>3</v>
      </c>
      <c r="Q1049" s="87"/>
    </row>
    <row r="1050" ht="15" spans="1:17">
      <c r="A1050" s="89">
        <v>43446</v>
      </c>
      <c r="B1050" s="78"/>
      <c r="C1050" s="79">
        <v>7</v>
      </c>
      <c r="D1050" s="88"/>
      <c r="E1050" s="79">
        <v>16</v>
      </c>
      <c r="F1050" s="80">
        <v>0.1505</v>
      </c>
      <c r="G1050" s="79">
        <v>48</v>
      </c>
      <c r="H1050" s="80">
        <v>0.1505</v>
      </c>
      <c r="I1050" s="83">
        <v>1</v>
      </c>
      <c r="J1050" s="79">
        <v>7</v>
      </c>
      <c r="K1050" s="79"/>
      <c r="L1050" s="80">
        <v>0.1818</v>
      </c>
      <c r="M1050" s="80"/>
      <c r="N1050" s="86">
        <v>257</v>
      </c>
      <c r="O1050" s="86"/>
      <c r="P1050" s="79">
        <v>5</v>
      </c>
      <c r="Q1050" s="87"/>
    </row>
    <row r="1051" ht="15" spans="1:17">
      <c r="A1051" s="89">
        <v>43446</v>
      </c>
      <c r="B1051" s="78"/>
      <c r="C1051" s="79">
        <v>10</v>
      </c>
      <c r="D1051" s="88"/>
      <c r="E1051" s="79">
        <v>57</v>
      </c>
      <c r="F1051" s="80">
        <v>0.0108</v>
      </c>
      <c r="G1051" s="79">
        <v>24</v>
      </c>
      <c r="H1051" s="80">
        <v>0.0108</v>
      </c>
      <c r="I1051" s="83">
        <v>1</v>
      </c>
      <c r="J1051" s="79">
        <v>2</v>
      </c>
      <c r="K1051" s="79"/>
      <c r="L1051" s="80">
        <v>0</v>
      </c>
      <c r="M1051" s="80"/>
      <c r="N1051" s="86">
        <v>127</v>
      </c>
      <c r="O1051" s="86"/>
      <c r="P1051" s="79">
        <v>15</v>
      </c>
      <c r="Q1051" s="87"/>
    </row>
    <row r="1052" ht="15" spans="1:17">
      <c r="A1052" s="89">
        <v>43447</v>
      </c>
      <c r="B1052" s="78"/>
      <c r="C1052" s="79">
        <v>4</v>
      </c>
      <c r="D1052" s="88"/>
      <c r="E1052" s="79">
        <v>46</v>
      </c>
      <c r="F1052" s="80">
        <v>0.0667</v>
      </c>
      <c r="G1052" s="79">
        <v>99</v>
      </c>
      <c r="H1052" s="80">
        <v>0.0667</v>
      </c>
      <c r="I1052" s="83">
        <v>1</v>
      </c>
      <c r="J1052" s="79">
        <v>19</v>
      </c>
      <c r="K1052" s="79"/>
      <c r="L1052" s="80">
        <v>0</v>
      </c>
      <c r="M1052" s="80"/>
      <c r="N1052" s="86">
        <v>130</v>
      </c>
      <c r="O1052" s="86"/>
      <c r="P1052" s="79">
        <v>4</v>
      </c>
      <c r="Q1052" s="87"/>
    </row>
    <row r="1053" ht="15" spans="1:17">
      <c r="A1053" s="89">
        <v>43447</v>
      </c>
      <c r="B1053" s="78"/>
      <c r="C1053" s="79">
        <v>2</v>
      </c>
      <c r="D1053" s="88"/>
      <c r="E1053" s="79">
        <v>68</v>
      </c>
      <c r="F1053" s="80">
        <v>0.0111</v>
      </c>
      <c r="G1053" s="79">
        <v>90</v>
      </c>
      <c r="H1053" s="80">
        <v>0.0111</v>
      </c>
      <c r="I1053" s="83">
        <v>1</v>
      </c>
      <c r="J1053" s="79">
        <v>0</v>
      </c>
      <c r="K1053" s="79"/>
      <c r="L1053" s="80">
        <v>0</v>
      </c>
      <c r="M1053" s="80"/>
      <c r="N1053" s="86">
        <v>196</v>
      </c>
      <c r="O1053" s="86"/>
      <c r="P1053" s="79">
        <v>4</v>
      </c>
      <c r="Q1053" s="87"/>
    </row>
    <row r="1054" ht="15" spans="1:17">
      <c r="A1054" s="89">
        <v>43447</v>
      </c>
      <c r="B1054" s="78"/>
      <c r="C1054" s="79">
        <v>5</v>
      </c>
      <c r="D1054" s="88"/>
      <c r="E1054" s="79">
        <v>29</v>
      </c>
      <c r="F1054" s="80">
        <v>0.5222</v>
      </c>
      <c r="G1054" s="79">
        <v>59</v>
      </c>
      <c r="H1054" s="80">
        <v>0.5222</v>
      </c>
      <c r="I1054" s="83">
        <v>1</v>
      </c>
      <c r="J1054" s="79">
        <v>18</v>
      </c>
      <c r="K1054" s="79"/>
      <c r="L1054" s="80">
        <v>0.2368</v>
      </c>
      <c r="M1054" s="80"/>
      <c r="N1054" s="86">
        <v>243</v>
      </c>
      <c r="O1054" s="86"/>
      <c r="P1054" s="79">
        <v>11</v>
      </c>
      <c r="Q1054" s="87"/>
    </row>
    <row r="1055" ht="15" spans="1:17">
      <c r="A1055" s="89">
        <v>43447</v>
      </c>
      <c r="B1055" s="78"/>
      <c r="C1055" s="79">
        <v>1</v>
      </c>
      <c r="D1055" s="88"/>
      <c r="E1055" s="79">
        <v>49</v>
      </c>
      <c r="F1055" s="80">
        <v>0.2222</v>
      </c>
      <c r="G1055" s="79">
        <v>11</v>
      </c>
      <c r="H1055" s="80">
        <v>0.2222</v>
      </c>
      <c r="I1055" s="83">
        <v>1</v>
      </c>
      <c r="J1055" s="79">
        <v>9</v>
      </c>
      <c r="K1055" s="79"/>
      <c r="L1055" s="80">
        <v>0.1875</v>
      </c>
      <c r="M1055" s="80"/>
      <c r="N1055" s="86">
        <v>240</v>
      </c>
      <c r="O1055" s="86"/>
      <c r="P1055" s="79">
        <v>14</v>
      </c>
      <c r="Q1055" s="87"/>
    </row>
    <row r="1056" ht="15" spans="1:17">
      <c r="A1056" s="89">
        <v>43447</v>
      </c>
      <c r="B1056" s="78"/>
      <c r="C1056" s="79">
        <v>6</v>
      </c>
      <c r="D1056" s="88"/>
      <c r="E1056" s="79">
        <v>14</v>
      </c>
      <c r="F1056" s="80">
        <v>0.0556</v>
      </c>
      <c r="G1056" s="79">
        <v>43</v>
      </c>
      <c r="H1056" s="80">
        <v>0.0556</v>
      </c>
      <c r="I1056" s="83">
        <v>1</v>
      </c>
      <c r="J1056" s="79">
        <v>5</v>
      </c>
      <c r="K1056" s="79"/>
      <c r="L1056" s="80">
        <v>0</v>
      </c>
      <c r="M1056" s="80"/>
      <c r="N1056" s="86">
        <v>345</v>
      </c>
      <c r="O1056" s="86"/>
      <c r="P1056" s="79">
        <v>12</v>
      </c>
      <c r="Q1056" s="87"/>
    </row>
    <row r="1057" ht="15" spans="1:17">
      <c r="A1057" s="89">
        <v>43447</v>
      </c>
      <c r="B1057" s="78"/>
      <c r="C1057" s="79">
        <v>7</v>
      </c>
      <c r="D1057" s="88"/>
      <c r="E1057" s="79">
        <v>63</v>
      </c>
      <c r="F1057" s="80">
        <v>0.0889</v>
      </c>
      <c r="G1057" s="79">
        <v>91</v>
      </c>
      <c r="H1057" s="80">
        <v>0.0889</v>
      </c>
      <c r="I1057" s="83">
        <v>1</v>
      </c>
      <c r="J1057" s="79">
        <v>6</v>
      </c>
      <c r="K1057" s="79"/>
      <c r="L1057" s="80">
        <v>0.7143</v>
      </c>
      <c r="M1057" s="80"/>
      <c r="N1057" s="86">
        <v>331</v>
      </c>
      <c r="O1057" s="86"/>
      <c r="P1057" s="79">
        <v>3</v>
      </c>
      <c r="Q1057" s="87"/>
    </row>
    <row r="1058" ht="15" spans="1:17">
      <c r="A1058" s="89">
        <v>43447</v>
      </c>
      <c r="B1058" s="78"/>
      <c r="C1058" s="79">
        <v>10</v>
      </c>
      <c r="D1058" s="88"/>
      <c r="E1058" s="79">
        <v>73</v>
      </c>
      <c r="F1058" s="80">
        <v>0.0333</v>
      </c>
      <c r="G1058" s="79">
        <v>92</v>
      </c>
      <c r="H1058" s="80">
        <v>0.0333</v>
      </c>
      <c r="I1058" s="83">
        <v>0</v>
      </c>
      <c r="J1058" s="79">
        <v>26</v>
      </c>
      <c r="K1058" s="79"/>
      <c r="L1058" s="80">
        <v>0</v>
      </c>
      <c r="M1058" s="80"/>
      <c r="N1058" s="86">
        <v>229</v>
      </c>
      <c r="O1058" s="86"/>
      <c r="P1058" s="79">
        <v>10</v>
      </c>
      <c r="Q1058" s="87"/>
    </row>
    <row r="1059" ht="15" spans="1:17">
      <c r="A1059" s="89">
        <v>43448</v>
      </c>
      <c r="B1059" s="78"/>
      <c r="C1059" s="79">
        <v>2</v>
      </c>
      <c r="D1059" s="88"/>
      <c r="E1059" s="79">
        <v>72</v>
      </c>
      <c r="F1059" s="80">
        <v>0</v>
      </c>
      <c r="G1059" s="79">
        <v>89</v>
      </c>
      <c r="H1059" s="80">
        <v>0</v>
      </c>
      <c r="I1059" s="83">
        <v>0</v>
      </c>
      <c r="J1059" s="79">
        <v>17</v>
      </c>
      <c r="K1059" s="79"/>
      <c r="L1059" s="80">
        <v>0</v>
      </c>
      <c r="M1059" s="80"/>
      <c r="N1059" s="86">
        <v>435</v>
      </c>
      <c r="O1059" s="86"/>
      <c r="P1059" s="79">
        <v>16</v>
      </c>
      <c r="Q1059" s="87"/>
    </row>
    <row r="1060" ht="15" spans="1:17">
      <c r="A1060" s="89">
        <v>43448</v>
      </c>
      <c r="B1060" s="78"/>
      <c r="C1060" s="79">
        <v>5</v>
      </c>
      <c r="D1060" s="88"/>
      <c r="E1060" s="79">
        <v>62</v>
      </c>
      <c r="F1060" s="80">
        <v>0.5096</v>
      </c>
      <c r="G1060" s="79">
        <v>60</v>
      </c>
      <c r="H1060" s="80">
        <v>0.5096</v>
      </c>
      <c r="I1060" s="83">
        <v>1</v>
      </c>
      <c r="J1060" s="79">
        <v>13</v>
      </c>
      <c r="K1060" s="79"/>
      <c r="L1060" s="80">
        <v>0.3333</v>
      </c>
      <c r="M1060" s="80"/>
      <c r="N1060" s="86">
        <v>66</v>
      </c>
      <c r="O1060" s="86"/>
      <c r="P1060" s="79">
        <v>16</v>
      </c>
      <c r="Q1060" s="87"/>
    </row>
    <row r="1061" ht="15" spans="1:17">
      <c r="A1061" s="89">
        <v>43448</v>
      </c>
      <c r="B1061" s="78"/>
      <c r="C1061" s="79">
        <v>1</v>
      </c>
      <c r="D1061" s="88"/>
      <c r="E1061" s="79">
        <v>54</v>
      </c>
      <c r="F1061" s="80">
        <v>0.1442</v>
      </c>
      <c r="G1061" s="79">
        <v>53</v>
      </c>
      <c r="H1061" s="80">
        <v>0.1442</v>
      </c>
      <c r="I1061" s="83">
        <v>1</v>
      </c>
      <c r="J1061" s="79">
        <v>8</v>
      </c>
      <c r="K1061" s="79"/>
      <c r="L1061" s="80">
        <v>0.0909</v>
      </c>
      <c r="M1061" s="80"/>
      <c r="N1061" s="86">
        <v>254</v>
      </c>
      <c r="O1061" s="86"/>
      <c r="P1061" s="79">
        <v>16</v>
      </c>
      <c r="Q1061" s="87"/>
    </row>
    <row r="1062" ht="15" spans="1:17">
      <c r="A1062" s="89">
        <v>43448</v>
      </c>
      <c r="B1062" s="78"/>
      <c r="C1062" s="79">
        <v>6</v>
      </c>
      <c r="D1062" s="88"/>
      <c r="E1062" s="79">
        <v>85</v>
      </c>
      <c r="F1062" s="80">
        <v>0.1923</v>
      </c>
      <c r="G1062" s="79">
        <v>79</v>
      </c>
      <c r="H1062" s="80">
        <v>0.1923</v>
      </c>
      <c r="I1062" s="83">
        <v>0.95</v>
      </c>
      <c r="J1062" s="79">
        <v>3</v>
      </c>
      <c r="K1062" s="79"/>
      <c r="L1062" s="80">
        <v>0.2143</v>
      </c>
      <c r="M1062" s="80"/>
      <c r="N1062" s="86">
        <v>174</v>
      </c>
      <c r="O1062" s="86"/>
      <c r="P1062" s="79">
        <v>20</v>
      </c>
      <c r="Q1062" s="87"/>
    </row>
    <row r="1063" ht="15" spans="1:17">
      <c r="A1063" s="89">
        <v>43448</v>
      </c>
      <c r="B1063" s="78"/>
      <c r="C1063" s="79">
        <v>7</v>
      </c>
      <c r="D1063" s="88"/>
      <c r="E1063" s="79">
        <v>31</v>
      </c>
      <c r="F1063" s="80">
        <v>0.0962</v>
      </c>
      <c r="G1063" s="79">
        <v>24</v>
      </c>
      <c r="H1063" s="80">
        <v>0.0962</v>
      </c>
      <c r="I1063" s="83">
        <v>1</v>
      </c>
      <c r="J1063" s="79">
        <v>2</v>
      </c>
      <c r="K1063" s="79"/>
      <c r="L1063" s="80">
        <v>0.4</v>
      </c>
      <c r="M1063" s="80"/>
      <c r="N1063" s="86">
        <v>462</v>
      </c>
      <c r="O1063" s="86"/>
      <c r="P1063" s="79">
        <v>14</v>
      </c>
      <c r="Q1063" s="87"/>
    </row>
    <row r="1064" ht="15" spans="1:17">
      <c r="A1064" s="89">
        <v>43448</v>
      </c>
      <c r="B1064" s="78"/>
      <c r="C1064" s="79">
        <v>10</v>
      </c>
      <c r="D1064" s="88"/>
      <c r="E1064" s="79">
        <v>89</v>
      </c>
      <c r="F1064" s="80">
        <v>0.0577</v>
      </c>
      <c r="G1064" s="79">
        <v>53</v>
      </c>
      <c r="H1064" s="80">
        <v>0.0577</v>
      </c>
      <c r="I1064" s="83">
        <v>0.33</v>
      </c>
      <c r="J1064" s="79">
        <v>15</v>
      </c>
      <c r="K1064" s="79"/>
      <c r="L1064" s="80">
        <v>0.3333</v>
      </c>
      <c r="M1064" s="80"/>
      <c r="N1064" s="86">
        <v>121</v>
      </c>
      <c r="O1064" s="86"/>
      <c r="P1064" s="79">
        <v>4</v>
      </c>
      <c r="Q1064" s="87"/>
    </row>
    <row r="1065" spans="1:17">
      <c r="A1065" s="89">
        <v>43449</v>
      </c>
      <c r="B1065" s="78"/>
      <c r="C1065" s="79">
        <v>2</v>
      </c>
      <c r="D1065" s="79"/>
      <c r="E1065" s="79">
        <v>38</v>
      </c>
      <c r="F1065" s="80">
        <v>0.0349</v>
      </c>
      <c r="G1065" s="79">
        <v>14</v>
      </c>
      <c r="H1065" s="80">
        <v>0.0349</v>
      </c>
      <c r="I1065" s="83">
        <v>1</v>
      </c>
      <c r="J1065" s="79">
        <v>10</v>
      </c>
      <c r="K1065" s="79"/>
      <c r="L1065" s="80">
        <v>0</v>
      </c>
      <c r="M1065" s="80"/>
      <c r="N1065" s="86">
        <v>470</v>
      </c>
      <c r="O1065" s="86"/>
      <c r="P1065" s="79">
        <v>5</v>
      </c>
      <c r="Q1065" s="79"/>
    </row>
    <row r="1066" spans="1:17">
      <c r="A1066" s="89">
        <v>43449</v>
      </c>
      <c r="B1066" s="78"/>
      <c r="C1066" s="79">
        <v>5</v>
      </c>
      <c r="D1066" s="79"/>
      <c r="E1066" s="79">
        <v>15</v>
      </c>
      <c r="F1066" s="80">
        <v>0.593</v>
      </c>
      <c r="G1066" s="79">
        <v>38</v>
      </c>
      <c r="H1066" s="80">
        <v>0.593</v>
      </c>
      <c r="I1066" s="83">
        <v>1</v>
      </c>
      <c r="J1066" s="79">
        <v>28</v>
      </c>
      <c r="K1066" s="79"/>
      <c r="L1066" s="80">
        <v>0.2439</v>
      </c>
      <c r="M1066" s="80"/>
      <c r="N1066" s="86">
        <v>162</v>
      </c>
      <c r="O1066" s="86"/>
      <c r="P1066" s="79">
        <v>10</v>
      </c>
      <c r="Q1066" s="79"/>
    </row>
    <row r="1067" spans="1:17">
      <c r="A1067" s="89">
        <v>43449</v>
      </c>
      <c r="B1067" s="78"/>
      <c r="C1067" s="79">
        <v>1</v>
      </c>
      <c r="D1067" s="79"/>
      <c r="E1067" s="79">
        <v>97</v>
      </c>
      <c r="F1067" s="80">
        <v>0.2209</v>
      </c>
      <c r="G1067" s="79">
        <v>59</v>
      </c>
      <c r="H1067" s="80">
        <v>0.2209</v>
      </c>
      <c r="I1067" s="83">
        <v>1</v>
      </c>
      <c r="J1067" s="79">
        <v>16</v>
      </c>
      <c r="K1067" s="79"/>
      <c r="L1067" s="80">
        <v>0</v>
      </c>
      <c r="M1067" s="80"/>
      <c r="N1067" s="86">
        <v>83</v>
      </c>
      <c r="O1067" s="86"/>
      <c r="P1067" s="79">
        <v>9</v>
      </c>
      <c r="Q1067" s="79"/>
    </row>
    <row r="1068" spans="1:17">
      <c r="A1068" s="89">
        <v>43449</v>
      </c>
      <c r="B1068" s="78"/>
      <c r="C1068" s="79">
        <v>6</v>
      </c>
      <c r="D1068" s="79"/>
      <c r="E1068" s="79">
        <v>56</v>
      </c>
      <c r="F1068" s="80">
        <v>0.0698</v>
      </c>
      <c r="G1068" s="79">
        <v>93</v>
      </c>
      <c r="H1068" s="80">
        <v>0.0698</v>
      </c>
      <c r="I1068" s="83">
        <v>1</v>
      </c>
      <c r="J1068" s="79">
        <v>1</v>
      </c>
      <c r="K1068" s="79"/>
      <c r="L1068" s="80">
        <v>0.6</v>
      </c>
      <c r="M1068" s="80"/>
      <c r="N1068" s="86">
        <v>192</v>
      </c>
      <c r="O1068" s="86"/>
      <c r="P1068" s="79">
        <v>14</v>
      </c>
      <c r="Q1068" s="79"/>
    </row>
    <row r="1069" spans="1:17">
      <c r="A1069" s="89">
        <v>43449</v>
      </c>
      <c r="B1069" s="78"/>
      <c r="C1069" s="79">
        <v>7</v>
      </c>
      <c r="D1069" s="79"/>
      <c r="E1069" s="79">
        <v>36</v>
      </c>
      <c r="F1069" s="80">
        <v>0.0581</v>
      </c>
      <c r="G1069" s="79">
        <v>14</v>
      </c>
      <c r="H1069" s="80">
        <v>0.0581</v>
      </c>
      <c r="I1069" s="83">
        <v>1</v>
      </c>
      <c r="J1069" s="79">
        <v>9</v>
      </c>
      <c r="K1069" s="79"/>
      <c r="L1069" s="80">
        <v>1</v>
      </c>
      <c r="M1069" s="80"/>
      <c r="N1069" s="86">
        <v>459</v>
      </c>
      <c r="O1069" s="86"/>
      <c r="P1069" s="79">
        <v>15</v>
      </c>
      <c r="Q1069" s="79"/>
    </row>
    <row r="1070" spans="1:17">
      <c r="A1070" s="89">
        <v>43449</v>
      </c>
      <c r="B1070" s="78"/>
      <c r="C1070" s="79">
        <v>10</v>
      </c>
      <c r="D1070" s="79"/>
      <c r="E1070" s="79">
        <v>74</v>
      </c>
      <c r="F1070" s="80">
        <v>0.0233</v>
      </c>
      <c r="G1070" s="79">
        <v>51</v>
      </c>
      <c r="H1070" s="80">
        <v>0.0233</v>
      </c>
      <c r="I1070" s="83">
        <v>1</v>
      </c>
      <c r="J1070" s="79">
        <v>11</v>
      </c>
      <c r="K1070" s="79"/>
      <c r="L1070" s="80">
        <v>0</v>
      </c>
      <c r="M1070" s="80"/>
      <c r="N1070" s="86">
        <v>279</v>
      </c>
      <c r="O1070" s="86"/>
      <c r="P1070" s="79">
        <v>11</v>
      </c>
      <c r="Q1070" s="79"/>
    </row>
    <row r="1071" spans="1:17">
      <c r="A1071" s="89">
        <v>43450</v>
      </c>
      <c r="B1071" s="78"/>
      <c r="C1071" s="79">
        <v>2</v>
      </c>
      <c r="D1071" s="79"/>
      <c r="E1071" s="79">
        <v>17</v>
      </c>
      <c r="F1071" s="80">
        <v>0.0526</v>
      </c>
      <c r="G1071" s="79">
        <v>17</v>
      </c>
      <c r="H1071" s="80">
        <v>0.0526</v>
      </c>
      <c r="I1071" s="83">
        <v>1</v>
      </c>
      <c r="J1071" s="79">
        <v>26</v>
      </c>
      <c r="K1071" s="79"/>
      <c r="L1071" s="80">
        <v>0</v>
      </c>
      <c r="M1071" s="80"/>
      <c r="N1071" s="86">
        <v>180</v>
      </c>
      <c r="O1071" s="86"/>
      <c r="P1071" s="79">
        <v>4</v>
      </c>
      <c r="Q1071" s="79"/>
    </row>
    <row r="1072" spans="1:17">
      <c r="A1072" s="89">
        <v>43450</v>
      </c>
      <c r="B1072" s="78"/>
      <c r="C1072" s="79">
        <v>5</v>
      </c>
      <c r="D1072" s="79"/>
      <c r="E1072" s="79">
        <v>43</v>
      </c>
      <c r="F1072" s="80">
        <v>0.6105</v>
      </c>
      <c r="G1072" s="79">
        <v>42</v>
      </c>
      <c r="H1072" s="80">
        <v>0.6105</v>
      </c>
      <c r="I1072" s="83">
        <v>1</v>
      </c>
      <c r="J1072" s="79">
        <v>27</v>
      </c>
      <c r="K1072" s="79"/>
      <c r="L1072" s="80">
        <v>0.3182</v>
      </c>
      <c r="M1072" s="80"/>
      <c r="N1072" s="86">
        <v>276</v>
      </c>
      <c r="O1072" s="86"/>
      <c r="P1072" s="79">
        <v>11</v>
      </c>
      <c r="Q1072" s="79"/>
    </row>
    <row r="1073" spans="1:17">
      <c r="A1073" s="89">
        <v>43450</v>
      </c>
      <c r="B1073" s="78"/>
      <c r="C1073" s="79">
        <v>1</v>
      </c>
      <c r="D1073" s="79"/>
      <c r="E1073" s="79">
        <v>82</v>
      </c>
      <c r="F1073" s="80">
        <v>0.2</v>
      </c>
      <c r="G1073" s="79">
        <v>64</v>
      </c>
      <c r="H1073" s="80">
        <v>0.2</v>
      </c>
      <c r="I1073" s="83">
        <v>1</v>
      </c>
      <c r="J1073" s="79">
        <v>3</v>
      </c>
      <c r="K1073" s="79"/>
      <c r="L1073" s="80">
        <v>0.0714</v>
      </c>
      <c r="M1073" s="80"/>
      <c r="N1073" s="86">
        <v>62</v>
      </c>
      <c r="O1073" s="86"/>
      <c r="P1073" s="79">
        <v>14</v>
      </c>
      <c r="Q1073" s="79"/>
    </row>
    <row r="1074" spans="1:17">
      <c r="A1074" s="89">
        <v>43450</v>
      </c>
      <c r="B1074" s="78"/>
      <c r="C1074" s="79">
        <v>6</v>
      </c>
      <c r="D1074" s="79"/>
      <c r="E1074" s="79">
        <v>100</v>
      </c>
      <c r="F1074" s="80">
        <v>0.0737</v>
      </c>
      <c r="G1074" s="79">
        <v>2</v>
      </c>
      <c r="H1074" s="80">
        <v>0.0737</v>
      </c>
      <c r="I1074" s="83">
        <v>1</v>
      </c>
      <c r="J1074" s="79">
        <v>6</v>
      </c>
      <c r="K1074" s="79"/>
      <c r="L1074" s="80">
        <v>0.5714</v>
      </c>
      <c r="M1074" s="80"/>
      <c r="N1074" s="86">
        <v>56</v>
      </c>
      <c r="O1074" s="86"/>
      <c r="P1074" s="79">
        <v>10</v>
      </c>
      <c r="Q1074" s="79"/>
    </row>
    <row r="1075" spans="1:17">
      <c r="A1075" s="89">
        <v>43450</v>
      </c>
      <c r="B1075" s="78"/>
      <c r="C1075" s="79">
        <v>7</v>
      </c>
      <c r="D1075" s="79"/>
      <c r="E1075" s="79">
        <v>27</v>
      </c>
      <c r="F1075" s="80">
        <v>0.0526</v>
      </c>
      <c r="G1075" s="79">
        <v>18</v>
      </c>
      <c r="H1075" s="80">
        <v>0.0526</v>
      </c>
      <c r="I1075" s="83">
        <v>1</v>
      </c>
      <c r="J1075" s="79">
        <v>4</v>
      </c>
      <c r="K1075" s="79"/>
      <c r="L1075" s="80">
        <v>0.6</v>
      </c>
      <c r="M1075" s="80"/>
      <c r="N1075" s="86">
        <v>365</v>
      </c>
      <c r="O1075" s="86"/>
      <c r="P1075" s="79">
        <v>10</v>
      </c>
      <c r="Q1075" s="79"/>
    </row>
    <row r="1076" spans="1:17">
      <c r="A1076" s="89">
        <v>43450</v>
      </c>
      <c r="B1076" s="78"/>
      <c r="C1076" s="79">
        <v>10</v>
      </c>
      <c r="D1076" s="79"/>
      <c r="E1076" s="79">
        <v>76</v>
      </c>
      <c r="F1076" s="80">
        <v>0.0105</v>
      </c>
      <c r="G1076" s="79">
        <v>9</v>
      </c>
      <c r="H1076" s="80">
        <v>0.0105</v>
      </c>
      <c r="I1076" s="83">
        <v>1</v>
      </c>
      <c r="J1076" s="79">
        <v>12</v>
      </c>
      <c r="K1076" s="79"/>
      <c r="L1076" s="80">
        <v>0</v>
      </c>
      <c r="M1076" s="80"/>
      <c r="N1076" s="86">
        <v>223</v>
      </c>
      <c r="O1076" s="86"/>
      <c r="P1076" s="79">
        <v>17</v>
      </c>
      <c r="Q1076" s="79"/>
    </row>
    <row r="1077" ht="15" spans="1:17">
      <c r="A1077" s="89">
        <v>43451</v>
      </c>
      <c r="B1077" s="78"/>
      <c r="C1077" s="79">
        <v>2</v>
      </c>
      <c r="D1077" s="88"/>
      <c r="E1077" s="79">
        <v>45</v>
      </c>
      <c r="F1077" s="80">
        <v>0.0339</v>
      </c>
      <c r="G1077" s="79">
        <v>0</v>
      </c>
      <c r="H1077" s="80">
        <v>0.0339</v>
      </c>
      <c r="I1077" s="83">
        <v>1</v>
      </c>
      <c r="J1077" s="79">
        <v>9</v>
      </c>
      <c r="K1077" s="79"/>
      <c r="L1077" s="80">
        <v>0.5</v>
      </c>
      <c r="M1077" s="80"/>
      <c r="N1077" s="86">
        <v>311</v>
      </c>
      <c r="O1077" s="86"/>
      <c r="P1077" s="79">
        <v>17</v>
      </c>
      <c r="Q1077" s="79"/>
    </row>
    <row r="1078" ht="15" spans="1:17">
      <c r="A1078" s="89">
        <v>43451</v>
      </c>
      <c r="B1078" s="78"/>
      <c r="C1078" s="79">
        <v>5</v>
      </c>
      <c r="D1078" s="88"/>
      <c r="E1078" s="79">
        <v>33</v>
      </c>
      <c r="F1078" s="80">
        <v>0.5169</v>
      </c>
      <c r="G1078" s="79">
        <v>49</v>
      </c>
      <c r="H1078" s="80">
        <v>0.5169</v>
      </c>
      <c r="I1078" s="83">
        <v>0.98</v>
      </c>
      <c r="J1078" s="79">
        <v>23</v>
      </c>
      <c r="K1078" s="79"/>
      <c r="L1078" s="80">
        <v>0.76</v>
      </c>
      <c r="M1078" s="80"/>
      <c r="N1078" s="86">
        <v>354</v>
      </c>
      <c r="O1078" s="86"/>
      <c r="P1078" s="79">
        <v>12</v>
      </c>
      <c r="Q1078" s="79"/>
    </row>
    <row r="1079" ht="15" spans="1:17">
      <c r="A1079" s="89">
        <v>43451</v>
      </c>
      <c r="B1079" s="78"/>
      <c r="C1079" s="79">
        <v>3</v>
      </c>
      <c r="D1079" s="88"/>
      <c r="E1079" s="79">
        <v>79</v>
      </c>
      <c r="F1079" s="80">
        <v>0.0085</v>
      </c>
      <c r="G1079" s="79">
        <v>42</v>
      </c>
      <c r="H1079" s="80">
        <v>0.0085</v>
      </c>
      <c r="I1079" s="83">
        <v>1</v>
      </c>
      <c r="J1079" s="79">
        <v>0</v>
      </c>
      <c r="K1079" s="79"/>
      <c r="L1079" s="80">
        <v>0</v>
      </c>
      <c r="M1079" s="80"/>
      <c r="N1079" s="86">
        <v>419</v>
      </c>
      <c r="O1079" s="86"/>
      <c r="P1079" s="79">
        <v>14</v>
      </c>
      <c r="Q1079" s="79"/>
    </row>
    <row r="1080" ht="15" spans="1:17">
      <c r="A1080" s="89">
        <v>43451</v>
      </c>
      <c r="B1080" s="78"/>
      <c r="C1080" s="79">
        <v>1</v>
      </c>
      <c r="D1080" s="88"/>
      <c r="E1080" s="79">
        <v>84</v>
      </c>
      <c r="F1080" s="80">
        <v>0.2203</v>
      </c>
      <c r="G1080" s="79">
        <v>87</v>
      </c>
      <c r="H1080" s="80">
        <v>0.2203</v>
      </c>
      <c r="I1080" s="83">
        <v>1</v>
      </c>
      <c r="J1080" s="79">
        <v>15</v>
      </c>
      <c r="K1080" s="79"/>
      <c r="L1080" s="80">
        <v>0.0526</v>
      </c>
      <c r="M1080" s="80"/>
      <c r="N1080" s="86">
        <v>343</v>
      </c>
      <c r="O1080" s="86"/>
      <c r="P1080" s="79">
        <v>9</v>
      </c>
      <c r="Q1080" s="79"/>
    </row>
    <row r="1081" ht="15" spans="1:17">
      <c r="A1081" s="89">
        <v>43451</v>
      </c>
      <c r="B1081" s="78"/>
      <c r="C1081" s="79">
        <v>6</v>
      </c>
      <c r="D1081" s="88"/>
      <c r="E1081" s="79">
        <v>62</v>
      </c>
      <c r="F1081" s="80">
        <v>0.0847</v>
      </c>
      <c r="G1081" s="79">
        <v>62</v>
      </c>
      <c r="H1081" s="80">
        <v>0.0847</v>
      </c>
      <c r="I1081" s="83">
        <v>1</v>
      </c>
      <c r="J1081" s="79">
        <v>28</v>
      </c>
      <c r="K1081" s="79"/>
      <c r="L1081" s="80">
        <v>0.1667</v>
      </c>
      <c r="M1081" s="80"/>
      <c r="N1081" s="86">
        <v>172</v>
      </c>
      <c r="O1081" s="86"/>
      <c r="P1081" s="79">
        <v>4</v>
      </c>
      <c r="Q1081" s="79"/>
    </row>
    <row r="1082" ht="15" spans="1:17">
      <c r="A1082" s="89">
        <v>43451</v>
      </c>
      <c r="B1082" s="78"/>
      <c r="C1082" s="79">
        <v>7</v>
      </c>
      <c r="D1082" s="88"/>
      <c r="E1082" s="79">
        <v>76</v>
      </c>
      <c r="F1082" s="80">
        <v>0.1017</v>
      </c>
      <c r="G1082" s="79">
        <v>49</v>
      </c>
      <c r="H1082" s="80">
        <v>0.1017</v>
      </c>
      <c r="I1082" s="83">
        <v>1</v>
      </c>
      <c r="J1082" s="79">
        <v>6</v>
      </c>
      <c r="K1082" s="79"/>
      <c r="L1082" s="80">
        <v>0.375</v>
      </c>
      <c r="M1082" s="80"/>
      <c r="N1082" s="86">
        <v>139</v>
      </c>
      <c r="O1082" s="86"/>
      <c r="P1082" s="79">
        <v>17</v>
      </c>
      <c r="Q1082" s="79"/>
    </row>
    <row r="1083" ht="15" spans="1:17">
      <c r="A1083" s="89">
        <v>43451</v>
      </c>
      <c r="B1083" s="78"/>
      <c r="C1083" s="79">
        <v>10</v>
      </c>
      <c r="D1083" s="88"/>
      <c r="E1083" s="79">
        <v>37</v>
      </c>
      <c r="F1083" s="80">
        <v>0.0339</v>
      </c>
      <c r="G1083" s="79">
        <v>15</v>
      </c>
      <c r="H1083" s="80">
        <v>0.0339</v>
      </c>
      <c r="I1083" s="83">
        <v>1</v>
      </c>
      <c r="J1083" s="79">
        <v>24</v>
      </c>
      <c r="K1083" s="79"/>
      <c r="L1083" s="80">
        <v>0</v>
      </c>
      <c r="M1083" s="80"/>
      <c r="N1083" s="86">
        <v>318</v>
      </c>
      <c r="O1083" s="86"/>
      <c r="P1083" s="79">
        <v>2</v>
      </c>
      <c r="Q1083" s="79"/>
    </row>
    <row r="1084" ht="15" spans="1:17">
      <c r="A1084" s="89">
        <v>43452</v>
      </c>
      <c r="B1084" s="78"/>
      <c r="C1084" s="87">
        <v>4</v>
      </c>
      <c r="D1084" s="88"/>
      <c r="E1084" s="79">
        <v>27</v>
      </c>
      <c r="F1084" s="80">
        <v>0.0179</v>
      </c>
      <c r="G1084" s="79">
        <v>76</v>
      </c>
      <c r="H1084" s="90">
        <v>0.0179</v>
      </c>
      <c r="I1084" s="91">
        <v>1</v>
      </c>
      <c r="J1084" s="79">
        <v>10</v>
      </c>
      <c r="K1084" s="87"/>
      <c r="L1084" s="90">
        <v>0</v>
      </c>
      <c r="M1084" s="90"/>
      <c r="N1084" s="86">
        <v>401</v>
      </c>
      <c r="O1084" s="92"/>
      <c r="P1084" s="79">
        <v>19</v>
      </c>
      <c r="Q1084" s="87"/>
    </row>
    <row r="1085" ht="15" spans="1:17">
      <c r="A1085" s="89">
        <v>43452</v>
      </c>
      <c r="B1085" s="78"/>
      <c r="C1085" s="87">
        <v>5</v>
      </c>
      <c r="D1085" s="88"/>
      <c r="E1085" s="79">
        <v>42</v>
      </c>
      <c r="F1085" s="80">
        <v>0.5893</v>
      </c>
      <c r="G1085" s="79">
        <v>50</v>
      </c>
      <c r="H1085" s="90">
        <v>0.5893</v>
      </c>
      <c r="I1085" s="91">
        <v>1</v>
      </c>
      <c r="J1085" s="79">
        <v>20</v>
      </c>
      <c r="K1085" s="87"/>
      <c r="L1085" s="90">
        <v>0.3913</v>
      </c>
      <c r="M1085" s="90"/>
      <c r="N1085" s="86">
        <v>418</v>
      </c>
      <c r="O1085" s="92"/>
      <c r="P1085" s="79">
        <v>10</v>
      </c>
      <c r="Q1085" s="87"/>
    </row>
    <row r="1086" ht="15" spans="1:17">
      <c r="A1086" s="89">
        <v>43452</v>
      </c>
      <c r="B1086" s="78"/>
      <c r="C1086" s="87">
        <v>1</v>
      </c>
      <c r="D1086" s="88"/>
      <c r="E1086" s="79">
        <v>51</v>
      </c>
      <c r="F1086" s="80">
        <v>0.0625</v>
      </c>
      <c r="G1086" s="79">
        <v>65</v>
      </c>
      <c r="H1086" s="90">
        <v>0.0625</v>
      </c>
      <c r="I1086" s="91">
        <v>1</v>
      </c>
      <c r="J1086" s="79">
        <v>4</v>
      </c>
      <c r="K1086" s="87"/>
      <c r="L1086" s="90">
        <v>0</v>
      </c>
      <c r="M1086" s="90"/>
      <c r="N1086" s="86">
        <v>227</v>
      </c>
      <c r="O1086" s="92"/>
      <c r="P1086" s="79">
        <v>11</v>
      </c>
      <c r="Q1086" s="87"/>
    </row>
    <row r="1087" ht="15" spans="1:17">
      <c r="A1087" s="89">
        <v>43452</v>
      </c>
      <c r="B1087" s="78"/>
      <c r="C1087" s="87">
        <v>6</v>
      </c>
      <c r="D1087" s="88"/>
      <c r="E1087" s="79">
        <v>50</v>
      </c>
      <c r="F1087" s="80">
        <v>0.2054</v>
      </c>
      <c r="G1087" s="79">
        <v>85</v>
      </c>
      <c r="H1087" s="90">
        <v>0.2054</v>
      </c>
      <c r="I1087" s="91">
        <v>1</v>
      </c>
      <c r="J1087" s="79">
        <v>13</v>
      </c>
      <c r="K1087" s="87"/>
      <c r="L1087" s="90">
        <v>0</v>
      </c>
      <c r="M1087" s="90"/>
      <c r="N1087" s="86">
        <v>129</v>
      </c>
      <c r="O1087" s="92"/>
      <c r="P1087" s="79">
        <v>7</v>
      </c>
      <c r="Q1087" s="87"/>
    </row>
    <row r="1088" ht="15" spans="1:17">
      <c r="A1088" s="89">
        <v>43452</v>
      </c>
      <c r="B1088" s="78"/>
      <c r="C1088" s="87">
        <v>7</v>
      </c>
      <c r="D1088" s="88"/>
      <c r="E1088" s="79">
        <v>89</v>
      </c>
      <c r="F1088" s="80">
        <v>0.1161</v>
      </c>
      <c r="G1088" s="79">
        <v>78</v>
      </c>
      <c r="H1088" s="90">
        <v>0.1161</v>
      </c>
      <c r="I1088" s="91">
        <v>0.92</v>
      </c>
      <c r="J1088" s="79">
        <v>3</v>
      </c>
      <c r="K1088" s="87"/>
      <c r="L1088" s="90">
        <v>0</v>
      </c>
      <c r="M1088" s="90"/>
      <c r="N1088" s="86">
        <v>460</v>
      </c>
      <c r="O1088" s="92"/>
      <c r="P1088" s="79">
        <v>3</v>
      </c>
      <c r="Q1088" s="87"/>
    </row>
    <row r="1089" ht="15" spans="1:17">
      <c r="A1089" s="89">
        <v>43452</v>
      </c>
      <c r="B1089" s="78"/>
      <c r="C1089" s="87">
        <v>10</v>
      </c>
      <c r="D1089" s="88"/>
      <c r="E1089" s="79">
        <v>3</v>
      </c>
      <c r="F1089" s="80">
        <v>0.0089</v>
      </c>
      <c r="G1089" s="79">
        <v>67</v>
      </c>
      <c r="H1089" s="90">
        <v>0.0089</v>
      </c>
      <c r="I1089" s="91">
        <v>1</v>
      </c>
      <c r="J1089" s="79">
        <v>14</v>
      </c>
      <c r="K1089" s="87"/>
      <c r="L1089" s="90">
        <v>0</v>
      </c>
      <c r="M1089" s="90"/>
      <c r="N1089" s="86">
        <v>152</v>
      </c>
      <c r="O1089" s="92"/>
      <c r="P1089" s="79">
        <v>3</v>
      </c>
      <c r="Q1089" s="87"/>
    </row>
    <row r="1090" ht="15" spans="1:17">
      <c r="A1090" s="89">
        <v>43453</v>
      </c>
      <c r="B1090" s="78"/>
      <c r="C1090" s="79">
        <v>5</v>
      </c>
      <c r="D1090" s="88"/>
      <c r="E1090" s="79">
        <v>73</v>
      </c>
      <c r="F1090" s="80">
        <v>0.4667</v>
      </c>
      <c r="G1090" s="79">
        <v>57</v>
      </c>
      <c r="H1090" s="80">
        <v>0.4667</v>
      </c>
      <c r="I1090" s="83">
        <v>1</v>
      </c>
      <c r="J1090" s="79">
        <v>10</v>
      </c>
      <c r="K1090" s="79"/>
      <c r="L1090" s="80">
        <v>0.3684</v>
      </c>
      <c r="M1090" s="80"/>
      <c r="N1090" s="86">
        <v>199</v>
      </c>
      <c r="O1090" s="86"/>
      <c r="P1090" s="79">
        <v>20</v>
      </c>
      <c r="Q1090" s="79"/>
    </row>
    <row r="1091" ht="15" spans="1:17">
      <c r="A1091" s="89">
        <v>43453</v>
      </c>
      <c r="B1091" s="78"/>
      <c r="C1091" s="79">
        <v>4</v>
      </c>
      <c r="D1091" s="88"/>
      <c r="E1091" s="79">
        <v>56</v>
      </c>
      <c r="F1091" s="80">
        <v>0.0095</v>
      </c>
      <c r="G1091" s="79">
        <v>87</v>
      </c>
      <c r="H1091" s="80">
        <v>0.0095</v>
      </c>
      <c r="I1091" s="83">
        <v>0</v>
      </c>
      <c r="J1091" s="79">
        <v>26</v>
      </c>
      <c r="K1091" s="79"/>
      <c r="L1091" s="80">
        <v>0</v>
      </c>
      <c r="M1091" s="80"/>
      <c r="N1091" s="86">
        <v>208</v>
      </c>
      <c r="O1091" s="86"/>
      <c r="P1091" s="79">
        <v>12</v>
      </c>
      <c r="Q1091" s="79"/>
    </row>
    <row r="1092" ht="15" spans="1:17">
      <c r="A1092" s="89">
        <v>43453</v>
      </c>
      <c r="B1092" s="78"/>
      <c r="C1092" s="79">
        <v>2</v>
      </c>
      <c r="D1092" s="88"/>
      <c r="E1092" s="79">
        <v>38</v>
      </c>
      <c r="F1092" s="80">
        <v>0.0571</v>
      </c>
      <c r="G1092" s="79">
        <v>40</v>
      </c>
      <c r="H1092" s="80">
        <v>0.0571</v>
      </c>
      <c r="I1092" s="83">
        <v>1</v>
      </c>
      <c r="J1092" s="79">
        <v>21</v>
      </c>
      <c r="K1092" s="79"/>
      <c r="L1092" s="80">
        <v>0</v>
      </c>
      <c r="M1092" s="80"/>
      <c r="N1092" s="86">
        <v>342</v>
      </c>
      <c r="O1092" s="86"/>
      <c r="P1092" s="79">
        <v>5</v>
      </c>
      <c r="Q1092" s="79"/>
    </row>
    <row r="1093" ht="15" spans="1:17">
      <c r="A1093" s="89">
        <v>43453</v>
      </c>
      <c r="B1093" s="78"/>
      <c r="C1093" s="79">
        <v>3</v>
      </c>
      <c r="D1093" s="88"/>
      <c r="E1093" s="79">
        <v>1</v>
      </c>
      <c r="F1093" s="80">
        <v>0.019</v>
      </c>
      <c r="G1093" s="79">
        <v>34</v>
      </c>
      <c r="H1093" s="80">
        <v>0.019</v>
      </c>
      <c r="I1093" s="83">
        <v>1</v>
      </c>
      <c r="J1093" s="79">
        <v>30</v>
      </c>
      <c r="K1093" s="79"/>
      <c r="L1093" s="80">
        <v>0</v>
      </c>
      <c r="M1093" s="80"/>
      <c r="N1093" s="86">
        <v>122</v>
      </c>
      <c r="O1093" s="86"/>
      <c r="P1093" s="79">
        <v>8</v>
      </c>
      <c r="Q1093" s="79"/>
    </row>
    <row r="1094" ht="15" spans="1:17">
      <c r="A1094" s="89">
        <v>43453</v>
      </c>
      <c r="B1094" s="78"/>
      <c r="C1094" s="79">
        <v>1</v>
      </c>
      <c r="D1094" s="88"/>
      <c r="E1094" s="79">
        <v>80</v>
      </c>
      <c r="F1094" s="80">
        <v>0.1333</v>
      </c>
      <c r="G1094" s="79">
        <v>51</v>
      </c>
      <c r="H1094" s="80">
        <v>0.1333</v>
      </c>
      <c r="I1094" s="83">
        <v>1</v>
      </c>
      <c r="J1094" s="79">
        <v>27</v>
      </c>
      <c r="K1094" s="79"/>
      <c r="L1094" s="80">
        <v>0</v>
      </c>
      <c r="M1094" s="80"/>
      <c r="N1094" s="86">
        <v>66</v>
      </c>
      <c r="O1094" s="86"/>
      <c r="P1094" s="79">
        <v>16</v>
      </c>
      <c r="Q1094" s="79"/>
    </row>
    <row r="1095" ht="15" spans="1:17">
      <c r="A1095" s="89">
        <v>43453</v>
      </c>
      <c r="B1095" s="78"/>
      <c r="C1095" s="79">
        <v>6</v>
      </c>
      <c r="D1095" s="88"/>
      <c r="E1095" s="79">
        <v>34</v>
      </c>
      <c r="F1095" s="80">
        <v>0.0762</v>
      </c>
      <c r="G1095" s="79">
        <v>9</v>
      </c>
      <c r="H1095" s="80">
        <v>0.0762</v>
      </c>
      <c r="I1095" s="83">
        <v>1</v>
      </c>
      <c r="J1095" s="79">
        <v>29</v>
      </c>
      <c r="K1095" s="79"/>
      <c r="L1095" s="80">
        <v>0</v>
      </c>
      <c r="M1095" s="80"/>
      <c r="N1095" s="86">
        <v>279</v>
      </c>
      <c r="O1095" s="86"/>
      <c r="P1095" s="79">
        <v>11</v>
      </c>
      <c r="Q1095" s="79"/>
    </row>
    <row r="1096" ht="15" spans="1:17">
      <c r="A1096" s="89">
        <v>43453</v>
      </c>
      <c r="B1096" s="78"/>
      <c r="C1096" s="79">
        <v>7</v>
      </c>
      <c r="D1096" s="88"/>
      <c r="E1096" s="79">
        <v>30</v>
      </c>
      <c r="F1096" s="80">
        <v>0.1619</v>
      </c>
      <c r="G1096" s="79">
        <v>4</v>
      </c>
      <c r="H1096" s="80">
        <v>0.1619</v>
      </c>
      <c r="I1096" s="83">
        <v>1</v>
      </c>
      <c r="J1096" s="79">
        <v>28</v>
      </c>
      <c r="K1096" s="79"/>
      <c r="L1096" s="80">
        <v>0</v>
      </c>
      <c r="M1096" s="80"/>
      <c r="N1096" s="86">
        <v>240</v>
      </c>
      <c r="O1096" s="86"/>
      <c r="P1096" s="79">
        <v>18</v>
      </c>
      <c r="Q1096" s="79"/>
    </row>
    <row r="1097" ht="15" spans="1:17">
      <c r="A1097" s="89">
        <v>43453</v>
      </c>
      <c r="B1097" s="78"/>
      <c r="C1097" s="79">
        <v>10</v>
      </c>
      <c r="D1097" s="88"/>
      <c r="E1097" s="79">
        <v>36</v>
      </c>
      <c r="F1097" s="80">
        <v>0.0762</v>
      </c>
      <c r="G1097" s="79">
        <v>51</v>
      </c>
      <c r="H1097" s="80">
        <v>0.0762</v>
      </c>
      <c r="I1097" s="83">
        <v>0.62</v>
      </c>
      <c r="J1097" s="79">
        <v>11</v>
      </c>
      <c r="K1097" s="79"/>
      <c r="L1097" s="80">
        <v>0.25</v>
      </c>
      <c r="M1097" s="80"/>
      <c r="N1097" s="86">
        <v>305</v>
      </c>
      <c r="O1097" s="86"/>
      <c r="P1097" s="79">
        <v>7</v>
      </c>
      <c r="Q1097" s="79"/>
    </row>
    <row r="1098" ht="15" spans="1:17">
      <c r="A1098" s="89">
        <v>43454</v>
      </c>
      <c r="B1098" s="78"/>
      <c r="C1098" s="79">
        <v>2</v>
      </c>
      <c r="D1098" s="88"/>
      <c r="E1098" s="79">
        <v>83</v>
      </c>
      <c r="F1098" s="80">
        <v>0.0769</v>
      </c>
      <c r="G1098" s="79">
        <v>43</v>
      </c>
      <c r="H1098" s="80">
        <v>0.0769</v>
      </c>
      <c r="I1098" s="83">
        <v>1</v>
      </c>
      <c r="J1098" s="79">
        <v>17</v>
      </c>
      <c r="K1098" s="79"/>
      <c r="L1098" s="80">
        <v>0</v>
      </c>
      <c r="M1098" s="80"/>
      <c r="N1098" s="86">
        <v>57</v>
      </c>
      <c r="O1098" s="86"/>
      <c r="P1098" s="79">
        <v>13</v>
      </c>
      <c r="Q1098" s="79"/>
    </row>
    <row r="1099" ht="15" spans="1:17">
      <c r="A1099" s="89">
        <v>43454</v>
      </c>
      <c r="B1099" s="78"/>
      <c r="C1099" s="79">
        <v>5</v>
      </c>
      <c r="D1099" s="88"/>
      <c r="E1099" s="79">
        <v>3</v>
      </c>
      <c r="F1099" s="80">
        <v>0.6484</v>
      </c>
      <c r="G1099" s="79">
        <v>26</v>
      </c>
      <c r="H1099" s="80">
        <v>0.6484</v>
      </c>
      <c r="I1099" s="83">
        <v>0.98</v>
      </c>
      <c r="J1099" s="79">
        <v>10</v>
      </c>
      <c r="K1099" s="79"/>
      <c r="L1099" s="80">
        <v>0.2667</v>
      </c>
      <c r="M1099" s="80"/>
      <c r="N1099" s="86">
        <v>107</v>
      </c>
      <c r="O1099" s="86"/>
      <c r="P1099" s="79">
        <v>19</v>
      </c>
      <c r="Q1099" s="79"/>
    </row>
    <row r="1100" ht="15" spans="1:17">
      <c r="A1100" s="89">
        <v>43454</v>
      </c>
      <c r="B1100" s="78"/>
      <c r="C1100" s="79">
        <v>1</v>
      </c>
      <c r="D1100" s="88"/>
      <c r="E1100" s="79">
        <v>5</v>
      </c>
      <c r="F1100" s="80">
        <v>0.1099</v>
      </c>
      <c r="G1100" s="79">
        <v>60</v>
      </c>
      <c r="H1100" s="80">
        <v>0.1099</v>
      </c>
      <c r="I1100" s="83">
        <v>1</v>
      </c>
      <c r="J1100" s="79">
        <v>29</v>
      </c>
      <c r="K1100" s="79"/>
      <c r="L1100" s="80">
        <v>0</v>
      </c>
      <c r="M1100" s="80"/>
      <c r="N1100" s="86">
        <v>178</v>
      </c>
      <c r="O1100" s="86"/>
      <c r="P1100" s="79">
        <v>5</v>
      </c>
      <c r="Q1100" s="79"/>
    </row>
    <row r="1101" ht="15" spans="1:17">
      <c r="A1101" s="89">
        <v>43454</v>
      </c>
      <c r="B1101" s="78"/>
      <c r="C1101" s="79">
        <v>6</v>
      </c>
      <c r="D1101" s="88"/>
      <c r="E1101" s="79">
        <v>50</v>
      </c>
      <c r="F1101" s="80">
        <v>0.1209</v>
      </c>
      <c r="G1101" s="79">
        <v>25</v>
      </c>
      <c r="H1101" s="80">
        <v>0.1209</v>
      </c>
      <c r="I1101" s="83">
        <v>1</v>
      </c>
      <c r="J1101" s="79">
        <v>6</v>
      </c>
      <c r="K1101" s="79"/>
      <c r="L1101" s="80">
        <v>0.1</v>
      </c>
      <c r="M1101" s="80"/>
      <c r="N1101" s="86">
        <v>105</v>
      </c>
      <c r="O1101" s="86"/>
      <c r="P1101" s="79">
        <v>14</v>
      </c>
      <c r="Q1101" s="79"/>
    </row>
    <row r="1102" ht="15" spans="1:17">
      <c r="A1102" s="89">
        <v>43454</v>
      </c>
      <c r="B1102" s="78"/>
      <c r="C1102" s="79">
        <v>7</v>
      </c>
      <c r="D1102" s="88"/>
      <c r="E1102" s="79">
        <v>29</v>
      </c>
      <c r="F1102" s="80">
        <v>0.033</v>
      </c>
      <c r="G1102" s="79">
        <v>7</v>
      </c>
      <c r="H1102" s="80">
        <v>0.033</v>
      </c>
      <c r="I1102" s="83">
        <v>1</v>
      </c>
      <c r="J1102" s="79">
        <v>25</v>
      </c>
      <c r="K1102" s="79"/>
      <c r="L1102" s="80">
        <v>0.5</v>
      </c>
      <c r="M1102" s="80"/>
      <c r="N1102" s="86">
        <v>172</v>
      </c>
      <c r="O1102" s="86"/>
      <c r="P1102" s="79">
        <v>19</v>
      </c>
      <c r="Q1102" s="79"/>
    </row>
    <row r="1103" ht="15" spans="1:17">
      <c r="A1103" s="89">
        <v>43454</v>
      </c>
      <c r="B1103" s="78"/>
      <c r="C1103" s="79">
        <v>10</v>
      </c>
      <c r="D1103" s="88"/>
      <c r="E1103" s="79">
        <v>38</v>
      </c>
      <c r="F1103" s="80">
        <v>0.011</v>
      </c>
      <c r="G1103" s="79">
        <v>14</v>
      </c>
      <c r="H1103" s="80">
        <v>0.011</v>
      </c>
      <c r="I1103" s="83">
        <v>1</v>
      </c>
      <c r="J1103" s="79">
        <v>21</v>
      </c>
      <c r="K1103" s="79"/>
      <c r="L1103" s="80">
        <v>0</v>
      </c>
      <c r="M1103" s="80"/>
      <c r="N1103" s="86">
        <v>135</v>
      </c>
      <c r="O1103" s="86"/>
      <c r="P1103" s="79">
        <v>20</v>
      </c>
      <c r="Q1103" s="79"/>
    </row>
    <row r="1104" ht="15" spans="1:17">
      <c r="A1104" s="89">
        <v>43455</v>
      </c>
      <c r="B1104" s="78"/>
      <c r="C1104" s="79">
        <v>4</v>
      </c>
      <c r="D1104" s="88"/>
      <c r="E1104" s="79">
        <v>27</v>
      </c>
      <c r="F1104" s="80">
        <v>0.0185</v>
      </c>
      <c r="G1104" s="79">
        <v>47</v>
      </c>
      <c r="H1104" s="80">
        <v>0.0185</v>
      </c>
      <c r="I1104" s="83">
        <v>1</v>
      </c>
      <c r="J1104" s="79">
        <v>7</v>
      </c>
      <c r="K1104" s="79"/>
      <c r="L1104" s="80">
        <v>0</v>
      </c>
      <c r="M1104" s="80"/>
      <c r="N1104" s="86">
        <v>71</v>
      </c>
      <c r="O1104" s="86"/>
      <c r="P1104" s="79">
        <v>12</v>
      </c>
      <c r="Q1104" s="79"/>
    </row>
    <row r="1105" ht="15" spans="1:17">
      <c r="A1105" s="89">
        <v>43455</v>
      </c>
      <c r="B1105" s="78"/>
      <c r="C1105" s="79">
        <v>2</v>
      </c>
      <c r="D1105" s="88"/>
      <c r="E1105" s="79">
        <v>25</v>
      </c>
      <c r="F1105" s="80">
        <v>0.1667</v>
      </c>
      <c r="G1105" s="79">
        <v>53</v>
      </c>
      <c r="H1105" s="80">
        <v>0.1667</v>
      </c>
      <c r="I1105" s="83">
        <v>1</v>
      </c>
      <c r="J1105" s="79">
        <v>10</v>
      </c>
      <c r="K1105" s="79"/>
      <c r="L1105" s="80">
        <v>0</v>
      </c>
      <c r="M1105" s="80"/>
      <c r="N1105" s="86">
        <v>464</v>
      </c>
      <c r="O1105" s="86"/>
      <c r="P1105" s="79">
        <v>20</v>
      </c>
      <c r="Q1105" s="79"/>
    </row>
    <row r="1106" ht="15" spans="1:17">
      <c r="A1106" s="89">
        <v>43455</v>
      </c>
      <c r="B1106" s="78"/>
      <c r="C1106" s="79">
        <v>5</v>
      </c>
      <c r="D1106" s="88"/>
      <c r="E1106" s="79">
        <v>1</v>
      </c>
      <c r="F1106" s="80">
        <v>0.5556</v>
      </c>
      <c r="G1106" s="79">
        <v>50</v>
      </c>
      <c r="H1106" s="80">
        <v>0.5556</v>
      </c>
      <c r="I1106" s="83">
        <v>1</v>
      </c>
      <c r="J1106" s="79">
        <v>21</v>
      </c>
      <c r="K1106" s="79"/>
      <c r="L1106" s="80">
        <v>0.375</v>
      </c>
      <c r="M1106" s="80"/>
      <c r="N1106" s="86">
        <v>50</v>
      </c>
      <c r="O1106" s="86"/>
      <c r="P1106" s="79">
        <v>12</v>
      </c>
      <c r="Q1106" s="79"/>
    </row>
    <row r="1107" ht="15" spans="1:17">
      <c r="A1107" s="89">
        <v>43455</v>
      </c>
      <c r="B1107" s="78"/>
      <c r="C1107" s="79">
        <v>1</v>
      </c>
      <c r="D1107" s="88"/>
      <c r="E1107" s="79">
        <v>19</v>
      </c>
      <c r="F1107" s="80">
        <v>0.1296</v>
      </c>
      <c r="G1107" s="79">
        <v>30</v>
      </c>
      <c r="H1107" s="80">
        <v>0.1296</v>
      </c>
      <c r="I1107" s="83">
        <v>1</v>
      </c>
      <c r="J1107" s="79">
        <v>28</v>
      </c>
      <c r="K1107" s="79"/>
      <c r="L1107" s="80">
        <v>0</v>
      </c>
      <c r="M1107" s="80"/>
      <c r="N1107" s="86">
        <v>291</v>
      </c>
      <c r="O1107" s="86"/>
      <c r="P1107" s="79">
        <v>13</v>
      </c>
      <c r="Q1107" s="79"/>
    </row>
    <row r="1108" ht="15" spans="1:17">
      <c r="A1108" s="89">
        <v>43455</v>
      </c>
      <c r="B1108" s="78"/>
      <c r="C1108" s="79">
        <v>6</v>
      </c>
      <c r="D1108" s="88"/>
      <c r="E1108" s="79">
        <v>28</v>
      </c>
      <c r="F1108" s="80">
        <v>0.037</v>
      </c>
      <c r="G1108" s="79">
        <v>9</v>
      </c>
      <c r="H1108" s="80">
        <v>0.037</v>
      </c>
      <c r="I1108" s="83">
        <v>1</v>
      </c>
      <c r="J1108" s="79">
        <v>23</v>
      </c>
      <c r="K1108" s="79"/>
      <c r="L1108" s="80">
        <v>0</v>
      </c>
      <c r="M1108" s="80"/>
      <c r="N1108" s="86">
        <v>447</v>
      </c>
      <c r="O1108" s="86"/>
      <c r="P1108" s="79">
        <v>17</v>
      </c>
      <c r="Q1108" s="79"/>
    </row>
    <row r="1109" ht="15" spans="1:17">
      <c r="A1109" s="89">
        <v>43455</v>
      </c>
      <c r="B1109" s="78"/>
      <c r="C1109" s="79">
        <v>7</v>
      </c>
      <c r="D1109" s="88"/>
      <c r="E1109" s="79">
        <v>13</v>
      </c>
      <c r="F1109" s="80">
        <v>0.0926</v>
      </c>
      <c r="G1109" s="79">
        <v>34</v>
      </c>
      <c r="H1109" s="80">
        <v>0.0926</v>
      </c>
      <c r="I1109" s="83">
        <v>1</v>
      </c>
      <c r="J1109" s="79">
        <v>3</v>
      </c>
      <c r="K1109" s="79"/>
      <c r="L1109" s="80">
        <v>0</v>
      </c>
      <c r="M1109" s="80"/>
      <c r="N1109" s="86">
        <v>199</v>
      </c>
      <c r="O1109" s="86"/>
      <c r="P1109" s="79">
        <v>12</v>
      </c>
      <c r="Q1109" s="79"/>
    </row>
    <row r="1110" ht="15" spans="1:17">
      <c r="A1110" s="89">
        <v>43456</v>
      </c>
      <c r="B1110" s="78"/>
      <c r="C1110" s="79">
        <v>5</v>
      </c>
      <c r="D1110" s="88"/>
      <c r="E1110" s="79">
        <v>44</v>
      </c>
      <c r="F1110" s="80">
        <v>0.6207</v>
      </c>
      <c r="G1110" s="79">
        <v>64</v>
      </c>
      <c r="H1110" s="80">
        <v>0.6207</v>
      </c>
      <c r="I1110" s="83">
        <v>1</v>
      </c>
      <c r="J1110" s="79">
        <v>25</v>
      </c>
      <c r="K1110" s="79"/>
      <c r="L1110" s="80">
        <v>0.3333</v>
      </c>
      <c r="M1110" s="80"/>
      <c r="N1110" s="86">
        <v>273</v>
      </c>
      <c r="O1110" s="86"/>
      <c r="P1110" s="79">
        <v>17</v>
      </c>
      <c r="Q1110" s="79"/>
    </row>
    <row r="1111" ht="15" spans="1:17">
      <c r="A1111" s="89">
        <v>43456</v>
      </c>
      <c r="B1111" s="78"/>
      <c r="C1111" s="79">
        <v>4</v>
      </c>
      <c r="D1111" s="88"/>
      <c r="E1111" s="79">
        <v>63</v>
      </c>
      <c r="F1111" s="80">
        <v>0.0172</v>
      </c>
      <c r="G1111" s="79">
        <v>54</v>
      </c>
      <c r="H1111" s="80">
        <v>0.0172</v>
      </c>
      <c r="I1111" s="83">
        <v>1</v>
      </c>
      <c r="J1111" s="79">
        <v>7</v>
      </c>
      <c r="K1111" s="79"/>
      <c r="L1111" s="80">
        <v>0</v>
      </c>
      <c r="M1111" s="80"/>
      <c r="N1111" s="86">
        <v>416</v>
      </c>
      <c r="O1111" s="86"/>
      <c r="P1111" s="79">
        <v>3</v>
      </c>
      <c r="Q1111" s="79"/>
    </row>
    <row r="1112" ht="15" spans="1:17">
      <c r="A1112" s="89">
        <v>43456</v>
      </c>
      <c r="B1112" s="78"/>
      <c r="C1112" s="79">
        <v>2</v>
      </c>
      <c r="D1112" s="88"/>
      <c r="E1112" s="79">
        <v>51</v>
      </c>
      <c r="F1112" s="80">
        <v>0.0172</v>
      </c>
      <c r="G1112" s="79">
        <v>10</v>
      </c>
      <c r="H1112" s="80">
        <v>0.0172</v>
      </c>
      <c r="I1112" s="83">
        <v>1</v>
      </c>
      <c r="J1112" s="79">
        <v>16</v>
      </c>
      <c r="K1112" s="79"/>
      <c r="L1112" s="80">
        <v>0</v>
      </c>
      <c r="M1112" s="80"/>
      <c r="N1112" s="86">
        <v>489</v>
      </c>
      <c r="O1112" s="86"/>
      <c r="P1112" s="79">
        <v>5</v>
      </c>
      <c r="Q1112" s="79"/>
    </row>
    <row r="1113" ht="15" spans="1:17">
      <c r="A1113" s="89">
        <v>43456</v>
      </c>
      <c r="B1113" s="78"/>
      <c r="C1113" s="79">
        <v>1</v>
      </c>
      <c r="D1113" s="88"/>
      <c r="E1113" s="79">
        <v>70</v>
      </c>
      <c r="F1113" s="80">
        <v>0.2414</v>
      </c>
      <c r="G1113" s="79">
        <v>84</v>
      </c>
      <c r="H1113" s="80">
        <v>0.2414</v>
      </c>
      <c r="I1113" s="83">
        <v>1</v>
      </c>
      <c r="J1113" s="79">
        <v>26</v>
      </c>
      <c r="K1113" s="79"/>
      <c r="L1113" s="80">
        <v>0.0909</v>
      </c>
      <c r="M1113" s="80"/>
      <c r="N1113" s="86">
        <v>476</v>
      </c>
      <c r="O1113" s="86"/>
      <c r="P1113" s="79">
        <v>6</v>
      </c>
      <c r="Q1113" s="79"/>
    </row>
    <row r="1114" ht="15" spans="1:17">
      <c r="A1114" s="89">
        <v>43456</v>
      </c>
      <c r="B1114" s="78"/>
      <c r="C1114" s="79">
        <v>6</v>
      </c>
      <c r="D1114" s="88"/>
      <c r="E1114" s="79">
        <v>10</v>
      </c>
      <c r="F1114" s="80">
        <v>0.0517</v>
      </c>
      <c r="G1114" s="79">
        <v>49</v>
      </c>
      <c r="H1114" s="80">
        <v>0.0517</v>
      </c>
      <c r="I1114" s="83">
        <v>1</v>
      </c>
      <c r="J1114" s="79">
        <v>0</v>
      </c>
      <c r="K1114" s="79"/>
      <c r="L1114" s="80">
        <v>0.3333</v>
      </c>
      <c r="M1114" s="80"/>
      <c r="N1114" s="86">
        <v>445</v>
      </c>
      <c r="O1114" s="86"/>
      <c r="P1114" s="79">
        <v>20</v>
      </c>
      <c r="Q1114" s="79"/>
    </row>
    <row r="1115" ht="15" spans="1:17">
      <c r="A1115" s="89">
        <v>43456</v>
      </c>
      <c r="B1115" s="78"/>
      <c r="C1115" s="79">
        <v>7</v>
      </c>
      <c r="D1115" s="88"/>
      <c r="E1115" s="79">
        <v>97</v>
      </c>
      <c r="F1115" s="80">
        <v>0.0517</v>
      </c>
      <c r="G1115" s="79">
        <v>21</v>
      </c>
      <c r="H1115" s="80">
        <v>0.0517</v>
      </c>
      <c r="I1115" s="83">
        <v>1</v>
      </c>
      <c r="J1115" s="79">
        <v>10</v>
      </c>
      <c r="K1115" s="79"/>
      <c r="L1115" s="80">
        <v>0.5</v>
      </c>
      <c r="M1115" s="80"/>
      <c r="N1115" s="86">
        <v>75</v>
      </c>
      <c r="O1115" s="86"/>
      <c r="P1115" s="79">
        <v>17</v>
      </c>
      <c r="Q1115" s="79"/>
    </row>
    <row r="1116" ht="15" spans="1:17">
      <c r="A1116" s="89">
        <v>43456</v>
      </c>
      <c r="B1116" s="78"/>
      <c r="C1116" s="79">
        <v>10</v>
      </c>
      <c r="D1116" s="88"/>
      <c r="E1116" s="79">
        <v>21</v>
      </c>
      <c r="F1116" s="80">
        <v>0</v>
      </c>
      <c r="G1116" s="79">
        <v>40</v>
      </c>
      <c r="H1116" s="80">
        <v>0</v>
      </c>
      <c r="I1116" s="83">
        <v>0</v>
      </c>
      <c r="J1116" s="79">
        <v>13</v>
      </c>
      <c r="K1116" s="79"/>
      <c r="L1116" s="80">
        <v>0</v>
      </c>
      <c r="M1116" s="80"/>
      <c r="N1116" s="86">
        <v>462</v>
      </c>
      <c r="O1116" s="86"/>
      <c r="P1116" s="79">
        <v>20</v>
      </c>
      <c r="Q1116" s="79"/>
    </row>
    <row r="1117" ht="15" spans="1:17">
      <c r="A1117" s="89">
        <v>43457</v>
      </c>
      <c r="B1117" s="78"/>
      <c r="C1117" s="79">
        <v>4</v>
      </c>
      <c r="D1117" s="88"/>
      <c r="E1117" s="79">
        <v>25</v>
      </c>
      <c r="F1117" s="80">
        <v>0.0328</v>
      </c>
      <c r="G1117" s="79">
        <v>83</v>
      </c>
      <c r="H1117" s="80">
        <v>0.0328</v>
      </c>
      <c r="I1117" s="83">
        <v>1</v>
      </c>
      <c r="J1117" s="79">
        <v>0</v>
      </c>
      <c r="K1117" s="79"/>
      <c r="L1117" s="80">
        <v>0</v>
      </c>
      <c r="M1117" s="80"/>
      <c r="N1117" s="86">
        <v>435</v>
      </c>
      <c r="O1117" s="86"/>
      <c r="P1117" s="79">
        <v>6</v>
      </c>
      <c r="Q1117" s="79"/>
    </row>
    <row r="1118" ht="15" spans="1:17">
      <c r="A1118" s="89">
        <v>43457</v>
      </c>
      <c r="B1118" s="78"/>
      <c r="C1118" s="79">
        <v>2</v>
      </c>
      <c r="D1118" s="88"/>
      <c r="E1118" s="79">
        <v>54</v>
      </c>
      <c r="F1118" s="80">
        <v>0.0164</v>
      </c>
      <c r="G1118" s="79">
        <v>44</v>
      </c>
      <c r="H1118" s="80">
        <v>0.0164</v>
      </c>
      <c r="I1118" s="83">
        <v>1</v>
      </c>
      <c r="J1118" s="79">
        <v>29</v>
      </c>
      <c r="K1118" s="79"/>
      <c r="L1118" s="80">
        <v>0</v>
      </c>
      <c r="M1118" s="80"/>
      <c r="N1118" s="86">
        <v>54</v>
      </c>
      <c r="O1118" s="86"/>
      <c r="P1118" s="79">
        <v>14</v>
      </c>
      <c r="Q1118" s="79"/>
    </row>
    <row r="1119" ht="15" spans="1:17">
      <c r="A1119" s="89">
        <v>43457</v>
      </c>
      <c r="B1119" s="78"/>
      <c r="C1119" s="79">
        <v>5</v>
      </c>
      <c r="D1119" s="88"/>
      <c r="E1119" s="79">
        <v>40</v>
      </c>
      <c r="F1119" s="80">
        <v>0.459</v>
      </c>
      <c r="G1119" s="79">
        <v>60</v>
      </c>
      <c r="H1119" s="80">
        <v>0.459</v>
      </c>
      <c r="I1119" s="83">
        <v>1</v>
      </c>
      <c r="J1119" s="79">
        <v>30</v>
      </c>
      <c r="K1119" s="79"/>
      <c r="L1119" s="80">
        <v>0.4706</v>
      </c>
      <c r="M1119" s="80"/>
      <c r="N1119" s="86">
        <v>424</v>
      </c>
      <c r="O1119" s="86"/>
      <c r="P1119" s="79">
        <v>17</v>
      </c>
      <c r="Q1119" s="79"/>
    </row>
    <row r="1120" ht="15" spans="1:17">
      <c r="A1120" s="89">
        <v>43457</v>
      </c>
      <c r="B1120" s="78"/>
      <c r="C1120" s="79">
        <v>1</v>
      </c>
      <c r="D1120" s="88"/>
      <c r="E1120" s="79">
        <v>26</v>
      </c>
      <c r="F1120" s="80">
        <v>0.1967</v>
      </c>
      <c r="G1120" s="79">
        <v>49</v>
      </c>
      <c r="H1120" s="80">
        <v>0.1967</v>
      </c>
      <c r="I1120" s="83">
        <v>1</v>
      </c>
      <c r="J1120" s="79">
        <v>13</v>
      </c>
      <c r="K1120" s="79"/>
      <c r="L1120" s="80">
        <v>0</v>
      </c>
      <c r="M1120" s="80"/>
      <c r="N1120" s="86">
        <v>117</v>
      </c>
      <c r="O1120" s="86"/>
      <c r="P1120" s="79">
        <v>10</v>
      </c>
      <c r="Q1120" s="79"/>
    </row>
    <row r="1121" ht="15" spans="1:17">
      <c r="A1121" s="89">
        <v>43457</v>
      </c>
      <c r="B1121" s="78"/>
      <c r="C1121" s="79">
        <v>6</v>
      </c>
      <c r="D1121" s="88"/>
      <c r="E1121" s="79">
        <v>64</v>
      </c>
      <c r="F1121" s="80">
        <v>0.2131</v>
      </c>
      <c r="G1121" s="79">
        <v>81</v>
      </c>
      <c r="H1121" s="80">
        <v>0.2131</v>
      </c>
      <c r="I1121" s="83">
        <v>1</v>
      </c>
      <c r="J1121" s="79">
        <v>29</v>
      </c>
      <c r="K1121" s="79"/>
      <c r="L1121" s="80">
        <v>0</v>
      </c>
      <c r="M1121" s="80"/>
      <c r="N1121" s="86">
        <v>117</v>
      </c>
      <c r="O1121" s="86"/>
      <c r="P1121" s="79">
        <v>18</v>
      </c>
      <c r="Q1121" s="79"/>
    </row>
    <row r="1122" ht="15" spans="1:17">
      <c r="A1122" s="89">
        <v>43457</v>
      </c>
      <c r="B1122" s="78"/>
      <c r="C1122" s="79">
        <v>7</v>
      </c>
      <c r="D1122" s="88"/>
      <c r="E1122" s="79">
        <v>79</v>
      </c>
      <c r="F1122" s="80">
        <v>0.0164</v>
      </c>
      <c r="G1122" s="79">
        <v>78</v>
      </c>
      <c r="H1122" s="80">
        <v>0.0164</v>
      </c>
      <c r="I1122" s="83">
        <v>1</v>
      </c>
      <c r="J1122" s="79">
        <v>4</v>
      </c>
      <c r="K1122" s="79"/>
      <c r="L1122" s="80">
        <v>1</v>
      </c>
      <c r="M1122" s="80"/>
      <c r="N1122" s="86">
        <v>212</v>
      </c>
      <c r="O1122" s="86"/>
      <c r="P1122" s="79">
        <v>9</v>
      </c>
      <c r="Q1122" s="79"/>
    </row>
    <row r="1123" ht="15" spans="1:17">
      <c r="A1123" s="89">
        <v>43457</v>
      </c>
      <c r="B1123" s="78"/>
      <c r="C1123" s="79">
        <v>10</v>
      </c>
      <c r="D1123" s="88"/>
      <c r="E1123" s="79">
        <v>3</v>
      </c>
      <c r="F1123" s="80">
        <v>0.0656</v>
      </c>
      <c r="G1123" s="79">
        <v>43</v>
      </c>
      <c r="H1123" s="80">
        <v>0.0656</v>
      </c>
      <c r="I1123" s="83">
        <v>0.75</v>
      </c>
      <c r="J1123" s="79">
        <v>7</v>
      </c>
      <c r="K1123" s="79"/>
      <c r="L1123" s="80">
        <v>0</v>
      </c>
      <c r="M1123" s="80"/>
      <c r="N1123" s="86">
        <v>195</v>
      </c>
      <c r="O1123" s="86"/>
      <c r="P1123" s="79">
        <v>0</v>
      </c>
      <c r="Q1123" s="79"/>
    </row>
    <row r="1124" ht="15" spans="1:17">
      <c r="A1124" s="89">
        <v>43458</v>
      </c>
      <c r="B1124" s="78"/>
      <c r="C1124" s="79">
        <v>5</v>
      </c>
      <c r="D1124" s="88"/>
      <c r="E1124" s="79">
        <v>34</v>
      </c>
      <c r="F1124" s="80">
        <v>0.5778</v>
      </c>
      <c r="G1124" s="79">
        <v>49</v>
      </c>
      <c r="H1124" s="80">
        <v>0.5778</v>
      </c>
      <c r="I1124" s="83">
        <v>1</v>
      </c>
      <c r="J1124" s="79">
        <v>22</v>
      </c>
      <c r="K1124" s="79"/>
      <c r="L1124" s="80">
        <v>0.1579</v>
      </c>
      <c r="M1124" s="80"/>
      <c r="N1124" s="86">
        <v>174</v>
      </c>
      <c r="O1124" s="86"/>
      <c r="P1124" s="79">
        <v>17</v>
      </c>
      <c r="Q1124" s="79"/>
    </row>
    <row r="1125" ht="15" spans="1:17">
      <c r="A1125" s="89">
        <v>43458</v>
      </c>
      <c r="B1125" s="78"/>
      <c r="C1125" s="79">
        <v>1</v>
      </c>
      <c r="D1125" s="88"/>
      <c r="E1125" s="79">
        <v>35</v>
      </c>
      <c r="F1125" s="80">
        <v>0.3111</v>
      </c>
      <c r="G1125" s="79">
        <v>63</v>
      </c>
      <c r="H1125" s="80">
        <v>0.3111</v>
      </c>
      <c r="I1125" s="83">
        <v>1</v>
      </c>
      <c r="J1125" s="79">
        <v>1</v>
      </c>
      <c r="K1125" s="79"/>
      <c r="L1125" s="80">
        <v>0.1111</v>
      </c>
      <c r="M1125" s="80"/>
      <c r="N1125" s="86">
        <v>466</v>
      </c>
      <c r="O1125" s="86"/>
      <c r="P1125" s="79">
        <v>17</v>
      </c>
      <c r="Q1125" s="79"/>
    </row>
    <row r="1126" ht="15" spans="1:17">
      <c r="A1126" s="89">
        <v>43458</v>
      </c>
      <c r="B1126" s="78"/>
      <c r="C1126" s="79">
        <v>7</v>
      </c>
      <c r="D1126" s="88"/>
      <c r="E1126" s="79">
        <v>50</v>
      </c>
      <c r="F1126" s="80">
        <v>0.0889</v>
      </c>
      <c r="G1126" s="79">
        <v>37</v>
      </c>
      <c r="H1126" s="80">
        <v>0.0889</v>
      </c>
      <c r="I1126" s="83">
        <v>1</v>
      </c>
      <c r="J1126" s="79">
        <v>6</v>
      </c>
      <c r="K1126" s="79"/>
      <c r="L1126" s="80">
        <v>0</v>
      </c>
      <c r="M1126" s="80"/>
      <c r="N1126" s="86">
        <v>156</v>
      </c>
      <c r="O1126" s="86"/>
      <c r="P1126" s="79">
        <v>5</v>
      </c>
      <c r="Q1126" s="79"/>
    </row>
    <row r="1127" ht="15" spans="1:17">
      <c r="A1127" s="89">
        <v>43458</v>
      </c>
      <c r="B1127" s="78"/>
      <c r="C1127" s="79">
        <v>10</v>
      </c>
      <c r="D1127" s="88"/>
      <c r="E1127" s="79">
        <v>4</v>
      </c>
      <c r="F1127" s="80">
        <v>0.0222</v>
      </c>
      <c r="G1127" s="79">
        <v>19</v>
      </c>
      <c r="H1127" s="80">
        <v>0.0222</v>
      </c>
      <c r="I1127" s="83">
        <v>1</v>
      </c>
      <c r="J1127" s="79">
        <v>27</v>
      </c>
      <c r="K1127" s="79"/>
      <c r="L1127" s="80">
        <v>0</v>
      </c>
      <c r="M1127" s="80"/>
      <c r="N1127" s="86">
        <v>331</v>
      </c>
      <c r="O1127" s="86"/>
      <c r="P1127" s="79">
        <v>16</v>
      </c>
      <c r="Q1127" s="79"/>
    </row>
    <row r="1128" ht="15" spans="1:17">
      <c r="A1128" s="89">
        <v>43459</v>
      </c>
      <c r="B1128" s="78"/>
      <c r="C1128" s="79">
        <v>2</v>
      </c>
      <c r="D1128" s="88"/>
      <c r="E1128" s="79">
        <v>5</v>
      </c>
      <c r="F1128" s="80">
        <v>0.0575</v>
      </c>
      <c r="G1128" s="79">
        <v>99</v>
      </c>
      <c r="H1128" s="80">
        <v>0.0575</v>
      </c>
      <c r="I1128" s="83">
        <v>1</v>
      </c>
      <c r="J1128" s="79">
        <v>29</v>
      </c>
      <c r="K1128" s="79"/>
      <c r="L1128" s="80">
        <v>0</v>
      </c>
      <c r="M1128" s="80"/>
      <c r="N1128" s="86">
        <v>133</v>
      </c>
      <c r="O1128" s="86"/>
      <c r="P1128" s="79">
        <v>4</v>
      </c>
      <c r="Q1128" s="79"/>
    </row>
    <row r="1129" ht="15" spans="1:17">
      <c r="A1129" s="89">
        <v>43459</v>
      </c>
      <c r="B1129" s="78"/>
      <c r="C1129" s="79">
        <v>5</v>
      </c>
      <c r="D1129" s="88"/>
      <c r="E1129" s="79">
        <v>30</v>
      </c>
      <c r="F1129" s="80">
        <v>0.5862</v>
      </c>
      <c r="G1129" s="79">
        <v>92</v>
      </c>
      <c r="H1129" s="80">
        <v>0.5862</v>
      </c>
      <c r="I1129" s="83">
        <v>0.98</v>
      </c>
      <c r="J1129" s="79">
        <v>1</v>
      </c>
      <c r="K1129" s="79"/>
      <c r="L1129" s="80">
        <v>0.027</v>
      </c>
      <c r="M1129" s="80"/>
      <c r="N1129" s="86">
        <v>61</v>
      </c>
      <c r="O1129" s="86"/>
      <c r="P1129" s="79">
        <v>12</v>
      </c>
      <c r="Q1129" s="79"/>
    </row>
    <row r="1130" ht="15" spans="1:17">
      <c r="A1130" s="89">
        <v>43459</v>
      </c>
      <c r="B1130" s="78"/>
      <c r="C1130" s="79">
        <v>1</v>
      </c>
      <c r="D1130" s="88"/>
      <c r="E1130" s="79">
        <v>35</v>
      </c>
      <c r="F1130" s="80">
        <v>0.1494</v>
      </c>
      <c r="G1130" s="79">
        <v>42</v>
      </c>
      <c r="H1130" s="80">
        <v>0.1494</v>
      </c>
      <c r="I1130" s="83">
        <v>1</v>
      </c>
      <c r="J1130" s="79">
        <v>27</v>
      </c>
      <c r="K1130" s="79"/>
      <c r="L1130" s="80">
        <v>0.125</v>
      </c>
      <c r="M1130" s="80"/>
      <c r="N1130" s="86">
        <v>190</v>
      </c>
      <c r="O1130" s="86"/>
      <c r="P1130" s="79">
        <v>10</v>
      </c>
      <c r="Q1130" s="79"/>
    </row>
    <row r="1131" ht="15" spans="1:17">
      <c r="A1131" s="89">
        <v>43459</v>
      </c>
      <c r="B1131" s="78"/>
      <c r="C1131" s="79">
        <v>6</v>
      </c>
      <c r="D1131" s="88"/>
      <c r="E1131" s="79">
        <v>56</v>
      </c>
      <c r="F1131" s="80">
        <v>0.1264</v>
      </c>
      <c r="G1131" s="79">
        <v>27</v>
      </c>
      <c r="H1131" s="80">
        <v>0.1264</v>
      </c>
      <c r="I1131" s="83">
        <v>1</v>
      </c>
      <c r="J1131" s="79">
        <v>2</v>
      </c>
      <c r="K1131" s="79"/>
      <c r="L1131" s="80">
        <v>0.3333</v>
      </c>
      <c r="M1131" s="80"/>
      <c r="N1131" s="86">
        <v>192</v>
      </c>
      <c r="O1131" s="86"/>
      <c r="P1131" s="79">
        <v>14</v>
      </c>
      <c r="Q1131" s="79"/>
    </row>
    <row r="1132" ht="15" spans="1:17">
      <c r="A1132" s="89">
        <v>43459</v>
      </c>
      <c r="B1132" s="78"/>
      <c r="C1132" s="79">
        <v>7</v>
      </c>
      <c r="D1132" s="88"/>
      <c r="E1132" s="79">
        <v>72</v>
      </c>
      <c r="F1132" s="80">
        <v>0.046</v>
      </c>
      <c r="G1132" s="79">
        <v>1</v>
      </c>
      <c r="H1132" s="80">
        <v>0.046</v>
      </c>
      <c r="I1132" s="83">
        <v>1</v>
      </c>
      <c r="J1132" s="79">
        <v>26</v>
      </c>
      <c r="K1132" s="79"/>
      <c r="L1132" s="80">
        <v>0</v>
      </c>
      <c r="M1132" s="80"/>
      <c r="N1132" s="86">
        <v>370</v>
      </c>
      <c r="O1132" s="86"/>
      <c r="P1132" s="79">
        <v>2</v>
      </c>
      <c r="Q1132" s="79"/>
    </row>
    <row r="1133" ht="15" spans="1:17">
      <c r="A1133" s="89">
        <v>43459</v>
      </c>
      <c r="B1133" s="78"/>
      <c r="C1133" s="79">
        <v>10</v>
      </c>
      <c r="D1133" s="88"/>
      <c r="E1133" s="79">
        <v>54</v>
      </c>
      <c r="F1133" s="80">
        <v>0.0345</v>
      </c>
      <c r="G1133" s="79">
        <v>40</v>
      </c>
      <c r="H1133" s="80">
        <v>0.0345</v>
      </c>
      <c r="I1133" s="83">
        <v>0.67</v>
      </c>
      <c r="J1133" s="79">
        <v>28</v>
      </c>
      <c r="K1133" s="79"/>
      <c r="L1133" s="80">
        <v>0</v>
      </c>
      <c r="M1133" s="80"/>
      <c r="N1133" s="86">
        <v>342</v>
      </c>
      <c r="O1133" s="86"/>
      <c r="P1133" s="79">
        <v>19</v>
      </c>
      <c r="Q1133" s="79"/>
    </row>
    <row r="1134" ht="15" spans="1:17">
      <c r="A1134" s="89">
        <v>43460</v>
      </c>
      <c r="B1134" s="78"/>
      <c r="C1134" s="79">
        <v>5</v>
      </c>
      <c r="D1134" s="88"/>
      <c r="E1134" s="79">
        <v>70</v>
      </c>
      <c r="F1134" s="80">
        <v>0.7128</v>
      </c>
      <c r="G1134" s="79">
        <v>84</v>
      </c>
      <c r="H1134" s="80">
        <v>0.7128</v>
      </c>
      <c r="I1134" s="83">
        <v>1</v>
      </c>
      <c r="J1134" s="79">
        <v>0</v>
      </c>
      <c r="K1134" s="79"/>
      <c r="L1134" s="80">
        <v>0.1915</v>
      </c>
      <c r="M1134" s="80"/>
      <c r="N1134" s="86">
        <v>250</v>
      </c>
      <c r="O1134" s="86"/>
      <c r="P1134" s="79">
        <v>14</v>
      </c>
      <c r="Q1134" s="79"/>
    </row>
    <row r="1135" ht="15" spans="1:17">
      <c r="A1135" s="89">
        <v>43460</v>
      </c>
      <c r="B1135" s="78"/>
      <c r="C1135" s="79">
        <v>2</v>
      </c>
      <c r="D1135" s="88"/>
      <c r="E1135" s="79">
        <v>17</v>
      </c>
      <c r="F1135" s="80">
        <v>0.0319</v>
      </c>
      <c r="G1135" s="79">
        <v>19</v>
      </c>
      <c r="H1135" s="80">
        <v>0.0319</v>
      </c>
      <c r="I1135" s="83">
        <v>1</v>
      </c>
      <c r="J1135" s="79">
        <v>29</v>
      </c>
      <c r="K1135" s="79"/>
      <c r="L1135" s="80">
        <v>0</v>
      </c>
      <c r="M1135" s="80"/>
      <c r="N1135" s="86">
        <v>168</v>
      </c>
      <c r="O1135" s="86"/>
      <c r="P1135" s="79">
        <v>17</v>
      </c>
      <c r="Q1135" s="79"/>
    </row>
    <row r="1136" ht="15" spans="1:17">
      <c r="A1136" s="89">
        <v>43460</v>
      </c>
      <c r="B1136" s="78"/>
      <c r="C1136" s="79">
        <v>1</v>
      </c>
      <c r="D1136" s="88"/>
      <c r="E1136" s="79">
        <v>90</v>
      </c>
      <c r="F1136" s="80">
        <v>0.0851</v>
      </c>
      <c r="G1136" s="79">
        <v>52</v>
      </c>
      <c r="H1136" s="80">
        <v>0.0851</v>
      </c>
      <c r="I1136" s="83">
        <v>1</v>
      </c>
      <c r="J1136" s="79">
        <v>1</v>
      </c>
      <c r="K1136" s="79"/>
      <c r="L1136" s="80">
        <v>0</v>
      </c>
      <c r="M1136" s="80"/>
      <c r="N1136" s="86">
        <v>363</v>
      </c>
      <c r="O1136" s="86"/>
      <c r="P1136" s="79">
        <v>14</v>
      </c>
      <c r="Q1136" s="79"/>
    </row>
    <row r="1137" ht="15" spans="1:17">
      <c r="A1137" s="89">
        <v>43460</v>
      </c>
      <c r="B1137" s="78"/>
      <c r="C1137" s="79">
        <v>6</v>
      </c>
      <c r="D1137" s="88"/>
      <c r="E1137" s="79">
        <v>73</v>
      </c>
      <c r="F1137" s="80">
        <v>0.1383</v>
      </c>
      <c r="G1137" s="79">
        <v>77</v>
      </c>
      <c r="H1137" s="80">
        <v>0.1383</v>
      </c>
      <c r="I1137" s="83">
        <v>1</v>
      </c>
      <c r="J1137" s="79">
        <v>7</v>
      </c>
      <c r="K1137" s="79"/>
      <c r="L1137" s="80">
        <v>0.2308</v>
      </c>
      <c r="M1137" s="80"/>
      <c r="N1137" s="86">
        <v>90</v>
      </c>
      <c r="O1137" s="86"/>
      <c r="P1137" s="79">
        <v>0</v>
      </c>
      <c r="Q1137" s="79"/>
    </row>
    <row r="1138" ht="15" spans="1:17">
      <c r="A1138" s="89">
        <v>43460</v>
      </c>
      <c r="B1138" s="78"/>
      <c r="C1138" s="79">
        <v>7</v>
      </c>
      <c r="D1138" s="88"/>
      <c r="E1138" s="79">
        <v>88</v>
      </c>
      <c r="F1138" s="80">
        <v>0.0213</v>
      </c>
      <c r="G1138" s="79">
        <v>24</v>
      </c>
      <c r="H1138" s="80">
        <v>0.0213</v>
      </c>
      <c r="I1138" s="83">
        <v>1</v>
      </c>
      <c r="J1138" s="79">
        <v>0</v>
      </c>
      <c r="K1138" s="79"/>
      <c r="L1138" s="80">
        <v>0</v>
      </c>
      <c r="M1138" s="80"/>
      <c r="N1138" s="86">
        <v>88</v>
      </c>
      <c r="O1138" s="86"/>
      <c r="P1138" s="79">
        <v>2</v>
      </c>
      <c r="Q1138" s="79"/>
    </row>
    <row r="1139" ht="15" spans="1:17">
      <c r="A1139" s="89">
        <v>43460</v>
      </c>
      <c r="B1139" s="78"/>
      <c r="C1139" s="79">
        <v>10</v>
      </c>
      <c r="D1139" s="88"/>
      <c r="E1139" s="79">
        <v>41</v>
      </c>
      <c r="F1139" s="80">
        <v>0.0106</v>
      </c>
      <c r="G1139" s="79">
        <v>78</v>
      </c>
      <c r="H1139" s="80">
        <v>0.0106</v>
      </c>
      <c r="I1139" s="83">
        <v>1</v>
      </c>
      <c r="J1139" s="79">
        <v>19</v>
      </c>
      <c r="K1139" s="79"/>
      <c r="L1139" s="80">
        <v>0</v>
      </c>
      <c r="M1139" s="80"/>
      <c r="N1139" s="86">
        <v>252</v>
      </c>
      <c r="O1139" s="86"/>
      <c r="P1139" s="79">
        <v>3</v>
      </c>
      <c r="Q1139" s="79"/>
    </row>
    <row r="1140" ht="15" spans="1:17">
      <c r="A1140" s="89">
        <v>43461</v>
      </c>
      <c r="B1140" s="78"/>
      <c r="C1140" s="93">
        <v>3</v>
      </c>
      <c r="D1140" s="88"/>
      <c r="E1140" s="79">
        <v>30</v>
      </c>
      <c r="F1140" s="80">
        <v>0.0244</v>
      </c>
      <c r="G1140" s="79">
        <v>69</v>
      </c>
      <c r="H1140" s="80">
        <v>0.0244</v>
      </c>
      <c r="I1140" s="83">
        <v>1</v>
      </c>
      <c r="J1140" s="79">
        <v>16</v>
      </c>
      <c r="K1140" s="79"/>
      <c r="L1140" s="80">
        <v>0</v>
      </c>
      <c r="M1140" s="80"/>
      <c r="N1140" s="86">
        <v>367</v>
      </c>
      <c r="O1140" s="86"/>
      <c r="P1140" s="79">
        <v>16</v>
      </c>
      <c r="Q1140" s="79"/>
    </row>
    <row r="1141" ht="15" spans="1:17">
      <c r="A1141" s="89">
        <v>43461</v>
      </c>
      <c r="B1141" s="78"/>
      <c r="C1141" s="94">
        <v>2</v>
      </c>
      <c r="D1141" s="88"/>
      <c r="E1141" s="79">
        <v>39</v>
      </c>
      <c r="F1141" s="80">
        <v>0.061</v>
      </c>
      <c r="G1141" s="79">
        <v>99</v>
      </c>
      <c r="H1141" s="80">
        <v>0.061</v>
      </c>
      <c r="I1141" s="83">
        <v>1</v>
      </c>
      <c r="J1141" s="79">
        <v>26</v>
      </c>
      <c r="K1141" s="79"/>
      <c r="L1141" s="80">
        <v>0.25</v>
      </c>
      <c r="M1141" s="80"/>
      <c r="N1141" s="86">
        <v>116</v>
      </c>
      <c r="O1141" s="86"/>
      <c r="P1141" s="79">
        <v>13</v>
      </c>
      <c r="Q1141" s="79"/>
    </row>
    <row r="1142" ht="15" spans="1:17">
      <c r="A1142" s="89">
        <v>43461</v>
      </c>
      <c r="B1142" s="78"/>
      <c r="C1142" s="94">
        <v>5</v>
      </c>
      <c r="D1142" s="88"/>
      <c r="E1142" s="79">
        <v>41</v>
      </c>
      <c r="F1142" s="80">
        <v>0.6463</v>
      </c>
      <c r="G1142" s="79">
        <v>39</v>
      </c>
      <c r="H1142" s="80">
        <v>0.6463</v>
      </c>
      <c r="I1142" s="83">
        <v>1</v>
      </c>
      <c r="J1142" s="79">
        <v>29</v>
      </c>
      <c r="K1142" s="79"/>
      <c r="L1142" s="80">
        <v>0.2045</v>
      </c>
      <c r="M1142" s="80"/>
      <c r="N1142" s="86">
        <v>330</v>
      </c>
      <c r="O1142" s="86"/>
      <c r="P1142" s="79">
        <v>11</v>
      </c>
      <c r="Q1142" s="79"/>
    </row>
    <row r="1143" ht="15" spans="1:17">
      <c r="A1143" s="89">
        <v>43461</v>
      </c>
      <c r="B1143" s="78"/>
      <c r="C1143" s="94">
        <v>1</v>
      </c>
      <c r="D1143" s="88"/>
      <c r="E1143" s="79">
        <v>16</v>
      </c>
      <c r="F1143" s="80">
        <v>0.0854</v>
      </c>
      <c r="G1143" s="79">
        <v>6</v>
      </c>
      <c r="H1143" s="80">
        <v>0.0854</v>
      </c>
      <c r="I1143" s="83">
        <v>1</v>
      </c>
      <c r="J1143" s="79">
        <v>10</v>
      </c>
      <c r="K1143" s="79"/>
      <c r="L1143" s="80">
        <v>0</v>
      </c>
      <c r="M1143" s="80"/>
      <c r="N1143" s="86">
        <v>319</v>
      </c>
      <c r="O1143" s="86"/>
      <c r="P1143" s="79">
        <v>4</v>
      </c>
      <c r="Q1143" s="79"/>
    </row>
    <row r="1144" ht="15" spans="1:17">
      <c r="A1144" s="89">
        <v>43461</v>
      </c>
      <c r="B1144" s="78"/>
      <c r="C1144" s="94">
        <v>6</v>
      </c>
      <c r="D1144" s="88"/>
      <c r="E1144" s="79">
        <v>100</v>
      </c>
      <c r="F1144" s="80">
        <v>0.1707</v>
      </c>
      <c r="G1144" s="79">
        <v>45</v>
      </c>
      <c r="H1144" s="80">
        <v>0.1707</v>
      </c>
      <c r="I1144" s="83">
        <v>1</v>
      </c>
      <c r="J1144" s="79">
        <v>8</v>
      </c>
      <c r="K1144" s="79"/>
      <c r="L1144" s="80">
        <v>0.1429</v>
      </c>
      <c r="M1144" s="80"/>
      <c r="N1144" s="86">
        <v>63</v>
      </c>
      <c r="O1144" s="86"/>
      <c r="P1144" s="79">
        <v>3</v>
      </c>
      <c r="Q1144" s="79"/>
    </row>
    <row r="1145" ht="15" spans="1:17">
      <c r="A1145" s="89">
        <v>43461</v>
      </c>
      <c r="B1145" s="78"/>
      <c r="C1145" s="94">
        <v>7</v>
      </c>
      <c r="D1145" s="88"/>
      <c r="E1145" s="79">
        <v>7</v>
      </c>
      <c r="F1145" s="80">
        <v>0</v>
      </c>
      <c r="G1145" s="79">
        <v>24</v>
      </c>
      <c r="H1145" s="80">
        <v>0</v>
      </c>
      <c r="I1145" s="83">
        <v>0</v>
      </c>
      <c r="J1145" s="79">
        <v>23</v>
      </c>
      <c r="K1145" s="79"/>
      <c r="L1145" s="80">
        <v>0</v>
      </c>
      <c r="M1145" s="80"/>
      <c r="N1145" s="86">
        <v>395</v>
      </c>
      <c r="O1145" s="86"/>
      <c r="P1145" s="79">
        <v>11</v>
      </c>
      <c r="Q1145" s="79"/>
    </row>
    <row r="1146" ht="15" spans="1:17">
      <c r="A1146" s="89">
        <v>43461</v>
      </c>
      <c r="B1146" s="78"/>
      <c r="C1146" s="94">
        <v>10</v>
      </c>
      <c r="D1146" s="88"/>
      <c r="E1146" s="79">
        <v>25</v>
      </c>
      <c r="F1146" s="80">
        <v>0.0122</v>
      </c>
      <c r="G1146" s="79">
        <v>18</v>
      </c>
      <c r="H1146" s="80">
        <v>0.0122</v>
      </c>
      <c r="I1146" s="83">
        <v>0</v>
      </c>
      <c r="J1146" s="79">
        <v>1</v>
      </c>
      <c r="K1146" s="79"/>
      <c r="L1146" s="80">
        <v>0</v>
      </c>
      <c r="M1146" s="80"/>
      <c r="N1146" s="86">
        <v>87</v>
      </c>
      <c r="O1146" s="86"/>
      <c r="P1146" s="79">
        <v>20</v>
      </c>
      <c r="Q1146" s="79"/>
    </row>
    <row r="1147" ht="15" spans="1:17">
      <c r="A1147" s="89">
        <v>43462</v>
      </c>
      <c r="B1147" s="78"/>
      <c r="C1147" s="79">
        <v>4</v>
      </c>
      <c r="D1147" s="88"/>
      <c r="E1147" s="79">
        <v>81</v>
      </c>
      <c r="F1147" s="80">
        <v>0.0206</v>
      </c>
      <c r="G1147" s="79">
        <v>100</v>
      </c>
      <c r="H1147" s="80">
        <v>0.0206</v>
      </c>
      <c r="I1147" s="83">
        <v>1</v>
      </c>
      <c r="J1147" s="79">
        <v>23</v>
      </c>
      <c r="K1147" s="79"/>
      <c r="L1147" s="80">
        <v>0</v>
      </c>
      <c r="M1147" s="80"/>
      <c r="N1147" s="86">
        <v>228</v>
      </c>
      <c r="O1147" s="86"/>
      <c r="P1147" s="79">
        <v>15</v>
      </c>
      <c r="Q1147" s="79"/>
    </row>
    <row r="1148" ht="15" spans="1:17">
      <c r="A1148" s="89">
        <v>43462</v>
      </c>
      <c r="B1148" s="78"/>
      <c r="C1148" s="79">
        <v>2</v>
      </c>
      <c r="D1148" s="88"/>
      <c r="E1148" s="79">
        <v>24</v>
      </c>
      <c r="F1148" s="80">
        <v>0.0309</v>
      </c>
      <c r="G1148" s="79">
        <v>5</v>
      </c>
      <c r="H1148" s="80">
        <v>0.0309</v>
      </c>
      <c r="I1148" s="83">
        <v>1</v>
      </c>
      <c r="J1148" s="79">
        <v>30</v>
      </c>
      <c r="K1148" s="79"/>
      <c r="L1148" s="80">
        <v>0.3333</v>
      </c>
      <c r="M1148" s="80"/>
      <c r="N1148" s="86">
        <v>262</v>
      </c>
      <c r="O1148" s="86"/>
      <c r="P1148" s="79">
        <v>7</v>
      </c>
      <c r="Q1148" s="79"/>
    </row>
    <row r="1149" ht="15" spans="1:17">
      <c r="A1149" s="89">
        <v>43462</v>
      </c>
      <c r="B1149" s="78"/>
      <c r="C1149" s="79">
        <v>5</v>
      </c>
      <c r="D1149" s="88"/>
      <c r="E1149" s="79">
        <v>96</v>
      </c>
      <c r="F1149" s="80">
        <v>0.5773</v>
      </c>
      <c r="G1149" s="79">
        <v>31</v>
      </c>
      <c r="H1149" s="80">
        <v>0.5773</v>
      </c>
      <c r="I1149" s="83">
        <v>1</v>
      </c>
      <c r="J1149" s="79">
        <v>26</v>
      </c>
      <c r="K1149" s="79"/>
      <c r="L1149" s="80">
        <v>0.1556</v>
      </c>
      <c r="M1149" s="80"/>
      <c r="N1149" s="86">
        <v>433</v>
      </c>
      <c r="O1149" s="86"/>
      <c r="P1149" s="79">
        <v>20</v>
      </c>
      <c r="Q1149" s="79"/>
    </row>
    <row r="1150" ht="15" spans="1:17">
      <c r="A1150" s="89">
        <v>43462</v>
      </c>
      <c r="B1150" s="78"/>
      <c r="C1150" s="79">
        <v>1</v>
      </c>
      <c r="D1150" s="88"/>
      <c r="E1150" s="79">
        <v>1</v>
      </c>
      <c r="F1150" s="80">
        <v>0.134</v>
      </c>
      <c r="G1150" s="79">
        <v>32</v>
      </c>
      <c r="H1150" s="80">
        <v>0.134</v>
      </c>
      <c r="I1150" s="83">
        <v>1</v>
      </c>
      <c r="J1150" s="79">
        <v>14</v>
      </c>
      <c r="K1150" s="79"/>
      <c r="L1150" s="80">
        <v>0.25</v>
      </c>
      <c r="M1150" s="80"/>
      <c r="N1150" s="86">
        <v>65</v>
      </c>
      <c r="O1150" s="86"/>
      <c r="P1150" s="79">
        <v>6</v>
      </c>
      <c r="Q1150" s="79"/>
    </row>
    <row r="1151" ht="15" spans="1:17">
      <c r="A1151" s="89">
        <v>43462</v>
      </c>
      <c r="B1151" s="78"/>
      <c r="C1151" s="79">
        <v>6</v>
      </c>
      <c r="D1151" s="88"/>
      <c r="E1151" s="79">
        <v>32</v>
      </c>
      <c r="F1151" s="80">
        <v>0.134</v>
      </c>
      <c r="G1151" s="79">
        <v>49</v>
      </c>
      <c r="H1151" s="80">
        <v>0.134</v>
      </c>
      <c r="I1151" s="83">
        <v>0.92</v>
      </c>
      <c r="J1151" s="79">
        <v>6</v>
      </c>
      <c r="K1151" s="79"/>
      <c r="L1151" s="80">
        <v>0.0833</v>
      </c>
      <c r="M1151" s="80"/>
      <c r="N1151" s="86">
        <v>74</v>
      </c>
      <c r="O1151" s="86"/>
      <c r="P1151" s="79">
        <v>19</v>
      </c>
      <c r="Q1151" s="79"/>
    </row>
    <row r="1152" ht="15" spans="1:17">
      <c r="A1152" s="89">
        <v>43462</v>
      </c>
      <c r="B1152" s="78"/>
      <c r="C1152" s="79">
        <v>7</v>
      </c>
      <c r="D1152" s="88"/>
      <c r="E1152" s="79">
        <v>22</v>
      </c>
      <c r="F1152" s="80">
        <v>0.0619</v>
      </c>
      <c r="G1152" s="79">
        <v>80</v>
      </c>
      <c r="H1152" s="80">
        <v>0.0619</v>
      </c>
      <c r="I1152" s="83">
        <v>1</v>
      </c>
      <c r="J1152" s="79">
        <v>3</v>
      </c>
      <c r="K1152" s="79"/>
      <c r="L1152" s="80">
        <v>0.25</v>
      </c>
      <c r="M1152" s="80"/>
      <c r="N1152" s="86">
        <v>300</v>
      </c>
      <c r="O1152" s="86"/>
      <c r="P1152" s="79">
        <v>13</v>
      </c>
      <c r="Q1152" s="79"/>
    </row>
    <row r="1153" ht="15" spans="1:17">
      <c r="A1153" s="89">
        <v>43462</v>
      </c>
      <c r="B1153" s="78"/>
      <c r="C1153" s="79">
        <v>10</v>
      </c>
      <c r="D1153" s="88"/>
      <c r="E1153" s="79">
        <v>4</v>
      </c>
      <c r="F1153" s="80">
        <v>0.0412</v>
      </c>
      <c r="G1153" s="79">
        <v>8</v>
      </c>
      <c r="H1153" s="80">
        <v>0.0412</v>
      </c>
      <c r="I1153" s="83">
        <v>1</v>
      </c>
      <c r="J1153" s="79">
        <v>0</v>
      </c>
      <c r="K1153" s="79"/>
      <c r="L1153" s="80">
        <v>0</v>
      </c>
      <c r="M1153" s="80"/>
      <c r="N1153" s="86">
        <v>385</v>
      </c>
      <c r="O1153" s="86"/>
      <c r="P1153" s="79">
        <v>10</v>
      </c>
      <c r="Q1153" s="79"/>
    </row>
    <row r="1154" ht="15" spans="1:17">
      <c r="A1154" s="89">
        <v>43463</v>
      </c>
      <c r="B1154" s="78"/>
      <c r="C1154" s="79">
        <v>4</v>
      </c>
      <c r="D1154" s="88"/>
      <c r="E1154" s="79">
        <v>70</v>
      </c>
      <c r="F1154" s="80">
        <v>0.0548</v>
      </c>
      <c r="G1154" s="79">
        <v>1</v>
      </c>
      <c r="H1154" s="80">
        <v>0.0548</v>
      </c>
      <c r="I1154" s="83">
        <v>1</v>
      </c>
      <c r="J1154" s="79">
        <v>17</v>
      </c>
      <c r="K1154" s="79"/>
      <c r="L1154" s="80">
        <v>0</v>
      </c>
      <c r="M1154" s="80"/>
      <c r="N1154" s="86">
        <v>387</v>
      </c>
      <c r="O1154" s="86"/>
      <c r="P1154" s="79">
        <v>9</v>
      </c>
      <c r="Q1154" s="79"/>
    </row>
    <row r="1155" ht="15" spans="1:17">
      <c r="A1155" s="89">
        <v>43463</v>
      </c>
      <c r="B1155" s="78"/>
      <c r="C1155" s="79">
        <v>2</v>
      </c>
      <c r="D1155" s="88"/>
      <c r="E1155" s="79">
        <v>18</v>
      </c>
      <c r="F1155" s="80">
        <v>0.0548</v>
      </c>
      <c r="G1155" s="79">
        <v>5</v>
      </c>
      <c r="H1155" s="80">
        <v>0.0548</v>
      </c>
      <c r="I1155" s="83">
        <v>1</v>
      </c>
      <c r="J1155" s="79">
        <v>21</v>
      </c>
      <c r="K1155" s="79"/>
      <c r="L1155" s="80">
        <v>1</v>
      </c>
      <c r="M1155" s="80"/>
      <c r="N1155" s="86">
        <v>277</v>
      </c>
      <c r="O1155" s="86"/>
      <c r="P1155" s="79">
        <v>0</v>
      </c>
      <c r="Q1155" s="79"/>
    </row>
    <row r="1156" ht="15" spans="1:17">
      <c r="A1156" s="89">
        <v>43463</v>
      </c>
      <c r="B1156" s="78"/>
      <c r="C1156" s="79">
        <v>5</v>
      </c>
      <c r="D1156" s="88"/>
      <c r="E1156" s="79">
        <v>62</v>
      </c>
      <c r="F1156" s="80">
        <v>0.3562</v>
      </c>
      <c r="G1156" s="79">
        <v>97</v>
      </c>
      <c r="H1156" s="80">
        <v>0.3562</v>
      </c>
      <c r="I1156" s="83">
        <v>1</v>
      </c>
      <c r="J1156" s="79">
        <v>0</v>
      </c>
      <c r="K1156" s="79"/>
      <c r="L1156" s="80">
        <v>0.2083</v>
      </c>
      <c r="M1156" s="80"/>
      <c r="N1156" s="86">
        <v>372</v>
      </c>
      <c r="O1156" s="86"/>
      <c r="P1156" s="79">
        <v>12</v>
      </c>
      <c r="Q1156" s="79"/>
    </row>
    <row r="1157" ht="15" spans="1:17">
      <c r="A1157" s="89">
        <v>43463</v>
      </c>
      <c r="B1157" s="78"/>
      <c r="C1157" s="79">
        <v>1</v>
      </c>
      <c r="D1157" s="88"/>
      <c r="E1157" s="79">
        <v>90</v>
      </c>
      <c r="F1157" s="80">
        <v>0.2055</v>
      </c>
      <c r="G1157" s="79">
        <v>35</v>
      </c>
      <c r="H1157" s="80">
        <v>0.2055</v>
      </c>
      <c r="I1157" s="83">
        <v>1</v>
      </c>
      <c r="J1157" s="79">
        <v>18</v>
      </c>
      <c r="K1157" s="79"/>
      <c r="L1157" s="80">
        <v>0</v>
      </c>
      <c r="M1157" s="80"/>
      <c r="N1157" s="86">
        <v>334</v>
      </c>
      <c r="O1157" s="86"/>
      <c r="P1157" s="79">
        <v>12</v>
      </c>
      <c r="Q1157" s="79"/>
    </row>
    <row r="1158" ht="15" spans="1:17">
      <c r="A1158" s="89">
        <v>43463</v>
      </c>
      <c r="B1158" s="78"/>
      <c r="C1158" s="79">
        <v>6</v>
      </c>
      <c r="D1158" s="88"/>
      <c r="E1158" s="79">
        <v>54</v>
      </c>
      <c r="F1158" s="80">
        <v>0.2055</v>
      </c>
      <c r="G1158" s="79">
        <v>41</v>
      </c>
      <c r="H1158" s="80">
        <v>0.2055</v>
      </c>
      <c r="I1158" s="83">
        <v>1</v>
      </c>
      <c r="J1158" s="79">
        <v>17</v>
      </c>
      <c r="K1158" s="79"/>
      <c r="L1158" s="80">
        <v>0.0714</v>
      </c>
      <c r="M1158" s="80"/>
      <c r="N1158" s="86">
        <v>366</v>
      </c>
      <c r="O1158" s="86"/>
      <c r="P1158" s="79">
        <v>16</v>
      </c>
      <c r="Q1158" s="79"/>
    </row>
    <row r="1159" ht="15" spans="1:17">
      <c r="A1159" s="89">
        <v>43463</v>
      </c>
      <c r="B1159" s="78"/>
      <c r="C1159" s="79">
        <v>7</v>
      </c>
      <c r="D1159" s="88"/>
      <c r="E1159" s="79">
        <v>88</v>
      </c>
      <c r="F1159" s="80">
        <v>0.0548</v>
      </c>
      <c r="G1159" s="79">
        <v>20</v>
      </c>
      <c r="H1159" s="80">
        <v>0.0548</v>
      </c>
      <c r="I1159" s="83">
        <v>1</v>
      </c>
      <c r="J1159" s="79">
        <v>4</v>
      </c>
      <c r="K1159" s="79"/>
      <c r="L1159" s="80">
        <v>0</v>
      </c>
      <c r="M1159" s="80"/>
      <c r="N1159" s="86">
        <v>60</v>
      </c>
      <c r="O1159" s="86"/>
      <c r="P1159" s="79">
        <v>4</v>
      </c>
      <c r="Q1159" s="79"/>
    </row>
    <row r="1160" ht="15" spans="1:17">
      <c r="A1160" s="89">
        <v>43463</v>
      </c>
      <c r="B1160" s="78"/>
      <c r="C1160" s="79">
        <v>10</v>
      </c>
      <c r="D1160" s="88"/>
      <c r="E1160" s="79">
        <v>68</v>
      </c>
      <c r="F1160" s="80">
        <v>0.0685</v>
      </c>
      <c r="G1160" s="79">
        <v>8</v>
      </c>
      <c r="H1160" s="80">
        <v>0.0685</v>
      </c>
      <c r="I1160" s="83">
        <v>1</v>
      </c>
      <c r="J1160" s="79">
        <v>22</v>
      </c>
      <c r="K1160" s="79"/>
      <c r="L1160" s="80">
        <v>0</v>
      </c>
      <c r="M1160" s="80"/>
      <c r="N1160" s="86">
        <v>64</v>
      </c>
      <c r="O1160" s="86"/>
      <c r="P1160" s="79">
        <v>2</v>
      </c>
      <c r="Q1160" s="79"/>
    </row>
    <row r="1161" ht="15" spans="1:17">
      <c r="A1161" s="89">
        <v>43464</v>
      </c>
      <c r="B1161" s="78"/>
      <c r="C1161" s="79">
        <v>4</v>
      </c>
      <c r="D1161" s="88"/>
      <c r="E1161" s="79">
        <v>76</v>
      </c>
      <c r="F1161" s="80">
        <v>0.0244</v>
      </c>
      <c r="G1161" s="79">
        <v>11</v>
      </c>
      <c r="H1161" s="80">
        <v>0.0244</v>
      </c>
      <c r="I1161" s="83">
        <v>1</v>
      </c>
      <c r="J1161" s="79">
        <v>12</v>
      </c>
      <c r="K1161" s="79"/>
      <c r="L1161" s="80">
        <v>0</v>
      </c>
      <c r="M1161" s="80"/>
      <c r="N1161" s="86">
        <v>150</v>
      </c>
      <c r="O1161" s="86"/>
      <c r="P1161" s="79">
        <v>0</v>
      </c>
      <c r="Q1161" s="79"/>
    </row>
    <row r="1162" ht="15" spans="1:17">
      <c r="A1162" s="89">
        <v>43464</v>
      </c>
      <c r="B1162" s="78"/>
      <c r="C1162" s="79">
        <v>2</v>
      </c>
      <c r="D1162" s="88"/>
      <c r="E1162" s="79">
        <v>71</v>
      </c>
      <c r="F1162" s="80">
        <v>0.0366</v>
      </c>
      <c r="G1162" s="79">
        <v>41</v>
      </c>
      <c r="H1162" s="80">
        <v>0.0366</v>
      </c>
      <c r="I1162" s="83">
        <v>1</v>
      </c>
      <c r="J1162" s="79">
        <v>17</v>
      </c>
      <c r="K1162" s="79"/>
      <c r="L1162" s="80">
        <v>0</v>
      </c>
      <c r="M1162" s="80"/>
      <c r="N1162" s="86">
        <v>456</v>
      </c>
      <c r="O1162" s="86"/>
      <c r="P1162" s="79">
        <v>5</v>
      </c>
      <c r="Q1162" s="79"/>
    </row>
    <row r="1163" ht="15" spans="1:17">
      <c r="A1163" s="89">
        <v>43464</v>
      </c>
      <c r="B1163" s="78"/>
      <c r="C1163" s="79">
        <v>5</v>
      </c>
      <c r="D1163" s="88"/>
      <c r="E1163" s="79">
        <v>55</v>
      </c>
      <c r="F1163" s="80">
        <v>0.6585</v>
      </c>
      <c r="G1163" s="79">
        <v>83</v>
      </c>
      <c r="H1163" s="80">
        <v>0.6585</v>
      </c>
      <c r="I1163" s="83">
        <v>1</v>
      </c>
      <c r="J1163" s="79">
        <v>22</v>
      </c>
      <c r="K1163" s="79"/>
      <c r="L1163" s="80">
        <v>0.1702</v>
      </c>
      <c r="M1163" s="80"/>
      <c r="N1163" s="86">
        <v>169</v>
      </c>
      <c r="O1163" s="86"/>
      <c r="P1163" s="79">
        <v>20</v>
      </c>
      <c r="Q1163" s="79"/>
    </row>
    <row r="1164" ht="15" spans="1:17">
      <c r="A1164" s="89">
        <v>43464</v>
      </c>
      <c r="B1164" s="78"/>
      <c r="C1164" s="79">
        <v>1</v>
      </c>
      <c r="D1164" s="88"/>
      <c r="E1164" s="79">
        <v>59</v>
      </c>
      <c r="F1164" s="80">
        <v>0.0732</v>
      </c>
      <c r="G1164" s="79">
        <v>56</v>
      </c>
      <c r="H1164" s="80">
        <v>0.0732</v>
      </c>
      <c r="I1164" s="83">
        <v>1</v>
      </c>
      <c r="J1164" s="79">
        <v>0</v>
      </c>
      <c r="K1164" s="79"/>
      <c r="L1164" s="80">
        <v>0</v>
      </c>
      <c r="M1164" s="80"/>
      <c r="N1164" s="86">
        <v>475</v>
      </c>
      <c r="O1164" s="86"/>
      <c r="P1164" s="79">
        <v>13</v>
      </c>
      <c r="Q1164" s="79"/>
    </row>
    <row r="1165" ht="15" spans="1:17">
      <c r="A1165" s="89">
        <v>43464</v>
      </c>
      <c r="B1165" s="78"/>
      <c r="C1165" s="79">
        <v>6</v>
      </c>
      <c r="D1165" s="88"/>
      <c r="E1165" s="79">
        <v>30</v>
      </c>
      <c r="F1165" s="80">
        <v>0.1098</v>
      </c>
      <c r="G1165" s="79">
        <v>17</v>
      </c>
      <c r="H1165" s="80">
        <v>0.1098</v>
      </c>
      <c r="I1165" s="83">
        <v>1</v>
      </c>
      <c r="J1165" s="79">
        <v>11</v>
      </c>
      <c r="K1165" s="79"/>
      <c r="L1165" s="80">
        <v>0</v>
      </c>
      <c r="M1165" s="80"/>
      <c r="N1165" s="86">
        <v>438</v>
      </c>
      <c r="O1165" s="86"/>
      <c r="P1165" s="79">
        <v>5</v>
      </c>
      <c r="Q1165" s="79"/>
    </row>
    <row r="1166" ht="15" spans="1:17">
      <c r="A1166" s="89">
        <v>43464</v>
      </c>
      <c r="B1166" s="78"/>
      <c r="C1166" s="79">
        <v>7</v>
      </c>
      <c r="D1166" s="88"/>
      <c r="E1166" s="79">
        <v>19</v>
      </c>
      <c r="F1166" s="80">
        <v>0.0366</v>
      </c>
      <c r="G1166" s="79">
        <v>60</v>
      </c>
      <c r="H1166" s="80">
        <v>0.0366</v>
      </c>
      <c r="I1166" s="83">
        <v>1</v>
      </c>
      <c r="J1166" s="79">
        <v>4</v>
      </c>
      <c r="K1166" s="79"/>
      <c r="L1166" s="80">
        <v>0</v>
      </c>
      <c r="M1166" s="80"/>
      <c r="N1166" s="86">
        <v>187</v>
      </c>
      <c r="O1166" s="86"/>
      <c r="P1166" s="79">
        <v>8</v>
      </c>
      <c r="Q1166" s="79"/>
    </row>
    <row r="1167" ht="15" spans="1:17">
      <c r="A1167" s="89">
        <v>43464</v>
      </c>
      <c r="B1167" s="78"/>
      <c r="C1167" s="79">
        <v>10</v>
      </c>
      <c r="D1167" s="88"/>
      <c r="E1167" s="79">
        <v>77</v>
      </c>
      <c r="F1167" s="80">
        <v>0.061</v>
      </c>
      <c r="G1167" s="79">
        <v>81</v>
      </c>
      <c r="H1167" s="80">
        <v>0.061</v>
      </c>
      <c r="I1167" s="83">
        <v>1</v>
      </c>
      <c r="J1167" s="79">
        <v>13</v>
      </c>
      <c r="K1167" s="79"/>
      <c r="L1167" s="80">
        <v>0</v>
      </c>
      <c r="M1167" s="80"/>
      <c r="N1167" s="86">
        <v>337</v>
      </c>
      <c r="O1167" s="86"/>
      <c r="P1167" s="79">
        <v>11</v>
      </c>
      <c r="Q1167" s="79"/>
    </row>
    <row r="1168" ht="15" spans="1:17">
      <c r="A1168" s="89">
        <v>43465</v>
      </c>
      <c r="B1168" s="78"/>
      <c r="C1168" s="79">
        <v>1</v>
      </c>
      <c r="D1168" s="88"/>
      <c r="E1168" s="79">
        <v>82</v>
      </c>
      <c r="F1168" s="80">
        <v>0.0789</v>
      </c>
      <c r="G1168" s="79">
        <v>71</v>
      </c>
      <c r="H1168" s="80">
        <v>0.0789</v>
      </c>
      <c r="I1168" s="83">
        <v>1</v>
      </c>
      <c r="J1168" s="79">
        <v>17</v>
      </c>
      <c r="K1168" s="79"/>
      <c r="L1168" s="80">
        <v>2</v>
      </c>
      <c r="M1168" s="80"/>
      <c r="N1168" s="86">
        <v>397</v>
      </c>
      <c r="O1168" s="86"/>
      <c r="P1168" s="79">
        <v>15</v>
      </c>
      <c r="Q1168" s="79"/>
    </row>
    <row r="1169" ht="15" spans="1:17">
      <c r="A1169" s="89">
        <v>43465</v>
      </c>
      <c r="B1169" s="78"/>
      <c r="C1169" s="79">
        <v>4</v>
      </c>
      <c r="D1169" s="88"/>
      <c r="E1169" s="79">
        <v>63</v>
      </c>
      <c r="F1169" s="80">
        <v>0.0395</v>
      </c>
      <c r="G1169" s="79">
        <v>7</v>
      </c>
      <c r="H1169" s="80">
        <v>0.0395</v>
      </c>
      <c r="I1169" s="83">
        <v>1</v>
      </c>
      <c r="J1169" s="79">
        <v>8</v>
      </c>
      <c r="K1169" s="79"/>
      <c r="L1169" s="80">
        <v>0</v>
      </c>
      <c r="M1169" s="80"/>
      <c r="N1169" s="86">
        <v>268</v>
      </c>
      <c r="O1169" s="86"/>
      <c r="P1169" s="79">
        <v>4</v>
      </c>
      <c r="Q1169" s="79"/>
    </row>
    <row r="1170" ht="15" spans="1:17">
      <c r="A1170" s="89">
        <v>43465</v>
      </c>
      <c r="B1170" s="78"/>
      <c r="C1170" s="79">
        <v>2</v>
      </c>
      <c r="D1170" s="88"/>
      <c r="E1170" s="79">
        <v>64</v>
      </c>
      <c r="F1170" s="80">
        <v>0.0395</v>
      </c>
      <c r="G1170" s="79">
        <v>66</v>
      </c>
      <c r="H1170" s="80">
        <v>0.0395</v>
      </c>
      <c r="I1170" s="83">
        <v>1</v>
      </c>
      <c r="J1170" s="79">
        <v>3</v>
      </c>
      <c r="K1170" s="79"/>
      <c r="L1170" s="80">
        <v>0</v>
      </c>
      <c r="M1170" s="80"/>
      <c r="N1170" s="86">
        <v>402</v>
      </c>
      <c r="O1170" s="86"/>
      <c r="P1170" s="79">
        <v>4</v>
      </c>
      <c r="Q1170" s="79"/>
    </row>
    <row r="1171" ht="15" spans="1:17">
      <c r="A1171" s="89">
        <v>43465</v>
      </c>
      <c r="B1171" s="78"/>
      <c r="C1171" s="79">
        <v>5</v>
      </c>
      <c r="D1171" s="88"/>
      <c r="E1171" s="79">
        <v>29</v>
      </c>
      <c r="F1171" s="80">
        <v>0.5789</v>
      </c>
      <c r="G1171" s="79">
        <v>70</v>
      </c>
      <c r="H1171" s="80">
        <v>0.5789</v>
      </c>
      <c r="I1171" s="83">
        <v>1</v>
      </c>
      <c r="J1171" s="79">
        <v>25</v>
      </c>
      <c r="K1171" s="79"/>
      <c r="L1171" s="80">
        <v>0.25</v>
      </c>
      <c r="M1171" s="80"/>
      <c r="N1171" s="86">
        <v>231</v>
      </c>
      <c r="O1171" s="86"/>
      <c r="P1171" s="79">
        <v>12</v>
      </c>
      <c r="Q1171" s="79"/>
    </row>
    <row r="1172" ht="15" spans="1:17">
      <c r="A1172" s="89">
        <v>43465</v>
      </c>
      <c r="B1172" s="78"/>
      <c r="C1172" s="79">
        <v>6</v>
      </c>
      <c r="D1172" s="88"/>
      <c r="E1172" s="79">
        <v>64</v>
      </c>
      <c r="F1172" s="80">
        <v>0.2105</v>
      </c>
      <c r="G1172" s="79">
        <v>49</v>
      </c>
      <c r="H1172" s="80">
        <v>0.2105</v>
      </c>
      <c r="I1172" s="83">
        <v>1</v>
      </c>
      <c r="J1172" s="79">
        <v>18</v>
      </c>
      <c r="K1172" s="79"/>
      <c r="L1172" s="80">
        <v>0.125</v>
      </c>
      <c r="M1172" s="80"/>
      <c r="N1172" s="86">
        <v>260</v>
      </c>
      <c r="O1172" s="86"/>
      <c r="P1172" s="79">
        <v>15</v>
      </c>
      <c r="Q1172" s="79"/>
    </row>
    <row r="1173" ht="15" spans="1:17">
      <c r="A1173" s="89">
        <v>43465</v>
      </c>
      <c r="B1173" s="78"/>
      <c r="C1173" s="79">
        <v>7</v>
      </c>
      <c r="D1173" s="88"/>
      <c r="E1173" s="79">
        <v>94</v>
      </c>
      <c r="F1173" s="80">
        <v>0.0395</v>
      </c>
      <c r="G1173" s="79">
        <v>44</v>
      </c>
      <c r="H1173" s="80">
        <v>0.0395</v>
      </c>
      <c r="I1173" s="83">
        <v>1</v>
      </c>
      <c r="J1173" s="79">
        <v>10</v>
      </c>
      <c r="K1173" s="79"/>
      <c r="L1173" s="80">
        <v>0</v>
      </c>
      <c r="M1173" s="80"/>
      <c r="N1173" s="86">
        <v>484</v>
      </c>
      <c r="O1173" s="86"/>
      <c r="P1173" s="79">
        <v>2</v>
      </c>
      <c r="Q1173" s="79"/>
    </row>
    <row r="1174" ht="15" spans="1:17">
      <c r="A1174" s="89">
        <v>43465</v>
      </c>
      <c r="B1174" s="78"/>
      <c r="C1174" s="79">
        <v>10</v>
      </c>
      <c r="D1174" s="88"/>
      <c r="E1174" s="79">
        <v>53</v>
      </c>
      <c r="F1174" s="80">
        <v>0.0132</v>
      </c>
      <c r="G1174" s="79">
        <v>78</v>
      </c>
      <c r="H1174" s="80">
        <v>0.0132</v>
      </c>
      <c r="I1174" s="83">
        <v>1</v>
      </c>
      <c r="J1174" s="79">
        <v>15</v>
      </c>
      <c r="K1174" s="79"/>
      <c r="L1174" s="80">
        <v>0</v>
      </c>
      <c r="M1174" s="80"/>
      <c r="N1174" s="86">
        <v>345</v>
      </c>
      <c r="O1174" s="86"/>
      <c r="P1174" s="79">
        <v>17</v>
      </c>
      <c r="Q1174" s="79"/>
    </row>
    <row r="1175" ht="15" spans="1:17">
      <c r="A1175" s="89">
        <v>43466</v>
      </c>
      <c r="B1175" s="78"/>
      <c r="C1175" s="79">
        <v>6</v>
      </c>
      <c r="D1175" s="88"/>
      <c r="E1175" s="79">
        <v>52</v>
      </c>
      <c r="F1175" s="80">
        <v>0.2683</v>
      </c>
      <c r="G1175" s="79">
        <v>54</v>
      </c>
      <c r="H1175" s="80">
        <v>0.2683</v>
      </c>
      <c r="I1175" s="83">
        <v>1</v>
      </c>
      <c r="J1175" s="79">
        <v>5</v>
      </c>
      <c r="K1175" s="79"/>
      <c r="L1175" s="80">
        <v>0.1667</v>
      </c>
      <c r="M1175" s="80"/>
      <c r="N1175" s="86">
        <v>56</v>
      </c>
      <c r="O1175" s="86"/>
      <c r="P1175" s="79">
        <v>4</v>
      </c>
      <c r="Q1175" s="79"/>
    </row>
    <row r="1176" ht="15" spans="1:17">
      <c r="A1176" s="89">
        <v>43466</v>
      </c>
      <c r="B1176" s="78"/>
      <c r="C1176" s="79">
        <v>2</v>
      </c>
      <c r="D1176" s="88"/>
      <c r="E1176" s="79">
        <v>70</v>
      </c>
      <c r="F1176" s="80">
        <v>0.0244</v>
      </c>
      <c r="G1176" s="79">
        <v>57</v>
      </c>
      <c r="H1176" s="80">
        <v>0.0244</v>
      </c>
      <c r="I1176" s="83">
        <v>1</v>
      </c>
      <c r="J1176" s="79">
        <v>10</v>
      </c>
      <c r="K1176" s="79"/>
      <c r="L1176" s="80">
        <v>0</v>
      </c>
      <c r="M1176" s="80"/>
      <c r="N1176" s="86">
        <v>357</v>
      </c>
      <c r="O1176" s="86"/>
      <c r="P1176" s="79">
        <v>5</v>
      </c>
      <c r="Q1176" s="79"/>
    </row>
    <row r="1177" ht="15" spans="1:17">
      <c r="A1177" s="89">
        <v>43466</v>
      </c>
      <c r="B1177" s="78"/>
      <c r="C1177" s="79">
        <v>5</v>
      </c>
      <c r="D1177" s="88"/>
      <c r="E1177" s="79">
        <v>12</v>
      </c>
      <c r="F1177" s="80">
        <v>0.6179</v>
      </c>
      <c r="G1177" s="79">
        <v>80</v>
      </c>
      <c r="H1177" s="80">
        <v>0.6179</v>
      </c>
      <c r="I1177" s="83">
        <v>1</v>
      </c>
      <c r="J1177" s="79">
        <v>11</v>
      </c>
      <c r="K1177" s="79"/>
      <c r="L1177" s="80">
        <v>0.1224</v>
      </c>
      <c r="M1177" s="80"/>
      <c r="N1177" s="86">
        <v>272</v>
      </c>
      <c r="O1177" s="86"/>
      <c r="P1177" s="79">
        <v>0</v>
      </c>
      <c r="Q1177" s="79"/>
    </row>
    <row r="1178" ht="15" spans="1:17">
      <c r="A1178" s="89">
        <v>43466</v>
      </c>
      <c r="B1178" s="78"/>
      <c r="C1178" s="79">
        <v>1</v>
      </c>
      <c r="D1178" s="88"/>
      <c r="E1178" s="79">
        <v>76</v>
      </c>
      <c r="F1178" s="80">
        <v>0.0569</v>
      </c>
      <c r="G1178" s="79">
        <v>39</v>
      </c>
      <c r="H1178" s="80">
        <v>0.0569</v>
      </c>
      <c r="I1178" s="83">
        <v>1</v>
      </c>
      <c r="J1178" s="79">
        <v>4</v>
      </c>
      <c r="K1178" s="79"/>
      <c r="L1178" s="80">
        <v>0.3333</v>
      </c>
      <c r="M1178" s="80"/>
      <c r="N1178" s="86">
        <v>184</v>
      </c>
      <c r="O1178" s="86"/>
      <c r="P1178" s="79">
        <v>12</v>
      </c>
      <c r="Q1178" s="79"/>
    </row>
    <row r="1179" ht="15" spans="1:17">
      <c r="A1179" s="89">
        <v>43466</v>
      </c>
      <c r="B1179" s="78"/>
      <c r="C1179" s="79">
        <v>7</v>
      </c>
      <c r="D1179" s="88"/>
      <c r="E1179" s="79">
        <v>91</v>
      </c>
      <c r="F1179" s="80">
        <v>0.0244</v>
      </c>
      <c r="G1179" s="79">
        <v>10</v>
      </c>
      <c r="H1179" s="80">
        <v>0.0244</v>
      </c>
      <c r="I1179" s="83">
        <v>1</v>
      </c>
      <c r="J1179" s="79">
        <v>9</v>
      </c>
      <c r="K1179" s="79"/>
      <c r="L1179" s="80">
        <v>1</v>
      </c>
      <c r="M1179" s="80"/>
      <c r="N1179" s="86">
        <v>353</v>
      </c>
      <c r="O1179" s="86"/>
      <c r="P1179" s="79">
        <v>14</v>
      </c>
      <c r="Q1179" s="79"/>
    </row>
    <row r="1180" ht="15" spans="1:17">
      <c r="A1180" s="89">
        <v>43466</v>
      </c>
      <c r="B1180" s="78"/>
      <c r="C1180" s="79">
        <v>10</v>
      </c>
      <c r="D1180" s="88"/>
      <c r="E1180" s="79">
        <v>74</v>
      </c>
      <c r="F1180" s="80">
        <v>0.0081</v>
      </c>
      <c r="G1180" s="79">
        <v>4</v>
      </c>
      <c r="H1180" s="80">
        <v>0.0081</v>
      </c>
      <c r="I1180" s="83">
        <v>1</v>
      </c>
      <c r="J1180" s="79">
        <v>18</v>
      </c>
      <c r="K1180" s="79"/>
      <c r="L1180" s="80">
        <v>0</v>
      </c>
      <c r="M1180" s="80"/>
      <c r="N1180" s="86">
        <v>460</v>
      </c>
      <c r="O1180" s="86"/>
      <c r="P1180" s="79">
        <v>5</v>
      </c>
      <c r="Q1180" s="79"/>
    </row>
    <row r="1181" ht="15" spans="1:17">
      <c r="A1181" s="89">
        <v>43467</v>
      </c>
      <c r="B1181" s="78"/>
      <c r="C1181" s="79">
        <v>4</v>
      </c>
      <c r="D1181" s="88"/>
      <c r="E1181" s="79">
        <v>84</v>
      </c>
      <c r="F1181" s="80">
        <v>0.0215</v>
      </c>
      <c r="G1181" s="79">
        <v>32</v>
      </c>
      <c r="H1181" s="80">
        <v>0.0215</v>
      </c>
      <c r="I1181" s="83">
        <v>1</v>
      </c>
      <c r="J1181" s="79">
        <v>27</v>
      </c>
      <c r="K1181" s="79"/>
      <c r="L1181" s="80">
        <v>0</v>
      </c>
      <c r="M1181" s="80"/>
      <c r="N1181" s="86">
        <v>280</v>
      </c>
      <c r="O1181" s="86"/>
      <c r="P1181" s="79">
        <v>17</v>
      </c>
      <c r="Q1181" s="79"/>
    </row>
    <row r="1182" ht="15" spans="1:17">
      <c r="A1182" s="89">
        <v>43467</v>
      </c>
      <c r="B1182" s="78"/>
      <c r="C1182" s="79">
        <v>5</v>
      </c>
      <c r="D1182" s="88"/>
      <c r="E1182" s="79">
        <v>60</v>
      </c>
      <c r="F1182" s="80">
        <v>0.6344</v>
      </c>
      <c r="G1182" s="79">
        <v>88</v>
      </c>
      <c r="H1182" s="80">
        <v>0.6344</v>
      </c>
      <c r="I1182" s="83">
        <v>1</v>
      </c>
      <c r="J1182" s="79">
        <v>6</v>
      </c>
      <c r="K1182" s="79"/>
      <c r="L1182" s="80">
        <v>0.1739</v>
      </c>
      <c r="M1182" s="80"/>
      <c r="N1182" s="86">
        <v>436</v>
      </c>
      <c r="O1182" s="86"/>
      <c r="P1182" s="79">
        <v>14</v>
      </c>
      <c r="Q1182" s="79"/>
    </row>
    <row r="1183" ht="15" spans="1:17">
      <c r="A1183" s="89">
        <v>43467</v>
      </c>
      <c r="B1183" s="78"/>
      <c r="C1183" s="79">
        <v>1</v>
      </c>
      <c r="D1183" s="88"/>
      <c r="E1183" s="79">
        <v>45</v>
      </c>
      <c r="F1183" s="80">
        <v>0.086</v>
      </c>
      <c r="G1183" s="79">
        <v>31</v>
      </c>
      <c r="H1183" s="80">
        <v>0.086</v>
      </c>
      <c r="I1183" s="83">
        <v>1</v>
      </c>
      <c r="J1183" s="79">
        <v>0</v>
      </c>
      <c r="K1183" s="79"/>
      <c r="L1183" s="80">
        <v>0.1667</v>
      </c>
      <c r="M1183" s="80"/>
      <c r="N1183" s="86">
        <v>261</v>
      </c>
      <c r="O1183" s="86"/>
      <c r="P1183" s="79">
        <v>1</v>
      </c>
      <c r="Q1183" s="79"/>
    </row>
    <row r="1184" ht="15" spans="1:17">
      <c r="A1184" s="89">
        <v>43467</v>
      </c>
      <c r="B1184" s="78"/>
      <c r="C1184" s="79">
        <v>6</v>
      </c>
      <c r="D1184" s="88"/>
      <c r="E1184" s="79">
        <v>23</v>
      </c>
      <c r="F1184" s="80">
        <v>0.1613</v>
      </c>
      <c r="G1184" s="79">
        <v>55</v>
      </c>
      <c r="H1184" s="80">
        <v>0.1613</v>
      </c>
      <c r="I1184" s="83">
        <v>1</v>
      </c>
      <c r="J1184" s="79">
        <v>24</v>
      </c>
      <c r="K1184" s="79"/>
      <c r="L1184" s="80">
        <v>0.0714</v>
      </c>
      <c r="M1184" s="80"/>
      <c r="N1184" s="86">
        <v>59</v>
      </c>
      <c r="O1184" s="86"/>
      <c r="P1184" s="79">
        <v>17</v>
      </c>
      <c r="Q1184" s="79"/>
    </row>
    <row r="1185" ht="15" spans="1:17">
      <c r="A1185" s="89">
        <v>43467</v>
      </c>
      <c r="B1185" s="78"/>
      <c r="C1185" s="79">
        <v>7</v>
      </c>
      <c r="D1185" s="88"/>
      <c r="E1185" s="79">
        <v>4</v>
      </c>
      <c r="F1185" s="80">
        <v>0.043</v>
      </c>
      <c r="G1185" s="79">
        <v>23</v>
      </c>
      <c r="H1185" s="80">
        <v>0.043</v>
      </c>
      <c r="I1185" s="83">
        <v>1</v>
      </c>
      <c r="J1185" s="79">
        <v>27</v>
      </c>
      <c r="K1185" s="79"/>
      <c r="L1185" s="80">
        <v>2.5</v>
      </c>
      <c r="M1185" s="80"/>
      <c r="N1185" s="86">
        <v>477</v>
      </c>
      <c r="O1185" s="86"/>
      <c r="P1185" s="79">
        <v>1</v>
      </c>
      <c r="Q1185" s="79"/>
    </row>
    <row r="1186" ht="15" spans="1:17">
      <c r="A1186" s="89">
        <v>43467</v>
      </c>
      <c r="B1186" s="78"/>
      <c r="C1186" s="79">
        <v>10</v>
      </c>
      <c r="D1186" s="88"/>
      <c r="E1186" s="79">
        <v>77</v>
      </c>
      <c r="F1186" s="80">
        <v>0.0538</v>
      </c>
      <c r="G1186" s="79">
        <v>79</v>
      </c>
      <c r="H1186" s="80">
        <v>0.0538</v>
      </c>
      <c r="I1186" s="83">
        <v>1</v>
      </c>
      <c r="J1186" s="79">
        <v>23</v>
      </c>
      <c r="K1186" s="79"/>
      <c r="L1186" s="80">
        <v>0</v>
      </c>
      <c r="M1186" s="80"/>
      <c r="N1186" s="86">
        <v>280</v>
      </c>
      <c r="O1186" s="86"/>
      <c r="P1186" s="79">
        <v>15</v>
      </c>
      <c r="Q1186" s="79"/>
    </row>
    <row r="1187" ht="15" spans="1:17">
      <c r="A1187" s="89">
        <v>43468</v>
      </c>
      <c r="B1187" s="78"/>
      <c r="C1187" s="79">
        <v>5</v>
      </c>
      <c r="D1187" s="88"/>
      <c r="E1187" s="79">
        <v>55</v>
      </c>
      <c r="F1187" s="80">
        <v>0.6724</v>
      </c>
      <c r="G1187" s="79">
        <v>93</v>
      </c>
      <c r="H1187" s="80">
        <v>0.6724</v>
      </c>
      <c r="I1187" s="83">
        <v>1</v>
      </c>
      <c r="J1187" s="79">
        <v>18</v>
      </c>
      <c r="K1187" s="79"/>
      <c r="L1187" s="80">
        <v>0.2034</v>
      </c>
      <c r="M1187" s="80"/>
      <c r="N1187" s="86">
        <v>465</v>
      </c>
      <c r="O1187" s="86"/>
      <c r="P1187" s="79">
        <v>10</v>
      </c>
      <c r="Q1187" s="79"/>
    </row>
    <row r="1188" ht="15" spans="1:17">
      <c r="A1188" s="89">
        <v>43468</v>
      </c>
      <c r="B1188" s="78"/>
      <c r="C1188" s="79">
        <v>4</v>
      </c>
      <c r="D1188" s="88"/>
      <c r="E1188" s="79">
        <v>27</v>
      </c>
      <c r="F1188" s="80">
        <v>0.0086</v>
      </c>
      <c r="G1188" s="79">
        <v>7</v>
      </c>
      <c r="H1188" s="80">
        <v>0.0086</v>
      </c>
      <c r="I1188" s="83">
        <v>1</v>
      </c>
      <c r="J1188" s="79">
        <v>16</v>
      </c>
      <c r="K1188" s="79"/>
      <c r="L1188" s="80">
        <v>1</v>
      </c>
      <c r="M1188" s="80"/>
      <c r="N1188" s="86">
        <v>342</v>
      </c>
      <c r="O1188" s="86"/>
      <c r="P1188" s="79">
        <v>0</v>
      </c>
      <c r="Q1188" s="79"/>
    </row>
    <row r="1189" ht="15" spans="1:17">
      <c r="A1189" s="89">
        <v>43468</v>
      </c>
      <c r="B1189" s="78"/>
      <c r="C1189" s="79">
        <v>2</v>
      </c>
      <c r="D1189" s="88"/>
      <c r="E1189" s="79">
        <v>92</v>
      </c>
      <c r="F1189" s="80">
        <v>0.0086</v>
      </c>
      <c r="G1189" s="79">
        <v>47</v>
      </c>
      <c r="H1189" s="80">
        <v>0.0086</v>
      </c>
      <c r="I1189" s="83">
        <v>1</v>
      </c>
      <c r="J1189" s="79">
        <v>0</v>
      </c>
      <c r="K1189" s="79"/>
      <c r="L1189" s="80">
        <v>0</v>
      </c>
      <c r="M1189" s="80"/>
      <c r="N1189" s="86">
        <v>172</v>
      </c>
      <c r="O1189" s="86"/>
      <c r="P1189" s="79">
        <v>3</v>
      </c>
      <c r="Q1189" s="79"/>
    </row>
    <row r="1190" ht="15" spans="1:17">
      <c r="A1190" s="89">
        <v>43468</v>
      </c>
      <c r="B1190" s="78"/>
      <c r="C1190" s="79">
        <v>1</v>
      </c>
      <c r="D1190" s="88"/>
      <c r="E1190" s="79">
        <v>83</v>
      </c>
      <c r="F1190" s="80">
        <v>0.0603</v>
      </c>
      <c r="G1190" s="79">
        <v>6</v>
      </c>
      <c r="H1190" s="80">
        <v>0.0603</v>
      </c>
      <c r="I1190" s="83">
        <v>1</v>
      </c>
      <c r="J1190" s="79">
        <v>8</v>
      </c>
      <c r="K1190" s="79"/>
      <c r="L1190" s="80">
        <v>0</v>
      </c>
      <c r="M1190" s="80"/>
      <c r="N1190" s="86">
        <v>103</v>
      </c>
      <c r="O1190" s="86"/>
      <c r="P1190" s="79">
        <v>7</v>
      </c>
      <c r="Q1190" s="79"/>
    </row>
    <row r="1191" ht="15" spans="1:17">
      <c r="A1191" s="89">
        <v>43468</v>
      </c>
      <c r="B1191" s="78"/>
      <c r="C1191" s="79">
        <v>6</v>
      </c>
      <c r="D1191" s="88"/>
      <c r="E1191" s="79">
        <v>49</v>
      </c>
      <c r="F1191" s="80">
        <v>0.1897</v>
      </c>
      <c r="G1191" s="79">
        <v>92</v>
      </c>
      <c r="H1191" s="80">
        <v>0.1897</v>
      </c>
      <c r="I1191" s="83">
        <v>1</v>
      </c>
      <c r="J1191" s="79">
        <v>22</v>
      </c>
      <c r="K1191" s="79"/>
      <c r="L1191" s="80">
        <v>0.0952</v>
      </c>
      <c r="M1191" s="80"/>
      <c r="N1191" s="86">
        <v>211</v>
      </c>
      <c r="O1191" s="86"/>
      <c r="P1191" s="79">
        <v>14</v>
      </c>
      <c r="Q1191" s="79"/>
    </row>
    <row r="1192" ht="15" spans="1:17">
      <c r="A1192" s="89">
        <v>43468</v>
      </c>
      <c r="B1192" s="78"/>
      <c r="C1192" s="79">
        <v>7</v>
      </c>
      <c r="D1192" s="88"/>
      <c r="E1192" s="79">
        <v>42</v>
      </c>
      <c r="F1192" s="80">
        <v>0.0345</v>
      </c>
      <c r="G1192" s="79">
        <v>71</v>
      </c>
      <c r="H1192" s="80">
        <v>0.0345</v>
      </c>
      <c r="I1192" s="83">
        <v>1</v>
      </c>
      <c r="J1192" s="79">
        <v>8</v>
      </c>
      <c r="K1192" s="79"/>
      <c r="L1192" s="80">
        <v>0</v>
      </c>
      <c r="M1192" s="80"/>
      <c r="N1192" s="86">
        <v>424</v>
      </c>
      <c r="O1192" s="86"/>
      <c r="P1192" s="79">
        <v>17</v>
      </c>
      <c r="Q1192" s="79"/>
    </row>
    <row r="1193" ht="15" spans="1:17">
      <c r="A1193" s="89">
        <v>43468</v>
      </c>
      <c r="B1193" s="78"/>
      <c r="C1193" s="79">
        <v>10</v>
      </c>
      <c r="D1193" s="88"/>
      <c r="E1193" s="79">
        <v>34</v>
      </c>
      <c r="F1193" s="80">
        <v>0.0259</v>
      </c>
      <c r="G1193" s="79">
        <v>91</v>
      </c>
      <c r="H1193" s="80">
        <v>0.0259</v>
      </c>
      <c r="I1193" s="83">
        <v>1</v>
      </c>
      <c r="J1193" s="79">
        <v>10</v>
      </c>
      <c r="K1193" s="79"/>
      <c r="L1193" s="80">
        <v>0</v>
      </c>
      <c r="M1193" s="80"/>
      <c r="N1193" s="86">
        <v>398</v>
      </c>
      <c r="O1193" s="86"/>
      <c r="P1193" s="79">
        <v>8</v>
      </c>
      <c r="Q1193" s="79"/>
    </row>
    <row r="1194" ht="15" spans="1:17">
      <c r="A1194" s="89">
        <v>43469</v>
      </c>
      <c r="B1194" s="78"/>
      <c r="C1194" s="79">
        <v>4</v>
      </c>
      <c r="D1194" s="88"/>
      <c r="E1194" s="79">
        <v>28</v>
      </c>
      <c r="F1194" s="80">
        <v>0.0137</v>
      </c>
      <c r="G1194" s="79">
        <v>60</v>
      </c>
      <c r="H1194" s="80">
        <v>0.0137</v>
      </c>
      <c r="I1194" s="83">
        <v>1</v>
      </c>
      <c r="J1194" s="79">
        <v>19</v>
      </c>
      <c r="K1194" s="79"/>
      <c r="L1194" s="80">
        <v>0</v>
      </c>
      <c r="M1194" s="80"/>
      <c r="N1194" s="86">
        <v>107</v>
      </c>
      <c r="O1194" s="86"/>
      <c r="P1194" s="79">
        <v>7</v>
      </c>
      <c r="Q1194" s="79"/>
    </row>
    <row r="1195" ht="15" spans="1:17">
      <c r="A1195" s="89">
        <v>43469</v>
      </c>
      <c r="B1195" s="78"/>
      <c r="C1195" s="79">
        <v>2</v>
      </c>
      <c r="D1195" s="88"/>
      <c r="E1195" s="79">
        <v>56</v>
      </c>
      <c r="F1195" s="80">
        <v>0.0411</v>
      </c>
      <c r="G1195" s="79">
        <v>2</v>
      </c>
      <c r="H1195" s="80">
        <v>0.0411</v>
      </c>
      <c r="I1195" s="83">
        <v>1</v>
      </c>
      <c r="J1195" s="79">
        <v>27</v>
      </c>
      <c r="K1195" s="79"/>
      <c r="L1195" s="80">
        <v>0</v>
      </c>
      <c r="M1195" s="80"/>
      <c r="N1195" s="86">
        <v>243</v>
      </c>
      <c r="O1195" s="86"/>
      <c r="P1195" s="79">
        <v>4</v>
      </c>
      <c r="Q1195" s="79"/>
    </row>
    <row r="1196" ht="15" spans="1:17">
      <c r="A1196" s="89">
        <v>43469</v>
      </c>
      <c r="B1196" s="78"/>
      <c r="C1196" s="79">
        <v>5</v>
      </c>
      <c r="D1196" s="88"/>
      <c r="E1196" s="79">
        <v>55</v>
      </c>
      <c r="F1196" s="80">
        <v>0.5616</v>
      </c>
      <c r="G1196" s="79">
        <v>88</v>
      </c>
      <c r="H1196" s="80">
        <v>0.5616</v>
      </c>
      <c r="I1196" s="83">
        <v>1</v>
      </c>
      <c r="J1196" s="79">
        <v>30</v>
      </c>
      <c r="K1196" s="79"/>
      <c r="L1196" s="80">
        <v>0.1563</v>
      </c>
      <c r="M1196" s="80"/>
      <c r="N1196" s="86">
        <v>413</v>
      </c>
      <c r="O1196" s="86"/>
      <c r="P1196" s="79">
        <v>20</v>
      </c>
      <c r="Q1196" s="79"/>
    </row>
    <row r="1197" ht="15" spans="1:17">
      <c r="A1197" s="89">
        <v>43469</v>
      </c>
      <c r="B1197" s="78"/>
      <c r="C1197" s="79">
        <v>1</v>
      </c>
      <c r="D1197" s="88"/>
      <c r="E1197" s="79">
        <v>42</v>
      </c>
      <c r="F1197" s="80">
        <v>0.0959</v>
      </c>
      <c r="G1197" s="79">
        <v>24</v>
      </c>
      <c r="H1197" s="80">
        <v>0.0959</v>
      </c>
      <c r="I1197" s="83">
        <v>1</v>
      </c>
      <c r="J1197" s="79">
        <v>20</v>
      </c>
      <c r="K1197" s="79"/>
      <c r="L1197" s="80">
        <v>0</v>
      </c>
      <c r="M1197" s="80"/>
      <c r="N1197" s="86">
        <v>493</v>
      </c>
      <c r="O1197" s="86"/>
      <c r="P1197" s="79">
        <v>10</v>
      </c>
      <c r="Q1197" s="79"/>
    </row>
    <row r="1198" ht="15" spans="1:17">
      <c r="A1198" s="89">
        <v>43469</v>
      </c>
      <c r="B1198" s="78"/>
      <c r="C1198" s="79">
        <v>6</v>
      </c>
      <c r="D1198" s="88"/>
      <c r="E1198" s="79">
        <v>41</v>
      </c>
      <c r="F1198" s="80">
        <v>0.1096</v>
      </c>
      <c r="G1198" s="79">
        <v>2</v>
      </c>
      <c r="H1198" s="80">
        <v>0.1096</v>
      </c>
      <c r="I1198" s="83">
        <v>1</v>
      </c>
      <c r="J1198" s="79">
        <v>6</v>
      </c>
      <c r="K1198" s="79"/>
      <c r="L1198" s="80">
        <v>0.1429</v>
      </c>
      <c r="M1198" s="80"/>
      <c r="N1198" s="86">
        <v>254</v>
      </c>
      <c r="O1198" s="86"/>
      <c r="P1198" s="79">
        <v>9</v>
      </c>
      <c r="Q1198" s="79"/>
    </row>
    <row r="1199" ht="15" spans="1:17">
      <c r="A1199" s="89">
        <v>43469</v>
      </c>
      <c r="B1199" s="78"/>
      <c r="C1199" s="79">
        <v>7</v>
      </c>
      <c r="D1199" s="88"/>
      <c r="E1199" s="79">
        <v>40</v>
      </c>
      <c r="F1199" s="80">
        <v>0.0685</v>
      </c>
      <c r="G1199" s="79">
        <v>28</v>
      </c>
      <c r="H1199" s="80">
        <v>0.0685</v>
      </c>
      <c r="I1199" s="83">
        <v>1</v>
      </c>
      <c r="J1199" s="79">
        <v>25</v>
      </c>
      <c r="K1199" s="79"/>
      <c r="L1199" s="80">
        <v>1</v>
      </c>
      <c r="M1199" s="80"/>
      <c r="N1199" s="86">
        <v>417</v>
      </c>
      <c r="O1199" s="86"/>
      <c r="P1199" s="79">
        <v>15</v>
      </c>
      <c r="Q1199" s="79"/>
    </row>
    <row r="1200" ht="15" spans="1:17">
      <c r="A1200" s="89">
        <v>43469</v>
      </c>
      <c r="B1200" s="78"/>
      <c r="C1200" s="79">
        <v>10</v>
      </c>
      <c r="D1200" s="88"/>
      <c r="E1200" s="79">
        <v>94</v>
      </c>
      <c r="F1200" s="80">
        <v>0.1096</v>
      </c>
      <c r="G1200" s="79">
        <v>67</v>
      </c>
      <c r="H1200" s="80">
        <v>0.1096</v>
      </c>
      <c r="I1200" s="83">
        <v>1</v>
      </c>
      <c r="J1200" s="79">
        <v>3</v>
      </c>
      <c r="K1200" s="79"/>
      <c r="L1200" s="80">
        <v>0</v>
      </c>
      <c r="M1200" s="80"/>
      <c r="N1200" s="86">
        <v>108</v>
      </c>
      <c r="O1200" s="86"/>
      <c r="P1200" s="79">
        <v>16</v>
      </c>
      <c r="Q1200" s="79"/>
    </row>
    <row r="1201" ht="15" spans="1:17">
      <c r="A1201" s="89">
        <v>43470</v>
      </c>
      <c r="B1201" s="78"/>
      <c r="C1201" s="79">
        <v>4</v>
      </c>
      <c r="D1201" s="88"/>
      <c r="E1201" s="79">
        <v>54</v>
      </c>
      <c r="F1201" s="80">
        <v>0.0217</v>
      </c>
      <c r="G1201" s="79">
        <v>49</v>
      </c>
      <c r="H1201" s="80">
        <v>0.0217</v>
      </c>
      <c r="I1201" s="83">
        <v>1</v>
      </c>
      <c r="J1201" s="79">
        <v>26</v>
      </c>
      <c r="K1201" s="79"/>
      <c r="L1201" s="80">
        <v>0</v>
      </c>
      <c r="M1201" s="80"/>
      <c r="N1201" s="86">
        <v>302</v>
      </c>
      <c r="O1201" s="86"/>
      <c r="P1201" s="79">
        <v>18</v>
      </c>
      <c r="Q1201" s="79"/>
    </row>
    <row r="1202" ht="15" spans="1:17">
      <c r="A1202" s="89">
        <v>43470</v>
      </c>
      <c r="B1202" s="78"/>
      <c r="C1202" s="79">
        <v>2</v>
      </c>
      <c r="D1202" s="88"/>
      <c r="E1202" s="79">
        <v>62</v>
      </c>
      <c r="F1202" s="80">
        <v>0.0217</v>
      </c>
      <c r="G1202" s="79">
        <v>49</v>
      </c>
      <c r="H1202" s="80">
        <v>0.0217</v>
      </c>
      <c r="I1202" s="83">
        <v>1</v>
      </c>
      <c r="J1202" s="79">
        <v>15</v>
      </c>
      <c r="K1202" s="79"/>
      <c r="L1202" s="80">
        <v>0</v>
      </c>
      <c r="M1202" s="80"/>
      <c r="N1202" s="86">
        <v>485</v>
      </c>
      <c r="O1202" s="86"/>
      <c r="P1202" s="79">
        <v>17</v>
      </c>
      <c r="Q1202" s="79"/>
    </row>
    <row r="1203" ht="15" spans="1:17">
      <c r="A1203" s="89">
        <v>43470</v>
      </c>
      <c r="B1203" s="78"/>
      <c r="C1203" s="79">
        <v>5</v>
      </c>
      <c r="D1203" s="88"/>
      <c r="E1203" s="79">
        <v>15</v>
      </c>
      <c r="F1203" s="80">
        <v>0.1739</v>
      </c>
      <c r="G1203" s="79">
        <v>87</v>
      </c>
      <c r="H1203" s="80">
        <v>0.1739</v>
      </c>
      <c r="I1203" s="83">
        <v>0.5</v>
      </c>
      <c r="J1203" s="79">
        <v>7</v>
      </c>
      <c r="K1203" s="79"/>
      <c r="L1203" s="80">
        <v>0.1667</v>
      </c>
      <c r="M1203" s="80"/>
      <c r="N1203" s="86">
        <v>485</v>
      </c>
      <c r="O1203" s="86"/>
      <c r="P1203" s="79">
        <v>20</v>
      </c>
      <c r="Q1203" s="79"/>
    </row>
    <row r="1204" ht="15" spans="1:17">
      <c r="A1204" s="89">
        <v>43470</v>
      </c>
      <c r="B1204" s="78"/>
      <c r="C1204" s="79">
        <v>1</v>
      </c>
      <c r="D1204" s="88"/>
      <c r="E1204" s="79">
        <v>66</v>
      </c>
      <c r="F1204" s="80">
        <v>0.1522</v>
      </c>
      <c r="G1204" s="79">
        <v>81</v>
      </c>
      <c r="H1204" s="80">
        <v>0.1522</v>
      </c>
      <c r="I1204" s="83">
        <v>1</v>
      </c>
      <c r="J1204" s="79">
        <v>23</v>
      </c>
      <c r="K1204" s="79"/>
      <c r="L1204" s="80">
        <v>0</v>
      </c>
      <c r="M1204" s="80"/>
      <c r="N1204" s="86">
        <v>206</v>
      </c>
      <c r="O1204" s="86"/>
      <c r="P1204" s="79">
        <v>8</v>
      </c>
      <c r="Q1204" s="79"/>
    </row>
    <row r="1205" ht="15" spans="1:17">
      <c r="A1205" s="89">
        <v>43470</v>
      </c>
      <c r="B1205" s="78"/>
      <c r="C1205" s="79">
        <v>6</v>
      </c>
      <c r="D1205" s="88"/>
      <c r="E1205" s="79">
        <v>44</v>
      </c>
      <c r="F1205" s="80">
        <v>0.3913</v>
      </c>
      <c r="G1205" s="79">
        <v>5</v>
      </c>
      <c r="H1205" s="80">
        <v>0.3913</v>
      </c>
      <c r="I1205" s="83">
        <v>1</v>
      </c>
      <c r="J1205" s="79">
        <v>17</v>
      </c>
      <c r="K1205" s="79"/>
      <c r="L1205" s="80">
        <v>0.4167</v>
      </c>
      <c r="M1205" s="80"/>
      <c r="N1205" s="86">
        <v>469</v>
      </c>
      <c r="O1205" s="86"/>
      <c r="P1205" s="79">
        <v>10</v>
      </c>
      <c r="Q1205" s="79"/>
    </row>
    <row r="1206" ht="15" spans="1:17">
      <c r="A1206" s="89">
        <v>43470</v>
      </c>
      <c r="B1206" s="78"/>
      <c r="C1206" s="79">
        <v>7</v>
      </c>
      <c r="D1206" s="88"/>
      <c r="E1206" s="79">
        <v>33</v>
      </c>
      <c r="F1206" s="80">
        <v>0.1522</v>
      </c>
      <c r="G1206" s="79">
        <v>44</v>
      </c>
      <c r="H1206" s="80">
        <v>0.1522</v>
      </c>
      <c r="I1206" s="83">
        <v>1</v>
      </c>
      <c r="J1206" s="79">
        <v>19</v>
      </c>
      <c r="K1206" s="79"/>
      <c r="L1206" s="80">
        <v>0</v>
      </c>
      <c r="M1206" s="80"/>
      <c r="N1206" s="86">
        <v>221</v>
      </c>
      <c r="O1206" s="86"/>
      <c r="P1206" s="79">
        <v>16</v>
      </c>
      <c r="Q1206" s="79"/>
    </row>
    <row r="1207" ht="15" spans="1:17">
      <c r="A1207" s="89">
        <v>43470</v>
      </c>
      <c r="B1207" s="78"/>
      <c r="C1207" s="79">
        <v>10</v>
      </c>
      <c r="D1207" s="88"/>
      <c r="E1207" s="79">
        <v>35</v>
      </c>
      <c r="F1207" s="80">
        <v>0.087</v>
      </c>
      <c r="G1207" s="79">
        <v>50</v>
      </c>
      <c r="H1207" s="80">
        <v>0.087</v>
      </c>
      <c r="I1207" s="83">
        <v>1</v>
      </c>
      <c r="J1207" s="79">
        <v>22</v>
      </c>
      <c r="K1207" s="79"/>
      <c r="L1207" s="80">
        <v>0</v>
      </c>
      <c r="M1207" s="80"/>
      <c r="N1207" s="86">
        <v>99</v>
      </c>
      <c r="O1207" s="86"/>
      <c r="P1207" s="79">
        <v>4</v>
      </c>
      <c r="Q1207" s="79"/>
    </row>
    <row r="1208" ht="15" spans="1:17">
      <c r="A1208" s="89">
        <v>43471</v>
      </c>
      <c r="B1208" s="78"/>
      <c r="C1208" s="79">
        <v>4</v>
      </c>
      <c r="D1208" s="88"/>
      <c r="E1208" s="79">
        <v>82</v>
      </c>
      <c r="F1208" s="80">
        <v>0.1026</v>
      </c>
      <c r="G1208" s="79">
        <v>15</v>
      </c>
      <c r="H1208" s="80">
        <v>0.1026</v>
      </c>
      <c r="I1208" s="83">
        <v>1</v>
      </c>
      <c r="J1208" s="79">
        <v>17</v>
      </c>
      <c r="K1208" s="79"/>
      <c r="L1208" s="80">
        <v>0</v>
      </c>
      <c r="M1208" s="80"/>
      <c r="N1208" s="86">
        <v>186</v>
      </c>
      <c r="O1208" s="86"/>
      <c r="P1208" s="79">
        <v>8</v>
      </c>
      <c r="Q1208" s="79"/>
    </row>
    <row r="1209" ht="15" spans="1:17">
      <c r="A1209" s="89">
        <v>43471</v>
      </c>
      <c r="B1209" s="78"/>
      <c r="C1209" s="79">
        <v>1</v>
      </c>
      <c r="D1209" s="88"/>
      <c r="E1209" s="79">
        <v>94</v>
      </c>
      <c r="F1209" s="80">
        <v>0.4615</v>
      </c>
      <c r="G1209" s="79">
        <v>64</v>
      </c>
      <c r="H1209" s="80">
        <v>0.4615</v>
      </c>
      <c r="I1209" s="83">
        <v>1</v>
      </c>
      <c r="J1209" s="79">
        <v>18</v>
      </c>
      <c r="K1209" s="79"/>
      <c r="L1209" s="80">
        <v>0</v>
      </c>
      <c r="M1209" s="80"/>
      <c r="N1209" s="86">
        <v>376</v>
      </c>
      <c r="O1209" s="86"/>
      <c r="P1209" s="79">
        <v>3</v>
      </c>
      <c r="Q1209" s="79"/>
    </row>
    <row r="1210" ht="15" spans="1:17">
      <c r="A1210" s="89">
        <v>43471</v>
      </c>
      <c r="B1210" s="78"/>
      <c r="C1210" s="79">
        <v>6</v>
      </c>
      <c r="D1210" s="88"/>
      <c r="E1210" s="79">
        <v>40</v>
      </c>
      <c r="F1210" s="80">
        <v>0.3846</v>
      </c>
      <c r="G1210" s="79">
        <v>99</v>
      </c>
      <c r="H1210" s="80">
        <v>0.3846</v>
      </c>
      <c r="I1210" s="83">
        <v>1</v>
      </c>
      <c r="J1210" s="79">
        <v>7</v>
      </c>
      <c r="K1210" s="79"/>
      <c r="L1210" s="80">
        <v>0.2</v>
      </c>
      <c r="M1210" s="80"/>
      <c r="N1210" s="86">
        <v>482</v>
      </c>
      <c r="O1210" s="86"/>
      <c r="P1210" s="79">
        <v>10</v>
      </c>
      <c r="Q1210" s="79"/>
    </row>
    <row r="1211" ht="15" spans="1:17">
      <c r="A1211" s="89">
        <v>43471</v>
      </c>
      <c r="B1211" s="78"/>
      <c r="C1211" s="79">
        <v>7</v>
      </c>
      <c r="D1211" s="88"/>
      <c r="E1211" s="79">
        <v>70</v>
      </c>
      <c r="F1211" s="80">
        <v>0.0256</v>
      </c>
      <c r="G1211" s="79">
        <v>42</v>
      </c>
      <c r="H1211" s="80">
        <v>0.0256</v>
      </c>
      <c r="I1211" s="83">
        <v>1</v>
      </c>
      <c r="J1211" s="79">
        <v>14</v>
      </c>
      <c r="K1211" s="79"/>
      <c r="L1211" s="80">
        <v>2</v>
      </c>
      <c r="M1211" s="80"/>
      <c r="N1211" s="86">
        <v>452</v>
      </c>
      <c r="O1211" s="86"/>
      <c r="P1211" s="79">
        <v>10</v>
      </c>
      <c r="Q1211" s="79"/>
    </row>
    <row r="1212" ht="15" spans="1:17">
      <c r="A1212" s="89">
        <v>43471</v>
      </c>
      <c r="B1212" s="78"/>
      <c r="C1212" s="79">
        <v>10</v>
      </c>
      <c r="D1212" s="88"/>
      <c r="E1212" s="79">
        <v>19</v>
      </c>
      <c r="F1212" s="80">
        <v>0.0256</v>
      </c>
      <c r="G1212" s="79">
        <v>1</v>
      </c>
      <c r="H1212" s="80">
        <v>0.0256</v>
      </c>
      <c r="I1212" s="83">
        <v>1</v>
      </c>
      <c r="J1212" s="79">
        <v>17</v>
      </c>
      <c r="K1212" s="79"/>
      <c r="L1212" s="80">
        <v>0</v>
      </c>
      <c r="M1212" s="80"/>
      <c r="N1212" s="86">
        <v>229</v>
      </c>
      <c r="O1212" s="86"/>
      <c r="P1212" s="79">
        <v>10</v>
      </c>
      <c r="Q1212" s="79"/>
    </row>
    <row r="1213" ht="15" spans="1:17">
      <c r="A1213" s="89">
        <v>43472</v>
      </c>
      <c r="B1213" s="78"/>
      <c r="C1213" s="79">
        <v>4</v>
      </c>
      <c r="D1213" s="88"/>
      <c r="E1213" s="79">
        <v>86</v>
      </c>
      <c r="F1213" s="80">
        <v>0.0444</v>
      </c>
      <c r="G1213" s="79">
        <v>81</v>
      </c>
      <c r="H1213" s="80">
        <v>0.0444</v>
      </c>
      <c r="I1213" s="83">
        <v>1</v>
      </c>
      <c r="J1213" s="79">
        <v>5</v>
      </c>
      <c r="K1213" s="79"/>
      <c r="L1213" s="80">
        <v>0</v>
      </c>
      <c r="M1213" s="80"/>
      <c r="N1213" s="86">
        <v>71</v>
      </c>
      <c r="O1213" s="86"/>
      <c r="P1213" s="79">
        <v>3</v>
      </c>
      <c r="Q1213" s="79"/>
    </row>
    <row r="1214" ht="15" spans="1:17">
      <c r="A1214" s="89">
        <v>43472</v>
      </c>
      <c r="B1214" s="78"/>
      <c r="C1214" s="79">
        <v>2</v>
      </c>
      <c r="D1214" s="88"/>
      <c r="E1214" s="79">
        <v>47</v>
      </c>
      <c r="F1214" s="80">
        <v>0.0222</v>
      </c>
      <c r="G1214" s="79">
        <v>43</v>
      </c>
      <c r="H1214" s="80">
        <v>0.0222</v>
      </c>
      <c r="I1214" s="83">
        <v>1</v>
      </c>
      <c r="J1214" s="79">
        <v>23</v>
      </c>
      <c r="K1214" s="79"/>
      <c r="L1214" s="80">
        <v>0</v>
      </c>
      <c r="M1214" s="80"/>
      <c r="N1214" s="86">
        <v>439</v>
      </c>
      <c r="O1214" s="86"/>
      <c r="P1214" s="79">
        <v>7</v>
      </c>
      <c r="Q1214" s="79"/>
    </row>
    <row r="1215" ht="15" spans="1:17">
      <c r="A1215" s="89">
        <v>43472</v>
      </c>
      <c r="B1215" s="78"/>
      <c r="C1215" s="79">
        <v>1</v>
      </c>
      <c r="D1215" s="88"/>
      <c r="E1215" s="79">
        <v>40</v>
      </c>
      <c r="F1215" s="80">
        <v>0.2444</v>
      </c>
      <c r="G1215" s="79">
        <v>83</v>
      </c>
      <c r="H1215" s="80">
        <v>0.2444</v>
      </c>
      <c r="I1215" s="83">
        <v>1</v>
      </c>
      <c r="J1215" s="79">
        <v>26</v>
      </c>
      <c r="K1215" s="79"/>
      <c r="L1215" s="80">
        <v>0</v>
      </c>
      <c r="M1215" s="80"/>
      <c r="N1215" s="86">
        <v>252</v>
      </c>
      <c r="O1215" s="86"/>
      <c r="P1215" s="79">
        <v>19</v>
      </c>
      <c r="Q1215" s="79"/>
    </row>
    <row r="1216" ht="15" spans="1:17">
      <c r="A1216" s="89">
        <v>43472</v>
      </c>
      <c r="B1216" s="78"/>
      <c r="C1216" s="79">
        <v>6</v>
      </c>
      <c r="D1216" s="88"/>
      <c r="E1216" s="79">
        <v>99</v>
      </c>
      <c r="F1216" s="80">
        <v>0.4</v>
      </c>
      <c r="G1216" s="79">
        <v>84</v>
      </c>
      <c r="H1216" s="80">
        <v>0.4</v>
      </c>
      <c r="I1216" s="83">
        <v>1</v>
      </c>
      <c r="J1216" s="79">
        <v>16</v>
      </c>
      <c r="K1216" s="79"/>
      <c r="L1216" s="80">
        <v>0.1429</v>
      </c>
      <c r="M1216" s="80"/>
      <c r="N1216" s="86">
        <v>340</v>
      </c>
      <c r="O1216" s="86"/>
      <c r="P1216" s="79">
        <v>17</v>
      </c>
      <c r="Q1216" s="79"/>
    </row>
    <row r="1217" ht="15" spans="1:17">
      <c r="A1217" s="89">
        <v>43472</v>
      </c>
      <c r="B1217" s="78"/>
      <c r="C1217" s="79">
        <v>7</v>
      </c>
      <c r="D1217" s="88"/>
      <c r="E1217" s="79">
        <v>9</v>
      </c>
      <c r="F1217" s="80">
        <v>0.1333</v>
      </c>
      <c r="G1217" s="79">
        <v>87</v>
      </c>
      <c r="H1217" s="80">
        <v>0.1333</v>
      </c>
      <c r="I1217" s="83">
        <v>1</v>
      </c>
      <c r="J1217" s="79">
        <v>12</v>
      </c>
      <c r="K1217" s="79"/>
      <c r="L1217" s="80">
        <v>2</v>
      </c>
      <c r="M1217" s="80"/>
      <c r="N1217" s="86">
        <v>55</v>
      </c>
      <c r="O1217" s="86"/>
      <c r="P1217" s="79">
        <v>16</v>
      </c>
      <c r="Q1217" s="79"/>
    </row>
    <row r="1218" ht="15" spans="1:17">
      <c r="A1218" s="89">
        <v>43472</v>
      </c>
      <c r="B1218" s="78"/>
      <c r="C1218" s="79">
        <v>10</v>
      </c>
      <c r="D1218" s="88"/>
      <c r="E1218" s="79">
        <v>48</v>
      </c>
      <c r="F1218" s="80">
        <v>0.1556</v>
      </c>
      <c r="G1218" s="79">
        <v>20</v>
      </c>
      <c r="H1218" s="80">
        <v>0.1556</v>
      </c>
      <c r="I1218" s="83">
        <v>0.86</v>
      </c>
      <c r="J1218" s="79">
        <v>13</v>
      </c>
      <c r="K1218" s="79"/>
      <c r="L1218" s="80">
        <v>0</v>
      </c>
      <c r="M1218" s="80"/>
      <c r="N1218" s="86">
        <v>445</v>
      </c>
      <c r="O1218" s="86"/>
      <c r="P1218" s="79">
        <v>5</v>
      </c>
      <c r="Q1218" s="79"/>
    </row>
    <row r="1219" ht="15" spans="1:17">
      <c r="A1219" s="89">
        <v>43473</v>
      </c>
      <c r="B1219" s="78"/>
      <c r="C1219" s="79">
        <v>4</v>
      </c>
      <c r="D1219" s="88"/>
      <c r="E1219" s="79">
        <v>27</v>
      </c>
      <c r="F1219" s="80">
        <v>0.0278</v>
      </c>
      <c r="G1219" s="79">
        <v>96</v>
      </c>
      <c r="H1219" s="80">
        <v>0.0278</v>
      </c>
      <c r="I1219" s="83">
        <v>1</v>
      </c>
      <c r="J1219" s="79">
        <v>20</v>
      </c>
      <c r="K1219" s="79"/>
      <c r="L1219" s="80">
        <v>0</v>
      </c>
      <c r="M1219" s="80"/>
      <c r="N1219" s="86">
        <v>175</v>
      </c>
      <c r="O1219" s="86"/>
      <c r="P1219" s="79">
        <v>11</v>
      </c>
      <c r="Q1219" s="79"/>
    </row>
    <row r="1220" ht="15" spans="1:17">
      <c r="A1220" s="89">
        <v>43473</v>
      </c>
      <c r="B1220" s="78"/>
      <c r="C1220" s="79">
        <v>1</v>
      </c>
      <c r="D1220" s="88"/>
      <c r="E1220" s="79">
        <v>84</v>
      </c>
      <c r="F1220" s="80">
        <v>0.3333</v>
      </c>
      <c r="G1220" s="79">
        <v>0</v>
      </c>
      <c r="H1220" s="80">
        <v>0.3333</v>
      </c>
      <c r="I1220" s="83">
        <v>1</v>
      </c>
      <c r="J1220" s="79">
        <v>12</v>
      </c>
      <c r="K1220" s="79"/>
      <c r="L1220" s="80">
        <v>0.3333</v>
      </c>
      <c r="M1220" s="80"/>
      <c r="N1220" s="86">
        <v>304</v>
      </c>
      <c r="O1220" s="86"/>
      <c r="P1220" s="79">
        <v>7</v>
      </c>
      <c r="Q1220" s="79"/>
    </row>
    <row r="1221" ht="15" spans="1:17">
      <c r="A1221" s="89">
        <v>43473</v>
      </c>
      <c r="B1221" s="78"/>
      <c r="C1221" s="79">
        <v>6</v>
      </c>
      <c r="D1221" s="88"/>
      <c r="E1221" s="79">
        <v>48</v>
      </c>
      <c r="F1221" s="80">
        <v>0.4722</v>
      </c>
      <c r="G1221" s="79">
        <v>19</v>
      </c>
      <c r="H1221" s="80">
        <v>0.4722</v>
      </c>
      <c r="I1221" s="83">
        <v>1</v>
      </c>
      <c r="J1221" s="79">
        <v>25</v>
      </c>
      <c r="K1221" s="79"/>
      <c r="L1221" s="80">
        <v>0.4286</v>
      </c>
      <c r="M1221" s="80"/>
      <c r="N1221" s="86">
        <v>120</v>
      </c>
      <c r="O1221" s="86"/>
      <c r="P1221" s="79">
        <v>20</v>
      </c>
      <c r="Q1221" s="79"/>
    </row>
    <row r="1222" ht="15" spans="1:17">
      <c r="A1222" s="89">
        <v>43473</v>
      </c>
      <c r="B1222" s="78"/>
      <c r="C1222" s="79">
        <v>7</v>
      </c>
      <c r="D1222" s="88"/>
      <c r="E1222" s="79">
        <v>76</v>
      </c>
      <c r="F1222" s="80">
        <v>0.0833</v>
      </c>
      <c r="G1222" s="79">
        <v>76</v>
      </c>
      <c r="H1222" s="80">
        <v>0.0833</v>
      </c>
      <c r="I1222" s="83">
        <v>1</v>
      </c>
      <c r="J1222" s="79">
        <v>18</v>
      </c>
      <c r="K1222" s="79"/>
      <c r="L1222" s="80">
        <v>0.6667</v>
      </c>
      <c r="M1222" s="80"/>
      <c r="N1222" s="86">
        <v>295</v>
      </c>
      <c r="O1222" s="86"/>
      <c r="P1222" s="79">
        <v>18</v>
      </c>
      <c r="Q1222" s="79"/>
    </row>
    <row r="1223" ht="15" spans="1:17">
      <c r="A1223" s="89">
        <v>43473</v>
      </c>
      <c r="B1223" s="78"/>
      <c r="C1223" s="79">
        <v>10</v>
      </c>
      <c r="D1223" s="88"/>
      <c r="E1223" s="79">
        <v>84</v>
      </c>
      <c r="F1223" s="80">
        <v>0.0833</v>
      </c>
      <c r="G1223" s="79">
        <v>72</v>
      </c>
      <c r="H1223" s="80">
        <v>0.0833</v>
      </c>
      <c r="I1223" s="83">
        <v>1</v>
      </c>
      <c r="J1223" s="79">
        <v>25</v>
      </c>
      <c r="K1223" s="79"/>
      <c r="L1223" s="80">
        <v>0.3333</v>
      </c>
      <c r="M1223" s="80"/>
      <c r="N1223" s="86">
        <v>148</v>
      </c>
      <c r="O1223" s="86"/>
      <c r="P1223" s="79">
        <v>12</v>
      </c>
      <c r="Q1223" s="79"/>
    </row>
    <row r="1224" ht="15" spans="1:17">
      <c r="A1224" s="89">
        <v>43474</v>
      </c>
      <c r="B1224" s="78"/>
      <c r="C1224" s="79">
        <v>4</v>
      </c>
      <c r="D1224" s="88"/>
      <c r="E1224" s="79">
        <v>85</v>
      </c>
      <c r="F1224" s="80">
        <v>0.012</v>
      </c>
      <c r="G1224" s="79">
        <v>99</v>
      </c>
      <c r="H1224" s="80">
        <v>0.012</v>
      </c>
      <c r="I1224" s="83">
        <v>1</v>
      </c>
      <c r="J1224" s="79">
        <v>30</v>
      </c>
      <c r="K1224" s="79"/>
      <c r="L1224" s="80">
        <v>0</v>
      </c>
      <c r="M1224" s="80"/>
      <c r="N1224" s="86">
        <v>154</v>
      </c>
      <c r="O1224" s="86"/>
      <c r="P1224" s="79">
        <v>18</v>
      </c>
      <c r="Q1224" s="79"/>
    </row>
    <row r="1225" ht="15" spans="1:17">
      <c r="A1225" s="89">
        <v>43474</v>
      </c>
      <c r="B1225" s="78"/>
      <c r="C1225" s="79">
        <v>2</v>
      </c>
      <c r="D1225" s="88"/>
      <c r="E1225" s="79">
        <v>81</v>
      </c>
      <c r="F1225" s="80">
        <v>0.0241</v>
      </c>
      <c r="G1225" s="79">
        <v>75</v>
      </c>
      <c r="H1225" s="80">
        <v>0.0241</v>
      </c>
      <c r="I1225" s="83">
        <v>1</v>
      </c>
      <c r="J1225" s="79">
        <v>20</v>
      </c>
      <c r="K1225" s="79"/>
      <c r="L1225" s="80">
        <v>0</v>
      </c>
      <c r="M1225" s="80"/>
      <c r="N1225" s="86">
        <v>305</v>
      </c>
      <c r="O1225" s="86"/>
      <c r="P1225" s="79">
        <v>11</v>
      </c>
      <c r="Q1225" s="79"/>
    </row>
    <row r="1226" ht="15" spans="1:17">
      <c r="A1226" s="89">
        <v>43474</v>
      </c>
      <c r="B1226" s="78"/>
      <c r="C1226" s="79">
        <v>5</v>
      </c>
      <c r="D1226" s="88"/>
      <c r="E1226" s="79">
        <v>96</v>
      </c>
      <c r="F1226" s="80">
        <v>0.4337</v>
      </c>
      <c r="G1226" s="79">
        <v>13</v>
      </c>
      <c r="H1226" s="80">
        <v>0.4337</v>
      </c>
      <c r="I1226" s="83">
        <v>1</v>
      </c>
      <c r="J1226" s="79">
        <v>12</v>
      </c>
      <c r="K1226" s="79"/>
      <c r="L1226" s="80">
        <v>0.1538</v>
      </c>
      <c r="M1226" s="80"/>
      <c r="N1226" s="86">
        <v>406</v>
      </c>
      <c r="O1226" s="86"/>
      <c r="P1226" s="79">
        <v>9</v>
      </c>
      <c r="Q1226" s="79"/>
    </row>
    <row r="1227" ht="15" spans="1:17">
      <c r="A1227" s="89">
        <v>43474</v>
      </c>
      <c r="B1227" s="78"/>
      <c r="C1227" s="79">
        <v>1</v>
      </c>
      <c r="D1227" s="88"/>
      <c r="E1227" s="79">
        <v>54</v>
      </c>
      <c r="F1227" s="80">
        <v>0.1446</v>
      </c>
      <c r="G1227" s="79">
        <v>43</v>
      </c>
      <c r="H1227" s="80">
        <v>0.1446</v>
      </c>
      <c r="I1227" s="83">
        <v>1</v>
      </c>
      <c r="J1227" s="79">
        <v>9</v>
      </c>
      <c r="K1227" s="79"/>
      <c r="L1227" s="80">
        <v>0</v>
      </c>
      <c r="M1227" s="80"/>
      <c r="N1227" s="86">
        <v>338</v>
      </c>
      <c r="O1227" s="86"/>
      <c r="P1227" s="79">
        <v>13</v>
      </c>
      <c r="Q1227" s="79"/>
    </row>
    <row r="1228" ht="15" spans="1:17">
      <c r="A1228" s="89">
        <v>43474</v>
      </c>
      <c r="B1228" s="78"/>
      <c r="C1228" s="79">
        <v>6</v>
      </c>
      <c r="D1228" s="88"/>
      <c r="E1228" s="79">
        <v>47</v>
      </c>
      <c r="F1228" s="80">
        <v>0.1928</v>
      </c>
      <c r="G1228" s="79">
        <v>55</v>
      </c>
      <c r="H1228" s="80">
        <v>0.1928</v>
      </c>
      <c r="I1228" s="83">
        <v>1</v>
      </c>
      <c r="J1228" s="79">
        <v>24</v>
      </c>
      <c r="K1228" s="79"/>
      <c r="L1228" s="80">
        <v>0.0833</v>
      </c>
      <c r="M1228" s="80"/>
      <c r="N1228" s="86">
        <v>278</v>
      </c>
      <c r="O1228" s="86"/>
      <c r="P1228" s="79">
        <v>10</v>
      </c>
      <c r="Q1228" s="79"/>
    </row>
    <row r="1229" ht="15" spans="1:17">
      <c r="A1229" s="89">
        <v>43474</v>
      </c>
      <c r="B1229" s="78"/>
      <c r="C1229" s="79">
        <v>7</v>
      </c>
      <c r="D1229" s="88"/>
      <c r="E1229" s="79">
        <v>30</v>
      </c>
      <c r="F1229" s="80">
        <v>0.0964</v>
      </c>
      <c r="G1229" s="79">
        <v>70</v>
      </c>
      <c r="H1229" s="80">
        <v>0.0964</v>
      </c>
      <c r="I1229" s="83">
        <v>1</v>
      </c>
      <c r="J1229" s="79">
        <v>2</v>
      </c>
      <c r="K1229" s="79"/>
      <c r="L1229" s="80">
        <v>0.25</v>
      </c>
      <c r="M1229" s="80"/>
      <c r="N1229" s="86">
        <v>364</v>
      </c>
      <c r="O1229" s="86"/>
      <c r="P1229" s="79">
        <v>17</v>
      </c>
      <c r="Q1229" s="79"/>
    </row>
    <row r="1230" ht="15" spans="1:17">
      <c r="A1230" s="89">
        <v>43474</v>
      </c>
      <c r="B1230" s="78"/>
      <c r="C1230" s="79">
        <v>10</v>
      </c>
      <c r="D1230" s="88"/>
      <c r="E1230" s="79">
        <v>96</v>
      </c>
      <c r="F1230" s="80">
        <v>0.0964</v>
      </c>
      <c r="G1230" s="79">
        <v>64</v>
      </c>
      <c r="H1230" s="80">
        <v>0.0964</v>
      </c>
      <c r="I1230" s="83">
        <v>1</v>
      </c>
      <c r="J1230" s="79">
        <v>5</v>
      </c>
      <c r="K1230" s="79"/>
      <c r="L1230" s="80">
        <v>0.3333</v>
      </c>
      <c r="M1230" s="80"/>
      <c r="N1230" s="86">
        <v>81</v>
      </c>
      <c r="O1230" s="86"/>
      <c r="P1230" s="79">
        <v>5</v>
      </c>
      <c r="Q1230" s="79"/>
    </row>
    <row r="1231" ht="15" spans="1:17">
      <c r="A1231" s="89">
        <v>43475</v>
      </c>
      <c r="B1231" s="78"/>
      <c r="C1231" s="79">
        <v>4</v>
      </c>
      <c r="D1231" s="88"/>
      <c r="E1231" s="79">
        <v>56</v>
      </c>
      <c r="F1231" s="80">
        <v>0.0412</v>
      </c>
      <c r="G1231" s="79">
        <v>7</v>
      </c>
      <c r="H1231" s="80">
        <v>0.0412</v>
      </c>
      <c r="I1231" s="83">
        <v>1</v>
      </c>
      <c r="J1231" s="79">
        <v>18</v>
      </c>
      <c r="K1231" s="79"/>
      <c r="L1231" s="80">
        <v>0</v>
      </c>
      <c r="M1231" s="80"/>
      <c r="N1231" s="86">
        <v>356</v>
      </c>
      <c r="O1231" s="86"/>
      <c r="P1231" s="79">
        <v>16</v>
      </c>
      <c r="Q1231" s="79"/>
    </row>
    <row r="1232" ht="15" spans="1:17">
      <c r="A1232" s="89">
        <v>43475</v>
      </c>
      <c r="B1232" s="78"/>
      <c r="C1232" s="79">
        <v>2</v>
      </c>
      <c r="D1232" s="88"/>
      <c r="E1232" s="79">
        <v>33</v>
      </c>
      <c r="F1232" s="80">
        <v>0.0412</v>
      </c>
      <c r="G1232" s="79">
        <v>39</v>
      </c>
      <c r="H1232" s="80">
        <v>0.0412</v>
      </c>
      <c r="I1232" s="83">
        <v>1</v>
      </c>
      <c r="J1232" s="79">
        <v>25</v>
      </c>
      <c r="K1232" s="79"/>
      <c r="L1232" s="80">
        <v>0</v>
      </c>
      <c r="M1232" s="80"/>
      <c r="N1232" s="86">
        <v>303</v>
      </c>
      <c r="O1232" s="86"/>
      <c r="P1232" s="79">
        <v>1</v>
      </c>
      <c r="Q1232" s="79"/>
    </row>
    <row r="1233" ht="15" spans="1:17">
      <c r="A1233" s="89">
        <v>43475</v>
      </c>
      <c r="B1233" s="78"/>
      <c r="C1233" s="79">
        <v>5</v>
      </c>
      <c r="D1233" s="88"/>
      <c r="E1233" s="79">
        <v>90</v>
      </c>
      <c r="F1233" s="80">
        <v>0.5155</v>
      </c>
      <c r="G1233" s="79">
        <v>100</v>
      </c>
      <c r="H1233" s="80">
        <v>0.5155</v>
      </c>
      <c r="I1233" s="83">
        <v>1</v>
      </c>
      <c r="J1233" s="79">
        <v>16</v>
      </c>
      <c r="K1233" s="79"/>
      <c r="L1233" s="80">
        <v>0.1429</v>
      </c>
      <c r="M1233" s="80"/>
      <c r="N1233" s="86">
        <v>340</v>
      </c>
      <c r="O1233" s="86"/>
      <c r="P1233" s="79">
        <v>10</v>
      </c>
      <c r="Q1233" s="79"/>
    </row>
    <row r="1234" ht="15" spans="1:17">
      <c r="A1234" s="89">
        <v>43475</v>
      </c>
      <c r="B1234" s="78"/>
      <c r="C1234" s="79">
        <v>3</v>
      </c>
      <c r="D1234" s="88"/>
      <c r="E1234" s="79">
        <v>35</v>
      </c>
      <c r="F1234" s="80">
        <v>0.0103</v>
      </c>
      <c r="G1234" s="79">
        <v>88</v>
      </c>
      <c r="H1234" s="80">
        <v>0.0103</v>
      </c>
      <c r="I1234" s="83">
        <v>1</v>
      </c>
      <c r="J1234" s="79">
        <v>13</v>
      </c>
      <c r="K1234" s="79"/>
      <c r="L1234" s="80">
        <v>0</v>
      </c>
      <c r="M1234" s="80"/>
      <c r="N1234" s="86">
        <v>136</v>
      </c>
      <c r="O1234" s="86"/>
      <c r="P1234" s="79">
        <v>10</v>
      </c>
      <c r="Q1234" s="79"/>
    </row>
    <row r="1235" ht="15" spans="1:17">
      <c r="A1235" s="89">
        <v>43475</v>
      </c>
      <c r="B1235" s="78"/>
      <c r="C1235" s="79">
        <v>1</v>
      </c>
      <c r="D1235" s="88"/>
      <c r="E1235" s="79">
        <v>85</v>
      </c>
      <c r="F1235" s="80">
        <v>0.1031</v>
      </c>
      <c r="G1235" s="79">
        <v>11</v>
      </c>
      <c r="H1235" s="80">
        <v>0.1031</v>
      </c>
      <c r="I1235" s="83">
        <v>1</v>
      </c>
      <c r="J1235" s="79">
        <v>13</v>
      </c>
      <c r="K1235" s="79"/>
      <c r="L1235" s="80">
        <v>0.3333</v>
      </c>
      <c r="M1235" s="80"/>
      <c r="N1235" s="86">
        <v>302</v>
      </c>
      <c r="O1235" s="86"/>
      <c r="P1235" s="79">
        <v>13</v>
      </c>
      <c r="Q1235" s="79"/>
    </row>
    <row r="1236" ht="15" spans="1:17">
      <c r="A1236" s="89">
        <v>43475</v>
      </c>
      <c r="B1236" s="78"/>
      <c r="C1236" s="79">
        <v>6</v>
      </c>
      <c r="D1236" s="88"/>
      <c r="E1236" s="79">
        <v>41</v>
      </c>
      <c r="F1236" s="80">
        <v>0.1546</v>
      </c>
      <c r="G1236" s="79">
        <v>88</v>
      </c>
      <c r="H1236" s="80">
        <v>0.1546</v>
      </c>
      <c r="I1236" s="83">
        <v>1</v>
      </c>
      <c r="J1236" s="79">
        <v>0</v>
      </c>
      <c r="K1236" s="79"/>
      <c r="L1236" s="80">
        <v>0.0769</v>
      </c>
      <c r="M1236" s="80"/>
      <c r="N1236" s="86">
        <v>259</v>
      </c>
      <c r="O1236" s="86"/>
      <c r="P1236" s="79">
        <v>12</v>
      </c>
      <c r="Q1236" s="79"/>
    </row>
    <row r="1237" ht="15" spans="1:17">
      <c r="A1237" s="89">
        <v>43475</v>
      </c>
      <c r="B1237" s="78"/>
      <c r="C1237" s="79">
        <v>7</v>
      </c>
      <c r="D1237" s="88"/>
      <c r="E1237" s="79">
        <v>85</v>
      </c>
      <c r="F1237" s="80">
        <v>0.0825</v>
      </c>
      <c r="G1237" s="79">
        <v>16</v>
      </c>
      <c r="H1237" s="80">
        <v>0.0825</v>
      </c>
      <c r="I1237" s="83">
        <v>0.88</v>
      </c>
      <c r="J1237" s="79">
        <v>15</v>
      </c>
      <c r="K1237" s="79"/>
      <c r="L1237" s="80">
        <v>0</v>
      </c>
      <c r="M1237" s="80"/>
      <c r="N1237" s="86">
        <v>189</v>
      </c>
      <c r="O1237" s="86"/>
      <c r="P1237" s="79">
        <v>9</v>
      </c>
      <c r="Q1237" s="79"/>
    </row>
    <row r="1238" ht="15" spans="1:17">
      <c r="A1238" s="89">
        <v>43475</v>
      </c>
      <c r="B1238" s="78"/>
      <c r="C1238" s="79">
        <v>10</v>
      </c>
      <c r="D1238" s="88"/>
      <c r="E1238" s="79">
        <v>65</v>
      </c>
      <c r="F1238" s="80">
        <v>0.0515</v>
      </c>
      <c r="G1238" s="79">
        <v>45</v>
      </c>
      <c r="H1238" s="80">
        <v>0.0515</v>
      </c>
      <c r="I1238" s="83">
        <v>1</v>
      </c>
      <c r="J1238" s="79">
        <v>15</v>
      </c>
      <c r="K1238" s="79"/>
      <c r="L1238" s="80">
        <v>0.25</v>
      </c>
      <c r="M1238" s="80"/>
      <c r="N1238" s="86">
        <v>489</v>
      </c>
      <c r="O1238" s="86"/>
      <c r="P1238" s="79">
        <v>7</v>
      </c>
      <c r="Q1238" s="79"/>
    </row>
    <row r="1239" ht="15" spans="1:17">
      <c r="A1239" s="89">
        <v>43476</v>
      </c>
      <c r="B1239" s="78"/>
      <c r="C1239" s="79">
        <v>2</v>
      </c>
      <c r="D1239" s="88"/>
      <c r="E1239" s="79">
        <v>60</v>
      </c>
      <c r="F1239" s="80">
        <v>0.0194</v>
      </c>
      <c r="G1239" s="79">
        <v>69</v>
      </c>
      <c r="H1239" s="80">
        <v>0.0194</v>
      </c>
      <c r="I1239" s="83">
        <v>1</v>
      </c>
      <c r="J1239" s="79">
        <v>5</v>
      </c>
      <c r="K1239" s="79"/>
      <c r="L1239" s="80">
        <v>0</v>
      </c>
      <c r="M1239" s="80"/>
      <c r="N1239" s="86">
        <v>201</v>
      </c>
      <c r="O1239" s="86"/>
      <c r="P1239" s="79">
        <v>13</v>
      </c>
      <c r="Q1239" s="79"/>
    </row>
    <row r="1240" ht="15" spans="1:17">
      <c r="A1240" s="89">
        <v>43476</v>
      </c>
      <c r="B1240" s="78"/>
      <c r="C1240" s="79">
        <v>5</v>
      </c>
      <c r="D1240" s="88"/>
      <c r="E1240" s="79">
        <v>74</v>
      </c>
      <c r="F1240" s="80">
        <v>0.5243</v>
      </c>
      <c r="G1240" s="79">
        <v>40</v>
      </c>
      <c r="H1240" s="80">
        <v>0.5243</v>
      </c>
      <c r="I1240" s="83">
        <v>1</v>
      </c>
      <c r="J1240" s="79">
        <v>20</v>
      </c>
      <c r="K1240" s="79"/>
      <c r="L1240" s="80">
        <v>0.3077</v>
      </c>
      <c r="M1240" s="80"/>
      <c r="N1240" s="86">
        <v>89</v>
      </c>
      <c r="O1240" s="86"/>
      <c r="P1240" s="79">
        <v>5</v>
      </c>
      <c r="Q1240" s="79"/>
    </row>
    <row r="1241" ht="15" spans="1:17">
      <c r="A1241" s="89">
        <v>43476</v>
      </c>
      <c r="B1241" s="78"/>
      <c r="C1241" s="79">
        <v>1</v>
      </c>
      <c r="D1241" s="88"/>
      <c r="E1241" s="79">
        <v>34</v>
      </c>
      <c r="F1241" s="80">
        <v>0.1845</v>
      </c>
      <c r="G1241" s="79">
        <v>6</v>
      </c>
      <c r="H1241" s="80">
        <v>0.1845</v>
      </c>
      <c r="I1241" s="83">
        <v>1</v>
      </c>
      <c r="J1241" s="79">
        <v>23</v>
      </c>
      <c r="K1241" s="79"/>
      <c r="L1241" s="80">
        <v>0</v>
      </c>
      <c r="M1241" s="80"/>
      <c r="N1241" s="86">
        <v>309</v>
      </c>
      <c r="O1241" s="86"/>
      <c r="P1241" s="79">
        <v>10</v>
      </c>
      <c r="Q1241" s="79"/>
    </row>
    <row r="1242" ht="15" spans="1:17">
      <c r="A1242" s="89">
        <v>43476</v>
      </c>
      <c r="B1242" s="78"/>
      <c r="C1242" s="79">
        <v>6</v>
      </c>
      <c r="D1242" s="88"/>
      <c r="E1242" s="79">
        <v>29</v>
      </c>
      <c r="F1242" s="80">
        <v>0.1359</v>
      </c>
      <c r="G1242" s="79">
        <v>97</v>
      </c>
      <c r="H1242" s="80">
        <v>0.1359</v>
      </c>
      <c r="I1242" s="83">
        <v>1</v>
      </c>
      <c r="J1242" s="79">
        <v>15</v>
      </c>
      <c r="K1242" s="79"/>
      <c r="L1242" s="80">
        <v>0.1818</v>
      </c>
      <c r="M1242" s="80"/>
      <c r="N1242" s="86">
        <v>370</v>
      </c>
      <c r="O1242" s="86"/>
      <c r="P1242" s="79">
        <v>10</v>
      </c>
      <c r="Q1242" s="79"/>
    </row>
    <row r="1243" ht="15" spans="1:17">
      <c r="A1243" s="89">
        <v>43476</v>
      </c>
      <c r="B1243" s="78"/>
      <c r="C1243" s="79">
        <v>7</v>
      </c>
      <c r="D1243" s="88"/>
      <c r="E1243" s="79">
        <v>64</v>
      </c>
      <c r="F1243" s="80">
        <v>0.1359</v>
      </c>
      <c r="G1243" s="79">
        <v>1</v>
      </c>
      <c r="H1243" s="80">
        <v>0.1359</v>
      </c>
      <c r="I1243" s="83">
        <v>1</v>
      </c>
      <c r="J1243" s="79">
        <v>28</v>
      </c>
      <c r="K1243" s="79"/>
      <c r="L1243" s="80">
        <v>0.3</v>
      </c>
      <c r="M1243" s="80"/>
      <c r="N1243" s="86">
        <v>419</v>
      </c>
      <c r="O1243" s="86"/>
      <c r="P1243" s="79">
        <v>3</v>
      </c>
      <c r="Q1243" s="79"/>
    </row>
    <row r="1244" ht="15" spans="1:17">
      <c r="A1244" s="89">
        <v>43477</v>
      </c>
      <c r="B1244" s="78"/>
      <c r="C1244" s="79">
        <v>5</v>
      </c>
      <c r="D1244" s="88"/>
      <c r="E1244" s="79">
        <v>57</v>
      </c>
      <c r="F1244" s="80">
        <v>0.5326</v>
      </c>
      <c r="G1244" s="79">
        <v>51</v>
      </c>
      <c r="H1244" s="80">
        <v>0.5326</v>
      </c>
      <c r="I1244" s="83">
        <v>0.98</v>
      </c>
      <c r="J1244" s="79">
        <v>1</v>
      </c>
      <c r="K1244" s="79"/>
      <c r="L1244" s="80">
        <v>0</v>
      </c>
      <c r="M1244" s="80"/>
      <c r="N1244" s="86">
        <v>266</v>
      </c>
      <c r="O1244" s="86"/>
      <c r="P1244" s="79">
        <v>3</v>
      </c>
      <c r="Q1244" s="79"/>
    </row>
    <row r="1245" ht="15" spans="1:17">
      <c r="A1245" s="89">
        <v>43477</v>
      </c>
      <c r="B1245" s="78"/>
      <c r="C1245" s="79">
        <v>1</v>
      </c>
      <c r="D1245" s="88"/>
      <c r="E1245" s="79">
        <v>16</v>
      </c>
      <c r="F1245" s="80">
        <v>0.1304</v>
      </c>
      <c r="G1245" s="79">
        <v>22</v>
      </c>
      <c r="H1245" s="80">
        <v>0.1304</v>
      </c>
      <c r="I1245" s="83">
        <v>1</v>
      </c>
      <c r="J1245" s="79">
        <v>2</v>
      </c>
      <c r="K1245" s="79"/>
      <c r="L1245" s="80">
        <v>0</v>
      </c>
      <c r="M1245" s="80"/>
      <c r="N1245" s="86">
        <v>88</v>
      </c>
      <c r="O1245" s="86"/>
      <c r="P1245" s="79">
        <v>6</v>
      </c>
      <c r="Q1245" s="79"/>
    </row>
    <row r="1246" ht="15" spans="1:17">
      <c r="A1246" s="89">
        <v>43477</v>
      </c>
      <c r="B1246" s="78"/>
      <c r="C1246" s="79">
        <v>6</v>
      </c>
      <c r="D1246" s="88"/>
      <c r="E1246" s="79">
        <v>52</v>
      </c>
      <c r="F1246" s="80">
        <v>0.2065</v>
      </c>
      <c r="G1246" s="79">
        <v>24</v>
      </c>
      <c r="H1246" s="80">
        <v>0.2065</v>
      </c>
      <c r="I1246" s="83">
        <v>1</v>
      </c>
      <c r="J1246" s="79">
        <v>13</v>
      </c>
      <c r="K1246" s="79"/>
      <c r="L1246" s="80">
        <v>0</v>
      </c>
      <c r="M1246" s="80"/>
      <c r="N1246" s="86">
        <v>103</v>
      </c>
      <c r="O1246" s="86"/>
      <c r="P1246" s="79">
        <v>14</v>
      </c>
      <c r="Q1246" s="79"/>
    </row>
    <row r="1247" ht="15" spans="1:17">
      <c r="A1247" s="89">
        <v>43477</v>
      </c>
      <c r="B1247" s="78"/>
      <c r="C1247" s="79">
        <v>7</v>
      </c>
      <c r="D1247" s="88"/>
      <c r="E1247" s="79">
        <v>10</v>
      </c>
      <c r="F1247" s="80">
        <v>0.0761</v>
      </c>
      <c r="G1247" s="79">
        <v>81</v>
      </c>
      <c r="H1247" s="80">
        <v>0.0761</v>
      </c>
      <c r="I1247" s="83">
        <v>1</v>
      </c>
      <c r="J1247" s="79">
        <v>2</v>
      </c>
      <c r="K1247" s="79"/>
      <c r="L1247" s="80">
        <v>0</v>
      </c>
      <c r="M1247" s="80"/>
      <c r="N1247" s="86">
        <v>283</v>
      </c>
      <c r="O1247" s="86"/>
      <c r="P1247" s="79">
        <v>17</v>
      </c>
      <c r="Q1247" s="79"/>
    </row>
    <row r="1248" ht="15" spans="1:17">
      <c r="A1248" s="89">
        <v>43477</v>
      </c>
      <c r="B1248" s="78"/>
      <c r="C1248" s="79">
        <v>10</v>
      </c>
      <c r="D1248" s="88"/>
      <c r="E1248" s="79">
        <v>72</v>
      </c>
      <c r="F1248" s="80">
        <v>0.0435</v>
      </c>
      <c r="G1248" s="79">
        <v>26</v>
      </c>
      <c r="H1248" s="80">
        <v>0.0435</v>
      </c>
      <c r="I1248" s="83">
        <v>1</v>
      </c>
      <c r="J1248" s="79">
        <v>23</v>
      </c>
      <c r="K1248" s="79"/>
      <c r="L1248" s="80">
        <v>0</v>
      </c>
      <c r="M1248" s="80"/>
      <c r="N1248" s="86">
        <v>310</v>
      </c>
      <c r="O1248" s="86"/>
      <c r="P1248" s="79">
        <v>8</v>
      </c>
      <c r="Q1248" s="79"/>
    </row>
    <row r="1249" ht="15" spans="1:17">
      <c r="A1249" s="89">
        <v>43477</v>
      </c>
      <c r="B1249" s="78"/>
      <c r="C1249" s="79">
        <v>4</v>
      </c>
      <c r="D1249" s="88"/>
      <c r="E1249" s="79">
        <v>18</v>
      </c>
      <c r="F1249" s="80">
        <v>0.0109</v>
      </c>
      <c r="G1249" s="79">
        <v>91</v>
      </c>
      <c r="H1249" s="80">
        <v>0.0109</v>
      </c>
      <c r="I1249" s="83">
        <v>1</v>
      </c>
      <c r="J1249" s="79">
        <v>28</v>
      </c>
      <c r="K1249" s="79"/>
      <c r="L1249" s="80">
        <v>0</v>
      </c>
      <c r="M1249" s="80"/>
      <c r="N1249" s="86">
        <v>325</v>
      </c>
      <c r="O1249" s="86"/>
      <c r="P1249" s="79">
        <v>10</v>
      </c>
      <c r="Q1249" s="79"/>
    </row>
    <row r="1250" ht="15" spans="1:17">
      <c r="A1250" s="89">
        <v>43478</v>
      </c>
      <c r="B1250" s="78"/>
      <c r="C1250" s="79">
        <v>2</v>
      </c>
      <c r="D1250" s="88"/>
      <c r="E1250" s="79">
        <v>35</v>
      </c>
      <c r="F1250" s="80">
        <v>0.0242</v>
      </c>
      <c r="G1250" s="79">
        <v>54</v>
      </c>
      <c r="H1250" s="80">
        <v>0.0242</v>
      </c>
      <c r="I1250" s="83">
        <v>1</v>
      </c>
      <c r="J1250" s="79">
        <v>17</v>
      </c>
      <c r="K1250" s="79"/>
      <c r="L1250" s="80">
        <v>0</v>
      </c>
      <c r="M1250" s="80"/>
      <c r="N1250" s="86">
        <v>54</v>
      </c>
      <c r="O1250" s="86"/>
      <c r="P1250" s="79">
        <v>9</v>
      </c>
      <c r="Q1250" s="79"/>
    </row>
    <row r="1251" ht="15" spans="1:17">
      <c r="A1251" s="89">
        <v>43478</v>
      </c>
      <c r="B1251" s="78"/>
      <c r="C1251" s="79">
        <v>5</v>
      </c>
      <c r="D1251" s="88"/>
      <c r="E1251" s="79">
        <v>11</v>
      </c>
      <c r="F1251" s="80">
        <v>0.4516</v>
      </c>
      <c r="G1251" s="79">
        <v>82</v>
      </c>
      <c r="H1251" s="80">
        <v>0.4516</v>
      </c>
      <c r="I1251" s="83">
        <v>1</v>
      </c>
      <c r="J1251" s="79">
        <v>17</v>
      </c>
      <c r="K1251" s="79"/>
      <c r="L1251" s="80">
        <v>0.2683</v>
      </c>
      <c r="M1251" s="80"/>
      <c r="N1251" s="86">
        <v>428</v>
      </c>
      <c r="O1251" s="86"/>
      <c r="P1251" s="79">
        <v>6</v>
      </c>
      <c r="Q1251" s="79"/>
    </row>
    <row r="1252" ht="15" spans="1:17">
      <c r="A1252" s="89">
        <v>43478</v>
      </c>
      <c r="B1252" s="78"/>
      <c r="C1252" s="79">
        <v>1</v>
      </c>
      <c r="D1252" s="88"/>
      <c r="E1252" s="79">
        <v>1</v>
      </c>
      <c r="F1252" s="80">
        <v>0.1774</v>
      </c>
      <c r="G1252" s="79">
        <v>17</v>
      </c>
      <c r="H1252" s="80">
        <v>0.1774</v>
      </c>
      <c r="I1252" s="83">
        <v>1</v>
      </c>
      <c r="J1252" s="79">
        <v>20</v>
      </c>
      <c r="K1252" s="79"/>
      <c r="L1252" s="80">
        <v>0.1176</v>
      </c>
      <c r="M1252" s="80"/>
      <c r="N1252" s="86">
        <v>156</v>
      </c>
      <c r="O1252" s="86"/>
      <c r="P1252" s="79">
        <v>20</v>
      </c>
      <c r="Q1252" s="79"/>
    </row>
    <row r="1253" ht="15" spans="1:17">
      <c r="A1253" s="89">
        <v>43478</v>
      </c>
      <c r="B1253" s="78"/>
      <c r="C1253" s="79">
        <v>6</v>
      </c>
      <c r="D1253" s="88"/>
      <c r="E1253" s="79">
        <v>60</v>
      </c>
      <c r="F1253" s="80">
        <v>0.2339</v>
      </c>
      <c r="G1253" s="79">
        <v>6</v>
      </c>
      <c r="H1253" s="80">
        <v>0.2339</v>
      </c>
      <c r="I1253" s="83">
        <v>1</v>
      </c>
      <c r="J1253" s="79">
        <v>29</v>
      </c>
      <c r="K1253" s="79"/>
      <c r="L1253" s="80">
        <v>0.35</v>
      </c>
      <c r="M1253" s="80"/>
      <c r="N1253" s="86">
        <v>129</v>
      </c>
      <c r="O1253" s="86"/>
      <c r="P1253" s="79">
        <v>12</v>
      </c>
      <c r="Q1253" s="79"/>
    </row>
    <row r="1254" ht="15" spans="1:17">
      <c r="A1254" s="89">
        <v>43478</v>
      </c>
      <c r="B1254" s="78"/>
      <c r="C1254" s="79">
        <v>7</v>
      </c>
      <c r="D1254" s="88"/>
      <c r="E1254" s="79">
        <v>84</v>
      </c>
      <c r="F1254" s="80">
        <v>0.0565</v>
      </c>
      <c r="G1254" s="79">
        <v>42</v>
      </c>
      <c r="H1254" s="80">
        <v>0.0565</v>
      </c>
      <c r="I1254" s="83">
        <v>1</v>
      </c>
      <c r="J1254" s="79">
        <v>17</v>
      </c>
      <c r="K1254" s="79"/>
      <c r="L1254" s="80">
        <v>0.1429</v>
      </c>
      <c r="M1254" s="80"/>
      <c r="N1254" s="86">
        <v>161</v>
      </c>
      <c r="O1254" s="86"/>
      <c r="P1254" s="79">
        <v>14</v>
      </c>
      <c r="Q1254" s="79"/>
    </row>
    <row r="1255" ht="15" spans="1:17">
      <c r="A1255" s="89">
        <v>43478</v>
      </c>
      <c r="B1255" s="78"/>
      <c r="C1255" s="79">
        <v>10</v>
      </c>
      <c r="D1255" s="88"/>
      <c r="E1255" s="79">
        <v>88</v>
      </c>
      <c r="F1255" s="80">
        <v>0.0242</v>
      </c>
      <c r="G1255" s="79">
        <v>83</v>
      </c>
      <c r="H1255" s="80">
        <v>0.0242</v>
      </c>
      <c r="I1255" s="83">
        <v>1</v>
      </c>
      <c r="J1255" s="79">
        <v>0</v>
      </c>
      <c r="K1255" s="79"/>
      <c r="L1255" s="80">
        <v>0</v>
      </c>
      <c r="M1255" s="80"/>
      <c r="N1255" s="86">
        <v>66</v>
      </c>
      <c r="O1255" s="86"/>
      <c r="P1255" s="79">
        <v>17</v>
      </c>
      <c r="Q1255" s="79"/>
    </row>
    <row r="1256" ht="15" spans="1:17">
      <c r="A1256" s="89">
        <v>43478</v>
      </c>
      <c r="B1256" s="78"/>
      <c r="C1256" s="79">
        <v>4</v>
      </c>
      <c r="D1256" s="88"/>
      <c r="E1256" s="79">
        <v>62</v>
      </c>
      <c r="F1256" s="80">
        <v>0.0323</v>
      </c>
      <c r="G1256" s="79">
        <v>50</v>
      </c>
      <c r="H1256" s="80">
        <v>0.0323</v>
      </c>
      <c r="I1256" s="83">
        <v>1</v>
      </c>
      <c r="J1256" s="79">
        <v>27</v>
      </c>
      <c r="K1256" s="79"/>
      <c r="L1256" s="80">
        <v>0</v>
      </c>
      <c r="M1256" s="80"/>
      <c r="N1256" s="86">
        <v>68</v>
      </c>
      <c r="O1256" s="86"/>
      <c r="P1256" s="79">
        <v>8</v>
      </c>
      <c r="Q1256" s="79"/>
    </row>
  </sheetData>
  <sheetProtection formatCells="0" insertHyperlinks="0" autoFilter="0"/>
  <pageMargins left="0.7" right="0.7" top="0.75" bottom="0.75" header="0.3" footer="0.3"/>
  <pageSetup paperSize="9" orientation="portrait" horizontalDpi="1200" verticalDpi="1200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/>
  <dimension ref="A1:B12"/>
  <sheetViews>
    <sheetView workbookViewId="0">
      <selection activeCell="B16" sqref="B16"/>
    </sheetView>
  </sheetViews>
  <sheetFormatPr defaultColWidth="9" defaultRowHeight="14.25" outlineLevelCol="1"/>
  <cols>
    <col min="1" max="1" width="16" style="6" customWidth="1"/>
    <col min="2" max="2" width="22.25" customWidth="1"/>
    <col min="3" max="3" width="13.375" customWidth="1"/>
  </cols>
  <sheetData>
    <row r="1" spans="1:2">
      <c r="A1" s="6" t="s">
        <v>2</v>
      </c>
      <c r="B1" t="s">
        <v>17</v>
      </c>
    </row>
    <row r="2" spans="1:2">
      <c r="A2" s="6">
        <v>1</v>
      </c>
      <c r="B2" s="8" t="s">
        <v>18</v>
      </c>
    </row>
    <row r="3" spans="1:2">
      <c r="A3" s="6">
        <v>2</v>
      </c>
      <c r="B3" s="8" t="s">
        <v>19</v>
      </c>
    </row>
    <row r="4" spans="1:2">
      <c r="A4" s="6">
        <v>3</v>
      </c>
      <c r="B4" s="8" t="s">
        <v>20</v>
      </c>
    </row>
    <row r="5" spans="1:2">
      <c r="A5" s="6">
        <v>4</v>
      </c>
      <c r="B5" s="8" t="s">
        <v>21</v>
      </c>
    </row>
    <row r="6" spans="1:2">
      <c r="A6" s="6">
        <v>5</v>
      </c>
      <c r="B6" s="8" t="s">
        <v>22</v>
      </c>
    </row>
    <row r="7" spans="1:2">
      <c r="A7" s="6">
        <v>6</v>
      </c>
      <c r="B7" t="s">
        <v>23</v>
      </c>
    </row>
    <row r="8" spans="1:2">
      <c r="A8" s="6">
        <v>7</v>
      </c>
      <c r="B8" t="s">
        <v>24</v>
      </c>
    </row>
    <row r="9" spans="1:2">
      <c r="A9" s="6">
        <v>8</v>
      </c>
      <c r="B9" t="s">
        <v>25</v>
      </c>
    </row>
    <row r="10" spans="1:2">
      <c r="A10" s="6">
        <v>9</v>
      </c>
      <c r="B10" t="s">
        <v>26</v>
      </c>
    </row>
    <row r="11" spans="1:2">
      <c r="A11" s="6">
        <v>10</v>
      </c>
      <c r="B11" t="s">
        <v>27</v>
      </c>
    </row>
    <row r="12" spans="1:2">
      <c r="A12" s="6">
        <v>11</v>
      </c>
      <c r="B12" t="s">
        <v>28</v>
      </c>
    </row>
  </sheetData>
  <sheetProtection formatCells="0" insertHyperlinks="0" autoFilter="0"/>
  <pageMargins left="0.7" right="0.7" top="0.75" bottom="0.75" header="0.3" footer="0.3"/>
  <pageSetup paperSize="9" orientation="portrait" horizontalDpi="1200" verticalDpi="1200"/>
  <headerFooter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256"/>
  <sheetViews>
    <sheetView workbookViewId="0">
      <selection activeCell="B15" sqref="B15"/>
    </sheetView>
  </sheetViews>
  <sheetFormatPr defaultColWidth="9" defaultRowHeight="14.25"/>
  <cols>
    <col min="1" max="1" width="11.125" customWidth="1"/>
    <col min="2" max="2" width="7" customWidth="1"/>
    <col min="3" max="3" width="9.125" customWidth="1"/>
    <col min="4" max="4" width="17.125" customWidth="1"/>
    <col min="5" max="5" width="15" customWidth="1"/>
    <col min="6" max="6" width="21.25" customWidth="1"/>
    <col min="7" max="7" width="11.875" customWidth="1"/>
    <col min="8" max="8" width="9.125" customWidth="1"/>
    <col min="9" max="9" width="13" customWidth="1"/>
    <col min="10" max="11" width="9.125" customWidth="1"/>
    <col min="12" max="12" width="13" customWidth="1"/>
    <col min="13" max="13" width="20.875" customWidth="1"/>
    <col min="14" max="14" width="9.125" customWidth="1"/>
    <col min="15" max="15" width="13" customWidth="1"/>
  </cols>
  <sheetData>
    <row r="1" spans="1:12">
      <c r="A1" t="s">
        <v>0</v>
      </c>
      <c r="B1" t="s">
        <v>29</v>
      </c>
      <c r="C1" t="s">
        <v>30</v>
      </c>
      <c r="D1" t="s">
        <v>31</v>
      </c>
      <c r="E1" t="s">
        <v>6</v>
      </c>
      <c r="F1" t="s">
        <v>7</v>
      </c>
      <c r="G1" t="s">
        <v>32</v>
      </c>
      <c r="H1" t="s">
        <v>33</v>
      </c>
      <c r="I1" t="s">
        <v>34</v>
      </c>
      <c r="J1" t="s">
        <v>35</v>
      </c>
      <c r="K1" t="s">
        <v>36</v>
      </c>
      <c r="L1" t="s">
        <v>37</v>
      </c>
    </row>
    <row r="2" spans="1:12">
      <c r="A2" s="71">
        <v>43222</v>
      </c>
      <c r="B2" t="s">
        <v>22</v>
      </c>
      <c r="C2">
        <v>1</v>
      </c>
      <c r="D2">
        <v>0.5</v>
      </c>
      <c r="E2">
        <v>7</v>
      </c>
      <c r="F2">
        <v>0.7778</v>
      </c>
      <c r="G2">
        <v>0.71</v>
      </c>
      <c r="H2">
        <v>0</v>
      </c>
      <c r="I2">
        <v>0</v>
      </c>
      <c r="J2">
        <v>0</v>
      </c>
      <c r="K2" t="s">
        <v>38</v>
      </c>
      <c r="L2">
        <v>0</v>
      </c>
    </row>
    <row r="3" spans="1:12">
      <c r="A3" s="71">
        <v>43222</v>
      </c>
      <c r="B3" t="s">
        <v>20</v>
      </c>
      <c r="C3">
        <v>1</v>
      </c>
      <c r="D3">
        <v>0.5</v>
      </c>
      <c r="E3">
        <v>2</v>
      </c>
      <c r="F3">
        <v>0.2222</v>
      </c>
      <c r="G3">
        <v>0</v>
      </c>
      <c r="H3">
        <v>0</v>
      </c>
      <c r="I3">
        <v>0</v>
      </c>
      <c r="J3">
        <v>0</v>
      </c>
      <c r="K3" t="s">
        <v>38</v>
      </c>
      <c r="L3">
        <v>0</v>
      </c>
    </row>
    <row r="4" spans="1:12">
      <c r="A4" s="71">
        <v>43223</v>
      </c>
      <c r="B4" t="s">
        <v>19</v>
      </c>
      <c r="C4">
        <v>1</v>
      </c>
      <c r="D4">
        <v>0.25</v>
      </c>
      <c r="E4">
        <v>1</v>
      </c>
      <c r="F4">
        <v>0.0667</v>
      </c>
      <c r="G4">
        <v>0</v>
      </c>
      <c r="H4">
        <v>0</v>
      </c>
      <c r="I4">
        <v>0</v>
      </c>
      <c r="J4">
        <v>0</v>
      </c>
      <c r="K4" t="s">
        <v>38</v>
      </c>
      <c r="L4">
        <v>0</v>
      </c>
    </row>
    <row r="5" spans="1:12">
      <c r="A5" s="71">
        <v>43223</v>
      </c>
      <c r="B5" t="s">
        <v>20</v>
      </c>
      <c r="C5">
        <v>1</v>
      </c>
      <c r="D5">
        <v>0.25</v>
      </c>
      <c r="E5">
        <v>1</v>
      </c>
      <c r="F5">
        <v>0.0667</v>
      </c>
      <c r="G5">
        <v>0</v>
      </c>
      <c r="H5">
        <v>0</v>
      </c>
      <c r="I5">
        <v>0</v>
      </c>
      <c r="J5">
        <v>0</v>
      </c>
      <c r="K5" t="s">
        <v>38</v>
      </c>
      <c r="L5">
        <v>0</v>
      </c>
    </row>
    <row r="6" spans="1:12">
      <c r="A6" s="71">
        <v>43223</v>
      </c>
      <c r="B6" t="s">
        <v>22</v>
      </c>
      <c r="C6">
        <v>2</v>
      </c>
      <c r="D6">
        <v>0.5</v>
      </c>
      <c r="E6">
        <v>13</v>
      </c>
      <c r="F6">
        <v>0.8667</v>
      </c>
      <c r="G6">
        <v>1</v>
      </c>
      <c r="H6">
        <v>1</v>
      </c>
      <c r="I6">
        <v>0.5</v>
      </c>
      <c r="J6">
        <v>12.99</v>
      </c>
      <c r="K6" t="s">
        <v>39</v>
      </c>
      <c r="L6">
        <v>0.5</v>
      </c>
    </row>
    <row r="7" spans="1:12">
      <c r="A7" s="71">
        <v>43224</v>
      </c>
      <c r="B7" t="s">
        <v>20</v>
      </c>
      <c r="C7">
        <v>2</v>
      </c>
      <c r="D7">
        <v>0.1818</v>
      </c>
      <c r="E7">
        <v>5</v>
      </c>
      <c r="F7">
        <v>0.25</v>
      </c>
      <c r="G7">
        <v>1</v>
      </c>
      <c r="H7">
        <v>0</v>
      </c>
      <c r="I7">
        <v>0</v>
      </c>
      <c r="J7">
        <v>0</v>
      </c>
      <c r="K7" t="s">
        <v>38</v>
      </c>
      <c r="L7">
        <v>0</v>
      </c>
    </row>
    <row r="8" spans="1:12">
      <c r="A8" s="71">
        <v>43224</v>
      </c>
      <c r="B8" t="s">
        <v>19</v>
      </c>
      <c r="C8">
        <v>1</v>
      </c>
      <c r="D8">
        <v>0.0909</v>
      </c>
      <c r="E8">
        <v>1</v>
      </c>
      <c r="F8">
        <v>0.05</v>
      </c>
      <c r="G8">
        <v>0</v>
      </c>
      <c r="H8">
        <v>0</v>
      </c>
      <c r="I8">
        <v>0</v>
      </c>
      <c r="J8">
        <v>0</v>
      </c>
      <c r="K8" t="s">
        <v>38</v>
      </c>
      <c r="L8">
        <v>0</v>
      </c>
    </row>
    <row r="9" spans="1:12">
      <c r="A9" s="71">
        <v>43224</v>
      </c>
      <c r="B9" t="s">
        <v>22</v>
      </c>
      <c r="C9">
        <v>8</v>
      </c>
      <c r="D9">
        <v>0.7273</v>
      </c>
      <c r="E9">
        <v>14</v>
      </c>
      <c r="F9">
        <v>0.7</v>
      </c>
      <c r="G9">
        <v>1</v>
      </c>
      <c r="H9">
        <v>3</v>
      </c>
      <c r="I9">
        <v>0.375</v>
      </c>
      <c r="J9">
        <v>38.97</v>
      </c>
      <c r="K9" t="s">
        <v>40</v>
      </c>
      <c r="L9">
        <v>0.25</v>
      </c>
    </row>
    <row r="10" spans="1:12">
      <c r="A10" s="71">
        <v>43225</v>
      </c>
      <c r="B10" t="s">
        <v>22</v>
      </c>
      <c r="C10">
        <v>9</v>
      </c>
      <c r="D10">
        <v>1</v>
      </c>
      <c r="E10">
        <v>11</v>
      </c>
      <c r="F10">
        <v>1</v>
      </c>
      <c r="G10">
        <v>1</v>
      </c>
      <c r="H10">
        <v>1</v>
      </c>
      <c r="I10">
        <v>0.1111</v>
      </c>
      <c r="J10">
        <v>12.99</v>
      </c>
      <c r="K10" t="s">
        <v>39</v>
      </c>
      <c r="L10">
        <v>0.111111111111111</v>
      </c>
    </row>
    <row r="11" spans="1:12">
      <c r="A11" s="71">
        <v>43226</v>
      </c>
      <c r="B11" t="s">
        <v>22</v>
      </c>
      <c r="C11">
        <v>10</v>
      </c>
      <c r="D11">
        <v>0.7143</v>
      </c>
      <c r="E11">
        <v>15</v>
      </c>
      <c r="F11">
        <v>0.75</v>
      </c>
      <c r="G11">
        <v>1</v>
      </c>
      <c r="H11">
        <v>1</v>
      </c>
      <c r="I11">
        <v>0.1</v>
      </c>
      <c r="J11">
        <v>12.99</v>
      </c>
      <c r="K11" t="s">
        <v>39</v>
      </c>
      <c r="L11">
        <v>0.1</v>
      </c>
    </row>
    <row r="12" spans="1:12">
      <c r="A12" s="71">
        <v>43226</v>
      </c>
      <c r="B12" t="s">
        <v>20</v>
      </c>
      <c r="C12">
        <v>4</v>
      </c>
      <c r="D12">
        <v>0.2857</v>
      </c>
      <c r="E12">
        <v>5</v>
      </c>
      <c r="F12">
        <v>0.25</v>
      </c>
      <c r="G12">
        <v>1</v>
      </c>
      <c r="H12">
        <v>1</v>
      </c>
      <c r="I12">
        <v>0.25</v>
      </c>
      <c r="J12">
        <v>17.99</v>
      </c>
      <c r="K12" t="s">
        <v>39</v>
      </c>
      <c r="L12">
        <v>0.25</v>
      </c>
    </row>
    <row r="13" spans="1:12">
      <c r="A13" s="71">
        <v>43227</v>
      </c>
      <c r="B13" t="s">
        <v>20</v>
      </c>
      <c r="C13">
        <v>14</v>
      </c>
      <c r="D13">
        <v>0.6667</v>
      </c>
      <c r="E13">
        <v>17</v>
      </c>
      <c r="F13">
        <v>0.7083</v>
      </c>
      <c r="G13">
        <v>1</v>
      </c>
      <c r="H13">
        <v>0</v>
      </c>
      <c r="I13">
        <v>0</v>
      </c>
      <c r="J13">
        <v>0</v>
      </c>
      <c r="K13" t="s">
        <v>38</v>
      </c>
      <c r="L13">
        <v>0</v>
      </c>
    </row>
    <row r="14" spans="1:12">
      <c r="A14" s="71">
        <v>43227</v>
      </c>
      <c r="B14" t="s">
        <v>22</v>
      </c>
      <c r="C14">
        <v>7</v>
      </c>
      <c r="D14">
        <v>0.3333</v>
      </c>
      <c r="E14">
        <v>7</v>
      </c>
      <c r="F14">
        <v>0.2917</v>
      </c>
      <c r="G14">
        <v>1</v>
      </c>
      <c r="H14">
        <v>2</v>
      </c>
      <c r="I14">
        <v>0.2857</v>
      </c>
      <c r="J14">
        <v>25.98</v>
      </c>
      <c r="K14" t="s">
        <v>40</v>
      </c>
      <c r="L14">
        <v>0.285714285714286</v>
      </c>
    </row>
    <row r="15" spans="1:12">
      <c r="A15" s="71">
        <v>43228</v>
      </c>
      <c r="B15" t="s">
        <v>20</v>
      </c>
      <c r="C15">
        <v>10</v>
      </c>
      <c r="D15">
        <v>0.5556</v>
      </c>
      <c r="E15">
        <v>12</v>
      </c>
      <c r="F15">
        <v>0.5714</v>
      </c>
      <c r="G15">
        <v>1</v>
      </c>
      <c r="H15">
        <v>0</v>
      </c>
      <c r="I15">
        <v>0</v>
      </c>
      <c r="J15">
        <v>0</v>
      </c>
      <c r="K15" t="s">
        <v>38</v>
      </c>
      <c r="L15">
        <v>0</v>
      </c>
    </row>
    <row r="16" spans="1:12">
      <c r="A16" s="71">
        <v>43228</v>
      </c>
      <c r="B16" t="s">
        <v>22</v>
      </c>
      <c r="C16">
        <v>8</v>
      </c>
      <c r="D16">
        <v>0.4444</v>
      </c>
      <c r="E16">
        <v>9</v>
      </c>
      <c r="F16">
        <v>0.4286</v>
      </c>
      <c r="G16">
        <v>1</v>
      </c>
      <c r="H16">
        <v>1</v>
      </c>
      <c r="I16">
        <v>0.125</v>
      </c>
      <c r="J16">
        <v>12.99</v>
      </c>
      <c r="K16" t="s">
        <v>39</v>
      </c>
      <c r="L16">
        <v>0.125</v>
      </c>
    </row>
    <row r="17" spans="1:12">
      <c r="A17" s="71">
        <v>43229</v>
      </c>
      <c r="B17" t="s">
        <v>20</v>
      </c>
      <c r="C17">
        <v>1</v>
      </c>
      <c r="D17">
        <v>0.1667</v>
      </c>
      <c r="E17">
        <v>1</v>
      </c>
      <c r="F17">
        <v>0.1429</v>
      </c>
      <c r="G17">
        <v>1</v>
      </c>
      <c r="H17">
        <v>0</v>
      </c>
      <c r="I17">
        <v>0</v>
      </c>
      <c r="J17">
        <v>0</v>
      </c>
      <c r="K17" t="s">
        <v>38</v>
      </c>
      <c r="L17">
        <v>0</v>
      </c>
    </row>
    <row r="18" spans="1:12">
      <c r="A18" s="71">
        <v>43229</v>
      </c>
      <c r="B18" t="s">
        <v>22</v>
      </c>
      <c r="C18">
        <v>5</v>
      </c>
      <c r="D18">
        <v>0.8333</v>
      </c>
      <c r="E18">
        <v>6</v>
      </c>
      <c r="F18">
        <v>0.8571</v>
      </c>
      <c r="G18">
        <v>1</v>
      </c>
      <c r="H18">
        <v>3</v>
      </c>
      <c r="I18">
        <v>0.6</v>
      </c>
      <c r="J18">
        <v>38.97</v>
      </c>
      <c r="K18" t="s">
        <v>41</v>
      </c>
      <c r="L18">
        <v>0.6</v>
      </c>
    </row>
    <row r="19" spans="1:12">
      <c r="A19" s="71">
        <v>43230</v>
      </c>
      <c r="B19" t="s">
        <v>19</v>
      </c>
      <c r="C19">
        <v>1</v>
      </c>
      <c r="D19">
        <v>0.1</v>
      </c>
      <c r="E19">
        <v>1</v>
      </c>
      <c r="F19">
        <v>0.1</v>
      </c>
      <c r="G19">
        <v>1</v>
      </c>
      <c r="H19">
        <v>0</v>
      </c>
      <c r="I19">
        <v>0</v>
      </c>
      <c r="J19">
        <v>0</v>
      </c>
      <c r="K19" t="s">
        <v>38</v>
      </c>
      <c r="L19">
        <v>0</v>
      </c>
    </row>
    <row r="20" spans="1:12">
      <c r="A20" s="71">
        <v>43230</v>
      </c>
      <c r="B20" t="s">
        <v>22</v>
      </c>
      <c r="C20">
        <v>9</v>
      </c>
      <c r="D20">
        <v>0.9</v>
      </c>
      <c r="E20">
        <v>9</v>
      </c>
      <c r="F20">
        <v>0.9</v>
      </c>
      <c r="G20">
        <v>1</v>
      </c>
      <c r="H20">
        <v>0</v>
      </c>
      <c r="I20">
        <v>0</v>
      </c>
      <c r="J20">
        <v>0</v>
      </c>
      <c r="K20" t="s">
        <v>38</v>
      </c>
      <c r="L20">
        <v>0</v>
      </c>
    </row>
    <row r="21" spans="1:12">
      <c r="A21" s="71">
        <v>43231</v>
      </c>
      <c r="B21" t="s">
        <v>22</v>
      </c>
      <c r="C21">
        <v>7</v>
      </c>
      <c r="D21">
        <v>1</v>
      </c>
      <c r="E21">
        <v>11</v>
      </c>
      <c r="F21">
        <v>1</v>
      </c>
      <c r="G21">
        <v>1</v>
      </c>
      <c r="H21">
        <v>1</v>
      </c>
      <c r="I21">
        <v>0.1429</v>
      </c>
      <c r="J21">
        <v>9.99</v>
      </c>
      <c r="K21" t="s">
        <v>39</v>
      </c>
      <c r="L21">
        <v>0.142857142857143</v>
      </c>
    </row>
    <row r="22" spans="1:12">
      <c r="A22" s="71">
        <v>43232</v>
      </c>
      <c r="B22" t="s">
        <v>22</v>
      </c>
      <c r="C22">
        <v>4</v>
      </c>
      <c r="D22">
        <v>1</v>
      </c>
      <c r="E22">
        <v>5</v>
      </c>
      <c r="F22">
        <v>1</v>
      </c>
      <c r="G22">
        <v>1</v>
      </c>
      <c r="H22">
        <v>0</v>
      </c>
      <c r="I22">
        <v>0</v>
      </c>
      <c r="J22">
        <v>0</v>
      </c>
      <c r="K22" t="s">
        <v>38</v>
      </c>
      <c r="L22">
        <v>0</v>
      </c>
    </row>
    <row r="23" spans="1:12">
      <c r="A23" s="71">
        <v>43233</v>
      </c>
      <c r="B23" t="s">
        <v>20</v>
      </c>
      <c r="C23">
        <v>2</v>
      </c>
      <c r="D23">
        <v>0.25</v>
      </c>
      <c r="E23">
        <v>2</v>
      </c>
      <c r="F23">
        <v>0.2222</v>
      </c>
      <c r="G23">
        <v>1</v>
      </c>
      <c r="H23">
        <v>0</v>
      </c>
      <c r="I23">
        <v>0</v>
      </c>
      <c r="J23">
        <v>0</v>
      </c>
      <c r="K23" t="s">
        <v>38</v>
      </c>
      <c r="L23">
        <v>0</v>
      </c>
    </row>
    <row r="24" spans="1:12">
      <c r="A24" s="71">
        <v>43233</v>
      </c>
      <c r="B24" t="s">
        <v>22</v>
      </c>
      <c r="C24">
        <v>6</v>
      </c>
      <c r="D24">
        <v>0.75</v>
      </c>
      <c r="E24">
        <v>7</v>
      </c>
      <c r="F24">
        <v>0.7778</v>
      </c>
      <c r="G24">
        <v>1</v>
      </c>
      <c r="H24">
        <v>1</v>
      </c>
      <c r="I24">
        <v>0.1667</v>
      </c>
      <c r="J24">
        <v>9.99</v>
      </c>
      <c r="K24" t="s">
        <v>39</v>
      </c>
      <c r="L24">
        <v>0.166666666666667</v>
      </c>
    </row>
    <row r="25" spans="1:12">
      <c r="A25" s="71">
        <v>43234</v>
      </c>
      <c r="B25" t="s">
        <v>22</v>
      </c>
      <c r="C25">
        <v>22</v>
      </c>
      <c r="D25">
        <v>1</v>
      </c>
      <c r="E25">
        <v>28</v>
      </c>
      <c r="F25">
        <v>1</v>
      </c>
      <c r="G25">
        <v>1</v>
      </c>
      <c r="H25">
        <v>8</v>
      </c>
      <c r="I25">
        <v>0.3636</v>
      </c>
      <c r="J25">
        <v>87.92</v>
      </c>
      <c r="K25" t="s">
        <v>41</v>
      </c>
      <c r="L25">
        <v>0.136363636363636</v>
      </c>
    </row>
    <row r="26" spans="1:12">
      <c r="A26" s="71">
        <v>43235</v>
      </c>
      <c r="B26" t="s">
        <v>22</v>
      </c>
      <c r="C26">
        <v>10</v>
      </c>
      <c r="D26">
        <v>1</v>
      </c>
      <c r="E26">
        <v>11</v>
      </c>
      <c r="F26">
        <v>1</v>
      </c>
      <c r="G26">
        <v>1</v>
      </c>
      <c r="H26">
        <v>2</v>
      </c>
      <c r="I26">
        <v>0.2</v>
      </c>
      <c r="J26">
        <v>21.98</v>
      </c>
      <c r="K26" t="s">
        <v>40</v>
      </c>
      <c r="L26">
        <v>0.2</v>
      </c>
    </row>
    <row r="27" spans="1:12">
      <c r="A27" s="71">
        <v>43236</v>
      </c>
      <c r="B27" t="s">
        <v>19</v>
      </c>
      <c r="C27">
        <v>1</v>
      </c>
      <c r="D27">
        <v>0.0909</v>
      </c>
      <c r="E27">
        <v>1</v>
      </c>
      <c r="F27">
        <v>0.0769</v>
      </c>
      <c r="G27">
        <v>1</v>
      </c>
      <c r="H27">
        <v>0</v>
      </c>
      <c r="I27">
        <v>0</v>
      </c>
      <c r="J27">
        <v>0</v>
      </c>
      <c r="K27" t="s">
        <v>38</v>
      </c>
      <c r="L27">
        <v>0</v>
      </c>
    </row>
    <row r="28" spans="1:12">
      <c r="A28" s="71">
        <v>43236</v>
      </c>
      <c r="B28" t="s">
        <v>22</v>
      </c>
      <c r="C28">
        <v>10</v>
      </c>
      <c r="D28">
        <v>0.9091</v>
      </c>
      <c r="E28">
        <v>12</v>
      </c>
      <c r="F28">
        <v>0.9231</v>
      </c>
      <c r="G28">
        <v>1</v>
      </c>
      <c r="H28">
        <v>4</v>
      </c>
      <c r="I28">
        <v>0.4</v>
      </c>
      <c r="J28">
        <v>43.96</v>
      </c>
      <c r="K28" t="s">
        <v>42</v>
      </c>
      <c r="L28">
        <v>0.4</v>
      </c>
    </row>
    <row r="29" spans="1:12">
      <c r="A29" s="71">
        <v>43237</v>
      </c>
      <c r="B29" t="s">
        <v>22</v>
      </c>
      <c r="C29">
        <v>13</v>
      </c>
      <c r="D29">
        <v>0.9286</v>
      </c>
      <c r="E29">
        <v>13</v>
      </c>
      <c r="F29">
        <v>0.9286</v>
      </c>
      <c r="G29">
        <v>1</v>
      </c>
      <c r="H29">
        <v>2</v>
      </c>
      <c r="I29">
        <v>0.1538</v>
      </c>
      <c r="J29">
        <v>21.98</v>
      </c>
      <c r="K29" t="s">
        <v>40</v>
      </c>
      <c r="L29">
        <v>0.153846153846154</v>
      </c>
    </row>
    <row r="30" spans="1:12">
      <c r="A30" s="71">
        <v>43237</v>
      </c>
      <c r="B30" t="s">
        <v>19</v>
      </c>
      <c r="C30">
        <v>1</v>
      </c>
      <c r="D30">
        <v>0.0714</v>
      </c>
      <c r="E30">
        <v>1</v>
      </c>
      <c r="F30">
        <v>0.0714</v>
      </c>
      <c r="G30">
        <v>1</v>
      </c>
      <c r="H30">
        <v>1</v>
      </c>
      <c r="I30">
        <v>1</v>
      </c>
      <c r="J30">
        <v>15.99</v>
      </c>
      <c r="K30" t="s">
        <v>39</v>
      </c>
      <c r="L30">
        <v>1</v>
      </c>
    </row>
    <row r="31" spans="1:12">
      <c r="A31" s="71">
        <v>43238</v>
      </c>
      <c r="B31" t="s">
        <v>20</v>
      </c>
      <c r="C31">
        <v>1</v>
      </c>
      <c r="D31">
        <v>0.1111</v>
      </c>
      <c r="E31">
        <v>1</v>
      </c>
      <c r="F31">
        <v>0.1111</v>
      </c>
      <c r="G31">
        <v>1</v>
      </c>
      <c r="H31">
        <v>0</v>
      </c>
      <c r="I31">
        <v>0</v>
      </c>
      <c r="J31">
        <v>0</v>
      </c>
      <c r="K31" t="s">
        <v>38</v>
      </c>
      <c r="L31">
        <v>0</v>
      </c>
    </row>
    <row r="32" spans="1:12">
      <c r="A32" s="71">
        <v>43238</v>
      </c>
      <c r="B32" t="s">
        <v>22</v>
      </c>
      <c r="C32">
        <v>8</v>
      </c>
      <c r="D32">
        <v>0.8889</v>
      </c>
      <c r="E32">
        <v>8</v>
      </c>
      <c r="F32">
        <v>0.8889</v>
      </c>
      <c r="G32">
        <v>1</v>
      </c>
      <c r="H32">
        <v>28</v>
      </c>
      <c r="I32">
        <v>3.5</v>
      </c>
      <c r="J32">
        <v>307.72</v>
      </c>
      <c r="K32" t="s">
        <v>43</v>
      </c>
      <c r="L32">
        <v>0.625</v>
      </c>
    </row>
    <row r="33" spans="1:12">
      <c r="A33" s="71">
        <v>43239</v>
      </c>
      <c r="B33" t="s">
        <v>19</v>
      </c>
      <c r="C33">
        <v>1</v>
      </c>
      <c r="D33">
        <v>0.1111</v>
      </c>
      <c r="E33">
        <v>1</v>
      </c>
      <c r="F33">
        <v>0.0909</v>
      </c>
      <c r="G33">
        <v>1</v>
      </c>
      <c r="H33">
        <v>0</v>
      </c>
      <c r="I33">
        <v>0</v>
      </c>
      <c r="J33">
        <v>0</v>
      </c>
      <c r="K33" t="s">
        <v>38</v>
      </c>
      <c r="L33">
        <v>0</v>
      </c>
    </row>
    <row r="34" spans="1:12">
      <c r="A34" s="71">
        <v>43239</v>
      </c>
      <c r="B34" t="s">
        <v>22</v>
      </c>
      <c r="C34">
        <v>8</v>
      </c>
      <c r="D34">
        <v>0.8889</v>
      </c>
      <c r="E34">
        <v>10</v>
      </c>
      <c r="F34">
        <v>0.9091</v>
      </c>
      <c r="G34">
        <v>1</v>
      </c>
      <c r="H34">
        <v>1</v>
      </c>
      <c r="I34">
        <v>0.125</v>
      </c>
      <c r="J34">
        <v>10.99</v>
      </c>
      <c r="K34" t="s">
        <v>39</v>
      </c>
      <c r="L34">
        <v>0.125</v>
      </c>
    </row>
    <row r="35" spans="1:12">
      <c r="A35" s="71">
        <v>43240</v>
      </c>
      <c r="B35" t="s">
        <v>19</v>
      </c>
      <c r="C35">
        <v>1</v>
      </c>
      <c r="D35">
        <v>0.0769</v>
      </c>
      <c r="E35">
        <v>1</v>
      </c>
      <c r="F35">
        <v>0.0526</v>
      </c>
      <c r="G35">
        <v>1</v>
      </c>
      <c r="H35">
        <v>0</v>
      </c>
      <c r="I35">
        <v>0</v>
      </c>
      <c r="J35">
        <v>0</v>
      </c>
      <c r="K35" t="s">
        <v>38</v>
      </c>
      <c r="L35">
        <v>0</v>
      </c>
    </row>
    <row r="36" spans="1:12">
      <c r="A36" s="71">
        <v>43240</v>
      </c>
      <c r="B36" t="s">
        <v>22</v>
      </c>
      <c r="C36">
        <v>12</v>
      </c>
      <c r="D36">
        <v>0.9231</v>
      </c>
      <c r="E36">
        <v>18</v>
      </c>
      <c r="F36">
        <v>0.9474</v>
      </c>
      <c r="G36">
        <v>0.94</v>
      </c>
      <c r="H36">
        <v>5</v>
      </c>
      <c r="I36">
        <v>0.4167</v>
      </c>
      <c r="J36">
        <v>54.95</v>
      </c>
      <c r="K36" t="s">
        <v>43</v>
      </c>
      <c r="L36">
        <v>0.416666666666667</v>
      </c>
    </row>
    <row r="37" spans="1:12">
      <c r="A37" s="71">
        <v>43241</v>
      </c>
      <c r="B37" t="s">
        <v>22</v>
      </c>
      <c r="C37">
        <v>15</v>
      </c>
      <c r="D37">
        <v>0.8824</v>
      </c>
      <c r="E37">
        <v>21</v>
      </c>
      <c r="F37">
        <v>0.913</v>
      </c>
      <c r="G37">
        <v>1</v>
      </c>
      <c r="H37">
        <v>9</v>
      </c>
      <c r="I37">
        <v>0.6</v>
      </c>
      <c r="J37">
        <v>98.91</v>
      </c>
      <c r="K37" t="s">
        <v>44</v>
      </c>
      <c r="L37">
        <v>0.533333333333333</v>
      </c>
    </row>
    <row r="38" spans="1:12">
      <c r="A38" s="71">
        <v>43241</v>
      </c>
      <c r="B38" t="s">
        <v>19</v>
      </c>
      <c r="C38">
        <v>2</v>
      </c>
      <c r="D38">
        <v>0.1176</v>
      </c>
      <c r="E38">
        <v>2</v>
      </c>
      <c r="F38">
        <v>0.087</v>
      </c>
      <c r="G38">
        <v>1</v>
      </c>
      <c r="H38">
        <v>1</v>
      </c>
      <c r="I38">
        <v>0.5</v>
      </c>
      <c r="J38">
        <v>15.99</v>
      </c>
      <c r="K38" t="s">
        <v>39</v>
      </c>
      <c r="L38">
        <v>0.5</v>
      </c>
    </row>
    <row r="39" spans="1:12">
      <c r="A39" s="71">
        <v>43242</v>
      </c>
      <c r="B39" t="s">
        <v>20</v>
      </c>
      <c r="C39">
        <v>1</v>
      </c>
      <c r="D39">
        <v>0.05</v>
      </c>
      <c r="E39">
        <v>1</v>
      </c>
      <c r="F39">
        <v>0.0385</v>
      </c>
      <c r="G39">
        <v>1</v>
      </c>
      <c r="H39">
        <v>0</v>
      </c>
      <c r="I39">
        <v>0</v>
      </c>
      <c r="J39">
        <v>0</v>
      </c>
      <c r="K39" t="s">
        <v>38</v>
      </c>
      <c r="L39">
        <v>0</v>
      </c>
    </row>
    <row r="40" spans="1:12">
      <c r="A40" s="71">
        <v>43242</v>
      </c>
      <c r="B40" t="s">
        <v>19</v>
      </c>
      <c r="C40">
        <v>3</v>
      </c>
      <c r="D40">
        <v>0.15</v>
      </c>
      <c r="E40">
        <v>4</v>
      </c>
      <c r="F40">
        <v>0.1538</v>
      </c>
      <c r="G40">
        <v>1</v>
      </c>
      <c r="H40">
        <v>0</v>
      </c>
      <c r="I40">
        <v>0</v>
      </c>
      <c r="J40">
        <v>0</v>
      </c>
      <c r="K40" t="s">
        <v>38</v>
      </c>
      <c r="L40">
        <v>0</v>
      </c>
    </row>
    <row r="41" spans="1:12">
      <c r="A41" s="71">
        <v>43242</v>
      </c>
      <c r="B41" t="s">
        <v>22</v>
      </c>
      <c r="C41">
        <v>16</v>
      </c>
      <c r="D41">
        <v>0.8</v>
      </c>
      <c r="E41">
        <v>21</v>
      </c>
      <c r="F41">
        <v>0.8077</v>
      </c>
      <c r="G41">
        <v>1</v>
      </c>
      <c r="H41">
        <v>7</v>
      </c>
      <c r="I41">
        <v>0.4375</v>
      </c>
      <c r="J41">
        <v>76.93</v>
      </c>
      <c r="K41" t="s">
        <v>45</v>
      </c>
      <c r="L41">
        <v>0.375</v>
      </c>
    </row>
    <row r="42" spans="1:12">
      <c r="A42" s="71">
        <v>43243</v>
      </c>
      <c r="B42" t="s">
        <v>19</v>
      </c>
      <c r="C42">
        <v>2</v>
      </c>
      <c r="D42">
        <v>0.1429</v>
      </c>
      <c r="E42">
        <v>3</v>
      </c>
      <c r="F42">
        <v>0.1304</v>
      </c>
      <c r="G42">
        <v>1</v>
      </c>
      <c r="H42">
        <v>0</v>
      </c>
      <c r="I42">
        <v>0</v>
      </c>
      <c r="J42">
        <v>0</v>
      </c>
      <c r="K42" t="s">
        <v>38</v>
      </c>
      <c r="L42">
        <v>0</v>
      </c>
    </row>
    <row r="43" spans="1:12">
      <c r="A43" s="71">
        <v>43243</v>
      </c>
      <c r="B43" t="s">
        <v>22</v>
      </c>
      <c r="C43">
        <v>12</v>
      </c>
      <c r="D43">
        <v>0.8571</v>
      </c>
      <c r="E43">
        <v>20</v>
      </c>
      <c r="F43">
        <v>0.8696</v>
      </c>
      <c r="G43">
        <v>1</v>
      </c>
      <c r="H43">
        <v>12</v>
      </c>
      <c r="I43">
        <v>1</v>
      </c>
      <c r="J43">
        <v>131.88</v>
      </c>
      <c r="K43" t="s">
        <v>45</v>
      </c>
      <c r="L43">
        <v>0.5</v>
      </c>
    </row>
    <row r="44" spans="1:12">
      <c r="A44" s="71">
        <v>43244</v>
      </c>
      <c r="B44" t="s">
        <v>22</v>
      </c>
      <c r="C44">
        <v>12</v>
      </c>
      <c r="D44">
        <v>1</v>
      </c>
      <c r="E44">
        <v>14</v>
      </c>
      <c r="F44">
        <v>1</v>
      </c>
      <c r="G44">
        <v>1</v>
      </c>
      <c r="H44">
        <v>7</v>
      </c>
      <c r="I44">
        <v>0.5833</v>
      </c>
      <c r="J44">
        <v>76.93</v>
      </c>
      <c r="K44" t="s">
        <v>45</v>
      </c>
      <c r="L44">
        <v>0.5</v>
      </c>
    </row>
    <row r="45" spans="1:12">
      <c r="A45" s="71">
        <v>43245</v>
      </c>
      <c r="B45" t="s">
        <v>22</v>
      </c>
      <c r="C45">
        <v>13</v>
      </c>
      <c r="D45">
        <v>1</v>
      </c>
      <c r="E45">
        <v>20</v>
      </c>
      <c r="F45">
        <v>1</v>
      </c>
      <c r="G45">
        <v>0.95</v>
      </c>
      <c r="H45">
        <v>9</v>
      </c>
      <c r="I45">
        <v>0.6923</v>
      </c>
      <c r="J45">
        <v>98.91</v>
      </c>
      <c r="K45" t="s">
        <v>45</v>
      </c>
      <c r="L45">
        <v>0.461538461538462</v>
      </c>
    </row>
    <row r="46" spans="1:12">
      <c r="A46" s="71">
        <v>43245</v>
      </c>
      <c r="B46" t="s">
        <v>19</v>
      </c>
      <c r="C46">
        <v>0</v>
      </c>
      <c r="D46">
        <v>0</v>
      </c>
      <c r="E46">
        <v>0</v>
      </c>
      <c r="F46">
        <v>0</v>
      </c>
      <c r="G46">
        <v>0</v>
      </c>
      <c r="H46">
        <v>1</v>
      </c>
      <c r="I46">
        <v>0</v>
      </c>
      <c r="J46">
        <v>15.99</v>
      </c>
      <c r="K46" t="s">
        <v>39</v>
      </c>
      <c r="L46">
        <v>0</v>
      </c>
    </row>
    <row r="47" spans="1:12">
      <c r="A47" s="71">
        <v>43246</v>
      </c>
      <c r="B47" t="s">
        <v>20</v>
      </c>
      <c r="C47">
        <v>1</v>
      </c>
      <c r="D47">
        <v>0.1</v>
      </c>
      <c r="E47">
        <v>1</v>
      </c>
      <c r="F47">
        <v>0.1</v>
      </c>
      <c r="G47">
        <v>1</v>
      </c>
      <c r="H47">
        <v>0</v>
      </c>
      <c r="I47">
        <v>0</v>
      </c>
      <c r="J47">
        <v>0</v>
      </c>
      <c r="K47" t="s">
        <v>38</v>
      </c>
      <c r="L47">
        <v>0</v>
      </c>
    </row>
    <row r="48" spans="1:12">
      <c r="A48" s="71">
        <v>43246</v>
      </c>
      <c r="B48" t="s">
        <v>22</v>
      </c>
      <c r="C48">
        <v>9</v>
      </c>
      <c r="D48">
        <v>0.9</v>
      </c>
      <c r="E48">
        <v>9</v>
      </c>
      <c r="F48">
        <v>0.9</v>
      </c>
      <c r="G48">
        <v>1</v>
      </c>
      <c r="H48">
        <v>0</v>
      </c>
      <c r="I48">
        <v>0</v>
      </c>
      <c r="J48">
        <v>0</v>
      </c>
      <c r="K48" t="s">
        <v>38</v>
      </c>
      <c r="L48">
        <v>0</v>
      </c>
    </row>
    <row r="49" spans="1:12">
      <c r="A49" s="71">
        <v>43247</v>
      </c>
      <c r="B49" t="s">
        <v>22</v>
      </c>
      <c r="C49">
        <v>14</v>
      </c>
      <c r="D49">
        <v>1</v>
      </c>
      <c r="E49">
        <v>19</v>
      </c>
      <c r="F49">
        <v>1</v>
      </c>
      <c r="G49">
        <v>1</v>
      </c>
      <c r="H49">
        <v>2</v>
      </c>
      <c r="I49">
        <v>0.1429</v>
      </c>
      <c r="J49">
        <v>21.98</v>
      </c>
      <c r="K49" t="s">
        <v>40</v>
      </c>
      <c r="L49">
        <v>0.142857142857143</v>
      </c>
    </row>
    <row r="50" spans="1:12">
      <c r="A50" s="71">
        <v>43248</v>
      </c>
      <c r="B50" t="s">
        <v>19</v>
      </c>
      <c r="C50">
        <v>0</v>
      </c>
      <c r="D50">
        <v>0</v>
      </c>
      <c r="E50">
        <v>0</v>
      </c>
      <c r="F50">
        <v>0</v>
      </c>
      <c r="G50">
        <v>0</v>
      </c>
      <c r="H50">
        <v>1</v>
      </c>
      <c r="I50">
        <v>0</v>
      </c>
      <c r="J50">
        <v>15.99</v>
      </c>
      <c r="K50" t="s">
        <v>39</v>
      </c>
      <c r="L50">
        <v>0</v>
      </c>
    </row>
    <row r="51" spans="1:12">
      <c r="A51" s="71">
        <v>43248</v>
      </c>
      <c r="B51" t="s">
        <v>22</v>
      </c>
      <c r="C51">
        <v>22</v>
      </c>
      <c r="D51">
        <v>1</v>
      </c>
      <c r="E51">
        <v>29</v>
      </c>
      <c r="F51">
        <v>1</v>
      </c>
      <c r="G51">
        <v>1</v>
      </c>
      <c r="H51">
        <v>9</v>
      </c>
      <c r="I51">
        <v>0.4091</v>
      </c>
      <c r="J51">
        <v>98.91</v>
      </c>
      <c r="K51" t="s">
        <v>45</v>
      </c>
      <c r="L51">
        <v>0.272727272727273</v>
      </c>
    </row>
    <row r="52" spans="1:12">
      <c r="A52" s="71">
        <v>43249</v>
      </c>
      <c r="B52" t="s">
        <v>20</v>
      </c>
      <c r="C52">
        <v>1</v>
      </c>
      <c r="D52">
        <v>0.0385</v>
      </c>
      <c r="E52">
        <v>1</v>
      </c>
      <c r="F52">
        <v>0.0313</v>
      </c>
      <c r="G52">
        <v>1</v>
      </c>
      <c r="H52">
        <v>0</v>
      </c>
      <c r="I52">
        <v>0</v>
      </c>
      <c r="J52">
        <v>0</v>
      </c>
      <c r="K52" t="s">
        <v>38</v>
      </c>
      <c r="L52">
        <v>0</v>
      </c>
    </row>
    <row r="53" spans="1:12">
      <c r="A53" s="71">
        <v>43249</v>
      </c>
      <c r="B53" t="s">
        <v>19</v>
      </c>
      <c r="C53">
        <v>2</v>
      </c>
      <c r="D53">
        <v>0.0769</v>
      </c>
      <c r="E53">
        <v>3</v>
      </c>
      <c r="F53">
        <v>0.0938</v>
      </c>
      <c r="G53">
        <v>1</v>
      </c>
      <c r="H53">
        <v>0</v>
      </c>
      <c r="I53">
        <v>0</v>
      </c>
      <c r="J53">
        <v>0</v>
      </c>
      <c r="K53" t="s">
        <v>38</v>
      </c>
      <c r="L53">
        <v>0</v>
      </c>
    </row>
    <row r="54" spans="1:12">
      <c r="A54" s="71">
        <v>43249</v>
      </c>
      <c r="B54" t="s">
        <v>22</v>
      </c>
      <c r="C54">
        <v>23</v>
      </c>
      <c r="D54">
        <v>0.8846</v>
      </c>
      <c r="E54">
        <v>28</v>
      </c>
      <c r="F54">
        <v>0.875</v>
      </c>
      <c r="G54">
        <v>0.93</v>
      </c>
      <c r="H54">
        <v>12</v>
      </c>
      <c r="I54">
        <v>0.5217</v>
      </c>
      <c r="J54">
        <v>131.88</v>
      </c>
      <c r="K54" t="s">
        <v>44</v>
      </c>
      <c r="L54">
        <v>0.347826086956522</v>
      </c>
    </row>
    <row r="55" spans="1:12">
      <c r="A55" s="71">
        <v>43250</v>
      </c>
      <c r="B55" t="s">
        <v>22</v>
      </c>
      <c r="C55">
        <v>23</v>
      </c>
      <c r="D55">
        <v>0.9583</v>
      </c>
      <c r="E55">
        <v>31</v>
      </c>
      <c r="F55">
        <v>0.9688</v>
      </c>
      <c r="G55">
        <v>1</v>
      </c>
      <c r="H55">
        <v>12</v>
      </c>
      <c r="I55">
        <v>0.5217</v>
      </c>
      <c r="J55">
        <v>137.88</v>
      </c>
      <c r="K55" t="s">
        <v>41</v>
      </c>
      <c r="L55">
        <v>0.130434782608696</v>
      </c>
    </row>
    <row r="56" spans="1:12">
      <c r="A56" s="71">
        <v>43250</v>
      </c>
      <c r="B56" t="s">
        <v>19</v>
      </c>
      <c r="C56">
        <v>1</v>
      </c>
      <c r="D56">
        <v>0.0417</v>
      </c>
      <c r="E56">
        <v>1</v>
      </c>
      <c r="F56">
        <v>0.0313</v>
      </c>
      <c r="G56">
        <v>1</v>
      </c>
      <c r="H56">
        <v>1</v>
      </c>
      <c r="I56">
        <v>1</v>
      </c>
      <c r="J56">
        <v>15.99</v>
      </c>
      <c r="K56" t="s">
        <v>39</v>
      </c>
      <c r="L56">
        <v>1</v>
      </c>
    </row>
    <row r="57" spans="1:12">
      <c r="A57" s="71">
        <v>43251</v>
      </c>
      <c r="B57" t="s">
        <v>20</v>
      </c>
      <c r="C57">
        <v>1</v>
      </c>
      <c r="D57">
        <v>0.0417</v>
      </c>
      <c r="E57">
        <v>1</v>
      </c>
      <c r="F57">
        <v>0.0333</v>
      </c>
      <c r="G57">
        <v>0</v>
      </c>
      <c r="H57">
        <v>0</v>
      </c>
      <c r="I57">
        <v>0</v>
      </c>
      <c r="J57">
        <v>0</v>
      </c>
      <c r="K57" t="s">
        <v>38</v>
      </c>
      <c r="L57">
        <v>0</v>
      </c>
    </row>
    <row r="58" spans="1:12">
      <c r="A58" s="71">
        <v>43251</v>
      </c>
      <c r="B58" t="s">
        <v>22</v>
      </c>
      <c r="C58">
        <v>19</v>
      </c>
      <c r="D58">
        <v>0.7917</v>
      </c>
      <c r="E58">
        <v>25</v>
      </c>
      <c r="F58">
        <v>0.8333</v>
      </c>
      <c r="G58">
        <v>1</v>
      </c>
      <c r="H58">
        <v>14</v>
      </c>
      <c r="I58">
        <v>0.7368</v>
      </c>
      <c r="J58">
        <v>160.86</v>
      </c>
      <c r="K58" t="s">
        <v>43</v>
      </c>
      <c r="L58">
        <v>0.263157894736842</v>
      </c>
    </row>
    <row r="59" spans="1:12">
      <c r="A59" s="71">
        <v>43251</v>
      </c>
      <c r="B59" t="s">
        <v>19</v>
      </c>
      <c r="C59">
        <v>4</v>
      </c>
      <c r="D59">
        <v>0.1667</v>
      </c>
      <c r="E59">
        <v>4</v>
      </c>
      <c r="F59">
        <v>0.1333</v>
      </c>
      <c r="G59">
        <v>1</v>
      </c>
      <c r="H59">
        <v>1</v>
      </c>
      <c r="I59">
        <v>0.25</v>
      </c>
      <c r="J59">
        <v>15.99</v>
      </c>
      <c r="K59" t="s">
        <v>39</v>
      </c>
      <c r="L59">
        <v>0.25</v>
      </c>
    </row>
    <row r="60" spans="1:12">
      <c r="A60" s="71">
        <v>43252</v>
      </c>
      <c r="B60" t="s">
        <v>22</v>
      </c>
      <c r="C60">
        <v>18</v>
      </c>
      <c r="D60">
        <v>1</v>
      </c>
      <c r="E60">
        <v>24</v>
      </c>
      <c r="F60">
        <v>1</v>
      </c>
      <c r="G60">
        <v>0.96</v>
      </c>
      <c r="H60">
        <v>7</v>
      </c>
      <c r="I60">
        <v>0.3889</v>
      </c>
      <c r="J60">
        <v>80.43</v>
      </c>
      <c r="K60" t="s">
        <v>46</v>
      </c>
      <c r="L60">
        <v>0.388888888888889</v>
      </c>
    </row>
    <row r="61" spans="1:12">
      <c r="A61" s="71">
        <v>43253</v>
      </c>
      <c r="B61" t="s">
        <v>22</v>
      </c>
      <c r="C61">
        <v>19</v>
      </c>
      <c r="D61">
        <v>1</v>
      </c>
      <c r="E61">
        <v>21</v>
      </c>
      <c r="F61">
        <v>1</v>
      </c>
      <c r="G61">
        <v>1</v>
      </c>
      <c r="H61">
        <v>15</v>
      </c>
      <c r="I61">
        <v>0.7895</v>
      </c>
      <c r="J61">
        <v>172.35</v>
      </c>
      <c r="K61" t="s">
        <v>47</v>
      </c>
      <c r="L61">
        <v>0.526315789473684</v>
      </c>
    </row>
    <row r="62" spans="1:12">
      <c r="A62" s="71">
        <v>43254</v>
      </c>
      <c r="B62" t="s">
        <v>20</v>
      </c>
      <c r="C62">
        <v>1</v>
      </c>
      <c r="D62">
        <v>0.0417</v>
      </c>
      <c r="E62">
        <v>1</v>
      </c>
      <c r="F62">
        <v>0.037</v>
      </c>
      <c r="G62">
        <v>1</v>
      </c>
      <c r="H62">
        <v>0</v>
      </c>
      <c r="I62">
        <v>0</v>
      </c>
      <c r="J62">
        <v>0</v>
      </c>
      <c r="K62" t="s">
        <v>38</v>
      </c>
      <c r="L62">
        <v>0</v>
      </c>
    </row>
    <row r="63" spans="1:12">
      <c r="A63" s="71">
        <v>43254</v>
      </c>
      <c r="B63" t="s">
        <v>19</v>
      </c>
      <c r="C63">
        <v>2</v>
      </c>
      <c r="D63">
        <v>0.0833</v>
      </c>
      <c r="E63">
        <v>2</v>
      </c>
      <c r="F63">
        <v>0.0741</v>
      </c>
      <c r="G63">
        <v>1</v>
      </c>
      <c r="H63">
        <v>0</v>
      </c>
      <c r="I63">
        <v>0</v>
      </c>
      <c r="J63">
        <v>0</v>
      </c>
      <c r="K63" t="s">
        <v>38</v>
      </c>
      <c r="L63">
        <v>0</v>
      </c>
    </row>
    <row r="64" spans="1:12">
      <c r="A64" s="71">
        <v>43254</v>
      </c>
      <c r="B64" t="s">
        <v>18</v>
      </c>
      <c r="C64">
        <v>3</v>
      </c>
      <c r="D64">
        <v>0.125</v>
      </c>
      <c r="E64">
        <v>4</v>
      </c>
      <c r="F64">
        <v>0.1481</v>
      </c>
      <c r="G64">
        <v>1</v>
      </c>
      <c r="H64">
        <v>0</v>
      </c>
      <c r="I64">
        <v>0</v>
      </c>
      <c r="J64">
        <v>0</v>
      </c>
      <c r="K64" t="s">
        <v>38</v>
      </c>
      <c r="L64">
        <v>0</v>
      </c>
    </row>
    <row r="65" spans="1:12">
      <c r="A65" s="71">
        <v>43254</v>
      </c>
      <c r="B65" t="s">
        <v>22</v>
      </c>
      <c r="C65">
        <v>18</v>
      </c>
      <c r="D65">
        <v>0.75</v>
      </c>
      <c r="E65">
        <v>20</v>
      </c>
      <c r="F65">
        <v>0.7407</v>
      </c>
      <c r="G65">
        <v>1</v>
      </c>
      <c r="H65">
        <v>8</v>
      </c>
      <c r="I65">
        <v>0.4444</v>
      </c>
      <c r="J65">
        <v>91.92</v>
      </c>
      <c r="K65" t="s">
        <v>45</v>
      </c>
      <c r="L65">
        <v>0.333333333333333</v>
      </c>
    </row>
    <row r="66" spans="1:12">
      <c r="A66" s="71">
        <v>43255</v>
      </c>
      <c r="B66" t="s">
        <v>18</v>
      </c>
      <c r="C66">
        <v>14</v>
      </c>
      <c r="D66">
        <v>0.4</v>
      </c>
      <c r="E66">
        <v>17</v>
      </c>
      <c r="F66">
        <v>0.3953</v>
      </c>
      <c r="G66">
        <v>1</v>
      </c>
      <c r="H66">
        <v>0</v>
      </c>
      <c r="I66">
        <v>0</v>
      </c>
      <c r="J66">
        <v>0</v>
      </c>
      <c r="K66" t="s">
        <v>38</v>
      </c>
      <c r="L66">
        <v>0</v>
      </c>
    </row>
    <row r="67" spans="1:12">
      <c r="A67" s="71">
        <v>43255</v>
      </c>
      <c r="B67" t="s">
        <v>19</v>
      </c>
      <c r="C67">
        <v>1</v>
      </c>
      <c r="D67">
        <v>0.0286</v>
      </c>
      <c r="E67">
        <v>1</v>
      </c>
      <c r="F67">
        <v>0.0233</v>
      </c>
      <c r="G67">
        <v>1</v>
      </c>
      <c r="H67">
        <v>2</v>
      </c>
      <c r="I67">
        <v>2</v>
      </c>
      <c r="J67">
        <v>31.98</v>
      </c>
      <c r="K67" t="s">
        <v>39</v>
      </c>
      <c r="L67">
        <v>1</v>
      </c>
    </row>
    <row r="68" spans="1:12">
      <c r="A68" s="71">
        <v>43255</v>
      </c>
      <c r="B68" t="s">
        <v>22</v>
      </c>
      <c r="C68">
        <v>20</v>
      </c>
      <c r="D68">
        <v>0.5714</v>
      </c>
      <c r="E68">
        <v>25</v>
      </c>
      <c r="F68">
        <v>0.5814</v>
      </c>
      <c r="G68">
        <v>1</v>
      </c>
      <c r="H68">
        <v>9</v>
      </c>
      <c r="I68">
        <v>0.45</v>
      </c>
      <c r="J68">
        <v>103.41</v>
      </c>
      <c r="K68" t="s">
        <v>48</v>
      </c>
      <c r="L68">
        <v>0.45</v>
      </c>
    </row>
    <row r="69" spans="1:12">
      <c r="A69" s="71">
        <v>43256</v>
      </c>
      <c r="B69" t="s">
        <v>20</v>
      </c>
      <c r="C69">
        <v>1</v>
      </c>
      <c r="D69">
        <v>0.0278</v>
      </c>
      <c r="E69">
        <v>1</v>
      </c>
      <c r="F69">
        <v>0.0244</v>
      </c>
      <c r="G69">
        <v>1</v>
      </c>
      <c r="H69">
        <v>0</v>
      </c>
      <c r="I69">
        <v>0</v>
      </c>
      <c r="J69">
        <v>0</v>
      </c>
      <c r="K69" t="s">
        <v>38</v>
      </c>
      <c r="L69">
        <v>0</v>
      </c>
    </row>
    <row r="70" spans="1:12">
      <c r="A70" s="71">
        <v>43256</v>
      </c>
      <c r="B70" t="s">
        <v>22</v>
      </c>
      <c r="C70">
        <v>30</v>
      </c>
      <c r="D70">
        <v>0.8333</v>
      </c>
      <c r="E70">
        <v>35</v>
      </c>
      <c r="F70">
        <v>0.8537</v>
      </c>
      <c r="G70">
        <v>1</v>
      </c>
      <c r="H70">
        <v>13</v>
      </c>
      <c r="I70">
        <v>0.4333</v>
      </c>
      <c r="J70">
        <v>149.37</v>
      </c>
      <c r="K70" t="s">
        <v>49</v>
      </c>
      <c r="L70">
        <v>0.4</v>
      </c>
    </row>
    <row r="71" spans="1:12">
      <c r="A71" s="71">
        <v>43256</v>
      </c>
      <c r="B71" t="s">
        <v>19</v>
      </c>
      <c r="C71">
        <v>3</v>
      </c>
      <c r="D71">
        <v>0.0833</v>
      </c>
      <c r="E71">
        <v>3</v>
      </c>
      <c r="F71">
        <v>0.0732</v>
      </c>
      <c r="G71">
        <v>1</v>
      </c>
      <c r="H71">
        <v>1</v>
      </c>
      <c r="I71">
        <v>0.3333</v>
      </c>
      <c r="J71">
        <v>15.99</v>
      </c>
      <c r="K71" t="s">
        <v>39</v>
      </c>
      <c r="L71">
        <v>0.333333333333333</v>
      </c>
    </row>
    <row r="72" spans="1:12">
      <c r="A72" s="71">
        <v>43256</v>
      </c>
      <c r="B72" t="s">
        <v>18</v>
      </c>
      <c r="C72">
        <v>2</v>
      </c>
      <c r="D72">
        <v>0.0556</v>
      </c>
      <c r="E72">
        <v>2</v>
      </c>
      <c r="F72">
        <v>0.0488</v>
      </c>
      <c r="G72">
        <v>1</v>
      </c>
      <c r="H72">
        <v>1</v>
      </c>
      <c r="I72">
        <v>0.5</v>
      </c>
      <c r="J72">
        <v>22.99</v>
      </c>
      <c r="K72" t="s">
        <v>39</v>
      </c>
      <c r="L72">
        <v>0.5</v>
      </c>
    </row>
    <row r="73" spans="1:12">
      <c r="A73" s="71">
        <v>43257</v>
      </c>
      <c r="B73" t="s">
        <v>20</v>
      </c>
      <c r="C73">
        <v>2</v>
      </c>
      <c r="D73">
        <v>0.0476</v>
      </c>
      <c r="E73">
        <v>2</v>
      </c>
      <c r="F73">
        <v>0.0339</v>
      </c>
      <c r="G73">
        <v>1</v>
      </c>
      <c r="H73">
        <v>0</v>
      </c>
      <c r="I73">
        <v>0</v>
      </c>
      <c r="J73">
        <v>0</v>
      </c>
      <c r="K73" t="s">
        <v>38</v>
      </c>
      <c r="L73">
        <v>0</v>
      </c>
    </row>
    <row r="74" spans="1:12">
      <c r="A74" s="71">
        <v>43257</v>
      </c>
      <c r="B74" t="s">
        <v>19</v>
      </c>
      <c r="C74">
        <v>4</v>
      </c>
      <c r="D74">
        <v>0.0952</v>
      </c>
      <c r="E74">
        <v>7</v>
      </c>
      <c r="F74">
        <v>0.1186</v>
      </c>
      <c r="G74">
        <v>1</v>
      </c>
      <c r="H74">
        <v>0</v>
      </c>
      <c r="I74">
        <v>0</v>
      </c>
      <c r="J74">
        <v>0</v>
      </c>
      <c r="K74" t="s">
        <v>38</v>
      </c>
      <c r="L74">
        <v>0</v>
      </c>
    </row>
    <row r="75" spans="1:12">
      <c r="A75" s="71">
        <v>43257</v>
      </c>
      <c r="B75" t="s">
        <v>22</v>
      </c>
      <c r="C75">
        <v>29</v>
      </c>
      <c r="D75">
        <v>0.6905</v>
      </c>
      <c r="E75">
        <v>43</v>
      </c>
      <c r="F75">
        <v>0.7288</v>
      </c>
      <c r="G75">
        <v>0.98</v>
      </c>
      <c r="H75">
        <v>17</v>
      </c>
      <c r="I75">
        <v>0.5862</v>
      </c>
      <c r="J75">
        <v>195.33</v>
      </c>
      <c r="K75" t="s">
        <v>50</v>
      </c>
      <c r="L75">
        <v>0.517241379310345</v>
      </c>
    </row>
    <row r="76" spans="1:12">
      <c r="A76" s="71">
        <v>43257</v>
      </c>
      <c r="B76" t="s">
        <v>18</v>
      </c>
      <c r="C76">
        <v>7</v>
      </c>
      <c r="D76">
        <v>0.1667</v>
      </c>
      <c r="E76">
        <v>7</v>
      </c>
      <c r="F76">
        <v>0.1186</v>
      </c>
      <c r="G76">
        <v>1</v>
      </c>
      <c r="H76">
        <v>1</v>
      </c>
      <c r="I76">
        <v>0.1429</v>
      </c>
      <c r="J76">
        <v>22.99</v>
      </c>
      <c r="K76" t="s">
        <v>39</v>
      </c>
      <c r="L76">
        <v>0.142857142857143</v>
      </c>
    </row>
    <row r="77" spans="1:12">
      <c r="A77" s="71">
        <v>43258</v>
      </c>
      <c r="B77" t="s">
        <v>19</v>
      </c>
      <c r="C77">
        <v>4</v>
      </c>
      <c r="D77">
        <v>0.0976</v>
      </c>
      <c r="E77">
        <v>4</v>
      </c>
      <c r="F77">
        <v>0.08</v>
      </c>
      <c r="G77">
        <v>1</v>
      </c>
      <c r="H77">
        <v>2</v>
      </c>
      <c r="I77">
        <v>0.5</v>
      </c>
      <c r="J77">
        <v>31.98</v>
      </c>
      <c r="K77" t="s">
        <v>39</v>
      </c>
      <c r="L77">
        <v>0.25</v>
      </c>
    </row>
    <row r="78" spans="1:12">
      <c r="A78" s="71">
        <v>43258</v>
      </c>
      <c r="B78" t="s">
        <v>22</v>
      </c>
      <c r="C78">
        <v>27</v>
      </c>
      <c r="D78">
        <v>0.6585</v>
      </c>
      <c r="E78">
        <v>35</v>
      </c>
      <c r="F78">
        <v>0.7</v>
      </c>
      <c r="G78">
        <v>1</v>
      </c>
      <c r="H78">
        <v>23</v>
      </c>
      <c r="I78">
        <v>0.8519</v>
      </c>
      <c r="J78">
        <v>264.77</v>
      </c>
      <c r="K78" t="s">
        <v>51</v>
      </c>
      <c r="L78">
        <v>0.62962962962963</v>
      </c>
    </row>
    <row r="79" spans="1:12">
      <c r="A79" s="71">
        <v>43258</v>
      </c>
      <c r="B79" t="s">
        <v>18</v>
      </c>
      <c r="C79">
        <v>10</v>
      </c>
      <c r="D79">
        <v>0.2439</v>
      </c>
      <c r="E79">
        <v>11</v>
      </c>
      <c r="F79">
        <v>0.22</v>
      </c>
      <c r="G79">
        <v>1</v>
      </c>
      <c r="H79">
        <v>1</v>
      </c>
      <c r="I79">
        <v>0.1</v>
      </c>
      <c r="J79">
        <v>22.99</v>
      </c>
      <c r="K79" t="s">
        <v>39</v>
      </c>
      <c r="L79">
        <v>0.1</v>
      </c>
    </row>
    <row r="80" spans="1:12">
      <c r="A80" s="71">
        <v>43259</v>
      </c>
      <c r="B80" t="s">
        <v>21</v>
      </c>
      <c r="C80">
        <v>1</v>
      </c>
      <c r="D80">
        <v>0.0179</v>
      </c>
      <c r="E80">
        <v>1</v>
      </c>
      <c r="F80">
        <v>0.0139</v>
      </c>
      <c r="G80">
        <v>1</v>
      </c>
      <c r="H80">
        <v>0</v>
      </c>
      <c r="I80">
        <v>0</v>
      </c>
      <c r="J80">
        <v>0</v>
      </c>
      <c r="K80" t="s">
        <v>38</v>
      </c>
      <c r="L80">
        <v>0</v>
      </c>
    </row>
    <row r="81" spans="1:12">
      <c r="A81" s="71">
        <v>43259</v>
      </c>
      <c r="B81" t="s">
        <v>20</v>
      </c>
      <c r="C81">
        <v>2</v>
      </c>
      <c r="D81">
        <v>0.0357</v>
      </c>
      <c r="E81">
        <v>2</v>
      </c>
      <c r="F81">
        <v>0.0278</v>
      </c>
      <c r="G81">
        <v>1</v>
      </c>
      <c r="H81">
        <v>0</v>
      </c>
      <c r="I81">
        <v>0</v>
      </c>
      <c r="J81">
        <v>0</v>
      </c>
      <c r="K81" t="s">
        <v>38</v>
      </c>
      <c r="L81">
        <v>0</v>
      </c>
    </row>
    <row r="82" spans="1:12">
      <c r="A82" s="71">
        <v>43259</v>
      </c>
      <c r="B82" t="s">
        <v>19</v>
      </c>
      <c r="C82">
        <v>4</v>
      </c>
      <c r="D82">
        <v>0.0714</v>
      </c>
      <c r="E82">
        <v>5</v>
      </c>
      <c r="F82">
        <v>0.0694</v>
      </c>
      <c r="G82">
        <v>1</v>
      </c>
      <c r="H82">
        <v>0</v>
      </c>
      <c r="I82">
        <v>0</v>
      </c>
      <c r="J82">
        <v>0</v>
      </c>
      <c r="K82" t="s">
        <v>38</v>
      </c>
      <c r="L82">
        <v>0</v>
      </c>
    </row>
    <row r="83" spans="1:12">
      <c r="A83" s="71">
        <v>43259</v>
      </c>
      <c r="B83" t="s">
        <v>22</v>
      </c>
      <c r="C83">
        <v>32</v>
      </c>
      <c r="D83">
        <v>0.5714</v>
      </c>
      <c r="E83">
        <v>42</v>
      </c>
      <c r="F83">
        <v>0.5833</v>
      </c>
      <c r="G83">
        <v>1</v>
      </c>
      <c r="H83">
        <v>11</v>
      </c>
      <c r="I83">
        <v>0.3438</v>
      </c>
      <c r="J83">
        <v>131.89</v>
      </c>
      <c r="K83" t="s">
        <v>47</v>
      </c>
      <c r="L83">
        <v>0.3125</v>
      </c>
    </row>
    <row r="84" spans="1:12">
      <c r="A84" s="71">
        <v>43259</v>
      </c>
      <c r="B84" t="s">
        <v>18</v>
      </c>
      <c r="C84">
        <v>17</v>
      </c>
      <c r="D84">
        <v>0.3036</v>
      </c>
      <c r="E84">
        <v>22</v>
      </c>
      <c r="F84">
        <v>0.3056</v>
      </c>
      <c r="G84">
        <v>1</v>
      </c>
      <c r="H84">
        <v>1</v>
      </c>
      <c r="I84">
        <v>0.0588</v>
      </c>
      <c r="J84">
        <v>22.99</v>
      </c>
      <c r="K84" t="s">
        <v>39</v>
      </c>
      <c r="L84">
        <v>0.0588235294117647</v>
      </c>
    </row>
    <row r="85" spans="1:12">
      <c r="A85" s="71">
        <v>43260</v>
      </c>
      <c r="B85" t="s">
        <v>19</v>
      </c>
      <c r="C85">
        <v>4</v>
      </c>
      <c r="D85">
        <v>0.2105</v>
      </c>
      <c r="E85">
        <v>6</v>
      </c>
      <c r="F85">
        <v>0.2727</v>
      </c>
      <c r="G85">
        <v>1</v>
      </c>
      <c r="H85">
        <v>4</v>
      </c>
      <c r="I85">
        <v>1</v>
      </c>
      <c r="J85">
        <v>63.96</v>
      </c>
      <c r="K85" t="s">
        <v>40</v>
      </c>
      <c r="L85">
        <v>0.5</v>
      </c>
    </row>
    <row r="86" spans="1:12">
      <c r="A86" s="71">
        <v>43260</v>
      </c>
      <c r="B86" t="s">
        <v>22</v>
      </c>
      <c r="C86">
        <v>15</v>
      </c>
      <c r="D86">
        <v>0.7895</v>
      </c>
      <c r="E86">
        <v>16</v>
      </c>
      <c r="F86">
        <v>0.7273</v>
      </c>
      <c r="G86">
        <v>1</v>
      </c>
      <c r="H86">
        <v>10</v>
      </c>
      <c r="I86">
        <v>0.6667</v>
      </c>
      <c r="J86">
        <v>119.9</v>
      </c>
      <c r="K86" t="s">
        <v>46</v>
      </c>
      <c r="L86">
        <v>0.466666666666667</v>
      </c>
    </row>
    <row r="87" spans="1:12">
      <c r="A87" s="71">
        <v>43261</v>
      </c>
      <c r="B87" t="s">
        <v>19</v>
      </c>
      <c r="C87">
        <v>2</v>
      </c>
      <c r="D87">
        <v>0.08</v>
      </c>
      <c r="E87">
        <v>2</v>
      </c>
      <c r="F87">
        <v>0.0606</v>
      </c>
      <c r="G87">
        <v>1</v>
      </c>
      <c r="H87">
        <v>0</v>
      </c>
      <c r="I87">
        <v>0</v>
      </c>
      <c r="J87">
        <v>0</v>
      </c>
      <c r="K87" t="s">
        <v>38</v>
      </c>
      <c r="L87">
        <v>0</v>
      </c>
    </row>
    <row r="88" spans="1:12">
      <c r="A88" s="71">
        <v>43261</v>
      </c>
      <c r="B88" t="s">
        <v>18</v>
      </c>
      <c r="C88">
        <v>4</v>
      </c>
      <c r="D88">
        <v>0.16</v>
      </c>
      <c r="E88">
        <v>4</v>
      </c>
      <c r="F88">
        <v>0.1212</v>
      </c>
      <c r="G88">
        <v>1</v>
      </c>
      <c r="H88">
        <v>0</v>
      </c>
      <c r="I88">
        <v>0</v>
      </c>
      <c r="J88">
        <v>0</v>
      </c>
      <c r="K88" t="s">
        <v>38</v>
      </c>
      <c r="L88">
        <v>0</v>
      </c>
    </row>
    <row r="89" spans="1:12">
      <c r="A89" s="71">
        <v>43261</v>
      </c>
      <c r="B89" t="s">
        <v>22</v>
      </c>
      <c r="C89">
        <v>19</v>
      </c>
      <c r="D89">
        <v>0.76</v>
      </c>
      <c r="E89">
        <v>27</v>
      </c>
      <c r="F89">
        <v>0.8182</v>
      </c>
      <c r="G89">
        <v>1</v>
      </c>
      <c r="H89">
        <v>19</v>
      </c>
      <c r="I89">
        <v>1</v>
      </c>
      <c r="J89">
        <v>227.81</v>
      </c>
      <c r="K89" t="s">
        <v>50</v>
      </c>
      <c r="L89">
        <v>0.789473684210526</v>
      </c>
    </row>
    <row r="90" spans="1:12">
      <c r="A90" s="71">
        <v>43262</v>
      </c>
      <c r="B90" t="s">
        <v>19</v>
      </c>
      <c r="C90">
        <v>1</v>
      </c>
      <c r="D90">
        <v>0.0294</v>
      </c>
      <c r="E90">
        <v>1</v>
      </c>
      <c r="F90">
        <v>0.0244</v>
      </c>
      <c r="G90">
        <v>1</v>
      </c>
      <c r="H90">
        <v>0</v>
      </c>
      <c r="I90">
        <v>0</v>
      </c>
      <c r="J90">
        <v>0</v>
      </c>
      <c r="K90" t="s">
        <v>38</v>
      </c>
      <c r="L90">
        <v>0</v>
      </c>
    </row>
    <row r="91" spans="1:12">
      <c r="A91" s="71">
        <v>43262</v>
      </c>
      <c r="B91" t="s">
        <v>22</v>
      </c>
      <c r="C91">
        <v>27</v>
      </c>
      <c r="D91">
        <v>0.7941</v>
      </c>
      <c r="E91">
        <v>34</v>
      </c>
      <c r="F91">
        <v>0.8293</v>
      </c>
      <c r="G91">
        <v>1</v>
      </c>
      <c r="H91">
        <v>28</v>
      </c>
      <c r="I91">
        <v>1.037</v>
      </c>
      <c r="J91">
        <v>335.72</v>
      </c>
      <c r="K91" t="s">
        <v>52</v>
      </c>
      <c r="L91">
        <v>0.777777777777778</v>
      </c>
    </row>
    <row r="92" spans="1:12">
      <c r="A92" s="71">
        <v>43262</v>
      </c>
      <c r="B92" t="s">
        <v>18</v>
      </c>
      <c r="C92">
        <v>6</v>
      </c>
      <c r="D92">
        <v>0.1765</v>
      </c>
      <c r="E92">
        <v>6</v>
      </c>
      <c r="F92">
        <v>0.1463</v>
      </c>
      <c r="G92">
        <v>1</v>
      </c>
      <c r="H92">
        <v>1</v>
      </c>
      <c r="I92">
        <v>0.1667</v>
      </c>
      <c r="J92">
        <v>22.99</v>
      </c>
      <c r="K92" t="s">
        <v>39</v>
      </c>
      <c r="L92">
        <v>0.166666666666667</v>
      </c>
    </row>
    <row r="93" spans="1:12">
      <c r="A93" s="71">
        <v>43263</v>
      </c>
      <c r="B93" t="s">
        <v>18</v>
      </c>
      <c r="C93">
        <v>8</v>
      </c>
      <c r="D93">
        <v>0.2581</v>
      </c>
      <c r="E93">
        <v>11</v>
      </c>
      <c r="F93">
        <v>0.275</v>
      </c>
      <c r="G93">
        <v>1</v>
      </c>
      <c r="H93">
        <v>0</v>
      </c>
      <c r="I93">
        <v>0</v>
      </c>
      <c r="J93">
        <v>0</v>
      </c>
      <c r="K93" t="s">
        <v>38</v>
      </c>
      <c r="L93">
        <v>0</v>
      </c>
    </row>
    <row r="94" spans="1:12">
      <c r="A94" s="71">
        <v>43263</v>
      </c>
      <c r="B94" t="s">
        <v>19</v>
      </c>
      <c r="C94">
        <v>1</v>
      </c>
      <c r="D94">
        <v>0.0323</v>
      </c>
      <c r="E94">
        <v>1</v>
      </c>
      <c r="F94">
        <v>0.025</v>
      </c>
      <c r="G94">
        <v>0</v>
      </c>
      <c r="H94">
        <v>0</v>
      </c>
      <c r="I94">
        <v>0</v>
      </c>
      <c r="J94">
        <v>0</v>
      </c>
      <c r="K94" t="s">
        <v>38</v>
      </c>
      <c r="L94">
        <v>0</v>
      </c>
    </row>
    <row r="95" spans="1:12">
      <c r="A95" s="71">
        <v>43263</v>
      </c>
      <c r="B95" t="s">
        <v>20</v>
      </c>
      <c r="C95">
        <v>1</v>
      </c>
      <c r="D95">
        <v>0.0323</v>
      </c>
      <c r="E95">
        <v>1</v>
      </c>
      <c r="F95">
        <v>0.025</v>
      </c>
      <c r="G95">
        <v>0</v>
      </c>
      <c r="H95">
        <v>0</v>
      </c>
      <c r="I95">
        <v>0</v>
      </c>
      <c r="J95">
        <v>0</v>
      </c>
      <c r="K95" t="s">
        <v>38</v>
      </c>
      <c r="L95">
        <v>0</v>
      </c>
    </row>
    <row r="96" spans="1:12">
      <c r="A96" s="71">
        <v>43263</v>
      </c>
      <c r="B96" t="s">
        <v>22</v>
      </c>
      <c r="C96">
        <v>21</v>
      </c>
      <c r="D96">
        <v>0.6774</v>
      </c>
      <c r="E96">
        <v>27</v>
      </c>
      <c r="F96">
        <v>0.675</v>
      </c>
      <c r="G96">
        <v>1</v>
      </c>
      <c r="H96">
        <v>9</v>
      </c>
      <c r="I96">
        <v>0.4286</v>
      </c>
      <c r="J96">
        <v>107.91</v>
      </c>
      <c r="K96" t="s">
        <v>44</v>
      </c>
      <c r="L96">
        <v>0.380952380952381</v>
      </c>
    </row>
    <row r="97" spans="1:12">
      <c r="A97" s="71">
        <v>43264</v>
      </c>
      <c r="B97" t="s">
        <v>18</v>
      </c>
      <c r="C97">
        <v>11</v>
      </c>
      <c r="D97">
        <v>0.3143</v>
      </c>
      <c r="E97">
        <v>11</v>
      </c>
      <c r="F97">
        <v>0.2895</v>
      </c>
      <c r="G97">
        <v>1</v>
      </c>
      <c r="H97">
        <v>2</v>
      </c>
      <c r="I97">
        <v>0.1818</v>
      </c>
      <c r="J97">
        <v>45.98</v>
      </c>
      <c r="K97" t="s">
        <v>40</v>
      </c>
      <c r="L97">
        <v>0.181818181818182</v>
      </c>
    </row>
    <row r="98" spans="1:12">
      <c r="A98" s="71">
        <v>43264</v>
      </c>
      <c r="B98" t="s">
        <v>22</v>
      </c>
      <c r="C98">
        <v>22</v>
      </c>
      <c r="D98">
        <v>0.6286</v>
      </c>
      <c r="E98">
        <v>25</v>
      </c>
      <c r="F98">
        <v>0.6579</v>
      </c>
      <c r="G98">
        <v>1</v>
      </c>
      <c r="H98">
        <v>19</v>
      </c>
      <c r="I98">
        <v>0.8636</v>
      </c>
      <c r="J98">
        <v>227.81</v>
      </c>
      <c r="K98" t="s">
        <v>53</v>
      </c>
      <c r="L98">
        <v>0.590909090909091</v>
      </c>
    </row>
    <row r="99" spans="1:12">
      <c r="A99" s="71">
        <v>43264</v>
      </c>
      <c r="B99" t="s">
        <v>19</v>
      </c>
      <c r="C99">
        <v>2</v>
      </c>
      <c r="D99">
        <v>0.0571</v>
      </c>
      <c r="E99">
        <v>2</v>
      </c>
      <c r="F99">
        <v>0.0526</v>
      </c>
      <c r="G99">
        <v>1</v>
      </c>
      <c r="H99">
        <v>1</v>
      </c>
      <c r="I99">
        <v>0.5</v>
      </c>
      <c r="J99">
        <v>15.99</v>
      </c>
      <c r="K99" t="s">
        <v>39</v>
      </c>
      <c r="L99">
        <v>0.5</v>
      </c>
    </row>
    <row r="100" spans="1:12">
      <c r="A100" s="71">
        <v>43265</v>
      </c>
      <c r="B100" t="s">
        <v>19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1</v>
      </c>
      <c r="I100">
        <v>0</v>
      </c>
      <c r="J100">
        <v>15.99</v>
      </c>
      <c r="K100" t="s">
        <v>39</v>
      </c>
      <c r="L100">
        <v>0</v>
      </c>
    </row>
    <row r="101" spans="1:12">
      <c r="A101" s="71">
        <v>43265</v>
      </c>
      <c r="B101" t="s">
        <v>22</v>
      </c>
      <c r="C101">
        <v>24</v>
      </c>
      <c r="D101">
        <v>0.9231</v>
      </c>
      <c r="E101">
        <v>32</v>
      </c>
      <c r="F101">
        <v>0.9412</v>
      </c>
      <c r="G101">
        <v>1</v>
      </c>
      <c r="H101">
        <v>12</v>
      </c>
      <c r="I101">
        <v>0.5</v>
      </c>
      <c r="J101">
        <v>143.88</v>
      </c>
      <c r="K101" t="s">
        <v>54</v>
      </c>
      <c r="L101">
        <v>0.458333333333333</v>
      </c>
    </row>
    <row r="102" spans="1:12">
      <c r="A102" s="71">
        <v>43265</v>
      </c>
      <c r="B102" t="s">
        <v>18</v>
      </c>
      <c r="C102">
        <v>2</v>
      </c>
      <c r="D102">
        <v>0.0769</v>
      </c>
      <c r="E102">
        <v>2</v>
      </c>
      <c r="F102">
        <v>0.0588</v>
      </c>
      <c r="G102">
        <v>1</v>
      </c>
      <c r="H102">
        <v>1</v>
      </c>
      <c r="I102">
        <v>0.5</v>
      </c>
      <c r="J102">
        <v>22.99</v>
      </c>
      <c r="K102" t="s">
        <v>39</v>
      </c>
      <c r="L102">
        <v>0.5</v>
      </c>
    </row>
    <row r="103" spans="1:12">
      <c r="A103" s="71">
        <v>43266</v>
      </c>
      <c r="B103" t="s">
        <v>20</v>
      </c>
      <c r="C103">
        <v>1</v>
      </c>
      <c r="D103">
        <v>0.0333</v>
      </c>
      <c r="E103">
        <v>1</v>
      </c>
      <c r="F103">
        <v>0.0238</v>
      </c>
      <c r="G103">
        <v>1</v>
      </c>
      <c r="H103">
        <v>0</v>
      </c>
      <c r="I103">
        <v>0</v>
      </c>
      <c r="J103">
        <v>0</v>
      </c>
      <c r="K103" t="s">
        <v>38</v>
      </c>
      <c r="L103">
        <v>0</v>
      </c>
    </row>
    <row r="104" spans="1:12">
      <c r="A104" s="71">
        <v>43266</v>
      </c>
      <c r="B104" t="s">
        <v>19</v>
      </c>
      <c r="C104">
        <v>2</v>
      </c>
      <c r="D104">
        <v>0.0667</v>
      </c>
      <c r="E104">
        <v>2</v>
      </c>
      <c r="F104">
        <v>0.0476</v>
      </c>
      <c r="G104">
        <v>1</v>
      </c>
      <c r="H104">
        <v>0</v>
      </c>
      <c r="I104">
        <v>0</v>
      </c>
      <c r="J104">
        <v>0</v>
      </c>
      <c r="K104" t="s">
        <v>38</v>
      </c>
      <c r="L104">
        <v>0</v>
      </c>
    </row>
    <row r="105" spans="1:12">
      <c r="A105" s="71">
        <v>43266</v>
      </c>
      <c r="B105" t="s">
        <v>18</v>
      </c>
      <c r="C105">
        <v>5</v>
      </c>
      <c r="D105">
        <v>0.1667</v>
      </c>
      <c r="E105">
        <v>7</v>
      </c>
      <c r="F105">
        <v>0.1667</v>
      </c>
      <c r="G105">
        <v>1</v>
      </c>
      <c r="H105">
        <v>0</v>
      </c>
      <c r="I105">
        <v>0</v>
      </c>
      <c r="J105">
        <v>0</v>
      </c>
      <c r="K105" t="s">
        <v>38</v>
      </c>
      <c r="L105">
        <v>0</v>
      </c>
    </row>
    <row r="106" spans="1:12">
      <c r="A106" s="71">
        <v>43266</v>
      </c>
      <c r="B106" t="s">
        <v>21</v>
      </c>
      <c r="C106">
        <v>1</v>
      </c>
      <c r="D106">
        <v>0.0333</v>
      </c>
      <c r="E106">
        <v>1</v>
      </c>
      <c r="F106">
        <v>0.0238</v>
      </c>
      <c r="G106">
        <v>0</v>
      </c>
      <c r="H106">
        <v>0</v>
      </c>
      <c r="I106">
        <v>0</v>
      </c>
      <c r="J106">
        <v>0</v>
      </c>
      <c r="K106" t="s">
        <v>38</v>
      </c>
      <c r="L106">
        <v>0</v>
      </c>
    </row>
    <row r="107" spans="1:12">
      <c r="A107" s="71">
        <v>43266</v>
      </c>
      <c r="B107" t="s">
        <v>22</v>
      </c>
      <c r="C107">
        <v>21</v>
      </c>
      <c r="D107">
        <v>0.7</v>
      </c>
      <c r="E107">
        <v>31</v>
      </c>
      <c r="F107">
        <v>0.7381</v>
      </c>
      <c r="G107">
        <v>1</v>
      </c>
      <c r="H107">
        <v>9</v>
      </c>
      <c r="I107">
        <v>0.4286</v>
      </c>
      <c r="J107">
        <v>107.91</v>
      </c>
      <c r="K107" t="s">
        <v>45</v>
      </c>
      <c r="L107">
        <v>0.285714285714286</v>
      </c>
    </row>
    <row r="108" spans="1:12">
      <c r="A108" s="71">
        <v>43267</v>
      </c>
      <c r="B108" t="s">
        <v>18</v>
      </c>
      <c r="C108">
        <v>6</v>
      </c>
      <c r="D108">
        <v>0.2857</v>
      </c>
      <c r="E108">
        <v>7</v>
      </c>
      <c r="F108">
        <v>0.3043</v>
      </c>
      <c r="G108">
        <v>1</v>
      </c>
      <c r="H108">
        <v>0</v>
      </c>
      <c r="I108">
        <v>0</v>
      </c>
      <c r="J108">
        <v>0</v>
      </c>
      <c r="K108" t="s">
        <v>38</v>
      </c>
      <c r="L108">
        <v>0</v>
      </c>
    </row>
    <row r="109" spans="1:12">
      <c r="A109" s="71">
        <v>43267</v>
      </c>
      <c r="B109" t="s">
        <v>19</v>
      </c>
      <c r="C109">
        <v>3</v>
      </c>
      <c r="D109">
        <v>0.1429</v>
      </c>
      <c r="E109">
        <v>3</v>
      </c>
      <c r="F109">
        <v>0.1304</v>
      </c>
      <c r="G109">
        <v>1</v>
      </c>
      <c r="H109">
        <v>0</v>
      </c>
      <c r="I109">
        <v>0</v>
      </c>
      <c r="J109">
        <v>0</v>
      </c>
      <c r="K109" t="s">
        <v>38</v>
      </c>
      <c r="L109">
        <v>0</v>
      </c>
    </row>
    <row r="110" spans="1:12">
      <c r="A110" s="71">
        <v>43267</v>
      </c>
      <c r="B110" t="s">
        <v>22</v>
      </c>
      <c r="C110">
        <v>12</v>
      </c>
      <c r="D110">
        <v>0.5714</v>
      </c>
      <c r="E110">
        <v>13</v>
      </c>
      <c r="F110">
        <v>0.5652</v>
      </c>
      <c r="G110">
        <v>1</v>
      </c>
      <c r="H110">
        <v>3</v>
      </c>
      <c r="I110">
        <v>0.25</v>
      </c>
      <c r="J110">
        <v>35.97</v>
      </c>
      <c r="K110" t="s">
        <v>41</v>
      </c>
      <c r="L110">
        <v>0.25</v>
      </c>
    </row>
    <row r="111" spans="1:12">
      <c r="A111" s="71">
        <v>43268</v>
      </c>
      <c r="B111" t="s">
        <v>18</v>
      </c>
      <c r="C111">
        <v>15</v>
      </c>
      <c r="D111">
        <v>0.4412</v>
      </c>
      <c r="E111">
        <v>22</v>
      </c>
      <c r="F111">
        <v>0.4889</v>
      </c>
      <c r="G111">
        <v>1</v>
      </c>
      <c r="H111">
        <v>2</v>
      </c>
      <c r="I111">
        <v>0.1333</v>
      </c>
      <c r="J111">
        <v>45.98</v>
      </c>
      <c r="K111" t="s">
        <v>40</v>
      </c>
      <c r="L111">
        <v>0.133333333333333</v>
      </c>
    </row>
    <row r="112" spans="1:12">
      <c r="A112" s="71">
        <v>43268</v>
      </c>
      <c r="B112" t="s">
        <v>22</v>
      </c>
      <c r="C112">
        <v>13</v>
      </c>
      <c r="D112">
        <v>0.3824</v>
      </c>
      <c r="E112">
        <v>17</v>
      </c>
      <c r="F112">
        <v>0.3778</v>
      </c>
      <c r="G112">
        <v>1</v>
      </c>
      <c r="H112">
        <v>11</v>
      </c>
      <c r="I112">
        <v>0.8462</v>
      </c>
      <c r="J112">
        <v>131.89</v>
      </c>
      <c r="K112" t="s">
        <v>47</v>
      </c>
      <c r="L112">
        <v>0.769230769230769</v>
      </c>
    </row>
    <row r="113" spans="1:12">
      <c r="A113" s="71">
        <v>43268</v>
      </c>
      <c r="B113" t="s">
        <v>19</v>
      </c>
      <c r="C113">
        <v>6</v>
      </c>
      <c r="D113">
        <v>0.1765</v>
      </c>
      <c r="E113">
        <v>6</v>
      </c>
      <c r="F113">
        <v>0.1333</v>
      </c>
      <c r="G113">
        <v>1</v>
      </c>
      <c r="H113">
        <v>1</v>
      </c>
      <c r="I113">
        <v>0.1667</v>
      </c>
      <c r="J113">
        <v>15.99</v>
      </c>
      <c r="K113" t="s">
        <v>39</v>
      </c>
      <c r="L113">
        <v>0.166666666666667</v>
      </c>
    </row>
    <row r="114" spans="1:12">
      <c r="A114" s="71">
        <v>43269</v>
      </c>
      <c r="B114" t="s">
        <v>20</v>
      </c>
      <c r="C114">
        <v>1</v>
      </c>
      <c r="D114">
        <v>0.0345</v>
      </c>
      <c r="E114">
        <v>1</v>
      </c>
      <c r="F114">
        <v>0.0278</v>
      </c>
      <c r="G114">
        <v>1</v>
      </c>
      <c r="H114">
        <v>0</v>
      </c>
      <c r="I114">
        <v>0</v>
      </c>
      <c r="J114">
        <v>0</v>
      </c>
      <c r="K114" t="s">
        <v>38</v>
      </c>
      <c r="L114">
        <v>0</v>
      </c>
    </row>
    <row r="115" spans="1:12">
      <c r="A115" s="71">
        <v>43269</v>
      </c>
      <c r="B115" t="s">
        <v>19</v>
      </c>
      <c r="C115">
        <v>7</v>
      </c>
      <c r="D115">
        <v>0.2414</v>
      </c>
      <c r="E115">
        <v>8</v>
      </c>
      <c r="F115">
        <v>0.2222</v>
      </c>
      <c r="G115">
        <v>1</v>
      </c>
      <c r="H115">
        <v>0</v>
      </c>
      <c r="I115">
        <v>0</v>
      </c>
      <c r="J115">
        <v>0</v>
      </c>
      <c r="K115" t="s">
        <v>38</v>
      </c>
      <c r="L115">
        <v>0</v>
      </c>
    </row>
    <row r="116" spans="1:12">
      <c r="A116" s="71">
        <v>43269</v>
      </c>
      <c r="B116" t="s">
        <v>18</v>
      </c>
      <c r="C116">
        <v>5</v>
      </c>
      <c r="D116">
        <v>0.1724</v>
      </c>
      <c r="E116">
        <v>7</v>
      </c>
      <c r="F116">
        <v>0.1944</v>
      </c>
      <c r="G116">
        <v>1</v>
      </c>
      <c r="H116">
        <v>0</v>
      </c>
      <c r="I116">
        <v>0</v>
      </c>
      <c r="J116">
        <v>0</v>
      </c>
      <c r="K116" t="s">
        <v>38</v>
      </c>
      <c r="L116">
        <v>0</v>
      </c>
    </row>
    <row r="117" spans="1:12">
      <c r="A117" s="71">
        <v>43269</v>
      </c>
      <c r="B117" t="s">
        <v>21</v>
      </c>
      <c r="C117">
        <v>1</v>
      </c>
      <c r="D117">
        <v>0.0345</v>
      </c>
      <c r="E117">
        <v>1</v>
      </c>
      <c r="F117">
        <v>0.0278</v>
      </c>
      <c r="G117">
        <v>0</v>
      </c>
      <c r="H117">
        <v>0</v>
      </c>
      <c r="I117">
        <v>0</v>
      </c>
      <c r="J117">
        <v>0</v>
      </c>
      <c r="K117" t="s">
        <v>38</v>
      </c>
      <c r="L117">
        <v>0</v>
      </c>
    </row>
    <row r="118" spans="1:12">
      <c r="A118" s="71">
        <v>43269</v>
      </c>
      <c r="B118" t="s">
        <v>22</v>
      </c>
      <c r="C118">
        <v>15</v>
      </c>
      <c r="D118">
        <v>0.5172</v>
      </c>
      <c r="E118">
        <v>19</v>
      </c>
      <c r="F118">
        <v>0.5278</v>
      </c>
      <c r="G118">
        <v>1</v>
      </c>
      <c r="H118">
        <v>18</v>
      </c>
      <c r="I118">
        <v>1.2</v>
      </c>
      <c r="J118">
        <v>215.82</v>
      </c>
      <c r="K118" t="s">
        <v>55</v>
      </c>
      <c r="L118">
        <v>0.933333333333333</v>
      </c>
    </row>
    <row r="119" spans="1:12">
      <c r="A119" s="71">
        <v>43270</v>
      </c>
      <c r="B119" t="s">
        <v>18</v>
      </c>
      <c r="C119">
        <v>19</v>
      </c>
      <c r="D119">
        <v>0.3455</v>
      </c>
      <c r="E119">
        <v>25</v>
      </c>
      <c r="F119">
        <v>0.3378</v>
      </c>
      <c r="G119">
        <v>1</v>
      </c>
      <c r="H119">
        <v>0</v>
      </c>
      <c r="I119">
        <v>0</v>
      </c>
      <c r="J119">
        <v>0</v>
      </c>
      <c r="K119" t="s">
        <v>38</v>
      </c>
      <c r="L119">
        <v>0</v>
      </c>
    </row>
    <row r="120" spans="1:12">
      <c r="A120" s="71">
        <v>43270</v>
      </c>
      <c r="B120" t="s">
        <v>22</v>
      </c>
      <c r="C120">
        <v>30</v>
      </c>
      <c r="D120">
        <v>0.5455</v>
      </c>
      <c r="E120">
        <v>42</v>
      </c>
      <c r="F120">
        <v>0.5676</v>
      </c>
      <c r="G120">
        <v>1</v>
      </c>
      <c r="H120">
        <v>24</v>
      </c>
      <c r="I120">
        <v>0.8</v>
      </c>
      <c r="J120">
        <v>287.76</v>
      </c>
      <c r="K120" t="s">
        <v>52</v>
      </c>
      <c r="L120">
        <v>0.7</v>
      </c>
    </row>
    <row r="121" spans="1:12">
      <c r="A121" s="71">
        <v>43270</v>
      </c>
      <c r="B121" t="s">
        <v>19</v>
      </c>
      <c r="C121">
        <v>6</v>
      </c>
      <c r="D121">
        <v>0.1091</v>
      </c>
      <c r="E121">
        <v>7</v>
      </c>
      <c r="F121">
        <v>0.0946</v>
      </c>
      <c r="G121">
        <v>1</v>
      </c>
      <c r="H121">
        <v>1</v>
      </c>
      <c r="I121">
        <v>0.1667</v>
      </c>
      <c r="J121">
        <v>15.99</v>
      </c>
      <c r="K121" t="s">
        <v>39</v>
      </c>
      <c r="L121">
        <v>0.166666666666667</v>
      </c>
    </row>
    <row r="122" spans="1:12">
      <c r="A122" s="71">
        <v>43271</v>
      </c>
      <c r="B122" t="s">
        <v>18</v>
      </c>
      <c r="C122">
        <v>1</v>
      </c>
      <c r="D122">
        <v>0.0323</v>
      </c>
      <c r="E122">
        <v>1</v>
      </c>
      <c r="F122">
        <v>0.0204</v>
      </c>
      <c r="G122">
        <v>1</v>
      </c>
      <c r="H122">
        <v>0</v>
      </c>
      <c r="I122">
        <v>0</v>
      </c>
      <c r="J122">
        <v>0</v>
      </c>
      <c r="K122" t="s">
        <v>38</v>
      </c>
      <c r="L122">
        <v>0</v>
      </c>
    </row>
    <row r="123" spans="1:12">
      <c r="A123" s="71">
        <v>43271</v>
      </c>
      <c r="B123" t="s">
        <v>21</v>
      </c>
      <c r="C123">
        <v>1</v>
      </c>
      <c r="D123">
        <v>0.0323</v>
      </c>
      <c r="E123">
        <v>2</v>
      </c>
      <c r="F123">
        <v>0.0408</v>
      </c>
      <c r="G123">
        <v>1</v>
      </c>
      <c r="H123">
        <v>0</v>
      </c>
      <c r="I123">
        <v>0</v>
      </c>
      <c r="J123">
        <v>0</v>
      </c>
      <c r="K123" t="s">
        <v>38</v>
      </c>
      <c r="L123">
        <v>0</v>
      </c>
    </row>
    <row r="124" spans="1:12">
      <c r="A124" s="71">
        <v>43271</v>
      </c>
      <c r="B124" t="s">
        <v>19</v>
      </c>
      <c r="C124">
        <v>4</v>
      </c>
      <c r="D124">
        <v>0.129</v>
      </c>
      <c r="E124">
        <v>6</v>
      </c>
      <c r="F124">
        <v>0.1224</v>
      </c>
      <c r="G124">
        <v>1</v>
      </c>
      <c r="H124">
        <v>0</v>
      </c>
      <c r="I124">
        <v>0</v>
      </c>
      <c r="J124">
        <v>0</v>
      </c>
      <c r="K124" t="s">
        <v>38</v>
      </c>
      <c r="L124">
        <v>0</v>
      </c>
    </row>
    <row r="125" spans="1:12">
      <c r="A125" s="71">
        <v>43271</v>
      </c>
      <c r="B125" t="s">
        <v>22</v>
      </c>
      <c r="C125">
        <v>25</v>
      </c>
      <c r="D125">
        <v>0.8065</v>
      </c>
      <c r="E125">
        <v>40</v>
      </c>
      <c r="F125">
        <v>0.8163</v>
      </c>
      <c r="G125">
        <v>1</v>
      </c>
      <c r="H125">
        <v>8</v>
      </c>
      <c r="I125">
        <v>0.32</v>
      </c>
      <c r="J125">
        <v>95.92</v>
      </c>
      <c r="K125" t="s">
        <v>44</v>
      </c>
      <c r="L125">
        <v>0.32</v>
      </c>
    </row>
    <row r="126" spans="1:12">
      <c r="A126" s="71">
        <v>43272</v>
      </c>
      <c r="B126" t="s">
        <v>18</v>
      </c>
      <c r="C126">
        <v>2</v>
      </c>
      <c r="D126">
        <v>0.1176</v>
      </c>
      <c r="E126">
        <v>2</v>
      </c>
      <c r="F126">
        <v>0.0833</v>
      </c>
      <c r="G126">
        <v>1</v>
      </c>
      <c r="H126">
        <v>0</v>
      </c>
      <c r="I126">
        <v>0</v>
      </c>
      <c r="J126">
        <v>0</v>
      </c>
      <c r="K126" t="s">
        <v>38</v>
      </c>
      <c r="L126">
        <v>0</v>
      </c>
    </row>
    <row r="127" spans="1:12">
      <c r="A127" s="71">
        <v>43272</v>
      </c>
      <c r="B127" t="s">
        <v>20</v>
      </c>
      <c r="C127">
        <v>1</v>
      </c>
      <c r="D127">
        <v>0.0588</v>
      </c>
      <c r="E127">
        <v>1</v>
      </c>
      <c r="F127">
        <v>0.0417</v>
      </c>
      <c r="G127">
        <v>0</v>
      </c>
      <c r="H127">
        <v>0</v>
      </c>
      <c r="I127">
        <v>0</v>
      </c>
      <c r="J127">
        <v>0</v>
      </c>
      <c r="K127" t="s">
        <v>38</v>
      </c>
      <c r="L127">
        <v>0</v>
      </c>
    </row>
    <row r="128" spans="1:12">
      <c r="A128" s="71">
        <v>43272</v>
      </c>
      <c r="B128" t="s">
        <v>22</v>
      </c>
      <c r="C128">
        <v>11</v>
      </c>
      <c r="D128">
        <v>0.6471</v>
      </c>
      <c r="E128">
        <v>16</v>
      </c>
      <c r="F128">
        <v>0.6667</v>
      </c>
      <c r="G128">
        <v>0.94</v>
      </c>
      <c r="H128">
        <v>7</v>
      </c>
      <c r="I128">
        <v>0.6364</v>
      </c>
      <c r="J128">
        <v>83.93</v>
      </c>
      <c r="K128" t="s">
        <v>46</v>
      </c>
      <c r="L128">
        <v>0.636363636363636</v>
      </c>
    </row>
    <row r="129" spans="1:12">
      <c r="A129" s="71">
        <v>43272</v>
      </c>
      <c r="B129" t="s">
        <v>19</v>
      </c>
      <c r="C129">
        <v>3</v>
      </c>
      <c r="D129">
        <v>0.1765</v>
      </c>
      <c r="E129">
        <v>5</v>
      </c>
      <c r="F129">
        <v>0.2083</v>
      </c>
      <c r="G129">
        <v>1</v>
      </c>
      <c r="H129">
        <v>3</v>
      </c>
      <c r="I129">
        <v>1</v>
      </c>
      <c r="J129">
        <v>47.97</v>
      </c>
      <c r="K129" t="s">
        <v>40</v>
      </c>
      <c r="L129">
        <v>0.666666666666667</v>
      </c>
    </row>
    <row r="130" spans="1:12">
      <c r="A130" s="71">
        <v>43273</v>
      </c>
      <c r="B130" t="s">
        <v>21</v>
      </c>
      <c r="C130">
        <v>2</v>
      </c>
      <c r="D130">
        <v>0.0833</v>
      </c>
      <c r="E130">
        <v>2</v>
      </c>
      <c r="F130">
        <v>0.0625</v>
      </c>
      <c r="G130">
        <v>1</v>
      </c>
      <c r="H130">
        <v>0</v>
      </c>
      <c r="I130">
        <v>0</v>
      </c>
      <c r="J130">
        <v>0</v>
      </c>
      <c r="K130" t="s">
        <v>38</v>
      </c>
      <c r="L130">
        <v>0</v>
      </c>
    </row>
    <row r="131" spans="1:12">
      <c r="A131" s="71">
        <v>43273</v>
      </c>
      <c r="B131" t="s">
        <v>18</v>
      </c>
      <c r="C131">
        <v>4</v>
      </c>
      <c r="D131">
        <v>0.1667</v>
      </c>
      <c r="E131">
        <v>6</v>
      </c>
      <c r="F131">
        <v>0.1875</v>
      </c>
      <c r="G131">
        <v>1</v>
      </c>
      <c r="H131">
        <v>0</v>
      </c>
      <c r="I131">
        <v>0</v>
      </c>
      <c r="J131">
        <v>0</v>
      </c>
      <c r="K131" t="s">
        <v>38</v>
      </c>
      <c r="L131">
        <v>0</v>
      </c>
    </row>
    <row r="132" spans="1:12">
      <c r="A132" s="71">
        <v>43273</v>
      </c>
      <c r="B132" t="s">
        <v>19</v>
      </c>
      <c r="C132">
        <v>3</v>
      </c>
      <c r="D132">
        <v>0.125</v>
      </c>
      <c r="E132">
        <v>5</v>
      </c>
      <c r="F132">
        <v>0.1563</v>
      </c>
      <c r="G132">
        <v>1</v>
      </c>
      <c r="H132">
        <v>0</v>
      </c>
      <c r="I132">
        <v>0</v>
      </c>
      <c r="J132">
        <v>0</v>
      </c>
      <c r="K132" t="s">
        <v>38</v>
      </c>
      <c r="L132">
        <v>0</v>
      </c>
    </row>
    <row r="133" spans="1:12">
      <c r="A133" s="71">
        <v>43273</v>
      </c>
      <c r="B133" t="s">
        <v>22</v>
      </c>
      <c r="C133">
        <v>15</v>
      </c>
      <c r="D133">
        <v>0.625</v>
      </c>
      <c r="E133">
        <v>19</v>
      </c>
      <c r="F133">
        <v>0.5938</v>
      </c>
      <c r="G133">
        <v>1</v>
      </c>
      <c r="H133">
        <v>8</v>
      </c>
      <c r="I133">
        <v>0.5333</v>
      </c>
      <c r="J133">
        <v>99.92</v>
      </c>
      <c r="K133" t="s">
        <v>46</v>
      </c>
      <c r="L133">
        <v>0.466666666666667</v>
      </c>
    </row>
    <row r="134" spans="1:12">
      <c r="A134" s="71">
        <v>43274</v>
      </c>
      <c r="B134" t="s">
        <v>21</v>
      </c>
      <c r="C134">
        <v>1</v>
      </c>
      <c r="D134">
        <v>0.0313</v>
      </c>
      <c r="E134">
        <v>1</v>
      </c>
      <c r="F134">
        <v>0.0256</v>
      </c>
      <c r="G134">
        <v>1</v>
      </c>
      <c r="H134">
        <v>0</v>
      </c>
      <c r="I134">
        <v>0</v>
      </c>
      <c r="J134">
        <v>0</v>
      </c>
      <c r="K134" t="s">
        <v>38</v>
      </c>
      <c r="L134">
        <v>0</v>
      </c>
    </row>
    <row r="135" spans="1:12">
      <c r="A135" s="71">
        <v>43274</v>
      </c>
      <c r="B135" t="s">
        <v>18</v>
      </c>
      <c r="C135">
        <v>17</v>
      </c>
      <c r="D135">
        <v>0.5313</v>
      </c>
      <c r="E135">
        <v>21</v>
      </c>
      <c r="F135">
        <v>0.5385</v>
      </c>
      <c r="G135">
        <v>1</v>
      </c>
      <c r="H135">
        <v>0</v>
      </c>
      <c r="I135">
        <v>0</v>
      </c>
      <c r="J135">
        <v>0</v>
      </c>
      <c r="K135" t="s">
        <v>38</v>
      </c>
      <c r="L135">
        <v>0</v>
      </c>
    </row>
    <row r="136" spans="1:12">
      <c r="A136" s="71">
        <v>43274</v>
      </c>
      <c r="B136" t="s">
        <v>22</v>
      </c>
      <c r="C136">
        <v>14</v>
      </c>
      <c r="D136">
        <v>0.4375</v>
      </c>
      <c r="E136">
        <v>17</v>
      </c>
      <c r="F136">
        <v>0.4359</v>
      </c>
      <c r="G136">
        <v>1</v>
      </c>
      <c r="H136">
        <v>5</v>
      </c>
      <c r="I136">
        <v>0.3571</v>
      </c>
      <c r="J136">
        <v>62.45</v>
      </c>
      <c r="K136" t="s">
        <v>42</v>
      </c>
      <c r="L136">
        <v>0.285714285714286</v>
      </c>
    </row>
    <row r="137" spans="1:12">
      <c r="A137" s="71">
        <v>43275</v>
      </c>
      <c r="B137" t="s">
        <v>18</v>
      </c>
      <c r="C137">
        <v>12</v>
      </c>
      <c r="D137">
        <v>0.4286</v>
      </c>
      <c r="E137">
        <v>12</v>
      </c>
      <c r="F137">
        <v>0.3871</v>
      </c>
      <c r="G137">
        <v>1</v>
      </c>
      <c r="H137">
        <v>2</v>
      </c>
      <c r="I137">
        <v>0.1667</v>
      </c>
      <c r="J137">
        <v>41.98</v>
      </c>
      <c r="K137" t="s">
        <v>40</v>
      </c>
      <c r="L137">
        <v>0.166666666666667</v>
      </c>
    </row>
    <row r="138" spans="1:12">
      <c r="A138" s="71">
        <v>43275</v>
      </c>
      <c r="B138" t="s">
        <v>22</v>
      </c>
      <c r="C138">
        <v>16</v>
      </c>
      <c r="D138">
        <v>0.5714</v>
      </c>
      <c r="E138">
        <v>19</v>
      </c>
      <c r="F138">
        <v>0.6129</v>
      </c>
      <c r="G138">
        <v>1</v>
      </c>
      <c r="H138">
        <v>8</v>
      </c>
      <c r="I138">
        <v>0.5</v>
      </c>
      <c r="J138">
        <v>99.92</v>
      </c>
      <c r="K138" t="s">
        <v>45</v>
      </c>
      <c r="L138">
        <v>0.375</v>
      </c>
    </row>
    <row r="139" spans="1:12">
      <c r="A139" s="71">
        <v>43276</v>
      </c>
      <c r="B139" t="s">
        <v>21</v>
      </c>
      <c r="C139">
        <v>1</v>
      </c>
      <c r="D139">
        <v>0.0417</v>
      </c>
      <c r="E139">
        <v>1</v>
      </c>
      <c r="F139">
        <v>0.0357</v>
      </c>
      <c r="G139">
        <v>1</v>
      </c>
      <c r="H139">
        <v>0</v>
      </c>
      <c r="I139">
        <v>0</v>
      </c>
      <c r="J139">
        <v>0</v>
      </c>
      <c r="K139" t="s">
        <v>38</v>
      </c>
      <c r="L139">
        <v>0</v>
      </c>
    </row>
    <row r="140" spans="1:12">
      <c r="A140" s="71">
        <v>43276</v>
      </c>
      <c r="B140" t="s">
        <v>19</v>
      </c>
      <c r="C140">
        <v>1</v>
      </c>
      <c r="D140">
        <v>0.0417</v>
      </c>
      <c r="E140">
        <v>1</v>
      </c>
      <c r="F140">
        <v>0.0357</v>
      </c>
      <c r="G140">
        <v>1</v>
      </c>
      <c r="H140">
        <v>0</v>
      </c>
      <c r="I140">
        <v>0</v>
      </c>
      <c r="J140">
        <v>0</v>
      </c>
      <c r="K140" t="s">
        <v>38</v>
      </c>
      <c r="L140">
        <v>0</v>
      </c>
    </row>
    <row r="141" spans="1:12">
      <c r="A141" s="71">
        <v>43276</v>
      </c>
      <c r="B141" t="s">
        <v>20</v>
      </c>
      <c r="C141">
        <v>1</v>
      </c>
      <c r="D141">
        <v>0.0417</v>
      </c>
      <c r="E141">
        <v>2</v>
      </c>
      <c r="F141">
        <v>0.0714</v>
      </c>
      <c r="G141">
        <v>1</v>
      </c>
      <c r="H141">
        <v>0</v>
      </c>
      <c r="I141">
        <v>0</v>
      </c>
      <c r="J141">
        <v>0</v>
      </c>
      <c r="K141" t="s">
        <v>38</v>
      </c>
      <c r="L141">
        <v>0</v>
      </c>
    </row>
    <row r="142" spans="1:12">
      <c r="A142" s="71">
        <v>43276</v>
      </c>
      <c r="B142" t="s">
        <v>22</v>
      </c>
      <c r="C142">
        <v>8</v>
      </c>
      <c r="D142">
        <v>0.3333</v>
      </c>
      <c r="E142">
        <v>10</v>
      </c>
      <c r="F142">
        <v>0.3571</v>
      </c>
      <c r="G142">
        <v>1</v>
      </c>
      <c r="H142">
        <v>5</v>
      </c>
      <c r="I142">
        <v>0.625</v>
      </c>
      <c r="J142">
        <v>62.45</v>
      </c>
      <c r="K142" t="s">
        <v>43</v>
      </c>
      <c r="L142">
        <v>0.625</v>
      </c>
    </row>
    <row r="143" spans="1:12">
      <c r="A143" s="71">
        <v>43276</v>
      </c>
      <c r="B143" t="s">
        <v>18</v>
      </c>
      <c r="C143">
        <v>13</v>
      </c>
      <c r="D143">
        <v>0.5417</v>
      </c>
      <c r="E143">
        <v>14</v>
      </c>
      <c r="F143">
        <v>0.5</v>
      </c>
      <c r="G143">
        <v>1</v>
      </c>
      <c r="H143">
        <v>1</v>
      </c>
      <c r="I143">
        <v>0.0769</v>
      </c>
      <c r="J143">
        <v>20.99</v>
      </c>
      <c r="K143" t="s">
        <v>39</v>
      </c>
      <c r="L143">
        <v>0.0769230769230769</v>
      </c>
    </row>
    <row r="144" spans="1:12">
      <c r="A144" s="71">
        <v>43277</v>
      </c>
      <c r="B144" t="s">
        <v>18</v>
      </c>
      <c r="C144">
        <v>15</v>
      </c>
      <c r="D144">
        <v>0.3659</v>
      </c>
      <c r="E144">
        <v>20</v>
      </c>
      <c r="F144">
        <v>0.3636</v>
      </c>
      <c r="G144">
        <v>1</v>
      </c>
      <c r="H144">
        <v>0</v>
      </c>
      <c r="I144">
        <v>0</v>
      </c>
      <c r="J144">
        <v>0</v>
      </c>
      <c r="K144" t="s">
        <v>38</v>
      </c>
      <c r="L144">
        <v>0</v>
      </c>
    </row>
    <row r="145" spans="1:12">
      <c r="A145" s="71">
        <v>43277</v>
      </c>
      <c r="B145" t="s">
        <v>21</v>
      </c>
      <c r="C145">
        <v>1</v>
      </c>
      <c r="D145">
        <v>0.0244</v>
      </c>
      <c r="E145">
        <v>1</v>
      </c>
      <c r="F145">
        <v>0.0182</v>
      </c>
      <c r="G145">
        <v>0</v>
      </c>
      <c r="H145">
        <v>0</v>
      </c>
      <c r="I145">
        <v>0</v>
      </c>
      <c r="J145">
        <v>0</v>
      </c>
      <c r="K145" t="s">
        <v>38</v>
      </c>
      <c r="L145">
        <v>0</v>
      </c>
    </row>
    <row r="146" spans="1:12">
      <c r="A146" s="71">
        <v>43277</v>
      </c>
      <c r="B146" t="s">
        <v>22</v>
      </c>
      <c r="C146">
        <v>25</v>
      </c>
      <c r="D146">
        <v>0.6098</v>
      </c>
      <c r="E146">
        <v>34</v>
      </c>
      <c r="F146">
        <v>0.6182</v>
      </c>
      <c r="G146">
        <v>1</v>
      </c>
      <c r="H146">
        <v>6</v>
      </c>
      <c r="I146">
        <v>0.24</v>
      </c>
      <c r="J146">
        <v>74.94</v>
      </c>
      <c r="K146" t="s">
        <v>45</v>
      </c>
      <c r="L146">
        <v>0.24</v>
      </c>
    </row>
    <row r="147" spans="1:12">
      <c r="A147" s="71">
        <v>43278</v>
      </c>
      <c r="B147" t="s">
        <v>19</v>
      </c>
      <c r="C147">
        <v>1</v>
      </c>
      <c r="D147">
        <v>0.04</v>
      </c>
      <c r="E147">
        <v>1</v>
      </c>
      <c r="F147">
        <v>0.0345</v>
      </c>
      <c r="G147">
        <v>1</v>
      </c>
      <c r="H147">
        <v>0</v>
      </c>
      <c r="I147">
        <v>0</v>
      </c>
      <c r="J147">
        <v>0</v>
      </c>
      <c r="K147" t="s">
        <v>38</v>
      </c>
      <c r="L147">
        <v>0</v>
      </c>
    </row>
    <row r="148" spans="1:12">
      <c r="A148" s="71">
        <v>43278</v>
      </c>
      <c r="B148" t="s">
        <v>18</v>
      </c>
      <c r="C148">
        <v>6</v>
      </c>
      <c r="D148">
        <v>0.24</v>
      </c>
      <c r="E148">
        <v>7</v>
      </c>
      <c r="F148">
        <v>0.2414</v>
      </c>
      <c r="G148">
        <v>1</v>
      </c>
      <c r="H148">
        <v>0</v>
      </c>
      <c r="I148">
        <v>0</v>
      </c>
      <c r="J148">
        <v>0</v>
      </c>
      <c r="K148" t="s">
        <v>38</v>
      </c>
      <c r="L148">
        <v>0</v>
      </c>
    </row>
    <row r="149" spans="1:12">
      <c r="A149" s="71">
        <v>43278</v>
      </c>
      <c r="B149" t="s">
        <v>21</v>
      </c>
      <c r="C149">
        <v>1</v>
      </c>
      <c r="D149">
        <v>0.04</v>
      </c>
      <c r="E149">
        <v>1</v>
      </c>
      <c r="F149">
        <v>0.0345</v>
      </c>
      <c r="G149">
        <v>0</v>
      </c>
      <c r="H149">
        <v>0</v>
      </c>
      <c r="I149">
        <v>0</v>
      </c>
      <c r="J149">
        <v>0</v>
      </c>
      <c r="K149" t="s">
        <v>38</v>
      </c>
      <c r="L149">
        <v>0</v>
      </c>
    </row>
    <row r="150" spans="1:12">
      <c r="A150" s="71">
        <v>43278</v>
      </c>
      <c r="B150" t="s">
        <v>22</v>
      </c>
      <c r="C150">
        <v>17</v>
      </c>
      <c r="D150">
        <v>0.68</v>
      </c>
      <c r="E150">
        <v>20</v>
      </c>
      <c r="F150">
        <v>0.6897</v>
      </c>
      <c r="G150">
        <v>0.95</v>
      </c>
      <c r="H150">
        <v>4</v>
      </c>
      <c r="I150">
        <v>0.2353</v>
      </c>
      <c r="J150">
        <v>49.96</v>
      </c>
      <c r="K150" t="s">
        <v>41</v>
      </c>
      <c r="L150">
        <v>0.176470588235294</v>
      </c>
    </row>
    <row r="151" spans="1:12">
      <c r="A151" s="71">
        <v>43279</v>
      </c>
      <c r="B151" t="s">
        <v>19</v>
      </c>
      <c r="C151">
        <v>2</v>
      </c>
      <c r="D151">
        <v>0.0741</v>
      </c>
      <c r="E151">
        <v>4</v>
      </c>
      <c r="F151">
        <v>0.1111</v>
      </c>
      <c r="G151">
        <v>1</v>
      </c>
      <c r="H151">
        <v>0</v>
      </c>
      <c r="I151">
        <v>0</v>
      </c>
      <c r="J151">
        <v>0</v>
      </c>
      <c r="K151" t="s">
        <v>38</v>
      </c>
      <c r="L151">
        <v>0</v>
      </c>
    </row>
    <row r="152" spans="1:12">
      <c r="A152" s="71">
        <v>43279</v>
      </c>
      <c r="B152" t="s">
        <v>20</v>
      </c>
      <c r="C152">
        <v>3</v>
      </c>
      <c r="D152">
        <v>0.1111</v>
      </c>
      <c r="E152">
        <v>3</v>
      </c>
      <c r="F152">
        <v>0.0833</v>
      </c>
      <c r="G152">
        <v>1</v>
      </c>
      <c r="H152">
        <v>0</v>
      </c>
      <c r="I152">
        <v>0</v>
      </c>
      <c r="J152">
        <v>0</v>
      </c>
      <c r="K152" t="s">
        <v>38</v>
      </c>
      <c r="L152">
        <v>0</v>
      </c>
    </row>
    <row r="153" spans="1:12">
      <c r="A153" s="71">
        <v>43279</v>
      </c>
      <c r="B153" t="s">
        <v>18</v>
      </c>
      <c r="C153">
        <v>12</v>
      </c>
      <c r="D153">
        <v>0.4444</v>
      </c>
      <c r="E153">
        <v>18</v>
      </c>
      <c r="F153">
        <v>0.5</v>
      </c>
      <c r="G153">
        <v>1</v>
      </c>
      <c r="H153">
        <v>6</v>
      </c>
      <c r="I153">
        <v>0.5</v>
      </c>
      <c r="J153">
        <v>125.94</v>
      </c>
      <c r="K153" t="s">
        <v>41</v>
      </c>
      <c r="L153">
        <v>0.25</v>
      </c>
    </row>
    <row r="154" spans="1:12">
      <c r="A154" s="71">
        <v>43279</v>
      </c>
      <c r="B154" t="s">
        <v>22</v>
      </c>
      <c r="C154">
        <v>10</v>
      </c>
      <c r="D154">
        <v>0.3704</v>
      </c>
      <c r="E154">
        <v>11</v>
      </c>
      <c r="F154">
        <v>0.3056</v>
      </c>
      <c r="G154">
        <v>1</v>
      </c>
      <c r="H154">
        <v>3</v>
      </c>
      <c r="I154">
        <v>0.3</v>
      </c>
      <c r="J154">
        <v>37.47</v>
      </c>
      <c r="K154" t="s">
        <v>41</v>
      </c>
      <c r="L154">
        <v>0.3</v>
      </c>
    </row>
    <row r="155" spans="1:12">
      <c r="A155" s="71">
        <v>43280</v>
      </c>
      <c r="B155" t="s">
        <v>19</v>
      </c>
      <c r="C155">
        <v>2</v>
      </c>
      <c r="D155">
        <v>0.0488</v>
      </c>
      <c r="E155">
        <v>2</v>
      </c>
      <c r="F155">
        <v>0.0385</v>
      </c>
      <c r="G155">
        <v>0</v>
      </c>
      <c r="H155">
        <v>0</v>
      </c>
      <c r="I155">
        <v>0</v>
      </c>
      <c r="J155">
        <v>0</v>
      </c>
      <c r="K155" t="s">
        <v>38</v>
      </c>
      <c r="L155">
        <v>0</v>
      </c>
    </row>
    <row r="156" spans="1:12">
      <c r="A156" s="71">
        <v>43280</v>
      </c>
      <c r="B156" t="s">
        <v>18</v>
      </c>
      <c r="C156">
        <v>17</v>
      </c>
      <c r="D156">
        <v>0.4146</v>
      </c>
      <c r="E156">
        <v>22</v>
      </c>
      <c r="F156">
        <v>0.4231</v>
      </c>
      <c r="G156">
        <v>1</v>
      </c>
      <c r="H156">
        <v>2</v>
      </c>
      <c r="I156">
        <v>0.1176</v>
      </c>
      <c r="J156">
        <v>41.98</v>
      </c>
      <c r="K156" t="s">
        <v>40</v>
      </c>
      <c r="L156">
        <v>0.117647058823529</v>
      </c>
    </row>
    <row r="157" spans="1:12">
      <c r="A157" s="71">
        <v>43280</v>
      </c>
      <c r="B157" t="s">
        <v>22</v>
      </c>
      <c r="C157">
        <v>22</v>
      </c>
      <c r="D157">
        <v>0.5366</v>
      </c>
      <c r="E157">
        <v>28</v>
      </c>
      <c r="F157">
        <v>0.5385</v>
      </c>
      <c r="G157">
        <v>1</v>
      </c>
      <c r="H157">
        <v>4</v>
      </c>
      <c r="I157">
        <v>0.1818</v>
      </c>
      <c r="J157">
        <v>49.96</v>
      </c>
      <c r="K157" t="s">
        <v>41</v>
      </c>
      <c r="L157">
        <v>0.136363636363636</v>
      </c>
    </row>
    <row r="158" spans="1:12">
      <c r="A158" s="71">
        <v>43281</v>
      </c>
      <c r="B158" t="s">
        <v>21</v>
      </c>
      <c r="C158">
        <v>1</v>
      </c>
      <c r="D158">
        <v>0.0323</v>
      </c>
      <c r="E158">
        <v>1</v>
      </c>
      <c r="F158">
        <v>0.0256</v>
      </c>
      <c r="G158">
        <v>0</v>
      </c>
      <c r="H158">
        <v>0</v>
      </c>
      <c r="I158">
        <v>0</v>
      </c>
      <c r="J158">
        <v>0</v>
      </c>
      <c r="K158" t="s">
        <v>38</v>
      </c>
      <c r="L158">
        <v>0</v>
      </c>
    </row>
    <row r="159" spans="1:12">
      <c r="A159" s="71">
        <v>43281</v>
      </c>
      <c r="B159" t="s">
        <v>18</v>
      </c>
      <c r="C159">
        <v>15</v>
      </c>
      <c r="D159">
        <v>0.4839</v>
      </c>
      <c r="E159">
        <v>19</v>
      </c>
      <c r="F159">
        <v>0.4872</v>
      </c>
      <c r="G159">
        <v>1</v>
      </c>
      <c r="H159">
        <v>2</v>
      </c>
      <c r="I159">
        <v>0.1333</v>
      </c>
      <c r="J159">
        <v>41.98</v>
      </c>
      <c r="K159" t="s">
        <v>40</v>
      </c>
      <c r="L159">
        <v>0.133333333333333</v>
      </c>
    </row>
    <row r="160" spans="1:12">
      <c r="A160" s="71">
        <v>43281</v>
      </c>
      <c r="B160" t="s">
        <v>22</v>
      </c>
      <c r="C160">
        <v>15</v>
      </c>
      <c r="D160">
        <v>0.4839</v>
      </c>
      <c r="E160">
        <v>19</v>
      </c>
      <c r="F160">
        <v>0.4872</v>
      </c>
      <c r="G160">
        <v>1</v>
      </c>
      <c r="H160">
        <v>1</v>
      </c>
      <c r="I160">
        <v>0.0667</v>
      </c>
      <c r="J160">
        <v>12.49</v>
      </c>
      <c r="K160" t="s">
        <v>39</v>
      </c>
      <c r="L160">
        <v>0.0666666666666667</v>
      </c>
    </row>
    <row r="161" spans="1:12">
      <c r="A161" s="71">
        <v>43282</v>
      </c>
      <c r="B161" t="s">
        <v>20</v>
      </c>
      <c r="C161">
        <v>2</v>
      </c>
      <c r="D161">
        <v>0.0541</v>
      </c>
      <c r="E161">
        <v>2</v>
      </c>
      <c r="F161">
        <v>0.0465</v>
      </c>
      <c r="G161">
        <v>1</v>
      </c>
      <c r="H161">
        <v>0</v>
      </c>
      <c r="I161">
        <v>0</v>
      </c>
      <c r="J161">
        <v>0</v>
      </c>
      <c r="K161" t="s">
        <v>38</v>
      </c>
      <c r="L161">
        <v>0</v>
      </c>
    </row>
    <row r="162" spans="1:12">
      <c r="A162" s="71">
        <v>43282</v>
      </c>
      <c r="B162" t="s">
        <v>18</v>
      </c>
      <c r="C162">
        <v>13</v>
      </c>
      <c r="D162">
        <v>0.3514</v>
      </c>
      <c r="E162">
        <v>13</v>
      </c>
      <c r="F162">
        <v>0.3023</v>
      </c>
      <c r="G162">
        <v>1</v>
      </c>
      <c r="H162">
        <v>0</v>
      </c>
      <c r="I162">
        <v>0</v>
      </c>
      <c r="J162">
        <v>0</v>
      </c>
      <c r="K162" t="s">
        <v>38</v>
      </c>
      <c r="L162">
        <v>0</v>
      </c>
    </row>
    <row r="163" spans="1:12">
      <c r="A163" s="71">
        <v>43282</v>
      </c>
      <c r="B163" t="s">
        <v>22</v>
      </c>
      <c r="C163">
        <v>21</v>
      </c>
      <c r="D163">
        <v>0.5676</v>
      </c>
      <c r="E163">
        <v>25</v>
      </c>
      <c r="F163">
        <v>0.5814</v>
      </c>
      <c r="G163">
        <v>1</v>
      </c>
      <c r="H163">
        <v>4</v>
      </c>
      <c r="I163">
        <v>0.1905</v>
      </c>
      <c r="J163">
        <v>49.96</v>
      </c>
      <c r="K163" t="s">
        <v>40</v>
      </c>
      <c r="L163">
        <v>0.0952380952380952</v>
      </c>
    </row>
    <row r="164" spans="1:12">
      <c r="A164" s="71">
        <v>43282</v>
      </c>
      <c r="B164" t="s">
        <v>19</v>
      </c>
      <c r="C164">
        <v>1</v>
      </c>
      <c r="D164">
        <v>0.027</v>
      </c>
      <c r="E164">
        <v>3</v>
      </c>
      <c r="F164">
        <v>0.0698</v>
      </c>
      <c r="G164">
        <v>1</v>
      </c>
      <c r="H164">
        <v>1</v>
      </c>
      <c r="I164">
        <v>1</v>
      </c>
      <c r="J164">
        <v>15.99</v>
      </c>
      <c r="K164" t="s">
        <v>39</v>
      </c>
      <c r="L164">
        <v>1</v>
      </c>
    </row>
    <row r="165" spans="1:12">
      <c r="A165" s="71">
        <v>43283</v>
      </c>
      <c r="B165" t="s">
        <v>19</v>
      </c>
      <c r="C165">
        <v>2</v>
      </c>
      <c r="D165">
        <v>0.0588</v>
      </c>
      <c r="E165">
        <v>7</v>
      </c>
      <c r="F165">
        <v>0.1556</v>
      </c>
      <c r="G165">
        <v>1</v>
      </c>
      <c r="H165">
        <v>0</v>
      </c>
      <c r="I165">
        <v>0</v>
      </c>
      <c r="J165">
        <v>0</v>
      </c>
      <c r="K165" t="s">
        <v>38</v>
      </c>
      <c r="L165">
        <v>0</v>
      </c>
    </row>
    <row r="166" spans="1:12">
      <c r="A166" s="71">
        <v>43283</v>
      </c>
      <c r="B166" t="s">
        <v>20</v>
      </c>
      <c r="C166">
        <v>2</v>
      </c>
      <c r="D166">
        <v>0.0588</v>
      </c>
      <c r="E166">
        <v>4</v>
      </c>
      <c r="F166">
        <v>0.0889</v>
      </c>
      <c r="G166">
        <v>1</v>
      </c>
      <c r="H166">
        <v>0</v>
      </c>
      <c r="I166">
        <v>0</v>
      </c>
      <c r="J166">
        <v>0</v>
      </c>
      <c r="K166" t="s">
        <v>38</v>
      </c>
      <c r="L166">
        <v>0</v>
      </c>
    </row>
    <row r="167" spans="1:12">
      <c r="A167" s="71">
        <v>43283</v>
      </c>
      <c r="B167" t="s">
        <v>18</v>
      </c>
      <c r="C167">
        <v>15</v>
      </c>
      <c r="D167">
        <v>0.4412</v>
      </c>
      <c r="E167">
        <v>15</v>
      </c>
      <c r="F167">
        <v>0.3333</v>
      </c>
      <c r="G167">
        <v>1</v>
      </c>
      <c r="H167">
        <v>7</v>
      </c>
      <c r="I167">
        <v>0.4667</v>
      </c>
      <c r="J167">
        <v>146.93</v>
      </c>
      <c r="K167" t="s">
        <v>41</v>
      </c>
      <c r="L167">
        <v>0.2</v>
      </c>
    </row>
    <row r="168" spans="1:12">
      <c r="A168" s="71">
        <v>43283</v>
      </c>
      <c r="B168" t="s">
        <v>22</v>
      </c>
      <c r="C168">
        <v>15</v>
      </c>
      <c r="D168">
        <v>0.4412</v>
      </c>
      <c r="E168">
        <v>19</v>
      </c>
      <c r="F168">
        <v>0.4222</v>
      </c>
      <c r="G168">
        <v>1</v>
      </c>
      <c r="H168">
        <v>5</v>
      </c>
      <c r="I168">
        <v>0.3333</v>
      </c>
      <c r="J168">
        <v>62.45</v>
      </c>
      <c r="K168" t="s">
        <v>42</v>
      </c>
      <c r="L168">
        <v>0.266666666666667</v>
      </c>
    </row>
    <row r="169" spans="1:12">
      <c r="A169" s="71">
        <v>43284</v>
      </c>
      <c r="B169" t="s">
        <v>19</v>
      </c>
      <c r="C169">
        <v>1</v>
      </c>
      <c r="D169">
        <v>0.0345</v>
      </c>
      <c r="E169">
        <v>2</v>
      </c>
      <c r="F169">
        <v>0.0526</v>
      </c>
      <c r="G169">
        <v>1</v>
      </c>
      <c r="H169">
        <v>0</v>
      </c>
      <c r="I169">
        <v>0</v>
      </c>
      <c r="J169">
        <v>0</v>
      </c>
      <c r="K169" t="s">
        <v>38</v>
      </c>
      <c r="L169">
        <v>0</v>
      </c>
    </row>
    <row r="170" spans="1:12">
      <c r="A170" s="71">
        <v>43284</v>
      </c>
      <c r="B170" t="s">
        <v>18</v>
      </c>
      <c r="C170">
        <v>15</v>
      </c>
      <c r="D170">
        <v>0.5172</v>
      </c>
      <c r="E170">
        <v>19</v>
      </c>
      <c r="F170">
        <v>0.5</v>
      </c>
      <c r="G170">
        <v>1</v>
      </c>
      <c r="H170">
        <v>0</v>
      </c>
      <c r="I170">
        <v>0</v>
      </c>
      <c r="J170">
        <v>0</v>
      </c>
      <c r="K170" t="s">
        <v>38</v>
      </c>
      <c r="L170">
        <v>0</v>
      </c>
    </row>
    <row r="171" spans="1:12">
      <c r="A171" s="71">
        <v>43284</v>
      </c>
      <c r="B171" t="s">
        <v>22</v>
      </c>
      <c r="C171">
        <v>13</v>
      </c>
      <c r="D171">
        <v>0.4483</v>
      </c>
      <c r="E171">
        <v>17</v>
      </c>
      <c r="F171">
        <v>0.4474</v>
      </c>
      <c r="G171">
        <v>1</v>
      </c>
      <c r="H171">
        <v>7</v>
      </c>
      <c r="I171">
        <v>0.5385</v>
      </c>
      <c r="J171">
        <v>87.43</v>
      </c>
      <c r="K171" t="s">
        <v>46</v>
      </c>
      <c r="L171">
        <v>0.538461538461538</v>
      </c>
    </row>
    <row r="172" spans="1:12">
      <c r="A172" s="71">
        <v>43285</v>
      </c>
      <c r="B172" t="s">
        <v>19</v>
      </c>
      <c r="C172">
        <v>3</v>
      </c>
      <c r="D172">
        <v>0.12</v>
      </c>
      <c r="E172">
        <v>3</v>
      </c>
      <c r="F172">
        <v>0.1</v>
      </c>
      <c r="G172">
        <v>1</v>
      </c>
      <c r="H172">
        <v>0</v>
      </c>
      <c r="I172">
        <v>0</v>
      </c>
      <c r="J172">
        <v>0</v>
      </c>
      <c r="K172" t="s">
        <v>38</v>
      </c>
      <c r="L172">
        <v>0</v>
      </c>
    </row>
    <row r="173" spans="1:12">
      <c r="A173" s="71">
        <v>43285</v>
      </c>
      <c r="B173" t="s">
        <v>20</v>
      </c>
      <c r="C173">
        <v>1</v>
      </c>
      <c r="D173">
        <v>0.04</v>
      </c>
      <c r="E173">
        <v>1</v>
      </c>
      <c r="F173">
        <v>0.0333</v>
      </c>
      <c r="G173">
        <v>0</v>
      </c>
      <c r="H173">
        <v>0</v>
      </c>
      <c r="I173">
        <v>0</v>
      </c>
      <c r="J173">
        <v>0</v>
      </c>
      <c r="K173" t="s">
        <v>38</v>
      </c>
      <c r="L173">
        <v>0</v>
      </c>
    </row>
    <row r="174" spans="1:12">
      <c r="A174" s="71">
        <v>43285</v>
      </c>
      <c r="B174" t="s">
        <v>18</v>
      </c>
      <c r="C174">
        <v>11</v>
      </c>
      <c r="D174">
        <v>0.44</v>
      </c>
      <c r="E174">
        <v>14</v>
      </c>
      <c r="F174">
        <v>0.4667</v>
      </c>
      <c r="G174">
        <v>1</v>
      </c>
      <c r="H174">
        <v>4</v>
      </c>
      <c r="I174">
        <v>0.3636</v>
      </c>
      <c r="J174">
        <v>83.96</v>
      </c>
      <c r="K174" t="s">
        <v>41</v>
      </c>
      <c r="L174">
        <v>0.272727272727273</v>
      </c>
    </row>
    <row r="175" spans="1:12">
      <c r="A175" s="71">
        <v>43285</v>
      </c>
      <c r="B175" t="s">
        <v>22</v>
      </c>
      <c r="C175">
        <v>10</v>
      </c>
      <c r="D175">
        <v>0.4</v>
      </c>
      <c r="E175">
        <v>12</v>
      </c>
      <c r="F175">
        <v>0.4</v>
      </c>
      <c r="G175">
        <v>1</v>
      </c>
      <c r="H175">
        <v>3</v>
      </c>
      <c r="I175">
        <v>0.3</v>
      </c>
      <c r="J175">
        <v>37.47</v>
      </c>
      <c r="K175" t="s">
        <v>41</v>
      </c>
      <c r="L175">
        <v>0.3</v>
      </c>
    </row>
    <row r="176" spans="1:12">
      <c r="A176" s="71">
        <v>43286</v>
      </c>
      <c r="B176" t="s">
        <v>20</v>
      </c>
      <c r="C176">
        <v>1</v>
      </c>
      <c r="D176">
        <v>0.0455</v>
      </c>
      <c r="E176">
        <v>1</v>
      </c>
      <c r="F176">
        <v>0.0303</v>
      </c>
      <c r="G176">
        <v>1</v>
      </c>
      <c r="H176">
        <v>0</v>
      </c>
      <c r="I176">
        <v>0</v>
      </c>
      <c r="J176">
        <v>0</v>
      </c>
      <c r="K176" t="s">
        <v>38</v>
      </c>
      <c r="L176">
        <v>0</v>
      </c>
    </row>
    <row r="177" spans="1:12">
      <c r="A177" s="71">
        <v>43286</v>
      </c>
      <c r="B177" t="s">
        <v>19</v>
      </c>
      <c r="C177">
        <v>1</v>
      </c>
      <c r="D177">
        <v>0.0455</v>
      </c>
      <c r="E177">
        <v>2</v>
      </c>
      <c r="F177">
        <v>0.0606</v>
      </c>
      <c r="G177">
        <v>1</v>
      </c>
      <c r="H177">
        <v>0</v>
      </c>
      <c r="I177">
        <v>0</v>
      </c>
      <c r="J177">
        <v>0</v>
      </c>
      <c r="K177" t="s">
        <v>38</v>
      </c>
      <c r="L177">
        <v>0</v>
      </c>
    </row>
    <row r="178" spans="1:12">
      <c r="A178" s="71">
        <v>43286</v>
      </c>
      <c r="B178" t="s">
        <v>18</v>
      </c>
      <c r="C178">
        <v>8</v>
      </c>
      <c r="D178">
        <v>0.3636</v>
      </c>
      <c r="E178">
        <v>17</v>
      </c>
      <c r="F178">
        <v>0.5152</v>
      </c>
      <c r="G178">
        <v>1</v>
      </c>
      <c r="H178">
        <v>3</v>
      </c>
      <c r="I178">
        <v>0.375</v>
      </c>
      <c r="J178">
        <v>62.97</v>
      </c>
      <c r="K178" t="s">
        <v>40</v>
      </c>
      <c r="L178">
        <v>0.25</v>
      </c>
    </row>
    <row r="179" spans="1:12">
      <c r="A179" s="71">
        <v>43286</v>
      </c>
      <c r="B179" t="s">
        <v>22</v>
      </c>
      <c r="C179">
        <v>12</v>
      </c>
      <c r="D179">
        <v>0.5455</v>
      </c>
      <c r="E179">
        <v>13</v>
      </c>
      <c r="F179">
        <v>0.3939</v>
      </c>
      <c r="G179">
        <v>1</v>
      </c>
      <c r="H179">
        <v>4</v>
      </c>
      <c r="I179">
        <v>0.3333</v>
      </c>
      <c r="J179">
        <v>49.96</v>
      </c>
      <c r="K179" t="s">
        <v>42</v>
      </c>
      <c r="L179">
        <v>0.333333333333333</v>
      </c>
    </row>
    <row r="180" spans="1:12">
      <c r="A180" s="71">
        <v>43287</v>
      </c>
      <c r="B180" t="s">
        <v>21</v>
      </c>
      <c r="C180">
        <v>1</v>
      </c>
      <c r="D180">
        <v>0.0345</v>
      </c>
      <c r="E180">
        <v>1</v>
      </c>
      <c r="F180">
        <v>0.0286</v>
      </c>
      <c r="G180">
        <v>1</v>
      </c>
      <c r="H180">
        <v>0</v>
      </c>
      <c r="I180">
        <v>0</v>
      </c>
      <c r="J180">
        <v>0</v>
      </c>
      <c r="K180" t="s">
        <v>38</v>
      </c>
      <c r="L180">
        <v>0</v>
      </c>
    </row>
    <row r="181" spans="1:12">
      <c r="A181" s="71">
        <v>43287</v>
      </c>
      <c r="B181" t="s">
        <v>20</v>
      </c>
      <c r="C181">
        <v>1</v>
      </c>
      <c r="D181">
        <v>0.0345</v>
      </c>
      <c r="E181">
        <v>1</v>
      </c>
      <c r="F181">
        <v>0.0286</v>
      </c>
      <c r="G181">
        <v>1</v>
      </c>
      <c r="H181">
        <v>0</v>
      </c>
      <c r="I181">
        <v>0</v>
      </c>
      <c r="J181">
        <v>0</v>
      </c>
      <c r="K181" t="s">
        <v>38</v>
      </c>
      <c r="L181">
        <v>0</v>
      </c>
    </row>
    <row r="182" spans="1:12">
      <c r="A182" s="71">
        <v>43287</v>
      </c>
      <c r="B182" t="s">
        <v>18</v>
      </c>
      <c r="C182">
        <v>16</v>
      </c>
      <c r="D182">
        <v>0.5517</v>
      </c>
      <c r="E182">
        <v>21</v>
      </c>
      <c r="F182">
        <v>0.6</v>
      </c>
      <c r="G182">
        <v>1</v>
      </c>
      <c r="H182">
        <v>4</v>
      </c>
      <c r="I182">
        <v>0.25</v>
      </c>
      <c r="J182">
        <v>83.96</v>
      </c>
      <c r="K182" t="s">
        <v>41</v>
      </c>
      <c r="L182">
        <v>0.1875</v>
      </c>
    </row>
    <row r="183" spans="1:12">
      <c r="A183" s="71">
        <v>43287</v>
      </c>
      <c r="B183" t="s">
        <v>22</v>
      </c>
      <c r="C183">
        <v>10</v>
      </c>
      <c r="D183">
        <v>0.3448</v>
      </c>
      <c r="E183">
        <v>11</v>
      </c>
      <c r="F183">
        <v>0.3143</v>
      </c>
      <c r="G183">
        <v>1</v>
      </c>
      <c r="H183">
        <v>4</v>
      </c>
      <c r="I183">
        <v>0.4</v>
      </c>
      <c r="J183">
        <v>49.96</v>
      </c>
      <c r="K183" t="s">
        <v>42</v>
      </c>
      <c r="L183">
        <v>0.4</v>
      </c>
    </row>
    <row r="184" spans="1:12">
      <c r="A184" s="71">
        <v>43287</v>
      </c>
      <c r="B184" t="s">
        <v>19</v>
      </c>
      <c r="C184">
        <v>1</v>
      </c>
      <c r="D184">
        <v>0.0345</v>
      </c>
      <c r="E184">
        <v>1</v>
      </c>
      <c r="F184">
        <v>0.0286</v>
      </c>
      <c r="G184">
        <v>1</v>
      </c>
      <c r="H184">
        <v>1</v>
      </c>
      <c r="I184">
        <v>1</v>
      </c>
      <c r="J184">
        <v>15.99</v>
      </c>
      <c r="K184" t="s">
        <v>39</v>
      </c>
      <c r="L184">
        <v>1</v>
      </c>
    </row>
    <row r="185" spans="1:12">
      <c r="A185" s="71">
        <v>43288</v>
      </c>
      <c r="B185" t="s">
        <v>18</v>
      </c>
      <c r="C185">
        <v>15</v>
      </c>
      <c r="D185">
        <v>0.5</v>
      </c>
      <c r="E185">
        <v>20</v>
      </c>
      <c r="F185">
        <v>0.5263</v>
      </c>
      <c r="G185">
        <v>1</v>
      </c>
      <c r="H185">
        <v>2</v>
      </c>
      <c r="I185">
        <v>0.1333</v>
      </c>
      <c r="J185">
        <v>41.98</v>
      </c>
      <c r="K185" t="s">
        <v>40</v>
      </c>
      <c r="L185">
        <v>0.133333333333333</v>
      </c>
    </row>
    <row r="186" spans="1:12">
      <c r="A186" s="71">
        <v>43288</v>
      </c>
      <c r="B186" t="s">
        <v>22</v>
      </c>
      <c r="C186">
        <v>15</v>
      </c>
      <c r="D186">
        <v>0.5</v>
      </c>
      <c r="E186">
        <v>18</v>
      </c>
      <c r="F186">
        <v>0.4737</v>
      </c>
      <c r="G186">
        <v>1</v>
      </c>
      <c r="H186">
        <v>8</v>
      </c>
      <c r="I186">
        <v>0.5333</v>
      </c>
      <c r="J186">
        <v>99.92</v>
      </c>
      <c r="K186" t="s">
        <v>46</v>
      </c>
      <c r="L186">
        <v>0.466666666666667</v>
      </c>
    </row>
    <row r="187" spans="1:12">
      <c r="A187" s="71">
        <v>43289</v>
      </c>
      <c r="B187" t="s">
        <v>18</v>
      </c>
      <c r="C187">
        <v>18</v>
      </c>
      <c r="D187">
        <v>0.45</v>
      </c>
      <c r="E187">
        <v>19</v>
      </c>
      <c r="F187">
        <v>0.3654</v>
      </c>
      <c r="G187">
        <v>1</v>
      </c>
      <c r="H187">
        <v>2</v>
      </c>
      <c r="I187">
        <v>0.1111</v>
      </c>
      <c r="J187">
        <v>41.98</v>
      </c>
      <c r="K187" t="s">
        <v>40</v>
      </c>
      <c r="L187">
        <v>0.111111111111111</v>
      </c>
    </row>
    <row r="188" spans="1:12">
      <c r="A188" s="71">
        <v>43289</v>
      </c>
      <c r="B188" t="s">
        <v>22</v>
      </c>
      <c r="C188">
        <v>22</v>
      </c>
      <c r="D188">
        <v>0.55</v>
      </c>
      <c r="E188">
        <v>33</v>
      </c>
      <c r="F188">
        <v>0.6346</v>
      </c>
      <c r="G188">
        <v>1</v>
      </c>
      <c r="H188">
        <v>8</v>
      </c>
      <c r="I188">
        <v>0.3636</v>
      </c>
      <c r="J188">
        <v>99.92</v>
      </c>
      <c r="K188" t="s">
        <v>43</v>
      </c>
      <c r="L188">
        <v>0.227272727272727</v>
      </c>
    </row>
    <row r="189" spans="1:12">
      <c r="A189" s="71">
        <v>43290</v>
      </c>
      <c r="B189" t="s">
        <v>20</v>
      </c>
      <c r="C189">
        <v>2</v>
      </c>
      <c r="D189">
        <v>0.0667</v>
      </c>
      <c r="E189">
        <v>2</v>
      </c>
      <c r="F189">
        <v>0.0556</v>
      </c>
      <c r="G189">
        <v>1</v>
      </c>
      <c r="H189">
        <v>0</v>
      </c>
      <c r="I189">
        <v>0</v>
      </c>
      <c r="J189">
        <v>0</v>
      </c>
      <c r="K189" t="s">
        <v>38</v>
      </c>
      <c r="L189">
        <v>0</v>
      </c>
    </row>
    <row r="190" spans="1:12">
      <c r="A190" s="71">
        <v>43290</v>
      </c>
      <c r="B190" t="s">
        <v>18</v>
      </c>
      <c r="C190">
        <v>13</v>
      </c>
      <c r="D190">
        <v>0.4333</v>
      </c>
      <c r="E190">
        <v>17</v>
      </c>
      <c r="F190">
        <v>0.4722</v>
      </c>
      <c r="G190">
        <v>1</v>
      </c>
      <c r="H190">
        <v>7</v>
      </c>
      <c r="I190">
        <v>0.5385</v>
      </c>
      <c r="J190">
        <v>146.93</v>
      </c>
      <c r="K190" t="s">
        <v>41</v>
      </c>
      <c r="L190">
        <v>0.230769230769231</v>
      </c>
    </row>
    <row r="191" spans="1:12">
      <c r="A191" s="71">
        <v>43290</v>
      </c>
      <c r="B191" t="s">
        <v>22</v>
      </c>
      <c r="C191">
        <v>15</v>
      </c>
      <c r="D191">
        <v>0.5</v>
      </c>
      <c r="E191">
        <v>17</v>
      </c>
      <c r="F191">
        <v>0.4722</v>
      </c>
      <c r="G191">
        <v>1</v>
      </c>
      <c r="H191">
        <v>6</v>
      </c>
      <c r="I191">
        <v>0.4</v>
      </c>
      <c r="J191">
        <v>74.94</v>
      </c>
      <c r="K191" t="s">
        <v>43</v>
      </c>
      <c r="L191">
        <v>0.333333333333333</v>
      </c>
    </row>
    <row r="192" spans="1:12">
      <c r="A192" s="71">
        <v>43291</v>
      </c>
      <c r="B192" t="s">
        <v>19</v>
      </c>
      <c r="C192">
        <v>1</v>
      </c>
      <c r="D192">
        <v>0.0286</v>
      </c>
      <c r="E192">
        <v>2</v>
      </c>
      <c r="F192">
        <v>0.0488</v>
      </c>
      <c r="G192">
        <v>1</v>
      </c>
      <c r="H192">
        <v>0</v>
      </c>
      <c r="I192">
        <v>0</v>
      </c>
      <c r="J192">
        <v>0</v>
      </c>
      <c r="K192" t="s">
        <v>38</v>
      </c>
      <c r="L192">
        <v>0</v>
      </c>
    </row>
    <row r="193" spans="1:12">
      <c r="A193" s="71">
        <v>43291</v>
      </c>
      <c r="B193" t="s">
        <v>18</v>
      </c>
      <c r="C193">
        <v>17</v>
      </c>
      <c r="D193">
        <v>0.4857</v>
      </c>
      <c r="E193">
        <v>20</v>
      </c>
      <c r="F193">
        <v>0.4878</v>
      </c>
      <c r="G193">
        <v>1</v>
      </c>
      <c r="H193">
        <v>3</v>
      </c>
      <c r="I193">
        <v>0.1765</v>
      </c>
      <c r="J193">
        <v>62.97</v>
      </c>
      <c r="K193" t="s">
        <v>41</v>
      </c>
      <c r="L193">
        <v>0.176470588235294</v>
      </c>
    </row>
    <row r="194" spans="1:12">
      <c r="A194" s="71">
        <v>43291</v>
      </c>
      <c r="B194" t="s">
        <v>22</v>
      </c>
      <c r="C194">
        <v>17</v>
      </c>
      <c r="D194">
        <v>0.4857</v>
      </c>
      <c r="E194">
        <v>19</v>
      </c>
      <c r="F194">
        <v>0.4634</v>
      </c>
      <c r="G194">
        <v>1</v>
      </c>
      <c r="H194">
        <v>23</v>
      </c>
      <c r="I194">
        <v>1.3529</v>
      </c>
      <c r="J194">
        <v>287.27</v>
      </c>
      <c r="K194" t="s">
        <v>42</v>
      </c>
      <c r="L194">
        <v>0.235294117647059</v>
      </c>
    </row>
    <row r="195" spans="1:12">
      <c r="A195" s="71">
        <v>43292</v>
      </c>
      <c r="B195" t="s">
        <v>22</v>
      </c>
      <c r="C195">
        <v>10</v>
      </c>
      <c r="D195">
        <v>0.4348</v>
      </c>
      <c r="E195">
        <v>18</v>
      </c>
      <c r="F195">
        <v>0.5806</v>
      </c>
      <c r="G195">
        <v>1</v>
      </c>
      <c r="H195">
        <v>0</v>
      </c>
      <c r="I195">
        <v>0</v>
      </c>
      <c r="J195">
        <v>0</v>
      </c>
      <c r="K195" t="s">
        <v>38</v>
      </c>
      <c r="L195">
        <v>0</v>
      </c>
    </row>
    <row r="196" spans="1:12">
      <c r="A196" s="71">
        <v>43292</v>
      </c>
      <c r="B196" t="s">
        <v>21</v>
      </c>
      <c r="C196">
        <v>1</v>
      </c>
      <c r="D196">
        <v>0.0435</v>
      </c>
      <c r="E196">
        <v>1</v>
      </c>
      <c r="F196">
        <v>0.0323</v>
      </c>
      <c r="G196">
        <v>0</v>
      </c>
      <c r="H196">
        <v>0</v>
      </c>
      <c r="I196">
        <v>0</v>
      </c>
      <c r="J196">
        <v>0</v>
      </c>
      <c r="K196" t="s">
        <v>38</v>
      </c>
      <c r="L196">
        <v>0</v>
      </c>
    </row>
    <row r="197" spans="1:12">
      <c r="A197" s="71">
        <v>43292</v>
      </c>
      <c r="B197" t="s">
        <v>18</v>
      </c>
      <c r="C197">
        <v>12</v>
      </c>
      <c r="D197">
        <v>0.5217</v>
      </c>
      <c r="E197">
        <v>12</v>
      </c>
      <c r="F197">
        <v>0.3871</v>
      </c>
      <c r="G197">
        <v>1</v>
      </c>
      <c r="H197">
        <v>1</v>
      </c>
      <c r="I197">
        <v>0.0833</v>
      </c>
      <c r="J197">
        <v>20.99</v>
      </c>
      <c r="K197" t="s">
        <v>39</v>
      </c>
      <c r="L197">
        <v>0.0833333333333333</v>
      </c>
    </row>
    <row r="198" spans="1:12">
      <c r="A198" s="71">
        <v>43293</v>
      </c>
      <c r="B198" t="s">
        <v>21</v>
      </c>
      <c r="C198">
        <v>1</v>
      </c>
      <c r="D198">
        <v>0.0278</v>
      </c>
      <c r="E198">
        <v>1</v>
      </c>
      <c r="F198">
        <v>0.0233</v>
      </c>
      <c r="G198">
        <v>0</v>
      </c>
      <c r="H198">
        <v>0</v>
      </c>
      <c r="I198">
        <v>0</v>
      </c>
      <c r="J198">
        <v>0</v>
      </c>
      <c r="K198" t="s">
        <v>38</v>
      </c>
      <c r="L198">
        <v>0</v>
      </c>
    </row>
    <row r="199" spans="1:12">
      <c r="A199" s="71">
        <v>43293</v>
      </c>
      <c r="B199" t="s">
        <v>18</v>
      </c>
      <c r="C199">
        <v>19</v>
      </c>
      <c r="D199">
        <v>0.5278</v>
      </c>
      <c r="E199">
        <v>22</v>
      </c>
      <c r="F199">
        <v>0.5116</v>
      </c>
      <c r="G199">
        <v>1</v>
      </c>
      <c r="H199">
        <v>1</v>
      </c>
      <c r="I199">
        <v>0.0526</v>
      </c>
      <c r="J199">
        <v>20.99</v>
      </c>
      <c r="K199" t="s">
        <v>39</v>
      </c>
      <c r="L199">
        <v>0.0526315789473684</v>
      </c>
    </row>
    <row r="200" spans="1:12">
      <c r="A200" s="71">
        <v>43293</v>
      </c>
      <c r="B200" t="s">
        <v>22</v>
      </c>
      <c r="C200">
        <v>16</v>
      </c>
      <c r="D200">
        <v>0.4444</v>
      </c>
      <c r="E200">
        <v>20</v>
      </c>
      <c r="F200">
        <v>0.4651</v>
      </c>
      <c r="G200">
        <v>1</v>
      </c>
      <c r="H200">
        <v>1</v>
      </c>
      <c r="I200">
        <v>0.0625</v>
      </c>
      <c r="J200">
        <v>12.49</v>
      </c>
      <c r="K200" t="s">
        <v>39</v>
      </c>
      <c r="L200">
        <v>0.0625</v>
      </c>
    </row>
    <row r="201" spans="1:12">
      <c r="A201" s="71">
        <v>43294</v>
      </c>
      <c r="B201" t="s">
        <v>21</v>
      </c>
      <c r="C201">
        <v>1</v>
      </c>
      <c r="D201">
        <v>0.0357</v>
      </c>
      <c r="E201">
        <v>1</v>
      </c>
      <c r="F201">
        <v>0.0294</v>
      </c>
      <c r="G201">
        <v>0</v>
      </c>
      <c r="H201">
        <v>0</v>
      </c>
      <c r="I201">
        <v>0</v>
      </c>
      <c r="J201">
        <v>0</v>
      </c>
      <c r="K201" t="s">
        <v>38</v>
      </c>
      <c r="L201">
        <v>0</v>
      </c>
    </row>
    <row r="202" spans="1:12">
      <c r="A202" s="71">
        <v>43294</v>
      </c>
      <c r="B202" t="s">
        <v>18</v>
      </c>
      <c r="C202">
        <v>18</v>
      </c>
      <c r="D202">
        <v>0.6429</v>
      </c>
      <c r="E202">
        <v>23</v>
      </c>
      <c r="F202">
        <v>0.6765</v>
      </c>
      <c r="G202">
        <v>1</v>
      </c>
      <c r="H202">
        <v>6</v>
      </c>
      <c r="I202">
        <v>0.3333</v>
      </c>
      <c r="J202">
        <v>125.94</v>
      </c>
      <c r="K202" t="s">
        <v>45</v>
      </c>
      <c r="L202">
        <v>0.333333333333333</v>
      </c>
    </row>
    <row r="203" spans="1:12">
      <c r="A203" s="71">
        <v>43294</v>
      </c>
      <c r="B203" t="s">
        <v>22</v>
      </c>
      <c r="C203">
        <v>9</v>
      </c>
      <c r="D203">
        <v>0.3214</v>
      </c>
      <c r="E203">
        <v>10</v>
      </c>
      <c r="F203">
        <v>0.2941</v>
      </c>
      <c r="G203">
        <v>1</v>
      </c>
      <c r="H203">
        <v>1</v>
      </c>
      <c r="I203">
        <v>0.1111</v>
      </c>
      <c r="J203">
        <v>12.49</v>
      </c>
      <c r="K203" t="s">
        <v>39</v>
      </c>
      <c r="L203">
        <v>0.111111111111111</v>
      </c>
    </row>
    <row r="204" spans="1:12">
      <c r="A204" s="71">
        <v>43295</v>
      </c>
      <c r="B204" t="s">
        <v>20</v>
      </c>
      <c r="C204">
        <v>2</v>
      </c>
      <c r="D204">
        <v>0.0606</v>
      </c>
      <c r="E204">
        <v>2</v>
      </c>
      <c r="F204">
        <v>0.05</v>
      </c>
      <c r="G204">
        <v>0</v>
      </c>
      <c r="H204">
        <v>0</v>
      </c>
      <c r="I204">
        <v>0</v>
      </c>
      <c r="J204">
        <v>0</v>
      </c>
      <c r="K204" t="s">
        <v>38</v>
      </c>
      <c r="L204">
        <v>0</v>
      </c>
    </row>
    <row r="205" spans="1:12">
      <c r="A205" s="71">
        <v>43295</v>
      </c>
      <c r="B205" t="s">
        <v>19</v>
      </c>
      <c r="C205">
        <v>1</v>
      </c>
      <c r="D205">
        <v>0.0303</v>
      </c>
      <c r="E205">
        <v>1</v>
      </c>
      <c r="F205">
        <v>0.025</v>
      </c>
      <c r="G205">
        <v>0</v>
      </c>
      <c r="H205">
        <v>0</v>
      </c>
      <c r="I205">
        <v>0</v>
      </c>
      <c r="J205">
        <v>0</v>
      </c>
      <c r="K205" t="s">
        <v>38</v>
      </c>
      <c r="L205">
        <v>0</v>
      </c>
    </row>
    <row r="206" spans="1:12">
      <c r="A206" s="71">
        <v>43295</v>
      </c>
      <c r="B206" t="s">
        <v>21</v>
      </c>
      <c r="C206">
        <v>1</v>
      </c>
      <c r="D206">
        <v>0.0303</v>
      </c>
      <c r="E206">
        <v>1</v>
      </c>
      <c r="F206">
        <v>0.025</v>
      </c>
      <c r="G206">
        <v>0</v>
      </c>
      <c r="H206">
        <v>0</v>
      </c>
      <c r="I206">
        <v>0</v>
      </c>
      <c r="J206">
        <v>0</v>
      </c>
      <c r="K206" t="s">
        <v>38</v>
      </c>
      <c r="L206">
        <v>0</v>
      </c>
    </row>
    <row r="207" spans="1:12">
      <c r="A207" s="71">
        <v>43295</v>
      </c>
      <c r="B207" t="s">
        <v>22</v>
      </c>
      <c r="C207">
        <v>11</v>
      </c>
      <c r="D207">
        <v>0.3333</v>
      </c>
      <c r="E207">
        <v>15</v>
      </c>
      <c r="F207">
        <v>0.375</v>
      </c>
      <c r="G207">
        <v>1</v>
      </c>
      <c r="H207">
        <v>5</v>
      </c>
      <c r="I207">
        <v>0.4545</v>
      </c>
      <c r="J207">
        <v>62.45</v>
      </c>
      <c r="K207" t="s">
        <v>42</v>
      </c>
      <c r="L207">
        <v>0.363636363636364</v>
      </c>
    </row>
    <row r="208" spans="1:12">
      <c r="A208" s="71">
        <v>43295</v>
      </c>
      <c r="B208" t="s">
        <v>18</v>
      </c>
      <c r="C208">
        <v>18</v>
      </c>
      <c r="D208">
        <v>0.5455</v>
      </c>
      <c r="E208">
        <v>21</v>
      </c>
      <c r="F208">
        <v>0.525</v>
      </c>
      <c r="G208">
        <v>1</v>
      </c>
      <c r="H208">
        <v>1</v>
      </c>
      <c r="I208">
        <v>0.0556</v>
      </c>
      <c r="J208">
        <v>20.99</v>
      </c>
      <c r="K208" t="s">
        <v>39</v>
      </c>
      <c r="L208">
        <v>0.0555555555555556</v>
      </c>
    </row>
    <row r="209" spans="1:12">
      <c r="A209" s="71">
        <v>43296</v>
      </c>
      <c r="B209" t="s">
        <v>22</v>
      </c>
      <c r="C209">
        <v>17</v>
      </c>
      <c r="D209">
        <v>0.425</v>
      </c>
      <c r="E209">
        <v>21</v>
      </c>
      <c r="F209">
        <v>0.4375</v>
      </c>
      <c r="G209">
        <v>1</v>
      </c>
      <c r="H209">
        <v>4</v>
      </c>
      <c r="I209">
        <v>0.2353</v>
      </c>
      <c r="J209">
        <v>49.96</v>
      </c>
      <c r="K209" t="s">
        <v>41</v>
      </c>
      <c r="L209">
        <v>0.176470588235294</v>
      </c>
    </row>
    <row r="210" spans="1:12">
      <c r="A210" s="71">
        <v>43296</v>
      </c>
      <c r="B210" t="s">
        <v>18</v>
      </c>
      <c r="C210">
        <v>23</v>
      </c>
      <c r="D210">
        <v>0.575</v>
      </c>
      <c r="E210">
        <v>27</v>
      </c>
      <c r="F210">
        <v>0.5625</v>
      </c>
      <c r="G210">
        <v>1</v>
      </c>
      <c r="H210">
        <v>1</v>
      </c>
      <c r="I210">
        <v>0.0435</v>
      </c>
      <c r="J210">
        <v>20.99</v>
      </c>
      <c r="K210" t="s">
        <v>39</v>
      </c>
      <c r="L210">
        <v>0.0434782608695652</v>
      </c>
    </row>
    <row r="211" spans="1:12">
      <c r="A211" s="71">
        <v>43297</v>
      </c>
      <c r="B211" t="s">
        <v>21</v>
      </c>
      <c r="C211">
        <v>1</v>
      </c>
      <c r="D211">
        <v>0.0244</v>
      </c>
      <c r="E211">
        <v>1</v>
      </c>
      <c r="F211">
        <v>0.0208</v>
      </c>
      <c r="G211">
        <v>1</v>
      </c>
      <c r="H211">
        <v>0</v>
      </c>
      <c r="I211">
        <v>0</v>
      </c>
      <c r="J211">
        <v>0</v>
      </c>
      <c r="K211" t="s">
        <v>38</v>
      </c>
      <c r="L211">
        <v>0</v>
      </c>
    </row>
    <row r="212" spans="1:12">
      <c r="A212" s="71">
        <v>43297</v>
      </c>
      <c r="B212" t="s">
        <v>20</v>
      </c>
      <c r="C212">
        <v>2</v>
      </c>
      <c r="D212">
        <v>0.0488</v>
      </c>
      <c r="E212">
        <v>2</v>
      </c>
      <c r="F212">
        <v>0.0417</v>
      </c>
      <c r="G212">
        <v>1</v>
      </c>
      <c r="H212">
        <v>0</v>
      </c>
      <c r="I212">
        <v>0</v>
      </c>
      <c r="J212">
        <v>0</v>
      </c>
      <c r="K212" t="s">
        <v>38</v>
      </c>
      <c r="L212">
        <v>0</v>
      </c>
    </row>
    <row r="213" spans="1:12">
      <c r="A213" s="71">
        <v>43297</v>
      </c>
      <c r="B213" t="s">
        <v>19</v>
      </c>
      <c r="C213">
        <v>3</v>
      </c>
      <c r="D213">
        <v>0.0732</v>
      </c>
      <c r="E213">
        <v>4</v>
      </c>
      <c r="F213">
        <v>0.0833</v>
      </c>
      <c r="G213">
        <v>1</v>
      </c>
      <c r="H213">
        <v>0</v>
      </c>
      <c r="I213">
        <v>0</v>
      </c>
      <c r="J213">
        <v>0</v>
      </c>
      <c r="K213" t="s">
        <v>38</v>
      </c>
      <c r="L213">
        <v>0</v>
      </c>
    </row>
    <row r="214" spans="1:12">
      <c r="A214" s="71">
        <v>43297</v>
      </c>
      <c r="B214" t="s">
        <v>22</v>
      </c>
      <c r="C214">
        <v>22</v>
      </c>
      <c r="D214">
        <v>0.5366</v>
      </c>
      <c r="E214">
        <v>27</v>
      </c>
      <c r="F214">
        <v>0.5625</v>
      </c>
      <c r="G214">
        <v>1</v>
      </c>
      <c r="H214">
        <v>6</v>
      </c>
      <c r="I214">
        <v>0.2727</v>
      </c>
      <c r="J214">
        <v>74.94</v>
      </c>
      <c r="K214" t="s">
        <v>45</v>
      </c>
      <c r="L214">
        <v>0.272727272727273</v>
      </c>
    </row>
    <row r="215" spans="1:12">
      <c r="A215" s="71">
        <v>43297</v>
      </c>
      <c r="B215" t="s">
        <v>18</v>
      </c>
      <c r="C215">
        <v>13</v>
      </c>
      <c r="D215">
        <v>0.3171</v>
      </c>
      <c r="E215">
        <v>14</v>
      </c>
      <c r="F215">
        <v>0.2917</v>
      </c>
      <c r="G215">
        <v>1</v>
      </c>
      <c r="H215">
        <v>1</v>
      </c>
      <c r="I215">
        <v>0.0769</v>
      </c>
      <c r="J215">
        <v>20.99</v>
      </c>
      <c r="K215" t="s">
        <v>39</v>
      </c>
      <c r="L215">
        <v>0.0769230769230769</v>
      </c>
    </row>
    <row r="216" spans="1:12">
      <c r="A216" s="71">
        <v>43298</v>
      </c>
      <c r="B216" t="s">
        <v>18</v>
      </c>
      <c r="C216">
        <v>6</v>
      </c>
      <c r="D216">
        <v>0.1818</v>
      </c>
      <c r="E216">
        <v>8</v>
      </c>
      <c r="F216">
        <v>0.2222</v>
      </c>
      <c r="G216">
        <v>1</v>
      </c>
      <c r="H216">
        <v>0</v>
      </c>
      <c r="I216">
        <v>0</v>
      </c>
      <c r="J216">
        <v>0</v>
      </c>
      <c r="K216" t="s">
        <v>38</v>
      </c>
      <c r="L216">
        <v>0</v>
      </c>
    </row>
    <row r="217" spans="1:12">
      <c r="A217" s="71">
        <v>43298</v>
      </c>
      <c r="B217" t="s">
        <v>19</v>
      </c>
      <c r="C217">
        <v>3</v>
      </c>
      <c r="D217">
        <v>0.0909</v>
      </c>
      <c r="E217">
        <v>3</v>
      </c>
      <c r="F217">
        <v>0.0833</v>
      </c>
      <c r="G217">
        <v>1</v>
      </c>
      <c r="H217">
        <v>0</v>
      </c>
      <c r="I217">
        <v>0</v>
      </c>
      <c r="J217">
        <v>0</v>
      </c>
      <c r="K217" t="s">
        <v>38</v>
      </c>
      <c r="L217">
        <v>0</v>
      </c>
    </row>
    <row r="218" spans="1:12">
      <c r="A218" s="71">
        <v>43298</v>
      </c>
      <c r="B218" t="s">
        <v>20</v>
      </c>
      <c r="C218">
        <v>2</v>
      </c>
      <c r="D218">
        <v>0.0606</v>
      </c>
      <c r="E218">
        <v>3</v>
      </c>
      <c r="F218">
        <v>0.0833</v>
      </c>
      <c r="G218">
        <v>1</v>
      </c>
      <c r="H218">
        <v>2</v>
      </c>
      <c r="I218">
        <v>1</v>
      </c>
      <c r="J218">
        <v>31.98</v>
      </c>
      <c r="K218" t="s">
        <v>39</v>
      </c>
      <c r="L218">
        <v>0.5</v>
      </c>
    </row>
    <row r="219" spans="1:12">
      <c r="A219" s="71">
        <v>43298</v>
      </c>
      <c r="B219" t="s">
        <v>22</v>
      </c>
      <c r="C219">
        <v>22</v>
      </c>
      <c r="D219">
        <v>0.6667</v>
      </c>
      <c r="E219">
        <v>22</v>
      </c>
      <c r="F219">
        <v>0.6111</v>
      </c>
      <c r="G219">
        <v>1</v>
      </c>
      <c r="H219">
        <v>14</v>
      </c>
      <c r="I219">
        <v>0.6364</v>
      </c>
      <c r="J219">
        <v>174.86</v>
      </c>
      <c r="K219" t="s">
        <v>49</v>
      </c>
      <c r="L219">
        <v>0.545454545454545</v>
      </c>
    </row>
    <row r="220" spans="1:12">
      <c r="A220" s="71">
        <v>43299</v>
      </c>
      <c r="B220" t="s">
        <v>19</v>
      </c>
      <c r="C220">
        <v>1</v>
      </c>
      <c r="D220">
        <v>0.0227</v>
      </c>
      <c r="E220">
        <v>1</v>
      </c>
      <c r="F220">
        <v>0.0175</v>
      </c>
      <c r="G220">
        <v>1</v>
      </c>
      <c r="H220">
        <v>0</v>
      </c>
      <c r="I220">
        <v>0</v>
      </c>
      <c r="J220">
        <v>0</v>
      </c>
      <c r="K220" t="s">
        <v>38</v>
      </c>
      <c r="L220">
        <v>0</v>
      </c>
    </row>
    <row r="221" spans="1:12">
      <c r="A221" s="71">
        <v>43299</v>
      </c>
      <c r="B221" t="s">
        <v>22</v>
      </c>
      <c r="C221">
        <v>33</v>
      </c>
      <c r="D221">
        <v>0.75</v>
      </c>
      <c r="E221">
        <v>45</v>
      </c>
      <c r="F221">
        <v>0.7895</v>
      </c>
      <c r="G221">
        <v>1</v>
      </c>
      <c r="H221">
        <v>6</v>
      </c>
      <c r="I221">
        <v>0.1818</v>
      </c>
      <c r="J221">
        <v>74.94</v>
      </c>
      <c r="K221" t="s">
        <v>43</v>
      </c>
      <c r="L221">
        <v>0.151515151515152</v>
      </c>
    </row>
    <row r="222" spans="1:12">
      <c r="A222" s="71">
        <v>43299</v>
      </c>
      <c r="B222" t="s">
        <v>18</v>
      </c>
      <c r="C222">
        <v>10</v>
      </c>
      <c r="D222">
        <v>0.2273</v>
      </c>
      <c r="E222">
        <v>11</v>
      </c>
      <c r="F222">
        <v>0.193</v>
      </c>
      <c r="G222">
        <v>1</v>
      </c>
      <c r="H222">
        <v>1</v>
      </c>
      <c r="I222">
        <v>0.1</v>
      </c>
      <c r="J222">
        <v>20.99</v>
      </c>
      <c r="K222" t="s">
        <v>39</v>
      </c>
      <c r="L222">
        <v>0.1</v>
      </c>
    </row>
    <row r="223" spans="1:12">
      <c r="A223" s="71">
        <v>43300</v>
      </c>
      <c r="B223" t="s">
        <v>18</v>
      </c>
      <c r="C223">
        <v>9</v>
      </c>
      <c r="D223">
        <v>0.2</v>
      </c>
      <c r="E223">
        <v>12</v>
      </c>
      <c r="F223">
        <v>0.2182</v>
      </c>
      <c r="G223">
        <v>1</v>
      </c>
      <c r="H223">
        <v>0</v>
      </c>
      <c r="I223">
        <v>0</v>
      </c>
      <c r="J223">
        <v>0</v>
      </c>
      <c r="K223" t="s">
        <v>38</v>
      </c>
      <c r="L223">
        <v>0</v>
      </c>
    </row>
    <row r="224" spans="1:12">
      <c r="A224" s="71">
        <v>43300</v>
      </c>
      <c r="B224" t="s">
        <v>22</v>
      </c>
      <c r="C224">
        <v>36</v>
      </c>
      <c r="D224">
        <v>0.8</v>
      </c>
      <c r="E224">
        <v>43</v>
      </c>
      <c r="F224">
        <v>0.7818</v>
      </c>
      <c r="G224">
        <v>1</v>
      </c>
      <c r="H224">
        <v>4</v>
      </c>
      <c r="I224">
        <v>0.1111</v>
      </c>
      <c r="J224">
        <v>49.96</v>
      </c>
      <c r="K224" t="s">
        <v>42</v>
      </c>
      <c r="L224">
        <v>0.111111111111111</v>
      </c>
    </row>
    <row r="225" spans="1:12">
      <c r="A225" s="71">
        <v>43301</v>
      </c>
      <c r="B225" t="s">
        <v>20</v>
      </c>
      <c r="C225">
        <v>3</v>
      </c>
      <c r="D225">
        <v>0.0968</v>
      </c>
      <c r="E225">
        <v>3</v>
      </c>
      <c r="F225">
        <v>0.0909</v>
      </c>
      <c r="G225">
        <v>0</v>
      </c>
      <c r="H225">
        <v>0</v>
      </c>
      <c r="I225">
        <v>0</v>
      </c>
      <c r="J225">
        <v>0</v>
      </c>
      <c r="K225" t="s">
        <v>38</v>
      </c>
      <c r="L225">
        <v>0</v>
      </c>
    </row>
    <row r="226" spans="1:12">
      <c r="A226" s="71">
        <v>43301</v>
      </c>
      <c r="B226" t="s">
        <v>19</v>
      </c>
      <c r="C226">
        <v>2</v>
      </c>
      <c r="D226">
        <v>0.0645</v>
      </c>
      <c r="E226">
        <v>2</v>
      </c>
      <c r="F226">
        <v>0.0606</v>
      </c>
      <c r="G226">
        <v>0</v>
      </c>
      <c r="H226">
        <v>0</v>
      </c>
      <c r="I226">
        <v>0</v>
      </c>
      <c r="J226">
        <v>0</v>
      </c>
      <c r="K226" t="s">
        <v>38</v>
      </c>
      <c r="L226">
        <v>0</v>
      </c>
    </row>
    <row r="227" spans="1:12">
      <c r="A227" s="71">
        <v>43301</v>
      </c>
      <c r="B227" t="s">
        <v>21</v>
      </c>
      <c r="C227">
        <v>1</v>
      </c>
      <c r="D227">
        <v>0.0323</v>
      </c>
      <c r="E227">
        <v>1</v>
      </c>
      <c r="F227">
        <v>0.0303</v>
      </c>
      <c r="G227">
        <v>0</v>
      </c>
      <c r="H227">
        <v>0</v>
      </c>
      <c r="I227">
        <v>0</v>
      </c>
      <c r="J227">
        <v>0</v>
      </c>
      <c r="K227" t="s">
        <v>38</v>
      </c>
      <c r="L227">
        <v>0</v>
      </c>
    </row>
    <row r="228" spans="1:12">
      <c r="A228" s="71">
        <v>43301</v>
      </c>
      <c r="B228" t="s">
        <v>22</v>
      </c>
      <c r="C228">
        <v>21</v>
      </c>
      <c r="D228">
        <v>0.6774</v>
      </c>
      <c r="E228">
        <v>23</v>
      </c>
      <c r="F228">
        <v>0.697</v>
      </c>
      <c r="G228">
        <v>1</v>
      </c>
      <c r="H228">
        <v>5</v>
      </c>
      <c r="I228">
        <v>0.2381</v>
      </c>
      <c r="J228">
        <v>62.45</v>
      </c>
      <c r="K228" t="s">
        <v>41</v>
      </c>
      <c r="L228">
        <v>0.142857142857143</v>
      </c>
    </row>
    <row r="229" spans="1:12">
      <c r="A229" s="71">
        <v>43301</v>
      </c>
      <c r="B229" t="s">
        <v>18</v>
      </c>
      <c r="C229">
        <v>4</v>
      </c>
      <c r="D229">
        <v>0.129</v>
      </c>
      <c r="E229">
        <v>4</v>
      </c>
      <c r="F229">
        <v>0.1212</v>
      </c>
      <c r="G229">
        <v>1</v>
      </c>
      <c r="H229">
        <v>1</v>
      </c>
      <c r="I229">
        <v>0.25</v>
      </c>
      <c r="J229">
        <v>20.99</v>
      </c>
      <c r="K229" t="s">
        <v>39</v>
      </c>
      <c r="L229">
        <v>0.25</v>
      </c>
    </row>
    <row r="230" spans="1:12">
      <c r="A230" s="71">
        <v>43302</v>
      </c>
      <c r="B230" t="s">
        <v>18</v>
      </c>
      <c r="C230">
        <v>10</v>
      </c>
      <c r="D230">
        <v>0.4</v>
      </c>
      <c r="E230">
        <v>13</v>
      </c>
      <c r="F230">
        <v>0.4483</v>
      </c>
      <c r="G230">
        <v>1</v>
      </c>
      <c r="H230">
        <v>0</v>
      </c>
      <c r="I230">
        <v>0</v>
      </c>
      <c r="J230">
        <v>0</v>
      </c>
      <c r="K230" t="s">
        <v>38</v>
      </c>
      <c r="L230">
        <v>0</v>
      </c>
    </row>
    <row r="231" spans="1:12">
      <c r="A231" s="71">
        <v>43302</v>
      </c>
      <c r="B231" t="s">
        <v>22</v>
      </c>
      <c r="C231">
        <v>15</v>
      </c>
      <c r="D231">
        <v>0.6</v>
      </c>
      <c r="E231">
        <v>16</v>
      </c>
      <c r="F231">
        <v>0.5517</v>
      </c>
      <c r="G231">
        <v>1</v>
      </c>
      <c r="H231">
        <v>4</v>
      </c>
      <c r="I231">
        <v>0.2667</v>
      </c>
      <c r="J231">
        <v>49.96</v>
      </c>
      <c r="K231" t="s">
        <v>42</v>
      </c>
      <c r="L231">
        <v>0.266666666666667</v>
      </c>
    </row>
    <row r="232" spans="1:12">
      <c r="A232" s="71">
        <v>43303</v>
      </c>
      <c r="B232" t="s">
        <v>19</v>
      </c>
      <c r="C232">
        <v>1</v>
      </c>
      <c r="D232">
        <v>0.0357</v>
      </c>
      <c r="E232">
        <v>1</v>
      </c>
      <c r="F232">
        <v>0.0333</v>
      </c>
      <c r="G232">
        <v>1</v>
      </c>
      <c r="H232">
        <v>0</v>
      </c>
      <c r="I232">
        <v>0</v>
      </c>
      <c r="J232">
        <v>0</v>
      </c>
      <c r="K232" t="s">
        <v>38</v>
      </c>
      <c r="L232">
        <v>0</v>
      </c>
    </row>
    <row r="233" spans="1:12">
      <c r="A233" s="71">
        <v>43303</v>
      </c>
      <c r="B233" t="s">
        <v>20</v>
      </c>
      <c r="C233">
        <v>1</v>
      </c>
      <c r="D233">
        <v>0.0357</v>
      </c>
      <c r="E233">
        <v>1</v>
      </c>
      <c r="F233">
        <v>0.0333</v>
      </c>
      <c r="G233">
        <v>1</v>
      </c>
      <c r="H233">
        <v>0</v>
      </c>
      <c r="I233">
        <v>0</v>
      </c>
      <c r="J233">
        <v>0</v>
      </c>
      <c r="K233" t="s">
        <v>38</v>
      </c>
      <c r="L233">
        <v>0</v>
      </c>
    </row>
    <row r="234" spans="1:12">
      <c r="A234" s="71">
        <v>43303</v>
      </c>
      <c r="B234" t="s">
        <v>22</v>
      </c>
      <c r="C234">
        <v>20</v>
      </c>
      <c r="D234">
        <v>0.7143</v>
      </c>
      <c r="E234">
        <v>22</v>
      </c>
      <c r="F234">
        <v>0.7333</v>
      </c>
      <c r="G234">
        <v>1</v>
      </c>
      <c r="H234">
        <v>10</v>
      </c>
      <c r="I234">
        <v>0.5</v>
      </c>
      <c r="J234">
        <v>124.9</v>
      </c>
      <c r="K234" t="s">
        <v>46</v>
      </c>
      <c r="L234">
        <v>0.35</v>
      </c>
    </row>
    <row r="235" spans="1:12">
      <c r="A235" s="71">
        <v>43303</v>
      </c>
      <c r="B235" t="s">
        <v>18</v>
      </c>
      <c r="C235">
        <v>6</v>
      </c>
      <c r="D235">
        <v>0.2143</v>
      </c>
      <c r="E235">
        <v>6</v>
      </c>
      <c r="F235">
        <v>0.2</v>
      </c>
      <c r="G235">
        <v>1</v>
      </c>
      <c r="H235">
        <v>1</v>
      </c>
      <c r="I235">
        <v>0.1667</v>
      </c>
      <c r="J235">
        <v>20.99</v>
      </c>
      <c r="K235" t="s">
        <v>39</v>
      </c>
      <c r="L235">
        <v>0.166666666666667</v>
      </c>
    </row>
    <row r="236" spans="1:12">
      <c r="A236" s="71">
        <v>43304</v>
      </c>
      <c r="B236" t="s">
        <v>20</v>
      </c>
      <c r="C236">
        <v>1</v>
      </c>
      <c r="D236">
        <v>0.0256</v>
      </c>
      <c r="E236">
        <v>1</v>
      </c>
      <c r="F236">
        <v>0.0227</v>
      </c>
      <c r="G236">
        <v>1</v>
      </c>
      <c r="H236">
        <v>0</v>
      </c>
      <c r="I236">
        <v>0</v>
      </c>
      <c r="J236">
        <v>0</v>
      </c>
      <c r="K236" t="s">
        <v>38</v>
      </c>
      <c r="L236">
        <v>0</v>
      </c>
    </row>
    <row r="237" spans="1:12">
      <c r="A237" s="71">
        <v>43304</v>
      </c>
      <c r="B237" t="s">
        <v>21</v>
      </c>
      <c r="C237">
        <v>2</v>
      </c>
      <c r="D237">
        <v>0.0513</v>
      </c>
      <c r="E237">
        <v>2</v>
      </c>
      <c r="F237">
        <v>0.0455</v>
      </c>
      <c r="G237">
        <v>1</v>
      </c>
      <c r="H237">
        <v>0</v>
      </c>
      <c r="I237">
        <v>0</v>
      </c>
      <c r="J237">
        <v>0</v>
      </c>
      <c r="K237" t="s">
        <v>38</v>
      </c>
      <c r="L237">
        <v>0</v>
      </c>
    </row>
    <row r="238" spans="1:12">
      <c r="A238" s="71">
        <v>43304</v>
      </c>
      <c r="B238" t="s">
        <v>22</v>
      </c>
      <c r="C238">
        <v>27</v>
      </c>
      <c r="D238">
        <v>0.6923</v>
      </c>
      <c r="E238">
        <v>32</v>
      </c>
      <c r="F238">
        <v>0.7273</v>
      </c>
      <c r="G238">
        <v>1</v>
      </c>
      <c r="H238">
        <v>0</v>
      </c>
      <c r="I238">
        <v>0</v>
      </c>
      <c r="J238">
        <v>0</v>
      </c>
      <c r="K238" t="s">
        <v>38</v>
      </c>
      <c r="L238">
        <v>0</v>
      </c>
    </row>
    <row r="239" spans="1:12">
      <c r="A239" s="71">
        <v>43304</v>
      </c>
      <c r="B239" t="s">
        <v>18</v>
      </c>
      <c r="C239">
        <v>9</v>
      </c>
      <c r="D239">
        <v>0.2308</v>
      </c>
      <c r="E239">
        <v>9</v>
      </c>
      <c r="F239">
        <v>0.2045</v>
      </c>
      <c r="G239">
        <v>1</v>
      </c>
      <c r="H239">
        <v>0</v>
      </c>
      <c r="I239">
        <v>0</v>
      </c>
      <c r="J239">
        <v>0</v>
      </c>
      <c r="K239" t="s">
        <v>38</v>
      </c>
      <c r="L239">
        <v>0</v>
      </c>
    </row>
    <row r="240" spans="1:12">
      <c r="A240" s="71">
        <v>43305</v>
      </c>
      <c r="B240" t="s">
        <v>21</v>
      </c>
      <c r="C240">
        <v>1</v>
      </c>
      <c r="D240">
        <v>0.037</v>
      </c>
      <c r="E240">
        <v>1</v>
      </c>
      <c r="F240">
        <v>0.0323</v>
      </c>
      <c r="G240">
        <v>1</v>
      </c>
      <c r="H240">
        <v>0</v>
      </c>
      <c r="I240">
        <v>0</v>
      </c>
      <c r="J240">
        <v>0</v>
      </c>
      <c r="K240" t="s">
        <v>38</v>
      </c>
      <c r="L240">
        <v>0</v>
      </c>
    </row>
    <row r="241" spans="1:12">
      <c r="A241" s="71">
        <v>43305</v>
      </c>
      <c r="B241" t="s">
        <v>19</v>
      </c>
      <c r="C241">
        <v>1</v>
      </c>
      <c r="D241">
        <v>0.037</v>
      </c>
      <c r="E241">
        <v>1</v>
      </c>
      <c r="F241">
        <v>0.0323</v>
      </c>
      <c r="G241">
        <v>1</v>
      </c>
      <c r="H241">
        <v>0</v>
      </c>
      <c r="I241">
        <v>0</v>
      </c>
      <c r="J241">
        <v>0</v>
      </c>
      <c r="K241" t="s">
        <v>38</v>
      </c>
      <c r="L241">
        <v>0</v>
      </c>
    </row>
    <row r="242" spans="1:12">
      <c r="A242" s="71">
        <v>43305</v>
      </c>
      <c r="B242" t="s">
        <v>20</v>
      </c>
      <c r="C242">
        <v>1</v>
      </c>
      <c r="D242">
        <v>0.037</v>
      </c>
      <c r="E242">
        <v>1</v>
      </c>
      <c r="F242">
        <v>0.0323</v>
      </c>
      <c r="G242">
        <v>1</v>
      </c>
      <c r="H242">
        <v>0</v>
      </c>
      <c r="I242">
        <v>0</v>
      </c>
      <c r="J242">
        <v>0</v>
      </c>
      <c r="K242" t="s">
        <v>38</v>
      </c>
      <c r="L242">
        <v>0</v>
      </c>
    </row>
    <row r="243" spans="1:12">
      <c r="A243" s="71">
        <v>43305</v>
      </c>
      <c r="B243" t="s">
        <v>18</v>
      </c>
      <c r="C243">
        <v>7</v>
      </c>
      <c r="D243">
        <v>0.2593</v>
      </c>
      <c r="E243">
        <v>7</v>
      </c>
      <c r="F243">
        <v>0.2258</v>
      </c>
      <c r="G243">
        <v>1</v>
      </c>
      <c r="H243">
        <v>3</v>
      </c>
      <c r="I243">
        <v>0.4286</v>
      </c>
      <c r="J243">
        <v>62.97</v>
      </c>
      <c r="K243" t="s">
        <v>41</v>
      </c>
      <c r="L243">
        <v>0.428571428571429</v>
      </c>
    </row>
    <row r="244" spans="1:12">
      <c r="A244" s="71">
        <v>43305</v>
      </c>
      <c r="B244" t="s">
        <v>22</v>
      </c>
      <c r="C244">
        <v>17</v>
      </c>
      <c r="D244">
        <v>0.6296</v>
      </c>
      <c r="E244">
        <v>21</v>
      </c>
      <c r="F244">
        <v>0.6774</v>
      </c>
      <c r="G244">
        <v>1</v>
      </c>
      <c r="H244">
        <v>2</v>
      </c>
      <c r="I244">
        <v>0.1176</v>
      </c>
      <c r="J244">
        <v>23.98</v>
      </c>
      <c r="K244" t="s">
        <v>39</v>
      </c>
      <c r="L244">
        <v>0.0588235294117647</v>
      </c>
    </row>
    <row r="245" spans="1:12">
      <c r="A245" s="71">
        <v>43306</v>
      </c>
      <c r="B245" t="s">
        <v>22</v>
      </c>
      <c r="C245">
        <v>15</v>
      </c>
      <c r="D245">
        <v>0.6522</v>
      </c>
      <c r="E245">
        <v>21</v>
      </c>
      <c r="F245">
        <v>0.7241</v>
      </c>
      <c r="G245">
        <v>1</v>
      </c>
      <c r="H245">
        <v>5</v>
      </c>
      <c r="I245">
        <v>0.3333</v>
      </c>
      <c r="J245">
        <v>59.95</v>
      </c>
      <c r="K245" t="s">
        <v>43</v>
      </c>
      <c r="L245">
        <v>0.333333333333333</v>
      </c>
    </row>
    <row r="246" spans="1:12">
      <c r="A246" s="71">
        <v>43306</v>
      </c>
      <c r="B246" t="s">
        <v>18</v>
      </c>
      <c r="C246">
        <v>8</v>
      </c>
      <c r="D246">
        <v>0.3478</v>
      </c>
      <c r="E246">
        <v>8</v>
      </c>
      <c r="F246">
        <v>0.2759</v>
      </c>
      <c r="G246">
        <v>1</v>
      </c>
      <c r="H246">
        <v>1</v>
      </c>
      <c r="I246">
        <v>0.125</v>
      </c>
      <c r="J246">
        <v>19.99</v>
      </c>
      <c r="K246" t="s">
        <v>39</v>
      </c>
      <c r="L246">
        <v>0.125</v>
      </c>
    </row>
    <row r="247" spans="1:12">
      <c r="A247" s="71">
        <v>43307</v>
      </c>
      <c r="B247" t="s">
        <v>19</v>
      </c>
      <c r="C247">
        <v>2</v>
      </c>
      <c r="D247">
        <v>0.087</v>
      </c>
      <c r="E247">
        <v>2</v>
      </c>
      <c r="F247">
        <v>0.069</v>
      </c>
      <c r="G247">
        <v>1</v>
      </c>
      <c r="H247">
        <v>0</v>
      </c>
      <c r="I247">
        <v>0</v>
      </c>
      <c r="J247">
        <v>0</v>
      </c>
      <c r="K247" t="s">
        <v>38</v>
      </c>
      <c r="L247">
        <v>0</v>
      </c>
    </row>
    <row r="248" spans="1:12">
      <c r="A248" s="71">
        <v>43307</v>
      </c>
      <c r="B248" t="s">
        <v>22</v>
      </c>
      <c r="C248">
        <v>18</v>
      </c>
      <c r="D248">
        <v>0.7826</v>
      </c>
      <c r="E248">
        <v>24</v>
      </c>
      <c r="F248">
        <v>0.8276</v>
      </c>
      <c r="G248">
        <v>1</v>
      </c>
      <c r="H248">
        <v>0</v>
      </c>
      <c r="I248">
        <v>0</v>
      </c>
      <c r="J248">
        <v>0</v>
      </c>
      <c r="K248" t="s">
        <v>38</v>
      </c>
      <c r="L248">
        <v>0</v>
      </c>
    </row>
    <row r="249" spans="1:12">
      <c r="A249" s="71">
        <v>43307</v>
      </c>
      <c r="B249" t="s">
        <v>18</v>
      </c>
      <c r="C249">
        <v>3</v>
      </c>
      <c r="D249">
        <v>0.1304</v>
      </c>
      <c r="E249">
        <v>3</v>
      </c>
      <c r="F249">
        <v>0.1034</v>
      </c>
      <c r="G249">
        <v>1</v>
      </c>
      <c r="H249">
        <v>2</v>
      </c>
      <c r="I249">
        <v>0.6667</v>
      </c>
      <c r="J249">
        <v>39.98</v>
      </c>
      <c r="K249" t="s">
        <v>40</v>
      </c>
      <c r="L249">
        <v>0.666666666666667</v>
      </c>
    </row>
    <row r="250" spans="1:12">
      <c r="A250" s="71">
        <v>43308</v>
      </c>
      <c r="B250" t="s">
        <v>18</v>
      </c>
      <c r="C250">
        <v>7</v>
      </c>
      <c r="D250">
        <v>0.2059</v>
      </c>
      <c r="E250">
        <v>8</v>
      </c>
      <c r="F250">
        <v>0.1818</v>
      </c>
      <c r="G250">
        <v>1</v>
      </c>
      <c r="H250">
        <v>0</v>
      </c>
      <c r="I250">
        <v>0</v>
      </c>
      <c r="J250">
        <v>0</v>
      </c>
      <c r="K250" t="s">
        <v>38</v>
      </c>
      <c r="L250">
        <v>0</v>
      </c>
    </row>
    <row r="251" spans="1:12">
      <c r="A251" s="71">
        <v>43308</v>
      </c>
      <c r="B251" t="s">
        <v>19</v>
      </c>
      <c r="C251">
        <v>1</v>
      </c>
      <c r="D251">
        <v>0.0294</v>
      </c>
      <c r="E251">
        <v>1</v>
      </c>
      <c r="F251">
        <v>0.0227</v>
      </c>
      <c r="G251">
        <v>0</v>
      </c>
      <c r="H251">
        <v>0</v>
      </c>
      <c r="I251">
        <v>0</v>
      </c>
      <c r="J251">
        <v>0</v>
      </c>
      <c r="K251" t="s">
        <v>38</v>
      </c>
      <c r="L251">
        <v>0</v>
      </c>
    </row>
    <row r="252" spans="1:12">
      <c r="A252" s="71">
        <v>43308</v>
      </c>
      <c r="B252" t="s">
        <v>22</v>
      </c>
      <c r="C252">
        <v>26</v>
      </c>
      <c r="D252">
        <v>0.7647</v>
      </c>
      <c r="E252">
        <v>35</v>
      </c>
      <c r="F252">
        <v>0.7955</v>
      </c>
      <c r="G252">
        <v>1</v>
      </c>
      <c r="H252">
        <v>7</v>
      </c>
      <c r="I252">
        <v>0.2692</v>
      </c>
      <c r="J252">
        <v>83.93</v>
      </c>
      <c r="K252" t="s">
        <v>42</v>
      </c>
      <c r="L252">
        <v>0.153846153846154</v>
      </c>
    </row>
    <row r="253" spans="1:12">
      <c r="A253" s="71">
        <v>43309</v>
      </c>
      <c r="B253" t="s">
        <v>18</v>
      </c>
      <c r="C253">
        <v>4</v>
      </c>
      <c r="D253">
        <v>0.125</v>
      </c>
      <c r="E253">
        <v>5</v>
      </c>
      <c r="F253">
        <v>0.125</v>
      </c>
      <c r="G253">
        <v>1</v>
      </c>
      <c r="H253">
        <v>0</v>
      </c>
      <c r="I253">
        <v>0</v>
      </c>
      <c r="J253">
        <v>0</v>
      </c>
      <c r="K253" t="s">
        <v>38</v>
      </c>
      <c r="L253">
        <v>0</v>
      </c>
    </row>
    <row r="254" spans="1:12">
      <c r="A254" s="71">
        <v>43309</v>
      </c>
      <c r="B254" t="s">
        <v>21</v>
      </c>
      <c r="C254">
        <v>1</v>
      </c>
      <c r="D254">
        <v>0.0313</v>
      </c>
      <c r="E254">
        <v>1</v>
      </c>
      <c r="F254">
        <v>0.025</v>
      </c>
      <c r="G254">
        <v>0</v>
      </c>
      <c r="H254">
        <v>0</v>
      </c>
      <c r="I254">
        <v>0</v>
      </c>
      <c r="J254">
        <v>0</v>
      </c>
      <c r="K254" t="s">
        <v>38</v>
      </c>
      <c r="L254">
        <v>0</v>
      </c>
    </row>
    <row r="255" spans="1:12">
      <c r="A255" s="71">
        <v>43309</v>
      </c>
      <c r="B255" t="s">
        <v>22</v>
      </c>
      <c r="C255">
        <v>27</v>
      </c>
      <c r="D255">
        <v>0.8438</v>
      </c>
      <c r="E255">
        <v>34</v>
      </c>
      <c r="F255">
        <v>0.85</v>
      </c>
      <c r="G255">
        <v>1</v>
      </c>
      <c r="H255">
        <v>4</v>
      </c>
      <c r="I255">
        <v>0.1481</v>
      </c>
      <c r="J255">
        <v>47.96</v>
      </c>
      <c r="K255" t="s">
        <v>42</v>
      </c>
      <c r="L255">
        <v>0.148148148148148</v>
      </c>
    </row>
    <row r="256" spans="1:12">
      <c r="A256" s="71">
        <v>43310</v>
      </c>
      <c r="B256" t="s">
        <v>20</v>
      </c>
      <c r="C256">
        <v>1</v>
      </c>
      <c r="D256">
        <v>0.04</v>
      </c>
      <c r="E256">
        <v>1</v>
      </c>
      <c r="F256">
        <v>0.0263</v>
      </c>
      <c r="G256">
        <v>1</v>
      </c>
      <c r="H256">
        <v>0</v>
      </c>
      <c r="I256">
        <v>0</v>
      </c>
      <c r="J256">
        <v>0</v>
      </c>
      <c r="K256" t="s">
        <v>38</v>
      </c>
      <c r="L256">
        <v>0</v>
      </c>
    </row>
    <row r="257" spans="1:12">
      <c r="A257" s="71">
        <v>43310</v>
      </c>
      <c r="B257" t="s">
        <v>18</v>
      </c>
      <c r="C257">
        <v>5</v>
      </c>
      <c r="D257">
        <v>0.2</v>
      </c>
      <c r="E257">
        <v>8</v>
      </c>
      <c r="F257">
        <v>0.2105</v>
      </c>
      <c r="G257">
        <v>1</v>
      </c>
      <c r="H257">
        <v>0</v>
      </c>
      <c r="I257">
        <v>0</v>
      </c>
      <c r="J257">
        <v>0</v>
      </c>
      <c r="K257" t="s">
        <v>38</v>
      </c>
      <c r="L257">
        <v>0</v>
      </c>
    </row>
    <row r="258" spans="1:12">
      <c r="A258" s="71">
        <v>43310</v>
      </c>
      <c r="B258" t="s">
        <v>22</v>
      </c>
      <c r="C258">
        <v>19</v>
      </c>
      <c r="D258">
        <v>0.76</v>
      </c>
      <c r="E258">
        <v>29</v>
      </c>
      <c r="F258">
        <v>0.7632</v>
      </c>
      <c r="G258">
        <v>1</v>
      </c>
      <c r="H258">
        <v>5</v>
      </c>
      <c r="I258">
        <v>0.2632</v>
      </c>
      <c r="J258">
        <v>59.95</v>
      </c>
      <c r="K258" t="s">
        <v>43</v>
      </c>
      <c r="L258">
        <v>0.263157894736842</v>
      </c>
    </row>
    <row r="259" spans="1:12">
      <c r="A259" s="71">
        <v>43311</v>
      </c>
      <c r="B259" t="s">
        <v>18</v>
      </c>
      <c r="C259">
        <v>5</v>
      </c>
      <c r="D259">
        <v>0.125</v>
      </c>
      <c r="E259">
        <v>6</v>
      </c>
      <c r="F259">
        <v>0.1304</v>
      </c>
      <c r="G259">
        <v>1</v>
      </c>
      <c r="H259">
        <v>0</v>
      </c>
      <c r="I259">
        <v>0</v>
      </c>
      <c r="J259">
        <v>0</v>
      </c>
      <c r="K259" t="s">
        <v>38</v>
      </c>
      <c r="L259">
        <v>0</v>
      </c>
    </row>
    <row r="260" spans="1:12">
      <c r="A260" s="71">
        <v>43311</v>
      </c>
      <c r="B260" t="s">
        <v>22</v>
      </c>
      <c r="C260">
        <v>34</v>
      </c>
      <c r="D260">
        <v>0.85</v>
      </c>
      <c r="E260">
        <v>39</v>
      </c>
      <c r="F260">
        <v>0.8478</v>
      </c>
      <c r="G260">
        <v>1</v>
      </c>
      <c r="H260">
        <v>4</v>
      </c>
      <c r="I260">
        <v>0.1176</v>
      </c>
      <c r="J260">
        <v>47.96</v>
      </c>
      <c r="K260" t="s">
        <v>42</v>
      </c>
      <c r="L260">
        <v>0.117647058823529</v>
      </c>
    </row>
    <row r="261" spans="1:12">
      <c r="A261" s="71">
        <v>43311</v>
      </c>
      <c r="B261" t="s">
        <v>19</v>
      </c>
      <c r="C261">
        <v>1</v>
      </c>
      <c r="D261">
        <v>0.025</v>
      </c>
      <c r="E261">
        <v>1</v>
      </c>
      <c r="F261">
        <v>0.0217</v>
      </c>
      <c r="G261">
        <v>1</v>
      </c>
      <c r="H261">
        <v>1</v>
      </c>
      <c r="I261">
        <v>1</v>
      </c>
      <c r="J261">
        <v>15.99</v>
      </c>
      <c r="K261" t="s">
        <v>39</v>
      </c>
      <c r="L261">
        <v>1</v>
      </c>
    </row>
    <row r="262" spans="1:12">
      <c r="A262" s="71">
        <v>43312</v>
      </c>
      <c r="B262" t="s">
        <v>21</v>
      </c>
      <c r="C262">
        <v>2</v>
      </c>
      <c r="D262">
        <v>0.0606</v>
      </c>
      <c r="E262">
        <v>2</v>
      </c>
      <c r="F262">
        <v>0.0417</v>
      </c>
      <c r="G262">
        <v>1</v>
      </c>
      <c r="H262">
        <v>0</v>
      </c>
      <c r="I262">
        <v>0</v>
      </c>
      <c r="J262">
        <v>0</v>
      </c>
      <c r="K262" t="s">
        <v>38</v>
      </c>
      <c r="L262">
        <v>0</v>
      </c>
    </row>
    <row r="263" spans="1:12">
      <c r="A263" s="71">
        <v>43312</v>
      </c>
      <c r="B263" t="s">
        <v>18</v>
      </c>
      <c r="C263">
        <v>2</v>
      </c>
      <c r="D263">
        <v>0.0606</v>
      </c>
      <c r="E263">
        <v>2</v>
      </c>
      <c r="F263">
        <v>0.0417</v>
      </c>
      <c r="G263">
        <v>1</v>
      </c>
      <c r="H263">
        <v>0</v>
      </c>
      <c r="I263">
        <v>0</v>
      </c>
      <c r="J263">
        <v>0</v>
      </c>
      <c r="K263" t="s">
        <v>38</v>
      </c>
      <c r="L263">
        <v>0</v>
      </c>
    </row>
    <row r="264" spans="1:12">
      <c r="A264" s="71">
        <v>43312</v>
      </c>
      <c r="B264" t="s">
        <v>20</v>
      </c>
      <c r="C264">
        <v>1</v>
      </c>
      <c r="D264">
        <v>0.0303</v>
      </c>
      <c r="E264">
        <v>1</v>
      </c>
      <c r="F264">
        <v>0.0208</v>
      </c>
      <c r="G264">
        <v>0</v>
      </c>
      <c r="H264">
        <v>0</v>
      </c>
      <c r="I264">
        <v>0</v>
      </c>
      <c r="J264">
        <v>0</v>
      </c>
      <c r="K264" t="s">
        <v>38</v>
      </c>
      <c r="L264">
        <v>0</v>
      </c>
    </row>
    <row r="265" spans="1:12">
      <c r="A265" s="71">
        <v>43312</v>
      </c>
      <c r="B265" t="s">
        <v>22</v>
      </c>
      <c r="C265">
        <v>28</v>
      </c>
      <c r="D265">
        <v>0.8485</v>
      </c>
      <c r="E265">
        <v>43</v>
      </c>
      <c r="F265">
        <v>0.8958</v>
      </c>
      <c r="G265">
        <v>0.98</v>
      </c>
      <c r="H265">
        <v>4</v>
      </c>
      <c r="I265">
        <v>0.1429</v>
      </c>
      <c r="J265">
        <v>47.96</v>
      </c>
      <c r="K265" t="s">
        <v>42</v>
      </c>
      <c r="L265">
        <v>0.142857142857143</v>
      </c>
    </row>
    <row r="266" spans="1:12">
      <c r="A266" s="71">
        <v>43313</v>
      </c>
      <c r="B266" t="s">
        <v>21</v>
      </c>
      <c r="C266">
        <v>1</v>
      </c>
      <c r="D266">
        <v>0.0526</v>
      </c>
      <c r="E266">
        <v>1</v>
      </c>
      <c r="F266">
        <v>0.0417</v>
      </c>
      <c r="G266">
        <v>1</v>
      </c>
      <c r="H266">
        <v>0</v>
      </c>
      <c r="I266">
        <v>0</v>
      </c>
      <c r="J266">
        <v>0</v>
      </c>
      <c r="K266" t="s">
        <v>38</v>
      </c>
      <c r="L266">
        <v>0</v>
      </c>
    </row>
    <row r="267" spans="1:12">
      <c r="A267" s="71">
        <v>43313</v>
      </c>
      <c r="B267" t="s">
        <v>18</v>
      </c>
      <c r="C267">
        <v>2</v>
      </c>
      <c r="D267">
        <v>0.1053</v>
      </c>
      <c r="E267">
        <v>3</v>
      </c>
      <c r="F267">
        <v>0.125</v>
      </c>
      <c r="G267">
        <v>1</v>
      </c>
      <c r="H267">
        <v>0</v>
      </c>
      <c r="I267">
        <v>0</v>
      </c>
      <c r="J267">
        <v>0</v>
      </c>
      <c r="K267" t="s">
        <v>38</v>
      </c>
      <c r="L267">
        <v>0</v>
      </c>
    </row>
    <row r="268" spans="1:12">
      <c r="A268" s="71">
        <v>43313</v>
      </c>
      <c r="B268" t="s">
        <v>22</v>
      </c>
      <c r="C268">
        <v>16</v>
      </c>
      <c r="D268">
        <v>0.8421</v>
      </c>
      <c r="E268">
        <v>20</v>
      </c>
      <c r="F268">
        <v>0.8333</v>
      </c>
      <c r="G268">
        <v>1</v>
      </c>
      <c r="H268">
        <v>8</v>
      </c>
      <c r="I268">
        <v>0.5</v>
      </c>
      <c r="J268">
        <v>87.92</v>
      </c>
      <c r="K268" t="s">
        <v>46</v>
      </c>
      <c r="L268">
        <v>0.4375</v>
      </c>
    </row>
    <row r="269" spans="1:12">
      <c r="A269" s="71">
        <v>43314</v>
      </c>
      <c r="B269" t="s">
        <v>18</v>
      </c>
      <c r="C269">
        <v>6</v>
      </c>
      <c r="D269">
        <v>0.2857</v>
      </c>
      <c r="E269">
        <v>7</v>
      </c>
      <c r="F269">
        <v>0.25</v>
      </c>
      <c r="G269">
        <v>1</v>
      </c>
      <c r="H269">
        <v>0</v>
      </c>
      <c r="I269">
        <v>0</v>
      </c>
      <c r="J269">
        <v>0</v>
      </c>
      <c r="K269" t="s">
        <v>38</v>
      </c>
      <c r="L269">
        <v>0</v>
      </c>
    </row>
    <row r="270" spans="1:12">
      <c r="A270" s="71">
        <v>43314</v>
      </c>
      <c r="B270" t="s">
        <v>22</v>
      </c>
      <c r="C270">
        <v>15</v>
      </c>
      <c r="D270">
        <v>0.7143</v>
      </c>
      <c r="E270">
        <v>21</v>
      </c>
      <c r="F270">
        <v>0.75</v>
      </c>
      <c r="G270">
        <v>1</v>
      </c>
      <c r="H270">
        <v>8</v>
      </c>
      <c r="I270">
        <v>0.5333</v>
      </c>
      <c r="J270">
        <v>87.92</v>
      </c>
      <c r="K270" t="s">
        <v>44</v>
      </c>
      <c r="L270">
        <v>0.533333333333333</v>
      </c>
    </row>
    <row r="271" spans="1:12">
      <c r="A271" s="71">
        <v>43315</v>
      </c>
      <c r="B271" t="s">
        <v>21</v>
      </c>
      <c r="C271">
        <v>1</v>
      </c>
      <c r="D271">
        <v>0.0345</v>
      </c>
      <c r="E271">
        <v>1</v>
      </c>
      <c r="F271">
        <v>0.0263</v>
      </c>
      <c r="G271">
        <v>1</v>
      </c>
      <c r="H271">
        <v>0</v>
      </c>
      <c r="I271">
        <v>0</v>
      </c>
      <c r="J271">
        <v>0</v>
      </c>
      <c r="K271" t="s">
        <v>38</v>
      </c>
      <c r="L271">
        <v>0</v>
      </c>
    </row>
    <row r="272" spans="1:12">
      <c r="A272" s="71">
        <v>43315</v>
      </c>
      <c r="B272" t="s">
        <v>18</v>
      </c>
      <c r="C272">
        <v>4</v>
      </c>
      <c r="D272">
        <v>0.1379</v>
      </c>
      <c r="E272">
        <v>4</v>
      </c>
      <c r="F272">
        <v>0.1053</v>
      </c>
      <c r="G272">
        <v>1</v>
      </c>
      <c r="H272">
        <v>0</v>
      </c>
      <c r="I272">
        <v>0</v>
      </c>
      <c r="J272">
        <v>0</v>
      </c>
      <c r="K272" t="s">
        <v>38</v>
      </c>
      <c r="L272">
        <v>0</v>
      </c>
    </row>
    <row r="273" spans="1:12">
      <c r="A273" s="71">
        <v>43315</v>
      </c>
      <c r="B273" t="s">
        <v>22</v>
      </c>
      <c r="C273">
        <v>24</v>
      </c>
      <c r="D273">
        <v>0.8276</v>
      </c>
      <c r="E273">
        <v>33</v>
      </c>
      <c r="F273">
        <v>0.8684</v>
      </c>
      <c r="G273">
        <v>1</v>
      </c>
      <c r="H273">
        <v>7</v>
      </c>
      <c r="I273">
        <v>0.2917</v>
      </c>
      <c r="J273">
        <v>76.93</v>
      </c>
      <c r="K273" t="s">
        <v>46</v>
      </c>
      <c r="L273">
        <v>0.291666666666667</v>
      </c>
    </row>
    <row r="274" spans="1:12">
      <c r="A274" s="71">
        <v>43316</v>
      </c>
      <c r="B274" t="s">
        <v>19</v>
      </c>
      <c r="C274">
        <v>2</v>
      </c>
      <c r="D274">
        <v>0.0667</v>
      </c>
      <c r="E274">
        <v>2</v>
      </c>
      <c r="F274">
        <v>0.0606</v>
      </c>
      <c r="G274">
        <v>1</v>
      </c>
      <c r="H274">
        <v>0</v>
      </c>
      <c r="I274">
        <v>0</v>
      </c>
      <c r="J274">
        <v>0</v>
      </c>
      <c r="K274" t="s">
        <v>38</v>
      </c>
      <c r="L274">
        <v>0</v>
      </c>
    </row>
    <row r="275" spans="1:12">
      <c r="A275" s="71">
        <v>43316</v>
      </c>
      <c r="B275" t="s">
        <v>18</v>
      </c>
      <c r="C275">
        <v>9</v>
      </c>
      <c r="D275">
        <v>0.3</v>
      </c>
      <c r="E275">
        <v>10</v>
      </c>
      <c r="F275">
        <v>0.303</v>
      </c>
      <c r="G275">
        <v>0.9</v>
      </c>
      <c r="H275">
        <v>2</v>
      </c>
      <c r="I275">
        <v>0.2222</v>
      </c>
      <c r="J275">
        <v>37.98</v>
      </c>
      <c r="K275" t="s">
        <v>40</v>
      </c>
      <c r="L275">
        <v>0.222222222222222</v>
      </c>
    </row>
    <row r="276" spans="1:12">
      <c r="A276" s="71">
        <v>43316</v>
      </c>
      <c r="B276" t="s">
        <v>22</v>
      </c>
      <c r="C276">
        <v>19</v>
      </c>
      <c r="D276">
        <v>0.6333</v>
      </c>
      <c r="E276">
        <v>21</v>
      </c>
      <c r="F276">
        <v>0.6364</v>
      </c>
      <c r="G276">
        <v>1</v>
      </c>
      <c r="H276">
        <v>2</v>
      </c>
      <c r="I276">
        <v>0.1053</v>
      </c>
      <c r="J276">
        <v>21.98</v>
      </c>
      <c r="K276" t="s">
        <v>40</v>
      </c>
      <c r="L276">
        <v>0.105263157894737</v>
      </c>
    </row>
    <row r="277" spans="1:12">
      <c r="A277" s="71">
        <v>43317</v>
      </c>
      <c r="B277" t="s">
        <v>21</v>
      </c>
      <c r="C277">
        <v>1</v>
      </c>
      <c r="D277">
        <v>0.0357</v>
      </c>
      <c r="E277">
        <v>1</v>
      </c>
      <c r="F277">
        <v>0.0244</v>
      </c>
      <c r="G277">
        <v>1</v>
      </c>
      <c r="H277">
        <v>0</v>
      </c>
      <c r="I277">
        <v>0</v>
      </c>
      <c r="J277">
        <v>0</v>
      </c>
      <c r="K277" t="s">
        <v>38</v>
      </c>
      <c r="L277">
        <v>0</v>
      </c>
    </row>
    <row r="278" spans="1:12">
      <c r="A278" s="71">
        <v>43317</v>
      </c>
      <c r="B278" t="s">
        <v>18</v>
      </c>
      <c r="C278">
        <v>3</v>
      </c>
      <c r="D278">
        <v>0.1071</v>
      </c>
      <c r="E278">
        <v>3</v>
      </c>
      <c r="F278">
        <v>0.0732</v>
      </c>
      <c r="G278">
        <v>1</v>
      </c>
      <c r="H278">
        <v>2</v>
      </c>
      <c r="I278">
        <v>0.6667</v>
      </c>
      <c r="J278">
        <v>37.98</v>
      </c>
      <c r="K278" t="s">
        <v>40</v>
      </c>
      <c r="L278">
        <v>0.666666666666667</v>
      </c>
    </row>
    <row r="279" spans="1:12">
      <c r="A279" s="71">
        <v>43317</v>
      </c>
      <c r="B279" t="s">
        <v>22</v>
      </c>
      <c r="C279">
        <v>24</v>
      </c>
      <c r="D279">
        <v>0.8571</v>
      </c>
      <c r="E279">
        <v>37</v>
      </c>
      <c r="F279">
        <v>0.9024</v>
      </c>
      <c r="G279">
        <v>1</v>
      </c>
      <c r="H279">
        <v>2</v>
      </c>
      <c r="I279">
        <v>0.0833</v>
      </c>
      <c r="J279">
        <v>22.98</v>
      </c>
      <c r="K279" t="s">
        <v>40</v>
      </c>
      <c r="L279">
        <v>0.0833333333333333</v>
      </c>
    </row>
    <row r="280" spans="1:12">
      <c r="A280" s="71">
        <v>43318</v>
      </c>
      <c r="B280" t="s">
        <v>18</v>
      </c>
      <c r="C280">
        <v>8</v>
      </c>
      <c r="D280">
        <v>0.2051</v>
      </c>
      <c r="E280">
        <v>8</v>
      </c>
      <c r="F280">
        <v>0.1633</v>
      </c>
      <c r="G280">
        <v>1</v>
      </c>
      <c r="H280">
        <v>0</v>
      </c>
      <c r="I280">
        <v>0</v>
      </c>
      <c r="J280">
        <v>0</v>
      </c>
      <c r="K280" t="s">
        <v>38</v>
      </c>
      <c r="L280">
        <v>0</v>
      </c>
    </row>
    <row r="281" spans="1:12">
      <c r="A281" s="71">
        <v>43318</v>
      </c>
      <c r="B281" t="s">
        <v>22</v>
      </c>
      <c r="C281">
        <v>31</v>
      </c>
      <c r="D281">
        <v>0.7949</v>
      </c>
      <c r="E281">
        <v>41</v>
      </c>
      <c r="F281">
        <v>0.8367</v>
      </c>
      <c r="G281">
        <v>1</v>
      </c>
      <c r="H281">
        <v>7</v>
      </c>
      <c r="I281">
        <v>0.2258</v>
      </c>
      <c r="J281">
        <v>80.43</v>
      </c>
      <c r="K281" t="s">
        <v>45</v>
      </c>
      <c r="L281">
        <v>0.193548387096774</v>
      </c>
    </row>
    <row r="282" spans="1:12">
      <c r="A282" s="71">
        <v>43319</v>
      </c>
      <c r="B282" t="s">
        <v>21</v>
      </c>
      <c r="C282">
        <v>1</v>
      </c>
      <c r="D282">
        <v>0.0222</v>
      </c>
      <c r="E282">
        <v>1</v>
      </c>
      <c r="F282">
        <v>0.0152</v>
      </c>
      <c r="G282">
        <v>0</v>
      </c>
      <c r="H282">
        <v>0</v>
      </c>
      <c r="I282">
        <v>0</v>
      </c>
      <c r="J282">
        <v>0</v>
      </c>
      <c r="K282" t="s">
        <v>38</v>
      </c>
      <c r="L282">
        <v>0</v>
      </c>
    </row>
    <row r="283" spans="1:12">
      <c r="A283" s="71">
        <v>43319</v>
      </c>
      <c r="B283" t="s">
        <v>22</v>
      </c>
      <c r="C283">
        <v>31</v>
      </c>
      <c r="D283">
        <v>0.6889</v>
      </c>
      <c r="E283">
        <v>48</v>
      </c>
      <c r="F283">
        <v>0.7273</v>
      </c>
      <c r="G283">
        <v>1</v>
      </c>
      <c r="H283">
        <v>5</v>
      </c>
      <c r="I283">
        <v>0.1613</v>
      </c>
      <c r="J283">
        <v>57.45</v>
      </c>
      <c r="K283" t="s">
        <v>42</v>
      </c>
      <c r="L283">
        <v>0.129032258064516</v>
      </c>
    </row>
    <row r="284" spans="1:12">
      <c r="A284" s="71">
        <v>43319</v>
      </c>
      <c r="B284" t="s">
        <v>18</v>
      </c>
      <c r="C284">
        <v>13</v>
      </c>
      <c r="D284">
        <v>0.2889</v>
      </c>
      <c r="E284">
        <v>17</v>
      </c>
      <c r="F284">
        <v>0.2576</v>
      </c>
      <c r="G284">
        <v>1</v>
      </c>
      <c r="H284">
        <v>1</v>
      </c>
      <c r="I284">
        <v>0.0769</v>
      </c>
      <c r="J284">
        <v>18.99</v>
      </c>
      <c r="K284" t="s">
        <v>39</v>
      </c>
      <c r="L284">
        <v>0.0769230769230769</v>
      </c>
    </row>
    <row r="285" spans="1:12">
      <c r="A285" s="71">
        <v>43320</v>
      </c>
      <c r="B285" t="s">
        <v>18</v>
      </c>
      <c r="C285">
        <v>20</v>
      </c>
      <c r="D285">
        <v>0.3571</v>
      </c>
      <c r="E285">
        <v>23</v>
      </c>
      <c r="F285">
        <v>0.3286</v>
      </c>
      <c r="G285">
        <v>1</v>
      </c>
      <c r="H285">
        <v>3</v>
      </c>
      <c r="I285">
        <v>0.15</v>
      </c>
      <c r="J285">
        <v>56.97</v>
      </c>
      <c r="K285" t="s">
        <v>40</v>
      </c>
      <c r="L285">
        <v>0.1</v>
      </c>
    </row>
    <row r="286" spans="1:12">
      <c r="A286" s="71">
        <v>43320</v>
      </c>
      <c r="B286" t="s">
        <v>22</v>
      </c>
      <c r="C286">
        <v>36</v>
      </c>
      <c r="D286">
        <v>0.6429</v>
      </c>
      <c r="E286">
        <v>47</v>
      </c>
      <c r="F286">
        <v>0.6714</v>
      </c>
      <c r="G286">
        <v>1</v>
      </c>
      <c r="H286">
        <v>8</v>
      </c>
      <c r="I286">
        <v>0.2222</v>
      </c>
      <c r="J286">
        <v>91.92</v>
      </c>
      <c r="K286" t="s">
        <v>44</v>
      </c>
      <c r="L286">
        <v>0.222222222222222</v>
      </c>
    </row>
    <row r="287" spans="1:12">
      <c r="A287" s="71">
        <v>43321</v>
      </c>
      <c r="B287" t="s">
        <v>19</v>
      </c>
      <c r="C287">
        <v>1</v>
      </c>
      <c r="D287">
        <v>0.0143</v>
      </c>
      <c r="E287">
        <v>1</v>
      </c>
      <c r="F287">
        <v>0.0101</v>
      </c>
      <c r="G287">
        <v>1</v>
      </c>
      <c r="H287">
        <v>0</v>
      </c>
      <c r="I287">
        <v>0</v>
      </c>
      <c r="J287">
        <v>0</v>
      </c>
      <c r="K287" t="s">
        <v>38</v>
      </c>
      <c r="L287">
        <v>0</v>
      </c>
    </row>
    <row r="288" spans="1:12">
      <c r="A288" s="71">
        <v>43321</v>
      </c>
      <c r="B288" t="s">
        <v>20</v>
      </c>
      <c r="C288">
        <v>1</v>
      </c>
      <c r="D288">
        <v>0.0143</v>
      </c>
      <c r="E288">
        <v>1</v>
      </c>
      <c r="F288">
        <v>0.0101</v>
      </c>
      <c r="G288">
        <v>0</v>
      </c>
      <c r="H288">
        <v>0</v>
      </c>
      <c r="I288">
        <v>0</v>
      </c>
      <c r="J288">
        <v>0</v>
      </c>
      <c r="K288" t="s">
        <v>38</v>
      </c>
      <c r="L288">
        <v>0</v>
      </c>
    </row>
    <row r="289" spans="1:12">
      <c r="A289" s="71">
        <v>43321</v>
      </c>
      <c r="B289" t="s">
        <v>18</v>
      </c>
      <c r="C289">
        <v>29</v>
      </c>
      <c r="D289">
        <v>0.4143</v>
      </c>
      <c r="E289">
        <v>37</v>
      </c>
      <c r="F289">
        <v>0.3737</v>
      </c>
      <c r="G289">
        <v>1</v>
      </c>
      <c r="H289">
        <v>2</v>
      </c>
      <c r="I289">
        <v>0.069</v>
      </c>
      <c r="J289">
        <v>37.98</v>
      </c>
      <c r="K289" t="s">
        <v>39</v>
      </c>
      <c r="L289">
        <v>0.0344827586206897</v>
      </c>
    </row>
    <row r="290" spans="1:12">
      <c r="A290" s="71">
        <v>43321</v>
      </c>
      <c r="B290" t="s">
        <v>22</v>
      </c>
      <c r="C290">
        <v>39</v>
      </c>
      <c r="D290">
        <v>0.5571</v>
      </c>
      <c r="E290">
        <v>60</v>
      </c>
      <c r="F290">
        <v>0.6061</v>
      </c>
      <c r="G290">
        <v>1</v>
      </c>
      <c r="H290">
        <v>6</v>
      </c>
      <c r="I290">
        <v>0.1538</v>
      </c>
      <c r="J290">
        <v>68.94</v>
      </c>
      <c r="K290" t="s">
        <v>45</v>
      </c>
      <c r="L290">
        <v>0.153846153846154</v>
      </c>
    </row>
    <row r="291" spans="1:12">
      <c r="A291" s="71">
        <v>43322</v>
      </c>
      <c r="B291" t="s">
        <v>19</v>
      </c>
      <c r="C291">
        <v>2</v>
      </c>
      <c r="D291">
        <v>0.0435</v>
      </c>
      <c r="E291">
        <v>2</v>
      </c>
      <c r="F291">
        <v>0.037</v>
      </c>
      <c r="G291">
        <v>1</v>
      </c>
      <c r="H291">
        <v>0</v>
      </c>
      <c r="I291">
        <v>0</v>
      </c>
      <c r="J291">
        <v>0</v>
      </c>
      <c r="K291" t="s">
        <v>38</v>
      </c>
      <c r="L291">
        <v>0</v>
      </c>
    </row>
    <row r="292" spans="1:12">
      <c r="A292" s="71">
        <v>43322</v>
      </c>
      <c r="B292" t="s">
        <v>18</v>
      </c>
      <c r="C292">
        <v>16</v>
      </c>
      <c r="D292">
        <v>0.3478</v>
      </c>
      <c r="E292">
        <v>22</v>
      </c>
      <c r="F292">
        <v>0.4074</v>
      </c>
      <c r="G292">
        <v>1</v>
      </c>
      <c r="H292">
        <v>0</v>
      </c>
      <c r="I292">
        <v>0</v>
      </c>
      <c r="J292">
        <v>0</v>
      </c>
      <c r="K292" t="s">
        <v>38</v>
      </c>
      <c r="L292">
        <v>0</v>
      </c>
    </row>
    <row r="293" spans="1:12">
      <c r="A293" s="71">
        <v>43322</v>
      </c>
      <c r="B293" t="s">
        <v>20</v>
      </c>
      <c r="C293">
        <v>1</v>
      </c>
      <c r="D293">
        <v>0.0217</v>
      </c>
      <c r="E293">
        <v>1</v>
      </c>
      <c r="F293">
        <v>0.0185</v>
      </c>
      <c r="G293">
        <v>0</v>
      </c>
      <c r="H293">
        <v>0</v>
      </c>
      <c r="I293">
        <v>0</v>
      </c>
      <c r="J293">
        <v>0</v>
      </c>
      <c r="K293" t="s">
        <v>38</v>
      </c>
      <c r="L293">
        <v>0</v>
      </c>
    </row>
    <row r="294" spans="1:12">
      <c r="A294" s="71">
        <v>43322</v>
      </c>
      <c r="B294" t="s">
        <v>22</v>
      </c>
      <c r="C294">
        <v>27</v>
      </c>
      <c r="D294">
        <v>0.587</v>
      </c>
      <c r="E294">
        <v>29</v>
      </c>
      <c r="F294">
        <v>0.537</v>
      </c>
      <c r="G294">
        <v>1</v>
      </c>
      <c r="H294">
        <v>8</v>
      </c>
      <c r="I294">
        <v>0.2963</v>
      </c>
      <c r="J294">
        <v>91.92</v>
      </c>
      <c r="K294" t="s">
        <v>44</v>
      </c>
      <c r="L294">
        <v>0.296296296296296</v>
      </c>
    </row>
    <row r="295" spans="1:12">
      <c r="A295" s="71">
        <v>43323</v>
      </c>
      <c r="B295" t="s">
        <v>20</v>
      </c>
      <c r="C295">
        <v>1</v>
      </c>
      <c r="D295">
        <v>0.0145</v>
      </c>
      <c r="E295">
        <v>1</v>
      </c>
      <c r="F295">
        <v>0.0122</v>
      </c>
      <c r="G295">
        <v>1</v>
      </c>
      <c r="H295">
        <v>0</v>
      </c>
      <c r="I295">
        <v>0</v>
      </c>
      <c r="J295">
        <v>0</v>
      </c>
      <c r="K295" t="s">
        <v>38</v>
      </c>
      <c r="L295">
        <v>0</v>
      </c>
    </row>
    <row r="296" spans="1:12">
      <c r="A296" s="71">
        <v>43323</v>
      </c>
      <c r="B296" t="s">
        <v>21</v>
      </c>
      <c r="C296">
        <v>1</v>
      </c>
      <c r="D296">
        <v>0.0145</v>
      </c>
      <c r="E296">
        <v>1</v>
      </c>
      <c r="F296">
        <v>0.0122</v>
      </c>
      <c r="G296">
        <v>1</v>
      </c>
      <c r="H296">
        <v>0</v>
      </c>
      <c r="I296">
        <v>0</v>
      </c>
      <c r="J296">
        <v>0</v>
      </c>
      <c r="K296" t="s">
        <v>38</v>
      </c>
      <c r="L296">
        <v>0</v>
      </c>
    </row>
    <row r="297" spans="1:12">
      <c r="A297" s="71">
        <v>43323</v>
      </c>
      <c r="B297" t="s">
        <v>19</v>
      </c>
      <c r="C297">
        <v>2</v>
      </c>
      <c r="D297">
        <v>0.029</v>
      </c>
      <c r="E297">
        <v>2</v>
      </c>
      <c r="F297">
        <v>0.0244</v>
      </c>
      <c r="G297">
        <v>1</v>
      </c>
      <c r="H297">
        <v>0</v>
      </c>
      <c r="I297">
        <v>0</v>
      </c>
      <c r="J297">
        <v>0</v>
      </c>
      <c r="K297" t="s">
        <v>38</v>
      </c>
      <c r="L297">
        <v>0</v>
      </c>
    </row>
    <row r="298" spans="1:12">
      <c r="A298" s="71">
        <v>43323</v>
      </c>
      <c r="B298" t="s">
        <v>22</v>
      </c>
      <c r="C298">
        <v>45</v>
      </c>
      <c r="D298">
        <v>0.6522</v>
      </c>
      <c r="E298">
        <v>56</v>
      </c>
      <c r="F298">
        <v>0.6829</v>
      </c>
      <c r="G298">
        <v>1</v>
      </c>
      <c r="H298">
        <v>4</v>
      </c>
      <c r="I298">
        <v>0.0889</v>
      </c>
      <c r="J298">
        <v>45.96</v>
      </c>
      <c r="K298" t="s">
        <v>41</v>
      </c>
      <c r="L298">
        <v>0.0666666666666667</v>
      </c>
    </row>
    <row r="299" spans="1:12">
      <c r="A299" s="71">
        <v>43323</v>
      </c>
      <c r="B299" t="s">
        <v>18</v>
      </c>
      <c r="C299">
        <v>20</v>
      </c>
      <c r="D299">
        <v>0.2899</v>
      </c>
      <c r="E299">
        <v>22</v>
      </c>
      <c r="F299">
        <v>0.2683</v>
      </c>
      <c r="G299">
        <v>1</v>
      </c>
      <c r="H299">
        <v>1</v>
      </c>
      <c r="I299">
        <v>0.05</v>
      </c>
      <c r="J299">
        <v>19.66</v>
      </c>
      <c r="K299" t="s">
        <v>39</v>
      </c>
      <c r="L299">
        <v>0.05</v>
      </c>
    </row>
    <row r="300" spans="1:12">
      <c r="A300" s="71">
        <v>43324</v>
      </c>
      <c r="B300" t="s">
        <v>19</v>
      </c>
      <c r="C300">
        <v>1</v>
      </c>
      <c r="D300">
        <v>0.0133</v>
      </c>
      <c r="E300">
        <v>1</v>
      </c>
      <c r="F300">
        <v>0.0096</v>
      </c>
      <c r="G300">
        <v>0</v>
      </c>
      <c r="H300">
        <v>0</v>
      </c>
      <c r="I300">
        <v>0</v>
      </c>
      <c r="J300">
        <v>0</v>
      </c>
      <c r="K300" t="s">
        <v>38</v>
      </c>
      <c r="L300">
        <v>0</v>
      </c>
    </row>
    <row r="301" spans="1:12">
      <c r="A301" s="71">
        <v>43324</v>
      </c>
      <c r="B301" t="s">
        <v>20</v>
      </c>
      <c r="C301">
        <v>1</v>
      </c>
      <c r="D301">
        <v>0.0133</v>
      </c>
      <c r="E301">
        <v>1</v>
      </c>
      <c r="F301">
        <v>0.0096</v>
      </c>
      <c r="G301">
        <v>0</v>
      </c>
      <c r="H301">
        <v>0</v>
      </c>
      <c r="I301">
        <v>0</v>
      </c>
      <c r="J301">
        <v>0</v>
      </c>
      <c r="K301" t="s">
        <v>38</v>
      </c>
      <c r="L301">
        <v>0</v>
      </c>
    </row>
    <row r="302" spans="1:12">
      <c r="A302" s="71">
        <v>43324</v>
      </c>
      <c r="B302" t="s">
        <v>22</v>
      </c>
      <c r="C302">
        <v>51</v>
      </c>
      <c r="D302">
        <v>0.68</v>
      </c>
      <c r="E302">
        <v>72</v>
      </c>
      <c r="F302">
        <v>0.6923</v>
      </c>
      <c r="G302">
        <v>0.99</v>
      </c>
      <c r="H302">
        <v>11</v>
      </c>
      <c r="I302">
        <v>0.2157</v>
      </c>
      <c r="J302">
        <v>126.39</v>
      </c>
      <c r="K302" t="s">
        <v>54</v>
      </c>
      <c r="L302">
        <v>0.215686274509804</v>
      </c>
    </row>
    <row r="303" spans="1:12">
      <c r="A303" s="71">
        <v>43324</v>
      </c>
      <c r="B303" t="s">
        <v>18</v>
      </c>
      <c r="C303">
        <v>22</v>
      </c>
      <c r="D303">
        <v>0.2933</v>
      </c>
      <c r="E303">
        <v>30</v>
      </c>
      <c r="F303">
        <v>0.2885</v>
      </c>
      <c r="G303">
        <v>1</v>
      </c>
      <c r="H303">
        <v>4</v>
      </c>
      <c r="I303">
        <v>0.1818</v>
      </c>
      <c r="J303">
        <v>78.64</v>
      </c>
      <c r="K303" t="s">
        <v>42</v>
      </c>
      <c r="L303">
        <v>0.181818181818182</v>
      </c>
    </row>
    <row r="304" spans="1:12">
      <c r="A304" s="71">
        <v>43325</v>
      </c>
      <c r="B304" t="s">
        <v>21</v>
      </c>
      <c r="C304">
        <v>1</v>
      </c>
      <c r="D304">
        <v>0.0123</v>
      </c>
      <c r="E304">
        <v>1</v>
      </c>
      <c r="F304">
        <v>0.0091</v>
      </c>
      <c r="G304">
        <v>1</v>
      </c>
      <c r="H304">
        <v>0</v>
      </c>
      <c r="I304">
        <v>0</v>
      </c>
      <c r="J304">
        <v>0</v>
      </c>
      <c r="K304" t="s">
        <v>38</v>
      </c>
      <c r="L304">
        <v>0</v>
      </c>
    </row>
    <row r="305" spans="1:12">
      <c r="A305" s="71">
        <v>43325</v>
      </c>
      <c r="B305" t="s">
        <v>19</v>
      </c>
      <c r="C305">
        <v>5</v>
      </c>
      <c r="D305">
        <v>0.0617</v>
      </c>
      <c r="E305">
        <v>8</v>
      </c>
      <c r="F305">
        <v>0.0727</v>
      </c>
      <c r="G305">
        <v>1</v>
      </c>
      <c r="H305">
        <v>0</v>
      </c>
      <c r="I305">
        <v>0</v>
      </c>
      <c r="J305">
        <v>0</v>
      </c>
      <c r="K305" t="s">
        <v>38</v>
      </c>
      <c r="L305">
        <v>0</v>
      </c>
    </row>
    <row r="306" spans="1:12">
      <c r="A306" s="71">
        <v>43325</v>
      </c>
      <c r="B306" t="s">
        <v>20</v>
      </c>
      <c r="C306">
        <v>3</v>
      </c>
      <c r="D306">
        <v>0.037</v>
      </c>
      <c r="E306">
        <v>3</v>
      </c>
      <c r="F306">
        <v>0.0273</v>
      </c>
      <c r="G306">
        <v>1</v>
      </c>
      <c r="H306">
        <v>0</v>
      </c>
      <c r="I306">
        <v>0</v>
      </c>
      <c r="J306">
        <v>0</v>
      </c>
      <c r="K306" t="s">
        <v>38</v>
      </c>
      <c r="L306">
        <v>0</v>
      </c>
    </row>
    <row r="307" spans="1:12">
      <c r="A307" s="71">
        <v>43325</v>
      </c>
      <c r="B307" t="s">
        <v>18</v>
      </c>
      <c r="C307">
        <v>23</v>
      </c>
      <c r="D307">
        <v>0.284</v>
      </c>
      <c r="E307">
        <v>31</v>
      </c>
      <c r="F307">
        <v>0.2818</v>
      </c>
      <c r="G307">
        <v>0.97</v>
      </c>
      <c r="H307">
        <v>2</v>
      </c>
      <c r="I307">
        <v>0.087</v>
      </c>
      <c r="J307">
        <v>39.32</v>
      </c>
      <c r="K307" t="s">
        <v>40</v>
      </c>
      <c r="L307">
        <v>0.0869565217391304</v>
      </c>
    </row>
    <row r="308" spans="1:12">
      <c r="A308" s="71">
        <v>43325</v>
      </c>
      <c r="B308" t="s">
        <v>22</v>
      </c>
      <c r="C308">
        <v>49</v>
      </c>
      <c r="D308">
        <v>0.6049</v>
      </c>
      <c r="E308">
        <v>67</v>
      </c>
      <c r="F308">
        <v>0.6091</v>
      </c>
      <c r="G308">
        <v>1</v>
      </c>
      <c r="H308">
        <v>6</v>
      </c>
      <c r="I308">
        <v>0.1224</v>
      </c>
      <c r="J308">
        <v>68.94</v>
      </c>
      <c r="K308" t="s">
        <v>45</v>
      </c>
      <c r="L308">
        <v>0.122448979591837</v>
      </c>
    </row>
    <row r="309" spans="1:12">
      <c r="A309" s="71">
        <v>43326</v>
      </c>
      <c r="B309" t="s">
        <v>21</v>
      </c>
      <c r="C309">
        <v>2</v>
      </c>
      <c r="D309">
        <v>0.0211</v>
      </c>
      <c r="E309">
        <v>2</v>
      </c>
      <c r="F309">
        <v>0.0144</v>
      </c>
      <c r="G309">
        <v>1</v>
      </c>
      <c r="H309">
        <v>0</v>
      </c>
      <c r="I309">
        <v>0</v>
      </c>
      <c r="J309">
        <v>0</v>
      </c>
      <c r="K309" t="s">
        <v>38</v>
      </c>
      <c r="L309">
        <v>0</v>
      </c>
    </row>
    <row r="310" spans="1:12">
      <c r="A310" s="71">
        <v>43326</v>
      </c>
      <c r="B310" t="s">
        <v>18</v>
      </c>
      <c r="C310">
        <v>30</v>
      </c>
      <c r="D310">
        <v>0.3158</v>
      </c>
      <c r="E310">
        <v>44</v>
      </c>
      <c r="F310">
        <v>0.3165</v>
      </c>
      <c r="G310">
        <v>1</v>
      </c>
      <c r="H310">
        <v>0</v>
      </c>
      <c r="I310">
        <v>0</v>
      </c>
      <c r="J310">
        <v>0</v>
      </c>
      <c r="K310" t="s">
        <v>38</v>
      </c>
      <c r="L310">
        <v>0</v>
      </c>
    </row>
    <row r="311" spans="1:12">
      <c r="A311" s="71">
        <v>43326</v>
      </c>
      <c r="B311" t="s">
        <v>22</v>
      </c>
      <c r="C311">
        <v>62</v>
      </c>
      <c r="D311">
        <v>0.6526</v>
      </c>
      <c r="E311">
        <v>92</v>
      </c>
      <c r="F311">
        <v>0.6619</v>
      </c>
      <c r="G311">
        <v>0.99</v>
      </c>
      <c r="H311">
        <v>16</v>
      </c>
      <c r="I311">
        <v>0.2581</v>
      </c>
      <c r="J311">
        <v>183.84</v>
      </c>
      <c r="K311" t="s">
        <v>53</v>
      </c>
      <c r="L311">
        <v>0.209677419354839</v>
      </c>
    </row>
    <row r="312" spans="1:12">
      <c r="A312" s="71">
        <v>43326</v>
      </c>
      <c r="B312" t="s">
        <v>19</v>
      </c>
      <c r="C312">
        <v>1</v>
      </c>
      <c r="D312">
        <v>0.0105</v>
      </c>
      <c r="E312">
        <v>1</v>
      </c>
      <c r="F312">
        <v>0.0072</v>
      </c>
      <c r="G312">
        <v>1</v>
      </c>
      <c r="H312">
        <v>1</v>
      </c>
      <c r="I312">
        <v>1</v>
      </c>
      <c r="J312">
        <v>14.99</v>
      </c>
      <c r="K312" t="s">
        <v>39</v>
      </c>
      <c r="L312">
        <v>1</v>
      </c>
    </row>
    <row r="313" spans="1:12">
      <c r="A313" s="71">
        <v>43327</v>
      </c>
      <c r="B313" t="s">
        <v>19</v>
      </c>
      <c r="C313">
        <v>1</v>
      </c>
      <c r="D313">
        <v>0.013</v>
      </c>
      <c r="E313">
        <v>1</v>
      </c>
      <c r="F313">
        <v>0.0081</v>
      </c>
      <c r="G313">
        <v>1</v>
      </c>
      <c r="H313">
        <v>0</v>
      </c>
      <c r="I313">
        <v>0</v>
      </c>
      <c r="J313">
        <v>0</v>
      </c>
      <c r="K313" t="s">
        <v>38</v>
      </c>
      <c r="L313">
        <v>0</v>
      </c>
    </row>
    <row r="314" spans="1:12">
      <c r="A314" s="71">
        <v>43327</v>
      </c>
      <c r="B314" t="s">
        <v>20</v>
      </c>
      <c r="C314">
        <v>1</v>
      </c>
      <c r="D314">
        <v>0.013</v>
      </c>
      <c r="E314">
        <v>3</v>
      </c>
      <c r="F314">
        <v>0.0244</v>
      </c>
      <c r="G314">
        <v>0.67</v>
      </c>
      <c r="H314">
        <v>0</v>
      </c>
      <c r="I314">
        <v>0</v>
      </c>
      <c r="J314">
        <v>0</v>
      </c>
      <c r="K314" t="s">
        <v>38</v>
      </c>
      <c r="L314">
        <v>0</v>
      </c>
    </row>
    <row r="315" spans="1:12">
      <c r="A315" s="71">
        <v>43327</v>
      </c>
      <c r="B315" t="s">
        <v>22</v>
      </c>
      <c r="C315">
        <v>49</v>
      </c>
      <c r="D315">
        <v>0.6364</v>
      </c>
      <c r="E315">
        <v>76</v>
      </c>
      <c r="F315">
        <v>0.6179</v>
      </c>
      <c r="G315">
        <v>0.99</v>
      </c>
      <c r="H315">
        <v>5</v>
      </c>
      <c r="I315">
        <v>0.102</v>
      </c>
      <c r="J315">
        <v>57.45</v>
      </c>
      <c r="K315" t="s">
        <v>41</v>
      </c>
      <c r="L315">
        <v>0.0612244897959184</v>
      </c>
    </row>
    <row r="316" spans="1:12">
      <c r="A316" s="71">
        <v>43327</v>
      </c>
      <c r="B316" t="s">
        <v>18</v>
      </c>
      <c r="C316">
        <v>26</v>
      </c>
      <c r="D316">
        <v>0.3377</v>
      </c>
      <c r="E316">
        <v>43</v>
      </c>
      <c r="F316">
        <v>0.3496</v>
      </c>
      <c r="G316">
        <v>0.98</v>
      </c>
      <c r="H316">
        <v>1</v>
      </c>
      <c r="I316">
        <v>0.0385</v>
      </c>
      <c r="J316">
        <v>19.66</v>
      </c>
      <c r="K316" t="s">
        <v>39</v>
      </c>
      <c r="L316">
        <v>0.0384615384615385</v>
      </c>
    </row>
    <row r="317" spans="1:12">
      <c r="A317" s="71">
        <v>43328</v>
      </c>
      <c r="B317" t="s">
        <v>19</v>
      </c>
      <c r="C317">
        <v>2</v>
      </c>
      <c r="D317">
        <v>0.0294</v>
      </c>
      <c r="E317">
        <v>3</v>
      </c>
      <c r="F317">
        <v>0.0288</v>
      </c>
      <c r="G317">
        <v>1</v>
      </c>
      <c r="H317">
        <v>0</v>
      </c>
      <c r="I317">
        <v>0</v>
      </c>
      <c r="J317">
        <v>0</v>
      </c>
      <c r="K317" t="s">
        <v>38</v>
      </c>
      <c r="L317">
        <v>0</v>
      </c>
    </row>
    <row r="318" spans="1:12">
      <c r="A318" s="71">
        <v>43328</v>
      </c>
      <c r="B318" t="s">
        <v>18</v>
      </c>
      <c r="C318">
        <v>18</v>
      </c>
      <c r="D318">
        <v>0.2647</v>
      </c>
      <c r="E318">
        <v>22</v>
      </c>
      <c r="F318">
        <v>0.2115</v>
      </c>
      <c r="G318">
        <v>1</v>
      </c>
      <c r="H318">
        <v>0</v>
      </c>
      <c r="I318">
        <v>0</v>
      </c>
      <c r="J318">
        <v>0</v>
      </c>
      <c r="K318" t="s">
        <v>38</v>
      </c>
      <c r="L318">
        <v>0</v>
      </c>
    </row>
    <row r="319" spans="1:12">
      <c r="A319" s="71">
        <v>43328</v>
      </c>
      <c r="B319" t="s">
        <v>22</v>
      </c>
      <c r="C319">
        <v>48</v>
      </c>
      <c r="D319">
        <v>0.7059</v>
      </c>
      <c r="E319">
        <v>79</v>
      </c>
      <c r="F319">
        <v>0.7596</v>
      </c>
      <c r="G319">
        <v>0.99</v>
      </c>
      <c r="H319">
        <v>5</v>
      </c>
      <c r="I319">
        <v>0.1042</v>
      </c>
      <c r="J319">
        <v>57.45</v>
      </c>
      <c r="K319" t="s">
        <v>43</v>
      </c>
      <c r="L319">
        <v>0.104166666666667</v>
      </c>
    </row>
    <row r="320" spans="1:12">
      <c r="A320" s="71">
        <v>43329</v>
      </c>
      <c r="B320" t="s">
        <v>19</v>
      </c>
      <c r="C320">
        <v>3</v>
      </c>
      <c r="D320">
        <v>0.0423</v>
      </c>
      <c r="E320">
        <v>3</v>
      </c>
      <c r="F320">
        <v>0.0306</v>
      </c>
      <c r="G320">
        <v>1</v>
      </c>
      <c r="H320">
        <v>0</v>
      </c>
      <c r="I320">
        <v>0</v>
      </c>
      <c r="J320">
        <v>0</v>
      </c>
      <c r="K320" t="s">
        <v>38</v>
      </c>
      <c r="L320">
        <v>0</v>
      </c>
    </row>
    <row r="321" spans="1:12">
      <c r="A321" s="71">
        <v>43329</v>
      </c>
      <c r="B321" t="s">
        <v>20</v>
      </c>
      <c r="C321">
        <v>1</v>
      </c>
      <c r="D321">
        <v>0.0141</v>
      </c>
      <c r="E321">
        <v>1</v>
      </c>
      <c r="F321">
        <v>0.0102</v>
      </c>
      <c r="G321">
        <v>0</v>
      </c>
      <c r="H321">
        <v>0</v>
      </c>
      <c r="I321">
        <v>0</v>
      </c>
      <c r="J321">
        <v>0</v>
      </c>
      <c r="K321" t="s">
        <v>38</v>
      </c>
      <c r="L321">
        <v>0</v>
      </c>
    </row>
    <row r="322" spans="1:12">
      <c r="A322" s="71">
        <v>43329</v>
      </c>
      <c r="B322" t="s">
        <v>18</v>
      </c>
      <c r="C322">
        <v>23</v>
      </c>
      <c r="D322">
        <v>0.3239</v>
      </c>
      <c r="E322">
        <v>32</v>
      </c>
      <c r="F322">
        <v>0.3265</v>
      </c>
      <c r="G322">
        <v>1</v>
      </c>
      <c r="H322">
        <v>2</v>
      </c>
      <c r="I322">
        <v>0.087</v>
      </c>
      <c r="J322">
        <v>39.32</v>
      </c>
      <c r="K322" t="s">
        <v>39</v>
      </c>
      <c r="L322">
        <v>0.0434782608695652</v>
      </c>
    </row>
    <row r="323" spans="1:12">
      <c r="A323" s="71">
        <v>43329</v>
      </c>
      <c r="B323" t="s">
        <v>22</v>
      </c>
      <c r="C323">
        <v>44</v>
      </c>
      <c r="D323">
        <v>0.6197</v>
      </c>
      <c r="E323">
        <v>62</v>
      </c>
      <c r="F323">
        <v>0.6327</v>
      </c>
      <c r="G323">
        <v>1</v>
      </c>
      <c r="H323">
        <v>17</v>
      </c>
      <c r="I323">
        <v>0.3864</v>
      </c>
      <c r="J323">
        <v>195.33</v>
      </c>
      <c r="K323" t="s">
        <v>47</v>
      </c>
      <c r="L323">
        <v>0.227272727272727</v>
      </c>
    </row>
    <row r="324" spans="1:12">
      <c r="A324" s="71">
        <v>43330</v>
      </c>
      <c r="B324" t="s">
        <v>19</v>
      </c>
      <c r="C324">
        <v>2</v>
      </c>
      <c r="D324">
        <v>0.0267</v>
      </c>
      <c r="E324">
        <v>4</v>
      </c>
      <c r="F324">
        <v>0.04</v>
      </c>
      <c r="G324">
        <v>1</v>
      </c>
      <c r="H324">
        <v>0</v>
      </c>
      <c r="I324">
        <v>0</v>
      </c>
      <c r="J324">
        <v>0</v>
      </c>
      <c r="K324" t="s">
        <v>38</v>
      </c>
      <c r="L324">
        <v>0</v>
      </c>
    </row>
    <row r="325" spans="1:12">
      <c r="A325" s="71">
        <v>43330</v>
      </c>
      <c r="B325" t="s">
        <v>20</v>
      </c>
      <c r="C325">
        <v>2</v>
      </c>
      <c r="D325">
        <v>0.0267</v>
      </c>
      <c r="E325">
        <v>2</v>
      </c>
      <c r="F325">
        <v>0.02</v>
      </c>
      <c r="G325">
        <v>1</v>
      </c>
      <c r="H325">
        <v>0</v>
      </c>
      <c r="I325">
        <v>0</v>
      </c>
      <c r="J325">
        <v>0</v>
      </c>
      <c r="K325" t="s">
        <v>38</v>
      </c>
      <c r="L325">
        <v>0</v>
      </c>
    </row>
    <row r="326" spans="1:12">
      <c r="A326" s="71">
        <v>43330</v>
      </c>
      <c r="B326" t="s">
        <v>18</v>
      </c>
      <c r="C326">
        <v>20</v>
      </c>
      <c r="D326">
        <v>0.2667</v>
      </c>
      <c r="E326">
        <v>26</v>
      </c>
      <c r="F326">
        <v>0.26</v>
      </c>
      <c r="G326">
        <v>1</v>
      </c>
      <c r="H326">
        <v>0</v>
      </c>
      <c r="I326">
        <v>0</v>
      </c>
      <c r="J326">
        <v>0</v>
      </c>
      <c r="K326" t="s">
        <v>38</v>
      </c>
      <c r="L326">
        <v>0</v>
      </c>
    </row>
    <row r="327" spans="1:12">
      <c r="A327" s="71">
        <v>43330</v>
      </c>
      <c r="B327" t="s">
        <v>22</v>
      </c>
      <c r="C327">
        <v>51</v>
      </c>
      <c r="D327">
        <v>0.68</v>
      </c>
      <c r="E327">
        <v>68</v>
      </c>
      <c r="F327">
        <v>0.68</v>
      </c>
      <c r="G327">
        <v>1</v>
      </c>
      <c r="H327">
        <v>9</v>
      </c>
      <c r="I327">
        <v>0.1765</v>
      </c>
      <c r="J327">
        <v>103.41</v>
      </c>
      <c r="K327" t="s">
        <v>44</v>
      </c>
      <c r="L327">
        <v>0.156862745098039</v>
      </c>
    </row>
    <row r="328" spans="1:12">
      <c r="A328" s="71">
        <v>43331</v>
      </c>
      <c r="B328" t="s">
        <v>19</v>
      </c>
      <c r="C328">
        <v>2</v>
      </c>
      <c r="D328">
        <v>0.0253</v>
      </c>
      <c r="E328">
        <v>3</v>
      </c>
      <c r="F328">
        <v>0.0261</v>
      </c>
      <c r="G328">
        <v>1</v>
      </c>
      <c r="H328">
        <v>0</v>
      </c>
      <c r="I328">
        <v>0</v>
      </c>
      <c r="J328">
        <v>0</v>
      </c>
      <c r="K328" t="s">
        <v>38</v>
      </c>
      <c r="L328">
        <v>0</v>
      </c>
    </row>
    <row r="329" spans="1:12">
      <c r="A329" s="71">
        <v>43331</v>
      </c>
      <c r="B329" t="s">
        <v>22</v>
      </c>
      <c r="C329">
        <v>50</v>
      </c>
      <c r="D329">
        <v>0.6329</v>
      </c>
      <c r="E329">
        <v>75</v>
      </c>
      <c r="F329">
        <v>0.6522</v>
      </c>
      <c r="G329">
        <v>1</v>
      </c>
      <c r="H329">
        <v>16</v>
      </c>
      <c r="I329">
        <v>0.32</v>
      </c>
      <c r="J329">
        <v>183.84</v>
      </c>
      <c r="K329" t="s">
        <v>54</v>
      </c>
      <c r="L329">
        <v>0.22</v>
      </c>
    </row>
    <row r="330" spans="1:12">
      <c r="A330" s="71">
        <v>43331</v>
      </c>
      <c r="B330" t="s">
        <v>18</v>
      </c>
      <c r="C330">
        <v>27</v>
      </c>
      <c r="D330">
        <v>0.3418</v>
      </c>
      <c r="E330">
        <v>37</v>
      </c>
      <c r="F330">
        <v>0.3217</v>
      </c>
      <c r="G330">
        <v>1</v>
      </c>
      <c r="H330">
        <v>1</v>
      </c>
      <c r="I330">
        <v>0.037</v>
      </c>
      <c r="J330">
        <v>19.66</v>
      </c>
      <c r="K330" t="s">
        <v>39</v>
      </c>
      <c r="L330">
        <v>0.037037037037037</v>
      </c>
    </row>
    <row r="331" spans="1:12">
      <c r="A331" s="71">
        <v>43332</v>
      </c>
      <c r="B331" t="s">
        <v>19</v>
      </c>
      <c r="C331">
        <v>4</v>
      </c>
      <c r="D331">
        <v>0.0408</v>
      </c>
      <c r="E331">
        <v>5</v>
      </c>
      <c r="F331">
        <v>0.0327</v>
      </c>
      <c r="G331">
        <v>1</v>
      </c>
      <c r="H331">
        <v>0</v>
      </c>
      <c r="I331">
        <v>0</v>
      </c>
      <c r="J331">
        <v>0</v>
      </c>
      <c r="K331" t="s">
        <v>38</v>
      </c>
      <c r="L331">
        <v>0</v>
      </c>
    </row>
    <row r="332" spans="1:12">
      <c r="A332" s="71">
        <v>43332</v>
      </c>
      <c r="B332" t="s">
        <v>21</v>
      </c>
      <c r="C332">
        <v>3</v>
      </c>
      <c r="D332">
        <v>0.0306</v>
      </c>
      <c r="E332">
        <v>4</v>
      </c>
      <c r="F332">
        <v>0.0261</v>
      </c>
      <c r="G332">
        <v>1</v>
      </c>
      <c r="H332">
        <v>0</v>
      </c>
      <c r="I332">
        <v>0</v>
      </c>
      <c r="J332">
        <v>0</v>
      </c>
      <c r="K332" t="s">
        <v>38</v>
      </c>
      <c r="L332">
        <v>0</v>
      </c>
    </row>
    <row r="333" spans="1:12">
      <c r="A333" s="71">
        <v>43332</v>
      </c>
      <c r="B333" t="s">
        <v>20</v>
      </c>
      <c r="C333">
        <v>2</v>
      </c>
      <c r="D333">
        <v>0.0204</v>
      </c>
      <c r="E333">
        <v>2</v>
      </c>
      <c r="F333">
        <v>0.0131</v>
      </c>
      <c r="G333">
        <v>0</v>
      </c>
      <c r="H333">
        <v>0</v>
      </c>
      <c r="I333">
        <v>0</v>
      </c>
      <c r="J333">
        <v>0</v>
      </c>
      <c r="K333" t="s">
        <v>38</v>
      </c>
      <c r="L333">
        <v>0</v>
      </c>
    </row>
    <row r="334" spans="1:12">
      <c r="A334" s="71">
        <v>43332</v>
      </c>
      <c r="B334" t="s">
        <v>22</v>
      </c>
      <c r="C334">
        <v>58</v>
      </c>
      <c r="D334">
        <v>0.5918</v>
      </c>
      <c r="E334">
        <v>94</v>
      </c>
      <c r="F334">
        <v>0.6144</v>
      </c>
      <c r="G334">
        <v>0.99</v>
      </c>
      <c r="H334">
        <v>13</v>
      </c>
      <c r="I334">
        <v>0.2241</v>
      </c>
      <c r="J334">
        <v>149.37</v>
      </c>
      <c r="K334" t="s">
        <v>48</v>
      </c>
      <c r="L334">
        <v>0.155172413793103</v>
      </c>
    </row>
    <row r="335" spans="1:12">
      <c r="A335" s="71">
        <v>43332</v>
      </c>
      <c r="B335" t="s">
        <v>18</v>
      </c>
      <c r="C335">
        <v>31</v>
      </c>
      <c r="D335">
        <v>0.3163</v>
      </c>
      <c r="E335">
        <v>48</v>
      </c>
      <c r="F335">
        <v>0.3137</v>
      </c>
      <c r="G335">
        <v>1</v>
      </c>
      <c r="H335">
        <v>2</v>
      </c>
      <c r="I335">
        <v>0.0645</v>
      </c>
      <c r="J335">
        <v>45.32</v>
      </c>
      <c r="K335" t="s">
        <v>40</v>
      </c>
      <c r="L335">
        <v>0.0645161290322581</v>
      </c>
    </row>
    <row r="336" spans="1:12">
      <c r="A336" s="71">
        <v>43333</v>
      </c>
      <c r="B336" t="s">
        <v>21</v>
      </c>
      <c r="C336">
        <v>1</v>
      </c>
      <c r="D336">
        <v>0.0092</v>
      </c>
      <c r="E336">
        <v>1</v>
      </c>
      <c r="F336">
        <v>0.0067</v>
      </c>
      <c r="G336">
        <v>1</v>
      </c>
      <c r="H336">
        <v>0</v>
      </c>
      <c r="I336">
        <v>0</v>
      </c>
      <c r="J336">
        <v>0</v>
      </c>
      <c r="K336" t="s">
        <v>38</v>
      </c>
      <c r="L336">
        <v>0</v>
      </c>
    </row>
    <row r="337" spans="1:12">
      <c r="A337" s="71">
        <v>43333</v>
      </c>
      <c r="B337" t="s">
        <v>20</v>
      </c>
      <c r="C337">
        <v>2</v>
      </c>
      <c r="D337">
        <v>0.0183</v>
      </c>
      <c r="E337">
        <v>2</v>
      </c>
      <c r="F337">
        <v>0.0134</v>
      </c>
      <c r="G337">
        <v>1</v>
      </c>
      <c r="H337">
        <v>0</v>
      </c>
      <c r="I337">
        <v>0</v>
      </c>
      <c r="J337">
        <v>0</v>
      </c>
      <c r="K337" t="s">
        <v>38</v>
      </c>
      <c r="L337">
        <v>0</v>
      </c>
    </row>
    <row r="338" spans="1:12">
      <c r="A338" s="71">
        <v>43333</v>
      </c>
      <c r="B338" t="s">
        <v>22</v>
      </c>
      <c r="C338">
        <v>60</v>
      </c>
      <c r="D338">
        <v>0.5505</v>
      </c>
      <c r="E338">
        <v>85</v>
      </c>
      <c r="F338">
        <v>0.5705</v>
      </c>
      <c r="G338">
        <v>0.98</v>
      </c>
      <c r="H338">
        <v>13</v>
      </c>
      <c r="I338">
        <v>0.2167</v>
      </c>
      <c r="J338">
        <v>149.37</v>
      </c>
      <c r="K338" t="s">
        <v>49</v>
      </c>
      <c r="L338">
        <v>0.2</v>
      </c>
    </row>
    <row r="339" spans="1:12">
      <c r="A339" s="71">
        <v>43333</v>
      </c>
      <c r="B339" t="s">
        <v>18</v>
      </c>
      <c r="C339">
        <v>38</v>
      </c>
      <c r="D339">
        <v>0.3486</v>
      </c>
      <c r="E339">
        <v>52</v>
      </c>
      <c r="F339">
        <v>0.349</v>
      </c>
      <c r="G339">
        <v>0.94</v>
      </c>
      <c r="H339">
        <v>1</v>
      </c>
      <c r="I339">
        <v>0.0263</v>
      </c>
      <c r="J339">
        <v>22.66</v>
      </c>
      <c r="K339" t="s">
        <v>39</v>
      </c>
      <c r="L339">
        <v>0.0263157894736842</v>
      </c>
    </row>
    <row r="340" spans="1:12">
      <c r="A340" s="71">
        <v>43333</v>
      </c>
      <c r="B340" t="s">
        <v>19</v>
      </c>
      <c r="C340">
        <v>8</v>
      </c>
      <c r="D340">
        <v>0.0734</v>
      </c>
      <c r="E340">
        <v>9</v>
      </c>
      <c r="F340">
        <v>0.0604</v>
      </c>
      <c r="G340">
        <v>1</v>
      </c>
      <c r="H340">
        <v>2</v>
      </c>
      <c r="I340">
        <v>0.25</v>
      </c>
      <c r="J340">
        <v>29.98</v>
      </c>
      <c r="K340" t="s">
        <v>39</v>
      </c>
      <c r="L340">
        <v>0.125</v>
      </c>
    </row>
    <row r="341" spans="1:12">
      <c r="A341" s="71">
        <v>43334</v>
      </c>
      <c r="B341" t="s">
        <v>20</v>
      </c>
      <c r="C341">
        <v>2</v>
      </c>
      <c r="D341">
        <v>0.0179</v>
      </c>
      <c r="E341">
        <v>2</v>
      </c>
      <c r="F341">
        <v>0.0125</v>
      </c>
      <c r="G341">
        <v>1</v>
      </c>
      <c r="H341">
        <v>0</v>
      </c>
      <c r="I341">
        <v>0</v>
      </c>
      <c r="J341">
        <v>0</v>
      </c>
      <c r="K341" t="s">
        <v>38</v>
      </c>
      <c r="L341">
        <v>0</v>
      </c>
    </row>
    <row r="342" spans="1:12">
      <c r="A342" s="71">
        <v>43334</v>
      </c>
      <c r="B342" t="s">
        <v>21</v>
      </c>
      <c r="C342">
        <v>4</v>
      </c>
      <c r="D342">
        <v>0.0357</v>
      </c>
      <c r="E342">
        <v>5</v>
      </c>
      <c r="F342">
        <v>0.0313</v>
      </c>
      <c r="G342">
        <v>1</v>
      </c>
      <c r="H342">
        <v>0</v>
      </c>
      <c r="I342">
        <v>0</v>
      </c>
      <c r="J342">
        <v>0</v>
      </c>
      <c r="K342" t="s">
        <v>38</v>
      </c>
      <c r="L342">
        <v>0</v>
      </c>
    </row>
    <row r="343" spans="1:12">
      <c r="A343" s="71">
        <v>43334</v>
      </c>
      <c r="B343" t="s">
        <v>22</v>
      </c>
      <c r="C343">
        <v>66</v>
      </c>
      <c r="D343">
        <v>0.5893</v>
      </c>
      <c r="E343">
        <v>99</v>
      </c>
      <c r="F343">
        <v>0.6188</v>
      </c>
      <c r="G343">
        <v>0.95</v>
      </c>
      <c r="H343">
        <v>36</v>
      </c>
      <c r="I343">
        <v>0.5455</v>
      </c>
      <c r="J343">
        <v>413.64</v>
      </c>
      <c r="K343" t="s">
        <v>56</v>
      </c>
      <c r="L343">
        <v>0.242424242424242</v>
      </c>
    </row>
    <row r="344" spans="1:12">
      <c r="A344" s="71">
        <v>43334</v>
      </c>
      <c r="B344" t="s">
        <v>18</v>
      </c>
      <c r="C344">
        <v>34</v>
      </c>
      <c r="D344">
        <v>0.3036</v>
      </c>
      <c r="E344">
        <v>48</v>
      </c>
      <c r="F344">
        <v>0.3</v>
      </c>
      <c r="G344">
        <v>1</v>
      </c>
      <c r="H344">
        <v>2</v>
      </c>
      <c r="I344">
        <v>0.0588</v>
      </c>
      <c r="J344">
        <v>45.32</v>
      </c>
      <c r="K344" t="s">
        <v>40</v>
      </c>
      <c r="L344">
        <v>0.0588235294117647</v>
      </c>
    </row>
    <row r="345" spans="1:12">
      <c r="A345" s="71">
        <v>43334</v>
      </c>
      <c r="B345" t="s">
        <v>19</v>
      </c>
      <c r="C345">
        <v>6</v>
      </c>
      <c r="D345">
        <v>0.0536</v>
      </c>
      <c r="E345">
        <v>6</v>
      </c>
      <c r="F345">
        <v>0.0375</v>
      </c>
      <c r="G345">
        <v>1</v>
      </c>
      <c r="H345">
        <v>2</v>
      </c>
      <c r="I345">
        <v>0.3333</v>
      </c>
      <c r="J345">
        <v>29.98</v>
      </c>
      <c r="K345" t="s">
        <v>40</v>
      </c>
      <c r="L345">
        <v>0.333333333333333</v>
      </c>
    </row>
    <row r="346" spans="1:12">
      <c r="A346" s="71">
        <v>43335</v>
      </c>
      <c r="B346" t="s">
        <v>20</v>
      </c>
      <c r="C346">
        <v>1</v>
      </c>
      <c r="D346">
        <v>0.009</v>
      </c>
      <c r="E346">
        <v>1</v>
      </c>
      <c r="F346">
        <v>0.0068</v>
      </c>
      <c r="G346">
        <v>1</v>
      </c>
      <c r="H346">
        <v>0</v>
      </c>
      <c r="I346">
        <v>0</v>
      </c>
      <c r="J346">
        <v>0</v>
      </c>
      <c r="K346" t="s">
        <v>38</v>
      </c>
      <c r="L346">
        <v>0</v>
      </c>
    </row>
    <row r="347" spans="1:12">
      <c r="A347" s="71">
        <v>43335</v>
      </c>
      <c r="B347" t="s">
        <v>21</v>
      </c>
      <c r="C347">
        <v>9</v>
      </c>
      <c r="D347">
        <v>0.0811</v>
      </c>
      <c r="E347">
        <v>10</v>
      </c>
      <c r="F347">
        <v>0.0685</v>
      </c>
      <c r="G347">
        <v>1</v>
      </c>
      <c r="H347">
        <v>0</v>
      </c>
      <c r="I347">
        <v>0</v>
      </c>
      <c r="J347">
        <v>0</v>
      </c>
      <c r="K347" t="s">
        <v>38</v>
      </c>
      <c r="L347">
        <v>0</v>
      </c>
    </row>
    <row r="348" spans="1:12">
      <c r="A348" s="71">
        <v>43335</v>
      </c>
      <c r="B348" t="s">
        <v>19</v>
      </c>
      <c r="C348">
        <v>4</v>
      </c>
      <c r="D348">
        <v>0.036</v>
      </c>
      <c r="E348">
        <v>6</v>
      </c>
      <c r="F348">
        <v>0.0411</v>
      </c>
      <c r="G348">
        <v>1</v>
      </c>
      <c r="H348">
        <v>0</v>
      </c>
      <c r="I348">
        <v>0</v>
      </c>
      <c r="J348">
        <v>0</v>
      </c>
      <c r="K348" t="s">
        <v>38</v>
      </c>
      <c r="L348">
        <v>0</v>
      </c>
    </row>
    <row r="349" spans="1:12">
      <c r="A349" s="71">
        <v>43335</v>
      </c>
      <c r="B349" t="s">
        <v>18</v>
      </c>
      <c r="C349">
        <v>33</v>
      </c>
      <c r="D349">
        <v>0.2973</v>
      </c>
      <c r="E349">
        <v>44</v>
      </c>
      <c r="F349">
        <v>0.3014</v>
      </c>
      <c r="G349">
        <v>1</v>
      </c>
      <c r="H349">
        <v>4</v>
      </c>
      <c r="I349">
        <v>0.1212</v>
      </c>
      <c r="J349">
        <v>90.64</v>
      </c>
      <c r="K349" t="s">
        <v>42</v>
      </c>
      <c r="L349">
        <v>0.121212121212121</v>
      </c>
    </row>
    <row r="350" spans="1:12">
      <c r="A350" s="71">
        <v>43335</v>
      </c>
      <c r="B350" t="s">
        <v>22</v>
      </c>
      <c r="C350">
        <v>64</v>
      </c>
      <c r="D350">
        <v>0.5766</v>
      </c>
      <c r="E350">
        <v>85</v>
      </c>
      <c r="F350">
        <v>0.5822</v>
      </c>
      <c r="G350">
        <v>1</v>
      </c>
      <c r="H350">
        <v>10</v>
      </c>
      <c r="I350">
        <v>0.1563</v>
      </c>
      <c r="J350">
        <v>114.9</v>
      </c>
      <c r="K350" t="s">
        <v>48</v>
      </c>
      <c r="L350">
        <v>0.140625</v>
      </c>
    </row>
    <row r="351" spans="1:12">
      <c r="A351" s="71">
        <v>43336</v>
      </c>
      <c r="B351" t="s">
        <v>20</v>
      </c>
      <c r="C351">
        <v>2</v>
      </c>
      <c r="D351">
        <v>0.02</v>
      </c>
      <c r="E351">
        <v>2</v>
      </c>
      <c r="F351">
        <v>0.0143</v>
      </c>
      <c r="G351">
        <v>1</v>
      </c>
      <c r="H351">
        <v>0</v>
      </c>
      <c r="I351">
        <v>0</v>
      </c>
      <c r="J351">
        <v>0</v>
      </c>
      <c r="K351" t="s">
        <v>38</v>
      </c>
      <c r="L351">
        <v>0</v>
      </c>
    </row>
    <row r="352" spans="1:12">
      <c r="A352" s="71">
        <v>43336</v>
      </c>
      <c r="B352" t="s">
        <v>21</v>
      </c>
      <c r="C352">
        <v>3</v>
      </c>
      <c r="D352">
        <v>0.03</v>
      </c>
      <c r="E352">
        <v>3</v>
      </c>
      <c r="F352">
        <v>0.0214</v>
      </c>
      <c r="G352">
        <v>1</v>
      </c>
      <c r="H352">
        <v>0</v>
      </c>
      <c r="I352">
        <v>0</v>
      </c>
      <c r="J352">
        <v>0</v>
      </c>
      <c r="K352" t="s">
        <v>38</v>
      </c>
      <c r="L352">
        <v>0</v>
      </c>
    </row>
    <row r="353" spans="1:12">
      <c r="A353" s="71">
        <v>43336</v>
      </c>
      <c r="B353" t="s">
        <v>18</v>
      </c>
      <c r="C353">
        <v>32</v>
      </c>
      <c r="D353">
        <v>0.32</v>
      </c>
      <c r="E353">
        <v>49</v>
      </c>
      <c r="F353">
        <v>0.35</v>
      </c>
      <c r="G353">
        <v>1</v>
      </c>
      <c r="H353">
        <v>2</v>
      </c>
      <c r="I353">
        <v>0.0625</v>
      </c>
      <c r="J353">
        <v>45.32</v>
      </c>
      <c r="K353" t="s">
        <v>40</v>
      </c>
      <c r="L353">
        <v>0.0625</v>
      </c>
    </row>
    <row r="354" spans="1:12">
      <c r="A354" s="71">
        <v>43336</v>
      </c>
      <c r="B354" t="s">
        <v>22</v>
      </c>
      <c r="C354">
        <v>58</v>
      </c>
      <c r="D354">
        <v>0.58</v>
      </c>
      <c r="E354">
        <v>80</v>
      </c>
      <c r="F354">
        <v>0.5714</v>
      </c>
      <c r="G354">
        <v>1</v>
      </c>
      <c r="H354">
        <v>12</v>
      </c>
      <c r="I354">
        <v>0.2069</v>
      </c>
      <c r="J354">
        <v>137.88</v>
      </c>
      <c r="K354" t="s">
        <v>48</v>
      </c>
      <c r="L354">
        <v>0.155172413793103</v>
      </c>
    </row>
    <row r="355" spans="1:12">
      <c r="A355" s="71">
        <v>43336</v>
      </c>
      <c r="B355" t="s">
        <v>19</v>
      </c>
      <c r="C355">
        <v>5</v>
      </c>
      <c r="D355">
        <v>0.05</v>
      </c>
      <c r="E355">
        <v>6</v>
      </c>
      <c r="F355">
        <v>0.0429</v>
      </c>
      <c r="G355">
        <v>1</v>
      </c>
      <c r="H355">
        <v>1</v>
      </c>
      <c r="I355">
        <v>0.2</v>
      </c>
      <c r="J355">
        <v>15.99</v>
      </c>
      <c r="K355" t="s">
        <v>39</v>
      </c>
      <c r="L355">
        <v>0.2</v>
      </c>
    </row>
    <row r="356" spans="1:12">
      <c r="A356" s="71">
        <v>43337</v>
      </c>
      <c r="B356" t="s">
        <v>21</v>
      </c>
      <c r="C356">
        <v>2</v>
      </c>
      <c r="D356">
        <v>0.0244</v>
      </c>
      <c r="E356">
        <v>2</v>
      </c>
      <c r="F356">
        <v>0.018</v>
      </c>
      <c r="G356">
        <v>1</v>
      </c>
      <c r="H356">
        <v>0</v>
      </c>
      <c r="I356">
        <v>0</v>
      </c>
      <c r="J356">
        <v>0</v>
      </c>
      <c r="K356" t="s">
        <v>38</v>
      </c>
      <c r="L356">
        <v>0</v>
      </c>
    </row>
    <row r="357" spans="1:12">
      <c r="A357" s="71">
        <v>43337</v>
      </c>
      <c r="B357" t="s">
        <v>20</v>
      </c>
      <c r="C357">
        <v>3</v>
      </c>
      <c r="D357">
        <v>0.0366</v>
      </c>
      <c r="E357">
        <v>5</v>
      </c>
      <c r="F357">
        <v>0.045</v>
      </c>
      <c r="G357">
        <v>0.8</v>
      </c>
      <c r="H357">
        <v>0</v>
      </c>
      <c r="I357">
        <v>0</v>
      </c>
      <c r="J357">
        <v>0</v>
      </c>
      <c r="K357" t="s">
        <v>38</v>
      </c>
      <c r="L357">
        <v>0</v>
      </c>
    </row>
    <row r="358" spans="1:12">
      <c r="A358" s="71">
        <v>43337</v>
      </c>
      <c r="B358" t="s">
        <v>22</v>
      </c>
      <c r="C358">
        <v>47</v>
      </c>
      <c r="D358">
        <v>0.5732</v>
      </c>
      <c r="E358">
        <v>66</v>
      </c>
      <c r="F358">
        <v>0.5946</v>
      </c>
      <c r="G358">
        <v>0.98</v>
      </c>
      <c r="H358">
        <v>12</v>
      </c>
      <c r="I358">
        <v>0.2553</v>
      </c>
      <c r="J358">
        <v>137.88</v>
      </c>
      <c r="K358" t="s">
        <v>47</v>
      </c>
      <c r="L358">
        <v>0.212765957446808</v>
      </c>
    </row>
    <row r="359" spans="1:12">
      <c r="A359" s="71">
        <v>43337</v>
      </c>
      <c r="B359" t="s">
        <v>18</v>
      </c>
      <c r="C359">
        <v>26</v>
      </c>
      <c r="D359">
        <v>0.3171</v>
      </c>
      <c r="E359">
        <v>32</v>
      </c>
      <c r="F359">
        <v>0.2883</v>
      </c>
      <c r="G359">
        <v>1</v>
      </c>
      <c r="H359">
        <v>1</v>
      </c>
      <c r="I359">
        <v>0.0385</v>
      </c>
      <c r="J359">
        <v>22.66</v>
      </c>
      <c r="K359" t="s">
        <v>39</v>
      </c>
      <c r="L359">
        <v>0.0384615384615385</v>
      </c>
    </row>
    <row r="360" spans="1:12">
      <c r="A360" s="71">
        <v>43337</v>
      </c>
      <c r="B360" t="s">
        <v>19</v>
      </c>
      <c r="C360">
        <v>4</v>
      </c>
      <c r="D360">
        <v>0.0488</v>
      </c>
      <c r="E360">
        <v>6</v>
      </c>
      <c r="F360">
        <v>0.0541</v>
      </c>
      <c r="G360">
        <v>1</v>
      </c>
      <c r="H360">
        <v>1</v>
      </c>
      <c r="I360">
        <v>0.25</v>
      </c>
      <c r="J360">
        <v>15.99</v>
      </c>
      <c r="K360" t="s">
        <v>39</v>
      </c>
      <c r="L360">
        <v>0.25</v>
      </c>
    </row>
    <row r="361" spans="1:12">
      <c r="A361" s="71">
        <v>43338</v>
      </c>
      <c r="B361" t="s">
        <v>21</v>
      </c>
      <c r="C361">
        <v>2</v>
      </c>
      <c r="D361">
        <v>0.0192</v>
      </c>
      <c r="E361">
        <v>2</v>
      </c>
      <c r="F361">
        <v>0.0132</v>
      </c>
      <c r="G361">
        <v>1</v>
      </c>
      <c r="H361">
        <v>0</v>
      </c>
      <c r="I361">
        <v>0</v>
      </c>
      <c r="J361">
        <v>0</v>
      </c>
      <c r="K361" t="s">
        <v>38</v>
      </c>
      <c r="L361">
        <v>0</v>
      </c>
    </row>
    <row r="362" spans="1:12">
      <c r="A362" s="71">
        <v>43338</v>
      </c>
      <c r="B362" t="s">
        <v>19</v>
      </c>
      <c r="C362">
        <v>8</v>
      </c>
      <c r="D362">
        <v>0.0769</v>
      </c>
      <c r="E362">
        <v>11</v>
      </c>
      <c r="F362">
        <v>0.0724</v>
      </c>
      <c r="G362">
        <v>1</v>
      </c>
      <c r="H362">
        <v>0</v>
      </c>
      <c r="I362">
        <v>0</v>
      </c>
      <c r="J362">
        <v>0</v>
      </c>
      <c r="K362" t="s">
        <v>38</v>
      </c>
      <c r="L362">
        <v>0</v>
      </c>
    </row>
    <row r="363" spans="1:12">
      <c r="A363" s="71">
        <v>43338</v>
      </c>
      <c r="B363" t="s">
        <v>18</v>
      </c>
      <c r="C363">
        <v>33</v>
      </c>
      <c r="D363">
        <v>0.3173</v>
      </c>
      <c r="E363">
        <v>51</v>
      </c>
      <c r="F363">
        <v>0.3355</v>
      </c>
      <c r="G363">
        <v>0.9</v>
      </c>
      <c r="H363">
        <v>3</v>
      </c>
      <c r="I363">
        <v>0.0909</v>
      </c>
      <c r="J363">
        <v>67.98</v>
      </c>
      <c r="K363" t="s">
        <v>41</v>
      </c>
      <c r="L363">
        <v>0.0909090909090909</v>
      </c>
    </row>
    <row r="364" spans="1:12">
      <c r="A364" s="71">
        <v>43338</v>
      </c>
      <c r="B364" t="s">
        <v>22</v>
      </c>
      <c r="C364">
        <v>61</v>
      </c>
      <c r="D364">
        <v>0.5865</v>
      </c>
      <c r="E364">
        <v>88</v>
      </c>
      <c r="F364">
        <v>0.5789</v>
      </c>
      <c r="G364">
        <v>1</v>
      </c>
      <c r="H364">
        <v>13</v>
      </c>
      <c r="I364">
        <v>0.2131</v>
      </c>
      <c r="J364">
        <v>149.37</v>
      </c>
      <c r="K364" t="s">
        <v>49</v>
      </c>
      <c r="L364">
        <v>0.19672131147541</v>
      </c>
    </row>
    <row r="365" spans="1:12">
      <c r="A365" s="71">
        <v>43339</v>
      </c>
      <c r="B365" t="s">
        <v>21</v>
      </c>
      <c r="C365">
        <v>1</v>
      </c>
      <c r="D365">
        <v>0.0097</v>
      </c>
      <c r="E365">
        <v>1</v>
      </c>
      <c r="F365">
        <v>0.0067</v>
      </c>
      <c r="G365">
        <v>1</v>
      </c>
      <c r="H365">
        <v>0</v>
      </c>
      <c r="I365">
        <v>0</v>
      </c>
      <c r="J365">
        <v>0</v>
      </c>
      <c r="K365" t="s">
        <v>38</v>
      </c>
      <c r="L365">
        <v>0</v>
      </c>
    </row>
    <row r="366" spans="1:12">
      <c r="A366" s="71">
        <v>43339</v>
      </c>
      <c r="B366" t="s">
        <v>20</v>
      </c>
      <c r="C366">
        <v>3</v>
      </c>
      <c r="D366">
        <v>0.0291</v>
      </c>
      <c r="E366">
        <v>3</v>
      </c>
      <c r="F366">
        <v>0.0201</v>
      </c>
      <c r="G366">
        <v>1</v>
      </c>
      <c r="H366">
        <v>0</v>
      </c>
      <c r="I366">
        <v>0</v>
      </c>
      <c r="J366">
        <v>0</v>
      </c>
      <c r="K366" t="s">
        <v>38</v>
      </c>
      <c r="L366">
        <v>0</v>
      </c>
    </row>
    <row r="367" spans="1:12">
      <c r="A367" s="71">
        <v>43339</v>
      </c>
      <c r="B367" t="s">
        <v>19</v>
      </c>
      <c r="C367">
        <v>7</v>
      </c>
      <c r="D367">
        <v>0.068</v>
      </c>
      <c r="E367">
        <v>11</v>
      </c>
      <c r="F367">
        <v>0.0738</v>
      </c>
      <c r="G367">
        <v>0.91</v>
      </c>
      <c r="H367">
        <v>0</v>
      </c>
      <c r="I367">
        <v>0</v>
      </c>
      <c r="J367">
        <v>0</v>
      </c>
      <c r="K367" t="s">
        <v>38</v>
      </c>
      <c r="L367">
        <v>0</v>
      </c>
    </row>
    <row r="368" spans="1:12">
      <c r="A368" s="71">
        <v>43339</v>
      </c>
      <c r="B368" t="s">
        <v>22</v>
      </c>
      <c r="C368">
        <v>63</v>
      </c>
      <c r="D368">
        <v>0.6117</v>
      </c>
      <c r="E368">
        <v>86</v>
      </c>
      <c r="F368">
        <v>0.5772</v>
      </c>
      <c r="G368">
        <v>0.99</v>
      </c>
      <c r="H368">
        <v>6</v>
      </c>
      <c r="I368">
        <v>0.0952</v>
      </c>
      <c r="J368">
        <v>68.94</v>
      </c>
      <c r="K368" t="s">
        <v>45</v>
      </c>
      <c r="L368">
        <v>0.0952380952380952</v>
      </c>
    </row>
    <row r="369" spans="1:12">
      <c r="A369" s="71">
        <v>43339</v>
      </c>
      <c r="B369" t="s">
        <v>18</v>
      </c>
      <c r="C369">
        <v>29</v>
      </c>
      <c r="D369">
        <v>0.2816</v>
      </c>
      <c r="E369">
        <v>48</v>
      </c>
      <c r="F369">
        <v>0.3221</v>
      </c>
      <c r="G369">
        <v>1</v>
      </c>
      <c r="H369">
        <v>3</v>
      </c>
      <c r="I369">
        <v>0.1034</v>
      </c>
      <c r="J369">
        <v>67.98</v>
      </c>
      <c r="K369" t="s">
        <v>41</v>
      </c>
      <c r="L369">
        <v>0.103448275862069</v>
      </c>
    </row>
    <row r="370" spans="1:12">
      <c r="A370" s="71">
        <v>43340</v>
      </c>
      <c r="B370" t="s">
        <v>21</v>
      </c>
      <c r="C370">
        <v>2</v>
      </c>
      <c r="D370">
        <v>0.0182</v>
      </c>
      <c r="E370">
        <v>2</v>
      </c>
      <c r="F370">
        <v>0.0137</v>
      </c>
      <c r="G370">
        <v>1</v>
      </c>
      <c r="H370">
        <v>0</v>
      </c>
      <c r="I370">
        <v>0</v>
      </c>
      <c r="J370">
        <v>0</v>
      </c>
      <c r="K370" t="s">
        <v>38</v>
      </c>
      <c r="L370">
        <v>0</v>
      </c>
    </row>
    <row r="371" spans="1:12">
      <c r="A371" s="71">
        <v>43340</v>
      </c>
      <c r="B371" t="s">
        <v>20</v>
      </c>
      <c r="C371">
        <v>4</v>
      </c>
      <c r="D371">
        <v>0.0364</v>
      </c>
      <c r="E371">
        <v>9</v>
      </c>
      <c r="F371">
        <v>0.0616</v>
      </c>
      <c r="G371">
        <v>0.78</v>
      </c>
      <c r="H371">
        <v>0</v>
      </c>
      <c r="I371">
        <v>0</v>
      </c>
      <c r="J371">
        <v>0</v>
      </c>
      <c r="K371" t="s">
        <v>38</v>
      </c>
      <c r="L371">
        <v>0</v>
      </c>
    </row>
    <row r="372" spans="1:12">
      <c r="A372" s="71">
        <v>43340</v>
      </c>
      <c r="B372" t="s">
        <v>19</v>
      </c>
      <c r="C372">
        <v>7</v>
      </c>
      <c r="D372">
        <v>0.0636</v>
      </c>
      <c r="E372">
        <v>8</v>
      </c>
      <c r="F372">
        <v>0.0548</v>
      </c>
      <c r="G372">
        <v>1</v>
      </c>
      <c r="H372">
        <v>2</v>
      </c>
      <c r="I372">
        <v>0.2857</v>
      </c>
      <c r="J372">
        <v>31.98</v>
      </c>
      <c r="K372" t="s">
        <v>40</v>
      </c>
      <c r="L372">
        <v>0.285714285714286</v>
      </c>
    </row>
    <row r="373" spans="1:12">
      <c r="A373" s="71">
        <v>43340</v>
      </c>
      <c r="B373" t="s">
        <v>22</v>
      </c>
      <c r="C373">
        <v>73</v>
      </c>
      <c r="D373">
        <v>0.6636</v>
      </c>
      <c r="E373">
        <v>98</v>
      </c>
      <c r="F373">
        <v>0.6712</v>
      </c>
      <c r="G373">
        <v>1</v>
      </c>
      <c r="H373">
        <v>9</v>
      </c>
      <c r="I373">
        <v>0.1233</v>
      </c>
      <c r="J373">
        <v>103.41</v>
      </c>
      <c r="K373" t="s">
        <v>44</v>
      </c>
      <c r="L373">
        <v>0.10958904109589</v>
      </c>
    </row>
    <row r="374" spans="1:12">
      <c r="A374" s="71">
        <v>43340</v>
      </c>
      <c r="B374" t="s">
        <v>18</v>
      </c>
      <c r="C374">
        <v>24</v>
      </c>
      <c r="D374">
        <v>0.2182</v>
      </c>
      <c r="E374">
        <v>29</v>
      </c>
      <c r="F374">
        <v>0.1986</v>
      </c>
      <c r="G374">
        <v>1</v>
      </c>
      <c r="H374">
        <v>1</v>
      </c>
      <c r="I374">
        <v>0.0417</v>
      </c>
      <c r="J374">
        <v>22.66</v>
      </c>
      <c r="K374" t="s">
        <v>39</v>
      </c>
      <c r="L374">
        <v>0.0416666666666667</v>
      </c>
    </row>
    <row r="375" spans="1:12">
      <c r="A375" s="71">
        <v>43341</v>
      </c>
      <c r="B375" t="s">
        <v>20</v>
      </c>
      <c r="C375">
        <v>2</v>
      </c>
      <c r="D375">
        <v>0.0187</v>
      </c>
      <c r="E375">
        <v>4</v>
      </c>
      <c r="F375">
        <v>0.0276</v>
      </c>
      <c r="G375">
        <v>1</v>
      </c>
      <c r="H375">
        <v>0</v>
      </c>
      <c r="I375">
        <v>0</v>
      </c>
      <c r="J375">
        <v>0</v>
      </c>
      <c r="K375" t="s">
        <v>38</v>
      </c>
      <c r="L375">
        <v>0</v>
      </c>
    </row>
    <row r="376" spans="1:12">
      <c r="A376" s="71">
        <v>43341</v>
      </c>
      <c r="B376" t="s">
        <v>21</v>
      </c>
      <c r="C376">
        <v>4</v>
      </c>
      <c r="D376">
        <v>0.0374</v>
      </c>
      <c r="E376">
        <v>5</v>
      </c>
      <c r="F376">
        <v>0.0345</v>
      </c>
      <c r="G376">
        <v>1</v>
      </c>
      <c r="H376">
        <v>0</v>
      </c>
      <c r="I376">
        <v>0</v>
      </c>
      <c r="J376">
        <v>0</v>
      </c>
      <c r="K376" t="s">
        <v>38</v>
      </c>
      <c r="L376">
        <v>0</v>
      </c>
    </row>
    <row r="377" spans="1:12">
      <c r="A377" s="71">
        <v>43341</v>
      </c>
      <c r="B377" t="s">
        <v>24</v>
      </c>
      <c r="C377">
        <v>1</v>
      </c>
      <c r="D377">
        <v>0.0093</v>
      </c>
      <c r="E377">
        <v>3</v>
      </c>
      <c r="F377">
        <v>0.0207</v>
      </c>
      <c r="G377">
        <v>0.33</v>
      </c>
      <c r="H377">
        <v>0</v>
      </c>
      <c r="I377">
        <v>0</v>
      </c>
      <c r="J377">
        <v>0</v>
      </c>
      <c r="K377" t="s">
        <v>38</v>
      </c>
      <c r="L377">
        <v>0</v>
      </c>
    </row>
    <row r="378" spans="1:12">
      <c r="A378" s="71">
        <v>43341</v>
      </c>
      <c r="B378" t="s">
        <v>22</v>
      </c>
      <c r="C378">
        <v>70</v>
      </c>
      <c r="D378">
        <v>0.6542</v>
      </c>
      <c r="E378">
        <v>94</v>
      </c>
      <c r="F378">
        <v>0.6483</v>
      </c>
      <c r="G378">
        <v>0.99</v>
      </c>
      <c r="H378">
        <v>18</v>
      </c>
      <c r="I378">
        <v>0.2571</v>
      </c>
      <c r="J378">
        <v>206.82</v>
      </c>
      <c r="K378" t="s">
        <v>51</v>
      </c>
      <c r="L378">
        <v>0.242857142857143</v>
      </c>
    </row>
    <row r="379" spans="1:12">
      <c r="A379" s="71">
        <v>43341</v>
      </c>
      <c r="B379" t="s">
        <v>18</v>
      </c>
      <c r="C379">
        <v>18</v>
      </c>
      <c r="D379">
        <v>0.1682</v>
      </c>
      <c r="E379">
        <v>21</v>
      </c>
      <c r="F379">
        <v>0.1448</v>
      </c>
      <c r="G379">
        <v>0.9</v>
      </c>
      <c r="H379">
        <v>1</v>
      </c>
      <c r="I379">
        <v>0.0556</v>
      </c>
      <c r="J379">
        <v>22.66</v>
      </c>
      <c r="K379" t="s">
        <v>39</v>
      </c>
      <c r="L379">
        <v>0.0555555555555556</v>
      </c>
    </row>
    <row r="380" spans="1:12">
      <c r="A380" s="71">
        <v>43341</v>
      </c>
      <c r="B380" t="s">
        <v>19</v>
      </c>
      <c r="C380">
        <v>12</v>
      </c>
      <c r="D380">
        <v>0.1121</v>
      </c>
      <c r="E380">
        <v>18</v>
      </c>
      <c r="F380">
        <v>0.1241</v>
      </c>
      <c r="G380">
        <v>1</v>
      </c>
      <c r="H380">
        <v>1</v>
      </c>
      <c r="I380">
        <v>0.0833</v>
      </c>
      <c r="J380">
        <v>15.99</v>
      </c>
      <c r="K380" t="s">
        <v>39</v>
      </c>
      <c r="L380">
        <v>0.0833333333333333</v>
      </c>
    </row>
    <row r="381" spans="1:12">
      <c r="A381" s="71">
        <v>43342</v>
      </c>
      <c r="B381" t="s">
        <v>23</v>
      </c>
      <c r="C381">
        <v>1</v>
      </c>
      <c r="D381">
        <v>0.0066</v>
      </c>
      <c r="E381">
        <v>1</v>
      </c>
      <c r="F381">
        <v>0.0047</v>
      </c>
      <c r="G381">
        <v>1</v>
      </c>
      <c r="H381">
        <v>0</v>
      </c>
      <c r="I381">
        <v>0</v>
      </c>
      <c r="J381">
        <v>0</v>
      </c>
      <c r="K381" t="s">
        <v>38</v>
      </c>
      <c r="L381">
        <v>0</v>
      </c>
    </row>
    <row r="382" spans="1:12">
      <c r="A382" s="71">
        <v>43342</v>
      </c>
      <c r="B382" t="s">
        <v>24</v>
      </c>
      <c r="C382">
        <v>2</v>
      </c>
      <c r="D382">
        <v>0.0132</v>
      </c>
      <c r="E382">
        <v>2</v>
      </c>
      <c r="F382">
        <v>0.0094</v>
      </c>
      <c r="G382">
        <v>1</v>
      </c>
      <c r="H382">
        <v>0</v>
      </c>
      <c r="I382">
        <v>0</v>
      </c>
      <c r="J382">
        <v>0</v>
      </c>
      <c r="K382" t="s">
        <v>38</v>
      </c>
      <c r="L382">
        <v>0</v>
      </c>
    </row>
    <row r="383" spans="1:12">
      <c r="A383" s="71">
        <v>43342</v>
      </c>
      <c r="B383" t="s">
        <v>20</v>
      </c>
      <c r="C383">
        <v>6</v>
      </c>
      <c r="D383">
        <v>0.0395</v>
      </c>
      <c r="E383">
        <v>7</v>
      </c>
      <c r="F383">
        <v>0.0329</v>
      </c>
      <c r="G383">
        <v>1</v>
      </c>
      <c r="H383">
        <v>0</v>
      </c>
      <c r="I383">
        <v>0</v>
      </c>
      <c r="J383">
        <v>0</v>
      </c>
      <c r="K383" t="s">
        <v>38</v>
      </c>
      <c r="L383">
        <v>0</v>
      </c>
    </row>
    <row r="384" spans="1:12">
      <c r="A384" s="71">
        <v>43342</v>
      </c>
      <c r="B384" t="s">
        <v>21</v>
      </c>
      <c r="C384">
        <v>4</v>
      </c>
      <c r="D384">
        <v>0.0263</v>
      </c>
      <c r="E384">
        <v>5</v>
      </c>
      <c r="F384">
        <v>0.0235</v>
      </c>
      <c r="G384">
        <v>1</v>
      </c>
      <c r="H384">
        <v>0</v>
      </c>
      <c r="I384">
        <v>0</v>
      </c>
      <c r="J384">
        <v>0</v>
      </c>
      <c r="K384" t="s">
        <v>38</v>
      </c>
      <c r="L384">
        <v>0</v>
      </c>
    </row>
    <row r="385" spans="1:12">
      <c r="A385" s="71">
        <v>43342</v>
      </c>
      <c r="B385" t="s">
        <v>18</v>
      </c>
      <c r="C385">
        <v>36</v>
      </c>
      <c r="D385">
        <v>0.2368</v>
      </c>
      <c r="E385">
        <v>43</v>
      </c>
      <c r="F385">
        <v>0.2019</v>
      </c>
      <c r="G385">
        <v>1</v>
      </c>
      <c r="H385">
        <v>23</v>
      </c>
      <c r="I385">
        <v>0.6389</v>
      </c>
      <c r="J385">
        <v>521.78</v>
      </c>
      <c r="K385" t="s">
        <v>42</v>
      </c>
      <c r="L385">
        <v>0.111111111111111</v>
      </c>
    </row>
    <row r="386" spans="1:12">
      <c r="A386" s="71">
        <v>43342</v>
      </c>
      <c r="B386" t="s">
        <v>19</v>
      </c>
      <c r="C386">
        <v>23</v>
      </c>
      <c r="D386">
        <v>0.1513</v>
      </c>
      <c r="E386">
        <v>41</v>
      </c>
      <c r="F386">
        <v>0.1925</v>
      </c>
      <c r="G386">
        <v>1</v>
      </c>
      <c r="H386">
        <v>4</v>
      </c>
      <c r="I386">
        <v>0.1739</v>
      </c>
      <c r="J386">
        <v>63.96</v>
      </c>
      <c r="K386" t="s">
        <v>41</v>
      </c>
      <c r="L386">
        <v>0.130434782608696</v>
      </c>
    </row>
    <row r="387" spans="1:12">
      <c r="A387" s="71">
        <v>43342</v>
      </c>
      <c r="B387" t="s">
        <v>22</v>
      </c>
      <c r="C387">
        <v>80</v>
      </c>
      <c r="D387">
        <v>0.5263</v>
      </c>
      <c r="E387">
        <v>114</v>
      </c>
      <c r="F387">
        <v>0.5352</v>
      </c>
      <c r="G387">
        <v>1</v>
      </c>
      <c r="H387">
        <v>15</v>
      </c>
      <c r="I387">
        <v>0.1875</v>
      </c>
      <c r="J387">
        <v>174.9</v>
      </c>
      <c r="K387" t="s">
        <v>47</v>
      </c>
      <c r="L387">
        <v>0.125</v>
      </c>
    </row>
    <row r="388" spans="1:12">
      <c r="A388" s="71">
        <v>43343</v>
      </c>
      <c r="B388" t="s">
        <v>23</v>
      </c>
      <c r="C388">
        <v>1</v>
      </c>
      <c r="D388">
        <v>0.011</v>
      </c>
      <c r="E388">
        <v>1</v>
      </c>
      <c r="F388">
        <v>0.0076</v>
      </c>
      <c r="G388">
        <v>1</v>
      </c>
      <c r="H388">
        <v>0</v>
      </c>
      <c r="I388">
        <v>0</v>
      </c>
      <c r="J388">
        <v>0</v>
      </c>
      <c r="K388" t="s">
        <v>38</v>
      </c>
      <c r="L388">
        <v>0</v>
      </c>
    </row>
    <row r="389" spans="1:12">
      <c r="A389" s="71">
        <v>43343</v>
      </c>
      <c r="B389" t="s">
        <v>18</v>
      </c>
      <c r="C389">
        <v>15</v>
      </c>
      <c r="D389">
        <v>0.1648</v>
      </c>
      <c r="E389">
        <v>19</v>
      </c>
      <c r="F389">
        <v>0.145</v>
      </c>
      <c r="G389">
        <v>0.95</v>
      </c>
      <c r="H389">
        <v>18</v>
      </c>
      <c r="I389">
        <v>1.2</v>
      </c>
      <c r="J389">
        <v>411.48</v>
      </c>
      <c r="K389" t="s">
        <v>42</v>
      </c>
      <c r="L389">
        <v>0.266666666666667</v>
      </c>
    </row>
    <row r="390" spans="1:12">
      <c r="A390" s="71">
        <v>43343</v>
      </c>
      <c r="B390" t="s">
        <v>20</v>
      </c>
      <c r="C390">
        <v>4</v>
      </c>
      <c r="D390">
        <v>0.044</v>
      </c>
      <c r="E390">
        <v>7</v>
      </c>
      <c r="F390">
        <v>0.0534</v>
      </c>
      <c r="G390">
        <v>0.86</v>
      </c>
      <c r="H390">
        <v>1</v>
      </c>
      <c r="I390">
        <v>0.25</v>
      </c>
      <c r="J390">
        <v>14.99</v>
      </c>
      <c r="K390" t="s">
        <v>39</v>
      </c>
      <c r="L390">
        <v>0.25</v>
      </c>
    </row>
    <row r="391" spans="1:12">
      <c r="A391" s="71">
        <v>43343</v>
      </c>
      <c r="B391" t="s">
        <v>22</v>
      </c>
      <c r="C391">
        <v>53</v>
      </c>
      <c r="D391">
        <v>0.5824</v>
      </c>
      <c r="E391">
        <v>79</v>
      </c>
      <c r="F391">
        <v>0.6031</v>
      </c>
      <c r="G391">
        <v>1</v>
      </c>
      <c r="H391">
        <v>13</v>
      </c>
      <c r="I391">
        <v>0.2453</v>
      </c>
      <c r="J391">
        <v>151.58</v>
      </c>
      <c r="K391" t="s">
        <v>53</v>
      </c>
      <c r="L391">
        <v>0.245283018867925</v>
      </c>
    </row>
    <row r="392" spans="1:12">
      <c r="A392" s="71">
        <v>43343</v>
      </c>
      <c r="B392" t="s">
        <v>19</v>
      </c>
      <c r="C392">
        <v>18</v>
      </c>
      <c r="D392">
        <v>0.1978</v>
      </c>
      <c r="E392">
        <v>25</v>
      </c>
      <c r="F392">
        <v>0.1908</v>
      </c>
      <c r="G392">
        <v>1</v>
      </c>
      <c r="H392">
        <v>1</v>
      </c>
      <c r="I392">
        <v>0.0556</v>
      </c>
      <c r="J392">
        <v>15.99</v>
      </c>
      <c r="K392" t="s">
        <v>39</v>
      </c>
      <c r="L392">
        <v>0.0555555555555556</v>
      </c>
    </row>
    <row r="393" spans="1:12">
      <c r="A393" s="71">
        <v>43344</v>
      </c>
      <c r="B393" t="s">
        <v>21</v>
      </c>
      <c r="C393">
        <v>1</v>
      </c>
      <c r="D393">
        <v>0.0152</v>
      </c>
      <c r="E393">
        <v>1</v>
      </c>
      <c r="F393">
        <v>0.0112</v>
      </c>
      <c r="G393">
        <v>1</v>
      </c>
      <c r="H393">
        <v>0</v>
      </c>
      <c r="I393">
        <v>0</v>
      </c>
      <c r="J393">
        <v>0</v>
      </c>
      <c r="K393" t="s">
        <v>38</v>
      </c>
      <c r="L393">
        <v>0</v>
      </c>
    </row>
    <row r="394" spans="1:12">
      <c r="A394" s="71">
        <v>43344</v>
      </c>
      <c r="B394" t="s">
        <v>18</v>
      </c>
      <c r="C394">
        <v>23</v>
      </c>
      <c r="D394">
        <v>0.3485</v>
      </c>
      <c r="E394">
        <v>33</v>
      </c>
      <c r="F394">
        <v>0.3708</v>
      </c>
      <c r="G394">
        <v>1</v>
      </c>
      <c r="H394">
        <v>3</v>
      </c>
      <c r="I394">
        <v>0.1304</v>
      </c>
      <c r="J394">
        <v>68.58</v>
      </c>
      <c r="K394" t="s">
        <v>41</v>
      </c>
      <c r="L394">
        <v>0.130434782608696</v>
      </c>
    </row>
    <row r="395" spans="1:12">
      <c r="A395" s="71">
        <v>43344</v>
      </c>
      <c r="B395" t="s">
        <v>19</v>
      </c>
      <c r="C395">
        <v>16</v>
      </c>
      <c r="D395">
        <v>0.2424</v>
      </c>
      <c r="E395">
        <v>18</v>
      </c>
      <c r="F395">
        <v>0.2022</v>
      </c>
      <c r="G395">
        <v>1</v>
      </c>
      <c r="H395">
        <v>2</v>
      </c>
      <c r="I395">
        <v>0.125</v>
      </c>
      <c r="J395">
        <v>31.98</v>
      </c>
      <c r="K395" t="s">
        <v>40</v>
      </c>
      <c r="L395">
        <v>0.125</v>
      </c>
    </row>
    <row r="396" spans="1:12">
      <c r="A396" s="71">
        <v>43344</v>
      </c>
      <c r="B396" t="s">
        <v>22</v>
      </c>
      <c r="C396">
        <v>26</v>
      </c>
      <c r="D396">
        <v>0.3939</v>
      </c>
      <c r="E396">
        <v>37</v>
      </c>
      <c r="F396">
        <v>0.4157</v>
      </c>
      <c r="G396">
        <v>1</v>
      </c>
      <c r="H396">
        <v>12</v>
      </c>
      <c r="I396">
        <v>0.4615</v>
      </c>
      <c r="J396">
        <v>139.92</v>
      </c>
      <c r="K396" t="s">
        <v>54</v>
      </c>
      <c r="L396">
        <v>0.423076923076923</v>
      </c>
    </row>
    <row r="397" spans="1:12">
      <c r="A397" s="71">
        <v>43345</v>
      </c>
      <c r="B397" t="s">
        <v>24</v>
      </c>
      <c r="C397">
        <v>1</v>
      </c>
      <c r="D397">
        <v>0.0132</v>
      </c>
      <c r="E397">
        <v>1</v>
      </c>
      <c r="F397">
        <v>0.0086</v>
      </c>
      <c r="G397">
        <v>1</v>
      </c>
      <c r="H397">
        <v>0</v>
      </c>
      <c r="I397">
        <v>0</v>
      </c>
      <c r="J397">
        <v>0</v>
      </c>
      <c r="K397" t="s">
        <v>38</v>
      </c>
      <c r="L397">
        <v>0</v>
      </c>
    </row>
    <row r="398" spans="1:12">
      <c r="A398" s="71">
        <v>43345</v>
      </c>
      <c r="B398" t="s">
        <v>23</v>
      </c>
      <c r="C398">
        <v>1</v>
      </c>
      <c r="D398">
        <v>0.0132</v>
      </c>
      <c r="E398">
        <v>2</v>
      </c>
      <c r="F398">
        <v>0.0172</v>
      </c>
      <c r="G398">
        <v>1</v>
      </c>
      <c r="H398">
        <v>0</v>
      </c>
      <c r="I398">
        <v>0</v>
      </c>
      <c r="J398">
        <v>0</v>
      </c>
      <c r="K398" t="s">
        <v>38</v>
      </c>
      <c r="L398">
        <v>0</v>
      </c>
    </row>
    <row r="399" spans="1:12">
      <c r="A399" s="71">
        <v>43345</v>
      </c>
      <c r="B399" t="s">
        <v>20</v>
      </c>
      <c r="C399">
        <v>3</v>
      </c>
      <c r="D399">
        <v>0.0395</v>
      </c>
      <c r="E399">
        <v>5</v>
      </c>
      <c r="F399">
        <v>0.0431</v>
      </c>
      <c r="G399">
        <v>1</v>
      </c>
      <c r="H399">
        <v>0</v>
      </c>
      <c r="I399">
        <v>0</v>
      </c>
      <c r="J399">
        <v>0</v>
      </c>
      <c r="K399" t="s">
        <v>38</v>
      </c>
      <c r="L399">
        <v>0</v>
      </c>
    </row>
    <row r="400" spans="1:12">
      <c r="A400" s="71">
        <v>43345</v>
      </c>
      <c r="B400" t="s">
        <v>22</v>
      </c>
      <c r="C400">
        <v>33</v>
      </c>
      <c r="D400">
        <v>0.4342</v>
      </c>
      <c r="E400">
        <v>56</v>
      </c>
      <c r="F400">
        <v>0.4828</v>
      </c>
      <c r="G400">
        <v>0.98</v>
      </c>
      <c r="H400">
        <v>10</v>
      </c>
      <c r="I400">
        <v>0.303</v>
      </c>
      <c r="J400">
        <v>116.82</v>
      </c>
      <c r="K400" t="s">
        <v>48</v>
      </c>
      <c r="L400">
        <v>0.272727272727273</v>
      </c>
    </row>
    <row r="401" spans="1:12">
      <c r="A401" s="71">
        <v>43345</v>
      </c>
      <c r="B401" t="s">
        <v>19</v>
      </c>
      <c r="C401">
        <v>21</v>
      </c>
      <c r="D401">
        <v>0.2763</v>
      </c>
      <c r="E401">
        <v>27</v>
      </c>
      <c r="F401">
        <v>0.2328</v>
      </c>
      <c r="G401">
        <v>1</v>
      </c>
      <c r="H401">
        <v>3</v>
      </c>
      <c r="I401">
        <v>0.1429</v>
      </c>
      <c r="J401">
        <v>47.97</v>
      </c>
      <c r="K401" t="s">
        <v>41</v>
      </c>
      <c r="L401">
        <v>0.142857142857143</v>
      </c>
    </row>
    <row r="402" spans="1:12">
      <c r="A402" s="71">
        <v>43345</v>
      </c>
      <c r="B402" t="s">
        <v>18</v>
      </c>
      <c r="C402">
        <v>17</v>
      </c>
      <c r="D402">
        <v>0.2237</v>
      </c>
      <c r="E402">
        <v>25</v>
      </c>
      <c r="F402">
        <v>0.2155</v>
      </c>
      <c r="G402">
        <v>1</v>
      </c>
      <c r="H402">
        <v>3</v>
      </c>
      <c r="I402">
        <v>0.1765</v>
      </c>
      <c r="J402">
        <v>68.58</v>
      </c>
      <c r="K402" t="s">
        <v>41</v>
      </c>
      <c r="L402">
        <v>0.176470588235294</v>
      </c>
    </row>
    <row r="403" spans="1:12">
      <c r="A403" s="71">
        <v>43346</v>
      </c>
      <c r="B403" t="s">
        <v>21</v>
      </c>
      <c r="C403">
        <v>1</v>
      </c>
      <c r="D403">
        <v>0.0091</v>
      </c>
      <c r="E403">
        <v>1</v>
      </c>
      <c r="F403">
        <v>0.0059</v>
      </c>
      <c r="G403">
        <v>1</v>
      </c>
      <c r="H403">
        <v>0</v>
      </c>
      <c r="I403">
        <v>0</v>
      </c>
      <c r="J403">
        <v>0</v>
      </c>
      <c r="K403" t="s">
        <v>38</v>
      </c>
      <c r="L403">
        <v>0</v>
      </c>
    </row>
    <row r="404" spans="1:12">
      <c r="A404" s="71">
        <v>43346</v>
      </c>
      <c r="B404" t="s">
        <v>23</v>
      </c>
      <c r="C404">
        <v>4</v>
      </c>
      <c r="D404">
        <v>0.0364</v>
      </c>
      <c r="E404">
        <v>4</v>
      </c>
      <c r="F404">
        <v>0.0235</v>
      </c>
      <c r="G404">
        <v>1</v>
      </c>
      <c r="H404">
        <v>0</v>
      </c>
      <c r="I404">
        <v>0</v>
      </c>
      <c r="J404">
        <v>0</v>
      </c>
      <c r="K404" t="s">
        <v>38</v>
      </c>
      <c r="L404">
        <v>0</v>
      </c>
    </row>
    <row r="405" spans="1:12">
      <c r="A405" s="71">
        <v>43346</v>
      </c>
      <c r="B405" t="s">
        <v>20</v>
      </c>
      <c r="C405">
        <v>4</v>
      </c>
      <c r="D405">
        <v>0.0364</v>
      </c>
      <c r="E405">
        <v>9</v>
      </c>
      <c r="F405">
        <v>0.0529</v>
      </c>
      <c r="G405">
        <v>1</v>
      </c>
      <c r="H405">
        <v>0</v>
      </c>
      <c r="I405">
        <v>0</v>
      </c>
      <c r="J405">
        <v>0</v>
      </c>
      <c r="K405" t="s">
        <v>38</v>
      </c>
      <c r="L405">
        <v>0</v>
      </c>
    </row>
    <row r="406" spans="1:12">
      <c r="A406" s="71">
        <v>43346</v>
      </c>
      <c r="B406" t="s">
        <v>19</v>
      </c>
      <c r="C406">
        <v>20</v>
      </c>
      <c r="D406">
        <v>0.1818</v>
      </c>
      <c r="E406">
        <v>28</v>
      </c>
      <c r="F406">
        <v>0.1647</v>
      </c>
      <c r="G406">
        <v>1</v>
      </c>
      <c r="H406">
        <v>3</v>
      </c>
      <c r="I406">
        <v>0.15</v>
      </c>
      <c r="J406">
        <v>47.97</v>
      </c>
      <c r="K406" t="s">
        <v>41</v>
      </c>
      <c r="L406">
        <v>0.15</v>
      </c>
    </row>
    <row r="407" spans="1:12">
      <c r="A407" s="71">
        <v>43346</v>
      </c>
      <c r="B407" t="s">
        <v>22</v>
      </c>
      <c r="C407">
        <v>44</v>
      </c>
      <c r="D407">
        <v>0.4</v>
      </c>
      <c r="E407">
        <v>73</v>
      </c>
      <c r="F407">
        <v>0.4294</v>
      </c>
      <c r="G407">
        <v>1</v>
      </c>
      <c r="H407">
        <v>10</v>
      </c>
      <c r="I407">
        <v>0.2273</v>
      </c>
      <c r="J407">
        <v>118.8</v>
      </c>
      <c r="K407" t="s">
        <v>48</v>
      </c>
      <c r="L407">
        <v>0.204545454545455</v>
      </c>
    </row>
    <row r="408" spans="1:12">
      <c r="A408" s="71">
        <v>43346</v>
      </c>
      <c r="B408" t="s">
        <v>18</v>
      </c>
      <c r="C408">
        <v>29</v>
      </c>
      <c r="D408">
        <v>0.2636</v>
      </c>
      <c r="E408">
        <v>46</v>
      </c>
      <c r="F408">
        <v>0.2706</v>
      </c>
      <c r="G408">
        <v>1</v>
      </c>
      <c r="H408">
        <v>1</v>
      </c>
      <c r="I408">
        <v>0.0345</v>
      </c>
      <c r="J408">
        <v>22.98</v>
      </c>
      <c r="K408" t="s">
        <v>39</v>
      </c>
      <c r="L408">
        <v>0.0344827586206897</v>
      </c>
    </row>
    <row r="409" spans="1:12">
      <c r="A409" s="71">
        <v>43346</v>
      </c>
      <c r="B409" t="s">
        <v>24</v>
      </c>
      <c r="C409">
        <v>8</v>
      </c>
      <c r="D409">
        <v>0.0727</v>
      </c>
      <c r="E409">
        <v>9</v>
      </c>
      <c r="F409">
        <v>0.0529</v>
      </c>
      <c r="G409">
        <v>1</v>
      </c>
      <c r="H409">
        <v>1</v>
      </c>
      <c r="I409">
        <v>0.125</v>
      </c>
      <c r="J409">
        <v>12.99</v>
      </c>
      <c r="K409" t="s">
        <v>39</v>
      </c>
      <c r="L409">
        <v>0.125</v>
      </c>
    </row>
    <row r="410" spans="1:12">
      <c r="A410" s="71">
        <v>43347</v>
      </c>
      <c r="B410" t="s">
        <v>21</v>
      </c>
      <c r="C410">
        <v>1</v>
      </c>
      <c r="D410">
        <v>0.0074</v>
      </c>
      <c r="E410">
        <v>1</v>
      </c>
      <c r="F410">
        <v>0.0051</v>
      </c>
      <c r="G410">
        <v>1</v>
      </c>
      <c r="H410">
        <v>0</v>
      </c>
      <c r="I410">
        <v>0</v>
      </c>
      <c r="J410">
        <v>0</v>
      </c>
      <c r="K410" t="s">
        <v>38</v>
      </c>
      <c r="L410">
        <v>0</v>
      </c>
    </row>
    <row r="411" spans="1:12">
      <c r="A411" s="71">
        <v>43347</v>
      </c>
      <c r="B411" t="s">
        <v>24</v>
      </c>
      <c r="C411">
        <v>15</v>
      </c>
      <c r="D411">
        <v>0.1103</v>
      </c>
      <c r="E411">
        <v>17</v>
      </c>
      <c r="F411">
        <v>0.0867</v>
      </c>
      <c r="G411">
        <v>1</v>
      </c>
      <c r="H411">
        <v>0</v>
      </c>
      <c r="I411">
        <v>0</v>
      </c>
      <c r="J411">
        <v>0</v>
      </c>
      <c r="K411" t="s">
        <v>38</v>
      </c>
      <c r="L411">
        <v>0</v>
      </c>
    </row>
    <row r="412" spans="1:12">
      <c r="A412" s="71">
        <v>43347</v>
      </c>
      <c r="B412" t="s">
        <v>23</v>
      </c>
      <c r="C412">
        <v>5</v>
      </c>
      <c r="D412">
        <v>0.0368</v>
      </c>
      <c r="E412">
        <v>5</v>
      </c>
      <c r="F412">
        <v>0.0255</v>
      </c>
      <c r="G412">
        <v>1</v>
      </c>
      <c r="H412">
        <v>0</v>
      </c>
      <c r="I412">
        <v>0</v>
      </c>
      <c r="J412">
        <v>0</v>
      </c>
      <c r="K412" t="s">
        <v>38</v>
      </c>
      <c r="L412">
        <v>0</v>
      </c>
    </row>
    <row r="413" spans="1:12">
      <c r="A413" s="71">
        <v>43347</v>
      </c>
      <c r="B413" t="s">
        <v>22</v>
      </c>
      <c r="C413">
        <v>58</v>
      </c>
      <c r="D413">
        <v>0.4265</v>
      </c>
      <c r="E413">
        <v>91</v>
      </c>
      <c r="F413">
        <v>0.4643</v>
      </c>
      <c r="G413">
        <v>0.99</v>
      </c>
      <c r="H413">
        <v>19</v>
      </c>
      <c r="I413">
        <v>0.3276</v>
      </c>
      <c r="J413">
        <v>225.72</v>
      </c>
      <c r="K413" t="s">
        <v>47</v>
      </c>
      <c r="L413">
        <v>0.172413793103448</v>
      </c>
    </row>
    <row r="414" spans="1:12">
      <c r="A414" s="71">
        <v>43347</v>
      </c>
      <c r="B414" t="s">
        <v>19</v>
      </c>
      <c r="C414">
        <v>24</v>
      </c>
      <c r="D414">
        <v>0.1765</v>
      </c>
      <c r="E414">
        <v>38</v>
      </c>
      <c r="F414">
        <v>0.1939</v>
      </c>
      <c r="G414">
        <v>1</v>
      </c>
      <c r="H414">
        <v>6</v>
      </c>
      <c r="I414">
        <v>0.25</v>
      </c>
      <c r="J414">
        <v>95.94</v>
      </c>
      <c r="K414" t="s">
        <v>42</v>
      </c>
      <c r="L414">
        <v>0.166666666666667</v>
      </c>
    </row>
    <row r="415" spans="1:12">
      <c r="A415" s="71">
        <v>43347</v>
      </c>
      <c r="B415" t="s">
        <v>18</v>
      </c>
      <c r="C415">
        <v>25</v>
      </c>
      <c r="D415">
        <v>0.1838</v>
      </c>
      <c r="E415">
        <v>29</v>
      </c>
      <c r="F415">
        <v>0.148</v>
      </c>
      <c r="G415">
        <v>1</v>
      </c>
      <c r="H415">
        <v>3</v>
      </c>
      <c r="I415">
        <v>0.12</v>
      </c>
      <c r="J415">
        <v>68.94</v>
      </c>
      <c r="K415" t="s">
        <v>41</v>
      </c>
      <c r="L415">
        <v>0.12</v>
      </c>
    </row>
    <row r="416" spans="1:12">
      <c r="A416" s="71">
        <v>43347</v>
      </c>
      <c r="B416" t="s">
        <v>20</v>
      </c>
      <c r="C416">
        <v>8</v>
      </c>
      <c r="D416">
        <v>0.0588</v>
      </c>
      <c r="E416">
        <v>15</v>
      </c>
      <c r="F416">
        <v>0.0765</v>
      </c>
      <c r="G416">
        <v>1</v>
      </c>
      <c r="H416">
        <v>1</v>
      </c>
      <c r="I416">
        <v>0.125</v>
      </c>
      <c r="J416">
        <v>14.99</v>
      </c>
      <c r="K416" t="s">
        <v>39</v>
      </c>
      <c r="L416">
        <v>0.125</v>
      </c>
    </row>
    <row r="417" spans="1:12">
      <c r="A417" s="71">
        <v>43348</v>
      </c>
      <c r="B417" t="s">
        <v>20</v>
      </c>
      <c r="C417">
        <v>4</v>
      </c>
      <c r="D417">
        <v>0.0294</v>
      </c>
      <c r="E417">
        <v>9</v>
      </c>
      <c r="F417">
        <v>0.0457</v>
      </c>
      <c r="G417">
        <v>1</v>
      </c>
      <c r="H417">
        <v>0</v>
      </c>
      <c r="I417">
        <v>0</v>
      </c>
      <c r="J417">
        <v>0</v>
      </c>
      <c r="K417" t="s">
        <v>38</v>
      </c>
      <c r="L417">
        <v>0</v>
      </c>
    </row>
    <row r="418" spans="1:12">
      <c r="A418" s="71">
        <v>43348</v>
      </c>
      <c r="B418" t="s">
        <v>23</v>
      </c>
      <c r="C418">
        <v>3</v>
      </c>
      <c r="D418">
        <v>0.0221</v>
      </c>
      <c r="E418">
        <v>3</v>
      </c>
      <c r="F418">
        <v>0.0152</v>
      </c>
      <c r="G418">
        <v>1</v>
      </c>
      <c r="H418">
        <v>0</v>
      </c>
      <c r="I418">
        <v>0</v>
      </c>
      <c r="J418">
        <v>0</v>
      </c>
      <c r="K418" t="s">
        <v>38</v>
      </c>
      <c r="L418">
        <v>0</v>
      </c>
    </row>
    <row r="419" spans="1:12">
      <c r="A419" s="71">
        <v>43348</v>
      </c>
      <c r="B419" t="s">
        <v>19</v>
      </c>
      <c r="C419">
        <v>22</v>
      </c>
      <c r="D419">
        <v>0.1618</v>
      </c>
      <c r="E419">
        <v>32</v>
      </c>
      <c r="F419">
        <v>0.1624</v>
      </c>
      <c r="G419">
        <v>0.97</v>
      </c>
      <c r="H419">
        <v>0</v>
      </c>
      <c r="I419">
        <v>0</v>
      </c>
      <c r="J419">
        <v>0</v>
      </c>
      <c r="K419" t="s">
        <v>38</v>
      </c>
      <c r="L419">
        <v>0</v>
      </c>
    </row>
    <row r="420" spans="1:12">
      <c r="A420" s="71">
        <v>43348</v>
      </c>
      <c r="B420" t="s">
        <v>22</v>
      </c>
      <c r="C420">
        <v>58</v>
      </c>
      <c r="D420">
        <v>0.4265</v>
      </c>
      <c r="E420">
        <v>88</v>
      </c>
      <c r="F420">
        <v>0.4467</v>
      </c>
      <c r="G420">
        <v>0.98</v>
      </c>
      <c r="H420">
        <v>27</v>
      </c>
      <c r="I420">
        <v>0.4655</v>
      </c>
      <c r="J420">
        <v>329.23</v>
      </c>
      <c r="K420" t="s">
        <v>49</v>
      </c>
      <c r="L420">
        <v>0.206896551724138</v>
      </c>
    </row>
    <row r="421" spans="1:12">
      <c r="A421" s="71">
        <v>43348</v>
      </c>
      <c r="B421" t="s">
        <v>24</v>
      </c>
      <c r="C421">
        <v>18</v>
      </c>
      <c r="D421">
        <v>0.1324</v>
      </c>
      <c r="E421">
        <v>23</v>
      </c>
      <c r="F421">
        <v>0.1168</v>
      </c>
      <c r="G421">
        <v>0.96</v>
      </c>
      <c r="H421">
        <v>1</v>
      </c>
      <c r="I421">
        <v>0.0556</v>
      </c>
      <c r="J421">
        <v>12.99</v>
      </c>
      <c r="K421" t="s">
        <v>39</v>
      </c>
      <c r="L421">
        <v>0.0555555555555556</v>
      </c>
    </row>
    <row r="422" spans="1:12">
      <c r="A422" s="71">
        <v>43348</v>
      </c>
      <c r="B422" t="s">
        <v>18</v>
      </c>
      <c r="C422">
        <v>31</v>
      </c>
      <c r="D422">
        <v>0.2279</v>
      </c>
      <c r="E422">
        <v>42</v>
      </c>
      <c r="F422">
        <v>0.2132</v>
      </c>
      <c r="G422">
        <v>1</v>
      </c>
      <c r="H422">
        <v>2</v>
      </c>
      <c r="I422">
        <v>0.0645</v>
      </c>
      <c r="J422">
        <v>45.96</v>
      </c>
      <c r="K422" t="s">
        <v>40</v>
      </c>
      <c r="L422">
        <v>0.0645161290322581</v>
      </c>
    </row>
    <row r="423" spans="1:12">
      <c r="A423" s="71">
        <v>43349</v>
      </c>
      <c r="B423" t="s">
        <v>23</v>
      </c>
      <c r="C423">
        <v>2</v>
      </c>
      <c r="D423">
        <v>0.0194</v>
      </c>
      <c r="E423">
        <v>2</v>
      </c>
      <c r="F423">
        <v>0.0139</v>
      </c>
      <c r="G423">
        <v>1</v>
      </c>
      <c r="H423">
        <v>0</v>
      </c>
      <c r="I423">
        <v>0</v>
      </c>
      <c r="J423">
        <v>0</v>
      </c>
      <c r="K423" t="s">
        <v>38</v>
      </c>
      <c r="L423">
        <v>0</v>
      </c>
    </row>
    <row r="424" spans="1:12">
      <c r="A424" s="71">
        <v>43349</v>
      </c>
      <c r="B424" t="s">
        <v>19</v>
      </c>
      <c r="C424">
        <v>21</v>
      </c>
      <c r="D424">
        <v>0.2039</v>
      </c>
      <c r="E424">
        <v>26</v>
      </c>
      <c r="F424">
        <v>0.1806</v>
      </c>
      <c r="G424">
        <v>1</v>
      </c>
      <c r="H424">
        <v>0</v>
      </c>
      <c r="I424">
        <v>0</v>
      </c>
      <c r="J424">
        <v>0</v>
      </c>
      <c r="K424" t="s">
        <v>38</v>
      </c>
      <c r="L424">
        <v>0</v>
      </c>
    </row>
    <row r="425" spans="1:12">
      <c r="A425" s="71">
        <v>43349</v>
      </c>
      <c r="B425" t="s">
        <v>24</v>
      </c>
      <c r="C425">
        <v>8</v>
      </c>
      <c r="D425">
        <v>0.0777</v>
      </c>
      <c r="E425">
        <v>11</v>
      </c>
      <c r="F425">
        <v>0.0764</v>
      </c>
      <c r="G425">
        <v>1</v>
      </c>
      <c r="H425">
        <v>0</v>
      </c>
      <c r="I425">
        <v>0</v>
      </c>
      <c r="J425">
        <v>0</v>
      </c>
      <c r="K425" t="s">
        <v>38</v>
      </c>
      <c r="L425">
        <v>0</v>
      </c>
    </row>
    <row r="426" spans="1:12">
      <c r="A426" s="71">
        <v>43349</v>
      </c>
      <c r="B426" t="s">
        <v>20</v>
      </c>
      <c r="C426">
        <v>4</v>
      </c>
      <c r="D426">
        <v>0.0388</v>
      </c>
      <c r="E426">
        <v>7</v>
      </c>
      <c r="F426">
        <v>0.0486</v>
      </c>
      <c r="G426">
        <v>1</v>
      </c>
      <c r="H426">
        <v>0</v>
      </c>
      <c r="I426">
        <v>0</v>
      </c>
      <c r="J426">
        <v>0</v>
      </c>
      <c r="K426" t="s">
        <v>38</v>
      </c>
      <c r="L426">
        <v>0</v>
      </c>
    </row>
    <row r="427" spans="1:12">
      <c r="A427" s="71">
        <v>43349</v>
      </c>
      <c r="B427" t="s">
        <v>22</v>
      </c>
      <c r="C427">
        <v>47</v>
      </c>
      <c r="D427">
        <v>0.4563</v>
      </c>
      <c r="E427">
        <v>72</v>
      </c>
      <c r="F427">
        <v>0.5</v>
      </c>
      <c r="G427">
        <v>0.99</v>
      </c>
      <c r="H427">
        <v>9</v>
      </c>
      <c r="I427">
        <v>0.1915</v>
      </c>
      <c r="J427">
        <v>110.61</v>
      </c>
      <c r="K427" t="s">
        <v>48</v>
      </c>
      <c r="L427">
        <v>0.191489361702128</v>
      </c>
    </row>
    <row r="428" spans="1:12">
      <c r="A428" s="71">
        <v>43349</v>
      </c>
      <c r="B428" t="s">
        <v>18</v>
      </c>
      <c r="C428">
        <v>21</v>
      </c>
      <c r="D428">
        <v>0.2039</v>
      </c>
      <c r="E428">
        <v>26</v>
      </c>
      <c r="F428">
        <v>0.1806</v>
      </c>
      <c r="G428">
        <v>1</v>
      </c>
      <c r="H428">
        <v>2</v>
      </c>
      <c r="I428">
        <v>0.0952</v>
      </c>
      <c r="J428">
        <v>46.38</v>
      </c>
      <c r="K428" t="s">
        <v>40</v>
      </c>
      <c r="L428">
        <v>0.0952380952380952</v>
      </c>
    </row>
    <row r="429" spans="1:12">
      <c r="A429" s="71">
        <v>43350</v>
      </c>
      <c r="B429" t="s">
        <v>23</v>
      </c>
      <c r="C429">
        <v>3</v>
      </c>
      <c r="D429">
        <v>0.024</v>
      </c>
      <c r="E429">
        <v>7</v>
      </c>
      <c r="F429">
        <v>0.0414</v>
      </c>
      <c r="G429">
        <v>1</v>
      </c>
      <c r="H429">
        <v>0</v>
      </c>
      <c r="I429">
        <v>0</v>
      </c>
      <c r="J429">
        <v>0</v>
      </c>
      <c r="K429" t="s">
        <v>38</v>
      </c>
      <c r="L429">
        <v>0</v>
      </c>
    </row>
    <row r="430" spans="1:12">
      <c r="A430" s="71">
        <v>43350</v>
      </c>
      <c r="B430" t="s">
        <v>19</v>
      </c>
      <c r="C430">
        <v>24</v>
      </c>
      <c r="D430">
        <v>0.192</v>
      </c>
      <c r="E430">
        <v>41</v>
      </c>
      <c r="F430">
        <v>0.2426</v>
      </c>
      <c r="G430">
        <v>1</v>
      </c>
      <c r="H430">
        <v>3</v>
      </c>
      <c r="I430">
        <v>0.125</v>
      </c>
      <c r="J430">
        <v>47.97</v>
      </c>
      <c r="K430" t="s">
        <v>41</v>
      </c>
      <c r="L430">
        <v>0.125</v>
      </c>
    </row>
    <row r="431" spans="1:12">
      <c r="A431" s="71">
        <v>43350</v>
      </c>
      <c r="B431" t="s">
        <v>18</v>
      </c>
      <c r="C431">
        <v>21</v>
      </c>
      <c r="D431">
        <v>0.168</v>
      </c>
      <c r="E431">
        <v>26</v>
      </c>
      <c r="F431">
        <v>0.1538</v>
      </c>
      <c r="G431">
        <v>1</v>
      </c>
      <c r="H431">
        <v>3</v>
      </c>
      <c r="I431">
        <v>0.1429</v>
      </c>
      <c r="J431">
        <v>69.57</v>
      </c>
      <c r="K431" t="s">
        <v>41</v>
      </c>
      <c r="L431">
        <v>0.142857142857143</v>
      </c>
    </row>
    <row r="432" spans="1:12">
      <c r="A432" s="71">
        <v>43350</v>
      </c>
      <c r="B432" t="s">
        <v>22</v>
      </c>
      <c r="C432">
        <v>46</v>
      </c>
      <c r="D432">
        <v>0.368</v>
      </c>
      <c r="E432">
        <v>58</v>
      </c>
      <c r="F432">
        <v>0.3432</v>
      </c>
      <c r="G432">
        <v>1</v>
      </c>
      <c r="H432">
        <v>11</v>
      </c>
      <c r="I432">
        <v>0.2391</v>
      </c>
      <c r="J432">
        <v>135.19</v>
      </c>
      <c r="K432" t="s">
        <v>43</v>
      </c>
      <c r="L432">
        <v>0.108695652173913</v>
      </c>
    </row>
    <row r="433" spans="1:12">
      <c r="A433" s="71">
        <v>43350</v>
      </c>
      <c r="B433" t="s">
        <v>24</v>
      </c>
      <c r="C433">
        <v>20</v>
      </c>
      <c r="D433">
        <v>0.16</v>
      </c>
      <c r="E433">
        <v>24</v>
      </c>
      <c r="F433">
        <v>0.142</v>
      </c>
      <c r="G433">
        <v>1</v>
      </c>
      <c r="H433">
        <v>1</v>
      </c>
      <c r="I433">
        <v>0.05</v>
      </c>
      <c r="J433">
        <v>12.99</v>
      </c>
      <c r="K433" t="s">
        <v>39</v>
      </c>
      <c r="L433">
        <v>0.05</v>
      </c>
    </row>
    <row r="434" spans="1:12">
      <c r="A434" s="71">
        <v>43350</v>
      </c>
      <c r="B434" t="s">
        <v>20</v>
      </c>
      <c r="C434">
        <v>11</v>
      </c>
      <c r="D434">
        <v>0.088</v>
      </c>
      <c r="E434">
        <v>13</v>
      </c>
      <c r="F434">
        <v>0.0769</v>
      </c>
      <c r="G434">
        <v>1</v>
      </c>
      <c r="H434">
        <v>1</v>
      </c>
      <c r="I434">
        <v>0.0909</v>
      </c>
      <c r="J434">
        <v>14.99</v>
      </c>
      <c r="K434" t="s">
        <v>39</v>
      </c>
      <c r="L434">
        <v>0.0909090909090909</v>
      </c>
    </row>
    <row r="435" spans="1:12">
      <c r="A435" s="71">
        <v>43351</v>
      </c>
      <c r="B435" t="s">
        <v>23</v>
      </c>
      <c r="C435">
        <v>2</v>
      </c>
      <c r="D435">
        <v>0.0147</v>
      </c>
      <c r="E435">
        <v>2</v>
      </c>
      <c r="F435">
        <v>0.0106</v>
      </c>
      <c r="G435">
        <v>1</v>
      </c>
      <c r="H435">
        <v>0</v>
      </c>
      <c r="I435">
        <v>0</v>
      </c>
      <c r="J435">
        <v>0</v>
      </c>
      <c r="K435" t="s">
        <v>38</v>
      </c>
      <c r="L435">
        <v>0</v>
      </c>
    </row>
    <row r="436" spans="1:12">
      <c r="A436" s="71">
        <v>43351</v>
      </c>
      <c r="B436" t="s">
        <v>20</v>
      </c>
      <c r="C436">
        <v>5</v>
      </c>
      <c r="D436">
        <v>0.0368</v>
      </c>
      <c r="E436">
        <v>5</v>
      </c>
      <c r="F436">
        <v>0.0266</v>
      </c>
      <c r="G436">
        <v>1</v>
      </c>
      <c r="H436">
        <v>0</v>
      </c>
      <c r="I436">
        <v>0</v>
      </c>
      <c r="J436">
        <v>0</v>
      </c>
      <c r="K436" t="s">
        <v>38</v>
      </c>
      <c r="L436">
        <v>0</v>
      </c>
    </row>
    <row r="437" spans="1:12">
      <c r="A437" s="71">
        <v>43351</v>
      </c>
      <c r="B437" t="s">
        <v>21</v>
      </c>
      <c r="C437">
        <v>3</v>
      </c>
      <c r="D437">
        <v>0.0221</v>
      </c>
      <c r="E437">
        <v>3</v>
      </c>
      <c r="F437">
        <v>0.016</v>
      </c>
      <c r="G437">
        <v>1</v>
      </c>
      <c r="H437">
        <v>0</v>
      </c>
      <c r="I437">
        <v>0</v>
      </c>
      <c r="J437">
        <v>0</v>
      </c>
      <c r="K437" t="s">
        <v>38</v>
      </c>
      <c r="L437">
        <v>0</v>
      </c>
    </row>
    <row r="438" spans="1:12">
      <c r="A438" s="71">
        <v>43351</v>
      </c>
      <c r="B438" t="s">
        <v>22</v>
      </c>
      <c r="C438">
        <v>65</v>
      </c>
      <c r="D438">
        <v>0.4779</v>
      </c>
      <c r="E438">
        <v>96</v>
      </c>
      <c r="F438">
        <v>0.5106</v>
      </c>
      <c r="G438">
        <v>0.99</v>
      </c>
      <c r="H438">
        <v>14</v>
      </c>
      <c r="I438">
        <v>0.2154</v>
      </c>
      <c r="J438">
        <v>172.06</v>
      </c>
      <c r="K438" t="s">
        <v>55</v>
      </c>
      <c r="L438">
        <v>0.215384615384615</v>
      </c>
    </row>
    <row r="439" spans="1:12">
      <c r="A439" s="71">
        <v>43351</v>
      </c>
      <c r="B439" t="s">
        <v>18</v>
      </c>
      <c r="C439">
        <v>23</v>
      </c>
      <c r="D439">
        <v>0.1691</v>
      </c>
      <c r="E439">
        <v>30</v>
      </c>
      <c r="F439">
        <v>0.1596</v>
      </c>
      <c r="G439">
        <v>1</v>
      </c>
      <c r="H439">
        <v>5</v>
      </c>
      <c r="I439">
        <v>0.2174</v>
      </c>
      <c r="J439">
        <v>115.95</v>
      </c>
      <c r="K439" t="s">
        <v>43</v>
      </c>
      <c r="L439">
        <v>0.217391304347826</v>
      </c>
    </row>
    <row r="440" spans="1:12">
      <c r="A440" s="71">
        <v>43351</v>
      </c>
      <c r="B440" t="s">
        <v>24</v>
      </c>
      <c r="C440">
        <v>17</v>
      </c>
      <c r="D440">
        <v>0.125</v>
      </c>
      <c r="E440">
        <v>21</v>
      </c>
      <c r="F440">
        <v>0.1117</v>
      </c>
      <c r="G440">
        <v>1</v>
      </c>
      <c r="H440">
        <v>2</v>
      </c>
      <c r="I440">
        <v>0.1176</v>
      </c>
      <c r="J440">
        <v>25.98</v>
      </c>
      <c r="K440" t="s">
        <v>40</v>
      </c>
      <c r="L440">
        <v>0.117647058823529</v>
      </c>
    </row>
    <row r="441" spans="1:12">
      <c r="A441" s="71">
        <v>43351</v>
      </c>
      <c r="B441" t="s">
        <v>19</v>
      </c>
      <c r="C441">
        <v>21</v>
      </c>
      <c r="D441">
        <v>0.1544</v>
      </c>
      <c r="E441">
        <v>31</v>
      </c>
      <c r="F441">
        <v>0.1649</v>
      </c>
      <c r="G441">
        <v>1</v>
      </c>
      <c r="H441">
        <v>1</v>
      </c>
      <c r="I441">
        <v>0.0476</v>
      </c>
      <c r="J441">
        <v>15.99</v>
      </c>
      <c r="K441" t="s">
        <v>39</v>
      </c>
      <c r="L441">
        <v>0.0476190476190476</v>
      </c>
    </row>
    <row r="442" spans="1:12">
      <c r="A442" s="71">
        <v>43352</v>
      </c>
      <c r="B442" t="s">
        <v>18</v>
      </c>
      <c r="C442">
        <v>18</v>
      </c>
      <c r="D442">
        <v>0.1488</v>
      </c>
      <c r="E442">
        <v>22</v>
      </c>
      <c r="F442">
        <v>0.1257</v>
      </c>
      <c r="G442">
        <v>1</v>
      </c>
      <c r="H442">
        <v>0</v>
      </c>
      <c r="I442">
        <v>0</v>
      </c>
      <c r="J442">
        <v>0</v>
      </c>
      <c r="K442" t="s">
        <v>38</v>
      </c>
      <c r="L442">
        <v>0</v>
      </c>
    </row>
    <row r="443" spans="1:12">
      <c r="A443" s="71">
        <v>43352</v>
      </c>
      <c r="B443" t="s">
        <v>21</v>
      </c>
      <c r="C443">
        <v>5</v>
      </c>
      <c r="D443">
        <v>0.0413</v>
      </c>
      <c r="E443">
        <v>6</v>
      </c>
      <c r="F443">
        <v>0.0343</v>
      </c>
      <c r="G443">
        <v>1</v>
      </c>
      <c r="H443">
        <v>0</v>
      </c>
      <c r="I443">
        <v>0</v>
      </c>
      <c r="J443">
        <v>0</v>
      </c>
      <c r="K443" t="s">
        <v>38</v>
      </c>
      <c r="L443">
        <v>0</v>
      </c>
    </row>
    <row r="444" spans="1:12">
      <c r="A444" s="71">
        <v>43352</v>
      </c>
      <c r="B444" t="s">
        <v>20</v>
      </c>
      <c r="C444">
        <v>3</v>
      </c>
      <c r="D444">
        <v>0.0248</v>
      </c>
      <c r="E444">
        <v>4</v>
      </c>
      <c r="F444">
        <v>0.0229</v>
      </c>
      <c r="G444">
        <v>1</v>
      </c>
      <c r="H444">
        <v>0</v>
      </c>
      <c r="I444">
        <v>0</v>
      </c>
      <c r="J444">
        <v>0</v>
      </c>
      <c r="K444" t="s">
        <v>38</v>
      </c>
      <c r="L444">
        <v>0</v>
      </c>
    </row>
    <row r="445" spans="1:12">
      <c r="A445" s="71">
        <v>43352</v>
      </c>
      <c r="B445" t="s">
        <v>22</v>
      </c>
      <c r="C445">
        <v>47</v>
      </c>
      <c r="D445">
        <v>0.3884</v>
      </c>
      <c r="E445">
        <v>79</v>
      </c>
      <c r="F445">
        <v>0.4514</v>
      </c>
      <c r="G445">
        <v>0.96</v>
      </c>
      <c r="H445">
        <v>7</v>
      </c>
      <c r="I445">
        <v>0.1489</v>
      </c>
      <c r="J445">
        <v>86.03</v>
      </c>
      <c r="K445" t="s">
        <v>45</v>
      </c>
      <c r="L445">
        <v>0.127659574468085</v>
      </c>
    </row>
    <row r="446" spans="1:12">
      <c r="A446" s="71">
        <v>43352</v>
      </c>
      <c r="B446" t="s">
        <v>24</v>
      </c>
      <c r="C446">
        <v>21</v>
      </c>
      <c r="D446">
        <v>0.1736</v>
      </c>
      <c r="E446">
        <v>26</v>
      </c>
      <c r="F446">
        <v>0.1486</v>
      </c>
      <c r="G446">
        <v>0.92</v>
      </c>
      <c r="H446">
        <v>1</v>
      </c>
      <c r="I446">
        <v>0.0476</v>
      </c>
      <c r="J446">
        <v>12.99</v>
      </c>
      <c r="K446" t="s">
        <v>39</v>
      </c>
      <c r="L446">
        <v>0.0476190476190476</v>
      </c>
    </row>
    <row r="447" spans="1:12">
      <c r="A447" s="71">
        <v>43352</v>
      </c>
      <c r="B447" t="s">
        <v>23</v>
      </c>
      <c r="C447">
        <v>12</v>
      </c>
      <c r="D447">
        <v>0.0992</v>
      </c>
      <c r="E447">
        <v>15</v>
      </c>
      <c r="F447">
        <v>0.0857</v>
      </c>
      <c r="G447">
        <v>1</v>
      </c>
      <c r="H447">
        <v>3</v>
      </c>
      <c r="I447">
        <v>0.25</v>
      </c>
      <c r="J447">
        <v>38.97</v>
      </c>
      <c r="K447" t="s">
        <v>41</v>
      </c>
      <c r="L447">
        <v>0.25</v>
      </c>
    </row>
    <row r="448" spans="1:12">
      <c r="A448" s="71">
        <v>43352</v>
      </c>
      <c r="B448" t="s">
        <v>19</v>
      </c>
      <c r="C448">
        <v>15</v>
      </c>
      <c r="D448">
        <v>0.124</v>
      </c>
      <c r="E448">
        <v>23</v>
      </c>
      <c r="F448">
        <v>0.1314</v>
      </c>
      <c r="G448">
        <v>1</v>
      </c>
      <c r="H448">
        <v>1</v>
      </c>
      <c r="I448">
        <v>0.0667</v>
      </c>
      <c r="J448">
        <v>15.99</v>
      </c>
      <c r="K448" t="s">
        <v>39</v>
      </c>
      <c r="L448">
        <v>0.0666666666666667</v>
      </c>
    </row>
    <row r="449" spans="1:12">
      <c r="A449" s="71">
        <v>43353</v>
      </c>
      <c r="B449" t="s">
        <v>21</v>
      </c>
      <c r="C449">
        <v>2</v>
      </c>
      <c r="D449">
        <v>0.0146</v>
      </c>
      <c r="E449">
        <v>2</v>
      </c>
      <c r="F449">
        <v>0.0103</v>
      </c>
      <c r="G449">
        <v>1</v>
      </c>
      <c r="H449">
        <v>0</v>
      </c>
      <c r="I449">
        <v>0</v>
      </c>
      <c r="J449">
        <v>0</v>
      </c>
      <c r="K449" t="s">
        <v>38</v>
      </c>
      <c r="L449">
        <v>0</v>
      </c>
    </row>
    <row r="450" spans="1:12">
      <c r="A450" s="71">
        <v>43353</v>
      </c>
      <c r="B450" t="s">
        <v>23</v>
      </c>
      <c r="C450">
        <v>15</v>
      </c>
      <c r="D450">
        <v>0.1095</v>
      </c>
      <c r="E450">
        <v>16</v>
      </c>
      <c r="F450">
        <v>0.0825</v>
      </c>
      <c r="G450">
        <v>1</v>
      </c>
      <c r="H450">
        <v>0</v>
      </c>
      <c r="I450">
        <v>0</v>
      </c>
      <c r="J450">
        <v>0</v>
      </c>
      <c r="K450" t="s">
        <v>38</v>
      </c>
      <c r="L450">
        <v>0</v>
      </c>
    </row>
    <row r="451" spans="1:12">
      <c r="A451" s="71">
        <v>43353</v>
      </c>
      <c r="B451" t="s">
        <v>20</v>
      </c>
      <c r="C451">
        <v>4</v>
      </c>
      <c r="D451">
        <v>0.0292</v>
      </c>
      <c r="E451">
        <v>4</v>
      </c>
      <c r="F451">
        <v>0.0206</v>
      </c>
      <c r="G451">
        <v>1</v>
      </c>
      <c r="H451">
        <v>0</v>
      </c>
      <c r="I451">
        <v>0</v>
      </c>
      <c r="J451">
        <v>0</v>
      </c>
      <c r="K451" t="s">
        <v>38</v>
      </c>
      <c r="L451">
        <v>0</v>
      </c>
    </row>
    <row r="452" spans="1:12">
      <c r="A452" s="71">
        <v>43353</v>
      </c>
      <c r="B452" t="s">
        <v>22</v>
      </c>
      <c r="C452">
        <v>50</v>
      </c>
      <c r="D452">
        <v>0.365</v>
      </c>
      <c r="E452">
        <v>76</v>
      </c>
      <c r="F452">
        <v>0.3918</v>
      </c>
      <c r="G452">
        <v>0.97</v>
      </c>
      <c r="H452">
        <v>39</v>
      </c>
      <c r="I452">
        <v>0.78</v>
      </c>
      <c r="J452">
        <v>479.31</v>
      </c>
      <c r="K452" t="s">
        <v>50</v>
      </c>
      <c r="L452">
        <v>0.3</v>
      </c>
    </row>
    <row r="453" spans="1:12">
      <c r="A453" s="71">
        <v>43353</v>
      </c>
      <c r="B453" t="s">
        <v>19</v>
      </c>
      <c r="C453">
        <v>13</v>
      </c>
      <c r="D453">
        <v>0.0949</v>
      </c>
      <c r="E453">
        <v>23</v>
      </c>
      <c r="F453">
        <v>0.1186</v>
      </c>
      <c r="G453">
        <v>1</v>
      </c>
      <c r="H453">
        <v>4</v>
      </c>
      <c r="I453">
        <v>0.3077</v>
      </c>
      <c r="J453">
        <v>63.96</v>
      </c>
      <c r="K453" t="s">
        <v>42</v>
      </c>
      <c r="L453">
        <v>0.307692307692308</v>
      </c>
    </row>
    <row r="454" spans="1:12">
      <c r="A454" s="71">
        <v>43353</v>
      </c>
      <c r="B454" t="s">
        <v>18</v>
      </c>
      <c r="C454">
        <v>33</v>
      </c>
      <c r="D454">
        <v>0.2409</v>
      </c>
      <c r="E454">
        <v>45</v>
      </c>
      <c r="F454">
        <v>0.232</v>
      </c>
      <c r="G454">
        <v>1</v>
      </c>
      <c r="H454">
        <v>2</v>
      </c>
      <c r="I454">
        <v>0.0606</v>
      </c>
      <c r="J454">
        <v>46.38</v>
      </c>
      <c r="K454" t="s">
        <v>40</v>
      </c>
      <c r="L454">
        <v>0.0606060606060606</v>
      </c>
    </row>
    <row r="455" spans="1:12">
      <c r="A455" s="71">
        <v>43353</v>
      </c>
      <c r="B455" t="s">
        <v>24</v>
      </c>
      <c r="C455">
        <v>20</v>
      </c>
      <c r="D455">
        <v>0.146</v>
      </c>
      <c r="E455">
        <v>28</v>
      </c>
      <c r="F455">
        <v>0.1443</v>
      </c>
      <c r="G455">
        <v>1</v>
      </c>
      <c r="H455">
        <v>2</v>
      </c>
      <c r="I455">
        <v>0.1</v>
      </c>
      <c r="J455">
        <v>25.98</v>
      </c>
      <c r="K455" t="s">
        <v>40</v>
      </c>
      <c r="L455">
        <v>0.1</v>
      </c>
    </row>
    <row r="456" spans="1:12">
      <c r="A456" s="71">
        <v>43354</v>
      </c>
      <c r="B456" t="s">
        <v>21</v>
      </c>
      <c r="C456">
        <v>1</v>
      </c>
      <c r="D456">
        <v>0.0085</v>
      </c>
      <c r="E456">
        <v>1</v>
      </c>
      <c r="F456">
        <v>0.0061</v>
      </c>
      <c r="G456">
        <v>1</v>
      </c>
      <c r="H456">
        <v>0</v>
      </c>
      <c r="I456">
        <v>0</v>
      </c>
      <c r="J456">
        <v>0</v>
      </c>
      <c r="K456" t="s">
        <v>38</v>
      </c>
      <c r="L456">
        <v>0</v>
      </c>
    </row>
    <row r="457" spans="1:12">
      <c r="A457" s="71">
        <v>43354</v>
      </c>
      <c r="B457" t="s">
        <v>20</v>
      </c>
      <c r="C457">
        <v>2</v>
      </c>
      <c r="D457">
        <v>0.0169</v>
      </c>
      <c r="E457">
        <v>6</v>
      </c>
      <c r="F457">
        <v>0.0368</v>
      </c>
      <c r="G457">
        <v>1</v>
      </c>
      <c r="H457">
        <v>0</v>
      </c>
      <c r="I457">
        <v>0</v>
      </c>
      <c r="J457">
        <v>0</v>
      </c>
      <c r="K457" t="s">
        <v>38</v>
      </c>
      <c r="L457">
        <v>0</v>
      </c>
    </row>
    <row r="458" spans="1:12">
      <c r="A458" s="71">
        <v>43354</v>
      </c>
      <c r="B458" t="s">
        <v>19</v>
      </c>
      <c r="C458">
        <v>18</v>
      </c>
      <c r="D458">
        <v>0.1525</v>
      </c>
      <c r="E458">
        <v>22</v>
      </c>
      <c r="F458">
        <v>0.135</v>
      </c>
      <c r="G458">
        <v>1</v>
      </c>
      <c r="H458">
        <v>0</v>
      </c>
      <c r="I458">
        <v>0</v>
      </c>
      <c r="J458">
        <v>0</v>
      </c>
      <c r="K458" t="s">
        <v>38</v>
      </c>
      <c r="L458">
        <v>0</v>
      </c>
    </row>
    <row r="459" spans="1:12">
      <c r="A459" s="71">
        <v>43354</v>
      </c>
      <c r="B459" t="s">
        <v>24</v>
      </c>
      <c r="C459">
        <v>13</v>
      </c>
      <c r="D459">
        <v>0.1102</v>
      </c>
      <c r="E459">
        <v>19</v>
      </c>
      <c r="F459">
        <v>0.1166</v>
      </c>
      <c r="G459">
        <v>1</v>
      </c>
      <c r="H459">
        <v>0</v>
      </c>
      <c r="I459">
        <v>0</v>
      </c>
      <c r="J459">
        <v>0</v>
      </c>
      <c r="K459" t="s">
        <v>38</v>
      </c>
      <c r="L459">
        <v>0</v>
      </c>
    </row>
    <row r="460" spans="1:12">
      <c r="A460" s="71">
        <v>43354</v>
      </c>
      <c r="B460" t="s">
        <v>23</v>
      </c>
      <c r="C460">
        <v>12</v>
      </c>
      <c r="D460">
        <v>0.1017</v>
      </c>
      <c r="E460">
        <v>12</v>
      </c>
      <c r="F460">
        <v>0.0736</v>
      </c>
      <c r="G460">
        <v>1</v>
      </c>
      <c r="H460">
        <v>0</v>
      </c>
      <c r="I460">
        <v>0</v>
      </c>
      <c r="J460">
        <v>0</v>
      </c>
      <c r="K460" t="s">
        <v>38</v>
      </c>
      <c r="L460">
        <v>0</v>
      </c>
    </row>
    <row r="461" spans="1:12">
      <c r="A461" s="71">
        <v>43354</v>
      </c>
      <c r="B461" t="s">
        <v>22</v>
      </c>
      <c r="C461">
        <v>55</v>
      </c>
      <c r="D461">
        <v>0.4661</v>
      </c>
      <c r="E461">
        <v>80</v>
      </c>
      <c r="F461">
        <v>0.4908</v>
      </c>
      <c r="G461">
        <v>0.99</v>
      </c>
      <c r="H461">
        <v>27</v>
      </c>
      <c r="I461">
        <v>0.4909</v>
      </c>
      <c r="J461">
        <v>331.83</v>
      </c>
      <c r="K461" t="s">
        <v>44</v>
      </c>
      <c r="L461">
        <v>0.145454545454545</v>
      </c>
    </row>
    <row r="462" spans="1:12">
      <c r="A462" s="71">
        <v>43354</v>
      </c>
      <c r="B462" t="s">
        <v>18</v>
      </c>
      <c r="C462">
        <v>17</v>
      </c>
      <c r="D462">
        <v>0.1441</v>
      </c>
      <c r="E462">
        <v>23</v>
      </c>
      <c r="F462">
        <v>0.1411</v>
      </c>
      <c r="G462">
        <v>1</v>
      </c>
      <c r="H462">
        <v>2</v>
      </c>
      <c r="I462">
        <v>0.1176</v>
      </c>
      <c r="J462">
        <v>46.38</v>
      </c>
      <c r="K462" t="s">
        <v>40</v>
      </c>
      <c r="L462">
        <v>0.117647058823529</v>
      </c>
    </row>
    <row r="463" spans="1:12">
      <c r="A463" s="71">
        <v>43355</v>
      </c>
      <c r="B463" t="s">
        <v>21</v>
      </c>
      <c r="C463">
        <v>1</v>
      </c>
      <c r="D463">
        <v>0.0118</v>
      </c>
      <c r="E463">
        <v>2</v>
      </c>
      <c r="F463">
        <v>0.0159</v>
      </c>
      <c r="G463">
        <v>1</v>
      </c>
      <c r="H463">
        <v>0</v>
      </c>
      <c r="I463">
        <v>0</v>
      </c>
      <c r="J463">
        <v>0</v>
      </c>
      <c r="K463" t="s">
        <v>38</v>
      </c>
      <c r="L463">
        <v>0</v>
      </c>
    </row>
    <row r="464" spans="1:12">
      <c r="A464" s="71">
        <v>43355</v>
      </c>
      <c r="B464" t="s">
        <v>18</v>
      </c>
      <c r="C464">
        <v>16</v>
      </c>
      <c r="D464">
        <v>0.1882</v>
      </c>
      <c r="E464">
        <v>19</v>
      </c>
      <c r="F464">
        <v>0.1508</v>
      </c>
      <c r="G464">
        <v>1</v>
      </c>
      <c r="H464">
        <v>0</v>
      </c>
      <c r="I464">
        <v>0</v>
      </c>
      <c r="J464">
        <v>0</v>
      </c>
      <c r="K464" t="s">
        <v>38</v>
      </c>
      <c r="L464">
        <v>0</v>
      </c>
    </row>
    <row r="465" spans="1:12">
      <c r="A465" s="71">
        <v>43355</v>
      </c>
      <c r="B465" t="s">
        <v>19</v>
      </c>
      <c r="C465">
        <v>11</v>
      </c>
      <c r="D465">
        <v>0.1294</v>
      </c>
      <c r="E465">
        <v>17</v>
      </c>
      <c r="F465">
        <v>0.1349</v>
      </c>
      <c r="G465">
        <v>1</v>
      </c>
      <c r="H465">
        <v>0</v>
      </c>
      <c r="I465">
        <v>0</v>
      </c>
      <c r="J465">
        <v>0</v>
      </c>
      <c r="K465" t="s">
        <v>38</v>
      </c>
      <c r="L465">
        <v>0</v>
      </c>
    </row>
    <row r="466" spans="1:12">
      <c r="A466" s="71">
        <v>43355</v>
      </c>
      <c r="B466" t="s">
        <v>22</v>
      </c>
      <c r="C466">
        <v>48</v>
      </c>
      <c r="D466">
        <v>0.5647</v>
      </c>
      <c r="E466">
        <v>76</v>
      </c>
      <c r="F466">
        <v>0.6032</v>
      </c>
      <c r="G466">
        <v>1</v>
      </c>
      <c r="H466">
        <v>14</v>
      </c>
      <c r="I466">
        <v>0.2917</v>
      </c>
      <c r="J466">
        <v>172.06</v>
      </c>
      <c r="K466" t="s">
        <v>49</v>
      </c>
      <c r="L466">
        <v>0.25</v>
      </c>
    </row>
    <row r="467" spans="1:12">
      <c r="A467" s="71">
        <v>43355</v>
      </c>
      <c r="B467" t="s">
        <v>24</v>
      </c>
      <c r="C467">
        <v>5</v>
      </c>
      <c r="D467">
        <v>0.0588</v>
      </c>
      <c r="E467">
        <v>6</v>
      </c>
      <c r="F467">
        <v>0.0476</v>
      </c>
      <c r="G467">
        <v>1</v>
      </c>
      <c r="H467">
        <v>1</v>
      </c>
      <c r="I467">
        <v>0.2</v>
      </c>
      <c r="J467">
        <v>12.99</v>
      </c>
      <c r="K467" t="s">
        <v>39</v>
      </c>
      <c r="L467">
        <v>0.2</v>
      </c>
    </row>
    <row r="468" spans="1:12">
      <c r="A468" s="71">
        <v>43355</v>
      </c>
      <c r="B468" t="s">
        <v>20</v>
      </c>
      <c r="C468">
        <v>4</v>
      </c>
      <c r="D468">
        <v>0.0471</v>
      </c>
      <c r="E468">
        <v>6</v>
      </c>
      <c r="F468">
        <v>0.0476</v>
      </c>
      <c r="G468">
        <v>1</v>
      </c>
      <c r="H468">
        <v>1</v>
      </c>
      <c r="I468">
        <v>0.25</v>
      </c>
      <c r="J468">
        <v>14.99</v>
      </c>
      <c r="K468" t="s">
        <v>39</v>
      </c>
      <c r="L468">
        <v>0.25</v>
      </c>
    </row>
    <row r="469" spans="1:12">
      <c r="A469" s="71">
        <v>43356</v>
      </c>
      <c r="B469" t="s">
        <v>21</v>
      </c>
      <c r="C469">
        <v>1</v>
      </c>
      <c r="D469">
        <v>0.0075</v>
      </c>
      <c r="E469">
        <v>1</v>
      </c>
      <c r="F469">
        <v>0.0055</v>
      </c>
      <c r="G469">
        <v>1</v>
      </c>
      <c r="H469">
        <v>0</v>
      </c>
      <c r="I469">
        <v>0</v>
      </c>
      <c r="J469">
        <v>0</v>
      </c>
      <c r="K469" t="s">
        <v>38</v>
      </c>
      <c r="L469">
        <v>0</v>
      </c>
    </row>
    <row r="470" spans="1:12">
      <c r="A470" s="71">
        <v>43356</v>
      </c>
      <c r="B470" t="s">
        <v>24</v>
      </c>
      <c r="C470">
        <v>14</v>
      </c>
      <c r="D470">
        <v>0.1053</v>
      </c>
      <c r="E470">
        <v>16</v>
      </c>
      <c r="F470">
        <v>0.0874</v>
      </c>
      <c r="G470">
        <v>1</v>
      </c>
      <c r="H470">
        <v>0</v>
      </c>
      <c r="I470">
        <v>0</v>
      </c>
      <c r="J470">
        <v>0</v>
      </c>
      <c r="K470" t="s">
        <v>38</v>
      </c>
      <c r="L470">
        <v>0</v>
      </c>
    </row>
    <row r="471" spans="1:12">
      <c r="A471" s="71">
        <v>43356</v>
      </c>
      <c r="B471" t="s">
        <v>20</v>
      </c>
      <c r="C471">
        <v>3</v>
      </c>
      <c r="D471">
        <v>0.0226</v>
      </c>
      <c r="E471">
        <v>3</v>
      </c>
      <c r="F471">
        <v>0.0164</v>
      </c>
      <c r="G471">
        <v>1</v>
      </c>
      <c r="H471">
        <v>0</v>
      </c>
      <c r="I471">
        <v>0</v>
      </c>
      <c r="J471">
        <v>0</v>
      </c>
      <c r="K471" t="s">
        <v>38</v>
      </c>
      <c r="L471">
        <v>0</v>
      </c>
    </row>
    <row r="472" spans="1:12">
      <c r="A472" s="71">
        <v>43356</v>
      </c>
      <c r="B472" t="s">
        <v>19</v>
      </c>
      <c r="C472">
        <v>22</v>
      </c>
      <c r="D472">
        <v>0.1654</v>
      </c>
      <c r="E472">
        <v>29</v>
      </c>
      <c r="F472">
        <v>0.1585</v>
      </c>
      <c r="G472">
        <v>1</v>
      </c>
      <c r="H472">
        <v>3</v>
      </c>
      <c r="I472">
        <v>0.1364</v>
      </c>
      <c r="J472">
        <v>47.97</v>
      </c>
      <c r="K472" t="s">
        <v>41</v>
      </c>
      <c r="L472">
        <v>0.136363636363636</v>
      </c>
    </row>
    <row r="473" spans="1:12">
      <c r="A473" s="71">
        <v>43356</v>
      </c>
      <c r="B473" t="s">
        <v>18</v>
      </c>
      <c r="C473">
        <v>27</v>
      </c>
      <c r="D473">
        <v>0.203</v>
      </c>
      <c r="E473">
        <v>36</v>
      </c>
      <c r="F473">
        <v>0.1967</v>
      </c>
      <c r="G473">
        <v>1</v>
      </c>
      <c r="H473">
        <v>2</v>
      </c>
      <c r="I473">
        <v>0.0741</v>
      </c>
      <c r="J473">
        <v>46.38</v>
      </c>
      <c r="K473" t="s">
        <v>40</v>
      </c>
      <c r="L473">
        <v>0.0740740740740741</v>
      </c>
    </row>
    <row r="474" spans="1:12">
      <c r="A474" s="71">
        <v>43356</v>
      </c>
      <c r="B474" t="s">
        <v>23</v>
      </c>
      <c r="C474">
        <v>5</v>
      </c>
      <c r="D474">
        <v>0.0376</v>
      </c>
      <c r="E474">
        <v>5</v>
      </c>
      <c r="F474">
        <v>0.0273</v>
      </c>
      <c r="G474">
        <v>1</v>
      </c>
      <c r="H474">
        <v>2</v>
      </c>
      <c r="I474">
        <v>0.4</v>
      </c>
      <c r="J474">
        <v>25.98</v>
      </c>
      <c r="K474" t="s">
        <v>39</v>
      </c>
      <c r="L474">
        <v>0.2</v>
      </c>
    </row>
    <row r="475" spans="1:12">
      <c r="A475" s="71">
        <v>43356</v>
      </c>
      <c r="B475" t="s">
        <v>22</v>
      </c>
      <c r="C475">
        <v>61</v>
      </c>
      <c r="D475">
        <v>0.4586</v>
      </c>
      <c r="E475">
        <v>93</v>
      </c>
      <c r="F475">
        <v>0.5082</v>
      </c>
      <c r="G475">
        <v>1</v>
      </c>
      <c r="H475">
        <v>10</v>
      </c>
      <c r="I475">
        <v>0.1639</v>
      </c>
      <c r="J475">
        <v>122.9</v>
      </c>
      <c r="K475" t="s">
        <v>46</v>
      </c>
      <c r="L475">
        <v>0.114754098360656</v>
      </c>
    </row>
    <row r="476" spans="1:12">
      <c r="A476" s="71">
        <v>43357</v>
      </c>
      <c r="B476" t="s">
        <v>21</v>
      </c>
      <c r="C476">
        <v>1</v>
      </c>
      <c r="D476">
        <v>0.0085</v>
      </c>
      <c r="E476">
        <v>1</v>
      </c>
      <c r="F476">
        <v>0.006</v>
      </c>
      <c r="G476">
        <v>1</v>
      </c>
      <c r="H476">
        <v>0</v>
      </c>
      <c r="I476">
        <v>0</v>
      </c>
      <c r="J476">
        <v>0</v>
      </c>
      <c r="K476" t="s">
        <v>38</v>
      </c>
      <c r="L476">
        <v>0</v>
      </c>
    </row>
    <row r="477" spans="1:12">
      <c r="A477" s="71">
        <v>43357</v>
      </c>
      <c r="B477" t="s">
        <v>20</v>
      </c>
      <c r="C477">
        <v>5</v>
      </c>
      <c r="D477">
        <v>0.0427</v>
      </c>
      <c r="E477">
        <v>6</v>
      </c>
      <c r="F477">
        <v>0.0361</v>
      </c>
      <c r="G477">
        <v>1</v>
      </c>
      <c r="H477">
        <v>0</v>
      </c>
      <c r="I477">
        <v>0</v>
      </c>
      <c r="J477">
        <v>0</v>
      </c>
      <c r="K477" t="s">
        <v>38</v>
      </c>
      <c r="L477">
        <v>0</v>
      </c>
    </row>
    <row r="478" spans="1:12">
      <c r="A478" s="71">
        <v>43357</v>
      </c>
      <c r="B478" t="s">
        <v>23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1</v>
      </c>
      <c r="I478">
        <v>0</v>
      </c>
      <c r="J478">
        <v>12.99</v>
      </c>
      <c r="K478" t="s">
        <v>39</v>
      </c>
      <c r="L478">
        <v>0</v>
      </c>
    </row>
    <row r="479" spans="1:12">
      <c r="A479" s="71">
        <v>43357</v>
      </c>
      <c r="B479" t="s">
        <v>24</v>
      </c>
      <c r="C479">
        <v>12</v>
      </c>
      <c r="D479">
        <v>0.1026</v>
      </c>
      <c r="E479">
        <v>12</v>
      </c>
      <c r="F479">
        <v>0.0723</v>
      </c>
      <c r="G479">
        <v>1</v>
      </c>
      <c r="H479">
        <v>2</v>
      </c>
      <c r="I479">
        <v>0.1667</v>
      </c>
      <c r="J479">
        <v>25.98</v>
      </c>
      <c r="K479" t="s">
        <v>40</v>
      </c>
      <c r="L479">
        <v>0.166666666666667</v>
      </c>
    </row>
    <row r="480" spans="1:12">
      <c r="A480" s="71">
        <v>43357</v>
      </c>
      <c r="B480" t="s">
        <v>22</v>
      </c>
      <c r="C480">
        <v>49</v>
      </c>
      <c r="D480">
        <v>0.4188</v>
      </c>
      <c r="E480">
        <v>79</v>
      </c>
      <c r="F480">
        <v>0.4759</v>
      </c>
      <c r="G480">
        <v>1</v>
      </c>
      <c r="H480">
        <v>5</v>
      </c>
      <c r="I480">
        <v>0.102</v>
      </c>
      <c r="J480">
        <v>62.95</v>
      </c>
      <c r="K480" t="s">
        <v>43</v>
      </c>
      <c r="L480">
        <v>0.102040816326531</v>
      </c>
    </row>
    <row r="481" spans="1:12">
      <c r="A481" s="71">
        <v>43357</v>
      </c>
      <c r="B481" t="s">
        <v>18</v>
      </c>
      <c r="C481">
        <v>31</v>
      </c>
      <c r="D481">
        <v>0.265</v>
      </c>
      <c r="E481">
        <v>43</v>
      </c>
      <c r="F481">
        <v>0.259</v>
      </c>
      <c r="G481">
        <v>1</v>
      </c>
      <c r="H481">
        <v>1</v>
      </c>
      <c r="I481">
        <v>0.0323</v>
      </c>
      <c r="J481">
        <v>25.49</v>
      </c>
      <c r="K481" t="s">
        <v>39</v>
      </c>
      <c r="L481">
        <v>0.032258064516129</v>
      </c>
    </row>
    <row r="482" spans="1:12">
      <c r="A482" s="71">
        <v>43357</v>
      </c>
      <c r="B482" t="s">
        <v>19</v>
      </c>
      <c r="C482">
        <v>19</v>
      </c>
      <c r="D482">
        <v>0.1624</v>
      </c>
      <c r="E482">
        <v>25</v>
      </c>
      <c r="F482">
        <v>0.1506</v>
      </c>
      <c r="G482">
        <v>1</v>
      </c>
      <c r="H482">
        <v>1</v>
      </c>
      <c r="I482">
        <v>0.0526</v>
      </c>
      <c r="J482">
        <v>15.99</v>
      </c>
      <c r="K482" t="s">
        <v>39</v>
      </c>
      <c r="L482">
        <v>0.0526315789473684</v>
      </c>
    </row>
    <row r="483" spans="1:12">
      <c r="A483" s="71">
        <v>43358</v>
      </c>
      <c r="B483" t="s">
        <v>21</v>
      </c>
      <c r="C483">
        <v>1</v>
      </c>
      <c r="D483">
        <v>0.0101</v>
      </c>
      <c r="E483">
        <v>1</v>
      </c>
      <c r="F483">
        <v>0.0078</v>
      </c>
      <c r="G483">
        <v>1</v>
      </c>
      <c r="H483">
        <v>0</v>
      </c>
      <c r="I483">
        <v>0</v>
      </c>
      <c r="J483">
        <v>0</v>
      </c>
      <c r="K483" t="s">
        <v>38</v>
      </c>
      <c r="L483">
        <v>0</v>
      </c>
    </row>
    <row r="484" spans="1:12">
      <c r="A484" s="71">
        <v>43358</v>
      </c>
      <c r="B484" t="s">
        <v>18</v>
      </c>
      <c r="C484">
        <v>24</v>
      </c>
      <c r="D484">
        <v>0.2424</v>
      </c>
      <c r="E484">
        <v>34</v>
      </c>
      <c r="F484">
        <v>0.2656</v>
      </c>
      <c r="G484">
        <v>1</v>
      </c>
      <c r="H484">
        <v>0</v>
      </c>
      <c r="I484">
        <v>0</v>
      </c>
      <c r="J484">
        <v>0</v>
      </c>
      <c r="K484" t="s">
        <v>38</v>
      </c>
      <c r="L484">
        <v>0</v>
      </c>
    </row>
    <row r="485" spans="1:12">
      <c r="A485" s="71">
        <v>43358</v>
      </c>
      <c r="B485" t="s">
        <v>19</v>
      </c>
      <c r="C485">
        <v>18</v>
      </c>
      <c r="D485">
        <v>0.1818</v>
      </c>
      <c r="E485">
        <v>26</v>
      </c>
      <c r="F485">
        <v>0.2031</v>
      </c>
      <c r="G485">
        <v>1</v>
      </c>
      <c r="H485">
        <v>0</v>
      </c>
      <c r="I485">
        <v>0</v>
      </c>
      <c r="J485">
        <v>0</v>
      </c>
      <c r="K485" t="s">
        <v>38</v>
      </c>
      <c r="L485">
        <v>0</v>
      </c>
    </row>
    <row r="486" spans="1:12">
      <c r="A486" s="71">
        <v>43358</v>
      </c>
      <c r="B486" t="s">
        <v>23</v>
      </c>
      <c r="C486">
        <v>6</v>
      </c>
      <c r="D486">
        <v>0.0606</v>
      </c>
      <c r="E486">
        <v>7</v>
      </c>
      <c r="F486">
        <v>0.0547</v>
      </c>
      <c r="G486">
        <v>1</v>
      </c>
      <c r="H486">
        <v>0</v>
      </c>
      <c r="I486">
        <v>0</v>
      </c>
      <c r="J486">
        <v>0</v>
      </c>
      <c r="K486" t="s">
        <v>38</v>
      </c>
      <c r="L486">
        <v>0</v>
      </c>
    </row>
    <row r="487" spans="1:12">
      <c r="A487" s="71">
        <v>43358</v>
      </c>
      <c r="B487" t="s">
        <v>22</v>
      </c>
      <c r="C487">
        <v>37</v>
      </c>
      <c r="D487">
        <v>0.3737</v>
      </c>
      <c r="E487">
        <v>44</v>
      </c>
      <c r="F487">
        <v>0.3438</v>
      </c>
      <c r="G487">
        <v>1</v>
      </c>
      <c r="H487">
        <v>6</v>
      </c>
      <c r="I487">
        <v>0.1622</v>
      </c>
      <c r="J487">
        <v>75.54</v>
      </c>
      <c r="K487" t="s">
        <v>45</v>
      </c>
      <c r="L487">
        <v>0.162162162162162</v>
      </c>
    </row>
    <row r="488" spans="1:12">
      <c r="A488" s="71">
        <v>43358</v>
      </c>
      <c r="B488" t="s">
        <v>24</v>
      </c>
      <c r="C488">
        <v>13</v>
      </c>
      <c r="D488">
        <v>0.1313</v>
      </c>
      <c r="E488">
        <v>16</v>
      </c>
      <c r="F488">
        <v>0.125</v>
      </c>
      <c r="G488">
        <v>1</v>
      </c>
      <c r="H488">
        <v>1</v>
      </c>
      <c r="I488">
        <v>0.0769</v>
      </c>
      <c r="J488">
        <v>12.99</v>
      </c>
      <c r="K488" t="s">
        <v>39</v>
      </c>
      <c r="L488">
        <v>0.0769230769230769</v>
      </c>
    </row>
    <row r="489" spans="1:12">
      <c r="A489" s="71">
        <v>43359</v>
      </c>
      <c r="B489" t="s">
        <v>23</v>
      </c>
      <c r="C489">
        <v>2</v>
      </c>
      <c r="D489">
        <v>0.0185</v>
      </c>
      <c r="E489">
        <v>2</v>
      </c>
      <c r="F489">
        <v>0.0132</v>
      </c>
      <c r="G489">
        <v>1</v>
      </c>
      <c r="H489">
        <v>0</v>
      </c>
      <c r="I489">
        <v>0</v>
      </c>
      <c r="J489">
        <v>0</v>
      </c>
      <c r="K489" t="s">
        <v>38</v>
      </c>
      <c r="L489">
        <v>0</v>
      </c>
    </row>
    <row r="490" spans="1:12">
      <c r="A490" s="71">
        <v>43359</v>
      </c>
      <c r="B490" t="s">
        <v>21</v>
      </c>
      <c r="C490">
        <v>2</v>
      </c>
      <c r="D490">
        <v>0.0185</v>
      </c>
      <c r="E490">
        <v>4</v>
      </c>
      <c r="F490">
        <v>0.0263</v>
      </c>
      <c r="G490">
        <v>1</v>
      </c>
      <c r="H490">
        <v>0</v>
      </c>
      <c r="I490">
        <v>0</v>
      </c>
      <c r="J490">
        <v>0</v>
      </c>
      <c r="K490" t="s">
        <v>38</v>
      </c>
      <c r="L490">
        <v>0</v>
      </c>
    </row>
    <row r="491" spans="1:12">
      <c r="A491" s="71">
        <v>43359</v>
      </c>
      <c r="B491" t="s">
        <v>20</v>
      </c>
      <c r="C491">
        <v>3</v>
      </c>
      <c r="D491">
        <v>0.0278</v>
      </c>
      <c r="E491">
        <v>4</v>
      </c>
      <c r="F491">
        <v>0.0263</v>
      </c>
      <c r="G491">
        <v>1</v>
      </c>
      <c r="H491">
        <v>0</v>
      </c>
      <c r="I491">
        <v>0</v>
      </c>
      <c r="J491">
        <v>0</v>
      </c>
      <c r="K491" t="s">
        <v>38</v>
      </c>
      <c r="L491">
        <v>0</v>
      </c>
    </row>
    <row r="492" spans="1:12">
      <c r="A492" s="71">
        <v>43359</v>
      </c>
      <c r="B492" t="s">
        <v>22</v>
      </c>
      <c r="C492">
        <v>56</v>
      </c>
      <c r="D492">
        <v>0.5185</v>
      </c>
      <c r="E492">
        <v>76</v>
      </c>
      <c r="F492">
        <v>0.5</v>
      </c>
      <c r="G492">
        <v>0.97</v>
      </c>
      <c r="H492">
        <v>5</v>
      </c>
      <c r="I492">
        <v>0.0893</v>
      </c>
      <c r="J492">
        <v>62.95</v>
      </c>
      <c r="K492" t="s">
        <v>42</v>
      </c>
      <c r="L492">
        <v>0.0714285714285714</v>
      </c>
    </row>
    <row r="493" spans="1:12">
      <c r="A493" s="71">
        <v>43359</v>
      </c>
      <c r="B493" t="s">
        <v>19</v>
      </c>
      <c r="C493">
        <v>16</v>
      </c>
      <c r="D493">
        <v>0.1481</v>
      </c>
      <c r="E493">
        <v>25</v>
      </c>
      <c r="F493">
        <v>0.1645</v>
      </c>
      <c r="G493">
        <v>1</v>
      </c>
      <c r="H493">
        <v>7</v>
      </c>
      <c r="I493">
        <v>0.4375</v>
      </c>
      <c r="J493">
        <v>111.93</v>
      </c>
      <c r="K493" t="s">
        <v>42</v>
      </c>
      <c r="L493">
        <v>0.25</v>
      </c>
    </row>
    <row r="494" spans="1:12">
      <c r="A494" s="71">
        <v>43359</v>
      </c>
      <c r="B494" t="s">
        <v>18</v>
      </c>
      <c r="C494">
        <v>19</v>
      </c>
      <c r="D494">
        <v>0.1759</v>
      </c>
      <c r="E494">
        <v>27</v>
      </c>
      <c r="F494">
        <v>0.1776</v>
      </c>
      <c r="G494">
        <v>1</v>
      </c>
      <c r="H494">
        <v>3</v>
      </c>
      <c r="I494">
        <v>0.1579</v>
      </c>
      <c r="J494">
        <v>76.47</v>
      </c>
      <c r="K494" t="s">
        <v>40</v>
      </c>
      <c r="L494">
        <v>0.105263157894737</v>
      </c>
    </row>
    <row r="495" spans="1:12">
      <c r="A495" s="71">
        <v>43359</v>
      </c>
      <c r="B495" t="s">
        <v>24</v>
      </c>
      <c r="C495">
        <v>10</v>
      </c>
      <c r="D495">
        <v>0.0926</v>
      </c>
      <c r="E495">
        <v>14</v>
      </c>
      <c r="F495">
        <v>0.0921</v>
      </c>
      <c r="G495">
        <v>1</v>
      </c>
      <c r="H495">
        <v>1</v>
      </c>
      <c r="I495">
        <v>0.1</v>
      </c>
      <c r="J495">
        <v>12.99</v>
      </c>
      <c r="K495" t="s">
        <v>39</v>
      </c>
      <c r="L495">
        <v>0.1</v>
      </c>
    </row>
    <row r="496" spans="1:12">
      <c r="A496" s="71">
        <v>43360</v>
      </c>
      <c r="B496" t="s">
        <v>20</v>
      </c>
      <c r="C496">
        <v>10</v>
      </c>
      <c r="D496">
        <v>0.0592</v>
      </c>
      <c r="E496">
        <v>13</v>
      </c>
      <c r="F496">
        <v>0.0546</v>
      </c>
      <c r="G496">
        <v>1</v>
      </c>
      <c r="H496">
        <v>0</v>
      </c>
      <c r="I496">
        <v>0</v>
      </c>
      <c r="J496">
        <v>0</v>
      </c>
      <c r="K496" t="s">
        <v>38</v>
      </c>
      <c r="L496">
        <v>0</v>
      </c>
    </row>
    <row r="497" spans="1:12">
      <c r="A497" s="71">
        <v>43360</v>
      </c>
      <c r="B497" t="s">
        <v>21</v>
      </c>
      <c r="C497">
        <v>7</v>
      </c>
      <c r="D497">
        <v>0.0414</v>
      </c>
      <c r="E497">
        <v>9</v>
      </c>
      <c r="F497">
        <v>0.0378</v>
      </c>
      <c r="G497">
        <v>1</v>
      </c>
      <c r="H497">
        <v>0</v>
      </c>
      <c r="I497">
        <v>0</v>
      </c>
      <c r="J497">
        <v>0</v>
      </c>
      <c r="K497" t="s">
        <v>38</v>
      </c>
      <c r="L497">
        <v>0</v>
      </c>
    </row>
    <row r="498" spans="1:12">
      <c r="A498" s="71">
        <v>43360</v>
      </c>
      <c r="B498" t="s">
        <v>23</v>
      </c>
      <c r="C498">
        <v>4</v>
      </c>
      <c r="D498">
        <v>0.0237</v>
      </c>
      <c r="E498">
        <v>4</v>
      </c>
      <c r="F498">
        <v>0.0168</v>
      </c>
      <c r="G498">
        <v>1</v>
      </c>
      <c r="H498">
        <v>0</v>
      </c>
      <c r="I498">
        <v>0</v>
      </c>
      <c r="J498">
        <v>0</v>
      </c>
      <c r="K498" t="s">
        <v>38</v>
      </c>
      <c r="L498">
        <v>0</v>
      </c>
    </row>
    <row r="499" spans="1:12">
      <c r="A499" s="71">
        <v>43360</v>
      </c>
      <c r="B499" t="s">
        <v>22</v>
      </c>
      <c r="C499">
        <v>74</v>
      </c>
      <c r="D499">
        <v>0.4379</v>
      </c>
      <c r="E499">
        <v>106</v>
      </c>
      <c r="F499">
        <v>0.4454</v>
      </c>
      <c r="G499">
        <v>0.99</v>
      </c>
      <c r="H499">
        <v>10</v>
      </c>
      <c r="I499">
        <v>0.1351</v>
      </c>
      <c r="J499">
        <v>126.8</v>
      </c>
      <c r="K499" t="s">
        <v>48</v>
      </c>
      <c r="L499">
        <v>0.121621621621622</v>
      </c>
    </row>
    <row r="500" spans="1:12">
      <c r="A500" s="71">
        <v>43360</v>
      </c>
      <c r="B500" t="s">
        <v>18</v>
      </c>
      <c r="C500">
        <v>30</v>
      </c>
      <c r="D500">
        <v>0.1775</v>
      </c>
      <c r="E500">
        <v>37</v>
      </c>
      <c r="F500">
        <v>0.1555</v>
      </c>
      <c r="G500">
        <v>1</v>
      </c>
      <c r="H500">
        <v>7</v>
      </c>
      <c r="I500">
        <v>0.2333</v>
      </c>
      <c r="J500">
        <v>178.43</v>
      </c>
      <c r="K500" t="s">
        <v>42</v>
      </c>
      <c r="L500">
        <v>0.133333333333333</v>
      </c>
    </row>
    <row r="501" spans="1:12">
      <c r="A501" s="71">
        <v>43360</v>
      </c>
      <c r="B501" t="s">
        <v>19</v>
      </c>
      <c r="C501">
        <v>27</v>
      </c>
      <c r="D501">
        <v>0.1598</v>
      </c>
      <c r="E501">
        <v>46</v>
      </c>
      <c r="F501">
        <v>0.1933</v>
      </c>
      <c r="G501">
        <v>1</v>
      </c>
      <c r="H501">
        <v>1</v>
      </c>
      <c r="I501">
        <v>0.037</v>
      </c>
      <c r="J501">
        <v>16.49</v>
      </c>
      <c r="K501" t="s">
        <v>39</v>
      </c>
      <c r="L501">
        <v>0.037037037037037</v>
      </c>
    </row>
    <row r="502" spans="1:12">
      <c r="A502" s="71">
        <v>43360</v>
      </c>
      <c r="B502" t="s">
        <v>24</v>
      </c>
      <c r="C502">
        <v>17</v>
      </c>
      <c r="D502">
        <v>0.1006</v>
      </c>
      <c r="E502">
        <v>23</v>
      </c>
      <c r="F502">
        <v>0.0966</v>
      </c>
      <c r="G502">
        <v>1</v>
      </c>
      <c r="H502">
        <v>1</v>
      </c>
      <c r="I502">
        <v>0.0588</v>
      </c>
      <c r="J502">
        <v>12.99</v>
      </c>
      <c r="K502" t="s">
        <v>39</v>
      </c>
      <c r="L502">
        <v>0.0588235294117647</v>
      </c>
    </row>
    <row r="503" spans="1:12">
      <c r="A503" s="71">
        <v>43361</v>
      </c>
      <c r="B503" t="s">
        <v>23</v>
      </c>
      <c r="C503">
        <v>1</v>
      </c>
      <c r="D503">
        <v>0.0075</v>
      </c>
      <c r="E503">
        <v>1</v>
      </c>
      <c r="F503">
        <v>0.0054</v>
      </c>
      <c r="G503">
        <v>1</v>
      </c>
      <c r="H503">
        <v>0</v>
      </c>
      <c r="I503">
        <v>0</v>
      </c>
      <c r="J503">
        <v>0</v>
      </c>
      <c r="K503" t="s">
        <v>38</v>
      </c>
      <c r="L503">
        <v>0</v>
      </c>
    </row>
    <row r="504" spans="1:12">
      <c r="A504" s="71">
        <v>43361</v>
      </c>
      <c r="B504" t="s">
        <v>20</v>
      </c>
      <c r="C504">
        <v>7</v>
      </c>
      <c r="D504">
        <v>0.0522</v>
      </c>
      <c r="E504">
        <v>12</v>
      </c>
      <c r="F504">
        <v>0.0649</v>
      </c>
      <c r="G504">
        <v>1</v>
      </c>
      <c r="H504">
        <v>0</v>
      </c>
      <c r="I504">
        <v>0</v>
      </c>
      <c r="J504">
        <v>0</v>
      </c>
      <c r="K504" t="s">
        <v>38</v>
      </c>
      <c r="L504">
        <v>0</v>
      </c>
    </row>
    <row r="505" spans="1:12">
      <c r="A505" s="71">
        <v>43361</v>
      </c>
      <c r="B505" t="s">
        <v>24</v>
      </c>
      <c r="C505">
        <v>6</v>
      </c>
      <c r="D505">
        <v>0.0448</v>
      </c>
      <c r="E505">
        <v>7</v>
      </c>
      <c r="F505">
        <v>0.0378</v>
      </c>
      <c r="G505">
        <v>1</v>
      </c>
      <c r="H505">
        <v>0</v>
      </c>
      <c r="I505">
        <v>0</v>
      </c>
      <c r="J505">
        <v>0</v>
      </c>
      <c r="K505" t="s">
        <v>38</v>
      </c>
      <c r="L505">
        <v>0</v>
      </c>
    </row>
    <row r="506" spans="1:12">
      <c r="A506" s="71">
        <v>43361</v>
      </c>
      <c r="B506" t="s">
        <v>22</v>
      </c>
      <c r="C506">
        <v>63</v>
      </c>
      <c r="D506">
        <v>0.4701</v>
      </c>
      <c r="E506">
        <v>95</v>
      </c>
      <c r="F506">
        <v>0.5135</v>
      </c>
      <c r="G506">
        <v>0.99</v>
      </c>
      <c r="H506">
        <v>12</v>
      </c>
      <c r="I506">
        <v>0.1905</v>
      </c>
      <c r="J506">
        <v>152.28</v>
      </c>
      <c r="K506" t="s">
        <v>47</v>
      </c>
      <c r="L506">
        <v>0.158730158730159</v>
      </c>
    </row>
    <row r="507" spans="1:12">
      <c r="A507" s="71">
        <v>43361</v>
      </c>
      <c r="B507" t="s">
        <v>18</v>
      </c>
      <c r="C507">
        <v>34</v>
      </c>
      <c r="D507">
        <v>0.2537</v>
      </c>
      <c r="E507">
        <v>41</v>
      </c>
      <c r="F507">
        <v>0.2216</v>
      </c>
      <c r="G507">
        <v>1</v>
      </c>
      <c r="H507">
        <v>20</v>
      </c>
      <c r="I507">
        <v>0.5882</v>
      </c>
      <c r="J507">
        <v>509.8</v>
      </c>
      <c r="K507" t="s">
        <v>42</v>
      </c>
      <c r="L507">
        <v>0.117647058823529</v>
      </c>
    </row>
    <row r="508" spans="1:12">
      <c r="A508" s="71">
        <v>43361</v>
      </c>
      <c r="B508" t="s">
        <v>19</v>
      </c>
      <c r="C508">
        <v>23</v>
      </c>
      <c r="D508">
        <v>0.1716</v>
      </c>
      <c r="E508">
        <v>29</v>
      </c>
      <c r="F508">
        <v>0.1568</v>
      </c>
      <c r="G508">
        <v>1</v>
      </c>
      <c r="H508">
        <v>2</v>
      </c>
      <c r="I508">
        <v>0.087</v>
      </c>
      <c r="J508">
        <v>32.98</v>
      </c>
      <c r="K508" t="s">
        <v>40</v>
      </c>
      <c r="L508">
        <v>0.0869565217391304</v>
      </c>
    </row>
    <row r="509" spans="1:12">
      <c r="A509" s="71">
        <v>43362</v>
      </c>
      <c r="B509" t="s">
        <v>21</v>
      </c>
      <c r="C509">
        <v>1</v>
      </c>
      <c r="D509">
        <v>0.0051</v>
      </c>
      <c r="E509">
        <v>1</v>
      </c>
      <c r="F509">
        <v>0.0033</v>
      </c>
      <c r="G509">
        <v>1</v>
      </c>
      <c r="H509">
        <v>0</v>
      </c>
      <c r="I509">
        <v>0</v>
      </c>
      <c r="J509">
        <v>0</v>
      </c>
      <c r="K509" t="s">
        <v>38</v>
      </c>
      <c r="L509">
        <v>0</v>
      </c>
    </row>
    <row r="510" spans="1:12">
      <c r="A510" s="71">
        <v>43362</v>
      </c>
      <c r="B510" t="s">
        <v>18</v>
      </c>
      <c r="C510">
        <v>28</v>
      </c>
      <c r="D510">
        <v>0.1414</v>
      </c>
      <c r="E510">
        <v>31</v>
      </c>
      <c r="F510">
        <v>0.1026</v>
      </c>
      <c r="G510">
        <v>1</v>
      </c>
      <c r="H510">
        <v>0</v>
      </c>
      <c r="I510">
        <v>0</v>
      </c>
      <c r="J510">
        <v>0</v>
      </c>
      <c r="K510" t="s">
        <v>38</v>
      </c>
      <c r="L510">
        <v>0</v>
      </c>
    </row>
    <row r="511" spans="1:12">
      <c r="A511" s="71">
        <v>43362</v>
      </c>
      <c r="B511" t="s">
        <v>20</v>
      </c>
      <c r="C511">
        <v>9</v>
      </c>
      <c r="D511">
        <v>0.0455</v>
      </c>
      <c r="E511">
        <v>15</v>
      </c>
      <c r="F511">
        <v>0.0497</v>
      </c>
      <c r="G511">
        <v>1</v>
      </c>
      <c r="H511">
        <v>0</v>
      </c>
      <c r="I511">
        <v>0</v>
      </c>
      <c r="J511">
        <v>0</v>
      </c>
      <c r="K511" t="s">
        <v>38</v>
      </c>
      <c r="L511">
        <v>0</v>
      </c>
    </row>
    <row r="512" spans="1:12">
      <c r="A512" s="71">
        <v>43362</v>
      </c>
      <c r="B512" t="s">
        <v>23</v>
      </c>
      <c r="C512">
        <v>3</v>
      </c>
      <c r="D512">
        <v>0.0152</v>
      </c>
      <c r="E512">
        <v>4</v>
      </c>
      <c r="F512">
        <v>0.0132</v>
      </c>
      <c r="G512">
        <v>1</v>
      </c>
      <c r="H512">
        <v>0</v>
      </c>
      <c r="I512">
        <v>0</v>
      </c>
      <c r="J512">
        <v>0</v>
      </c>
      <c r="K512" t="s">
        <v>38</v>
      </c>
      <c r="L512">
        <v>0</v>
      </c>
    </row>
    <row r="513" spans="1:12">
      <c r="A513" s="71">
        <v>43362</v>
      </c>
      <c r="B513" t="s">
        <v>19</v>
      </c>
      <c r="C513">
        <v>20</v>
      </c>
      <c r="D513">
        <v>0.101</v>
      </c>
      <c r="E513">
        <v>32</v>
      </c>
      <c r="F513">
        <v>0.106</v>
      </c>
      <c r="G513">
        <v>1</v>
      </c>
      <c r="H513">
        <v>4</v>
      </c>
      <c r="I513">
        <v>0.2</v>
      </c>
      <c r="J513">
        <v>65.96</v>
      </c>
      <c r="K513" t="s">
        <v>42</v>
      </c>
      <c r="L513">
        <v>0.2</v>
      </c>
    </row>
    <row r="514" spans="1:12">
      <c r="A514" s="71">
        <v>43362</v>
      </c>
      <c r="B514" t="s">
        <v>24</v>
      </c>
      <c r="C514">
        <v>13</v>
      </c>
      <c r="D514">
        <v>0.0657</v>
      </c>
      <c r="E514">
        <v>17</v>
      </c>
      <c r="F514">
        <v>0.0563</v>
      </c>
      <c r="G514">
        <v>1</v>
      </c>
      <c r="H514">
        <v>2</v>
      </c>
      <c r="I514">
        <v>0.1538</v>
      </c>
      <c r="J514">
        <v>25.98</v>
      </c>
      <c r="K514" t="s">
        <v>40</v>
      </c>
      <c r="L514">
        <v>0.153846153846154</v>
      </c>
    </row>
    <row r="515" spans="1:12">
      <c r="A515" s="71">
        <v>43362</v>
      </c>
      <c r="B515" t="s">
        <v>22</v>
      </c>
      <c r="C515">
        <v>124</v>
      </c>
      <c r="D515">
        <v>0.6263</v>
      </c>
      <c r="E515">
        <v>202</v>
      </c>
      <c r="F515">
        <v>0.6689</v>
      </c>
      <c r="G515">
        <v>1</v>
      </c>
      <c r="H515">
        <v>35</v>
      </c>
      <c r="I515">
        <v>0.2823</v>
      </c>
      <c r="J515">
        <v>444.15</v>
      </c>
      <c r="K515" t="s">
        <v>57</v>
      </c>
      <c r="L515">
        <v>0.282258064516129</v>
      </c>
    </row>
    <row r="516" spans="1:12">
      <c r="A516" s="71">
        <v>43363</v>
      </c>
      <c r="B516" t="s">
        <v>21</v>
      </c>
      <c r="C516">
        <v>1</v>
      </c>
      <c r="D516">
        <v>0.007</v>
      </c>
      <c r="E516">
        <v>1</v>
      </c>
      <c r="F516">
        <v>0.0044</v>
      </c>
      <c r="G516">
        <v>1</v>
      </c>
      <c r="H516">
        <v>0</v>
      </c>
      <c r="I516">
        <v>0</v>
      </c>
      <c r="J516">
        <v>0</v>
      </c>
      <c r="K516" t="s">
        <v>38</v>
      </c>
      <c r="L516">
        <v>0</v>
      </c>
    </row>
    <row r="517" spans="1:12">
      <c r="A517" s="71">
        <v>43363</v>
      </c>
      <c r="B517" t="s">
        <v>24</v>
      </c>
      <c r="C517">
        <v>24</v>
      </c>
      <c r="D517">
        <v>0.1678</v>
      </c>
      <c r="E517">
        <v>35</v>
      </c>
      <c r="F517">
        <v>0.1549</v>
      </c>
      <c r="G517">
        <v>0.97</v>
      </c>
      <c r="H517">
        <v>0</v>
      </c>
      <c r="I517">
        <v>0</v>
      </c>
      <c r="J517">
        <v>0</v>
      </c>
      <c r="K517" t="s">
        <v>38</v>
      </c>
      <c r="L517">
        <v>0</v>
      </c>
    </row>
    <row r="518" spans="1:12">
      <c r="A518" s="71">
        <v>43363</v>
      </c>
      <c r="B518" t="s">
        <v>19</v>
      </c>
      <c r="C518">
        <v>18</v>
      </c>
      <c r="D518">
        <v>0.1259</v>
      </c>
      <c r="E518">
        <v>21</v>
      </c>
      <c r="F518">
        <v>0.0929</v>
      </c>
      <c r="G518">
        <v>1</v>
      </c>
      <c r="H518">
        <v>3</v>
      </c>
      <c r="I518">
        <v>0.1667</v>
      </c>
      <c r="J518">
        <v>49.47</v>
      </c>
      <c r="K518" t="s">
        <v>41</v>
      </c>
      <c r="L518">
        <v>0.166666666666667</v>
      </c>
    </row>
    <row r="519" spans="1:12">
      <c r="A519" s="71">
        <v>43363</v>
      </c>
      <c r="B519" t="s">
        <v>22</v>
      </c>
      <c r="C519">
        <v>65</v>
      </c>
      <c r="D519">
        <v>0.4545</v>
      </c>
      <c r="E519">
        <v>110</v>
      </c>
      <c r="F519">
        <v>0.4867</v>
      </c>
      <c r="G519">
        <v>1</v>
      </c>
      <c r="H519">
        <v>28</v>
      </c>
      <c r="I519">
        <v>0.4308</v>
      </c>
      <c r="J519">
        <v>355.32</v>
      </c>
      <c r="K519" t="s">
        <v>50</v>
      </c>
      <c r="L519">
        <v>0.230769230769231</v>
      </c>
    </row>
    <row r="520" spans="1:12">
      <c r="A520" s="71">
        <v>43363</v>
      </c>
      <c r="B520" t="s">
        <v>18</v>
      </c>
      <c r="C520">
        <v>31</v>
      </c>
      <c r="D520">
        <v>0.2168</v>
      </c>
      <c r="E520">
        <v>53</v>
      </c>
      <c r="F520">
        <v>0.2345</v>
      </c>
      <c r="G520">
        <v>1</v>
      </c>
      <c r="H520">
        <v>1</v>
      </c>
      <c r="I520">
        <v>0.0323</v>
      </c>
      <c r="J520">
        <v>25.49</v>
      </c>
      <c r="K520" t="s">
        <v>39</v>
      </c>
      <c r="L520">
        <v>0.032258064516129</v>
      </c>
    </row>
    <row r="521" spans="1:12">
      <c r="A521" s="71">
        <v>43363</v>
      </c>
      <c r="B521" t="s">
        <v>23</v>
      </c>
      <c r="C521">
        <v>2</v>
      </c>
      <c r="D521">
        <v>0.014</v>
      </c>
      <c r="E521">
        <v>3</v>
      </c>
      <c r="F521">
        <v>0.0133</v>
      </c>
      <c r="G521">
        <v>1</v>
      </c>
      <c r="H521">
        <v>1</v>
      </c>
      <c r="I521">
        <v>0.5</v>
      </c>
      <c r="J521">
        <v>12.99</v>
      </c>
      <c r="K521" t="s">
        <v>39</v>
      </c>
      <c r="L521">
        <v>0.5</v>
      </c>
    </row>
    <row r="522" spans="1:12">
      <c r="A522" s="71">
        <v>43363</v>
      </c>
      <c r="B522" t="s">
        <v>20</v>
      </c>
      <c r="C522">
        <v>2</v>
      </c>
      <c r="D522">
        <v>0.014</v>
      </c>
      <c r="E522">
        <v>3</v>
      </c>
      <c r="F522">
        <v>0.0133</v>
      </c>
      <c r="G522">
        <v>1</v>
      </c>
      <c r="H522">
        <v>1</v>
      </c>
      <c r="I522">
        <v>0.5</v>
      </c>
      <c r="J522">
        <v>15.99</v>
      </c>
      <c r="K522" t="s">
        <v>39</v>
      </c>
      <c r="L522">
        <v>0.5</v>
      </c>
    </row>
    <row r="523" spans="1:12">
      <c r="A523" s="71">
        <v>43364</v>
      </c>
      <c r="B523" t="s">
        <v>23</v>
      </c>
      <c r="C523">
        <v>1</v>
      </c>
      <c r="D523">
        <v>0.0096</v>
      </c>
      <c r="E523">
        <v>1</v>
      </c>
      <c r="F523">
        <v>0.0072</v>
      </c>
      <c r="G523">
        <v>1</v>
      </c>
      <c r="H523">
        <v>0</v>
      </c>
      <c r="I523">
        <v>0</v>
      </c>
      <c r="J523">
        <v>0</v>
      </c>
      <c r="K523" t="s">
        <v>38</v>
      </c>
      <c r="L523">
        <v>0</v>
      </c>
    </row>
    <row r="524" spans="1:12">
      <c r="A524" s="71">
        <v>43364</v>
      </c>
      <c r="B524" t="s">
        <v>20</v>
      </c>
      <c r="C524">
        <v>4</v>
      </c>
      <c r="D524">
        <v>0.0385</v>
      </c>
      <c r="E524">
        <v>4</v>
      </c>
      <c r="F524">
        <v>0.029</v>
      </c>
      <c r="G524">
        <v>1</v>
      </c>
      <c r="H524">
        <v>0</v>
      </c>
      <c r="I524">
        <v>0</v>
      </c>
      <c r="J524">
        <v>0</v>
      </c>
      <c r="K524" t="s">
        <v>38</v>
      </c>
      <c r="L524">
        <v>0</v>
      </c>
    </row>
    <row r="525" spans="1:12">
      <c r="A525" s="71">
        <v>43364</v>
      </c>
      <c r="B525" t="s">
        <v>22</v>
      </c>
      <c r="C525">
        <v>42</v>
      </c>
      <c r="D525">
        <v>0.4038</v>
      </c>
      <c r="E525">
        <v>56</v>
      </c>
      <c r="F525">
        <v>0.4058</v>
      </c>
      <c r="G525">
        <v>0.98</v>
      </c>
      <c r="H525">
        <v>10</v>
      </c>
      <c r="I525">
        <v>0.2381</v>
      </c>
      <c r="J525">
        <v>126.9</v>
      </c>
      <c r="K525" t="s">
        <v>47</v>
      </c>
      <c r="L525">
        <v>0.238095238095238</v>
      </c>
    </row>
    <row r="526" spans="1:12">
      <c r="A526" s="71">
        <v>43364</v>
      </c>
      <c r="B526" t="s">
        <v>19</v>
      </c>
      <c r="C526">
        <v>16</v>
      </c>
      <c r="D526">
        <v>0.1538</v>
      </c>
      <c r="E526">
        <v>22</v>
      </c>
      <c r="F526">
        <v>0.1594</v>
      </c>
      <c r="G526">
        <v>0.95</v>
      </c>
      <c r="H526">
        <v>1</v>
      </c>
      <c r="I526">
        <v>0.0625</v>
      </c>
      <c r="J526">
        <v>16.49</v>
      </c>
      <c r="K526" t="s">
        <v>39</v>
      </c>
      <c r="L526">
        <v>0.0625</v>
      </c>
    </row>
    <row r="527" spans="1:12">
      <c r="A527" s="71">
        <v>43364</v>
      </c>
      <c r="B527" t="s">
        <v>18</v>
      </c>
      <c r="C527">
        <v>30</v>
      </c>
      <c r="D527">
        <v>0.2885</v>
      </c>
      <c r="E527">
        <v>40</v>
      </c>
      <c r="F527">
        <v>0.2899</v>
      </c>
      <c r="G527">
        <v>1</v>
      </c>
      <c r="H527">
        <v>1</v>
      </c>
      <c r="I527">
        <v>0.0333</v>
      </c>
      <c r="J527">
        <v>25.49</v>
      </c>
      <c r="K527" t="s">
        <v>39</v>
      </c>
      <c r="L527">
        <v>0.0333333333333333</v>
      </c>
    </row>
    <row r="528" spans="1:12">
      <c r="A528" s="71">
        <v>43364</v>
      </c>
      <c r="B528" t="s">
        <v>24</v>
      </c>
      <c r="C528">
        <v>11</v>
      </c>
      <c r="D528">
        <v>0.1058</v>
      </c>
      <c r="E528">
        <v>15</v>
      </c>
      <c r="F528">
        <v>0.1087</v>
      </c>
      <c r="G528">
        <v>1</v>
      </c>
      <c r="H528">
        <v>1</v>
      </c>
      <c r="I528">
        <v>0.0909</v>
      </c>
      <c r="J528">
        <v>12.99</v>
      </c>
      <c r="K528" t="s">
        <v>39</v>
      </c>
      <c r="L528">
        <v>0.0909090909090909</v>
      </c>
    </row>
    <row r="529" spans="1:12">
      <c r="A529" s="71">
        <v>43365</v>
      </c>
      <c r="B529" t="s">
        <v>23</v>
      </c>
      <c r="C529">
        <v>1</v>
      </c>
      <c r="D529">
        <v>0.0091</v>
      </c>
      <c r="E529">
        <v>2</v>
      </c>
      <c r="F529">
        <v>0.0132</v>
      </c>
      <c r="G529">
        <v>1</v>
      </c>
      <c r="H529">
        <v>0</v>
      </c>
      <c r="I529">
        <v>0</v>
      </c>
      <c r="J529">
        <v>0</v>
      </c>
      <c r="K529" t="s">
        <v>38</v>
      </c>
      <c r="L529">
        <v>0</v>
      </c>
    </row>
    <row r="530" spans="1:12">
      <c r="A530" s="71">
        <v>43365</v>
      </c>
      <c r="B530" t="s">
        <v>18</v>
      </c>
      <c r="C530">
        <v>31</v>
      </c>
      <c r="D530">
        <v>0.2818</v>
      </c>
      <c r="E530">
        <v>53</v>
      </c>
      <c r="F530">
        <v>0.3487</v>
      </c>
      <c r="G530">
        <v>0.98</v>
      </c>
      <c r="H530">
        <v>3</v>
      </c>
      <c r="I530">
        <v>0.0968</v>
      </c>
      <c r="J530">
        <v>76.47</v>
      </c>
      <c r="K530" t="s">
        <v>41</v>
      </c>
      <c r="L530">
        <v>0.0967741935483871</v>
      </c>
    </row>
    <row r="531" spans="1:12">
      <c r="A531" s="71">
        <v>43365</v>
      </c>
      <c r="B531" t="s">
        <v>19</v>
      </c>
      <c r="C531">
        <v>17</v>
      </c>
      <c r="D531">
        <v>0.1545</v>
      </c>
      <c r="E531">
        <v>25</v>
      </c>
      <c r="F531">
        <v>0.1645</v>
      </c>
      <c r="G531">
        <v>1</v>
      </c>
      <c r="H531">
        <v>5</v>
      </c>
      <c r="I531">
        <v>0.2941</v>
      </c>
      <c r="J531">
        <v>82.45</v>
      </c>
      <c r="K531" t="s">
        <v>43</v>
      </c>
      <c r="L531">
        <v>0.294117647058824</v>
      </c>
    </row>
    <row r="532" spans="1:12">
      <c r="A532" s="71">
        <v>43365</v>
      </c>
      <c r="B532" t="s">
        <v>24</v>
      </c>
      <c r="C532">
        <v>10</v>
      </c>
      <c r="D532">
        <v>0.0909</v>
      </c>
      <c r="E532">
        <v>10</v>
      </c>
      <c r="F532">
        <v>0.0658</v>
      </c>
      <c r="G532">
        <v>1</v>
      </c>
      <c r="H532">
        <v>3</v>
      </c>
      <c r="I532">
        <v>0.3</v>
      </c>
      <c r="J532">
        <v>38.97</v>
      </c>
      <c r="K532" t="s">
        <v>41</v>
      </c>
      <c r="L532">
        <v>0.3</v>
      </c>
    </row>
    <row r="533" spans="1:12">
      <c r="A533" s="71">
        <v>43365</v>
      </c>
      <c r="B533" t="s">
        <v>22</v>
      </c>
      <c r="C533">
        <v>47</v>
      </c>
      <c r="D533">
        <v>0.4273</v>
      </c>
      <c r="E533">
        <v>57</v>
      </c>
      <c r="F533">
        <v>0.375</v>
      </c>
      <c r="G533">
        <v>1</v>
      </c>
      <c r="H533">
        <v>6</v>
      </c>
      <c r="I533">
        <v>0.1277</v>
      </c>
      <c r="J533">
        <v>76.14</v>
      </c>
      <c r="K533" t="s">
        <v>43</v>
      </c>
      <c r="L533">
        <v>0.106382978723404</v>
      </c>
    </row>
    <row r="534" spans="1:12">
      <c r="A534" s="71">
        <v>43365</v>
      </c>
      <c r="B534" t="s">
        <v>20</v>
      </c>
      <c r="C534">
        <v>4</v>
      </c>
      <c r="D534">
        <v>0.0364</v>
      </c>
      <c r="E534">
        <v>5</v>
      </c>
      <c r="F534">
        <v>0.0329</v>
      </c>
      <c r="G534">
        <v>1</v>
      </c>
      <c r="H534">
        <v>1</v>
      </c>
      <c r="I534">
        <v>0.25</v>
      </c>
      <c r="J534">
        <v>15.99</v>
      </c>
      <c r="K534" t="s">
        <v>39</v>
      </c>
      <c r="L534">
        <v>0.25</v>
      </c>
    </row>
    <row r="535" spans="1:12">
      <c r="A535" s="71">
        <v>43366</v>
      </c>
      <c r="B535" t="s">
        <v>21</v>
      </c>
      <c r="C535">
        <v>1</v>
      </c>
      <c r="D535">
        <v>0.0076</v>
      </c>
      <c r="E535">
        <v>8</v>
      </c>
      <c r="F535">
        <v>0.0437</v>
      </c>
      <c r="G535">
        <v>1</v>
      </c>
      <c r="H535">
        <v>0</v>
      </c>
      <c r="I535">
        <v>0</v>
      </c>
      <c r="J535">
        <v>0</v>
      </c>
      <c r="K535" t="s">
        <v>38</v>
      </c>
      <c r="L535">
        <v>0</v>
      </c>
    </row>
    <row r="536" spans="1:12">
      <c r="A536" s="71">
        <v>43366</v>
      </c>
      <c r="B536" t="s">
        <v>19</v>
      </c>
      <c r="C536">
        <v>17</v>
      </c>
      <c r="D536">
        <v>0.1298</v>
      </c>
      <c r="E536">
        <v>25</v>
      </c>
      <c r="F536">
        <v>0.1366</v>
      </c>
      <c r="G536">
        <v>1</v>
      </c>
      <c r="H536">
        <v>0</v>
      </c>
      <c r="I536">
        <v>0</v>
      </c>
      <c r="J536">
        <v>0</v>
      </c>
      <c r="K536" t="s">
        <v>38</v>
      </c>
      <c r="L536">
        <v>0</v>
      </c>
    </row>
    <row r="537" spans="1:12">
      <c r="A537" s="71">
        <v>43366</v>
      </c>
      <c r="B537" t="s">
        <v>24</v>
      </c>
      <c r="C537">
        <v>15</v>
      </c>
      <c r="D537">
        <v>0.1145</v>
      </c>
      <c r="E537">
        <v>21</v>
      </c>
      <c r="F537">
        <v>0.1148</v>
      </c>
      <c r="G537">
        <v>1</v>
      </c>
      <c r="H537">
        <v>0</v>
      </c>
      <c r="I537">
        <v>0</v>
      </c>
      <c r="J537">
        <v>0</v>
      </c>
      <c r="K537" t="s">
        <v>38</v>
      </c>
      <c r="L537">
        <v>0</v>
      </c>
    </row>
    <row r="538" spans="1:12">
      <c r="A538" s="71">
        <v>43366</v>
      </c>
      <c r="B538" t="s">
        <v>23</v>
      </c>
      <c r="C538">
        <v>5</v>
      </c>
      <c r="D538">
        <v>0.0382</v>
      </c>
      <c r="E538">
        <v>9</v>
      </c>
      <c r="F538">
        <v>0.0492</v>
      </c>
      <c r="G538">
        <v>1</v>
      </c>
      <c r="H538">
        <v>0</v>
      </c>
      <c r="I538">
        <v>0</v>
      </c>
      <c r="J538">
        <v>0</v>
      </c>
      <c r="K538" t="s">
        <v>38</v>
      </c>
      <c r="L538">
        <v>0</v>
      </c>
    </row>
    <row r="539" spans="1:12">
      <c r="A539" s="71">
        <v>43366</v>
      </c>
      <c r="B539" t="s">
        <v>20</v>
      </c>
      <c r="C539">
        <v>3</v>
      </c>
      <c r="D539">
        <v>0.0229</v>
      </c>
      <c r="E539">
        <v>5</v>
      </c>
      <c r="F539">
        <v>0.0273</v>
      </c>
      <c r="G539">
        <v>1</v>
      </c>
      <c r="H539">
        <v>0</v>
      </c>
      <c r="I539">
        <v>0</v>
      </c>
      <c r="J539">
        <v>0</v>
      </c>
      <c r="K539" t="s">
        <v>38</v>
      </c>
      <c r="L539">
        <v>0</v>
      </c>
    </row>
    <row r="540" spans="1:12">
      <c r="A540" s="71">
        <v>43366</v>
      </c>
      <c r="B540" t="s">
        <v>18</v>
      </c>
      <c r="C540">
        <v>37</v>
      </c>
      <c r="D540">
        <v>0.2824</v>
      </c>
      <c r="E540">
        <v>43</v>
      </c>
      <c r="F540">
        <v>0.235</v>
      </c>
      <c r="G540">
        <v>1</v>
      </c>
      <c r="H540">
        <v>3</v>
      </c>
      <c r="I540">
        <v>0.0811</v>
      </c>
      <c r="J540">
        <v>76.47</v>
      </c>
      <c r="K540" t="s">
        <v>41</v>
      </c>
      <c r="L540">
        <v>0.0810810810810811</v>
      </c>
    </row>
    <row r="541" spans="1:12">
      <c r="A541" s="71">
        <v>43366</v>
      </c>
      <c r="B541" t="s">
        <v>22</v>
      </c>
      <c r="C541">
        <v>53</v>
      </c>
      <c r="D541">
        <v>0.4046</v>
      </c>
      <c r="E541">
        <v>72</v>
      </c>
      <c r="F541">
        <v>0.3934</v>
      </c>
      <c r="G541">
        <v>1</v>
      </c>
      <c r="H541">
        <v>7</v>
      </c>
      <c r="I541">
        <v>0.1321</v>
      </c>
      <c r="J541">
        <v>88.83</v>
      </c>
      <c r="K541" t="s">
        <v>45</v>
      </c>
      <c r="L541">
        <v>0.113207547169811</v>
      </c>
    </row>
    <row r="542" spans="1:12">
      <c r="A542" s="71">
        <v>43367</v>
      </c>
      <c r="B542" t="s">
        <v>20</v>
      </c>
      <c r="C542">
        <v>3</v>
      </c>
      <c r="D542">
        <v>0.0226</v>
      </c>
      <c r="E542">
        <v>3</v>
      </c>
      <c r="F542">
        <v>0.016</v>
      </c>
      <c r="G542">
        <v>1</v>
      </c>
      <c r="H542">
        <v>0</v>
      </c>
      <c r="I542">
        <v>0</v>
      </c>
      <c r="J542">
        <v>0</v>
      </c>
      <c r="K542" t="s">
        <v>38</v>
      </c>
      <c r="L542">
        <v>0</v>
      </c>
    </row>
    <row r="543" spans="1:12">
      <c r="A543" s="71">
        <v>43367</v>
      </c>
      <c r="B543" t="s">
        <v>23</v>
      </c>
      <c r="C543">
        <v>3</v>
      </c>
      <c r="D543">
        <v>0.0226</v>
      </c>
      <c r="E543">
        <v>4</v>
      </c>
      <c r="F543">
        <v>0.0213</v>
      </c>
      <c r="G543">
        <v>1</v>
      </c>
      <c r="H543">
        <v>0</v>
      </c>
      <c r="I543">
        <v>0</v>
      </c>
      <c r="J543">
        <v>0</v>
      </c>
      <c r="K543" t="s">
        <v>38</v>
      </c>
      <c r="L543">
        <v>0</v>
      </c>
    </row>
    <row r="544" spans="1:12">
      <c r="A544" s="71">
        <v>43367</v>
      </c>
      <c r="B544" t="s">
        <v>22</v>
      </c>
      <c r="C544">
        <v>63</v>
      </c>
      <c r="D544">
        <v>0.4737</v>
      </c>
      <c r="E544">
        <v>99</v>
      </c>
      <c r="F544">
        <v>0.5266</v>
      </c>
      <c r="G544">
        <v>0.99</v>
      </c>
      <c r="H544">
        <v>21</v>
      </c>
      <c r="I544">
        <v>0.3333</v>
      </c>
      <c r="J544">
        <v>267.29</v>
      </c>
      <c r="K544" t="s">
        <v>50</v>
      </c>
      <c r="L544">
        <v>0.238095238095238</v>
      </c>
    </row>
    <row r="545" spans="1:12">
      <c r="A545" s="71">
        <v>43367</v>
      </c>
      <c r="B545" t="s">
        <v>19</v>
      </c>
      <c r="C545">
        <v>14</v>
      </c>
      <c r="D545">
        <v>0.1053</v>
      </c>
      <c r="E545">
        <v>19</v>
      </c>
      <c r="F545">
        <v>0.1011</v>
      </c>
      <c r="G545">
        <v>1</v>
      </c>
      <c r="H545">
        <v>4</v>
      </c>
      <c r="I545">
        <v>0.2857</v>
      </c>
      <c r="J545">
        <v>65.96</v>
      </c>
      <c r="K545" t="s">
        <v>42</v>
      </c>
      <c r="L545">
        <v>0.285714285714286</v>
      </c>
    </row>
    <row r="546" spans="1:12">
      <c r="A546" s="71">
        <v>43367</v>
      </c>
      <c r="B546" t="s">
        <v>24</v>
      </c>
      <c r="C546">
        <v>13</v>
      </c>
      <c r="D546">
        <v>0.0977</v>
      </c>
      <c r="E546">
        <v>15</v>
      </c>
      <c r="F546">
        <v>0.0798</v>
      </c>
      <c r="G546">
        <v>1</v>
      </c>
      <c r="H546">
        <v>6</v>
      </c>
      <c r="I546">
        <v>0.4615</v>
      </c>
      <c r="J546">
        <v>77.94</v>
      </c>
      <c r="K546" t="s">
        <v>45</v>
      </c>
      <c r="L546">
        <v>0.461538461538462</v>
      </c>
    </row>
    <row r="547" spans="1:12">
      <c r="A547" s="71">
        <v>43367</v>
      </c>
      <c r="B547" t="s">
        <v>18</v>
      </c>
      <c r="C547">
        <v>37</v>
      </c>
      <c r="D547">
        <v>0.2782</v>
      </c>
      <c r="E547">
        <v>48</v>
      </c>
      <c r="F547">
        <v>0.2553</v>
      </c>
      <c r="G547">
        <v>1</v>
      </c>
      <c r="H547">
        <v>3</v>
      </c>
      <c r="I547">
        <v>0.0811</v>
      </c>
      <c r="J547">
        <v>76.47</v>
      </c>
      <c r="K547" t="s">
        <v>41</v>
      </c>
      <c r="L547">
        <v>0.0810810810810811</v>
      </c>
    </row>
    <row r="548" spans="1:12">
      <c r="A548" s="71">
        <v>43368</v>
      </c>
      <c r="B548" t="s">
        <v>21</v>
      </c>
      <c r="C548">
        <v>1</v>
      </c>
      <c r="D548">
        <v>0.0081</v>
      </c>
      <c r="E548">
        <v>1</v>
      </c>
      <c r="F548">
        <v>0.0061</v>
      </c>
      <c r="G548">
        <v>1</v>
      </c>
      <c r="H548">
        <v>0</v>
      </c>
      <c r="I548">
        <v>0</v>
      </c>
      <c r="J548">
        <v>0</v>
      </c>
      <c r="K548" t="s">
        <v>38</v>
      </c>
      <c r="L548">
        <v>0</v>
      </c>
    </row>
    <row r="549" spans="1:12">
      <c r="A549" s="71">
        <v>43368</v>
      </c>
      <c r="B549" t="s">
        <v>23</v>
      </c>
      <c r="C549">
        <v>2</v>
      </c>
      <c r="D549">
        <v>0.0161</v>
      </c>
      <c r="E549">
        <v>2</v>
      </c>
      <c r="F549">
        <v>0.0121</v>
      </c>
      <c r="G549">
        <v>1</v>
      </c>
      <c r="H549">
        <v>0</v>
      </c>
      <c r="I549">
        <v>0</v>
      </c>
      <c r="J549">
        <v>0</v>
      </c>
      <c r="K549" t="s">
        <v>38</v>
      </c>
      <c r="L549">
        <v>0</v>
      </c>
    </row>
    <row r="550" spans="1:12">
      <c r="A550" s="71">
        <v>43368</v>
      </c>
      <c r="B550" t="s">
        <v>20</v>
      </c>
      <c r="C550">
        <v>6</v>
      </c>
      <c r="D550">
        <v>0.0484</v>
      </c>
      <c r="E550">
        <v>6</v>
      </c>
      <c r="F550">
        <v>0.0364</v>
      </c>
      <c r="G550">
        <v>1</v>
      </c>
      <c r="H550">
        <v>0</v>
      </c>
      <c r="I550">
        <v>0</v>
      </c>
      <c r="J550">
        <v>0</v>
      </c>
      <c r="K550" t="s">
        <v>38</v>
      </c>
      <c r="L550">
        <v>0</v>
      </c>
    </row>
    <row r="551" spans="1:12">
      <c r="A551" s="71">
        <v>43368</v>
      </c>
      <c r="B551" t="s">
        <v>22</v>
      </c>
      <c r="C551">
        <v>53</v>
      </c>
      <c r="D551">
        <v>0.4274</v>
      </c>
      <c r="E551">
        <v>77</v>
      </c>
      <c r="F551">
        <v>0.4667</v>
      </c>
      <c r="G551">
        <v>0.99</v>
      </c>
      <c r="H551">
        <v>11</v>
      </c>
      <c r="I551">
        <v>0.2075</v>
      </c>
      <c r="J551">
        <v>142.03</v>
      </c>
      <c r="K551" t="s">
        <v>54</v>
      </c>
      <c r="L551">
        <v>0.207547169811321</v>
      </c>
    </row>
    <row r="552" spans="1:12">
      <c r="A552" s="71">
        <v>43368</v>
      </c>
      <c r="B552" t="s">
        <v>18</v>
      </c>
      <c r="C552">
        <v>34</v>
      </c>
      <c r="D552">
        <v>0.2742</v>
      </c>
      <c r="E552">
        <v>46</v>
      </c>
      <c r="F552">
        <v>0.2788</v>
      </c>
      <c r="G552">
        <v>1</v>
      </c>
      <c r="H552">
        <v>2</v>
      </c>
      <c r="I552">
        <v>0.0588</v>
      </c>
      <c r="J552">
        <v>54.98</v>
      </c>
      <c r="K552" t="s">
        <v>40</v>
      </c>
      <c r="L552">
        <v>0.0588235294117647</v>
      </c>
    </row>
    <row r="553" spans="1:12">
      <c r="A553" s="71">
        <v>43368</v>
      </c>
      <c r="B553" t="s">
        <v>24</v>
      </c>
      <c r="C553">
        <v>16</v>
      </c>
      <c r="D553">
        <v>0.129</v>
      </c>
      <c r="E553">
        <v>18</v>
      </c>
      <c r="F553">
        <v>0.1091</v>
      </c>
      <c r="G553">
        <v>1</v>
      </c>
      <c r="H553">
        <v>2</v>
      </c>
      <c r="I553">
        <v>0.125</v>
      </c>
      <c r="J553">
        <v>25.98</v>
      </c>
      <c r="K553" t="s">
        <v>40</v>
      </c>
      <c r="L553">
        <v>0.125</v>
      </c>
    </row>
    <row r="554" spans="1:12">
      <c r="A554" s="71">
        <v>43368</v>
      </c>
      <c r="B554" t="s">
        <v>19</v>
      </c>
      <c r="C554">
        <v>12</v>
      </c>
      <c r="D554">
        <v>0.0968</v>
      </c>
      <c r="E554">
        <v>15</v>
      </c>
      <c r="F554">
        <v>0.0909</v>
      </c>
      <c r="G554">
        <v>1</v>
      </c>
      <c r="H554">
        <v>1</v>
      </c>
      <c r="I554">
        <v>0.0833</v>
      </c>
      <c r="J554">
        <v>16.49</v>
      </c>
      <c r="K554" t="s">
        <v>39</v>
      </c>
      <c r="L554">
        <v>0.0833333333333333</v>
      </c>
    </row>
    <row r="555" spans="1:12">
      <c r="A555" s="71">
        <v>43369</v>
      </c>
      <c r="B555" t="s">
        <v>18</v>
      </c>
      <c r="C555">
        <v>27</v>
      </c>
      <c r="D555">
        <v>0.2308</v>
      </c>
      <c r="E555">
        <v>41</v>
      </c>
      <c r="F555">
        <v>0.2412</v>
      </c>
      <c r="G555">
        <v>1</v>
      </c>
      <c r="H555">
        <v>0</v>
      </c>
      <c r="I555">
        <v>0</v>
      </c>
      <c r="J555">
        <v>0</v>
      </c>
      <c r="K555" t="s">
        <v>38</v>
      </c>
      <c r="L555">
        <v>0</v>
      </c>
    </row>
    <row r="556" spans="1:12">
      <c r="A556" s="71">
        <v>43369</v>
      </c>
      <c r="B556" t="s">
        <v>24</v>
      </c>
      <c r="C556">
        <v>10</v>
      </c>
      <c r="D556">
        <v>0.0855</v>
      </c>
      <c r="E556">
        <v>10</v>
      </c>
      <c r="F556">
        <v>0.0588</v>
      </c>
      <c r="G556">
        <v>1</v>
      </c>
      <c r="H556">
        <v>0</v>
      </c>
      <c r="I556">
        <v>0</v>
      </c>
      <c r="J556">
        <v>0</v>
      </c>
      <c r="K556" t="s">
        <v>38</v>
      </c>
      <c r="L556">
        <v>0</v>
      </c>
    </row>
    <row r="557" spans="1:12">
      <c r="A557" s="71">
        <v>43369</v>
      </c>
      <c r="B557" t="s">
        <v>20</v>
      </c>
      <c r="C557">
        <v>3</v>
      </c>
      <c r="D557">
        <v>0.0256</v>
      </c>
      <c r="E557">
        <v>5</v>
      </c>
      <c r="F557">
        <v>0.0294</v>
      </c>
      <c r="G557">
        <v>1</v>
      </c>
      <c r="H557">
        <v>0</v>
      </c>
      <c r="I557">
        <v>0</v>
      </c>
      <c r="J557">
        <v>0</v>
      </c>
      <c r="K557" t="s">
        <v>38</v>
      </c>
      <c r="L557">
        <v>0</v>
      </c>
    </row>
    <row r="558" spans="1:12">
      <c r="A558" s="71">
        <v>43369</v>
      </c>
      <c r="B558" t="s">
        <v>22</v>
      </c>
      <c r="C558">
        <v>63</v>
      </c>
      <c r="D558">
        <v>0.5385</v>
      </c>
      <c r="E558">
        <v>92</v>
      </c>
      <c r="F558">
        <v>0.5412</v>
      </c>
      <c r="G558">
        <v>1</v>
      </c>
      <c r="H558">
        <v>28</v>
      </c>
      <c r="I558">
        <v>0.4444</v>
      </c>
      <c r="J558">
        <v>363.16</v>
      </c>
      <c r="K558" t="s">
        <v>44</v>
      </c>
      <c r="L558">
        <v>0.126984126984127</v>
      </c>
    </row>
    <row r="559" spans="1:12">
      <c r="A559" s="71">
        <v>43369</v>
      </c>
      <c r="B559" t="s">
        <v>19</v>
      </c>
      <c r="C559">
        <v>14</v>
      </c>
      <c r="D559">
        <v>0.1197</v>
      </c>
      <c r="E559">
        <v>22</v>
      </c>
      <c r="F559">
        <v>0.1294</v>
      </c>
      <c r="G559">
        <v>1</v>
      </c>
      <c r="H559">
        <v>1</v>
      </c>
      <c r="I559">
        <v>0.0714</v>
      </c>
      <c r="J559">
        <v>16.49</v>
      </c>
      <c r="K559" t="s">
        <v>39</v>
      </c>
      <c r="L559">
        <v>0.0714285714285714</v>
      </c>
    </row>
    <row r="560" spans="1:12">
      <c r="A560" s="71">
        <v>43370</v>
      </c>
      <c r="B560" t="s">
        <v>19</v>
      </c>
      <c r="C560">
        <v>10</v>
      </c>
      <c r="D560">
        <v>0.0885</v>
      </c>
      <c r="E560">
        <v>10</v>
      </c>
      <c r="F560">
        <v>0.0719</v>
      </c>
      <c r="G560">
        <v>1</v>
      </c>
      <c r="H560">
        <v>0</v>
      </c>
      <c r="I560">
        <v>0</v>
      </c>
      <c r="J560">
        <v>0</v>
      </c>
      <c r="K560" t="s">
        <v>38</v>
      </c>
      <c r="L560">
        <v>0</v>
      </c>
    </row>
    <row r="561" spans="1:12">
      <c r="A561" s="71">
        <v>43370</v>
      </c>
      <c r="B561" t="s">
        <v>20</v>
      </c>
      <c r="C561">
        <v>3</v>
      </c>
      <c r="D561">
        <v>0.0265</v>
      </c>
      <c r="E561">
        <v>3</v>
      </c>
      <c r="F561">
        <v>0.0216</v>
      </c>
      <c r="G561">
        <v>1</v>
      </c>
      <c r="H561">
        <v>0</v>
      </c>
      <c r="I561">
        <v>0</v>
      </c>
      <c r="J561">
        <v>0</v>
      </c>
      <c r="K561" t="s">
        <v>38</v>
      </c>
      <c r="L561">
        <v>0</v>
      </c>
    </row>
    <row r="562" spans="1:12">
      <c r="A562" s="71">
        <v>43370</v>
      </c>
      <c r="B562" t="s">
        <v>23</v>
      </c>
      <c r="C562">
        <v>3</v>
      </c>
      <c r="D562">
        <v>0.0265</v>
      </c>
      <c r="E562">
        <v>3</v>
      </c>
      <c r="F562">
        <v>0.0216</v>
      </c>
      <c r="G562">
        <v>1</v>
      </c>
      <c r="H562">
        <v>0</v>
      </c>
      <c r="I562">
        <v>0</v>
      </c>
      <c r="J562">
        <v>0</v>
      </c>
      <c r="K562" t="s">
        <v>38</v>
      </c>
      <c r="L562">
        <v>0</v>
      </c>
    </row>
    <row r="563" spans="1:12">
      <c r="A563" s="71">
        <v>43370</v>
      </c>
      <c r="B563" t="s">
        <v>22</v>
      </c>
      <c r="C563">
        <v>63</v>
      </c>
      <c r="D563">
        <v>0.5575</v>
      </c>
      <c r="E563">
        <v>84</v>
      </c>
      <c r="F563">
        <v>0.6043</v>
      </c>
      <c r="G563">
        <v>0.99</v>
      </c>
      <c r="H563">
        <v>14</v>
      </c>
      <c r="I563">
        <v>0.2222</v>
      </c>
      <c r="J563">
        <v>181.58</v>
      </c>
      <c r="K563" t="s">
        <v>47</v>
      </c>
      <c r="L563">
        <v>0.158730158730159</v>
      </c>
    </row>
    <row r="564" spans="1:12">
      <c r="A564" s="71">
        <v>43370</v>
      </c>
      <c r="B564" t="s">
        <v>18</v>
      </c>
      <c r="C564">
        <v>26</v>
      </c>
      <c r="D564">
        <v>0.2301</v>
      </c>
      <c r="E564">
        <v>31</v>
      </c>
      <c r="F564">
        <v>0.223</v>
      </c>
      <c r="G564">
        <v>1</v>
      </c>
      <c r="H564">
        <v>3</v>
      </c>
      <c r="I564">
        <v>0.1154</v>
      </c>
      <c r="J564">
        <v>82.47</v>
      </c>
      <c r="K564" t="s">
        <v>41</v>
      </c>
      <c r="L564">
        <v>0.115384615384615</v>
      </c>
    </row>
    <row r="565" spans="1:12">
      <c r="A565" s="71">
        <v>43370</v>
      </c>
      <c r="B565" t="s">
        <v>24</v>
      </c>
      <c r="C565">
        <v>8</v>
      </c>
      <c r="D565">
        <v>0.0708</v>
      </c>
      <c r="E565">
        <v>8</v>
      </c>
      <c r="F565">
        <v>0.0576</v>
      </c>
      <c r="G565">
        <v>1</v>
      </c>
      <c r="H565">
        <v>3</v>
      </c>
      <c r="I565">
        <v>0.375</v>
      </c>
      <c r="J565">
        <v>38.97</v>
      </c>
      <c r="K565" t="s">
        <v>41</v>
      </c>
      <c r="L565">
        <v>0.375</v>
      </c>
    </row>
    <row r="566" spans="1:12">
      <c r="A566" s="71">
        <v>43371</v>
      </c>
      <c r="B566" t="s">
        <v>21</v>
      </c>
      <c r="C566">
        <v>1</v>
      </c>
      <c r="D566">
        <v>0.0069</v>
      </c>
      <c r="E566">
        <v>2</v>
      </c>
      <c r="F566">
        <v>0.0096</v>
      </c>
      <c r="G566">
        <v>1</v>
      </c>
      <c r="H566">
        <v>0</v>
      </c>
      <c r="I566">
        <v>0</v>
      </c>
      <c r="J566">
        <v>0</v>
      </c>
      <c r="K566" t="s">
        <v>38</v>
      </c>
      <c r="L566">
        <v>0</v>
      </c>
    </row>
    <row r="567" spans="1:12">
      <c r="A567" s="71">
        <v>43371</v>
      </c>
      <c r="B567" t="s">
        <v>23</v>
      </c>
      <c r="C567">
        <v>8</v>
      </c>
      <c r="D567">
        <v>0.0556</v>
      </c>
      <c r="E567">
        <v>13</v>
      </c>
      <c r="F567">
        <v>0.0622</v>
      </c>
      <c r="G567">
        <v>1</v>
      </c>
      <c r="H567">
        <v>0</v>
      </c>
      <c r="I567">
        <v>0</v>
      </c>
      <c r="J567">
        <v>0</v>
      </c>
      <c r="K567" t="s">
        <v>38</v>
      </c>
      <c r="L567">
        <v>0</v>
      </c>
    </row>
    <row r="568" spans="1:12">
      <c r="A568" s="71">
        <v>43371</v>
      </c>
      <c r="B568" t="s">
        <v>20</v>
      </c>
      <c r="C568">
        <v>4</v>
      </c>
      <c r="D568">
        <v>0.0278</v>
      </c>
      <c r="E568">
        <v>5</v>
      </c>
      <c r="F568">
        <v>0.0239</v>
      </c>
      <c r="G568">
        <v>1</v>
      </c>
      <c r="H568">
        <v>0</v>
      </c>
      <c r="I568">
        <v>0</v>
      </c>
      <c r="J568">
        <v>0</v>
      </c>
      <c r="K568" t="s">
        <v>38</v>
      </c>
      <c r="L568">
        <v>0</v>
      </c>
    </row>
    <row r="569" spans="1:12">
      <c r="A569" s="71">
        <v>43371</v>
      </c>
      <c r="B569" t="s">
        <v>18</v>
      </c>
      <c r="C569">
        <v>36</v>
      </c>
      <c r="D569">
        <v>0.25</v>
      </c>
      <c r="E569">
        <v>49</v>
      </c>
      <c r="F569">
        <v>0.2344</v>
      </c>
      <c r="G569">
        <v>1</v>
      </c>
      <c r="H569">
        <v>5</v>
      </c>
      <c r="I569">
        <v>0.1389</v>
      </c>
      <c r="J569">
        <v>137.45</v>
      </c>
      <c r="K569" t="s">
        <v>43</v>
      </c>
      <c r="L569">
        <v>0.138888888888889</v>
      </c>
    </row>
    <row r="570" spans="1:12">
      <c r="A570" s="71">
        <v>43371</v>
      </c>
      <c r="B570" t="s">
        <v>19</v>
      </c>
      <c r="C570">
        <v>20</v>
      </c>
      <c r="D570">
        <v>0.1389</v>
      </c>
      <c r="E570">
        <v>32</v>
      </c>
      <c r="F570">
        <v>0.1531</v>
      </c>
      <c r="G570">
        <v>1</v>
      </c>
      <c r="H570">
        <v>4</v>
      </c>
      <c r="I570">
        <v>0.2</v>
      </c>
      <c r="J570">
        <v>65.96</v>
      </c>
      <c r="K570" t="s">
        <v>40</v>
      </c>
      <c r="L570">
        <v>0.1</v>
      </c>
    </row>
    <row r="571" spans="1:12">
      <c r="A571" s="71">
        <v>43371</v>
      </c>
      <c r="B571" t="s">
        <v>24</v>
      </c>
      <c r="C571">
        <v>14</v>
      </c>
      <c r="D571">
        <v>0.0972</v>
      </c>
      <c r="E571">
        <v>18</v>
      </c>
      <c r="F571">
        <v>0.0861</v>
      </c>
      <c r="G571">
        <v>1</v>
      </c>
      <c r="H571">
        <v>2</v>
      </c>
      <c r="I571">
        <v>0.1429</v>
      </c>
      <c r="J571">
        <v>25.98</v>
      </c>
      <c r="K571" t="s">
        <v>40</v>
      </c>
      <c r="L571">
        <v>0.142857142857143</v>
      </c>
    </row>
    <row r="572" spans="1:12">
      <c r="A572" s="71">
        <v>43371</v>
      </c>
      <c r="B572" t="s">
        <v>22</v>
      </c>
      <c r="C572">
        <v>61</v>
      </c>
      <c r="D572">
        <v>0.4236</v>
      </c>
      <c r="E572">
        <v>90</v>
      </c>
      <c r="F572">
        <v>0.4306</v>
      </c>
      <c r="G572">
        <v>1</v>
      </c>
      <c r="H572">
        <v>25</v>
      </c>
      <c r="I572">
        <v>0.4098</v>
      </c>
      <c r="J572">
        <v>324.25</v>
      </c>
      <c r="K572" t="s">
        <v>43</v>
      </c>
      <c r="L572">
        <v>0.0819672131147541</v>
      </c>
    </row>
    <row r="573" spans="1:12">
      <c r="A573" s="71">
        <v>43372</v>
      </c>
      <c r="B573" t="s">
        <v>21</v>
      </c>
      <c r="C573">
        <v>1</v>
      </c>
      <c r="D573">
        <v>0.0088</v>
      </c>
      <c r="E573">
        <v>1</v>
      </c>
      <c r="F573">
        <v>0.0067</v>
      </c>
      <c r="G573">
        <v>1</v>
      </c>
      <c r="H573">
        <v>0</v>
      </c>
      <c r="I573">
        <v>0</v>
      </c>
      <c r="J573">
        <v>0</v>
      </c>
      <c r="K573" t="s">
        <v>38</v>
      </c>
      <c r="L573">
        <v>0</v>
      </c>
    </row>
    <row r="574" spans="1:12">
      <c r="A574" s="71">
        <v>43372</v>
      </c>
      <c r="B574" t="s">
        <v>23</v>
      </c>
      <c r="C574">
        <v>1</v>
      </c>
      <c r="D574">
        <v>0.0088</v>
      </c>
      <c r="E574">
        <v>1</v>
      </c>
      <c r="F574">
        <v>0.0067</v>
      </c>
      <c r="G574">
        <v>1</v>
      </c>
      <c r="H574">
        <v>0</v>
      </c>
      <c r="I574">
        <v>0</v>
      </c>
      <c r="J574">
        <v>0</v>
      </c>
      <c r="K574" t="s">
        <v>38</v>
      </c>
      <c r="L574">
        <v>0</v>
      </c>
    </row>
    <row r="575" spans="1:12">
      <c r="A575" s="71">
        <v>43372</v>
      </c>
      <c r="B575" t="s">
        <v>24</v>
      </c>
      <c r="C575">
        <v>9</v>
      </c>
      <c r="D575">
        <v>0.0789</v>
      </c>
      <c r="E575">
        <v>11</v>
      </c>
      <c r="F575">
        <v>0.0738</v>
      </c>
      <c r="G575">
        <v>1</v>
      </c>
      <c r="H575">
        <v>0</v>
      </c>
      <c r="I575">
        <v>0</v>
      </c>
      <c r="J575">
        <v>0</v>
      </c>
      <c r="K575" t="s">
        <v>38</v>
      </c>
      <c r="L575">
        <v>0</v>
      </c>
    </row>
    <row r="576" spans="1:12">
      <c r="A576" s="71">
        <v>43372</v>
      </c>
      <c r="B576" t="s">
        <v>20</v>
      </c>
      <c r="C576">
        <v>4</v>
      </c>
      <c r="D576">
        <v>0.0351</v>
      </c>
      <c r="E576">
        <v>5</v>
      </c>
      <c r="F576">
        <v>0.0336</v>
      </c>
      <c r="G576">
        <v>1</v>
      </c>
      <c r="H576">
        <v>0</v>
      </c>
      <c r="I576">
        <v>0</v>
      </c>
      <c r="J576">
        <v>0</v>
      </c>
      <c r="K576" t="s">
        <v>38</v>
      </c>
      <c r="L576">
        <v>0</v>
      </c>
    </row>
    <row r="577" spans="1:12">
      <c r="A577" s="71">
        <v>43372</v>
      </c>
      <c r="B577" t="s">
        <v>18</v>
      </c>
      <c r="C577">
        <v>42</v>
      </c>
      <c r="D577">
        <v>0.3684</v>
      </c>
      <c r="E577">
        <v>54</v>
      </c>
      <c r="F577">
        <v>0.3624</v>
      </c>
      <c r="G577">
        <v>1</v>
      </c>
      <c r="H577">
        <v>5</v>
      </c>
      <c r="I577">
        <v>0.119</v>
      </c>
      <c r="J577">
        <v>137.45</v>
      </c>
      <c r="K577" t="s">
        <v>43</v>
      </c>
      <c r="L577">
        <v>0.119047619047619</v>
      </c>
    </row>
    <row r="578" spans="1:12">
      <c r="A578" s="71">
        <v>43372</v>
      </c>
      <c r="B578" t="s">
        <v>19</v>
      </c>
      <c r="C578">
        <v>9</v>
      </c>
      <c r="D578">
        <v>0.0789</v>
      </c>
      <c r="E578">
        <v>15</v>
      </c>
      <c r="F578">
        <v>0.1007</v>
      </c>
      <c r="G578">
        <v>1</v>
      </c>
      <c r="H578">
        <v>3</v>
      </c>
      <c r="I578">
        <v>0.3333</v>
      </c>
      <c r="J578">
        <v>50.91</v>
      </c>
      <c r="K578" t="s">
        <v>40</v>
      </c>
      <c r="L578">
        <v>0.222222222222222</v>
      </c>
    </row>
    <row r="579" spans="1:12">
      <c r="A579" s="71">
        <v>43372</v>
      </c>
      <c r="B579" t="s">
        <v>22</v>
      </c>
      <c r="C579">
        <v>48</v>
      </c>
      <c r="D579">
        <v>0.4211</v>
      </c>
      <c r="E579">
        <v>62</v>
      </c>
      <c r="F579">
        <v>0.4161</v>
      </c>
      <c r="G579">
        <v>1</v>
      </c>
      <c r="H579">
        <v>10</v>
      </c>
      <c r="I579">
        <v>0.2083</v>
      </c>
      <c r="J579">
        <v>129.7</v>
      </c>
      <c r="K579" t="s">
        <v>47</v>
      </c>
      <c r="L579">
        <v>0.208333333333333</v>
      </c>
    </row>
    <row r="580" spans="1:12">
      <c r="A580" s="71">
        <v>43373</v>
      </c>
      <c r="B580" t="s">
        <v>23</v>
      </c>
      <c r="C580">
        <v>2</v>
      </c>
      <c r="D580">
        <v>0.0088</v>
      </c>
      <c r="E580">
        <v>2</v>
      </c>
      <c r="F580">
        <v>0.0071</v>
      </c>
      <c r="G580">
        <v>1</v>
      </c>
      <c r="H580">
        <v>0</v>
      </c>
      <c r="I580">
        <v>0</v>
      </c>
      <c r="J580">
        <v>0</v>
      </c>
      <c r="K580" t="s">
        <v>38</v>
      </c>
      <c r="L580">
        <v>0</v>
      </c>
    </row>
    <row r="581" spans="1:12">
      <c r="A581" s="71">
        <v>43373</v>
      </c>
      <c r="B581" t="s">
        <v>20</v>
      </c>
      <c r="C581">
        <v>4</v>
      </c>
      <c r="D581">
        <v>0.0177</v>
      </c>
      <c r="E581">
        <v>4</v>
      </c>
      <c r="F581">
        <v>0.0143</v>
      </c>
      <c r="G581">
        <v>1</v>
      </c>
      <c r="H581">
        <v>0</v>
      </c>
      <c r="I581">
        <v>0</v>
      </c>
      <c r="J581">
        <v>0</v>
      </c>
      <c r="K581" t="s">
        <v>38</v>
      </c>
      <c r="L581">
        <v>0</v>
      </c>
    </row>
    <row r="582" spans="1:12">
      <c r="A582" s="71">
        <v>43373</v>
      </c>
      <c r="B582" t="s">
        <v>18</v>
      </c>
      <c r="C582">
        <v>34</v>
      </c>
      <c r="D582">
        <v>0.1504</v>
      </c>
      <c r="E582">
        <v>44</v>
      </c>
      <c r="F582">
        <v>0.1571</v>
      </c>
      <c r="G582">
        <v>1</v>
      </c>
      <c r="H582">
        <v>4</v>
      </c>
      <c r="I582">
        <v>0.1176</v>
      </c>
      <c r="J582">
        <v>109.96</v>
      </c>
      <c r="K582" t="s">
        <v>42</v>
      </c>
      <c r="L582">
        <v>0.117647058823529</v>
      </c>
    </row>
    <row r="583" spans="1:12">
      <c r="A583" s="71">
        <v>43373</v>
      </c>
      <c r="B583" t="s">
        <v>19</v>
      </c>
      <c r="C583">
        <v>15</v>
      </c>
      <c r="D583">
        <v>0.0664</v>
      </c>
      <c r="E583">
        <v>21</v>
      </c>
      <c r="F583">
        <v>0.075</v>
      </c>
      <c r="G583">
        <v>1</v>
      </c>
      <c r="H583">
        <v>2</v>
      </c>
      <c r="I583">
        <v>0.1333</v>
      </c>
      <c r="J583">
        <v>33.94</v>
      </c>
      <c r="K583" t="s">
        <v>40</v>
      </c>
      <c r="L583">
        <v>0.133333333333333</v>
      </c>
    </row>
    <row r="584" spans="1:12">
      <c r="A584" s="71">
        <v>43373</v>
      </c>
      <c r="B584" t="s">
        <v>22</v>
      </c>
      <c r="C584">
        <v>157</v>
      </c>
      <c r="D584">
        <v>0.6947</v>
      </c>
      <c r="E584">
        <v>192</v>
      </c>
      <c r="F584">
        <v>0.6857</v>
      </c>
      <c r="G584">
        <v>1</v>
      </c>
      <c r="H584">
        <v>33</v>
      </c>
      <c r="I584">
        <v>0.2102</v>
      </c>
      <c r="J584">
        <v>428.01</v>
      </c>
      <c r="K584" t="s">
        <v>58</v>
      </c>
      <c r="L584">
        <v>0.203821656050955</v>
      </c>
    </row>
    <row r="585" spans="1:12">
      <c r="A585" s="71">
        <v>43373</v>
      </c>
      <c r="B585" t="s">
        <v>24</v>
      </c>
      <c r="C585">
        <v>14</v>
      </c>
      <c r="D585">
        <v>0.0619</v>
      </c>
      <c r="E585">
        <v>17</v>
      </c>
      <c r="F585">
        <v>0.0607</v>
      </c>
      <c r="G585">
        <v>1</v>
      </c>
      <c r="H585">
        <v>1</v>
      </c>
      <c r="I585">
        <v>0.0714</v>
      </c>
      <c r="J585">
        <v>12.99</v>
      </c>
      <c r="K585" t="s">
        <v>39</v>
      </c>
      <c r="L585">
        <v>0.0714285714285714</v>
      </c>
    </row>
    <row r="586" spans="1:12">
      <c r="A586" s="71">
        <v>43374</v>
      </c>
      <c r="B586" t="s">
        <v>20</v>
      </c>
      <c r="C586">
        <v>6</v>
      </c>
      <c r="D586">
        <v>0.0231</v>
      </c>
      <c r="E586">
        <v>7</v>
      </c>
      <c r="F586">
        <v>0.0213</v>
      </c>
      <c r="G586">
        <v>1</v>
      </c>
      <c r="H586">
        <v>0</v>
      </c>
      <c r="I586">
        <v>0</v>
      </c>
      <c r="J586">
        <v>0</v>
      </c>
      <c r="K586" t="s">
        <v>38</v>
      </c>
      <c r="L586">
        <v>0</v>
      </c>
    </row>
    <row r="587" spans="1:12">
      <c r="A587" s="71">
        <v>43374</v>
      </c>
      <c r="B587" t="s">
        <v>24</v>
      </c>
      <c r="C587">
        <v>11</v>
      </c>
      <c r="D587">
        <v>0.0423</v>
      </c>
      <c r="E587">
        <v>13</v>
      </c>
      <c r="F587">
        <v>0.0396</v>
      </c>
      <c r="G587">
        <v>0.92</v>
      </c>
      <c r="H587">
        <v>0</v>
      </c>
      <c r="I587">
        <v>0</v>
      </c>
      <c r="J587">
        <v>0</v>
      </c>
      <c r="K587" t="s">
        <v>38</v>
      </c>
      <c r="L587">
        <v>0</v>
      </c>
    </row>
    <row r="588" spans="1:12">
      <c r="A588" s="71">
        <v>43374</v>
      </c>
      <c r="B588" t="s">
        <v>22</v>
      </c>
      <c r="C588">
        <v>196</v>
      </c>
      <c r="D588">
        <v>0.7538</v>
      </c>
      <c r="E588">
        <v>249</v>
      </c>
      <c r="F588">
        <v>0.7591</v>
      </c>
      <c r="G588">
        <v>0.99</v>
      </c>
      <c r="H588">
        <v>54</v>
      </c>
      <c r="I588">
        <v>0.2755</v>
      </c>
      <c r="J588">
        <v>700.38</v>
      </c>
      <c r="K588" t="s">
        <v>59</v>
      </c>
      <c r="L588">
        <v>0.25</v>
      </c>
    </row>
    <row r="589" spans="1:12">
      <c r="A589" s="71">
        <v>43374</v>
      </c>
      <c r="B589" t="s">
        <v>18</v>
      </c>
      <c r="C589">
        <v>33</v>
      </c>
      <c r="D589">
        <v>0.1269</v>
      </c>
      <c r="E589">
        <v>40</v>
      </c>
      <c r="F589">
        <v>0.122</v>
      </c>
      <c r="G589">
        <v>1</v>
      </c>
      <c r="H589">
        <v>3</v>
      </c>
      <c r="I589">
        <v>0.0909</v>
      </c>
      <c r="J589">
        <v>82.47</v>
      </c>
      <c r="K589" t="s">
        <v>41</v>
      </c>
      <c r="L589">
        <v>0.0909090909090909</v>
      </c>
    </row>
    <row r="590" spans="1:12">
      <c r="A590" s="71">
        <v>43374</v>
      </c>
      <c r="B590" t="s">
        <v>19</v>
      </c>
      <c r="C590">
        <v>14</v>
      </c>
      <c r="D590">
        <v>0.0538</v>
      </c>
      <c r="E590">
        <v>19</v>
      </c>
      <c r="F590">
        <v>0.0579</v>
      </c>
      <c r="G590">
        <v>1</v>
      </c>
      <c r="H590">
        <v>1</v>
      </c>
      <c r="I590">
        <v>0.0714</v>
      </c>
      <c r="J590">
        <v>16.97</v>
      </c>
      <c r="K590" t="s">
        <v>39</v>
      </c>
      <c r="L590">
        <v>0.0714285714285714</v>
      </c>
    </row>
    <row r="591" spans="1:12">
      <c r="A591" s="71">
        <v>43375</v>
      </c>
      <c r="B591" t="s">
        <v>20</v>
      </c>
      <c r="C591">
        <v>2</v>
      </c>
      <c r="D591">
        <v>0.0142</v>
      </c>
      <c r="E591">
        <v>2</v>
      </c>
      <c r="F591">
        <v>0.0104</v>
      </c>
      <c r="G591">
        <v>1</v>
      </c>
      <c r="H591">
        <v>0</v>
      </c>
      <c r="I591">
        <v>0</v>
      </c>
      <c r="J591">
        <v>0</v>
      </c>
      <c r="K591" t="s">
        <v>38</v>
      </c>
      <c r="L591">
        <v>0</v>
      </c>
    </row>
    <row r="592" spans="1:12">
      <c r="A592" s="71">
        <v>43375</v>
      </c>
      <c r="B592" t="s">
        <v>24</v>
      </c>
      <c r="C592">
        <v>19</v>
      </c>
      <c r="D592">
        <v>0.1348</v>
      </c>
      <c r="E592">
        <v>25</v>
      </c>
      <c r="F592">
        <v>0.1302</v>
      </c>
      <c r="G592">
        <v>0.96</v>
      </c>
      <c r="H592">
        <v>2</v>
      </c>
      <c r="I592">
        <v>0.1053</v>
      </c>
      <c r="J592">
        <v>25.98</v>
      </c>
      <c r="K592" t="s">
        <v>40</v>
      </c>
      <c r="L592">
        <v>0.105263157894737</v>
      </c>
    </row>
    <row r="593" spans="1:12">
      <c r="A593" s="71">
        <v>43375</v>
      </c>
      <c r="B593" t="s">
        <v>23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2</v>
      </c>
      <c r="I593">
        <v>0</v>
      </c>
      <c r="J593">
        <v>23.98</v>
      </c>
      <c r="K593" t="s">
        <v>39</v>
      </c>
      <c r="L593">
        <v>0</v>
      </c>
    </row>
    <row r="594" spans="1:12">
      <c r="A594" s="71">
        <v>43375</v>
      </c>
      <c r="B594" t="s">
        <v>18</v>
      </c>
      <c r="C594">
        <v>41</v>
      </c>
      <c r="D594">
        <v>0.2908</v>
      </c>
      <c r="E594">
        <v>65</v>
      </c>
      <c r="F594">
        <v>0.3385</v>
      </c>
      <c r="G594">
        <v>1</v>
      </c>
      <c r="H594">
        <v>3</v>
      </c>
      <c r="I594">
        <v>0.0732</v>
      </c>
      <c r="J594">
        <v>82.47</v>
      </c>
      <c r="K594" t="s">
        <v>41</v>
      </c>
      <c r="L594">
        <v>0.0731707317073171</v>
      </c>
    </row>
    <row r="595" spans="1:12">
      <c r="A595" s="71">
        <v>43375</v>
      </c>
      <c r="B595" t="s">
        <v>19</v>
      </c>
      <c r="C595">
        <v>15</v>
      </c>
      <c r="D595">
        <v>0.1064</v>
      </c>
      <c r="E595">
        <v>17</v>
      </c>
      <c r="F595">
        <v>0.0885</v>
      </c>
      <c r="G595">
        <v>1</v>
      </c>
      <c r="H595">
        <v>2</v>
      </c>
      <c r="I595">
        <v>0.1333</v>
      </c>
      <c r="J595">
        <v>33.94</v>
      </c>
      <c r="K595" t="s">
        <v>40</v>
      </c>
      <c r="L595">
        <v>0.133333333333333</v>
      </c>
    </row>
    <row r="596" spans="1:12">
      <c r="A596" s="71">
        <v>43375</v>
      </c>
      <c r="B596" t="s">
        <v>22</v>
      </c>
      <c r="C596">
        <v>64</v>
      </c>
      <c r="D596">
        <v>0.4539</v>
      </c>
      <c r="E596">
        <v>83</v>
      </c>
      <c r="F596">
        <v>0.4323</v>
      </c>
      <c r="G596">
        <v>1</v>
      </c>
      <c r="H596">
        <v>9</v>
      </c>
      <c r="I596">
        <v>0.1406</v>
      </c>
      <c r="J596">
        <v>116.73</v>
      </c>
      <c r="K596" t="s">
        <v>46</v>
      </c>
      <c r="L596">
        <v>0.109375</v>
      </c>
    </row>
    <row r="597" spans="1:12">
      <c r="A597" s="71">
        <v>43376</v>
      </c>
      <c r="B597" t="s">
        <v>20</v>
      </c>
      <c r="C597">
        <v>4</v>
      </c>
      <c r="D597">
        <v>0.0367</v>
      </c>
      <c r="E597">
        <v>4</v>
      </c>
      <c r="F597">
        <v>0.029</v>
      </c>
      <c r="G597">
        <v>1</v>
      </c>
      <c r="H597">
        <v>0</v>
      </c>
      <c r="I597">
        <v>0</v>
      </c>
      <c r="J597">
        <v>0</v>
      </c>
      <c r="K597" t="s">
        <v>38</v>
      </c>
      <c r="L597">
        <v>0</v>
      </c>
    </row>
    <row r="598" spans="1:12">
      <c r="A598" s="71">
        <v>43376</v>
      </c>
      <c r="B598" t="s">
        <v>22</v>
      </c>
      <c r="C598">
        <v>47</v>
      </c>
      <c r="D598">
        <v>0.4312</v>
      </c>
      <c r="E598">
        <v>62</v>
      </c>
      <c r="F598">
        <v>0.4493</v>
      </c>
      <c r="G598">
        <v>0.98</v>
      </c>
      <c r="H598">
        <v>12</v>
      </c>
      <c r="I598">
        <v>0.2553</v>
      </c>
      <c r="J598">
        <v>155.64</v>
      </c>
      <c r="K598" t="s">
        <v>47</v>
      </c>
      <c r="L598">
        <v>0.212765957446808</v>
      </c>
    </row>
    <row r="599" spans="1:12">
      <c r="A599" s="71">
        <v>43376</v>
      </c>
      <c r="B599" t="s">
        <v>18</v>
      </c>
      <c r="C599">
        <v>30</v>
      </c>
      <c r="D599">
        <v>0.2752</v>
      </c>
      <c r="E599">
        <v>40</v>
      </c>
      <c r="F599">
        <v>0.2899</v>
      </c>
      <c r="G599">
        <v>1</v>
      </c>
      <c r="H599">
        <v>4</v>
      </c>
      <c r="I599">
        <v>0.1333</v>
      </c>
      <c r="J599">
        <v>109.96</v>
      </c>
      <c r="K599" t="s">
        <v>42</v>
      </c>
      <c r="L599">
        <v>0.133333333333333</v>
      </c>
    </row>
    <row r="600" spans="1:12">
      <c r="A600" s="71">
        <v>43376</v>
      </c>
      <c r="B600" t="s">
        <v>19</v>
      </c>
      <c r="C600">
        <v>17</v>
      </c>
      <c r="D600">
        <v>0.156</v>
      </c>
      <c r="E600">
        <v>20</v>
      </c>
      <c r="F600">
        <v>0.1449</v>
      </c>
      <c r="G600">
        <v>1</v>
      </c>
      <c r="H600">
        <v>3</v>
      </c>
      <c r="I600">
        <v>0.1765</v>
      </c>
      <c r="J600">
        <v>50.91</v>
      </c>
      <c r="K600" t="s">
        <v>40</v>
      </c>
      <c r="L600">
        <v>0.117647058823529</v>
      </c>
    </row>
    <row r="601" spans="1:12">
      <c r="A601" s="71">
        <v>43376</v>
      </c>
      <c r="B601" t="s">
        <v>24</v>
      </c>
      <c r="C601">
        <v>11</v>
      </c>
      <c r="D601">
        <v>0.1009</v>
      </c>
      <c r="E601">
        <v>12</v>
      </c>
      <c r="F601">
        <v>0.087</v>
      </c>
      <c r="G601">
        <v>1</v>
      </c>
      <c r="H601">
        <v>2</v>
      </c>
      <c r="I601">
        <v>0.1818</v>
      </c>
      <c r="J601">
        <v>25.98</v>
      </c>
      <c r="K601" t="s">
        <v>40</v>
      </c>
      <c r="L601">
        <v>0.181818181818182</v>
      </c>
    </row>
    <row r="602" spans="1:12">
      <c r="A602" s="71">
        <v>43377</v>
      </c>
      <c r="B602" t="s">
        <v>24</v>
      </c>
      <c r="C602">
        <v>8</v>
      </c>
      <c r="D602">
        <v>0.0667</v>
      </c>
      <c r="E602">
        <v>8</v>
      </c>
      <c r="F602">
        <v>0.0396</v>
      </c>
      <c r="G602">
        <v>1</v>
      </c>
      <c r="H602">
        <v>4</v>
      </c>
      <c r="I602">
        <v>0.5</v>
      </c>
      <c r="J602">
        <v>51.96</v>
      </c>
      <c r="K602" t="s">
        <v>42</v>
      </c>
      <c r="L602">
        <v>0.5</v>
      </c>
    </row>
    <row r="603" spans="1:12">
      <c r="A603" s="71">
        <v>43377</v>
      </c>
      <c r="B603" t="s">
        <v>18</v>
      </c>
      <c r="C603">
        <v>33</v>
      </c>
      <c r="D603">
        <v>0.275</v>
      </c>
      <c r="E603">
        <v>64</v>
      </c>
      <c r="F603">
        <v>0.3168</v>
      </c>
      <c r="G603">
        <v>1</v>
      </c>
      <c r="H603">
        <v>3</v>
      </c>
      <c r="I603">
        <v>0.0909</v>
      </c>
      <c r="J603">
        <v>82.47</v>
      </c>
      <c r="K603" t="s">
        <v>41</v>
      </c>
      <c r="L603">
        <v>0.0909090909090909</v>
      </c>
    </row>
    <row r="604" spans="1:12">
      <c r="A604" s="71">
        <v>43377</v>
      </c>
      <c r="B604" t="s">
        <v>19</v>
      </c>
      <c r="C604">
        <v>21</v>
      </c>
      <c r="D604">
        <v>0.175</v>
      </c>
      <c r="E604">
        <v>36</v>
      </c>
      <c r="F604">
        <v>0.1782</v>
      </c>
      <c r="G604">
        <v>1</v>
      </c>
      <c r="H604">
        <v>2</v>
      </c>
      <c r="I604">
        <v>0.0952</v>
      </c>
      <c r="J604">
        <v>33.94</v>
      </c>
      <c r="K604" t="s">
        <v>40</v>
      </c>
      <c r="L604">
        <v>0.0952380952380952</v>
      </c>
    </row>
    <row r="605" spans="1:12">
      <c r="A605" s="71">
        <v>43377</v>
      </c>
      <c r="B605" t="s">
        <v>22</v>
      </c>
      <c r="C605">
        <v>55</v>
      </c>
      <c r="D605">
        <v>0.4583</v>
      </c>
      <c r="E605">
        <v>91</v>
      </c>
      <c r="F605">
        <v>0.4505</v>
      </c>
      <c r="G605">
        <v>1</v>
      </c>
      <c r="H605">
        <v>6</v>
      </c>
      <c r="I605">
        <v>0.1091</v>
      </c>
      <c r="J605">
        <v>77.82</v>
      </c>
      <c r="K605" t="s">
        <v>45</v>
      </c>
      <c r="L605">
        <v>0.109090909090909</v>
      </c>
    </row>
    <row r="606" spans="1:12">
      <c r="A606" s="71">
        <v>43377</v>
      </c>
      <c r="B606" t="s">
        <v>20</v>
      </c>
      <c r="C606">
        <v>3</v>
      </c>
      <c r="D606">
        <v>0.025</v>
      </c>
      <c r="E606">
        <v>3</v>
      </c>
      <c r="F606">
        <v>0.0149</v>
      </c>
      <c r="G606">
        <v>1</v>
      </c>
      <c r="H606">
        <v>1</v>
      </c>
      <c r="I606">
        <v>0.3333</v>
      </c>
      <c r="J606">
        <v>15.99</v>
      </c>
      <c r="K606" t="s">
        <v>39</v>
      </c>
      <c r="L606">
        <v>0.333333333333333</v>
      </c>
    </row>
    <row r="607" spans="1:12">
      <c r="A607" s="71">
        <v>43378</v>
      </c>
      <c r="B607" t="s">
        <v>20</v>
      </c>
      <c r="C607">
        <v>1</v>
      </c>
      <c r="D607">
        <v>0.0092</v>
      </c>
      <c r="E607">
        <v>3</v>
      </c>
      <c r="F607">
        <v>0.0133</v>
      </c>
      <c r="G607">
        <v>1</v>
      </c>
      <c r="H607">
        <v>0</v>
      </c>
      <c r="I607">
        <v>0</v>
      </c>
      <c r="J607">
        <v>0</v>
      </c>
      <c r="K607" t="s">
        <v>38</v>
      </c>
      <c r="L607">
        <v>0</v>
      </c>
    </row>
    <row r="608" spans="1:12">
      <c r="A608" s="71">
        <v>43378</v>
      </c>
      <c r="B608" t="s">
        <v>24</v>
      </c>
      <c r="C608">
        <v>17</v>
      </c>
      <c r="D608">
        <v>0.156</v>
      </c>
      <c r="E608">
        <v>21</v>
      </c>
      <c r="F608">
        <v>0.0933</v>
      </c>
      <c r="G608">
        <v>0.95</v>
      </c>
      <c r="H608">
        <v>3</v>
      </c>
      <c r="I608">
        <v>0.1765</v>
      </c>
      <c r="J608">
        <v>38.97</v>
      </c>
      <c r="K608" t="s">
        <v>41</v>
      </c>
      <c r="L608">
        <v>0.176470588235294</v>
      </c>
    </row>
    <row r="609" spans="1:12">
      <c r="A609" s="71">
        <v>43378</v>
      </c>
      <c r="B609" t="s">
        <v>18</v>
      </c>
      <c r="C609">
        <v>25</v>
      </c>
      <c r="D609">
        <v>0.2294</v>
      </c>
      <c r="E609">
        <v>61</v>
      </c>
      <c r="F609">
        <v>0.2711</v>
      </c>
      <c r="G609">
        <v>1</v>
      </c>
      <c r="H609">
        <v>4</v>
      </c>
      <c r="I609">
        <v>0.16</v>
      </c>
      <c r="J609">
        <v>109.96</v>
      </c>
      <c r="K609" t="s">
        <v>42</v>
      </c>
      <c r="L609">
        <v>0.16</v>
      </c>
    </row>
    <row r="610" spans="1:12">
      <c r="A610" s="71">
        <v>43378</v>
      </c>
      <c r="B610" t="s">
        <v>19</v>
      </c>
      <c r="C610">
        <v>14</v>
      </c>
      <c r="D610">
        <v>0.1284</v>
      </c>
      <c r="E610">
        <v>29</v>
      </c>
      <c r="F610">
        <v>0.1289</v>
      </c>
      <c r="G610">
        <v>1</v>
      </c>
      <c r="H610">
        <v>3</v>
      </c>
      <c r="I610">
        <v>0.2143</v>
      </c>
      <c r="J610">
        <v>50.91</v>
      </c>
      <c r="K610" t="s">
        <v>41</v>
      </c>
      <c r="L610">
        <v>0.214285714285714</v>
      </c>
    </row>
    <row r="611" spans="1:12">
      <c r="A611" s="71">
        <v>43378</v>
      </c>
      <c r="B611" t="s">
        <v>22</v>
      </c>
      <c r="C611">
        <v>52</v>
      </c>
      <c r="D611">
        <v>0.4771</v>
      </c>
      <c r="E611">
        <v>111</v>
      </c>
      <c r="F611">
        <v>0.4933</v>
      </c>
      <c r="G611">
        <v>1</v>
      </c>
      <c r="H611">
        <v>7</v>
      </c>
      <c r="I611">
        <v>0.1346</v>
      </c>
      <c r="J611">
        <v>90.79</v>
      </c>
      <c r="K611" t="s">
        <v>45</v>
      </c>
      <c r="L611">
        <v>0.115384615384615</v>
      </c>
    </row>
    <row r="612" spans="1:12">
      <c r="A612" s="71">
        <v>43379</v>
      </c>
      <c r="B612" t="s">
        <v>18</v>
      </c>
      <c r="C612">
        <v>27</v>
      </c>
      <c r="D612">
        <v>0.2477</v>
      </c>
      <c r="E612">
        <v>42</v>
      </c>
      <c r="F612">
        <v>0.1687</v>
      </c>
      <c r="G612">
        <v>1</v>
      </c>
      <c r="H612">
        <v>0</v>
      </c>
      <c r="I612">
        <v>0</v>
      </c>
      <c r="J612">
        <v>0</v>
      </c>
      <c r="K612" t="s">
        <v>38</v>
      </c>
      <c r="L612">
        <v>0</v>
      </c>
    </row>
    <row r="613" spans="1:12">
      <c r="A613" s="71">
        <v>43379</v>
      </c>
      <c r="B613" t="s">
        <v>24</v>
      </c>
      <c r="C613">
        <v>15</v>
      </c>
      <c r="D613">
        <v>0.1376</v>
      </c>
      <c r="E613">
        <v>19</v>
      </c>
      <c r="F613">
        <v>0.0763</v>
      </c>
      <c r="G613">
        <v>1</v>
      </c>
      <c r="H613">
        <v>3</v>
      </c>
      <c r="I613">
        <v>0.2</v>
      </c>
      <c r="J613">
        <v>38.97</v>
      </c>
      <c r="K613" t="s">
        <v>41</v>
      </c>
      <c r="L613">
        <v>0.2</v>
      </c>
    </row>
    <row r="614" spans="1:12">
      <c r="A614" s="71">
        <v>43379</v>
      </c>
      <c r="B614" t="s">
        <v>22</v>
      </c>
      <c r="C614">
        <v>42</v>
      </c>
      <c r="D614">
        <v>0.3853</v>
      </c>
      <c r="E614">
        <v>125</v>
      </c>
      <c r="F614">
        <v>0.502</v>
      </c>
      <c r="G614">
        <v>1</v>
      </c>
      <c r="H614">
        <v>7</v>
      </c>
      <c r="I614">
        <v>0.1667</v>
      </c>
      <c r="J614">
        <v>90.79</v>
      </c>
      <c r="K614" t="s">
        <v>45</v>
      </c>
      <c r="L614">
        <v>0.142857142857143</v>
      </c>
    </row>
    <row r="615" spans="1:12">
      <c r="A615" s="71">
        <v>43379</v>
      </c>
      <c r="B615" t="s">
        <v>19</v>
      </c>
      <c r="C615">
        <v>22</v>
      </c>
      <c r="D615">
        <v>0.2018</v>
      </c>
      <c r="E615">
        <v>56</v>
      </c>
      <c r="F615">
        <v>0.2249</v>
      </c>
      <c r="G615">
        <v>1</v>
      </c>
      <c r="H615">
        <v>1</v>
      </c>
      <c r="I615">
        <v>0.0455</v>
      </c>
      <c r="J615">
        <v>16.97</v>
      </c>
      <c r="K615" t="s">
        <v>39</v>
      </c>
      <c r="L615">
        <v>0.0454545454545455</v>
      </c>
    </row>
    <row r="616" spans="1:12">
      <c r="A616" s="71">
        <v>43379</v>
      </c>
      <c r="B616" t="s">
        <v>20</v>
      </c>
      <c r="C616">
        <v>3</v>
      </c>
      <c r="D616">
        <v>0.0275</v>
      </c>
      <c r="E616">
        <v>7</v>
      </c>
      <c r="F616">
        <v>0.0281</v>
      </c>
      <c r="G616">
        <v>1</v>
      </c>
      <c r="H616">
        <v>1</v>
      </c>
      <c r="I616">
        <v>0.3333</v>
      </c>
      <c r="J616">
        <v>15.99</v>
      </c>
      <c r="K616" t="s">
        <v>39</v>
      </c>
      <c r="L616">
        <v>0.333333333333333</v>
      </c>
    </row>
    <row r="617" spans="1:12">
      <c r="A617" s="71">
        <v>43380</v>
      </c>
      <c r="B617" t="s">
        <v>20</v>
      </c>
      <c r="C617">
        <v>4</v>
      </c>
      <c r="D617">
        <v>0.0313</v>
      </c>
      <c r="E617">
        <v>21</v>
      </c>
      <c r="F617">
        <v>0.0665</v>
      </c>
      <c r="G617">
        <v>1</v>
      </c>
      <c r="H617">
        <v>0</v>
      </c>
      <c r="I617">
        <v>0</v>
      </c>
      <c r="J617">
        <v>0</v>
      </c>
      <c r="K617" t="s">
        <v>38</v>
      </c>
      <c r="L617">
        <v>0</v>
      </c>
    </row>
    <row r="618" spans="1:12">
      <c r="A618" s="71">
        <v>43380</v>
      </c>
      <c r="B618" t="s">
        <v>22</v>
      </c>
      <c r="C618">
        <v>49</v>
      </c>
      <c r="D618">
        <v>0.3828</v>
      </c>
      <c r="E618">
        <v>135</v>
      </c>
      <c r="F618">
        <v>0.4272</v>
      </c>
      <c r="G618">
        <v>0.99</v>
      </c>
      <c r="H618">
        <v>6</v>
      </c>
      <c r="I618">
        <v>0.1224</v>
      </c>
      <c r="J618">
        <v>77.82</v>
      </c>
      <c r="K618" t="s">
        <v>43</v>
      </c>
      <c r="L618">
        <v>0.102040816326531</v>
      </c>
    </row>
    <row r="619" spans="1:12">
      <c r="A619" s="71">
        <v>43380</v>
      </c>
      <c r="B619" t="s">
        <v>19</v>
      </c>
      <c r="C619">
        <v>15</v>
      </c>
      <c r="D619">
        <v>0.1172</v>
      </c>
      <c r="E619">
        <v>36</v>
      </c>
      <c r="F619">
        <v>0.1139</v>
      </c>
      <c r="G619">
        <v>1</v>
      </c>
      <c r="H619">
        <v>2</v>
      </c>
      <c r="I619">
        <v>0.1333</v>
      </c>
      <c r="J619">
        <v>33.94</v>
      </c>
      <c r="K619" t="s">
        <v>40</v>
      </c>
      <c r="L619">
        <v>0.133333333333333</v>
      </c>
    </row>
    <row r="620" spans="1:12">
      <c r="A620" s="71">
        <v>43380</v>
      </c>
      <c r="B620" t="s">
        <v>18</v>
      </c>
      <c r="C620">
        <v>38</v>
      </c>
      <c r="D620">
        <v>0.2969</v>
      </c>
      <c r="E620">
        <v>95</v>
      </c>
      <c r="F620">
        <v>0.3006</v>
      </c>
      <c r="G620">
        <v>1</v>
      </c>
      <c r="H620">
        <v>1</v>
      </c>
      <c r="I620">
        <v>0.0263</v>
      </c>
      <c r="J620">
        <v>27.49</v>
      </c>
      <c r="K620" t="s">
        <v>39</v>
      </c>
      <c r="L620">
        <v>0.0263157894736842</v>
      </c>
    </row>
    <row r="621" spans="1:12">
      <c r="A621" s="71">
        <v>43380</v>
      </c>
      <c r="B621" t="s">
        <v>24</v>
      </c>
      <c r="C621">
        <v>22</v>
      </c>
      <c r="D621">
        <v>0.1719</v>
      </c>
      <c r="E621">
        <v>29</v>
      </c>
      <c r="F621">
        <v>0.0918</v>
      </c>
      <c r="G621">
        <v>1</v>
      </c>
      <c r="H621">
        <v>1</v>
      </c>
      <c r="I621">
        <v>0.0455</v>
      </c>
      <c r="J621">
        <v>12.99</v>
      </c>
      <c r="K621" t="s">
        <v>39</v>
      </c>
      <c r="L621">
        <v>0.0454545454545455</v>
      </c>
    </row>
    <row r="622" spans="1:12">
      <c r="A622" s="71">
        <v>43381</v>
      </c>
      <c r="B622" t="s">
        <v>20</v>
      </c>
      <c r="C622">
        <v>5</v>
      </c>
      <c r="D622">
        <v>0.0373</v>
      </c>
      <c r="E622">
        <v>6</v>
      </c>
      <c r="F622">
        <v>0.0233</v>
      </c>
      <c r="G622">
        <v>1</v>
      </c>
      <c r="H622">
        <v>0</v>
      </c>
      <c r="I622">
        <v>0</v>
      </c>
      <c r="J622">
        <v>0</v>
      </c>
      <c r="K622" t="s">
        <v>38</v>
      </c>
      <c r="L622">
        <v>0</v>
      </c>
    </row>
    <row r="623" spans="1:12">
      <c r="A623" s="71">
        <v>43381</v>
      </c>
      <c r="B623" t="s">
        <v>22</v>
      </c>
      <c r="C623">
        <v>64</v>
      </c>
      <c r="D623">
        <v>0.4776</v>
      </c>
      <c r="E623">
        <v>152</v>
      </c>
      <c r="F623">
        <v>0.5891</v>
      </c>
      <c r="G623">
        <v>0.99</v>
      </c>
      <c r="H623">
        <v>6</v>
      </c>
      <c r="I623">
        <v>0.0938</v>
      </c>
      <c r="J623">
        <v>77.82</v>
      </c>
      <c r="K623" t="s">
        <v>45</v>
      </c>
      <c r="L623">
        <v>0.09375</v>
      </c>
    </row>
    <row r="624" spans="1:12">
      <c r="A624" s="71">
        <v>43381</v>
      </c>
      <c r="B624" t="s">
        <v>24</v>
      </c>
      <c r="C624">
        <v>9</v>
      </c>
      <c r="D624">
        <v>0.0672</v>
      </c>
      <c r="E624">
        <v>19</v>
      </c>
      <c r="F624">
        <v>0.0736</v>
      </c>
      <c r="G624">
        <v>0.95</v>
      </c>
      <c r="H624">
        <v>3</v>
      </c>
      <c r="I624">
        <v>0.3333</v>
      </c>
      <c r="J624">
        <v>38.97</v>
      </c>
      <c r="K624" t="s">
        <v>40</v>
      </c>
      <c r="L624">
        <v>0.222222222222222</v>
      </c>
    </row>
    <row r="625" spans="1:12">
      <c r="A625" s="71">
        <v>43381</v>
      </c>
      <c r="B625" t="s">
        <v>18</v>
      </c>
      <c r="C625">
        <v>39</v>
      </c>
      <c r="D625">
        <v>0.291</v>
      </c>
      <c r="E625">
        <v>52</v>
      </c>
      <c r="F625">
        <v>0.2016</v>
      </c>
      <c r="G625">
        <v>1</v>
      </c>
      <c r="H625">
        <v>7</v>
      </c>
      <c r="I625">
        <v>0.1795</v>
      </c>
      <c r="J625">
        <v>192.43</v>
      </c>
      <c r="K625" t="s">
        <v>46</v>
      </c>
      <c r="L625">
        <v>0.17948717948718</v>
      </c>
    </row>
    <row r="626" spans="1:12">
      <c r="A626" s="71">
        <v>43381</v>
      </c>
      <c r="B626" t="s">
        <v>19</v>
      </c>
      <c r="C626">
        <v>17</v>
      </c>
      <c r="D626">
        <v>0.1269</v>
      </c>
      <c r="E626">
        <v>29</v>
      </c>
      <c r="F626">
        <v>0.1124</v>
      </c>
      <c r="G626">
        <v>1</v>
      </c>
      <c r="H626">
        <v>6</v>
      </c>
      <c r="I626">
        <v>0.3529</v>
      </c>
      <c r="J626">
        <v>101.82</v>
      </c>
      <c r="K626" t="s">
        <v>42</v>
      </c>
      <c r="L626">
        <v>0.235294117647059</v>
      </c>
    </row>
    <row r="627" spans="1:12">
      <c r="A627" s="71">
        <v>43382</v>
      </c>
      <c r="B627" t="s">
        <v>18</v>
      </c>
      <c r="C627">
        <v>35</v>
      </c>
      <c r="D627">
        <v>0.1882</v>
      </c>
      <c r="E627">
        <v>72</v>
      </c>
      <c r="F627">
        <v>0.1973</v>
      </c>
      <c r="G627">
        <v>1</v>
      </c>
      <c r="H627">
        <v>0</v>
      </c>
      <c r="I627">
        <v>0</v>
      </c>
      <c r="J627">
        <v>0</v>
      </c>
      <c r="K627" t="s">
        <v>38</v>
      </c>
      <c r="L627">
        <v>0</v>
      </c>
    </row>
    <row r="628" spans="1:12">
      <c r="A628" s="71">
        <v>43382</v>
      </c>
      <c r="B628" t="s">
        <v>19</v>
      </c>
      <c r="C628">
        <v>16</v>
      </c>
      <c r="D628">
        <v>0.086</v>
      </c>
      <c r="E628">
        <v>26</v>
      </c>
      <c r="F628">
        <v>0.0712</v>
      </c>
      <c r="G628">
        <v>1</v>
      </c>
      <c r="H628">
        <v>0</v>
      </c>
      <c r="I628">
        <v>0</v>
      </c>
      <c r="J628">
        <v>0</v>
      </c>
      <c r="K628" t="s">
        <v>38</v>
      </c>
      <c r="L628">
        <v>0</v>
      </c>
    </row>
    <row r="629" spans="1:12">
      <c r="A629" s="71">
        <v>43382</v>
      </c>
      <c r="B629" t="s">
        <v>20</v>
      </c>
      <c r="C629">
        <v>3</v>
      </c>
      <c r="D629">
        <v>0.0161</v>
      </c>
      <c r="E629">
        <v>7</v>
      </c>
      <c r="F629">
        <v>0.0192</v>
      </c>
      <c r="G629">
        <v>1</v>
      </c>
      <c r="H629">
        <v>0</v>
      </c>
      <c r="I629">
        <v>0</v>
      </c>
      <c r="J629">
        <v>0</v>
      </c>
      <c r="K629" t="s">
        <v>38</v>
      </c>
      <c r="L629">
        <v>0</v>
      </c>
    </row>
    <row r="630" spans="1:12">
      <c r="A630" s="71">
        <v>43382</v>
      </c>
      <c r="B630" t="s">
        <v>23</v>
      </c>
      <c r="C630">
        <v>1</v>
      </c>
      <c r="D630">
        <v>0.0054</v>
      </c>
      <c r="E630">
        <v>3</v>
      </c>
      <c r="F630">
        <v>0.0082</v>
      </c>
      <c r="G630">
        <v>0</v>
      </c>
      <c r="H630">
        <v>0</v>
      </c>
      <c r="I630">
        <v>0</v>
      </c>
      <c r="J630">
        <v>0</v>
      </c>
      <c r="K630" t="s">
        <v>38</v>
      </c>
      <c r="L630">
        <v>0</v>
      </c>
    </row>
    <row r="631" spans="1:12">
      <c r="A631" s="71">
        <v>43382</v>
      </c>
      <c r="B631" t="s">
        <v>21</v>
      </c>
      <c r="C631">
        <v>1</v>
      </c>
      <c r="D631">
        <v>0.0054</v>
      </c>
      <c r="E631">
        <v>3</v>
      </c>
      <c r="F631">
        <v>0.0082</v>
      </c>
      <c r="G631">
        <v>0</v>
      </c>
      <c r="H631">
        <v>0</v>
      </c>
      <c r="I631">
        <v>0</v>
      </c>
      <c r="J631">
        <v>0</v>
      </c>
      <c r="K631" t="s">
        <v>38</v>
      </c>
      <c r="L631">
        <v>0</v>
      </c>
    </row>
    <row r="632" spans="1:12">
      <c r="A632" s="71">
        <v>43382</v>
      </c>
      <c r="B632" t="s">
        <v>22</v>
      </c>
      <c r="C632">
        <v>96</v>
      </c>
      <c r="D632">
        <v>0.5161</v>
      </c>
      <c r="E632">
        <v>188</v>
      </c>
      <c r="F632">
        <v>0.5151</v>
      </c>
      <c r="G632">
        <v>0.99</v>
      </c>
      <c r="H632">
        <v>26</v>
      </c>
      <c r="I632">
        <v>0.2708</v>
      </c>
      <c r="J632">
        <v>337.22</v>
      </c>
      <c r="K632" t="s">
        <v>60</v>
      </c>
      <c r="L632">
        <v>0.260416666666667</v>
      </c>
    </row>
    <row r="633" spans="1:12">
      <c r="A633" s="71">
        <v>43382</v>
      </c>
      <c r="B633" t="s">
        <v>24</v>
      </c>
      <c r="C633">
        <v>34</v>
      </c>
      <c r="D633">
        <v>0.1828</v>
      </c>
      <c r="E633">
        <v>66</v>
      </c>
      <c r="F633">
        <v>0.1808</v>
      </c>
      <c r="G633">
        <v>0.98</v>
      </c>
      <c r="H633">
        <v>4</v>
      </c>
      <c r="I633">
        <v>0.1176</v>
      </c>
      <c r="J633">
        <v>51.96</v>
      </c>
      <c r="K633" t="s">
        <v>42</v>
      </c>
      <c r="L633">
        <v>0.117647058823529</v>
      </c>
    </row>
    <row r="634" spans="1:12">
      <c r="A634" s="71">
        <v>43383</v>
      </c>
      <c r="B634" t="s">
        <v>19</v>
      </c>
      <c r="C634">
        <v>20</v>
      </c>
      <c r="D634">
        <v>0.1653</v>
      </c>
      <c r="E634">
        <v>30</v>
      </c>
      <c r="F634">
        <v>0.1657</v>
      </c>
      <c r="G634">
        <v>1</v>
      </c>
      <c r="H634">
        <v>0</v>
      </c>
      <c r="I634">
        <v>0</v>
      </c>
      <c r="J634">
        <v>0</v>
      </c>
      <c r="K634" t="s">
        <v>38</v>
      </c>
      <c r="L634">
        <v>0</v>
      </c>
    </row>
    <row r="635" spans="1:12">
      <c r="A635" s="71">
        <v>43383</v>
      </c>
      <c r="B635" t="s">
        <v>24</v>
      </c>
      <c r="C635">
        <v>12</v>
      </c>
      <c r="D635">
        <v>0.0992</v>
      </c>
      <c r="E635">
        <v>18</v>
      </c>
      <c r="F635">
        <v>0.0994</v>
      </c>
      <c r="G635">
        <v>1</v>
      </c>
      <c r="H635">
        <v>0</v>
      </c>
      <c r="I635">
        <v>0</v>
      </c>
      <c r="J635">
        <v>0</v>
      </c>
      <c r="K635" t="s">
        <v>38</v>
      </c>
      <c r="L635">
        <v>0</v>
      </c>
    </row>
    <row r="636" spans="1:12">
      <c r="A636" s="71">
        <v>43383</v>
      </c>
      <c r="B636" t="s">
        <v>18</v>
      </c>
      <c r="C636">
        <v>34</v>
      </c>
      <c r="D636">
        <v>0.281</v>
      </c>
      <c r="E636">
        <v>48</v>
      </c>
      <c r="F636">
        <v>0.2652</v>
      </c>
      <c r="G636">
        <v>1</v>
      </c>
      <c r="H636">
        <v>3</v>
      </c>
      <c r="I636">
        <v>0.0882</v>
      </c>
      <c r="J636">
        <v>82.47</v>
      </c>
      <c r="K636" t="s">
        <v>41</v>
      </c>
      <c r="L636">
        <v>0.0882352941176471</v>
      </c>
    </row>
    <row r="637" spans="1:12">
      <c r="A637" s="71">
        <v>43383</v>
      </c>
      <c r="B637" t="s">
        <v>22</v>
      </c>
      <c r="C637">
        <v>51</v>
      </c>
      <c r="D637">
        <v>0.4215</v>
      </c>
      <c r="E637">
        <v>81</v>
      </c>
      <c r="F637">
        <v>0.4475</v>
      </c>
      <c r="G637">
        <v>1</v>
      </c>
      <c r="H637">
        <v>3</v>
      </c>
      <c r="I637">
        <v>0.0588</v>
      </c>
      <c r="J637">
        <v>38.91</v>
      </c>
      <c r="K637" t="s">
        <v>41</v>
      </c>
      <c r="L637">
        <v>0.0588235294117647</v>
      </c>
    </row>
    <row r="638" spans="1:12">
      <c r="A638" s="71">
        <v>43383</v>
      </c>
      <c r="B638" t="s">
        <v>20</v>
      </c>
      <c r="C638">
        <v>4</v>
      </c>
      <c r="D638">
        <v>0.0331</v>
      </c>
      <c r="E638">
        <v>4</v>
      </c>
      <c r="F638">
        <v>0.0221</v>
      </c>
      <c r="G638">
        <v>1</v>
      </c>
      <c r="H638">
        <v>1</v>
      </c>
      <c r="I638">
        <v>0.25</v>
      </c>
      <c r="J638">
        <v>15.99</v>
      </c>
      <c r="K638" t="s">
        <v>39</v>
      </c>
      <c r="L638">
        <v>0.25</v>
      </c>
    </row>
    <row r="639" spans="1:12">
      <c r="A639" s="71">
        <v>43384</v>
      </c>
      <c r="B639" t="s">
        <v>24</v>
      </c>
      <c r="C639">
        <v>13</v>
      </c>
      <c r="D639">
        <v>0.1102</v>
      </c>
      <c r="E639">
        <v>20</v>
      </c>
      <c r="F639">
        <v>0.1163</v>
      </c>
      <c r="G639">
        <v>1</v>
      </c>
      <c r="H639">
        <v>0</v>
      </c>
      <c r="I639">
        <v>0</v>
      </c>
      <c r="J639">
        <v>0</v>
      </c>
      <c r="K639" t="s">
        <v>38</v>
      </c>
      <c r="L639">
        <v>0</v>
      </c>
    </row>
    <row r="640" spans="1:12">
      <c r="A640" s="71">
        <v>43384</v>
      </c>
      <c r="B640" t="s">
        <v>20</v>
      </c>
      <c r="C640">
        <v>5</v>
      </c>
      <c r="D640">
        <v>0.0424</v>
      </c>
      <c r="E640">
        <v>7</v>
      </c>
      <c r="F640">
        <v>0.0407</v>
      </c>
      <c r="G640">
        <v>1</v>
      </c>
      <c r="H640">
        <v>0</v>
      </c>
      <c r="I640">
        <v>0</v>
      </c>
      <c r="J640">
        <v>0</v>
      </c>
      <c r="K640" t="s">
        <v>38</v>
      </c>
      <c r="L640">
        <v>0</v>
      </c>
    </row>
    <row r="641" spans="1:12">
      <c r="A641" s="71">
        <v>43384</v>
      </c>
      <c r="B641" t="s">
        <v>18</v>
      </c>
      <c r="C641">
        <v>33</v>
      </c>
      <c r="D641">
        <v>0.2797</v>
      </c>
      <c r="E641">
        <v>49</v>
      </c>
      <c r="F641">
        <v>0.2849</v>
      </c>
      <c r="G641">
        <v>1</v>
      </c>
      <c r="H641">
        <v>2</v>
      </c>
      <c r="I641">
        <v>0.0606</v>
      </c>
      <c r="J641">
        <v>54.98</v>
      </c>
      <c r="K641" t="s">
        <v>40</v>
      </c>
      <c r="L641">
        <v>0.0606060606060606</v>
      </c>
    </row>
    <row r="642" spans="1:12">
      <c r="A642" s="71">
        <v>43384</v>
      </c>
      <c r="B642" t="s">
        <v>22</v>
      </c>
      <c r="C642">
        <v>51</v>
      </c>
      <c r="D642">
        <v>0.4322</v>
      </c>
      <c r="E642">
        <v>69</v>
      </c>
      <c r="F642">
        <v>0.4012</v>
      </c>
      <c r="G642">
        <v>1</v>
      </c>
      <c r="H642">
        <v>18</v>
      </c>
      <c r="I642">
        <v>0.3529</v>
      </c>
      <c r="J642">
        <v>233.46</v>
      </c>
      <c r="K642" t="s">
        <v>44</v>
      </c>
      <c r="L642">
        <v>0.156862745098039</v>
      </c>
    </row>
    <row r="643" spans="1:12">
      <c r="A643" s="71">
        <v>43384</v>
      </c>
      <c r="B643" t="s">
        <v>19</v>
      </c>
      <c r="C643">
        <v>16</v>
      </c>
      <c r="D643">
        <v>0.1356</v>
      </c>
      <c r="E643">
        <v>27</v>
      </c>
      <c r="F643">
        <v>0.157</v>
      </c>
      <c r="G643">
        <v>1</v>
      </c>
      <c r="H643">
        <v>1</v>
      </c>
      <c r="I643">
        <v>0.0625</v>
      </c>
      <c r="J643">
        <v>16.97</v>
      </c>
      <c r="K643" t="s">
        <v>39</v>
      </c>
      <c r="L643">
        <v>0.0625</v>
      </c>
    </row>
    <row r="644" spans="1:12">
      <c r="A644" s="71">
        <v>43385</v>
      </c>
      <c r="B644" t="s">
        <v>20</v>
      </c>
      <c r="C644">
        <v>3</v>
      </c>
      <c r="D644">
        <v>0.0283</v>
      </c>
      <c r="E644">
        <v>3</v>
      </c>
      <c r="F644">
        <v>0.021</v>
      </c>
      <c r="G644">
        <v>1</v>
      </c>
      <c r="H644">
        <v>0</v>
      </c>
      <c r="I644">
        <v>0</v>
      </c>
      <c r="J644">
        <v>0</v>
      </c>
      <c r="K644" t="s">
        <v>38</v>
      </c>
      <c r="L644">
        <v>0</v>
      </c>
    </row>
    <row r="645" spans="1:12">
      <c r="A645" s="71">
        <v>43385</v>
      </c>
      <c r="B645" t="s">
        <v>19</v>
      </c>
      <c r="C645">
        <v>19</v>
      </c>
      <c r="D645">
        <v>0.1792</v>
      </c>
      <c r="E645">
        <v>22</v>
      </c>
      <c r="F645">
        <v>0.1538</v>
      </c>
      <c r="G645">
        <v>0.95</v>
      </c>
      <c r="H645">
        <v>3</v>
      </c>
      <c r="I645">
        <v>0.1579</v>
      </c>
      <c r="J645">
        <v>50.91</v>
      </c>
      <c r="K645" t="s">
        <v>41</v>
      </c>
      <c r="L645">
        <v>0.157894736842105</v>
      </c>
    </row>
    <row r="646" spans="1:12">
      <c r="A646" s="71">
        <v>43385</v>
      </c>
      <c r="B646" t="s">
        <v>18</v>
      </c>
      <c r="C646">
        <v>29</v>
      </c>
      <c r="D646">
        <v>0.2736</v>
      </c>
      <c r="E646">
        <v>48</v>
      </c>
      <c r="F646">
        <v>0.3357</v>
      </c>
      <c r="G646">
        <v>1</v>
      </c>
      <c r="H646">
        <v>6</v>
      </c>
      <c r="I646">
        <v>0.2069</v>
      </c>
      <c r="J646">
        <v>164.94</v>
      </c>
      <c r="K646" t="s">
        <v>43</v>
      </c>
      <c r="L646">
        <v>0.172413793103448</v>
      </c>
    </row>
    <row r="647" spans="1:12">
      <c r="A647" s="71">
        <v>43385</v>
      </c>
      <c r="B647" t="s">
        <v>24</v>
      </c>
      <c r="C647">
        <v>9</v>
      </c>
      <c r="D647">
        <v>0.0849</v>
      </c>
      <c r="E647">
        <v>9</v>
      </c>
      <c r="F647">
        <v>0.0629</v>
      </c>
      <c r="G647">
        <v>1</v>
      </c>
      <c r="H647">
        <v>2</v>
      </c>
      <c r="I647">
        <v>0.2222</v>
      </c>
      <c r="J647">
        <v>25.98</v>
      </c>
      <c r="K647" t="s">
        <v>40</v>
      </c>
      <c r="L647">
        <v>0.222222222222222</v>
      </c>
    </row>
    <row r="648" spans="1:12">
      <c r="A648" s="71">
        <v>43385</v>
      </c>
      <c r="B648" t="s">
        <v>22</v>
      </c>
      <c r="C648">
        <v>46</v>
      </c>
      <c r="D648">
        <v>0.434</v>
      </c>
      <c r="E648">
        <v>61</v>
      </c>
      <c r="F648">
        <v>0.4266</v>
      </c>
      <c r="G648">
        <v>1</v>
      </c>
      <c r="H648">
        <v>7</v>
      </c>
      <c r="I648">
        <v>0.1522</v>
      </c>
      <c r="J648">
        <v>90.79</v>
      </c>
      <c r="K648" t="s">
        <v>46</v>
      </c>
      <c r="L648">
        <v>0.152173913043478</v>
      </c>
    </row>
    <row r="649" spans="1:12">
      <c r="A649" s="71">
        <v>43386</v>
      </c>
      <c r="B649" t="s">
        <v>20</v>
      </c>
      <c r="C649">
        <v>1</v>
      </c>
      <c r="D649">
        <v>0.0123</v>
      </c>
      <c r="E649">
        <v>1</v>
      </c>
      <c r="F649">
        <v>0.0099</v>
      </c>
      <c r="G649">
        <v>1</v>
      </c>
      <c r="H649">
        <v>0</v>
      </c>
      <c r="I649">
        <v>0</v>
      </c>
      <c r="J649">
        <v>0</v>
      </c>
      <c r="K649" t="s">
        <v>38</v>
      </c>
      <c r="L649">
        <v>0</v>
      </c>
    </row>
    <row r="650" spans="1:12">
      <c r="A650" s="71">
        <v>43386</v>
      </c>
      <c r="B650" t="s">
        <v>19</v>
      </c>
      <c r="C650">
        <v>18</v>
      </c>
      <c r="D650">
        <v>0.2222</v>
      </c>
      <c r="E650">
        <v>23</v>
      </c>
      <c r="F650">
        <v>0.2277</v>
      </c>
      <c r="G650">
        <v>0.96</v>
      </c>
      <c r="H650">
        <v>1</v>
      </c>
      <c r="I650">
        <v>0.0556</v>
      </c>
      <c r="J650">
        <v>16.97</v>
      </c>
      <c r="K650" t="s">
        <v>39</v>
      </c>
      <c r="L650">
        <v>0.0555555555555556</v>
      </c>
    </row>
    <row r="651" spans="1:12">
      <c r="A651" s="71">
        <v>43386</v>
      </c>
      <c r="B651" t="s">
        <v>18</v>
      </c>
      <c r="C651">
        <v>27</v>
      </c>
      <c r="D651">
        <v>0.3333</v>
      </c>
      <c r="E651">
        <v>29</v>
      </c>
      <c r="F651">
        <v>0.2871</v>
      </c>
      <c r="G651">
        <v>1</v>
      </c>
      <c r="H651">
        <v>2</v>
      </c>
      <c r="I651">
        <v>0.0741</v>
      </c>
      <c r="J651">
        <v>54.98</v>
      </c>
      <c r="K651" t="s">
        <v>39</v>
      </c>
      <c r="L651">
        <v>0.037037037037037</v>
      </c>
    </row>
    <row r="652" spans="1:12">
      <c r="A652" s="71">
        <v>43386</v>
      </c>
      <c r="B652" t="s">
        <v>22</v>
      </c>
      <c r="C652">
        <v>29</v>
      </c>
      <c r="D652">
        <v>0.358</v>
      </c>
      <c r="E652">
        <v>42</v>
      </c>
      <c r="F652">
        <v>0.4158</v>
      </c>
      <c r="G652">
        <v>1</v>
      </c>
      <c r="H652">
        <v>23</v>
      </c>
      <c r="I652">
        <v>0.7931</v>
      </c>
      <c r="J652">
        <v>298.31</v>
      </c>
      <c r="K652" t="s">
        <v>49</v>
      </c>
      <c r="L652">
        <v>0.413793103448276</v>
      </c>
    </row>
    <row r="653" spans="1:12">
      <c r="A653" s="71">
        <v>43386</v>
      </c>
      <c r="B653" t="s">
        <v>24</v>
      </c>
      <c r="C653">
        <v>6</v>
      </c>
      <c r="D653">
        <v>0.0741</v>
      </c>
      <c r="E653">
        <v>6</v>
      </c>
      <c r="F653">
        <v>0.0594</v>
      </c>
      <c r="G653">
        <v>1</v>
      </c>
      <c r="H653">
        <v>1</v>
      </c>
      <c r="I653">
        <v>0.1667</v>
      </c>
      <c r="J653">
        <v>12.99</v>
      </c>
      <c r="K653" t="s">
        <v>39</v>
      </c>
      <c r="L653">
        <v>0.166666666666667</v>
      </c>
    </row>
    <row r="654" spans="1:12">
      <c r="A654" s="71">
        <v>43387</v>
      </c>
      <c r="B654" t="s">
        <v>20</v>
      </c>
      <c r="C654">
        <v>2</v>
      </c>
      <c r="D654">
        <v>0.0202</v>
      </c>
      <c r="E654">
        <v>2</v>
      </c>
      <c r="F654">
        <v>0.0148</v>
      </c>
      <c r="G654">
        <v>1</v>
      </c>
      <c r="H654">
        <v>0</v>
      </c>
      <c r="I654">
        <v>0</v>
      </c>
      <c r="J654">
        <v>0</v>
      </c>
      <c r="K654" t="s">
        <v>38</v>
      </c>
      <c r="L654">
        <v>0</v>
      </c>
    </row>
    <row r="655" spans="1:12">
      <c r="A655" s="71">
        <v>43387</v>
      </c>
      <c r="B655" t="s">
        <v>21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1</v>
      </c>
      <c r="I655">
        <v>0</v>
      </c>
      <c r="J655">
        <v>14.99</v>
      </c>
      <c r="K655" t="s">
        <v>39</v>
      </c>
      <c r="L655">
        <v>0</v>
      </c>
    </row>
    <row r="656" spans="1:12">
      <c r="A656" s="71">
        <v>43387</v>
      </c>
      <c r="B656" t="s">
        <v>18</v>
      </c>
      <c r="C656">
        <v>30</v>
      </c>
      <c r="D656">
        <v>0.303</v>
      </c>
      <c r="E656">
        <v>42</v>
      </c>
      <c r="F656">
        <v>0.3111</v>
      </c>
      <c r="G656">
        <v>1</v>
      </c>
      <c r="H656">
        <v>5</v>
      </c>
      <c r="I656">
        <v>0.1667</v>
      </c>
      <c r="J656">
        <v>137.45</v>
      </c>
      <c r="K656" t="s">
        <v>42</v>
      </c>
      <c r="L656">
        <v>0.133333333333333</v>
      </c>
    </row>
    <row r="657" spans="1:12">
      <c r="A657" s="71">
        <v>43387</v>
      </c>
      <c r="B657" t="s">
        <v>19</v>
      </c>
      <c r="C657">
        <v>13</v>
      </c>
      <c r="D657">
        <v>0.1313</v>
      </c>
      <c r="E657">
        <v>19</v>
      </c>
      <c r="F657">
        <v>0.1407</v>
      </c>
      <c r="G657">
        <v>1</v>
      </c>
      <c r="H657">
        <v>2</v>
      </c>
      <c r="I657">
        <v>0.1538</v>
      </c>
      <c r="J657">
        <v>33.94</v>
      </c>
      <c r="K657" t="s">
        <v>40</v>
      </c>
      <c r="L657">
        <v>0.153846153846154</v>
      </c>
    </row>
    <row r="658" spans="1:12">
      <c r="A658" s="71">
        <v>43387</v>
      </c>
      <c r="B658" t="s">
        <v>22</v>
      </c>
      <c r="C658">
        <v>48</v>
      </c>
      <c r="D658">
        <v>0.4848</v>
      </c>
      <c r="E658">
        <v>65</v>
      </c>
      <c r="F658">
        <v>0.4815</v>
      </c>
      <c r="G658">
        <v>1</v>
      </c>
      <c r="H658">
        <v>6</v>
      </c>
      <c r="I658">
        <v>0.125</v>
      </c>
      <c r="J658">
        <v>77.82</v>
      </c>
      <c r="K658" t="s">
        <v>45</v>
      </c>
      <c r="L658">
        <v>0.125</v>
      </c>
    </row>
    <row r="659" spans="1:12">
      <c r="A659" s="71">
        <v>43387</v>
      </c>
      <c r="B659" t="s">
        <v>24</v>
      </c>
      <c r="C659">
        <v>6</v>
      </c>
      <c r="D659">
        <v>0.0606</v>
      </c>
      <c r="E659">
        <v>7</v>
      </c>
      <c r="F659">
        <v>0.0519</v>
      </c>
      <c r="G659">
        <v>1</v>
      </c>
      <c r="H659">
        <v>1</v>
      </c>
      <c r="I659">
        <v>0.1667</v>
      </c>
      <c r="J659">
        <v>12.99</v>
      </c>
      <c r="K659" t="s">
        <v>39</v>
      </c>
      <c r="L659">
        <v>0.166666666666667</v>
      </c>
    </row>
    <row r="660" spans="1:12">
      <c r="A660" s="71">
        <v>43388</v>
      </c>
      <c r="B660" t="s">
        <v>20</v>
      </c>
      <c r="C660">
        <v>3</v>
      </c>
      <c r="D660">
        <v>0.0286</v>
      </c>
      <c r="E660">
        <v>4</v>
      </c>
      <c r="F660">
        <v>0.0276</v>
      </c>
      <c r="G660">
        <v>1</v>
      </c>
      <c r="H660">
        <v>0</v>
      </c>
      <c r="I660">
        <v>0</v>
      </c>
      <c r="J660">
        <v>0</v>
      </c>
      <c r="K660" t="s">
        <v>38</v>
      </c>
      <c r="L660">
        <v>0</v>
      </c>
    </row>
    <row r="661" spans="1:12">
      <c r="A661" s="71">
        <v>43388</v>
      </c>
      <c r="B661" t="s">
        <v>18</v>
      </c>
      <c r="C661">
        <v>31</v>
      </c>
      <c r="D661">
        <v>0.2952</v>
      </c>
      <c r="E661">
        <v>42</v>
      </c>
      <c r="F661">
        <v>0.2897</v>
      </c>
      <c r="G661">
        <v>1</v>
      </c>
      <c r="H661">
        <v>4</v>
      </c>
      <c r="I661">
        <v>0.129</v>
      </c>
      <c r="J661">
        <v>109.96</v>
      </c>
      <c r="K661" t="s">
        <v>42</v>
      </c>
      <c r="L661">
        <v>0.129032258064516</v>
      </c>
    </row>
    <row r="662" spans="1:12">
      <c r="A662" s="71">
        <v>43388</v>
      </c>
      <c r="B662" t="s">
        <v>19</v>
      </c>
      <c r="C662">
        <v>22</v>
      </c>
      <c r="D662">
        <v>0.2095</v>
      </c>
      <c r="E662">
        <v>27</v>
      </c>
      <c r="F662">
        <v>0.1862</v>
      </c>
      <c r="G662">
        <v>1</v>
      </c>
      <c r="H662">
        <v>4</v>
      </c>
      <c r="I662">
        <v>0.1818</v>
      </c>
      <c r="J662">
        <v>67.88</v>
      </c>
      <c r="K662" t="s">
        <v>40</v>
      </c>
      <c r="L662">
        <v>0.0909090909090909</v>
      </c>
    </row>
    <row r="663" spans="1:12">
      <c r="A663" s="71">
        <v>43388</v>
      </c>
      <c r="B663" t="s">
        <v>22</v>
      </c>
      <c r="C663">
        <v>43</v>
      </c>
      <c r="D663">
        <v>0.4095</v>
      </c>
      <c r="E663">
        <v>64</v>
      </c>
      <c r="F663">
        <v>0.4414</v>
      </c>
      <c r="G663">
        <v>1</v>
      </c>
      <c r="H663">
        <v>15</v>
      </c>
      <c r="I663">
        <v>0.3488</v>
      </c>
      <c r="J663">
        <v>194.55</v>
      </c>
      <c r="K663" t="s">
        <v>49</v>
      </c>
      <c r="L663">
        <v>0.27906976744186</v>
      </c>
    </row>
    <row r="664" spans="1:12">
      <c r="A664" s="71">
        <v>43388</v>
      </c>
      <c r="B664" t="s">
        <v>24</v>
      </c>
      <c r="C664">
        <v>6</v>
      </c>
      <c r="D664">
        <v>0.0571</v>
      </c>
      <c r="E664">
        <v>8</v>
      </c>
      <c r="F664">
        <v>0.0552</v>
      </c>
      <c r="G664">
        <v>1</v>
      </c>
      <c r="H664">
        <v>1</v>
      </c>
      <c r="I664">
        <v>0.1667</v>
      </c>
      <c r="J664">
        <v>12.99</v>
      </c>
      <c r="K664" t="s">
        <v>39</v>
      </c>
      <c r="L664">
        <v>0.166666666666667</v>
      </c>
    </row>
    <row r="665" spans="1:12">
      <c r="A665" s="71">
        <v>43389</v>
      </c>
      <c r="B665" t="s">
        <v>23</v>
      </c>
      <c r="C665">
        <v>1</v>
      </c>
      <c r="D665">
        <v>0.0111</v>
      </c>
      <c r="E665">
        <v>1</v>
      </c>
      <c r="F665">
        <v>0.009</v>
      </c>
      <c r="G665">
        <v>1</v>
      </c>
      <c r="H665">
        <v>0</v>
      </c>
      <c r="I665">
        <v>0</v>
      </c>
      <c r="J665">
        <v>0</v>
      </c>
      <c r="K665" t="s">
        <v>38</v>
      </c>
      <c r="L665">
        <v>0</v>
      </c>
    </row>
    <row r="666" spans="1:12">
      <c r="A666" s="71">
        <v>43389</v>
      </c>
      <c r="B666" t="s">
        <v>20</v>
      </c>
      <c r="C666">
        <v>2</v>
      </c>
      <c r="D666">
        <v>0.0222</v>
      </c>
      <c r="E666">
        <v>2</v>
      </c>
      <c r="F666">
        <v>0.018</v>
      </c>
      <c r="G666">
        <v>1</v>
      </c>
      <c r="H666">
        <v>0</v>
      </c>
      <c r="I666">
        <v>0</v>
      </c>
      <c r="J666">
        <v>0</v>
      </c>
      <c r="K666" t="s">
        <v>38</v>
      </c>
      <c r="L666">
        <v>0</v>
      </c>
    </row>
    <row r="667" spans="1:12">
      <c r="A667" s="71">
        <v>43389</v>
      </c>
      <c r="B667" t="s">
        <v>18</v>
      </c>
      <c r="C667">
        <v>35</v>
      </c>
      <c r="D667">
        <v>0.3889</v>
      </c>
      <c r="E667">
        <v>41</v>
      </c>
      <c r="F667">
        <v>0.3694</v>
      </c>
      <c r="G667">
        <v>1</v>
      </c>
      <c r="H667">
        <v>1</v>
      </c>
      <c r="I667">
        <v>0</v>
      </c>
      <c r="J667">
        <v>0</v>
      </c>
      <c r="K667" t="s">
        <v>39</v>
      </c>
      <c r="L667">
        <v>0.0285714285714286</v>
      </c>
    </row>
    <row r="668" spans="1:12">
      <c r="A668" s="71">
        <v>43389</v>
      </c>
      <c r="B668" t="s">
        <v>22</v>
      </c>
      <c r="C668">
        <v>33</v>
      </c>
      <c r="D668">
        <v>0.3667</v>
      </c>
      <c r="E668">
        <v>40</v>
      </c>
      <c r="F668">
        <v>0.3604</v>
      </c>
      <c r="G668">
        <v>1</v>
      </c>
      <c r="H668">
        <v>9</v>
      </c>
      <c r="I668">
        <v>0</v>
      </c>
      <c r="J668">
        <v>0</v>
      </c>
      <c r="K668" t="s">
        <v>44</v>
      </c>
      <c r="L668">
        <v>0.242424242424242</v>
      </c>
    </row>
    <row r="669" spans="1:12">
      <c r="A669" s="71">
        <v>43389</v>
      </c>
      <c r="B669" t="s">
        <v>19</v>
      </c>
      <c r="C669">
        <v>16</v>
      </c>
      <c r="D669">
        <v>0.1778</v>
      </c>
      <c r="E669">
        <v>23</v>
      </c>
      <c r="F669">
        <v>0.2072</v>
      </c>
      <c r="G669">
        <v>1</v>
      </c>
      <c r="H669">
        <v>2</v>
      </c>
      <c r="I669">
        <v>0</v>
      </c>
      <c r="J669">
        <v>0</v>
      </c>
      <c r="K669" t="s">
        <v>40</v>
      </c>
      <c r="L669">
        <v>0.125</v>
      </c>
    </row>
    <row r="670" spans="1:12">
      <c r="A670" s="71">
        <v>43389</v>
      </c>
      <c r="B670" t="s">
        <v>24</v>
      </c>
      <c r="C670">
        <v>3</v>
      </c>
      <c r="D670">
        <v>0.0333</v>
      </c>
      <c r="E670">
        <v>4</v>
      </c>
      <c r="F670">
        <v>0.036</v>
      </c>
      <c r="G670">
        <v>0.75</v>
      </c>
      <c r="H670">
        <v>2</v>
      </c>
      <c r="I670">
        <v>0</v>
      </c>
      <c r="J670">
        <v>0</v>
      </c>
      <c r="K670" t="s">
        <v>40</v>
      </c>
      <c r="L670">
        <v>0.666666666666667</v>
      </c>
    </row>
    <row r="671" spans="1:12">
      <c r="A671" s="71">
        <v>43390</v>
      </c>
      <c r="B671" t="s">
        <v>23</v>
      </c>
      <c r="C671">
        <v>1</v>
      </c>
      <c r="D671">
        <v>0.0071</v>
      </c>
      <c r="E671">
        <v>1</v>
      </c>
      <c r="F671">
        <v>0.0051</v>
      </c>
      <c r="G671">
        <v>0</v>
      </c>
      <c r="H671">
        <v>0</v>
      </c>
      <c r="I671">
        <v>0</v>
      </c>
      <c r="J671">
        <v>0</v>
      </c>
      <c r="K671" t="s">
        <v>38</v>
      </c>
      <c r="L671">
        <v>0</v>
      </c>
    </row>
    <row r="672" spans="1:12">
      <c r="A672" s="71">
        <v>43390</v>
      </c>
      <c r="B672" t="s">
        <v>19</v>
      </c>
      <c r="C672">
        <v>29</v>
      </c>
      <c r="D672">
        <v>0.2057</v>
      </c>
      <c r="E672">
        <v>34</v>
      </c>
      <c r="F672">
        <v>0.1744</v>
      </c>
      <c r="G672">
        <v>0.97</v>
      </c>
      <c r="H672">
        <v>2</v>
      </c>
      <c r="I672">
        <v>0.069</v>
      </c>
      <c r="J672">
        <v>33.94</v>
      </c>
      <c r="K672" t="s">
        <v>40</v>
      </c>
      <c r="L672">
        <v>0.0689655172413793</v>
      </c>
    </row>
    <row r="673" spans="1:12">
      <c r="A673" s="71">
        <v>43390</v>
      </c>
      <c r="B673" t="s">
        <v>18</v>
      </c>
      <c r="C673">
        <v>35</v>
      </c>
      <c r="D673">
        <v>0.2482</v>
      </c>
      <c r="E673">
        <v>47</v>
      </c>
      <c r="F673">
        <v>0.241</v>
      </c>
      <c r="G673">
        <v>1</v>
      </c>
      <c r="H673">
        <v>3</v>
      </c>
      <c r="I673">
        <v>0.0857</v>
      </c>
      <c r="J673">
        <v>82.47</v>
      </c>
      <c r="K673" t="s">
        <v>41</v>
      </c>
      <c r="L673">
        <v>0.0857142857142857</v>
      </c>
    </row>
    <row r="674" spans="1:12">
      <c r="A674" s="71">
        <v>43390</v>
      </c>
      <c r="B674" t="s">
        <v>20</v>
      </c>
      <c r="C674">
        <v>5</v>
      </c>
      <c r="D674">
        <v>0.0355</v>
      </c>
      <c r="E674">
        <v>6</v>
      </c>
      <c r="F674">
        <v>0.0308</v>
      </c>
      <c r="G674">
        <v>1</v>
      </c>
      <c r="H674">
        <v>3</v>
      </c>
      <c r="I674">
        <v>0.6</v>
      </c>
      <c r="J674">
        <v>47.97</v>
      </c>
      <c r="K674" t="s">
        <v>40</v>
      </c>
      <c r="L674">
        <v>0.4</v>
      </c>
    </row>
    <row r="675" spans="1:12">
      <c r="A675" s="71">
        <v>43390</v>
      </c>
      <c r="B675" t="s">
        <v>22</v>
      </c>
      <c r="C675">
        <v>63</v>
      </c>
      <c r="D675">
        <v>0.4468</v>
      </c>
      <c r="E675">
        <v>95</v>
      </c>
      <c r="F675">
        <v>0.4872</v>
      </c>
      <c r="G675">
        <v>1</v>
      </c>
      <c r="H675">
        <v>17</v>
      </c>
      <c r="I675">
        <v>0.2698</v>
      </c>
      <c r="J675">
        <v>220.49</v>
      </c>
      <c r="K675" t="s">
        <v>49</v>
      </c>
      <c r="L675">
        <v>0.19047619047619</v>
      </c>
    </row>
    <row r="676" spans="1:12">
      <c r="A676" s="71">
        <v>43390</v>
      </c>
      <c r="B676" t="s">
        <v>24</v>
      </c>
      <c r="C676">
        <v>8</v>
      </c>
      <c r="D676">
        <v>0.0567</v>
      </c>
      <c r="E676">
        <v>12</v>
      </c>
      <c r="F676">
        <v>0.0615</v>
      </c>
      <c r="G676">
        <v>1</v>
      </c>
      <c r="H676">
        <v>1</v>
      </c>
      <c r="I676">
        <v>0.125</v>
      </c>
      <c r="J676">
        <v>12.99</v>
      </c>
      <c r="K676" t="s">
        <v>39</v>
      </c>
      <c r="L676">
        <v>0.125</v>
      </c>
    </row>
    <row r="677" spans="1:12">
      <c r="A677" s="71">
        <v>43391</v>
      </c>
      <c r="B677" t="s">
        <v>19</v>
      </c>
      <c r="C677">
        <v>25</v>
      </c>
      <c r="D677">
        <v>0.2083</v>
      </c>
      <c r="E677">
        <v>34</v>
      </c>
      <c r="F677">
        <v>0.2125</v>
      </c>
      <c r="G677">
        <v>1</v>
      </c>
      <c r="H677">
        <v>0</v>
      </c>
      <c r="I677">
        <v>0</v>
      </c>
      <c r="J677">
        <v>0</v>
      </c>
      <c r="K677" t="s">
        <v>38</v>
      </c>
      <c r="L677">
        <v>0</v>
      </c>
    </row>
    <row r="678" spans="1:12">
      <c r="A678" s="71">
        <v>43391</v>
      </c>
      <c r="B678" t="s">
        <v>20</v>
      </c>
      <c r="C678">
        <v>4</v>
      </c>
      <c r="D678">
        <v>0.0333</v>
      </c>
      <c r="E678">
        <v>4</v>
      </c>
      <c r="F678">
        <v>0.025</v>
      </c>
      <c r="G678">
        <v>1</v>
      </c>
      <c r="H678">
        <v>0</v>
      </c>
      <c r="I678">
        <v>0</v>
      </c>
      <c r="J678">
        <v>0</v>
      </c>
      <c r="K678" t="s">
        <v>38</v>
      </c>
      <c r="L678">
        <v>0</v>
      </c>
    </row>
    <row r="679" spans="1:12">
      <c r="A679" s="71">
        <v>43391</v>
      </c>
      <c r="B679" t="s">
        <v>18</v>
      </c>
      <c r="C679">
        <v>27</v>
      </c>
      <c r="D679">
        <v>0.225</v>
      </c>
      <c r="E679">
        <v>33</v>
      </c>
      <c r="F679">
        <v>0.2063</v>
      </c>
      <c r="G679">
        <v>1</v>
      </c>
      <c r="H679">
        <v>2</v>
      </c>
      <c r="I679">
        <v>0.0741</v>
      </c>
      <c r="J679">
        <v>54.98</v>
      </c>
      <c r="K679" t="s">
        <v>40</v>
      </c>
      <c r="L679">
        <v>0.0740740740740741</v>
      </c>
    </row>
    <row r="680" spans="1:12">
      <c r="A680" s="71">
        <v>43391</v>
      </c>
      <c r="B680" t="s">
        <v>22</v>
      </c>
      <c r="C680">
        <v>58</v>
      </c>
      <c r="D680">
        <v>0.4833</v>
      </c>
      <c r="E680">
        <v>81</v>
      </c>
      <c r="F680">
        <v>0.5063</v>
      </c>
      <c r="G680">
        <v>1</v>
      </c>
      <c r="H680">
        <v>15</v>
      </c>
      <c r="I680">
        <v>0.2586</v>
      </c>
      <c r="J680">
        <v>194.55</v>
      </c>
      <c r="K680" t="s">
        <v>50</v>
      </c>
      <c r="L680">
        <v>0.258620689655172</v>
      </c>
    </row>
    <row r="681" spans="1:12">
      <c r="A681" s="71">
        <v>43391</v>
      </c>
      <c r="B681" t="s">
        <v>24</v>
      </c>
      <c r="C681">
        <v>6</v>
      </c>
      <c r="D681">
        <v>0.05</v>
      </c>
      <c r="E681">
        <v>8</v>
      </c>
      <c r="F681">
        <v>0.05</v>
      </c>
      <c r="G681">
        <v>1</v>
      </c>
      <c r="H681">
        <v>1</v>
      </c>
      <c r="I681">
        <v>0.1667</v>
      </c>
      <c r="J681">
        <v>12.99</v>
      </c>
      <c r="K681" t="s">
        <v>39</v>
      </c>
      <c r="L681">
        <v>0.166666666666667</v>
      </c>
    </row>
    <row r="682" spans="1:12">
      <c r="A682" s="71">
        <v>43392</v>
      </c>
      <c r="B682" t="s">
        <v>21</v>
      </c>
      <c r="C682">
        <v>1</v>
      </c>
      <c r="D682">
        <v>0.0052</v>
      </c>
      <c r="E682">
        <v>1</v>
      </c>
      <c r="F682">
        <v>0.004</v>
      </c>
      <c r="G682">
        <v>1</v>
      </c>
      <c r="H682">
        <v>0</v>
      </c>
      <c r="I682">
        <v>0</v>
      </c>
      <c r="J682">
        <v>0</v>
      </c>
      <c r="K682" t="s">
        <v>38</v>
      </c>
      <c r="L682">
        <v>0</v>
      </c>
    </row>
    <row r="683" spans="1:12">
      <c r="A683" s="71">
        <v>43392</v>
      </c>
      <c r="B683" t="s">
        <v>20</v>
      </c>
      <c r="C683">
        <v>8</v>
      </c>
      <c r="D683">
        <v>0.0419</v>
      </c>
      <c r="E683">
        <v>8</v>
      </c>
      <c r="F683">
        <v>0.0323</v>
      </c>
      <c r="G683">
        <v>1</v>
      </c>
      <c r="H683">
        <v>0</v>
      </c>
      <c r="I683">
        <v>0</v>
      </c>
      <c r="J683">
        <v>0</v>
      </c>
      <c r="K683" t="s">
        <v>38</v>
      </c>
      <c r="L683">
        <v>0</v>
      </c>
    </row>
    <row r="684" spans="1:12">
      <c r="A684" s="71">
        <v>43392</v>
      </c>
      <c r="B684" t="s">
        <v>19</v>
      </c>
      <c r="C684">
        <v>25</v>
      </c>
      <c r="D684">
        <v>0.1309</v>
      </c>
      <c r="E684">
        <v>40</v>
      </c>
      <c r="F684">
        <v>0.1613</v>
      </c>
      <c r="G684">
        <v>0.95</v>
      </c>
      <c r="H684">
        <v>1</v>
      </c>
      <c r="I684">
        <v>0.04</v>
      </c>
      <c r="J684">
        <v>16.97</v>
      </c>
      <c r="K684" t="s">
        <v>39</v>
      </c>
      <c r="L684">
        <v>0.04</v>
      </c>
    </row>
    <row r="685" spans="1:12">
      <c r="A685" s="71">
        <v>43392</v>
      </c>
      <c r="B685" t="s">
        <v>18</v>
      </c>
      <c r="C685">
        <v>34</v>
      </c>
      <c r="D685">
        <v>0.178</v>
      </c>
      <c r="E685">
        <v>42</v>
      </c>
      <c r="F685">
        <v>0.1694</v>
      </c>
      <c r="G685">
        <v>1</v>
      </c>
      <c r="H685">
        <v>2</v>
      </c>
      <c r="I685">
        <v>0.0588</v>
      </c>
      <c r="J685">
        <v>54.98</v>
      </c>
      <c r="K685" t="s">
        <v>40</v>
      </c>
      <c r="L685">
        <v>0.0588235294117647</v>
      </c>
    </row>
    <row r="686" spans="1:12">
      <c r="A686" s="71">
        <v>43392</v>
      </c>
      <c r="B686" t="s">
        <v>22</v>
      </c>
      <c r="C686">
        <v>107</v>
      </c>
      <c r="D686">
        <v>0.5602</v>
      </c>
      <c r="E686">
        <v>139</v>
      </c>
      <c r="F686">
        <v>0.5605</v>
      </c>
      <c r="G686">
        <v>1</v>
      </c>
      <c r="H686">
        <v>24</v>
      </c>
      <c r="I686">
        <v>0.2243</v>
      </c>
      <c r="J686">
        <v>311.28</v>
      </c>
      <c r="K686" t="s">
        <v>61</v>
      </c>
      <c r="L686">
        <v>0.224299065420561</v>
      </c>
    </row>
    <row r="687" spans="1:12">
      <c r="A687" s="71">
        <v>43392</v>
      </c>
      <c r="B687" t="s">
        <v>24</v>
      </c>
      <c r="C687">
        <v>16</v>
      </c>
      <c r="D687">
        <v>0.0838</v>
      </c>
      <c r="E687">
        <v>18</v>
      </c>
      <c r="F687">
        <v>0.0726</v>
      </c>
      <c r="G687">
        <v>1</v>
      </c>
      <c r="H687">
        <v>1</v>
      </c>
      <c r="I687">
        <v>0.0625</v>
      </c>
      <c r="J687">
        <v>12.99</v>
      </c>
      <c r="K687" t="s">
        <v>39</v>
      </c>
      <c r="L687">
        <v>0.0625</v>
      </c>
    </row>
    <row r="688" spans="1:12">
      <c r="A688" s="71">
        <v>43393</v>
      </c>
      <c r="B688" t="s">
        <v>20</v>
      </c>
      <c r="C688">
        <v>4</v>
      </c>
      <c r="D688">
        <v>0.0357</v>
      </c>
      <c r="E688">
        <v>5</v>
      </c>
      <c r="F688">
        <v>0.0318</v>
      </c>
      <c r="G688">
        <v>1</v>
      </c>
      <c r="H688">
        <v>0</v>
      </c>
      <c r="I688">
        <v>0</v>
      </c>
      <c r="J688">
        <v>0</v>
      </c>
      <c r="K688" t="s">
        <v>38</v>
      </c>
      <c r="L688">
        <v>0</v>
      </c>
    </row>
    <row r="689" spans="1:12">
      <c r="A689" s="71">
        <v>43393</v>
      </c>
      <c r="B689" t="s">
        <v>19</v>
      </c>
      <c r="C689">
        <v>25</v>
      </c>
      <c r="D689">
        <v>0.2232</v>
      </c>
      <c r="E689">
        <v>35</v>
      </c>
      <c r="F689">
        <v>0.2229</v>
      </c>
      <c r="G689">
        <v>1</v>
      </c>
      <c r="H689">
        <v>2</v>
      </c>
      <c r="I689">
        <v>0.08</v>
      </c>
      <c r="J689">
        <v>33.94</v>
      </c>
      <c r="K689" t="s">
        <v>40</v>
      </c>
      <c r="L689">
        <v>0.08</v>
      </c>
    </row>
    <row r="690" spans="1:12">
      <c r="A690" s="71">
        <v>43393</v>
      </c>
      <c r="B690" t="s">
        <v>24</v>
      </c>
      <c r="C690">
        <v>13</v>
      </c>
      <c r="D690">
        <v>0.1161</v>
      </c>
      <c r="E690">
        <v>20</v>
      </c>
      <c r="F690">
        <v>0.1274</v>
      </c>
      <c r="G690">
        <v>1</v>
      </c>
      <c r="H690">
        <v>2</v>
      </c>
      <c r="I690">
        <v>0.1538</v>
      </c>
      <c r="J690">
        <v>25.98</v>
      </c>
      <c r="K690" t="s">
        <v>40</v>
      </c>
      <c r="L690">
        <v>0.153846153846154</v>
      </c>
    </row>
    <row r="691" spans="1:12">
      <c r="A691" s="71">
        <v>43393</v>
      </c>
      <c r="B691" t="s">
        <v>22</v>
      </c>
      <c r="C691">
        <v>49</v>
      </c>
      <c r="D691">
        <v>0.4375</v>
      </c>
      <c r="E691">
        <v>72</v>
      </c>
      <c r="F691">
        <v>0.4586</v>
      </c>
      <c r="G691">
        <v>1</v>
      </c>
      <c r="H691">
        <v>3</v>
      </c>
      <c r="I691">
        <v>0.0612</v>
      </c>
      <c r="J691">
        <v>38.91</v>
      </c>
      <c r="K691" t="s">
        <v>40</v>
      </c>
      <c r="L691">
        <v>0.0408163265306122</v>
      </c>
    </row>
    <row r="692" spans="1:12">
      <c r="A692" s="71">
        <v>43393</v>
      </c>
      <c r="B692" t="s">
        <v>18</v>
      </c>
      <c r="C692">
        <v>21</v>
      </c>
      <c r="D692">
        <v>0.1875</v>
      </c>
      <c r="E692">
        <v>25</v>
      </c>
      <c r="F692">
        <v>0.1592</v>
      </c>
      <c r="G692">
        <v>1</v>
      </c>
      <c r="H692">
        <v>1</v>
      </c>
      <c r="I692">
        <v>0.0476</v>
      </c>
      <c r="J692">
        <v>27.49</v>
      </c>
      <c r="K692" t="s">
        <v>39</v>
      </c>
      <c r="L692">
        <v>0.0476190476190476</v>
      </c>
    </row>
    <row r="693" spans="1:12">
      <c r="A693" s="71">
        <v>43394</v>
      </c>
      <c r="B693" t="s">
        <v>20</v>
      </c>
      <c r="C693">
        <v>1</v>
      </c>
      <c r="D693">
        <v>0.0083</v>
      </c>
      <c r="E693">
        <v>1</v>
      </c>
      <c r="F693">
        <v>0.0062</v>
      </c>
      <c r="G693">
        <v>1</v>
      </c>
      <c r="H693">
        <v>0</v>
      </c>
      <c r="I693">
        <v>0</v>
      </c>
      <c r="J693">
        <v>0</v>
      </c>
      <c r="K693" t="s">
        <v>38</v>
      </c>
      <c r="L693">
        <v>0</v>
      </c>
    </row>
    <row r="694" spans="1:12">
      <c r="A694" s="71">
        <v>43394</v>
      </c>
      <c r="B694" t="s">
        <v>21</v>
      </c>
      <c r="C694">
        <v>1</v>
      </c>
      <c r="D694">
        <v>0.0083</v>
      </c>
      <c r="E694">
        <v>1</v>
      </c>
      <c r="F694">
        <v>0.0062</v>
      </c>
      <c r="G694">
        <v>0</v>
      </c>
      <c r="H694">
        <v>0</v>
      </c>
      <c r="I694">
        <v>0</v>
      </c>
      <c r="J694">
        <v>0</v>
      </c>
      <c r="K694" t="s">
        <v>38</v>
      </c>
      <c r="L694">
        <v>0</v>
      </c>
    </row>
    <row r="695" spans="1:12">
      <c r="A695" s="71">
        <v>43394</v>
      </c>
      <c r="B695" t="s">
        <v>23</v>
      </c>
      <c r="C695">
        <v>1</v>
      </c>
      <c r="D695">
        <v>0.0083</v>
      </c>
      <c r="E695">
        <v>1</v>
      </c>
      <c r="F695">
        <v>0.0062</v>
      </c>
      <c r="G695">
        <v>0</v>
      </c>
      <c r="H695">
        <v>0</v>
      </c>
      <c r="I695">
        <v>0</v>
      </c>
      <c r="J695">
        <v>0</v>
      </c>
      <c r="K695" t="s">
        <v>38</v>
      </c>
      <c r="L695">
        <v>0</v>
      </c>
    </row>
    <row r="696" spans="1:12">
      <c r="A696" s="71">
        <v>43394</v>
      </c>
      <c r="B696" t="s">
        <v>19</v>
      </c>
      <c r="C696">
        <v>17</v>
      </c>
      <c r="D696">
        <v>0.1405</v>
      </c>
      <c r="E696">
        <v>24</v>
      </c>
      <c r="F696">
        <v>0.1491</v>
      </c>
      <c r="G696">
        <v>0.96</v>
      </c>
      <c r="H696">
        <v>1</v>
      </c>
      <c r="I696">
        <v>0.0588</v>
      </c>
      <c r="J696">
        <v>16.97</v>
      </c>
      <c r="K696" t="s">
        <v>39</v>
      </c>
      <c r="L696">
        <v>0.0588235294117647</v>
      </c>
    </row>
    <row r="697" spans="1:12">
      <c r="A697" s="71">
        <v>43394</v>
      </c>
      <c r="B697" t="s">
        <v>18</v>
      </c>
      <c r="C697">
        <v>29</v>
      </c>
      <c r="D697">
        <v>0.2397</v>
      </c>
      <c r="E697">
        <v>43</v>
      </c>
      <c r="F697">
        <v>0.2671</v>
      </c>
      <c r="G697">
        <v>1</v>
      </c>
      <c r="H697">
        <v>4</v>
      </c>
      <c r="I697">
        <v>0.1379</v>
      </c>
      <c r="J697">
        <v>109.96</v>
      </c>
      <c r="K697" t="s">
        <v>42</v>
      </c>
      <c r="L697">
        <v>0.137931034482759</v>
      </c>
    </row>
    <row r="698" spans="1:12">
      <c r="A698" s="71">
        <v>43394</v>
      </c>
      <c r="B698" t="s">
        <v>22</v>
      </c>
      <c r="C698">
        <v>58</v>
      </c>
      <c r="D698">
        <v>0.4793</v>
      </c>
      <c r="E698">
        <v>72</v>
      </c>
      <c r="F698">
        <v>0.4472</v>
      </c>
      <c r="G698">
        <v>1</v>
      </c>
      <c r="H698">
        <v>17</v>
      </c>
      <c r="I698">
        <v>0.2931</v>
      </c>
      <c r="J698">
        <v>220.49</v>
      </c>
      <c r="K698" t="s">
        <v>51</v>
      </c>
      <c r="L698">
        <v>0.293103448275862</v>
      </c>
    </row>
    <row r="699" spans="1:12">
      <c r="A699" s="71">
        <v>43394</v>
      </c>
      <c r="B699" t="s">
        <v>24</v>
      </c>
      <c r="C699">
        <v>14</v>
      </c>
      <c r="D699">
        <v>0.1157</v>
      </c>
      <c r="E699">
        <v>19</v>
      </c>
      <c r="F699">
        <v>0.118</v>
      </c>
      <c r="G699">
        <v>1</v>
      </c>
      <c r="H699">
        <v>1</v>
      </c>
      <c r="I699">
        <v>0.0714</v>
      </c>
      <c r="J699">
        <v>12.99</v>
      </c>
      <c r="K699" t="s">
        <v>39</v>
      </c>
      <c r="L699">
        <v>0.0714285714285714</v>
      </c>
    </row>
    <row r="700" spans="1:12">
      <c r="A700" s="71">
        <v>43395</v>
      </c>
      <c r="B700" t="s">
        <v>23</v>
      </c>
      <c r="C700">
        <v>1</v>
      </c>
      <c r="D700">
        <v>0.0071</v>
      </c>
      <c r="E700">
        <v>1</v>
      </c>
      <c r="F700">
        <v>0.0054</v>
      </c>
      <c r="G700">
        <v>1</v>
      </c>
      <c r="H700">
        <v>0</v>
      </c>
      <c r="I700">
        <v>0</v>
      </c>
      <c r="J700">
        <v>0</v>
      </c>
      <c r="K700" t="s">
        <v>38</v>
      </c>
      <c r="L700">
        <v>0</v>
      </c>
    </row>
    <row r="701" spans="1:12">
      <c r="A701" s="71">
        <v>43395</v>
      </c>
      <c r="B701" t="s">
        <v>19</v>
      </c>
      <c r="C701">
        <v>21</v>
      </c>
      <c r="D701">
        <v>0.15</v>
      </c>
      <c r="E701">
        <v>35</v>
      </c>
      <c r="F701">
        <v>0.1902</v>
      </c>
      <c r="G701">
        <v>1</v>
      </c>
      <c r="H701">
        <v>0</v>
      </c>
      <c r="I701">
        <v>0</v>
      </c>
      <c r="J701">
        <v>0</v>
      </c>
      <c r="K701" t="s">
        <v>38</v>
      </c>
      <c r="L701">
        <v>0</v>
      </c>
    </row>
    <row r="702" spans="1:12">
      <c r="A702" s="71">
        <v>43395</v>
      </c>
      <c r="B702" t="s">
        <v>20</v>
      </c>
      <c r="C702">
        <v>3</v>
      </c>
      <c r="D702">
        <v>0.0214</v>
      </c>
      <c r="E702">
        <v>4</v>
      </c>
      <c r="F702">
        <v>0.0217</v>
      </c>
      <c r="G702">
        <v>1</v>
      </c>
      <c r="H702">
        <v>0</v>
      </c>
      <c r="I702">
        <v>0</v>
      </c>
      <c r="J702">
        <v>0</v>
      </c>
      <c r="K702" t="s">
        <v>38</v>
      </c>
      <c r="L702">
        <v>0</v>
      </c>
    </row>
    <row r="703" spans="1:12">
      <c r="A703" s="71">
        <v>43395</v>
      </c>
      <c r="B703" t="s">
        <v>24</v>
      </c>
      <c r="C703">
        <v>19</v>
      </c>
      <c r="D703">
        <v>0.1357</v>
      </c>
      <c r="E703">
        <v>23</v>
      </c>
      <c r="F703">
        <v>0.125</v>
      </c>
      <c r="G703">
        <v>1</v>
      </c>
      <c r="H703">
        <v>4</v>
      </c>
      <c r="I703">
        <v>0.2105</v>
      </c>
      <c r="J703">
        <v>51.96</v>
      </c>
      <c r="K703" t="s">
        <v>42</v>
      </c>
      <c r="L703">
        <v>0.210526315789474</v>
      </c>
    </row>
    <row r="704" spans="1:12">
      <c r="A704" s="71">
        <v>43395</v>
      </c>
      <c r="B704" t="s">
        <v>18</v>
      </c>
      <c r="C704">
        <v>22</v>
      </c>
      <c r="D704">
        <v>0.1571</v>
      </c>
      <c r="E704">
        <v>26</v>
      </c>
      <c r="F704">
        <v>0.1413</v>
      </c>
      <c r="G704">
        <v>1</v>
      </c>
      <c r="H704">
        <v>3</v>
      </c>
      <c r="I704">
        <v>0.1364</v>
      </c>
      <c r="J704">
        <v>82.47</v>
      </c>
      <c r="K704" t="s">
        <v>41</v>
      </c>
      <c r="L704">
        <v>0.136363636363636</v>
      </c>
    </row>
    <row r="705" spans="1:12">
      <c r="A705" s="71">
        <v>43395</v>
      </c>
      <c r="B705" t="s">
        <v>22</v>
      </c>
      <c r="C705">
        <v>74</v>
      </c>
      <c r="D705">
        <v>0.5286</v>
      </c>
      <c r="E705">
        <v>95</v>
      </c>
      <c r="F705">
        <v>0.5163</v>
      </c>
      <c r="G705">
        <v>1</v>
      </c>
      <c r="H705">
        <v>14</v>
      </c>
      <c r="I705">
        <v>0.1892</v>
      </c>
      <c r="J705">
        <v>181.58</v>
      </c>
      <c r="K705" t="s">
        <v>53</v>
      </c>
      <c r="L705">
        <v>0.175675675675676</v>
      </c>
    </row>
    <row r="706" spans="1:12">
      <c r="A706" s="71">
        <v>43396</v>
      </c>
      <c r="B706" t="s">
        <v>20</v>
      </c>
      <c r="C706">
        <v>3</v>
      </c>
      <c r="D706">
        <v>0.0263</v>
      </c>
      <c r="E706">
        <v>4</v>
      </c>
      <c r="F706">
        <v>0.0248</v>
      </c>
      <c r="G706">
        <v>1</v>
      </c>
      <c r="H706">
        <v>0</v>
      </c>
      <c r="I706">
        <v>0</v>
      </c>
      <c r="J706">
        <v>0</v>
      </c>
      <c r="K706" t="s">
        <v>38</v>
      </c>
      <c r="L706">
        <v>0</v>
      </c>
    </row>
    <row r="707" spans="1:12">
      <c r="A707" s="71">
        <v>43396</v>
      </c>
      <c r="B707" t="s">
        <v>18</v>
      </c>
      <c r="C707">
        <v>26</v>
      </c>
      <c r="D707">
        <v>0.2281</v>
      </c>
      <c r="E707">
        <v>37</v>
      </c>
      <c r="F707">
        <v>0.2298</v>
      </c>
      <c r="G707">
        <v>0.97</v>
      </c>
      <c r="H707">
        <v>1</v>
      </c>
      <c r="I707">
        <v>0.0385</v>
      </c>
      <c r="J707">
        <v>27.87</v>
      </c>
      <c r="K707" t="s">
        <v>39</v>
      </c>
      <c r="L707">
        <v>0.0384615384615385</v>
      </c>
    </row>
    <row r="708" spans="1:12">
      <c r="A708" s="71">
        <v>43396</v>
      </c>
      <c r="B708" t="s">
        <v>19</v>
      </c>
      <c r="C708">
        <v>24</v>
      </c>
      <c r="D708">
        <v>0.2105</v>
      </c>
      <c r="E708">
        <v>33</v>
      </c>
      <c r="F708">
        <v>0.205</v>
      </c>
      <c r="G708">
        <v>0.97</v>
      </c>
      <c r="H708">
        <v>1</v>
      </c>
      <c r="I708">
        <v>0.0417</v>
      </c>
      <c r="J708">
        <v>16.97</v>
      </c>
      <c r="K708" t="s">
        <v>39</v>
      </c>
      <c r="L708">
        <v>0.0416666666666667</v>
      </c>
    </row>
    <row r="709" spans="1:12">
      <c r="A709" s="71">
        <v>43396</v>
      </c>
      <c r="B709" t="s">
        <v>24</v>
      </c>
      <c r="C709">
        <v>11</v>
      </c>
      <c r="D709">
        <v>0.0965</v>
      </c>
      <c r="E709">
        <v>17</v>
      </c>
      <c r="F709">
        <v>0.1056</v>
      </c>
      <c r="G709">
        <v>1</v>
      </c>
      <c r="H709">
        <v>4</v>
      </c>
      <c r="I709">
        <v>0.3636</v>
      </c>
      <c r="J709">
        <v>51.96</v>
      </c>
      <c r="K709" t="s">
        <v>42</v>
      </c>
      <c r="L709">
        <v>0.363636363636364</v>
      </c>
    </row>
    <row r="710" spans="1:12">
      <c r="A710" s="71">
        <v>43396</v>
      </c>
      <c r="B710" t="s">
        <v>22</v>
      </c>
      <c r="C710">
        <v>50</v>
      </c>
      <c r="D710">
        <v>0.4386</v>
      </c>
      <c r="E710">
        <v>70</v>
      </c>
      <c r="F710">
        <v>0.4348</v>
      </c>
      <c r="G710">
        <v>1</v>
      </c>
      <c r="H710">
        <v>6</v>
      </c>
      <c r="I710">
        <v>0.12</v>
      </c>
      <c r="J710">
        <v>80.82</v>
      </c>
      <c r="K710" t="s">
        <v>45</v>
      </c>
      <c r="L710">
        <v>0.12</v>
      </c>
    </row>
    <row r="711" spans="1:12">
      <c r="A711" s="71">
        <v>43397</v>
      </c>
      <c r="B711" t="s">
        <v>24</v>
      </c>
      <c r="C711">
        <v>21</v>
      </c>
      <c r="D711">
        <v>0.2121</v>
      </c>
      <c r="E711">
        <v>28</v>
      </c>
      <c r="F711">
        <v>0.2014</v>
      </c>
      <c r="G711">
        <v>1</v>
      </c>
      <c r="H711">
        <v>0</v>
      </c>
      <c r="I711">
        <v>0</v>
      </c>
      <c r="J711">
        <v>0</v>
      </c>
      <c r="K711" t="s">
        <v>38</v>
      </c>
      <c r="L711">
        <v>0</v>
      </c>
    </row>
    <row r="712" spans="1:12">
      <c r="A712" s="71">
        <v>43397</v>
      </c>
      <c r="B712" t="s">
        <v>19</v>
      </c>
      <c r="C712">
        <v>20</v>
      </c>
      <c r="D712">
        <v>0.202</v>
      </c>
      <c r="E712">
        <v>30</v>
      </c>
      <c r="F712">
        <v>0.2158</v>
      </c>
      <c r="G712">
        <v>1</v>
      </c>
      <c r="H712">
        <v>0</v>
      </c>
      <c r="I712">
        <v>0</v>
      </c>
      <c r="J712">
        <v>0</v>
      </c>
      <c r="K712" t="s">
        <v>38</v>
      </c>
      <c r="L712">
        <v>0</v>
      </c>
    </row>
    <row r="713" spans="1:12">
      <c r="A713" s="71">
        <v>43397</v>
      </c>
      <c r="B713" t="s">
        <v>20</v>
      </c>
      <c r="C713">
        <v>3</v>
      </c>
      <c r="D713">
        <v>0.0303</v>
      </c>
      <c r="E713">
        <v>3</v>
      </c>
      <c r="F713">
        <v>0.0216</v>
      </c>
      <c r="G713">
        <v>1</v>
      </c>
      <c r="H713">
        <v>0</v>
      </c>
      <c r="I713">
        <v>0</v>
      </c>
      <c r="J713">
        <v>0</v>
      </c>
      <c r="K713" t="s">
        <v>38</v>
      </c>
      <c r="L713">
        <v>0</v>
      </c>
    </row>
    <row r="714" spans="1:12">
      <c r="A714" s="71">
        <v>43397</v>
      </c>
      <c r="B714" t="s">
        <v>22</v>
      </c>
      <c r="C714">
        <v>26</v>
      </c>
      <c r="D714">
        <v>0.2626</v>
      </c>
      <c r="E714">
        <v>38</v>
      </c>
      <c r="F714">
        <v>0.2734</v>
      </c>
      <c r="G714">
        <v>0.95</v>
      </c>
      <c r="H714">
        <v>8</v>
      </c>
      <c r="I714">
        <v>0.3077</v>
      </c>
      <c r="J714">
        <v>107.76</v>
      </c>
      <c r="K714" t="s">
        <v>46</v>
      </c>
      <c r="L714">
        <v>0.269230769230769</v>
      </c>
    </row>
    <row r="715" spans="1:12">
      <c r="A715" s="71">
        <v>43397</v>
      </c>
      <c r="B715" t="s">
        <v>18</v>
      </c>
      <c r="C715">
        <v>29</v>
      </c>
      <c r="D715">
        <v>0.2929</v>
      </c>
      <c r="E715">
        <v>40</v>
      </c>
      <c r="F715">
        <v>0.2878</v>
      </c>
      <c r="G715">
        <v>1</v>
      </c>
      <c r="H715">
        <v>1</v>
      </c>
      <c r="I715">
        <v>0.0345</v>
      </c>
      <c r="J715">
        <v>27.87</v>
      </c>
      <c r="K715" t="s">
        <v>39</v>
      </c>
      <c r="L715">
        <v>0.0344827586206897</v>
      </c>
    </row>
    <row r="716" spans="1:12">
      <c r="A716" s="71">
        <v>43398</v>
      </c>
      <c r="B716" t="s">
        <v>23</v>
      </c>
      <c r="C716">
        <v>1</v>
      </c>
      <c r="D716">
        <v>0.0093</v>
      </c>
      <c r="E716">
        <v>1</v>
      </c>
      <c r="F716">
        <v>0.007</v>
      </c>
      <c r="G716">
        <v>1</v>
      </c>
      <c r="H716">
        <v>0</v>
      </c>
      <c r="I716">
        <v>0</v>
      </c>
      <c r="J716">
        <v>0</v>
      </c>
      <c r="K716" t="s">
        <v>38</v>
      </c>
      <c r="L716">
        <v>0</v>
      </c>
    </row>
    <row r="717" spans="1:12">
      <c r="A717" s="71">
        <v>43398</v>
      </c>
      <c r="B717" t="s">
        <v>20</v>
      </c>
      <c r="C717">
        <v>3</v>
      </c>
      <c r="D717">
        <v>0.0278</v>
      </c>
      <c r="E717">
        <v>3</v>
      </c>
      <c r="F717">
        <v>0.0211</v>
      </c>
      <c r="G717">
        <v>1</v>
      </c>
      <c r="H717">
        <v>0</v>
      </c>
      <c r="I717">
        <v>0</v>
      </c>
      <c r="J717">
        <v>0</v>
      </c>
      <c r="K717" t="s">
        <v>38</v>
      </c>
      <c r="L717">
        <v>0</v>
      </c>
    </row>
    <row r="718" spans="1:12">
      <c r="A718" s="71">
        <v>43398</v>
      </c>
      <c r="B718" t="s">
        <v>19</v>
      </c>
      <c r="C718">
        <v>23</v>
      </c>
      <c r="D718">
        <v>0.213</v>
      </c>
      <c r="E718">
        <v>33</v>
      </c>
      <c r="F718">
        <v>0.2324</v>
      </c>
      <c r="G718">
        <v>1</v>
      </c>
      <c r="H718">
        <v>2</v>
      </c>
      <c r="I718">
        <v>0.087</v>
      </c>
      <c r="J718">
        <v>33.94</v>
      </c>
      <c r="K718" t="s">
        <v>40</v>
      </c>
      <c r="L718">
        <v>0.0869565217391304</v>
      </c>
    </row>
    <row r="719" spans="1:12">
      <c r="A719" s="71">
        <v>43398</v>
      </c>
      <c r="B719" t="s">
        <v>22</v>
      </c>
      <c r="C719">
        <v>42</v>
      </c>
      <c r="D719">
        <v>0.3889</v>
      </c>
      <c r="E719">
        <v>58</v>
      </c>
      <c r="F719">
        <v>0.4085</v>
      </c>
      <c r="G719">
        <v>1</v>
      </c>
      <c r="H719">
        <v>3</v>
      </c>
      <c r="I719">
        <v>0.0714</v>
      </c>
      <c r="J719">
        <v>41.01</v>
      </c>
      <c r="K719" t="s">
        <v>40</v>
      </c>
      <c r="L719">
        <v>0.0476190476190476</v>
      </c>
    </row>
    <row r="720" spans="1:12">
      <c r="A720" s="71">
        <v>43398</v>
      </c>
      <c r="B720" t="s">
        <v>18</v>
      </c>
      <c r="C720">
        <v>26</v>
      </c>
      <c r="D720">
        <v>0.2407</v>
      </c>
      <c r="E720">
        <v>32</v>
      </c>
      <c r="F720">
        <v>0.2254</v>
      </c>
      <c r="G720">
        <v>1</v>
      </c>
      <c r="H720">
        <v>1</v>
      </c>
      <c r="I720">
        <v>0.0385</v>
      </c>
      <c r="J720">
        <v>27.87</v>
      </c>
      <c r="K720" t="s">
        <v>39</v>
      </c>
      <c r="L720">
        <v>0.0384615384615385</v>
      </c>
    </row>
    <row r="721" spans="1:12">
      <c r="A721" s="71">
        <v>43398</v>
      </c>
      <c r="B721" t="s">
        <v>24</v>
      </c>
      <c r="C721">
        <v>13</v>
      </c>
      <c r="D721">
        <v>0.1204</v>
      </c>
      <c r="E721">
        <v>15</v>
      </c>
      <c r="F721">
        <v>0.1056</v>
      </c>
      <c r="G721">
        <v>1</v>
      </c>
      <c r="H721">
        <v>1</v>
      </c>
      <c r="I721">
        <v>0.0769</v>
      </c>
      <c r="J721">
        <v>12.99</v>
      </c>
      <c r="K721" t="s">
        <v>39</v>
      </c>
      <c r="L721">
        <v>0.0769230769230769</v>
      </c>
    </row>
    <row r="722" spans="1:12">
      <c r="A722" s="71">
        <v>43399</v>
      </c>
      <c r="B722" t="s">
        <v>20</v>
      </c>
      <c r="C722">
        <v>5</v>
      </c>
      <c r="D722">
        <v>0.0562</v>
      </c>
      <c r="E722">
        <v>7</v>
      </c>
      <c r="F722">
        <v>0.0551</v>
      </c>
      <c r="G722">
        <v>1</v>
      </c>
      <c r="H722">
        <v>0</v>
      </c>
      <c r="I722">
        <v>0</v>
      </c>
      <c r="J722">
        <v>0</v>
      </c>
      <c r="K722" t="s">
        <v>38</v>
      </c>
      <c r="L722">
        <v>0</v>
      </c>
    </row>
    <row r="723" spans="1:12">
      <c r="A723" s="71">
        <v>43399</v>
      </c>
      <c r="B723" t="s">
        <v>18</v>
      </c>
      <c r="C723">
        <v>27</v>
      </c>
      <c r="D723">
        <v>0.3034</v>
      </c>
      <c r="E723">
        <v>34</v>
      </c>
      <c r="F723">
        <v>0.2677</v>
      </c>
      <c r="G723">
        <v>0.97</v>
      </c>
      <c r="H723">
        <v>2</v>
      </c>
      <c r="I723">
        <v>0.0741</v>
      </c>
      <c r="J723">
        <v>55.74</v>
      </c>
      <c r="K723" t="s">
        <v>40</v>
      </c>
      <c r="L723">
        <v>0.0740740740740741</v>
      </c>
    </row>
    <row r="724" spans="1:12">
      <c r="A724" s="71">
        <v>43399</v>
      </c>
      <c r="B724" t="s">
        <v>21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3</v>
      </c>
      <c r="I724">
        <v>0</v>
      </c>
      <c r="J724">
        <v>44.97</v>
      </c>
      <c r="K724" t="s">
        <v>39</v>
      </c>
      <c r="L724">
        <v>0</v>
      </c>
    </row>
    <row r="725" spans="1:12">
      <c r="A725" s="71">
        <v>43399</v>
      </c>
      <c r="B725" t="s">
        <v>19</v>
      </c>
      <c r="C725">
        <v>15</v>
      </c>
      <c r="D725">
        <v>0.1685</v>
      </c>
      <c r="E725">
        <v>22</v>
      </c>
      <c r="F725">
        <v>0.1732</v>
      </c>
      <c r="G725">
        <v>1</v>
      </c>
      <c r="H725">
        <v>2</v>
      </c>
      <c r="I725">
        <v>0.1333</v>
      </c>
      <c r="J725">
        <v>33.94</v>
      </c>
      <c r="K725" t="s">
        <v>39</v>
      </c>
      <c r="L725">
        <v>0.0666666666666667</v>
      </c>
    </row>
    <row r="726" spans="1:12">
      <c r="A726" s="71">
        <v>43399</v>
      </c>
      <c r="B726" t="s">
        <v>22</v>
      </c>
      <c r="C726">
        <v>31</v>
      </c>
      <c r="D726">
        <v>0.3483</v>
      </c>
      <c r="E726">
        <v>51</v>
      </c>
      <c r="F726">
        <v>0.4016</v>
      </c>
      <c r="G726">
        <v>1</v>
      </c>
      <c r="H726">
        <v>4</v>
      </c>
      <c r="I726">
        <v>0.129</v>
      </c>
      <c r="J726">
        <v>51.88</v>
      </c>
      <c r="K726" t="s">
        <v>42</v>
      </c>
      <c r="L726">
        <v>0.129032258064516</v>
      </c>
    </row>
    <row r="727" spans="1:12">
      <c r="A727" s="71">
        <v>43399</v>
      </c>
      <c r="B727" t="s">
        <v>24</v>
      </c>
      <c r="C727">
        <v>11</v>
      </c>
      <c r="D727">
        <v>0.1236</v>
      </c>
      <c r="E727">
        <v>13</v>
      </c>
      <c r="F727">
        <v>0.1024</v>
      </c>
      <c r="G727">
        <v>1</v>
      </c>
      <c r="H727">
        <v>1</v>
      </c>
      <c r="I727">
        <v>0.0909</v>
      </c>
      <c r="J727">
        <v>12.99</v>
      </c>
      <c r="K727" t="s">
        <v>39</v>
      </c>
      <c r="L727">
        <v>0.0909090909090909</v>
      </c>
    </row>
    <row r="728" spans="1:12">
      <c r="A728" s="71">
        <v>43400</v>
      </c>
      <c r="B728" t="s">
        <v>20</v>
      </c>
      <c r="C728">
        <v>3</v>
      </c>
      <c r="D728">
        <v>0.0319</v>
      </c>
      <c r="E728">
        <v>4</v>
      </c>
      <c r="F728">
        <v>0.0336</v>
      </c>
      <c r="G728">
        <v>1</v>
      </c>
      <c r="H728">
        <v>0</v>
      </c>
      <c r="I728">
        <v>0</v>
      </c>
      <c r="J728">
        <v>0</v>
      </c>
      <c r="K728" t="s">
        <v>38</v>
      </c>
      <c r="L728">
        <v>0</v>
      </c>
    </row>
    <row r="729" spans="1:12">
      <c r="A729" s="71">
        <v>43400</v>
      </c>
      <c r="B729" t="s">
        <v>24</v>
      </c>
      <c r="C729">
        <v>8</v>
      </c>
      <c r="D729">
        <v>0.0851</v>
      </c>
      <c r="E729">
        <v>12</v>
      </c>
      <c r="F729">
        <v>0.1008</v>
      </c>
      <c r="G729">
        <v>0.92</v>
      </c>
      <c r="H729">
        <v>4</v>
      </c>
      <c r="I729">
        <v>0.5</v>
      </c>
      <c r="J729">
        <v>51.96</v>
      </c>
      <c r="K729" t="s">
        <v>42</v>
      </c>
      <c r="L729">
        <v>0.5</v>
      </c>
    </row>
    <row r="730" spans="1:12">
      <c r="A730" s="71">
        <v>43400</v>
      </c>
      <c r="B730" t="s">
        <v>18</v>
      </c>
      <c r="C730">
        <v>21</v>
      </c>
      <c r="D730">
        <v>0.2234</v>
      </c>
      <c r="E730">
        <v>30</v>
      </c>
      <c r="F730">
        <v>0.2521</v>
      </c>
      <c r="G730">
        <v>1</v>
      </c>
      <c r="H730">
        <v>6</v>
      </c>
      <c r="I730">
        <v>0.2857</v>
      </c>
      <c r="J730">
        <v>167.22</v>
      </c>
      <c r="K730" t="s">
        <v>43</v>
      </c>
      <c r="L730">
        <v>0.238095238095238</v>
      </c>
    </row>
    <row r="731" spans="1:12">
      <c r="A731" s="71">
        <v>43400</v>
      </c>
      <c r="B731" t="s">
        <v>22</v>
      </c>
      <c r="C731">
        <v>44</v>
      </c>
      <c r="D731">
        <v>0.4681</v>
      </c>
      <c r="E731">
        <v>52</v>
      </c>
      <c r="F731">
        <v>0.437</v>
      </c>
      <c r="G731">
        <v>1</v>
      </c>
      <c r="H731">
        <v>4</v>
      </c>
      <c r="I731">
        <v>0.0909</v>
      </c>
      <c r="J731">
        <v>55.48</v>
      </c>
      <c r="K731" t="s">
        <v>42</v>
      </c>
      <c r="L731">
        <v>0.0909090909090909</v>
      </c>
    </row>
    <row r="732" spans="1:12">
      <c r="A732" s="71">
        <v>43400</v>
      </c>
      <c r="B732" t="s">
        <v>19</v>
      </c>
      <c r="C732">
        <v>18</v>
      </c>
      <c r="D732">
        <v>0.1915</v>
      </c>
      <c r="E732">
        <v>21</v>
      </c>
      <c r="F732">
        <v>0.1765</v>
      </c>
      <c r="G732">
        <v>1</v>
      </c>
      <c r="H732">
        <v>1</v>
      </c>
      <c r="I732">
        <v>0.0556</v>
      </c>
      <c r="J732">
        <v>16.97</v>
      </c>
      <c r="K732" t="s">
        <v>39</v>
      </c>
      <c r="L732">
        <v>0.0555555555555556</v>
      </c>
    </row>
    <row r="733" spans="1:12">
      <c r="A733" s="71">
        <v>43401</v>
      </c>
      <c r="B733" t="s">
        <v>23</v>
      </c>
      <c r="C733">
        <v>1</v>
      </c>
      <c r="D733">
        <v>0.0086</v>
      </c>
      <c r="E733">
        <v>2</v>
      </c>
      <c r="F733">
        <v>0.0129</v>
      </c>
      <c r="G733">
        <v>1</v>
      </c>
      <c r="H733">
        <v>0</v>
      </c>
      <c r="I733">
        <v>0</v>
      </c>
      <c r="J733">
        <v>0</v>
      </c>
      <c r="K733" t="s">
        <v>38</v>
      </c>
      <c r="L733">
        <v>0</v>
      </c>
    </row>
    <row r="734" spans="1:12">
      <c r="A734" s="71">
        <v>43401</v>
      </c>
      <c r="B734" t="s">
        <v>20</v>
      </c>
      <c r="C734">
        <v>5</v>
      </c>
      <c r="D734">
        <v>0.0431</v>
      </c>
      <c r="E734">
        <v>8</v>
      </c>
      <c r="F734">
        <v>0.0516</v>
      </c>
      <c r="G734">
        <v>1</v>
      </c>
      <c r="H734">
        <v>0</v>
      </c>
      <c r="I734">
        <v>0</v>
      </c>
      <c r="J734">
        <v>0</v>
      </c>
      <c r="K734" t="s">
        <v>38</v>
      </c>
      <c r="L734">
        <v>0</v>
      </c>
    </row>
    <row r="735" spans="1:12">
      <c r="A735" s="71">
        <v>43401</v>
      </c>
      <c r="B735" t="s">
        <v>24</v>
      </c>
      <c r="C735">
        <v>12</v>
      </c>
      <c r="D735">
        <v>0.1034</v>
      </c>
      <c r="E735">
        <v>14</v>
      </c>
      <c r="F735">
        <v>0.0903</v>
      </c>
      <c r="G735">
        <v>1</v>
      </c>
      <c r="H735">
        <v>2</v>
      </c>
      <c r="I735">
        <v>0.1667</v>
      </c>
      <c r="J735">
        <v>25.98</v>
      </c>
      <c r="K735" t="s">
        <v>40</v>
      </c>
      <c r="L735">
        <v>0.166666666666667</v>
      </c>
    </row>
    <row r="736" spans="1:12">
      <c r="A736" s="71">
        <v>43401</v>
      </c>
      <c r="B736" t="s">
        <v>22</v>
      </c>
      <c r="C736">
        <v>58</v>
      </c>
      <c r="D736">
        <v>0.5</v>
      </c>
      <c r="E736">
        <v>78</v>
      </c>
      <c r="F736">
        <v>0.5032</v>
      </c>
      <c r="G736">
        <v>1</v>
      </c>
      <c r="H736">
        <v>12</v>
      </c>
      <c r="I736">
        <v>0.2069</v>
      </c>
      <c r="J736">
        <v>166.44</v>
      </c>
      <c r="K736" t="s">
        <v>54</v>
      </c>
      <c r="L736">
        <v>0.189655172413793</v>
      </c>
    </row>
    <row r="737" spans="1:12">
      <c r="A737" s="71">
        <v>43401</v>
      </c>
      <c r="B737" t="s">
        <v>18</v>
      </c>
      <c r="C737">
        <v>21</v>
      </c>
      <c r="D737">
        <v>0.181</v>
      </c>
      <c r="E737">
        <v>26</v>
      </c>
      <c r="F737">
        <v>0.1677</v>
      </c>
      <c r="G737">
        <v>1</v>
      </c>
      <c r="H737">
        <v>1</v>
      </c>
      <c r="I737">
        <v>0.0476</v>
      </c>
      <c r="J737">
        <v>27.87</v>
      </c>
      <c r="K737" t="s">
        <v>39</v>
      </c>
      <c r="L737">
        <v>0.0476190476190476</v>
      </c>
    </row>
    <row r="738" spans="1:12">
      <c r="A738" s="71">
        <v>43401</v>
      </c>
      <c r="B738" t="s">
        <v>19</v>
      </c>
      <c r="C738">
        <v>19</v>
      </c>
      <c r="D738">
        <v>0.1638</v>
      </c>
      <c r="E738">
        <v>27</v>
      </c>
      <c r="F738">
        <v>0.1742</v>
      </c>
      <c r="G738">
        <v>1</v>
      </c>
      <c r="H738">
        <v>1</v>
      </c>
      <c r="I738">
        <v>0.0526</v>
      </c>
      <c r="J738">
        <v>16.97</v>
      </c>
      <c r="K738" t="s">
        <v>39</v>
      </c>
      <c r="L738">
        <v>0.0526315789473684</v>
      </c>
    </row>
    <row r="739" spans="1:12">
      <c r="A739" s="71">
        <v>43402</v>
      </c>
      <c r="B739" t="s">
        <v>23</v>
      </c>
      <c r="C739">
        <v>4</v>
      </c>
      <c r="D739">
        <v>0.0313</v>
      </c>
      <c r="E739">
        <v>4</v>
      </c>
      <c r="F739">
        <v>0.0229</v>
      </c>
      <c r="G739">
        <v>1</v>
      </c>
      <c r="H739">
        <v>0</v>
      </c>
      <c r="I739">
        <v>0</v>
      </c>
      <c r="J739">
        <v>0</v>
      </c>
      <c r="K739" t="s">
        <v>38</v>
      </c>
      <c r="L739">
        <v>0</v>
      </c>
    </row>
    <row r="740" spans="1:12">
      <c r="A740" s="71">
        <v>43402</v>
      </c>
      <c r="B740" t="s">
        <v>20</v>
      </c>
      <c r="C740">
        <v>3</v>
      </c>
      <c r="D740">
        <v>0.0234</v>
      </c>
      <c r="E740">
        <v>3</v>
      </c>
      <c r="F740">
        <v>0.0171</v>
      </c>
      <c r="G740">
        <v>1</v>
      </c>
      <c r="H740">
        <v>0</v>
      </c>
      <c r="I740">
        <v>0</v>
      </c>
      <c r="J740">
        <v>0</v>
      </c>
      <c r="K740" t="s">
        <v>38</v>
      </c>
      <c r="L740">
        <v>0</v>
      </c>
    </row>
    <row r="741" spans="1:12">
      <c r="A741" s="71">
        <v>43402</v>
      </c>
      <c r="B741" t="s">
        <v>22</v>
      </c>
      <c r="C741">
        <v>51</v>
      </c>
      <c r="D741">
        <v>0.3984</v>
      </c>
      <c r="E741">
        <v>68</v>
      </c>
      <c r="F741">
        <v>0.3886</v>
      </c>
      <c r="G741">
        <v>0.99</v>
      </c>
      <c r="H741">
        <v>19</v>
      </c>
      <c r="I741">
        <v>0.3725</v>
      </c>
      <c r="J741">
        <v>263.53</v>
      </c>
      <c r="K741" t="s">
        <v>44</v>
      </c>
      <c r="L741">
        <v>0.156862745098039</v>
      </c>
    </row>
    <row r="742" spans="1:12">
      <c r="A742" s="71">
        <v>43402</v>
      </c>
      <c r="B742" t="s">
        <v>19</v>
      </c>
      <c r="C742">
        <v>23</v>
      </c>
      <c r="D742">
        <v>0.1797</v>
      </c>
      <c r="E742">
        <v>36</v>
      </c>
      <c r="F742">
        <v>0.2057</v>
      </c>
      <c r="G742">
        <v>1</v>
      </c>
      <c r="H742">
        <v>3</v>
      </c>
      <c r="I742">
        <v>0.1304</v>
      </c>
      <c r="J742">
        <v>50.91</v>
      </c>
      <c r="K742" t="s">
        <v>40</v>
      </c>
      <c r="L742">
        <v>0.0869565217391304</v>
      </c>
    </row>
    <row r="743" spans="1:12">
      <c r="A743" s="71">
        <v>43402</v>
      </c>
      <c r="B743" t="s">
        <v>24</v>
      </c>
      <c r="C743">
        <v>18</v>
      </c>
      <c r="D743">
        <v>0.1406</v>
      </c>
      <c r="E743">
        <v>28</v>
      </c>
      <c r="F743">
        <v>0.16</v>
      </c>
      <c r="G743">
        <v>1</v>
      </c>
      <c r="H743">
        <v>3</v>
      </c>
      <c r="I743">
        <v>0.1667</v>
      </c>
      <c r="J743">
        <v>38.97</v>
      </c>
      <c r="K743" t="s">
        <v>41</v>
      </c>
      <c r="L743">
        <v>0.166666666666667</v>
      </c>
    </row>
    <row r="744" spans="1:12">
      <c r="A744" s="71">
        <v>43402</v>
      </c>
      <c r="B744" t="s">
        <v>18</v>
      </c>
      <c r="C744">
        <v>29</v>
      </c>
      <c r="D744">
        <v>0.2266</v>
      </c>
      <c r="E744">
        <v>36</v>
      </c>
      <c r="F744">
        <v>0.2057</v>
      </c>
      <c r="G744">
        <v>1</v>
      </c>
      <c r="H744">
        <v>1</v>
      </c>
      <c r="I744">
        <v>0.0345</v>
      </c>
      <c r="J744">
        <v>27.87</v>
      </c>
      <c r="K744" t="s">
        <v>39</v>
      </c>
      <c r="L744">
        <v>0.0344827586206897</v>
      </c>
    </row>
    <row r="745" spans="1:12">
      <c r="A745" s="71">
        <v>43403</v>
      </c>
      <c r="B745" t="s">
        <v>20</v>
      </c>
      <c r="C745">
        <v>4</v>
      </c>
      <c r="D745">
        <v>0.0426</v>
      </c>
      <c r="E745">
        <v>4</v>
      </c>
      <c r="F745">
        <v>0.0301</v>
      </c>
      <c r="G745">
        <v>1</v>
      </c>
      <c r="H745">
        <v>0</v>
      </c>
      <c r="I745">
        <v>0</v>
      </c>
      <c r="J745">
        <v>0</v>
      </c>
      <c r="K745" t="s">
        <v>38</v>
      </c>
      <c r="L745">
        <v>0</v>
      </c>
    </row>
    <row r="746" spans="1:12">
      <c r="A746" s="71">
        <v>43403</v>
      </c>
      <c r="B746" t="s">
        <v>24</v>
      </c>
      <c r="C746">
        <v>11</v>
      </c>
      <c r="D746">
        <v>0.117</v>
      </c>
      <c r="E746">
        <v>17</v>
      </c>
      <c r="F746">
        <v>0.1278</v>
      </c>
      <c r="G746">
        <v>1</v>
      </c>
      <c r="H746">
        <v>5</v>
      </c>
      <c r="I746">
        <v>0.4545</v>
      </c>
      <c r="J746">
        <v>64.95</v>
      </c>
      <c r="K746" t="s">
        <v>42</v>
      </c>
      <c r="L746">
        <v>0.363636363636364</v>
      </c>
    </row>
    <row r="747" spans="1:12">
      <c r="A747" s="71">
        <v>43403</v>
      </c>
      <c r="B747" t="s">
        <v>18</v>
      </c>
      <c r="C747">
        <v>24</v>
      </c>
      <c r="D747">
        <v>0.2553</v>
      </c>
      <c r="E747">
        <v>32</v>
      </c>
      <c r="F747">
        <v>0.2406</v>
      </c>
      <c r="G747">
        <v>1</v>
      </c>
      <c r="H747">
        <v>3</v>
      </c>
      <c r="I747">
        <v>0.125</v>
      </c>
      <c r="J747">
        <v>83.61</v>
      </c>
      <c r="K747" t="s">
        <v>41</v>
      </c>
      <c r="L747">
        <v>0.125</v>
      </c>
    </row>
    <row r="748" spans="1:12">
      <c r="A748" s="71">
        <v>43403</v>
      </c>
      <c r="B748" t="s">
        <v>19</v>
      </c>
      <c r="C748">
        <v>12</v>
      </c>
      <c r="D748">
        <v>0.1277</v>
      </c>
      <c r="E748">
        <v>17</v>
      </c>
      <c r="F748">
        <v>0.1278</v>
      </c>
      <c r="G748">
        <v>1</v>
      </c>
      <c r="H748">
        <v>3</v>
      </c>
      <c r="I748">
        <v>0.25</v>
      </c>
      <c r="J748">
        <v>50.91</v>
      </c>
      <c r="K748" t="s">
        <v>40</v>
      </c>
      <c r="L748">
        <v>0.166666666666667</v>
      </c>
    </row>
    <row r="749" spans="1:12">
      <c r="A749" s="71">
        <v>43403</v>
      </c>
      <c r="B749" t="s">
        <v>22</v>
      </c>
      <c r="C749">
        <v>43</v>
      </c>
      <c r="D749">
        <v>0.4574</v>
      </c>
      <c r="E749">
        <v>63</v>
      </c>
      <c r="F749">
        <v>0.4737</v>
      </c>
      <c r="G749">
        <v>1</v>
      </c>
      <c r="H749">
        <v>11</v>
      </c>
      <c r="I749">
        <v>0.2558</v>
      </c>
      <c r="J749">
        <v>152.57</v>
      </c>
      <c r="K749" t="s">
        <v>44</v>
      </c>
      <c r="L749">
        <v>0.186046511627907</v>
      </c>
    </row>
    <row r="750" spans="1:12">
      <c r="A750" s="71">
        <v>43404</v>
      </c>
      <c r="B750" t="s">
        <v>20</v>
      </c>
      <c r="C750">
        <v>2</v>
      </c>
      <c r="D750">
        <v>0.0227</v>
      </c>
      <c r="E750">
        <v>2</v>
      </c>
      <c r="F750">
        <v>0.0185</v>
      </c>
      <c r="G750">
        <v>1</v>
      </c>
      <c r="H750">
        <v>0</v>
      </c>
      <c r="I750">
        <v>0</v>
      </c>
      <c r="J750">
        <v>0</v>
      </c>
      <c r="K750" t="s">
        <v>38</v>
      </c>
      <c r="L750">
        <v>0</v>
      </c>
    </row>
    <row r="751" spans="1:12">
      <c r="A751" s="71">
        <v>43404</v>
      </c>
      <c r="B751" t="s">
        <v>23</v>
      </c>
      <c r="C751">
        <v>3</v>
      </c>
      <c r="D751">
        <v>0.0341</v>
      </c>
      <c r="E751">
        <v>3</v>
      </c>
      <c r="F751">
        <v>0.0278</v>
      </c>
      <c r="G751">
        <v>1</v>
      </c>
      <c r="H751">
        <v>2</v>
      </c>
      <c r="I751">
        <v>0.6667</v>
      </c>
      <c r="J751">
        <v>23.98</v>
      </c>
      <c r="K751" t="s">
        <v>40</v>
      </c>
      <c r="L751">
        <v>0.666666666666667</v>
      </c>
    </row>
    <row r="752" spans="1:12">
      <c r="A752" s="71">
        <v>43404</v>
      </c>
      <c r="B752" t="s">
        <v>22</v>
      </c>
      <c r="C752">
        <v>42</v>
      </c>
      <c r="D752">
        <v>0.4773</v>
      </c>
      <c r="E752">
        <v>51</v>
      </c>
      <c r="F752">
        <v>0.4722</v>
      </c>
      <c r="G752">
        <v>1</v>
      </c>
      <c r="H752">
        <v>4</v>
      </c>
      <c r="I752">
        <v>0.0952</v>
      </c>
      <c r="J752">
        <v>55.48</v>
      </c>
      <c r="K752" t="s">
        <v>42</v>
      </c>
      <c r="L752">
        <v>0.0952380952380952</v>
      </c>
    </row>
    <row r="753" spans="1:12">
      <c r="A753" s="71">
        <v>43404</v>
      </c>
      <c r="B753" t="s">
        <v>18</v>
      </c>
      <c r="C753">
        <v>19</v>
      </c>
      <c r="D753">
        <v>0.2159</v>
      </c>
      <c r="E753">
        <v>24</v>
      </c>
      <c r="F753">
        <v>0.2222</v>
      </c>
      <c r="G753">
        <v>1</v>
      </c>
      <c r="H753">
        <v>1</v>
      </c>
      <c r="I753">
        <v>0.0526</v>
      </c>
      <c r="J753">
        <v>27.87</v>
      </c>
      <c r="K753" t="s">
        <v>39</v>
      </c>
      <c r="L753">
        <v>0.0526315789473684</v>
      </c>
    </row>
    <row r="754" spans="1:12">
      <c r="A754" s="71">
        <v>43404</v>
      </c>
      <c r="B754" t="s">
        <v>19</v>
      </c>
      <c r="C754">
        <v>11</v>
      </c>
      <c r="D754">
        <v>0.125</v>
      </c>
      <c r="E754">
        <v>14</v>
      </c>
      <c r="F754">
        <v>0.1296</v>
      </c>
      <c r="G754">
        <v>1</v>
      </c>
      <c r="H754">
        <v>1</v>
      </c>
      <c r="I754">
        <v>0.0909</v>
      </c>
      <c r="J754">
        <v>16.97</v>
      </c>
      <c r="K754" t="s">
        <v>39</v>
      </c>
      <c r="L754">
        <v>0.0909090909090909</v>
      </c>
    </row>
    <row r="755" spans="1:12">
      <c r="A755" s="71">
        <v>43404</v>
      </c>
      <c r="B755" t="s">
        <v>24</v>
      </c>
      <c r="C755">
        <v>11</v>
      </c>
      <c r="D755">
        <v>0.125</v>
      </c>
      <c r="E755">
        <v>14</v>
      </c>
      <c r="F755">
        <v>0.1296</v>
      </c>
      <c r="G755">
        <v>1</v>
      </c>
      <c r="H755">
        <v>1</v>
      </c>
      <c r="I755">
        <v>0.0909</v>
      </c>
      <c r="J755">
        <v>12.99</v>
      </c>
      <c r="K755" t="s">
        <v>39</v>
      </c>
      <c r="L755">
        <v>0.0909090909090909</v>
      </c>
    </row>
    <row r="756" spans="1:12">
      <c r="A756" s="71">
        <v>43405</v>
      </c>
      <c r="B756" t="s">
        <v>20</v>
      </c>
      <c r="C756">
        <v>1</v>
      </c>
      <c r="D756">
        <v>0.0101</v>
      </c>
      <c r="E756">
        <v>1</v>
      </c>
      <c r="F756">
        <v>0.0079</v>
      </c>
      <c r="G756">
        <v>1</v>
      </c>
      <c r="H756">
        <v>0</v>
      </c>
      <c r="I756">
        <v>0</v>
      </c>
      <c r="J756">
        <v>0</v>
      </c>
      <c r="K756" t="s">
        <v>38</v>
      </c>
      <c r="L756">
        <v>0</v>
      </c>
    </row>
    <row r="757" spans="1:12">
      <c r="A757" s="71">
        <v>43405</v>
      </c>
      <c r="B757" t="s">
        <v>23</v>
      </c>
      <c r="C757">
        <v>3</v>
      </c>
      <c r="D757">
        <v>0.0303</v>
      </c>
      <c r="E757">
        <v>5</v>
      </c>
      <c r="F757">
        <v>0.0394</v>
      </c>
      <c r="G757">
        <v>1</v>
      </c>
      <c r="H757">
        <v>6</v>
      </c>
      <c r="I757">
        <v>2</v>
      </c>
      <c r="J757">
        <v>71.94</v>
      </c>
      <c r="K757" t="s">
        <v>40</v>
      </c>
      <c r="L757">
        <v>0.666666666666667</v>
      </c>
    </row>
    <row r="758" spans="1:12">
      <c r="A758" s="71">
        <v>43405</v>
      </c>
      <c r="B758" t="s">
        <v>19</v>
      </c>
      <c r="C758">
        <v>22</v>
      </c>
      <c r="D758">
        <v>0.2222</v>
      </c>
      <c r="E758">
        <v>35</v>
      </c>
      <c r="F758">
        <v>0.2756</v>
      </c>
      <c r="G758">
        <v>1</v>
      </c>
      <c r="H758">
        <v>3</v>
      </c>
      <c r="I758">
        <v>0.1364</v>
      </c>
      <c r="J758">
        <v>50.91</v>
      </c>
      <c r="K758" t="s">
        <v>40</v>
      </c>
      <c r="L758">
        <v>0.0909090909090909</v>
      </c>
    </row>
    <row r="759" spans="1:12">
      <c r="A759" s="71">
        <v>43405</v>
      </c>
      <c r="B759" t="s">
        <v>18</v>
      </c>
      <c r="C759">
        <v>15</v>
      </c>
      <c r="D759">
        <v>0.1515</v>
      </c>
      <c r="E759">
        <v>17</v>
      </c>
      <c r="F759">
        <v>0.1339</v>
      </c>
      <c r="G759">
        <v>1</v>
      </c>
      <c r="H759">
        <v>3</v>
      </c>
      <c r="I759">
        <v>0.2</v>
      </c>
      <c r="J759">
        <v>83.61</v>
      </c>
      <c r="K759" t="s">
        <v>41</v>
      </c>
      <c r="L759">
        <v>0.2</v>
      </c>
    </row>
    <row r="760" spans="1:12">
      <c r="A760" s="71">
        <v>43405</v>
      </c>
      <c r="B760" t="s">
        <v>24</v>
      </c>
      <c r="C760">
        <v>18</v>
      </c>
      <c r="D760">
        <v>0.1818</v>
      </c>
      <c r="E760">
        <v>20</v>
      </c>
      <c r="F760">
        <v>0.1575</v>
      </c>
      <c r="G760">
        <v>1</v>
      </c>
      <c r="H760">
        <v>2</v>
      </c>
      <c r="I760">
        <v>0.1111</v>
      </c>
      <c r="J760">
        <v>25.98</v>
      </c>
      <c r="K760" t="s">
        <v>40</v>
      </c>
      <c r="L760">
        <v>0.111111111111111</v>
      </c>
    </row>
    <row r="761" spans="1:12">
      <c r="A761" s="71">
        <v>43405</v>
      </c>
      <c r="B761" t="s">
        <v>22</v>
      </c>
      <c r="C761">
        <v>40</v>
      </c>
      <c r="D761">
        <v>0.404</v>
      </c>
      <c r="E761">
        <v>49</v>
      </c>
      <c r="F761">
        <v>0.3858</v>
      </c>
      <c r="G761">
        <v>1</v>
      </c>
      <c r="H761">
        <v>9</v>
      </c>
      <c r="I761">
        <v>0.225</v>
      </c>
      <c r="J761">
        <v>124.83</v>
      </c>
      <c r="K761" t="s">
        <v>46</v>
      </c>
      <c r="L761">
        <v>0.175</v>
      </c>
    </row>
    <row r="762" spans="1:12">
      <c r="A762" s="71">
        <v>43406</v>
      </c>
      <c r="B762" t="s">
        <v>20</v>
      </c>
      <c r="C762">
        <v>6</v>
      </c>
      <c r="D762">
        <v>0.0674</v>
      </c>
      <c r="E762">
        <v>8</v>
      </c>
      <c r="F762">
        <v>0.0611</v>
      </c>
      <c r="G762">
        <v>1</v>
      </c>
      <c r="H762">
        <v>0</v>
      </c>
      <c r="I762">
        <v>0</v>
      </c>
      <c r="J762">
        <v>0</v>
      </c>
      <c r="K762" t="s">
        <v>38</v>
      </c>
      <c r="L762">
        <v>0</v>
      </c>
    </row>
    <row r="763" spans="1:12">
      <c r="A763" s="71">
        <v>43406</v>
      </c>
      <c r="B763" t="s">
        <v>18</v>
      </c>
      <c r="C763">
        <v>22</v>
      </c>
      <c r="D763">
        <v>0.2472</v>
      </c>
      <c r="E763">
        <v>25</v>
      </c>
      <c r="F763">
        <v>0.1908</v>
      </c>
      <c r="G763">
        <v>1</v>
      </c>
      <c r="H763">
        <v>6</v>
      </c>
      <c r="I763">
        <v>0.2727</v>
      </c>
      <c r="J763">
        <v>167.22</v>
      </c>
      <c r="K763" t="s">
        <v>43</v>
      </c>
      <c r="L763">
        <v>0.227272727272727</v>
      </c>
    </row>
    <row r="764" spans="1:12">
      <c r="A764" s="71">
        <v>43406</v>
      </c>
      <c r="B764" t="s">
        <v>24</v>
      </c>
      <c r="C764">
        <v>14</v>
      </c>
      <c r="D764">
        <v>0.1573</v>
      </c>
      <c r="E764">
        <v>25</v>
      </c>
      <c r="F764">
        <v>0.1908</v>
      </c>
      <c r="G764">
        <v>1</v>
      </c>
      <c r="H764">
        <v>6</v>
      </c>
      <c r="I764">
        <v>0.4286</v>
      </c>
      <c r="J764">
        <v>77.94</v>
      </c>
      <c r="K764" t="s">
        <v>43</v>
      </c>
      <c r="L764">
        <v>0.357142857142857</v>
      </c>
    </row>
    <row r="765" spans="1:12">
      <c r="A765" s="71">
        <v>43406</v>
      </c>
      <c r="B765" t="s">
        <v>23</v>
      </c>
      <c r="C765">
        <v>9</v>
      </c>
      <c r="D765">
        <v>0.1011</v>
      </c>
      <c r="E765">
        <v>9</v>
      </c>
      <c r="F765">
        <v>0.0687</v>
      </c>
      <c r="G765">
        <v>1</v>
      </c>
      <c r="H765">
        <v>2</v>
      </c>
      <c r="I765">
        <v>0.2222</v>
      </c>
      <c r="J765">
        <v>23.98</v>
      </c>
      <c r="K765" t="s">
        <v>40</v>
      </c>
      <c r="L765">
        <v>0.222222222222222</v>
      </c>
    </row>
    <row r="766" spans="1:12">
      <c r="A766" s="71">
        <v>43406</v>
      </c>
      <c r="B766" t="s">
        <v>22</v>
      </c>
      <c r="C766">
        <v>27</v>
      </c>
      <c r="D766">
        <v>0.3034</v>
      </c>
      <c r="E766">
        <v>44</v>
      </c>
      <c r="F766">
        <v>0.3359</v>
      </c>
      <c r="G766">
        <v>1</v>
      </c>
      <c r="H766">
        <v>8</v>
      </c>
      <c r="I766">
        <v>0.2963</v>
      </c>
      <c r="J766">
        <v>110.96</v>
      </c>
      <c r="K766" t="s">
        <v>46</v>
      </c>
      <c r="L766">
        <v>0.259259259259259</v>
      </c>
    </row>
    <row r="767" spans="1:12">
      <c r="A767" s="71">
        <v>43406</v>
      </c>
      <c r="B767" t="s">
        <v>19</v>
      </c>
      <c r="C767">
        <v>11</v>
      </c>
      <c r="D767">
        <v>0.1236</v>
      </c>
      <c r="E767">
        <v>20</v>
      </c>
      <c r="F767">
        <v>0.1527</v>
      </c>
      <c r="G767">
        <v>1</v>
      </c>
      <c r="H767">
        <v>1</v>
      </c>
      <c r="I767">
        <v>0.0909</v>
      </c>
      <c r="J767">
        <v>16.97</v>
      </c>
      <c r="K767" t="s">
        <v>39</v>
      </c>
      <c r="L767">
        <v>0.0909090909090909</v>
      </c>
    </row>
    <row r="768" spans="1:12">
      <c r="A768" s="71">
        <v>43407</v>
      </c>
      <c r="B768" t="s">
        <v>20</v>
      </c>
      <c r="C768">
        <v>2</v>
      </c>
      <c r="D768">
        <v>0.0238</v>
      </c>
      <c r="E768">
        <v>2</v>
      </c>
      <c r="F768">
        <v>0.018</v>
      </c>
      <c r="G768">
        <v>1</v>
      </c>
      <c r="H768">
        <v>0</v>
      </c>
      <c r="I768">
        <v>0</v>
      </c>
      <c r="J768">
        <v>0</v>
      </c>
      <c r="K768" t="s">
        <v>38</v>
      </c>
      <c r="L768">
        <v>0</v>
      </c>
    </row>
    <row r="769" spans="1:12">
      <c r="A769" s="71">
        <v>43407</v>
      </c>
      <c r="B769" t="s">
        <v>18</v>
      </c>
      <c r="C769">
        <v>23</v>
      </c>
      <c r="D769">
        <v>0.2738</v>
      </c>
      <c r="E769">
        <v>26</v>
      </c>
      <c r="F769">
        <v>0.2342</v>
      </c>
      <c r="G769">
        <v>1</v>
      </c>
      <c r="H769">
        <v>0</v>
      </c>
      <c r="I769">
        <v>0</v>
      </c>
      <c r="J769">
        <v>0</v>
      </c>
      <c r="K769" t="s">
        <v>38</v>
      </c>
      <c r="L769">
        <v>0</v>
      </c>
    </row>
    <row r="770" spans="1:12">
      <c r="A770" s="71">
        <v>43407</v>
      </c>
      <c r="B770" t="s">
        <v>19</v>
      </c>
      <c r="C770">
        <v>2</v>
      </c>
      <c r="D770">
        <v>0.0238</v>
      </c>
      <c r="E770">
        <v>5</v>
      </c>
      <c r="F770">
        <v>0.045</v>
      </c>
      <c r="G770">
        <v>1</v>
      </c>
      <c r="H770">
        <v>6</v>
      </c>
      <c r="I770">
        <v>3</v>
      </c>
      <c r="J770">
        <v>101.82</v>
      </c>
      <c r="K770" t="s">
        <v>43</v>
      </c>
      <c r="L770">
        <v>2.5</v>
      </c>
    </row>
    <row r="771" spans="1:12">
      <c r="A771" s="71">
        <v>43407</v>
      </c>
      <c r="B771" t="s">
        <v>24</v>
      </c>
      <c r="C771">
        <v>16</v>
      </c>
      <c r="D771">
        <v>0.1905</v>
      </c>
      <c r="E771">
        <v>25</v>
      </c>
      <c r="F771">
        <v>0.2252</v>
      </c>
      <c r="G771">
        <v>1</v>
      </c>
      <c r="H771">
        <v>3</v>
      </c>
      <c r="I771">
        <v>0.1875</v>
      </c>
      <c r="J771">
        <v>38.97</v>
      </c>
      <c r="K771" t="s">
        <v>40</v>
      </c>
      <c r="L771">
        <v>0.125</v>
      </c>
    </row>
    <row r="772" spans="1:12">
      <c r="A772" s="71">
        <v>43407</v>
      </c>
      <c r="B772" t="s">
        <v>22</v>
      </c>
      <c r="C772">
        <v>37</v>
      </c>
      <c r="D772">
        <v>0.4405</v>
      </c>
      <c r="E772">
        <v>48</v>
      </c>
      <c r="F772">
        <v>0.4324</v>
      </c>
      <c r="G772">
        <v>1</v>
      </c>
      <c r="H772">
        <v>8</v>
      </c>
      <c r="I772">
        <v>0.2162</v>
      </c>
      <c r="J772">
        <v>110.96</v>
      </c>
      <c r="K772" t="s">
        <v>44</v>
      </c>
      <c r="L772">
        <v>0.216216216216216</v>
      </c>
    </row>
    <row r="773" spans="1:12">
      <c r="A773" s="71">
        <v>43407</v>
      </c>
      <c r="B773" t="s">
        <v>23</v>
      </c>
      <c r="C773">
        <v>4</v>
      </c>
      <c r="D773">
        <v>0.0476</v>
      </c>
      <c r="E773">
        <v>5</v>
      </c>
      <c r="F773">
        <v>0.045</v>
      </c>
      <c r="G773">
        <v>1</v>
      </c>
      <c r="H773">
        <v>1</v>
      </c>
      <c r="I773">
        <v>0.25</v>
      </c>
      <c r="J773">
        <v>11.99</v>
      </c>
      <c r="K773" t="s">
        <v>39</v>
      </c>
      <c r="L773">
        <v>0.25</v>
      </c>
    </row>
    <row r="774" spans="1:12">
      <c r="A774" s="71">
        <v>43408</v>
      </c>
      <c r="B774" t="s">
        <v>18</v>
      </c>
      <c r="C774">
        <v>27</v>
      </c>
      <c r="D774">
        <v>0.2596</v>
      </c>
      <c r="E774">
        <v>34</v>
      </c>
      <c r="F774">
        <v>0.2787</v>
      </c>
      <c r="G774">
        <v>1</v>
      </c>
      <c r="H774">
        <v>0</v>
      </c>
      <c r="I774">
        <v>0</v>
      </c>
      <c r="J774">
        <v>0</v>
      </c>
      <c r="K774" t="s">
        <v>38</v>
      </c>
      <c r="L774">
        <v>0</v>
      </c>
    </row>
    <row r="775" spans="1:12">
      <c r="A775" s="71">
        <v>43408</v>
      </c>
      <c r="B775" t="s">
        <v>23</v>
      </c>
      <c r="C775">
        <v>9</v>
      </c>
      <c r="D775">
        <v>0.0865</v>
      </c>
      <c r="E775">
        <v>9</v>
      </c>
      <c r="F775">
        <v>0.0738</v>
      </c>
      <c r="G775">
        <v>1</v>
      </c>
      <c r="H775">
        <v>0</v>
      </c>
      <c r="I775">
        <v>0</v>
      </c>
      <c r="J775">
        <v>0</v>
      </c>
      <c r="K775" t="s">
        <v>38</v>
      </c>
      <c r="L775">
        <v>0</v>
      </c>
    </row>
    <row r="776" spans="1:12">
      <c r="A776" s="71">
        <v>43408</v>
      </c>
      <c r="B776" t="s">
        <v>20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2</v>
      </c>
      <c r="I776">
        <v>0</v>
      </c>
      <c r="J776">
        <v>31.98</v>
      </c>
      <c r="K776" t="s">
        <v>40</v>
      </c>
      <c r="L776">
        <v>0</v>
      </c>
    </row>
    <row r="777" spans="1:12">
      <c r="A777" s="71">
        <v>43408</v>
      </c>
      <c r="B777" t="s">
        <v>24</v>
      </c>
      <c r="C777">
        <v>4</v>
      </c>
      <c r="D777">
        <v>0.0385</v>
      </c>
      <c r="E777">
        <v>5</v>
      </c>
      <c r="F777">
        <v>0.041</v>
      </c>
      <c r="G777">
        <v>1</v>
      </c>
      <c r="H777">
        <v>3</v>
      </c>
      <c r="I777">
        <v>0.75</v>
      </c>
      <c r="J777">
        <v>38.97</v>
      </c>
      <c r="K777" t="s">
        <v>41</v>
      </c>
      <c r="L777">
        <v>0.75</v>
      </c>
    </row>
    <row r="778" spans="1:12">
      <c r="A778" s="71">
        <v>43408</v>
      </c>
      <c r="B778" t="s">
        <v>19</v>
      </c>
      <c r="C778">
        <v>12</v>
      </c>
      <c r="D778">
        <v>0.1154</v>
      </c>
      <c r="E778">
        <v>14</v>
      </c>
      <c r="F778">
        <v>0.1148</v>
      </c>
      <c r="G778">
        <v>1</v>
      </c>
      <c r="H778">
        <v>2</v>
      </c>
      <c r="I778">
        <v>0.1667</v>
      </c>
      <c r="J778">
        <v>33.94</v>
      </c>
      <c r="K778" t="s">
        <v>40</v>
      </c>
      <c r="L778">
        <v>0.166666666666667</v>
      </c>
    </row>
    <row r="779" spans="1:12">
      <c r="A779" s="71">
        <v>43408</v>
      </c>
      <c r="B779" t="s">
        <v>22</v>
      </c>
      <c r="C779">
        <v>52</v>
      </c>
      <c r="D779">
        <v>0.5</v>
      </c>
      <c r="E779">
        <v>60</v>
      </c>
      <c r="F779">
        <v>0.4918</v>
      </c>
      <c r="G779">
        <v>1</v>
      </c>
      <c r="H779">
        <v>15</v>
      </c>
      <c r="I779">
        <v>0.2885</v>
      </c>
      <c r="J779">
        <v>208.05</v>
      </c>
      <c r="K779" t="s">
        <v>55</v>
      </c>
      <c r="L779">
        <v>0.269230769230769</v>
      </c>
    </row>
    <row r="780" spans="1:12">
      <c r="A780" s="71">
        <v>43409</v>
      </c>
      <c r="B780" t="s">
        <v>20</v>
      </c>
      <c r="C780">
        <v>4</v>
      </c>
      <c r="D780">
        <v>0.031</v>
      </c>
      <c r="E780">
        <v>5</v>
      </c>
      <c r="F780">
        <v>0.0284</v>
      </c>
      <c r="G780">
        <v>1</v>
      </c>
      <c r="H780">
        <v>0</v>
      </c>
      <c r="I780">
        <v>0</v>
      </c>
      <c r="J780">
        <v>0</v>
      </c>
      <c r="K780" t="s">
        <v>38</v>
      </c>
      <c r="L780">
        <v>0</v>
      </c>
    </row>
    <row r="781" spans="1:12">
      <c r="A781" s="71">
        <v>43409</v>
      </c>
      <c r="B781" t="s">
        <v>19</v>
      </c>
      <c r="C781">
        <v>15</v>
      </c>
      <c r="D781">
        <v>0.1163</v>
      </c>
      <c r="E781">
        <v>17</v>
      </c>
      <c r="F781">
        <v>0.0966</v>
      </c>
      <c r="G781">
        <v>0.94</v>
      </c>
      <c r="H781">
        <v>2</v>
      </c>
      <c r="I781">
        <v>0.1333</v>
      </c>
      <c r="J781">
        <v>33.94</v>
      </c>
      <c r="K781" t="s">
        <v>40</v>
      </c>
      <c r="L781">
        <v>0.133333333333333</v>
      </c>
    </row>
    <row r="782" spans="1:12">
      <c r="A782" s="71">
        <v>43409</v>
      </c>
      <c r="B782" t="s">
        <v>24</v>
      </c>
      <c r="C782">
        <v>13</v>
      </c>
      <c r="D782">
        <v>0.1008</v>
      </c>
      <c r="E782">
        <v>25</v>
      </c>
      <c r="F782">
        <v>0.142</v>
      </c>
      <c r="G782">
        <v>1</v>
      </c>
      <c r="H782">
        <v>5</v>
      </c>
      <c r="I782">
        <v>0.3846</v>
      </c>
      <c r="J782">
        <v>64.95</v>
      </c>
      <c r="K782" t="s">
        <v>42</v>
      </c>
      <c r="L782">
        <v>0.307692307692308</v>
      </c>
    </row>
    <row r="783" spans="1:12">
      <c r="A783" s="71">
        <v>43409</v>
      </c>
      <c r="B783" t="s">
        <v>23</v>
      </c>
      <c r="C783">
        <v>10</v>
      </c>
      <c r="D783">
        <v>0.0775</v>
      </c>
      <c r="E783">
        <v>14</v>
      </c>
      <c r="F783">
        <v>0.0795</v>
      </c>
      <c r="G783">
        <v>1</v>
      </c>
      <c r="H783">
        <v>2</v>
      </c>
      <c r="I783">
        <v>0.2</v>
      </c>
      <c r="J783">
        <v>23.98</v>
      </c>
      <c r="K783" t="s">
        <v>40</v>
      </c>
      <c r="L783">
        <v>0.2</v>
      </c>
    </row>
    <row r="784" spans="1:12">
      <c r="A784" s="71">
        <v>43409</v>
      </c>
      <c r="B784" t="s">
        <v>22</v>
      </c>
      <c r="C784">
        <v>58</v>
      </c>
      <c r="D784">
        <v>0.4496</v>
      </c>
      <c r="E784">
        <v>78</v>
      </c>
      <c r="F784">
        <v>0.4432</v>
      </c>
      <c r="G784">
        <v>1</v>
      </c>
      <c r="H784">
        <v>9</v>
      </c>
      <c r="I784">
        <v>0.1552</v>
      </c>
      <c r="J784">
        <v>124.83</v>
      </c>
      <c r="K784" t="s">
        <v>46</v>
      </c>
      <c r="L784">
        <v>0.120689655172414</v>
      </c>
    </row>
    <row r="785" spans="1:12">
      <c r="A785" s="71">
        <v>43409</v>
      </c>
      <c r="B785" t="s">
        <v>18</v>
      </c>
      <c r="C785">
        <v>29</v>
      </c>
      <c r="D785">
        <v>0.2248</v>
      </c>
      <c r="E785">
        <v>37</v>
      </c>
      <c r="F785">
        <v>0.2102</v>
      </c>
      <c r="G785">
        <v>1</v>
      </c>
      <c r="H785">
        <v>1</v>
      </c>
      <c r="I785">
        <v>0.0345</v>
      </c>
      <c r="J785">
        <v>27.87</v>
      </c>
      <c r="K785" t="s">
        <v>39</v>
      </c>
      <c r="L785">
        <v>0.0344827586206897</v>
      </c>
    </row>
    <row r="786" spans="1:12">
      <c r="A786" s="71">
        <v>43410</v>
      </c>
      <c r="B786" t="s">
        <v>18</v>
      </c>
      <c r="C786">
        <v>13</v>
      </c>
      <c r="D786">
        <v>0.1262</v>
      </c>
      <c r="E786">
        <v>17</v>
      </c>
      <c r="F786">
        <v>0.1172</v>
      </c>
      <c r="G786">
        <v>1</v>
      </c>
      <c r="H786">
        <v>0</v>
      </c>
      <c r="I786">
        <v>0</v>
      </c>
      <c r="J786">
        <v>0</v>
      </c>
      <c r="K786" t="s">
        <v>38</v>
      </c>
      <c r="L786">
        <v>0</v>
      </c>
    </row>
    <row r="787" spans="1:12">
      <c r="A787" s="71">
        <v>43410</v>
      </c>
      <c r="B787" t="s">
        <v>19</v>
      </c>
      <c r="C787">
        <v>12</v>
      </c>
      <c r="D787">
        <v>0.1165</v>
      </c>
      <c r="E787">
        <v>16</v>
      </c>
      <c r="F787">
        <v>0.1103</v>
      </c>
      <c r="G787">
        <v>1</v>
      </c>
      <c r="H787">
        <v>0</v>
      </c>
      <c r="I787">
        <v>0</v>
      </c>
      <c r="J787">
        <v>0</v>
      </c>
      <c r="K787" t="s">
        <v>38</v>
      </c>
      <c r="L787">
        <v>0</v>
      </c>
    </row>
    <row r="788" spans="1:12">
      <c r="A788" s="71">
        <v>43410</v>
      </c>
      <c r="B788" t="s">
        <v>23</v>
      </c>
      <c r="C788">
        <v>7</v>
      </c>
      <c r="D788">
        <v>0.068</v>
      </c>
      <c r="E788">
        <v>12</v>
      </c>
      <c r="F788">
        <v>0.0828</v>
      </c>
      <c r="G788">
        <v>1</v>
      </c>
      <c r="H788">
        <v>0</v>
      </c>
      <c r="I788">
        <v>0</v>
      </c>
      <c r="J788">
        <v>0</v>
      </c>
      <c r="K788" t="s">
        <v>38</v>
      </c>
      <c r="L788">
        <v>0</v>
      </c>
    </row>
    <row r="789" spans="1:12">
      <c r="A789" s="71">
        <v>43410</v>
      </c>
      <c r="B789" t="s">
        <v>24</v>
      </c>
      <c r="C789">
        <v>23</v>
      </c>
      <c r="D789">
        <v>0.2233</v>
      </c>
      <c r="E789">
        <v>30</v>
      </c>
      <c r="F789">
        <v>0.2069</v>
      </c>
      <c r="G789">
        <v>1</v>
      </c>
      <c r="H789">
        <v>2</v>
      </c>
      <c r="I789">
        <v>0.087</v>
      </c>
      <c r="J789">
        <v>25.98</v>
      </c>
      <c r="K789" t="s">
        <v>40</v>
      </c>
      <c r="L789">
        <v>0.0869565217391304</v>
      </c>
    </row>
    <row r="790" spans="1:12">
      <c r="A790" s="71">
        <v>43410</v>
      </c>
      <c r="B790" t="s">
        <v>20</v>
      </c>
      <c r="C790">
        <v>2</v>
      </c>
      <c r="D790">
        <v>0.0194</v>
      </c>
      <c r="E790">
        <v>2</v>
      </c>
      <c r="F790">
        <v>0.0138</v>
      </c>
      <c r="G790">
        <v>1</v>
      </c>
      <c r="H790">
        <v>2</v>
      </c>
      <c r="I790">
        <v>1</v>
      </c>
      <c r="J790">
        <v>31.98</v>
      </c>
      <c r="K790" t="s">
        <v>40</v>
      </c>
      <c r="L790">
        <v>1</v>
      </c>
    </row>
    <row r="791" spans="1:12">
      <c r="A791" s="71">
        <v>43410</v>
      </c>
      <c r="B791" t="s">
        <v>22</v>
      </c>
      <c r="C791">
        <v>46</v>
      </c>
      <c r="D791">
        <v>0.4466</v>
      </c>
      <c r="E791">
        <v>68</v>
      </c>
      <c r="F791">
        <v>0.469</v>
      </c>
      <c r="G791">
        <v>1</v>
      </c>
      <c r="H791">
        <v>9</v>
      </c>
      <c r="I791">
        <v>0.1957</v>
      </c>
      <c r="J791">
        <v>124.83</v>
      </c>
      <c r="K791" t="s">
        <v>48</v>
      </c>
      <c r="L791">
        <v>0.195652173913044</v>
      </c>
    </row>
    <row r="792" spans="1:12">
      <c r="A792" s="71">
        <v>43411</v>
      </c>
      <c r="B792" t="s">
        <v>24</v>
      </c>
      <c r="C792">
        <v>38</v>
      </c>
      <c r="D792">
        <v>0.2879</v>
      </c>
      <c r="E792">
        <v>44</v>
      </c>
      <c r="F792">
        <v>0.2543</v>
      </c>
      <c r="G792">
        <v>1</v>
      </c>
      <c r="H792">
        <v>6</v>
      </c>
      <c r="I792">
        <v>0.1579</v>
      </c>
      <c r="J792">
        <v>64.95</v>
      </c>
      <c r="K792" t="s">
        <v>45</v>
      </c>
      <c r="L792">
        <v>0.157894736842105</v>
      </c>
    </row>
    <row r="793" spans="1:12">
      <c r="A793" s="71">
        <v>43411</v>
      </c>
      <c r="B793" t="s">
        <v>18</v>
      </c>
      <c r="C793">
        <v>21</v>
      </c>
      <c r="D793">
        <v>0.1591</v>
      </c>
      <c r="E793">
        <v>28</v>
      </c>
      <c r="F793">
        <v>0.1618</v>
      </c>
      <c r="G793">
        <v>1</v>
      </c>
      <c r="H793">
        <v>6</v>
      </c>
      <c r="I793">
        <v>0.2857</v>
      </c>
      <c r="J793">
        <v>167.22</v>
      </c>
      <c r="K793" t="s">
        <v>41</v>
      </c>
      <c r="L793">
        <v>0.142857142857143</v>
      </c>
    </row>
    <row r="794" spans="1:12">
      <c r="A794" s="71">
        <v>43411</v>
      </c>
      <c r="B794" t="s">
        <v>23</v>
      </c>
      <c r="C794">
        <v>13</v>
      </c>
      <c r="D794">
        <v>0.0985</v>
      </c>
      <c r="E794">
        <v>16</v>
      </c>
      <c r="F794">
        <v>0.0925</v>
      </c>
      <c r="G794">
        <v>1</v>
      </c>
      <c r="H794">
        <v>4</v>
      </c>
      <c r="I794">
        <v>0.3077</v>
      </c>
      <c r="J794">
        <v>47.96</v>
      </c>
      <c r="K794" t="s">
        <v>41</v>
      </c>
      <c r="L794">
        <v>0.230769230769231</v>
      </c>
    </row>
    <row r="795" spans="1:12">
      <c r="A795" s="71">
        <v>43411</v>
      </c>
      <c r="B795" t="s">
        <v>19</v>
      </c>
      <c r="C795">
        <v>10</v>
      </c>
      <c r="D795">
        <v>0.0758</v>
      </c>
      <c r="E795">
        <v>12</v>
      </c>
      <c r="F795">
        <v>0.0694</v>
      </c>
      <c r="G795">
        <v>1</v>
      </c>
      <c r="H795">
        <v>3</v>
      </c>
      <c r="I795">
        <v>0.3</v>
      </c>
      <c r="J795">
        <v>50.91</v>
      </c>
      <c r="K795" t="s">
        <v>41</v>
      </c>
      <c r="L795">
        <v>0.3</v>
      </c>
    </row>
    <row r="796" spans="1:12">
      <c r="A796" s="71">
        <v>43411</v>
      </c>
      <c r="B796" t="s">
        <v>22</v>
      </c>
      <c r="C796">
        <v>50</v>
      </c>
      <c r="D796">
        <v>0.3788</v>
      </c>
      <c r="E796">
        <v>73</v>
      </c>
      <c r="F796">
        <v>0.422</v>
      </c>
      <c r="G796">
        <v>1</v>
      </c>
      <c r="H796">
        <v>14</v>
      </c>
      <c r="I796">
        <v>0.28</v>
      </c>
      <c r="J796">
        <v>194.18</v>
      </c>
      <c r="K796" t="s">
        <v>54</v>
      </c>
      <c r="L796">
        <v>0.22</v>
      </c>
    </row>
    <row r="797" spans="1:12">
      <c r="A797" s="71">
        <v>43412</v>
      </c>
      <c r="B797" t="s">
        <v>19</v>
      </c>
      <c r="C797">
        <v>12</v>
      </c>
      <c r="D797">
        <v>0.1558</v>
      </c>
      <c r="E797">
        <v>13</v>
      </c>
      <c r="F797">
        <v>0.1275</v>
      </c>
      <c r="G797">
        <v>1</v>
      </c>
      <c r="H797">
        <v>4</v>
      </c>
      <c r="I797">
        <v>0.3333</v>
      </c>
      <c r="J797">
        <v>67.88</v>
      </c>
      <c r="K797" t="s">
        <v>41</v>
      </c>
      <c r="L797">
        <v>0.25</v>
      </c>
    </row>
    <row r="798" spans="1:12">
      <c r="A798" s="71">
        <v>43412</v>
      </c>
      <c r="B798" t="s">
        <v>22</v>
      </c>
      <c r="C798">
        <v>36</v>
      </c>
      <c r="D798">
        <v>0.4675</v>
      </c>
      <c r="E798">
        <v>54</v>
      </c>
      <c r="F798">
        <v>0.5294</v>
      </c>
      <c r="G798">
        <v>1</v>
      </c>
      <c r="H798">
        <v>49</v>
      </c>
      <c r="I798">
        <v>1.3611</v>
      </c>
      <c r="J798">
        <v>679.63</v>
      </c>
      <c r="K798" t="s">
        <v>48</v>
      </c>
      <c r="L798">
        <v>0.25</v>
      </c>
    </row>
    <row r="799" spans="1:12">
      <c r="A799" s="71">
        <v>43412</v>
      </c>
      <c r="B799" t="s">
        <v>18</v>
      </c>
      <c r="C799">
        <v>21</v>
      </c>
      <c r="D799">
        <v>0.2727</v>
      </c>
      <c r="E799">
        <v>23</v>
      </c>
      <c r="F799">
        <v>0.2255</v>
      </c>
      <c r="G799">
        <v>1</v>
      </c>
      <c r="H799">
        <v>1</v>
      </c>
      <c r="I799">
        <v>0.0476</v>
      </c>
      <c r="J799">
        <v>27.87</v>
      </c>
      <c r="K799" t="s">
        <v>39</v>
      </c>
      <c r="L799">
        <v>0.0476190476190476</v>
      </c>
    </row>
    <row r="800" spans="1:12">
      <c r="A800" s="71">
        <v>43412</v>
      </c>
      <c r="B800" t="s">
        <v>24</v>
      </c>
      <c r="C800">
        <v>5</v>
      </c>
      <c r="D800">
        <v>0.0649</v>
      </c>
      <c r="E800">
        <v>9</v>
      </c>
      <c r="F800">
        <v>0.0882</v>
      </c>
      <c r="G800">
        <v>1</v>
      </c>
      <c r="H800">
        <v>1</v>
      </c>
      <c r="I800">
        <v>0.2</v>
      </c>
      <c r="J800">
        <v>12.99</v>
      </c>
      <c r="K800" t="s">
        <v>39</v>
      </c>
      <c r="L800">
        <v>0.2</v>
      </c>
    </row>
    <row r="801" spans="1:12">
      <c r="A801" s="71">
        <v>43412</v>
      </c>
      <c r="B801" t="s">
        <v>23</v>
      </c>
      <c r="C801">
        <v>3</v>
      </c>
      <c r="D801">
        <v>0.039</v>
      </c>
      <c r="E801">
        <v>3</v>
      </c>
      <c r="F801">
        <v>0.0294</v>
      </c>
      <c r="G801">
        <v>1</v>
      </c>
      <c r="H801">
        <v>1</v>
      </c>
      <c r="I801">
        <v>0.3333</v>
      </c>
      <c r="J801">
        <v>11.99</v>
      </c>
      <c r="K801" t="s">
        <v>39</v>
      </c>
      <c r="L801">
        <v>0.333333333333333</v>
      </c>
    </row>
    <row r="802" spans="1:12">
      <c r="A802" s="71">
        <v>43413</v>
      </c>
      <c r="B802" t="s">
        <v>23</v>
      </c>
      <c r="C802">
        <v>3</v>
      </c>
      <c r="D802">
        <v>0.0417</v>
      </c>
      <c r="E802">
        <v>3</v>
      </c>
      <c r="F802">
        <v>0.0309</v>
      </c>
      <c r="G802">
        <v>1</v>
      </c>
      <c r="H802">
        <v>0</v>
      </c>
      <c r="I802">
        <v>0</v>
      </c>
      <c r="J802">
        <v>0</v>
      </c>
      <c r="K802" t="s">
        <v>38</v>
      </c>
      <c r="L802">
        <v>0</v>
      </c>
    </row>
    <row r="803" spans="1:12">
      <c r="A803" s="71">
        <v>43413</v>
      </c>
      <c r="B803" t="s">
        <v>24</v>
      </c>
      <c r="C803">
        <v>9</v>
      </c>
      <c r="D803">
        <v>0.125</v>
      </c>
      <c r="E803">
        <v>11</v>
      </c>
      <c r="F803">
        <v>0.1134</v>
      </c>
      <c r="G803">
        <v>1</v>
      </c>
      <c r="H803">
        <v>3</v>
      </c>
      <c r="I803">
        <v>0.3333</v>
      </c>
      <c r="J803">
        <v>38.97</v>
      </c>
      <c r="K803" t="s">
        <v>41</v>
      </c>
      <c r="L803">
        <v>0.333333333333333</v>
      </c>
    </row>
    <row r="804" spans="1:12">
      <c r="A804" s="71">
        <v>43413</v>
      </c>
      <c r="B804" t="s">
        <v>19</v>
      </c>
      <c r="C804">
        <v>7</v>
      </c>
      <c r="D804">
        <v>0.0972</v>
      </c>
      <c r="E804">
        <v>10</v>
      </c>
      <c r="F804">
        <v>0.1031</v>
      </c>
      <c r="G804">
        <v>1</v>
      </c>
      <c r="H804">
        <v>3</v>
      </c>
      <c r="I804">
        <v>0.4286</v>
      </c>
      <c r="J804">
        <v>50.91</v>
      </c>
      <c r="K804" t="s">
        <v>41</v>
      </c>
      <c r="L804">
        <v>0.428571428571429</v>
      </c>
    </row>
    <row r="805" spans="1:12">
      <c r="A805" s="71">
        <v>43413</v>
      </c>
      <c r="B805" t="s">
        <v>22</v>
      </c>
      <c r="C805">
        <v>39</v>
      </c>
      <c r="D805">
        <v>0.5417</v>
      </c>
      <c r="E805">
        <v>58</v>
      </c>
      <c r="F805">
        <v>0.5979</v>
      </c>
      <c r="G805">
        <v>1</v>
      </c>
      <c r="H805">
        <v>8</v>
      </c>
      <c r="I805">
        <v>0.2051</v>
      </c>
      <c r="J805">
        <v>110.96</v>
      </c>
      <c r="K805" t="s">
        <v>46</v>
      </c>
      <c r="L805">
        <v>0.17948717948718</v>
      </c>
    </row>
    <row r="806" spans="1:12">
      <c r="A806" s="71">
        <v>43413</v>
      </c>
      <c r="B806" t="s">
        <v>18</v>
      </c>
      <c r="C806">
        <v>14</v>
      </c>
      <c r="D806">
        <v>0.1944</v>
      </c>
      <c r="E806">
        <v>15</v>
      </c>
      <c r="F806">
        <v>0.1546</v>
      </c>
      <c r="G806">
        <v>1</v>
      </c>
      <c r="H806">
        <v>1</v>
      </c>
      <c r="I806">
        <v>0.0714</v>
      </c>
      <c r="J806">
        <v>27.87</v>
      </c>
      <c r="K806" t="s">
        <v>39</v>
      </c>
      <c r="L806">
        <v>0.0714285714285714</v>
      </c>
    </row>
    <row r="807" spans="1:12">
      <c r="A807" s="71">
        <v>43414</v>
      </c>
      <c r="B807" t="s">
        <v>18</v>
      </c>
      <c r="C807">
        <v>9</v>
      </c>
      <c r="D807">
        <v>0.1406</v>
      </c>
      <c r="E807">
        <v>10</v>
      </c>
      <c r="F807">
        <v>0.1149</v>
      </c>
      <c r="G807">
        <v>1</v>
      </c>
      <c r="H807">
        <v>0</v>
      </c>
      <c r="I807">
        <v>0</v>
      </c>
      <c r="J807">
        <v>0</v>
      </c>
      <c r="K807" t="s">
        <v>38</v>
      </c>
      <c r="L807">
        <v>0</v>
      </c>
    </row>
    <row r="808" spans="1:12">
      <c r="A808" s="71">
        <v>43414</v>
      </c>
      <c r="B808" t="s">
        <v>23</v>
      </c>
      <c r="C808">
        <v>4</v>
      </c>
      <c r="D808">
        <v>0.0625</v>
      </c>
      <c r="E808">
        <v>4</v>
      </c>
      <c r="F808">
        <v>0.046</v>
      </c>
      <c r="G808">
        <v>1</v>
      </c>
      <c r="H808">
        <v>0</v>
      </c>
      <c r="I808">
        <v>0</v>
      </c>
      <c r="J808">
        <v>0</v>
      </c>
      <c r="K808" t="s">
        <v>38</v>
      </c>
      <c r="L808">
        <v>0</v>
      </c>
    </row>
    <row r="809" spans="1:12">
      <c r="A809" s="71">
        <v>43414</v>
      </c>
      <c r="B809" t="s">
        <v>19</v>
      </c>
      <c r="C809">
        <v>13</v>
      </c>
      <c r="D809">
        <v>0.2031</v>
      </c>
      <c r="E809">
        <v>15</v>
      </c>
      <c r="F809">
        <v>0.1724</v>
      </c>
      <c r="G809">
        <v>1</v>
      </c>
      <c r="H809">
        <v>2</v>
      </c>
      <c r="I809">
        <v>0.1538</v>
      </c>
      <c r="J809">
        <v>33.94</v>
      </c>
      <c r="K809" t="s">
        <v>39</v>
      </c>
      <c r="L809">
        <v>0.0769230769230769</v>
      </c>
    </row>
    <row r="810" spans="1:12">
      <c r="A810" s="71">
        <v>43414</v>
      </c>
      <c r="B810" t="s">
        <v>24</v>
      </c>
      <c r="C810">
        <v>6</v>
      </c>
      <c r="D810">
        <v>0.0938</v>
      </c>
      <c r="E810">
        <v>12</v>
      </c>
      <c r="F810">
        <v>0.1379</v>
      </c>
      <c r="G810">
        <v>1</v>
      </c>
      <c r="H810">
        <v>2</v>
      </c>
      <c r="I810">
        <v>0.3333</v>
      </c>
      <c r="J810">
        <v>25.98</v>
      </c>
      <c r="K810" t="s">
        <v>40</v>
      </c>
      <c r="L810">
        <v>0.333333333333333</v>
      </c>
    </row>
    <row r="811" spans="1:12">
      <c r="A811" s="71">
        <v>43414</v>
      </c>
      <c r="B811" t="s">
        <v>22</v>
      </c>
      <c r="C811">
        <v>32</v>
      </c>
      <c r="D811">
        <v>0.5</v>
      </c>
      <c r="E811">
        <v>46</v>
      </c>
      <c r="F811">
        <v>0.5287</v>
      </c>
      <c r="G811">
        <v>1</v>
      </c>
      <c r="H811">
        <v>11</v>
      </c>
      <c r="I811">
        <v>0.3438</v>
      </c>
      <c r="J811">
        <v>152.57</v>
      </c>
      <c r="K811" t="s">
        <v>48</v>
      </c>
      <c r="L811">
        <v>0.28125</v>
      </c>
    </row>
    <row r="812" spans="1:12">
      <c r="A812" s="71">
        <v>43415</v>
      </c>
      <c r="B812" t="s">
        <v>23</v>
      </c>
      <c r="C812">
        <v>17</v>
      </c>
      <c r="D812">
        <v>0.156</v>
      </c>
      <c r="E812">
        <v>18</v>
      </c>
      <c r="F812">
        <v>0.1208</v>
      </c>
      <c r="G812">
        <v>1</v>
      </c>
      <c r="H812">
        <v>0</v>
      </c>
      <c r="I812">
        <v>0</v>
      </c>
      <c r="J812">
        <v>0</v>
      </c>
      <c r="K812" t="s">
        <v>38</v>
      </c>
      <c r="L812">
        <v>0</v>
      </c>
    </row>
    <row r="813" spans="1:12">
      <c r="A813" s="71">
        <v>43415</v>
      </c>
      <c r="B813" t="s">
        <v>19</v>
      </c>
      <c r="C813">
        <v>9</v>
      </c>
      <c r="D813">
        <v>0.0826</v>
      </c>
      <c r="E813">
        <v>13</v>
      </c>
      <c r="F813">
        <v>0.0872</v>
      </c>
      <c r="G813">
        <v>1</v>
      </c>
      <c r="H813">
        <v>0</v>
      </c>
      <c r="I813">
        <v>0</v>
      </c>
      <c r="J813">
        <v>0</v>
      </c>
      <c r="K813" t="s">
        <v>38</v>
      </c>
      <c r="L813">
        <v>0</v>
      </c>
    </row>
    <row r="814" spans="1:12">
      <c r="A814" s="71">
        <v>43415</v>
      </c>
      <c r="B814" t="s">
        <v>22</v>
      </c>
      <c r="C814">
        <v>60</v>
      </c>
      <c r="D814">
        <v>0.5505</v>
      </c>
      <c r="E814">
        <v>90</v>
      </c>
      <c r="F814">
        <v>0.604</v>
      </c>
      <c r="G814">
        <v>0.98</v>
      </c>
      <c r="H814">
        <v>17</v>
      </c>
      <c r="I814">
        <v>0.2833</v>
      </c>
      <c r="J814">
        <v>235.79</v>
      </c>
      <c r="K814" t="s">
        <v>47</v>
      </c>
      <c r="L814">
        <v>0.166666666666667</v>
      </c>
    </row>
    <row r="815" spans="1:12">
      <c r="A815" s="71">
        <v>43415</v>
      </c>
      <c r="B815" t="s">
        <v>24</v>
      </c>
      <c r="C815">
        <v>21</v>
      </c>
      <c r="D815">
        <v>0.1927</v>
      </c>
      <c r="E815">
        <v>25</v>
      </c>
      <c r="F815">
        <v>0.1678</v>
      </c>
      <c r="G815">
        <v>1</v>
      </c>
      <c r="H815">
        <v>3</v>
      </c>
      <c r="I815">
        <v>0.1429</v>
      </c>
      <c r="J815">
        <v>38.97</v>
      </c>
      <c r="K815" t="s">
        <v>41</v>
      </c>
      <c r="L815">
        <v>0.142857142857143</v>
      </c>
    </row>
    <row r="816" spans="1:12">
      <c r="A816" s="71">
        <v>43415</v>
      </c>
      <c r="B816" t="s">
        <v>18</v>
      </c>
      <c r="C816">
        <v>2</v>
      </c>
      <c r="D816">
        <v>0.0183</v>
      </c>
      <c r="E816">
        <v>3</v>
      </c>
      <c r="F816">
        <v>0.0201</v>
      </c>
      <c r="G816">
        <v>1</v>
      </c>
      <c r="H816">
        <v>1</v>
      </c>
      <c r="I816">
        <v>0.5</v>
      </c>
      <c r="J816">
        <v>27.87</v>
      </c>
      <c r="K816" t="s">
        <v>39</v>
      </c>
      <c r="L816">
        <v>0.5</v>
      </c>
    </row>
    <row r="817" spans="1:12">
      <c r="A817" s="71">
        <v>43416</v>
      </c>
      <c r="B817" t="s">
        <v>18</v>
      </c>
      <c r="C817">
        <v>4</v>
      </c>
      <c r="D817">
        <v>0.0381</v>
      </c>
      <c r="E817">
        <v>4</v>
      </c>
      <c r="F817">
        <v>0.0288</v>
      </c>
      <c r="G817">
        <v>1</v>
      </c>
      <c r="H817">
        <v>0</v>
      </c>
      <c r="I817">
        <v>0</v>
      </c>
      <c r="J817">
        <v>0</v>
      </c>
      <c r="K817" t="s">
        <v>38</v>
      </c>
      <c r="L817">
        <v>0</v>
      </c>
    </row>
    <row r="818" spans="1:12">
      <c r="A818" s="71">
        <v>43416</v>
      </c>
      <c r="B818" t="s">
        <v>24</v>
      </c>
      <c r="C818">
        <v>18</v>
      </c>
      <c r="D818">
        <v>0.1714</v>
      </c>
      <c r="E818">
        <v>19</v>
      </c>
      <c r="F818">
        <v>0.1367</v>
      </c>
      <c r="G818">
        <v>1</v>
      </c>
      <c r="H818">
        <v>4</v>
      </c>
      <c r="I818">
        <v>0.2222</v>
      </c>
      <c r="J818">
        <v>51.96</v>
      </c>
      <c r="K818" t="s">
        <v>42</v>
      </c>
      <c r="L818">
        <v>0.222222222222222</v>
      </c>
    </row>
    <row r="819" spans="1:12">
      <c r="A819" s="71">
        <v>43416</v>
      </c>
      <c r="B819" t="s">
        <v>23</v>
      </c>
      <c r="C819">
        <v>16</v>
      </c>
      <c r="D819">
        <v>0.1524</v>
      </c>
      <c r="E819">
        <v>22</v>
      </c>
      <c r="F819">
        <v>0.1583</v>
      </c>
      <c r="G819">
        <v>1</v>
      </c>
      <c r="H819">
        <v>2</v>
      </c>
      <c r="I819">
        <v>0.125</v>
      </c>
      <c r="J819">
        <v>23.98</v>
      </c>
      <c r="K819" t="s">
        <v>40</v>
      </c>
      <c r="L819">
        <v>0.125</v>
      </c>
    </row>
    <row r="820" spans="1:12">
      <c r="A820" s="71">
        <v>43416</v>
      </c>
      <c r="B820" t="s">
        <v>22</v>
      </c>
      <c r="C820">
        <v>61</v>
      </c>
      <c r="D820">
        <v>0.581</v>
      </c>
      <c r="E820">
        <v>85</v>
      </c>
      <c r="F820">
        <v>0.6115</v>
      </c>
      <c r="G820">
        <v>1</v>
      </c>
      <c r="H820">
        <v>10</v>
      </c>
      <c r="I820">
        <v>0.1639</v>
      </c>
      <c r="J820">
        <v>138.7</v>
      </c>
      <c r="K820" t="s">
        <v>47</v>
      </c>
      <c r="L820">
        <v>0.163934426229508</v>
      </c>
    </row>
    <row r="821" spans="1:12">
      <c r="A821" s="71">
        <v>43416</v>
      </c>
      <c r="B821" t="s">
        <v>19</v>
      </c>
      <c r="C821">
        <v>6</v>
      </c>
      <c r="D821">
        <v>0.0571</v>
      </c>
      <c r="E821">
        <v>9</v>
      </c>
      <c r="F821">
        <v>0.0647</v>
      </c>
      <c r="G821">
        <v>1</v>
      </c>
      <c r="H821">
        <v>1</v>
      </c>
      <c r="I821">
        <v>0.1667</v>
      </c>
      <c r="J821">
        <v>16.97</v>
      </c>
      <c r="K821" t="s">
        <v>39</v>
      </c>
      <c r="L821">
        <v>0.166666666666667</v>
      </c>
    </row>
    <row r="822" spans="1:12">
      <c r="A822" s="71">
        <v>43417</v>
      </c>
      <c r="B822" t="s">
        <v>23</v>
      </c>
      <c r="C822">
        <v>13</v>
      </c>
      <c r="D822">
        <v>0.1398</v>
      </c>
      <c r="E822">
        <v>15</v>
      </c>
      <c r="F822">
        <v>0.1154</v>
      </c>
      <c r="G822">
        <v>1</v>
      </c>
      <c r="H822">
        <v>0</v>
      </c>
      <c r="I822">
        <v>0</v>
      </c>
      <c r="J822">
        <v>0</v>
      </c>
      <c r="K822" t="s">
        <v>38</v>
      </c>
      <c r="L822">
        <v>0</v>
      </c>
    </row>
    <row r="823" spans="1:12">
      <c r="A823" s="71">
        <v>43417</v>
      </c>
      <c r="B823" t="s">
        <v>19</v>
      </c>
      <c r="C823">
        <v>7</v>
      </c>
      <c r="D823">
        <v>0.0753</v>
      </c>
      <c r="E823">
        <v>11</v>
      </c>
      <c r="F823">
        <v>0.0846</v>
      </c>
      <c r="G823">
        <v>1</v>
      </c>
      <c r="H823">
        <v>0</v>
      </c>
      <c r="I823">
        <v>0</v>
      </c>
      <c r="J823">
        <v>0</v>
      </c>
      <c r="K823" t="s">
        <v>38</v>
      </c>
      <c r="L823">
        <v>0</v>
      </c>
    </row>
    <row r="824" spans="1:12">
      <c r="A824" s="71">
        <v>43417</v>
      </c>
      <c r="B824" t="s">
        <v>18</v>
      </c>
      <c r="C824">
        <v>7</v>
      </c>
      <c r="D824">
        <v>0.0753</v>
      </c>
      <c r="E824">
        <v>11</v>
      </c>
      <c r="F824">
        <v>0.0846</v>
      </c>
      <c r="G824">
        <v>1</v>
      </c>
      <c r="H824">
        <v>0</v>
      </c>
      <c r="I824">
        <v>0</v>
      </c>
      <c r="J824">
        <v>0</v>
      </c>
      <c r="K824" t="s">
        <v>38</v>
      </c>
      <c r="L824">
        <v>0</v>
      </c>
    </row>
    <row r="825" spans="1:12">
      <c r="A825" s="71">
        <v>43417</v>
      </c>
      <c r="B825" t="s">
        <v>22</v>
      </c>
      <c r="C825">
        <v>52</v>
      </c>
      <c r="D825">
        <v>0.5591</v>
      </c>
      <c r="E825">
        <v>73</v>
      </c>
      <c r="F825">
        <v>0.5615</v>
      </c>
      <c r="G825">
        <v>0.97</v>
      </c>
      <c r="H825">
        <v>11</v>
      </c>
      <c r="I825">
        <v>0.2115</v>
      </c>
      <c r="J825">
        <v>152.57</v>
      </c>
      <c r="K825" t="s">
        <v>48</v>
      </c>
      <c r="L825">
        <v>0.173076923076923</v>
      </c>
    </row>
    <row r="826" spans="1:12">
      <c r="A826" s="71">
        <v>43417</v>
      </c>
      <c r="B826" t="s">
        <v>24</v>
      </c>
      <c r="C826">
        <v>14</v>
      </c>
      <c r="D826">
        <v>0.1505</v>
      </c>
      <c r="E826">
        <v>20</v>
      </c>
      <c r="F826">
        <v>0.1538</v>
      </c>
      <c r="G826">
        <v>1</v>
      </c>
      <c r="H826">
        <v>1</v>
      </c>
      <c r="I826">
        <v>0.0714</v>
      </c>
      <c r="J826">
        <v>12.99</v>
      </c>
      <c r="K826" t="s">
        <v>39</v>
      </c>
      <c r="L826">
        <v>0.0714285714285714</v>
      </c>
    </row>
    <row r="827" spans="1:12">
      <c r="A827" s="71">
        <v>43418</v>
      </c>
      <c r="B827" t="s">
        <v>23</v>
      </c>
      <c r="C827">
        <v>9</v>
      </c>
      <c r="D827">
        <v>0.1071</v>
      </c>
      <c r="E827">
        <v>10</v>
      </c>
      <c r="F827">
        <v>0.101</v>
      </c>
      <c r="G827">
        <v>1</v>
      </c>
      <c r="H827">
        <v>0</v>
      </c>
      <c r="I827">
        <v>0</v>
      </c>
      <c r="J827">
        <v>0</v>
      </c>
      <c r="K827" t="s">
        <v>38</v>
      </c>
      <c r="L827">
        <v>0</v>
      </c>
    </row>
    <row r="828" spans="1:12">
      <c r="A828" s="71">
        <v>43418</v>
      </c>
      <c r="B828" t="s">
        <v>19</v>
      </c>
      <c r="C828">
        <v>5</v>
      </c>
      <c r="D828">
        <v>0.0595</v>
      </c>
      <c r="E828">
        <v>6</v>
      </c>
      <c r="F828">
        <v>0.0606</v>
      </c>
      <c r="G828">
        <v>1</v>
      </c>
      <c r="H828">
        <v>0</v>
      </c>
      <c r="I828">
        <v>0</v>
      </c>
      <c r="J828">
        <v>0</v>
      </c>
      <c r="K828" t="s">
        <v>38</v>
      </c>
      <c r="L828">
        <v>0</v>
      </c>
    </row>
    <row r="829" spans="1:12">
      <c r="A829" s="71">
        <v>43418</v>
      </c>
      <c r="B829" t="s">
        <v>24</v>
      </c>
      <c r="C829">
        <v>17</v>
      </c>
      <c r="D829">
        <v>0.2024</v>
      </c>
      <c r="E829">
        <v>20</v>
      </c>
      <c r="F829">
        <v>0.202</v>
      </c>
      <c r="G829">
        <v>1</v>
      </c>
      <c r="H829">
        <v>4</v>
      </c>
      <c r="I829">
        <v>0.2353</v>
      </c>
      <c r="J829">
        <v>51.96</v>
      </c>
      <c r="K829" t="s">
        <v>42</v>
      </c>
      <c r="L829">
        <v>0.235294117647059</v>
      </c>
    </row>
    <row r="830" spans="1:12">
      <c r="A830" s="71">
        <v>43418</v>
      </c>
      <c r="B830" t="s">
        <v>22</v>
      </c>
      <c r="C830">
        <v>49</v>
      </c>
      <c r="D830">
        <v>0.5833</v>
      </c>
      <c r="E830">
        <v>57</v>
      </c>
      <c r="F830">
        <v>0.5758</v>
      </c>
      <c r="G830">
        <v>1</v>
      </c>
      <c r="H830">
        <v>12</v>
      </c>
      <c r="I830">
        <v>0.2449</v>
      </c>
      <c r="J830">
        <v>166.44</v>
      </c>
      <c r="K830" t="s">
        <v>49</v>
      </c>
      <c r="L830">
        <v>0.244897959183673</v>
      </c>
    </row>
    <row r="831" spans="1:12">
      <c r="A831" s="71">
        <v>43418</v>
      </c>
      <c r="B831" t="s">
        <v>18</v>
      </c>
      <c r="C831">
        <v>4</v>
      </c>
      <c r="D831">
        <v>0.0476</v>
      </c>
      <c r="E831">
        <v>6</v>
      </c>
      <c r="F831">
        <v>0.0606</v>
      </c>
      <c r="G831">
        <v>1</v>
      </c>
      <c r="H831">
        <v>1</v>
      </c>
      <c r="I831">
        <v>0.25</v>
      </c>
      <c r="J831">
        <v>27.87</v>
      </c>
      <c r="K831" t="s">
        <v>39</v>
      </c>
      <c r="L831">
        <v>0.25</v>
      </c>
    </row>
    <row r="832" spans="1:12">
      <c r="A832" s="71">
        <v>43419</v>
      </c>
      <c r="B832" t="s">
        <v>21</v>
      </c>
      <c r="C832">
        <v>1</v>
      </c>
      <c r="D832">
        <v>0.0108</v>
      </c>
      <c r="E832">
        <v>1</v>
      </c>
      <c r="F832">
        <v>0.0078</v>
      </c>
      <c r="G832">
        <v>1</v>
      </c>
      <c r="H832">
        <v>0</v>
      </c>
      <c r="I832">
        <v>0</v>
      </c>
      <c r="J832">
        <v>0</v>
      </c>
      <c r="K832" t="s">
        <v>38</v>
      </c>
      <c r="L832">
        <v>0</v>
      </c>
    </row>
    <row r="833" spans="1:12">
      <c r="A833" s="71">
        <v>43419</v>
      </c>
      <c r="B833" t="s">
        <v>18</v>
      </c>
      <c r="C833">
        <v>9</v>
      </c>
      <c r="D833">
        <v>0.0968</v>
      </c>
      <c r="E833">
        <v>14</v>
      </c>
      <c r="F833">
        <v>0.1085</v>
      </c>
      <c r="G833">
        <v>1</v>
      </c>
      <c r="H833">
        <v>0</v>
      </c>
      <c r="I833">
        <v>0</v>
      </c>
      <c r="J833">
        <v>0</v>
      </c>
      <c r="K833" t="s">
        <v>38</v>
      </c>
      <c r="L833">
        <v>0</v>
      </c>
    </row>
    <row r="834" spans="1:12">
      <c r="A834" s="71">
        <v>43419</v>
      </c>
      <c r="B834" t="s">
        <v>19</v>
      </c>
      <c r="C834">
        <v>6</v>
      </c>
      <c r="D834">
        <v>0.0645</v>
      </c>
      <c r="E834">
        <v>10</v>
      </c>
      <c r="F834">
        <v>0.0775</v>
      </c>
      <c r="G834">
        <v>1</v>
      </c>
      <c r="H834">
        <v>0</v>
      </c>
      <c r="I834">
        <v>0</v>
      </c>
      <c r="J834">
        <v>0</v>
      </c>
      <c r="K834" t="s">
        <v>38</v>
      </c>
      <c r="L834">
        <v>0</v>
      </c>
    </row>
    <row r="835" spans="1:12">
      <c r="A835" s="71">
        <v>43419</v>
      </c>
      <c r="B835" t="s">
        <v>26</v>
      </c>
      <c r="C835">
        <v>3</v>
      </c>
      <c r="D835">
        <v>0.0323</v>
      </c>
      <c r="E835">
        <v>4</v>
      </c>
      <c r="F835">
        <v>0.031</v>
      </c>
      <c r="G835">
        <v>1</v>
      </c>
      <c r="H835">
        <v>0</v>
      </c>
      <c r="I835">
        <v>0</v>
      </c>
      <c r="J835">
        <v>0</v>
      </c>
      <c r="K835" t="s">
        <v>38</v>
      </c>
      <c r="L835">
        <v>0</v>
      </c>
    </row>
    <row r="836" spans="1:12">
      <c r="A836" s="71">
        <v>43419</v>
      </c>
      <c r="B836" t="s">
        <v>24</v>
      </c>
      <c r="C836">
        <v>13</v>
      </c>
      <c r="D836">
        <v>0.1398</v>
      </c>
      <c r="E836">
        <v>22</v>
      </c>
      <c r="F836">
        <v>0.1705</v>
      </c>
      <c r="G836">
        <v>1</v>
      </c>
      <c r="H836">
        <v>3</v>
      </c>
      <c r="I836">
        <v>0.2308</v>
      </c>
      <c r="J836">
        <v>38.97</v>
      </c>
      <c r="K836" t="s">
        <v>41</v>
      </c>
      <c r="L836">
        <v>0.230769230769231</v>
      </c>
    </row>
    <row r="837" spans="1:12">
      <c r="A837" s="71">
        <v>43419</v>
      </c>
      <c r="B837" t="s">
        <v>23</v>
      </c>
      <c r="C837">
        <v>15</v>
      </c>
      <c r="D837">
        <v>0.1613</v>
      </c>
      <c r="E837">
        <v>16</v>
      </c>
      <c r="F837">
        <v>0.124</v>
      </c>
      <c r="G837">
        <v>1</v>
      </c>
      <c r="H837">
        <v>2</v>
      </c>
      <c r="I837">
        <v>0.1333</v>
      </c>
      <c r="J837">
        <v>23.98</v>
      </c>
      <c r="K837" t="s">
        <v>40</v>
      </c>
      <c r="L837">
        <v>0.133333333333333</v>
      </c>
    </row>
    <row r="838" spans="1:12">
      <c r="A838" s="71">
        <v>43419</v>
      </c>
      <c r="B838" t="s">
        <v>22</v>
      </c>
      <c r="C838">
        <v>46</v>
      </c>
      <c r="D838">
        <v>0.4946</v>
      </c>
      <c r="E838">
        <v>62</v>
      </c>
      <c r="F838">
        <v>0.4806</v>
      </c>
      <c r="G838">
        <v>1</v>
      </c>
      <c r="H838">
        <v>7</v>
      </c>
      <c r="I838">
        <v>0.1522</v>
      </c>
      <c r="J838">
        <v>97.09</v>
      </c>
      <c r="K838" t="s">
        <v>45</v>
      </c>
      <c r="L838">
        <v>0.130434782608696</v>
      </c>
    </row>
    <row r="839" spans="1:12">
      <c r="A839" s="71">
        <v>43420</v>
      </c>
      <c r="B839" t="s">
        <v>20</v>
      </c>
      <c r="C839">
        <v>1</v>
      </c>
      <c r="D839">
        <v>0.0105</v>
      </c>
      <c r="E839">
        <v>1</v>
      </c>
      <c r="F839">
        <v>0.0081</v>
      </c>
      <c r="G839">
        <v>1</v>
      </c>
      <c r="H839">
        <v>0</v>
      </c>
      <c r="I839">
        <v>0</v>
      </c>
      <c r="J839">
        <v>0</v>
      </c>
      <c r="K839" t="s">
        <v>38</v>
      </c>
      <c r="L839">
        <v>0</v>
      </c>
    </row>
    <row r="840" spans="1:12">
      <c r="A840" s="71">
        <v>43420</v>
      </c>
      <c r="B840" t="s">
        <v>26</v>
      </c>
      <c r="C840">
        <v>1</v>
      </c>
      <c r="D840">
        <v>0.0105</v>
      </c>
      <c r="E840">
        <v>1</v>
      </c>
      <c r="F840">
        <v>0.0081</v>
      </c>
      <c r="G840">
        <v>1</v>
      </c>
      <c r="H840">
        <v>0</v>
      </c>
      <c r="I840">
        <v>0</v>
      </c>
      <c r="J840">
        <v>0</v>
      </c>
      <c r="K840" t="s">
        <v>38</v>
      </c>
      <c r="L840">
        <v>0</v>
      </c>
    </row>
    <row r="841" spans="1:12">
      <c r="A841" s="71">
        <v>43420</v>
      </c>
      <c r="B841" t="s">
        <v>19</v>
      </c>
      <c r="C841">
        <v>7</v>
      </c>
      <c r="D841">
        <v>0.0737</v>
      </c>
      <c r="E841">
        <v>9</v>
      </c>
      <c r="F841">
        <v>0.0732</v>
      </c>
      <c r="G841">
        <v>1</v>
      </c>
      <c r="H841">
        <v>0</v>
      </c>
      <c r="I841">
        <v>0</v>
      </c>
      <c r="J841">
        <v>0</v>
      </c>
      <c r="K841" t="s">
        <v>38</v>
      </c>
      <c r="L841">
        <v>0</v>
      </c>
    </row>
    <row r="842" spans="1:12">
      <c r="A842" s="71">
        <v>43420</v>
      </c>
      <c r="B842" t="s">
        <v>21</v>
      </c>
      <c r="C842">
        <v>4</v>
      </c>
      <c r="D842">
        <v>0.0421</v>
      </c>
      <c r="E842">
        <v>4</v>
      </c>
      <c r="F842">
        <v>0.0325</v>
      </c>
      <c r="G842">
        <v>1</v>
      </c>
      <c r="H842">
        <v>0</v>
      </c>
      <c r="I842">
        <v>0</v>
      </c>
      <c r="J842">
        <v>0</v>
      </c>
      <c r="K842" t="s">
        <v>38</v>
      </c>
      <c r="L842">
        <v>0</v>
      </c>
    </row>
    <row r="843" spans="1:12">
      <c r="A843" s="71">
        <v>43420</v>
      </c>
      <c r="B843" t="s">
        <v>18</v>
      </c>
      <c r="C843">
        <v>3</v>
      </c>
      <c r="D843">
        <v>0.0316</v>
      </c>
      <c r="E843">
        <v>3</v>
      </c>
      <c r="F843">
        <v>0.0244</v>
      </c>
      <c r="G843">
        <v>1</v>
      </c>
      <c r="H843">
        <v>0</v>
      </c>
      <c r="I843">
        <v>0</v>
      </c>
      <c r="J843">
        <v>0</v>
      </c>
      <c r="K843" t="s">
        <v>38</v>
      </c>
      <c r="L843">
        <v>0</v>
      </c>
    </row>
    <row r="844" spans="1:12">
      <c r="A844" s="71">
        <v>43420</v>
      </c>
      <c r="B844" t="s">
        <v>23</v>
      </c>
      <c r="C844">
        <v>16</v>
      </c>
      <c r="D844">
        <v>0.1684</v>
      </c>
      <c r="E844">
        <v>24</v>
      </c>
      <c r="F844">
        <v>0.1951</v>
      </c>
      <c r="G844">
        <v>1</v>
      </c>
      <c r="H844">
        <v>4</v>
      </c>
      <c r="I844">
        <v>0.25</v>
      </c>
      <c r="J844">
        <v>47.96</v>
      </c>
      <c r="K844" t="s">
        <v>40</v>
      </c>
      <c r="L844">
        <v>0.125</v>
      </c>
    </row>
    <row r="845" spans="1:12">
      <c r="A845" s="71">
        <v>43420</v>
      </c>
      <c r="B845" t="s">
        <v>24</v>
      </c>
      <c r="C845">
        <v>21</v>
      </c>
      <c r="D845">
        <v>0.2211</v>
      </c>
      <c r="E845">
        <v>28</v>
      </c>
      <c r="F845">
        <v>0.2276</v>
      </c>
      <c r="G845">
        <v>1</v>
      </c>
      <c r="H845">
        <v>3</v>
      </c>
      <c r="I845">
        <v>0.1429</v>
      </c>
      <c r="J845">
        <v>38.97</v>
      </c>
      <c r="K845" t="s">
        <v>40</v>
      </c>
      <c r="L845">
        <v>0.0952380952380952</v>
      </c>
    </row>
    <row r="846" spans="1:12">
      <c r="A846" s="71">
        <v>43420</v>
      </c>
      <c r="B846" t="s">
        <v>22</v>
      </c>
      <c r="C846">
        <v>42</v>
      </c>
      <c r="D846">
        <v>0.4421</v>
      </c>
      <c r="E846">
        <v>53</v>
      </c>
      <c r="F846">
        <v>0.4309</v>
      </c>
      <c r="G846">
        <v>1</v>
      </c>
      <c r="H846">
        <v>10</v>
      </c>
      <c r="I846">
        <v>0.2381</v>
      </c>
      <c r="J846">
        <v>138.7</v>
      </c>
      <c r="K846" t="s">
        <v>48</v>
      </c>
      <c r="L846">
        <v>0.214285714285714</v>
      </c>
    </row>
    <row r="847" spans="1:12">
      <c r="A847" s="71">
        <v>43421</v>
      </c>
      <c r="B847" t="s">
        <v>19</v>
      </c>
      <c r="C847">
        <v>1</v>
      </c>
      <c r="D847">
        <v>0.0145</v>
      </c>
      <c r="E847">
        <v>1</v>
      </c>
      <c r="F847">
        <v>0.0109</v>
      </c>
      <c r="G847">
        <v>1</v>
      </c>
      <c r="H847">
        <v>0</v>
      </c>
      <c r="I847">
        <v>0</v>
      </c>
      <c r="J847">
        <v>0</v>
      </c>
      <c r="K847" t="s">
        <v>38</v>
      </c>
      <c r="L847">
        <v>0</v>
      </c>
    </row>
    <row r="848" spans="1:12">
      <c r="A848" s="71">
        <v>43421</v>
      </c>
      <c r="B848" t="s">
        <v>20</v>
      </c>
      <c r="C848">
        <v>1</v>
      </c>
      <c r="D848">
        <v>0.0145</v>
      </c>
      <c r="E848">
        <v>1</v>
      </c>
      <c r="F848">
        <v>0.0109</v>
      </c>
      <c r="G848">
        <v>1</v>
      </c>
      <c r="H848">
        <v>0</v>
      </c>
      <c r="I848">
        <v>0</v>
      </c>
      <c r="J848">
        <v>0</v>
      </c>
      <c r="K848" t="s">
        <v>38</v>
      </c>
      <c r="L848">
        <v>0</v>
      </c>
    </row>
    <row r="849" spans="1:12">
      <c r="A849" s="71">
        <v>43421</v>
      </c>
      <c r="B849" t="s">
        <v>25</v>
      </c>
      <c r="C849">
        <v>2</v>
      </c>
      <c r="D849">
        <v>0.029</v>
      </c>
      <c r="E849">
        <v>3</v>
      </c>
      <c r="F849">
        <v>0.0326</v>
      </c>
      <c r="G849">
        <v>1</v>
      </c>
      <c r="H849">
        <v>0</v>
      </c>
      <c r="I849">
        <v>0</v>
      </c>
      <c r="J849">
        <v>0</v>
      </c>
      <c r="K849" t="s">
        <v>38</v>
      </c>
      <c r="L849">
        <v>0</v>
      </c>
    </row>
    <row r="850" spans="1:12">
      <c r="A850" s="71">
        <v>43421</v>
      </c>
      <c r="B850" t="s">
        <v>21</v>
      </c>
      <c r="C850">
        <v>5</v>
      </c>
      <c r="D850">
        <v>0.0725</v>
      </c>
      <c r="E850">
        <v>6</v>
      </c>
      <c r="F850">
        <v>0.0652</v>
      </c>
      <c r="G850">
        <v>1</v>
      </c>
      <c r="H850">
        <v>0</v>
      </c>
      <c r="I850">
        <v>0</v>
      </c>
      <c r="J850">
        <v>0</v>
      </c>
      <c r="K850" t="s">
        <v>38</v>
      </c>
      <c r="L850">
        <v>0</v>
      </c>
    </row>
    <row r="851" spans="1:12">
      <c r="A851" s="71">
        <v>43421</v>
      </c>
      <c r="B851" t="s">
        <v>18</v>
      </c>
      <c r="C851">
        <v>3</v>
      </c>
      <c r="D851">
        <v>0.0435</v>
      </c>
      <c r="E851">
        <v>6</v>
      </c>
      <c r="F851">
        <v>0.0652</v>
      </c>
      <c r="G851">
        <v>1</v>
      </c>
      <c r="H851">
        <v>0</v>
      </c>
      <c r="I851">
        <v>0</v>
      </c>
      <c r="J851">
        <v>0</v>
      </c>
      <c r="K851" t="s">
        <v>38</v>
      </c>
      <c r="L851">
        <v>0</v>
      </c>
    </row>
    <row r="852" spans="1:12">
      <c r="A852" s="71">
        <v>43421</v>
      </c>
      <c r="B852" t="s">
        <v>22</v>
      </c>
      <c r="C852">
        <v>36</v>
      </c>
      <c r="D852">
        <v>0.5217</v>
      </c>
      <c r="E852">
        <v>46</v>
      </c>
      <c r="F852">
        <v>0.5</v>
      </c>
      <c r="G852">
        <v>0.98</v>
      </c>
      <c r="H852">
        <v>9</v>
      </c>
      <c r="I852">
        <v>0.25</v>
      </c>
      <c r="J852">
        <v>124.83</v>
      </c>
      <c r="K852" t="s">
        <v>48</v>
      </c>
      <c r="L852">
        <v>0.25</v>
      </c>
    </row>
    <row r="853" spans="1:12">
      <c r="A853" s="71">
        <v>43421</v>
      </c>
      <c r="B853" t="s">
        <v>24</v>
      </c>
      <c r="C853">
        <v>12</v>
      </c>
      <c r="D853">
        <v>0.1739</v>
      </c>
      <c r="E853">
        <v>13</v>
      </c>
      <c r="F853">
        <v>0.1413</v>
      </c>
      <c r="G853">
        <v>1</v>
      </c>
      <c r="H853">
        <v>4</v>
      </c>
      <c r="I853">
        <v>0.3333</v>
      </c>
      <c r="J853">
        <v>51.96</v>
      </c>
      <c r="K853" t="s">
        <v>42</v>
      </c>
      <c r="L853">
        <v>0.333333333333333</v>
      </c>
    </row>
    <row r="854" spans="1:12">
      <c r="A854" s="71">
        <v>43421</v>
      </c>
      <c r="B854" t="s">
        <v>23</v>
      </c>
      <c r="C854">
        <v>9</v>
      </c>
      <c r="D854">
        <v>0.1304</v>
      </c>
      <c r="E854">
        <v>16</v>
      </c>
      <c r="F854">
        <v>0.1739</v>
      </c>
      <c r="G854">
        <v>1</v>
      </c>
      <c r="H854">
        <v>1</v>
      </c>
      <c r="I854">
        <v>0.1111</v>
      </c>
      <c r="J854">
        <v>11.99</v>
      </c>
      <c r="K854" t="s">
        <v>39</v>
      </c>
      <c r="L854">
        <v>0.111111111111111</v>
      </c>
    </row>
    <row r="855" spans="1:12">
      <c r="A855" s="71">
        <v>43422</v>
      </c>
      <c r="B855" t="s">
        <v>26</v>
      </c>
      <c r="C855">
        <v>2</v>
      </c>
      <c r="D855">
        <v>0.0187</v>
      </c>
      <c r="E855">
        <v>4</v>
      </c>
      <c r="F855">
        <v>0.0272</v>
      </c>
      <c r="G855">
        <v>1</v>
      </c>
      <c r="H855">
        <v>0</v>
      </c>
      <c r="I855">
        <v>0</v>
      </c>
      <c r="J855">
        <v>0</v>
      </c>
      <c r="K855" t="s">
        <v>38</v>
      </c>
      <c r="L855">
        <v>0</v>
      </c>
    </row>
    <row r="856" spans="1:12">
      <c r="A856" s="71">
        <v>43422</v>
      </c>
      <c r="B856" t="s">
        <v>18</v>
      </c>
      <c r="C856">
        <v>7</v>
      </c>
      <c r="D856">
        <v>0.0654</v>
      </c>
      <c r="E856">
        <v>11</v>
      </c>
      <c r="F856">
        <v>0.0748</v>
      </c>
      <c r="G856">
        <v>1</v>
      </c>
      <c r="H856">
        <v>0</v>
      </c>
      <c r="I856">
        <v>0</v>
      </c>
      <c r="J856">
        <v>0</v>
      </c>
      <c r="K856" t="s">
        <v>38</v>
      </c>
      <c r="L856">
        <v>0</v>
      </c>
    </row>
    <row r="857" spans="1:12">
      <c r="A857" s="71">
        <v>43422</v>
      </c>
      <c r="B857" t="s">
        <v>19</v>
      </c>
      <c r="C857">
        <v>4</v>
      </c>
      <c r="D857">
        <v>0.0374</v>
      </c>
      <c r="E857">
        <v>6</v>
      </c>
      <c r="F857">
        <v>0.0408</v>
      </c>
      <c r="G857">
        <v>1</v>
      </c>
      <c r="H857">
        <v>0</v>
      </c>
      <c r="I857">
        <v>0</v>
      </c>
      <c r="J857">
        <v>0</v>
      </c>
      <c r="K857" t="s">
        <v>38</v>
      </c>
      <c r="L857">
        <v>0</v>
      </c>
    </row>
    <row r="858" spans="1:12">
      <c r="A858" s="71">
        <v>43422</v>
      </c>
      <c r="B858" t="s">
        <v>24</v>
      </c>
      <c r="C858">
        <v>14</v>
      </c>
      <c r="D858">
        <v>0.1308</v>
      </c>
      <c r="E858">
        <v>19</v>
      </c>
      <c r="F858">
        <v>0.1293</v>
      </c>
      <c r="G858">
        <v>0.95</v>
      </c>
      <c r="H858">
        <v>0</v>
      </c>
      <c r="I858">
        <v>0</v>
      </c>
      <c r="J858">
        <v>0</v>
      </c>
      <c r="K858" t="s">
        <v>38</v>
      </c>
      <c r="L858">
        <v>0</v>
      </c>
    </row>
    <row r="859" spans="1:12">
      <c r="A859" s="71">
        <v>43422</v>
      </c>
      <c r="B859" t="s">
        <v>22</v>
      </c>
      <c r="C859">
        <v>56</v>
      </c>
      <c r="D859">
        <v>0.5234</v>
      </c>
      <c r="E859">
        <v>75</v>
      </c>
      <c r="F859">
        <v>0.5102</v>
      </c>
      <c r="G859">
        <v>0.99</v>
      </c>
      <c r="H859">
        <v>14</v>
      </c>
      <c r="I859">
        <v>0.25</v>
      </c>
      <c r="J859">
        <v>194.18</v>
      </c>
      <c r="K859" t="s">
        <v>47</v>
      </c>
      <c r="L859">
        <v>0.178571428571429</v>
      </c>
    </row>
    <row r="860" spans="1:12">
      <c r="A860" s="71">
        <v>43422</v>
      </c>
      <c r="B860" t="s">
        <v>21</v>
      </c>
      <c r="C860">
        <v>10</v>
      </c>
      <c r="D860">
        <v>0.0935</v>
      </c>
      <c r="E860">
        <v>16</v>
      </c>
      <c r="F860">
        <v>0.1088</v>
      </c>
      <c r="G860">
        <v>0.94</v>
      </c>
      <c r="H860">
        <v>1</v>
      </c>
      <c r="I860">
        <v>0.1</v>
      </c>
      <c r="J860">
        <v>24.99</v>
      </c>
      <c r="K860" t="s">
        <v>39</v>
      </c>
      <c r="L860">
        <v>0.1</v>
      </c>
    </row>
    <row r="861" spans="1:12">
      <c r="A861" s="71">
        <v>43422</v>
      </c>
      <c r="B861" t="s">
        <v>20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1</v>
      </c>
      <c r="I861">
        <v>0</v>
      </c>
      <c r="J861">
        <v>15.99</v>
      </c>
      <c r="K861" t="s">
        <v>39</v>
      </c>
      <c r="L861">
        <v>0</v>
      </c>
    </row>
    <row r="862" spans="1:12">
      <c r="A862" s="71">
        <v>43422</v>
      </c>
      <c r="B862" t="s">
        <v>23</v>
      </c>
      <c r="C862">
        <v>14</v>
      </c>
      <c r="D862">
        <v>0.1308</v>
      </c>
      <c r="E862">
        <v>16</v>
      </c>
      <c r="F862">
        <v>0.1088</v>
      </c>
      <c r="G862">
        <v>1</v>
      </c>
      <c r="H862">
        <v>1</v>
      </c>
      <c r="I862">
        <v>0.0714</v>
      </c>
      <c r="J862">
        <v>11.99</v>
      </c>
      <c r="K862" t="s">
        <v>39</v>
      </c>
      <c r="L862">
        <v>0.0714285714285714</v>
      </c>
    </row>
    <row r="863" spans="1:12">
      <c r="A863" s="71">
        <v>43423</v>
      </c>
      <c r="B863" t="s">
        <v>26</v>
      </c>
      <c r="C863">
        <v>2</v>
      </c>
      <c r="D863">
        <v>0.0217</v>
      </c>
      <c r="E863">
        <v>6</v>
      </c>
      <c r="F863">
        <v>0.0408</v>
      </c>
      <c r="G863">
        <v>1</v>
      </c>
      <c r="H863">
        <v>0</v>
      </c>
      <c r="I863">
        <v>0</v>
      </c>
      <c r="J863">
        <v>0</v>
      </c>
      <c r="K863" t="s">
        <v>38</v>
      </c>
      <c r="L863">
        <v>0</v>
      </c>
    </row>
    <row r="864" spans="1:12">
      <c r="A864" s="71">
        <v>43423</v>
      </c>
      <c r="B864" t="s">
        <v>21</v>
      </c>
      <c r="C864">
        <v>6</v>
      </c>
      <c r="D864">
        <v>0.0652</v>
      </c>
      <c r="E864">
        <v>9</v>
      </c>
      <c r="F864">
        <v>0.0612</v>
      </c>
      <c r="G864">
        <v>1</v>
      </c>
      <c r="H864">
        <v>0</v>
      </c>
      <c r="I864">
        <v>0</v>
      </c>
      <c r="J864">
        <v>0</v>
      </c>
      <c r="K864" t="s">
        <v>38</v>
      </c>
      <c r="L864">
        <v>0</v>
      </c>
    </row>
    <row r="865" spans="1:12">
      <c r="A865" s="71">
        <v>43423</v>
      </c>
      <c r="B865" t="s">
        <v>19</v>
      </c>
      <c r="C865">
        <v>7</v>
      </c>
      <c r="D865">
        <v>0.0761</v>
      </c>
      <c r="E865">
        <v>13</v>
      </c>
      <c r="F865">
        <v>0.0884</v>
      </c>
      <c r="G865">
        <v>0.92</v>
      </c>
      <c r="H865">
        <v>2</v>
      </c>
      <c r="I865">
        <v>0.2857</v>
      </c>
      <c r="J865">
        <v>33.94</v>
      </c>
      <c r="K865" t="s">
        <v>40</v>
      </c>
      <c r="L865">
        <v>0.285714285714286</v>
      </c>
    </row>
    <row r="866" spans="1:12">
      <c r="A866" s="71">
        <v>43423</v>
      </c>
      <c r="B866" t="s">
        <v>24</v>
      </c>
      <c r="C866">
        <v>10</v>
      </c>
      <c r="D866">
        <v>0.1087</v>
      </c>
      <c r="E866">
        <v>13</v>
      </c>
      <c r="F866">
        <v>0.0884</v>
      </c>
      <c r="G866">
        <v>1</v>
      </c>
      <c r="H866">
        <v>4</v>
      </c>
      <c r="I866">
        <v>0.4</v>
      </c>
      <c r="J866">
        <v>51.96</v>
      </c>
      <c r="K866" t="s">
        <v>42</v>
      </c>
      <c r="L866">
        <v>0.4</v>
      </c>
    </row>
    <row r="867" spans="1:12">
      <c r="A867" s="71">
        <v>43423</v>
      </c>
      <c r="B867" t="s">
        <v>23</v>
      </c>
      <c r="C867">
        <v>13</v>
      </c>
      <c r="D867">
        <v>0.1413</v>
      </c>
      <c r="E867">
        <v>20</v>
      </c>
      <c r="F867">
        <v>0.1361</v>
      </c>
      <c r="G867">
        <v>1</v>
      </c>
      <c r="H867">
        <v>2</v>
      </c>
      <c r="I867">
        <v>0.1538</v>
      </c>
      <c r="J867">
        <v>23.98</v>
      </c>
      <c r="K867" t="s">
        <v>40</v>
      </c>
      <c r="L867">
        <v>0.153846153846154</v>
      </c>
    </row>
    <row r="868" spans="1:12">
      <c r="A868" s="71">
        <v>43423</v>
      </c>
      <c r="B868" t="s">
        <v>22</v>
      </c>
      <c r="C868">
        <v>42</v>
      </c>
      <c r="D868">
        <v>0.4565</v>
      </c>
      <c r="E868">
        <v>59</v>
      </c>
      <c r="F868">
        <v>0.4014</v>
      </c>
      <c r="G868">
        <v>1</v>
      </c>
      <c r="H868">
        <v>11</v>
      </c>
      <c r="I868">
        <v>0.2619</v>
      </c>
      <c r="J868">
        <v>152.57</v>
      </c>
      <c r="K868" t="s">
        <v>47</v>
      </c>
      <c r="L868">
        <v>0.238095238095238</v>
      </c>
    </row>
    <row r="869" spans="1:12">
      <c r="A869" s="71">
        <v>43423</v>
      </c>
      <c r="B869" t="s">
        <v>18</v>
      </c>
      <c r="C869">
        <v>11</v>
      </c>
      <c r="D869">
        <v>0.1196</v>
      </c>
      <c r="E869">
        <v>26</v>
      </c>
      <c r="F869">
        <v>0.1769</v>
      </c>
      <c r="G869">
        <v>1</v>
      </c>
      <c r="H869">
        <v>1</v>
      </c>
      <c r="I869">
        <v>0.0909</v>
      </c>
      <c r="J869">
        <v>27.87</v>
      </c>
      <c r="K869" t="s">
        <v>39</v>
      </c>
      <c r="L869">
        <v>0.0909090909090909</v>
      </c>
    </row>
    <row r="870" spans="1:12">
      <c r="A870" s="71">
        <v>43423</v>
      </c>
      <c r="B870" t="s">
        <v>25</v>
      </c>
      <c r="C870">
        <v>1</v>
      </c>
      <c r="D870">
        <v>0.0109</v>
      </c>
      <c r="E870">
        <v>1</v>
      </c>
      <c r="F870">
        <v>0.0068</v>
      </c>
      <c r="G870">
        <v>1</v>
      </c>
      <c r="H870">
        <v>1</v>
      </c>
      <c r="I870">
        <v>1</v>
      </c>
      <c r="J870">
        <v>36.99</v>
      </c>
      <c r="K870" t="s">
        <v>39</v>
      </c>
      <c r="L870">
        <v>1</v>
      </c>
    </row>
    <row r="871" spans="1:12">
      <c r="A871" s="71">
        <v>43424</v>
      </c>
      <c r="B871" t="s">
        <v>21</v>
      </c>
      <c r="C871">
        <v>12</v>
      </c>
      <c r="D871">
        <v>0.1143</v>
      </c>
      <c r="E871">
        <v>16</v>
      </c>
      <c r="F871">
        <v>0.1168</v>
      </c>
      <c r="G871">
        <v>1</v>
      </c>
      <c r="H871">
        <v>0</v>
      </c>
      <c r="I871">
        <v>0</v>
      </c>
      <c r="J871">
        <v>0</v>
      </c>
      <c r="K871" t="s">
        <v>38</v>
      </c>
      <c r="L871">
        <v>0</v>
      </c>
    </row>
    <row r="872" spans="1:12">
      <c r="A872" s="71">
        <v>43424</v>
      </c>
      <c r="B872" t="s">
        <v>26</v>
      </c>
      <c r="C872">
        <v>4</v>
      </c>
      <c r="D872">
        <v>0.0381</v>
      </c>
      <c r="E872">
        <v>4</v>
      </c>
      <c r="F872">
        <v>0.0292</v>
      </c>
      <c r="G872">
        <v>1</v>
      </c>
      <c r="H872">
        <v>0</v>
      </c>
      <c r="I872">
        <v>0</v>
      </c>
      <c r="J872">
        <v>0</v>
      </c>
      <c r="K872" t="s">
        <v>38</v>
      </c>
      <c r="L872">
        <v>0</v>
      </c>
    </row>
    <row r="873" spans="1:12">
      <c r="A873" s="71">
        <v>43424</v>
      </c>
      <c r="B873" t="s">
        <v>23</v>
      </c>
      <c r="C873">
        <v>13</v>
      </c>
      <c r="D873">
        <v>0.1238</v>
      </c>
      <c r="E873">
        <v>15</v>
      </c>
      <c r="F873">
        <v>0.1095</v>
      </c>
      <c r="G873">
        <v>1</v>
      </c>
      <c r="H873">
        <v>3</v>
      </c>
      <c r="I873">
        <v>0.2308</v>
      </c>
      <c r="J873">
        <v>35.97</v>
      </c>
      <c r="K873" t="s">
        <v>40</v>
      </c>
      <c r="L873">
        <v>0.153846153846154</v>
      </c>
    </row>
    <row r="874" spans="1:12">
      <c r="A874" s="71">
        <v>43424</v>
      </c>
      <c r="B874" t="s">
        <v>19</v>
      </c>
      <c r="C874">
        <v>5</v>
      </c>
      <c r="D874">
        <v>0.0476</v>
      </c>
      <c r="E874">
        <v>6</v>
      </c>
      <c r="F874">
        <v>0.0438</v>
      </c>
      <c r="G874">
        <v>1</v>
      </c>
      <c r="H874">
        <v>3</v>
      </c>
      <c r="I874">
        <v>0.6</v>
      </c>
      <c r="J874">
        <v>50.91</v>
      </c>
      <c r="K874" t="s">
        <v>40</v>
      </c>
      <c r="L874">
        <v>0.4</v>
      </c>
    </row>
    <row r="875" spans="1:12">
      <c r="A875" s="71">
        <v>43424</v>
      </c>
      <c r="B875" t="s">
        <v>24</v>
      </c>
      <c r="C875">
        <v>7</v>
      </c>
      <c r="D875">
        <v>0.0667</v>
      </c>
      <c r="E875">
        <v>13</v>
      </c>
      <c r="F875">
        <v>0.0949</v>
      </c>
      <c r="G875">
        <v>1</v>
      </c>
      <c r="H875">
        <v>2</v>
      </c>
      <c r="I875">
        <v>0.2857</v>
      </c>
      <c r="J875">
        <v>25.98</v>
      </c>
      <c r="K875" t="s">
        <v>40</v>
      </c>
      <c r="L875">
        <v>0.285714285714286</v>
      </c>
    </row>
    <row r="876" spans="1:12">
      <c r="A876" s="71">
        <v>43424</v>
      </c>
      <c r="B876" t="s">
        <v>22</v>
      </c>
      <c r="C876">
        <v>53</v>
      </c>
      <c r="D876">
        <v>0.5048</v>
      </c>
      <c r="E876">
        <v>72</v>
      </c>
      <c r="F876">
        <v>0.5255</v>
      </c>
      <c r="G876">
        <v>1</v>
      </c>
      <c r="H876">
        <v>8</v>
      </c>
      <c r="I876">
        <v>0.1509</v>
      </c>
      <c r="J876">
        <v>110.96</v>
      </c>
      <c r="K876" t="s">
        <v>44</v>
      </c>
      <c r="L876">
        <v>0.150943396226415</v>
      </c>
    </row>
    <row r="877" spans="1:12">
      <c r="A877" s="71">
        <v>43424</v>
      </c>
      <c r="B877" t="s">
        <v>18</v>
      </c>
      <c r="C877">
        <v>11</v>
      </c>
      <c r="D877">
        <v>0.1048</v>
      </c>
      <c r="E877">
        <v>11</v>
      </c>
      <c r="F877">
        <v>0.0803</v>
      </c>
      <c r="G877">
        <v>1</v>
      </c>
      <c r="H877">
        <v>1</v>
      </c>
      <c r="I877">
        <v>0.0909</v>
      </c>
      <c r="J877">
        <v>29.99</v>
      </c>
      <c r="K877" t="s">
        <v>39</v>
      </c>
      <c r="L877">
        <v>0.0909090909090909</v>
      </c>
    </row>
    <row r="878" spans="1:12">
      <c r="A878" s="71">
        <v>43425</v>
      </c>
      <c r="B878" t="s">
        <v>20</v>
      </c>
      <c r="C878">
        <v>1</v>
      </c>
      <c r="D878">
        <v>0.0119</v>
      </c>
      <c r="E878">
        <v>1</v>
      </c>
      <c r="F878">
        <v>0.0086</v>
      </c>
      <c r="G878">
        <v>1</v>
      </c>
      <c r="H878">
        <v>0</v>
      </c>
      <c r="I878">
        <v>0</v>
      </c>
      <c r="J878">
        <v>0</v>
      </c>
      <c r="K878" t="s">
        <v>38</v>
      </c>
      <c r="L878">
        <v>0</v>
      </c>
    </row>
    <row r="879" spans="1:12">
      <c r="A879" s="71">
        <v>43425</v>
      </c>
      <c r="B879" t="s">
        <v>19</v>
      </c>
      <c r="C879">
        <v>1</v>
      </c>
      <c r="D879">
        <v>0.0119</v>
      </c>
      <c r="E879">
        <v>1</v>
      </c>
      <c r="F879">
        <v>0.0086</v>
      </c>
      <c r="G879">
        <v>1</v>
      </c>
      <c r="H879">
        <v>0</v>
      </c>
      <c r="I879">
        <v>0</v>
      </c>
      <c r="J879">
        <v>0</v>
      </c>
      <c r="K879" t="s">
        <v>38</v>
      </c>
      <c r="L879">
        <v>0</v>
      </c>
    </row>
    <row r="880" spans="1:12">
      <c r="A880" s="71">
        <v>43425</v>
      </c>
      <c r="B880" t="s">
        <v>25</v>
      </c>
      <c r="C880">
        <v>1</v>
      </c>
      <c r="D880">
        <v>0.0119</v>
      </c>
      <c r="E880">
        <v>1</v>
      </c>
      <c r="F880">
        <v>0.0086</v>
      </c>
      <c r="G880">
        <v>1</v>
      </c>
      <c r="H880">
        <v>0</v>
      </c>
      <c r="I880">
        <v>0</v>
      </c>
      <c r="J880">
        <v>0</v>
      </c>
      <c r="K880" t="s">
        <v>38</v>
      </c>
      <c r="L880">
        <v>0</v>
      </c>
    </row>
    <row r="881" spans="1:12">
      <c r="A881" s="71">
        <v>43425</v>
      </c>
      <c r="B881" t="s">
        <v>20</v>
      </c>
      <c r="C881">
        <v>1</v>
      </c>
      <c r="D881">
        <v>0.0119</v>
      </c>
      <c r="E881">
        <v>6</v>
      </c>
      <c r="F881">
        <v>0.0517</v>
      </c>
      <c r="G881">
        <v>1</v>
      </c>
      <c r="H881">
        <v>0</v>
      </c>
      <c r="I881">
        <v>0</v>
      </c>
      <c r="J881">
        <v>0</v>
      </c>
      <c r="K881" t="s">
        <v>38</v>
      </c>
      <c r="L881">
        <v>0</v>
      </c>
    </row>
    <row r="882" spans="1:12">
      <c r="A882" s="71">
        <v>43425</v>
      </c>
      <c r="B882" t="s">
        <v>28</v>
      </c>
      <c r="C882">
        <v>2</v>
      </c>
      <c r="D882">
        <v>0.0238</v>
      </c>
      <c r="E882">
        <v>2</v>
      </c>
      <c r="F882">
        <v>0.0172</v>
      </c>
      <c r="G882">
        <v>1</v>
      </c>
      <c r="H882">
        <v>0</v>
      </c>
      <c r="I882">
        <v>0</v>
      </c>
      <c r="J882">
        <v>0</v>
      </c>
      <c r="K882" t="s">
        <v>38</v>
      </c>
      <c r="L882">
        <v>0</v>
      </c>
    </row>
    <row r="883" spans="1:12">
      <c r="A883" s="71">
        <v>43425</v>
      </c>
      <c r="B883" t="s">
        <v>23</v>
      </c>
      <c r="C883">
        <v>11</v>
      </c>
      <c r="D883">
        <v>0.131</v>
      </c>
      <c r="E883">
        <v>14</v>
      </c>
      <c r="F883">
        <v>0.1207</v>
      </c>
      <c r="G883">
        <v>1</v>
      </c>
      <c r="H883">
        <v>0</v>
      </c>
      <c r="I883">
        <v>0</v>
      </c>
      <c r="J883">
        <v>0</v>
      </c>
      <c r="K883" t="s">
        <v>38</v>
      </c>
      <c r="L883">
        <v>0</v>
      </c>
    </row>
    <row r="884" spans="1:12">
      <c r="A884" s="71">
        <v>43425</v>
      </c>
      <c r="B884" t="s">
        <v>21</v>
      </c>
      <c r="C884">
        <v>7</v>
      </c>
      <c r="D884">
        <v>0.0833</v>
      </c>
      <c r="E884">
        <v>8</v>
      </c>
      <c r="F884">
        <v>0.069</v>
      </c>
      <c r="G884">
        <v>1</v>
      </c>
      <c r="H884">
        <v>0</v>
      </c>
      <c r="I884">
        <v>0</v>
      </c>
      <c r="J884">
        <v>0</v>
      </c>
      <c r="K884" t="s">
        <v>38</v>
      </c>
      <c r="L884">
        <v>0</v>
      </c>
    </row>
    <row r="885" spans="1:12">
      <c r="A885" s="71">
        <v>43425</v>
      </c>
      <c r="B885" t="s">
        <v>18</v>
      </c>
      <c r="C885">
        <v>7</v>
      </c>
      <c r="D885">
        <v>0.0833</v>
      </c>
      <c r="E885">
        <v>12</v>
      </c>
      <c r="F885">
        <v>0.1034</v>
      </c>
      <c r="G885">
        <v>1</v>
      </c>
      <c r="H885">
        <v>0</v>
      </c>
      <c r="I885">
        <v>0</v>
      </c>
      <c r="J885">
        <v>0</v>
      </c>
      <c r="K885" t="s">
        <v>38</v>
      </c>
      <c r="L885">
        <v>0</v>
      </c>
    </row>
    <row r="886" spans="1:12">
      <c r="A886" s="71">
        <v>43425</v>
      </c>
      <c r="B886" t="s">
        <v>26</v>
      </c>
      <c r="C886">
        <v>3</v>
      </c>
      <c r="D886">
        <v>0.0357</v>
      </c>
      <c r="E886">
        <v>6</v>
      </c>
      <c r="F886">
        <v>0.0517</v>
      </c>
      <c r="G886">
        <v>1</v>
      </c>
      <c r="H886">
        <v>0</v>
      </c>
      <c r="I886">
        <v>0</v>
      </c>
      <c r="J886">
        <v>0</v>
      </c>
      <c r="K886" t="s">
        <v>38</v>
      </c>
      <c r="L886">
        <v>0</v>
      </c>
    </row>
    <row r="887" spans="1:12">
      <c r="A887" s="71">
        <v>43425</v>
      </c>
      <c r="B887" t="s">
        <v>20</v>
      </c>
      <c r="C887">
        <v>1</v>
      </c>
      <c r="D887">
        <v>0.0119</v>
      </c>
      <c r="E887">
        <v>1</v>
      </c>
      <c r="F887">
        <v>0.0086</v>
      </c>
      <c r="G887">
        <v>0</v>
      </c>
      <c r="H887">
        <v>0</v>
      </c>
      <c r="I887">
        <v>0</v>
      </c>
      <c r="J887">
        <v>0</v>
      </c>
      <c r="K887" t="s">
        <v>38</v>
      </c>
      <c r="L887">
        <v>0</v>
      </c>
    </row>
    <row r="888" spans="1:12">
      <c r="A888" s="71">
        <v>43425</v>
      </c>
      <c r="B888" t="s">
        <v>22</v>
      </c>
      <c r="C888">
        <v>37</v>
      </c>
      <c r="D888">
        <v>0.4405</v>
      </c>
      <c r="E888">
        <v>50</v>
      </c>
      <c r="F888">
        <v>0.431</v>
      </c>
      <c r="G888">
        <v>1</v>
      </c>
      <c r="H888">
        <v>38</v>
      </c>
      <c r="I888">
        <v>1.027</v>
      </c>
      <c r="J888">
        <v>527.06</v>
      </c>
      <c r="K888" t="s">
        <v>44</v>
      </c>
      <c r="L888">
        <v>0.216216216216216</v>
      </c>
    </row>
    <row r="889" spans="1:12">
      <c r="A889" s="71">
        <v>43425</v>
      </c>
      <c r="B889" t="s">
        <v>24</v>
      </c>
      <c r="C889">
        <v>12</v>
      </c>
      <c r="D889">
        <v>0.1429</v>
      </c>
      <c r="E889">
        <v>14</v>
      </c>
      <c r="F889">
        <v>0.1207</v>
      </c>
      <c r="G889">
        <v>1</v>
      </c>
      <c r="H889">
        <v>1</v>
      </c>
      <c r="I889">
        <v>0.0833</v>
      </c>
      <c r="J889">
        <v>12.99</v>
      </c>
      <c r="K889" t="s">
        <v>39</v>
      </c>
      <c r="L889">
        <v>0.0833333333333333</v>
      </c>
    </row>
    <row r="890" spans="1:12">
      <c r="A890" s="71">
        <v>43426</v>
      </c>
      <c r="B890" t="s">
        <v>20</v>
      </c>
      <c r="C890">
        <v>1</v>
      </c>
      <c r="D890">
        <v>0.0122</v>
      </c>
      <c r="E890">
        <v>1</v>
      </c>
      <c r="F890">
        <v>0.0091</v>
      </c>
      <c r="G890">
        <v>1</v>
      </c>
      <c r="H890">
        <v>0</v>
      </c>
      <c r="I890">
        <v>0</v>
      </c>
      <c r="J890">
        <v>0</v>
      </c>
      <c r="K890" t="s">
        <v>38</v>
      </c>
      <c r="L890">
        <v>0</v>
      </c>
    </row>
    <row r="891" spans="1:12">
      <c r="A891" s="71">
        <v>43426</v>
      </c>
      <c r="B891" t="s">
        <v>26</v>
      </c>
      <c r="C891">
        <v>1</v>
      </c>
      <c r="D891">
        <v>0.0122</v>
      </c>
      <c r="E891">
        <v>1</v>
      </c>
      <c r="F891">
        <v>0.0091</v>
      </c>
      <c r="G891">
        <v>1</v>
      </c>
      <c r="H891">
        <v>0</v>
      </c>
      <c r="I891">
        <v>0</v>
      </c>
      <c r="J891">
        <v>0</v>
      </c>
      <c r="K891" t="s">
        <v>38</v>
      </c>
      <c r="L891">
        <v>0</v>
      </c>
    </row>
    <row r="892" spans="1:12">
      <c r="A892" s="71">
        <v>43426</v>
      </c>
      <c r="B892" t="s">
        <v>20</v>
      </c>
      <c r="C892">
        <v>1</v>
      </c>
      <c r="D892">
        <v>0.0122</v>
      </c>
      <c r="E892">
        <v>1</v>
      </c>
      <c r="F892">
        <v>0.0091</v>
      </c>
      <c r="G892">
        <v>1</v>
      </c>
      <c r="H892">
        <v>0</v>
      </c>
      <c r="I892">
        <v>0</v>
      </c>
      <c r="J892">
        <v>0</v>
      </c>
      <c r="K892" t="s">
        <v>38</v>
      </c>
      <c r="L892">
        <v>0</v>
      </c>
    </row>
    <row r="893" spans="1:12">
      <c r="A893" s="71">
        <v>43426</v>
      </c>
      <c r="B893" t="s">
        <v>20</v>
      </c>
      <c r="C893">
        <v>1</v>
      </c>
      <c r="D893">
        <v>0.0122</v>
      </c>
      <c r="E893">
        <v>1</v>
      </c>
      <c r="F893">
        <v>0.0091</v>
      </c>
      <c r="G893">
        <v>1</v>
      </c>
      <c r="H893">
        <v>0</v>
      </c>
      <c r="I893">
        <v>0</v>
      </c>
      <c r="J893">
        <v>0</v>
      </c>
      <c r="K893" t="s">
        <v>38</v>
      </c>
      <c r="L893">
        <v>0</v>
      </c>
    </row>
    <row r="894" spans="1:12">
      <c r="A894" s="71">
        <v>43426</v>
      </c>
      <c r="B894" t="s">
        <v>28</v>
      </c>
      <c r="C894">
        <v>1</v>
      </c>
      <c r="D894">
        <v>0.0122</v>
      </c>
      <c r="E894">
        <v>1</v>
      </c>
      <c r="F894">
        <v>0.0091</v>
      </c>
      <c r="G894">
        <v>1</v>
      </c>
      <c r="H894">
        <v>0</v>
      </c>
      <c r="I894">
        <v>0</v>
      </c>
      <c r="J894">
        <v>0</v>
      </c>
      <c r="K894" t="s">
        <v>38</v>
      </c>
      <c r="L894">
        <v>0</v>
      </c>
    </row>
    <row r="895" spans="1:12">
      <c r="A895" s="71">
        <v>43426</v>
      </c>
      <c r="B895" t="s">
        <v>25</v>
      </c>
      <c r="C895">
        <v>1</v>
      </c>
      <c r="D895">
        <v>0.0122</v>
      </c>
      <c r="E895">
        <v>2</v>
      </c>
      <c r="F895">
        <v>0.0182</v>
      </c>
      <c r="G895">
        <v>1</v>
      </c>
      <c r="H895">
        <v>0</v>
      </c>
      <c r="I895">
        <v>0</v>
      </c>
      <c r="J895">
        <v>0</v>
      </c>
      <c r="K895" t="s">
        <v>38</v>
      </c>
      <c r="L895">
        <v>0</v>
      </c>
    </row>
    <row r="896" spans="1:12">
      <c r="A896" s="71">
        <v>43426</v>
      </c>
      <c r="B896" t="s">
        <v>21</v>
      </c>
      <c r="C896">
        <v>2</v>
      </c>
      <c r="D896">
        <v>0.0244</v>
      </c>
      <c r="E896">
        <v>7</v>
      </c>
      <c r="F896">
        <v>0.0636</v>
      </c>
      <c r="G896">
        <v>1</v>
      </c>
      <c r="H896">
        <v>0</v>
      </c>
      <c r="I896">
        <v>0</v>
      </c>
      <c r="J896">
        <v>0</v>
      </c>
      <c r="K896" t="s">
        <v>38</v>
      </c>
      <c r="L896">
        <v>0</v>
      </c>
    </row>
    <row r="897" spans="1:12">
      <c r="A897" s="71">
        <v>43426</v>
      </c>
      <c r="B897" t="s">
        <v>18</v>
      </c>
      <c r="C897">
        <v>12</v>
      </c>
      <c r="D897">
        <v>0.1463</v>
      </c>
      <c r="E897">
        <v>13</v>
      </c>
      <c r="F897">
        <v>0.1182</v>
      </c>
      <c r="G897">
        <v>1</v>
      </c>
      <c r="H897">
        <v>0</v>
      </c>
      <c r="I897">
        <v>0</v>
      </c>
      <c r="J897">
        <v>0</v>
      </c>
      <c r="K897" t="s">
        <v>38</v>
      </c>
      <c r="L897">
        <v>0</v>
      </c>
    </row>
    <row r="898" spans="1:12">
      <c r="A898" s="71">
        <v>43426</v>
      </c>
      <c r="B898" t="s">
        <v>19</v>
      </c>
      <c r="C898">
        <v>3</v>
      </c>
      <c r="D898">
        <v>0.0366</v>
      </c>
      <c r="E898">
        <v>8</v>
      </c>
      <c r="F898">
        <v>0.0727</v>
      </c>
      <c r="G898">
        <v>1</v>
      </c>
      <c r="H898">
        <v>0</v>
      </c>
      <c r="I898">
        <v>0</v>
      </c>
      <c r="J898">
        <v>0</v>
      </c>
      <c r="K898" t="s">
        <v>38</v>
      </c>
      <c r="L898">
        <v>0</v>
      </c>
    </row>
    <row r="899" spans="1:12">
      <c r="A899" s="71">
        <v>43426</v>
      </c>
      <c r="B899" t="s">
        <v>22</v>
      </c>
      <c r="C899">
        <v>43</v>
      </c>
      <c r="D899">
        <v>0.5244</v>
      </c>
      <c r="E899">
        <v>58</v>
      </c>
      <c r="F899">
        <v>0.5273</v>
      </c>
      <c r="G899">
        <v>0.98</v>
      </c>
      <c r="H899">
        <v>6</v>
      </c>
      <c r="I899">
        <v>0.1395</v>
      </c>
      <c r="J899">
        <v>83.22</v>
      </c>
      <c r="K899" t="s">
        <v>45</v>
      </c>
      <c r="L899">
        <v>0.13953488372093</v>
      </c>
    </row>
    <row r="900" spans="1:12">
      <c r="A900" s="71">
        <v>43426</v>
      </c>
      <c r="B900" t="s">
        <v>24</v>
      </c>
      <c r="C900">
        <v>10</v>
      </c>
      <c r="D900">
        <v>0.122</v>
      </c>
      <c r="E900">
        <v>11</v>
      </c>
      <c r="F900">
        <v>0.1</v>
      </c>
      <c r="G900">
        <v>1</v>
      </c>
      <c r="H900">
        <v>2</v>
      </c>
      <c r="I900">
        <v>0.2</v>
      </c>
      <c r="J900">
        <v>25.98</v>
      </c>
      <c r="K900" t="s">
        <v>40</v>
      </c>
      <c r="L900">
        <v>0.2</v>
      </c>
    </row>
    <row r="901" spans="1:12">
      <c r="A901" s="71">
        <v>43426</v>
      </c>
      <c r="B901" t="s">
        <v>23</v>
      </c>
      <c r="C901">
        <v>6</v>
      </c>
      <c r="D901">
        <v>0.0732</v>
      </c>
      <c r="E901">
        <v>6</v>
      </c>
      <c r="F901">
        <v>0.0545</v>
      </c>
      <c r="G901">
        <v>1</v>
      </c>
      <c r="H901">
        <v>1</v>
      </c>
      <c r="I901">
        <v>0.1667</v>
      </c>
      <c r="J901">
        <v>11.99</v>
      </c>
      <c r="K901" t="s">
        <v>39</v>
      </c>
      <c r="L901">
        <v>0.166666666666667</v>
      </c>
    </row>
    <row r="902" spans="1:12">
      <c r="A902" s="71">
        <v>43427</v>
      </c>
      <c r="B902" t="s">
        <v>21</v>
      </c>
      <c r="C902">
        <v>1</v>
      </c>
      <c r="D902">
        <v>0.0033</v>
      </c>
      <c r="E902">
        <v>1</v>
      </c>
      <c r="F902">
        <v>0.0023</v>
      </c>
      <c r="G902">
        <v>1</v>
      </c>
      <c r="H902">
        <v>0</v>
      </c>
      <c r="I902">
        <v>0</v>
      </c>
      <c r="J902">
        <v>0</v>
      </c>
      <c r="K902" t="s">
        <v>38</v>
      </c>
      <c r="L902">
        <v>0</v>
      </c>
    </row>
    <row r="903" spans="1:12">
      <c r="A903" s="71">
        <v>43427</v>
      </c>
      <c r="B903" t="s">
        <v>19</v>
      </c>
      <c r="C903">
        <v>7</v>
      </c>
      <c r="D903">
        <v>0.0232</v>
      </c>
      <c r="E903">
        <v>14</v>
      </c>
      <c r="F903">
        <v>0.032</v>
      </c>
      <c r="G903">
        <v>1</v>
      </c>
      <c r="H903">
        <v>0</v>
      </c>
      <c r="I903">
        <v>0</v>
      </c>
      <c r="J903">
        <v>0</v>
      </c>
      <c r="K903" t="s">
        <v>38</v>
      </c>
      <c r="L903">
        <v>0</v>
      </c>
    </row>
    <row r="904" spans="1:12">
      <c r="A904" s="71">
        <v>43427</v>
      </c>
      <c r="B904" t="s">
        <v>18</v>
      </c>
      <c r="C904">
        <v>18</v>
      </c>
      <c r="D904">
        <v>0.0596</v>
      </c>
      <c r="E904">
        <v>31</v>
      </c>
      <c r="F904">
        <v>0.0709</v>
      </c>
      <c r="G904">
        <v>0.97</v>
      </c>
      <c r="H904">
        <v>0</v>
      </c>
      <c r="I904">
        <v>0</v>
      </c>
      <c r="J904">
        <v>0</v>
      </c>
      <c r="K904" t="s">
        <v>38</v>
      </c>
      <c r="L904">
        <v>0</v>
      </c>
    </row>
    <row r="905" spans="1:12">
      <c r="A905" s="71">
        <v>43427</v>
      </c>
      <c r="B905" t="s">
        <v>24</v>
      </c>
      <c r="C905">
        <v>14</v>
      </c>
      <c r="D905">
        <v>0.0464</v>
      </c>
      <c r="E905">
        <v>29</v>
      </c>
      <c r="F905">
        <v>0.0664</v>
      </c>
      <c r="G905">
        <v>0.97</v>
      </c>
      <c r="H905">
        <v>3</v>
      </c>
      <c r="I905">
        <v>0.2143</v>
      </c>
      <c r="J905">
        <v>38.97</v>
      </c>
      <c r="K905" t="s">
        <v>41</v>
      </c>
      <c r="L905">
        <v>0.214285714285714</v>
      </c>
    </row>
    <row r="906" spans="1:12">
      <c r="A906" s="71">
        <v>43427</v>
      </c>
      <c r="B906" t="s">
        <v>23</v>
      </c>
      <c r="C906">
        <v>12</v>
      </c>
      <c r="D906">
        <v>0.0397</v>
      </c>
      <c r="E906">
        <v>18</v>
      </c>
      <c r="F906">
        <v>0.0412</v>
      </c>
      <c r="G906">
        <v>1</v>
      </c>
      <c r="H906">
        <v>4</v>
      </c>
      <c r="I906">
        <v>0.3333</v>
      </c>
      <c r="J906">
        <v>47.96</v>
      </c>
      <c r="K906" t="s">
        <v>41</v>
      </c>
      <c r="L906">
        <v>0.25</v>
      </c>
    </row>
    <row r="907" spans="1:12">
      <c r="A907" s="71">
        <v>43427</v>
      </c>
      <c r="B907" t="s">
        <v>22</v>
      </c>
      <c r="C907">
        <v>250</v>
      </c>
      <c r="D907">
        <v>0.8278</v>
      </c>
      <c r="E907">
        <v>344</v>
      </c>
      <c r="F907">
        <v>0.7872</v>
      </c>
      <c r="G907">
        <v>1</v>
      </c>
      <c r="H907">
        <v>114</v>
      </c>
      <c r="I907">
        <v>0.456</v>
      </c>
      <c r="J907">
        <v>1581.18</v>
      </c>
      <c r="K907" t="s">
        <v>62</v>
      </c>
      <c r="L907">
        <v>0.444</v>
      </c>
    </row>
    <row r="908" spans="1:12">
      <c r="A908" s="71">
        <v>43428</v>
      </c>
      <c r="B908" t="s">
        <v>20</v>
      </c>
      <c r="C908">
        <v>1</v>
      </c>
      <c r="D908">
        <v>0.0103</v>
      </c>
      <c r="E908">
        <v>1</v>
      </c>
      <c r="F908">
        <v>0.0076</v>
      </c>
      <c r="G908">
        <v>1</v>
      </c>
      <c r="H908">
        <v>0</v>
      </c>
      <c r="I908">
        <v>0</v>
      </c>
      <c r="J908">
        <v>0</v>
      </c>
      <c r="K908" t="s">
        <v>38</v>
      </c>
      <c r="L908">
        <v>0</v>
      </c>
    </row>
    <row r="909" spans="1:12">
      <c r="A909" s="71">
        <v>43428</v>
      </c>
      <c r="B909" t="s">
        <v>19</v>
      </c>
      <c r="C909">
        <v>4</v>
      </c>
      <c r="D909">
        <v>0.0412</v>
      </c>
      <c r="E909">
        <v>6</v>
      </c>
      <c r="F909">
        <v>0.0458</v>
      </c>
      <c r="G909">
        <v>1</v>
      </c>
      <c r="H909">
        <v>0</v>
      </c>
      <c r="I909">
        <v>0</v>
      </c>
      <c r="J909">
        <v>0</v>
      </c>
      <c r="K909" t="s">
        <v>38</v>
      </c>
      <c r="L909">
        <v>0</v>
      </c>
    </row>
    <row r="910" spans="1:12">
      <c r="A910" s="71">
        <v>43428</v>
      </c>
      <c r="B910" t="s">
        <v>21</v>
      </c>
      <c r="C910">
        <v>3</v>
      </c>
      <c r="D910">
        <v>0.0309</v>
      </c>
      <c r="E910">
        <v>3</v>
      </c>
      <c r="F910">
        <v>0.0229</v>
      </c>
      <c r="G910">
        <v>1</v>
      </c>
      <c r="H910">
        <v>0</v>
      </c>
      <c r="I910">
        <v>0</v>
      </c>
      <c r="J910">
        <v>0</v>
      </c>
      <c r="K910" t="s">
        <v>38</v>
      </c>
      <c r="L910">
        <v>0</v>
      </c>
    </row>
    <row r="911" spans="1:12">
      <c r="A911" s="71">
        <v>43428</v>
      </c>
      <c r="B911" t="s">
        <v>22</v>
      </c>
      <c r="C911">
        <v>59</v>
      </c>
      <c r="D911">
        <v>0.6082</v>
      </c>
      <c r="E911">
        <v>85</v>
      </c>
      <c r="F911">
        <v>0.6489</v>
      </c>
      <c r="G911">
        <v>0.99</v>
      </c>
      <c r="H911">
        <v>7</v>
      </c>
      <c r="I911">
        <v>0.1186</v>
      </c>
      <c r="J911">
        <v>97.09</v>
      </c>
      <c r="K911" t="s">
        <v>46</v>
      </c>
      <c r="L911">
        <v>0.11864406779661</v>
      </c>
    </row>
    <row r="912" spans="1:12">
      <c r="A912" s="71">
        <v>43428</v>
      </c>
      <c r="B912" t="s">
        <v>18</v>
      </c>
      <c r="C912">
        <v>12</v>
      </c>
      <c r="D912">
        <v>0.1237</v>
      </c>
      <c r="E912">
        <v>14</v>
      </c>
      <c r="F912">
        <v>0.1069</v>
      </c>
      <c r="G912">
        <v>1</v>
      </c>
      <c r="H912">
        <v>2</v>
      </c>
      <c r="I912">
        <v>0.1667</v>
      </c>
      <c r="J912">
        <v>59.98</v>
      </c>
      <c r="K912" t="s">
        <v>40</v>
      </c>
      <c r="L912">
        <v>0.166666666666667</v>
      </c>
    </row>
    <row r="913" spans="1:12">
      <c r="A913" s="71">
        <v>43428</v>
      </c>
      <c r="B913" t="s">
        <v>23</v>
      </c>
      <c r="C913">
        <v>10</v>
      </c>
      <c r="D913">
        <v>0.1031</v>
      </c>
      <c r="E913">
        <v>13</v>
      </c>
      <c r="F913">
        <v>0.0992</v>
      </c>
      <c r="G913">
        <v>1</v>
      </c>
      <c r="H913">
        <v>2</v>
      </c>
      <c r="I913">
        <v>0.2</v>
      </c>
      <c r="J913">
        <v>23.98</v>
      </c>
      <c r="K913" t="s">
        <v>39</v>
      </c>
      <c r="L913">
        <v>0.1</v>
      </c>
    </row>
    <row r="914" spans="1:12">
      <c r="A914" s="71">
        <v>43428</v>
      </c>
      <c r="B914" t="s">
        <v>24</v>
      </c>
      <c r="C914">
        <v>8</v>
      </c>
      <c r="D914">
        <v>0.0825</v>
      </c>
      <c r="E914">
        <v>9</v>
      </c>
      <c r="F914">
        <v>0.0687</v>
      </c>
      <c r="G914">
        <v>1</v>
      </c>
      <c r="H914">
        <v>1</v>
      </c>
      <c r="I914">
        <v>0.125</v>
      </c>
      <c r="J914">
        <v>12.99</v>
      </c>
      <c r="K914" t="s">
        <v>39</v>
      </c>
      <c r="L914">
        <v>0.125</v>
      </c>
    </row>
    <row r="915" spans="1:12">
      <c r="A915" s="71">
        <v>43429</v>
      </c>
      <c r="B915" t="s">
        <v>21</v>
      </c>
      <c r="C915">
        <v>2</v>
      </c>
      <c r="D915">
        <v>0.0235</v>
      </c>
      <c r="E915">
        <v>2</v>
      </c>
      <c r="F915">
        <v>0.0187</v>
      </c>
      <c r="G915">
        <v>1</v>
      </c>
      <c r="H915">
        <v>0</v>
      </c>
      <c r="I915">
        <v>0</v>
      </c>
      <c r="J915">
        <v>0</v>
      </c>
      <c r="K915" t="s">
        <v>38</v>
      </c>
      <c r="L915">
        <v>0</v>
      </c>
    </row>
    <row r="916" spans="1:12">
      <c r="A916" s="71">
        <v>43429</v>
      </c>
      <c r="B916" t="s">
        <v>18</v>
      </c>
      <c r="C916">
        <v>9</v>
      </c>
      <c r="D916">
        <v>0.1059</v>
      </c>
      <c r="E916">
        <v>9</v>
      </c>
      <c r="F916">
        <v>0.0841</v>
      </c>
      <c r="G916">
        <v>1</v>
      </c>
      <c r="H916">
        <v>0</v>
      </c>
      <c r="I916">
        <v>0</v>
      </c>
      <c r="J916">
        <v>0</v>
      </c>
      <c r="K916" t="s">
        <v>38</v>
      </c>
      <c r="L916">
        <v>0</v>
      </c>
    </row>
    <row r="917" spans="1:12">
      <c r="A917" s="71">
        <v>43429</v>
      </c>
      <c r="B917" t="s">
        <v>25</v>
      </c>
      <c r="C917">
        <v>1</v>
      </c>
      <c r="D917">
        <v>0.0118</v>
      </c>
      <c r="E917">
        <v>1</v>
      </c>
      <c r="F917">
        <v>0.0093</v>
      </c>
      <c r="G917">
        <v>0</v>
      </c>
      <c r="H917">
        <v>0</v>
      </c>
      <c r="I917">
        <v>0</v>
      </c>
      <c r="J917">
        <v>0</v>
      </c>
      <c r="K917" t="s">
        <v>38</v>
      </c>
      <c r="L917">
        <v>0</v>
      </c>
    </row>
    <row r="918" spans="1:12">
      <c r="A918" s="71">
        <v>43429</v>
      </c>
      <c r="B918" t="s">
        <v>24</v>
      </c>
      <c r="C918">
        <v>10</v>
      </c>
      <c r="D918">
        <v>0.1176</v>
      </c>
      <c r="E918">
        <v>15</v>
      </c>
      <c r="F918">
        <v>0.1402</v>
      </c>
      <c r="G918">
        <v>0.93</v>
      </c>
      <c r="H918">
        <v>1</v>
      </c>
      <c r="I918">
        <v>0.1</v>
      </c>
      <c r="J918">
        <v>12.99</v>
      </c>
      <c r="K918" t="s">
        <v>39</v>
      </c>
      <c r="L918">
        <v>0.1</v>
      </c>
    </row>
    <row r="919" spans="1:12">
      <c r="A919" s="71">
        <v>43429</v>
      </c>
      <c r="B919" t="s">
        <v>23</v>
      </c>
      <c r="C919">
        <v>6</v>
      </c>
      <c r="D919">
        <v>0.0706</v>
      </c>
      <c r="E919">
        <v>8</v>
      </c>
      <c r="F919">
        <v>0.0748</v>
      </c>
      <c r="G919">
        <v>0.88</v>
      </c>
      <c r="H919">
        <v>5</v>
      </c>
      <c r="I919">
        <v>0.8333</v>
      </c>
      <c r="J919">
        <v>59.95</v>
      </c>
      <c r="K919" t="s">
        <v>40</v>
      </c>
      <c r="L919">
        <v>0.333333333333333</v>
      </c>
    </row>
    <row r="920" spans="1:12">
      <c r="A920" s="71">
        <v>43429</v>
      </c>
      <c r="B920" t="s">
        <v>22</v>
      </c>
      <c r="C920">
        <v>54</v>
      </c>
      <c r="D920">
        <v>0.6353</v>
      </c>
      <c r="E920">
        <v>69</v>
      </c>
      <c r="F920">
        <v>0.6449</v>
      </c>
      <c r="G920">
        <v>1</v>
      </c>
      <c r="H920">
        <v>12</v>
      </c>
      <c r="I920">
        <v>0.2222</v>
      </c>
      <c r="J920">
        <v>166.44</v>
      </c>
      <c r="K920" t="s">
        <v>54</v>
      </c>
      <c r="L920">
        <v>0.203703703703704</v>
      </c>
    </row>
    <row r="921" spans="1:12">
      <c r="A921" s="71">
        <v>43429</v>
      </c>
      <c r="B921" t="s">
        <v>19</v>
      </c>
      <c r="C921">
        <v>3</v>
      </c>
      <c r="D921">
        <v>0.0353</v>
      </c>
      <c r="E921">
        <v>3</v>
      </c>
      <c r="F921">
        <v>0.028</v>
      </c>
      <c r="G921">
        <v>1</v>
      </c>
      <c r="H921">
        <v>1</v>
      </c>
      <c r="I921">
        <v>0.3333</v>
      </c>
      <c r="J921">
        <v>16.97</v>
      </c>
      <c r="K921" t="s">
        <v>39</v>
      </c>
      <c r="L921">
        <v>0.333333333333333</v>
      </c>
    </row>
    <row r="922" spans="1:12">
      <c r="A922" s="71">
        <v>43430</v>
      </c>
      <c r="B922" t="s">
        <v>20</v>
      </c>
      <c r="C922">
        <v>1</v>
      </c>
      <c r="D922">
        <v>0.0069</v>
      </c>
      <c r="E922">
        <v>1</v>
      </c>
      <c r="F922">
        <v>0.0048</v>
      </c>
      <c r="G922">
        <v>1</v>
      </c>
      <c r="H922">
        <v>0</v>
      </c>
      <c r="I922">
        <v>0</v>
      </c>
      <c r="J922">
        <v>0</v>
      </c>
      <c r="K922" t="s">
        <v>38</v>
      </c>
      <c r="L922">
        <v>0</v>
      </c>
    </row>
    <row r="923" spans="1:12">
      <c r="A923" s="71">
        <v>43430</v>
      </c>
      <c r="B923" t="s">
        <v>23</v>
      </c>
      <c r="C923">
        <v>14</v>
      </c>
      <c r="D923">
        <v>0.0966</v>
      </c>
      <c r="E923">
        <v>17</v>
      </c>
      <c r="F923">
        <v>0.0821</v>
      </c>
      <c r="G923">
        <v>1</v>
      </c>
      <c r="H923">
        <v>0</v>
      </c>
      <c r="I923">
        <v>0</v>
      </c>
      <c r="J923">
        <v>0</v>
      </c>
      <c r="K923" t="s">
        <v>38</v>
      </c>
      <c r="L923">
        <v>0</v>
      </c>
    </row>
    <row r="924" spans="1:12">
      <c r="A924" s="71">
        <v>43430</v>
      </c>
      <c r="B924" t="s">
        <v>24</v>
      </c>
      <c r="C924">
        <v>18</v>
      </c>
      <c r="D924">
        <v>0.1241</v>
      </c>
      <c r="E924">
        <v>27</v>
      </c>
      <c r="F924">
        <v>0.1304</v>
      </c>
      <c r="G924">
        <v>1</v>
      </c>
      <c r="H924">
        <v>6</v>
      </c>
      <c r="I924">
        <v>0.3333</v>
      </c>
      <c r="J924">
        <v>77.94</v>
      </c>
      <c r="K924" t="s">
        <v>45</v>
      </c>
      <c r="L924">
        <v>0.333333333333333</v>
      </c>
    </row>
    <row r="925" spans="1:12">
      <c r="A925" s="71">
        <v>43430</v>
      </c>
      <c r="B925" t="s">
        <v>19</v>
      </c>
      <c r="C925">
        <v>6</v>
      </c>
      <c r="D925">
        <v>0.0414</v>
      </c>
      <c r="E925">
        <v>11</v>
      </c>
      <c r="F925">
        <v>0.0531</v>
      </c>
      <c r="G925">
        <v>1</v>
      </c>
      <c r="H925">
        <v>2</v>
      </c>
      <c r="I925">
        <v>0.3333</v>
      </c>
      <c r="J925">
        <v>33.94</v>
      </c>
      <c r="K925" t="s">
        <v>40</v>
      </c>
      <c r="L925">
        <v>0.333333333333333</v>
      </c>
    </row>
    <row r="926" spans="1:12">
      <c r="A926" s="71">
        <v>43430</v>
      </c>
      <c r="B926" t="s">
        <v>22</v>
      </c>
      <c r="C926">
        <v>101</v>
      </c>
      <c r="D926">
        <v>0.6966</v>
      </c>
      <c r="E926">
        <v>145</v>
      </c>
      <c r="F926">
        <v>0.7005</v>
      </c>
      <c r="G926">
        <v>1</v>
      </c>
      <c r="H926">
        <v>31</v>
      </c>
      <c r="I926">
        <v>0.3069</v>
      </c>
      <c r="J926">
        <v>429.97</v>
      </c>
      <c r="K926" t="s">
        <v>63</v>
      </c>
      <c r="L926">
        <v>0.267326732673267</v>
      </c>
    </row>
    <row r="927" spans="1:12">
      <c r="A927" s="71">
        <v>43430</v>
      </c>
      <c r="B927" t="s">
        <v>18</v>
      </c>
      <c r="C927">
        <v>5</v>
      </c>
      <c r="D927">
        <v>0.0345</v>
      </c>
      <c r="E927">
        <v>6</v>
      </c>
      <c r="F927">
        <v>0.029</v>
      </c>
      <c r="G927">
        <v>1</v>
      </c>
      <c r="H927">
        <v>1</v>
      </c>
      <c r="I927">
        <v>0.2</v>
      </c>
      <c r="J927">
        <v>29.99</v>
      </c>
      <c r="K927" t="s">
        <v>39</v>
      </c>
      <c r="L927">
        <v>0.2</v>
      </c>
    </row>
    <row r="928" spans="1:12">
      <c r="A928" s="71">
        <v>43431</v>
      </c>
      <c r="B928" t="s">
        <v>27</v>
      </c>
      <c r="C928">
        <v>1</v>
      </c>
      <c r="D928">
        <v>0.0064</v>
      </c>
      <c r="E928">
        <v>2</v>
      </c>
      <c r="F928">
        <v>0.0101</v>
      </c>
      <c r="G928">
        <v>1</v>
      </c>
      <c r="H928">
        <v>0</v>
      </c>
      <c r="I928">
        <v>0</v>
      </c>
      <c r="J928">
        <v>0</v>
      </c>
      <c r="K928" t="s">
        <v>38</v>
      </c>
      <c r="L928">
        <v>0</v>
      </c>
    </row>
    <row r="929" spans="1:12">
      <c r="A929" s="71">
        <v>43431</v>
      </c>
      <c r="B929" t="s">
        <v>21</v>
      </c>
      <c r="C929">
        <v>2</v>
      </c>
      <c r="D929">
        <v>0.0127</v>
      </c>
      <c r="E929">
        <v>2</v>
      </c>
      <c r="F929">
        <v>0.0101</v>
      </c>
      <c r="G929">
        <v>1</v>
      </c>
      <c r="H929">
        <v>0</v>
      </c>
      <c r="I929">
        <v>0</v>
      </c>
      <c r="J929">
        <v>0</v>
      </c>
      <c r="K929" t="s">
        <v>38</v>
      </c>
      <c r="L929">
        <v>0</v>
      </c>
    </row>
    <row r="930" spans="1:12">
      <c r="A930" s="71">
        <v>43431</v>
      </c>
      <c r="B930" t="s">
        <v>24</v>
      </c>
      <c r="C930">
        <v>10</v>
      </c>
      <c r="D930">
        <v>0.0637</v>
      </c>
      <c r="E930">
        <v>10</v>
      </c>
      <c r="F930">
        <v>0.0505</v>
      </c>
      <c r="G930">
        <v>1</v>
      </c>
      <c r="H930">
        <v>0</v>
      </c>
      <c r="I930">
        <v>0</v>
      </c>
      <c r="J930">
        <v>0</v>
      </c>
      <c r="K930" t="s">
        <v>38</v>
      </c>
      <c r="L930">
        <v>0</v>
      </c>
    </row>
    <row r="931" spans="1:12">
      <c r="A931" s="71">
        <v>43431</v>
      </c>
      <c r="B931" t="s">
        <v>19</v>
      </c>
      <c r="C931">
        <v>6</v>
      </c>
      <c r="D931">
        <v>0.0382</v>
      </c>
      <c r="E931">
        <v>7</v>
      </c>
      <c r="F931">
        <v>0.0354</v>
      </c>
      <c r="G931">
        <v>1</v>
      </c>
      <c r="H931">
        <v>0</v>
      </c>
      <c r="I931">
        <v>0</v>
      </c>
      <c r="J931">
        <v>0</v>
      </c>
      <c r="K931" t="s">
        <v>38</v>
      </c>
      <c r="L931">
        <v>0</v>
      </c>
    </row>
    <row r="932" spans="1:12">
      <c r="A932" s="71">
        <v>43431</v>
      </c>
      <c r="B932" t="s">
        <v>25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1</v>
      </c>
      <c r="I932">
        <v>0</v>
      </c>
      <c r="J932">
        <v>40.98</v>
      </c>
      <c r="K932" t="s">
        <v>39</v>
      </c>
      <c r="L932">
        <v>0</v>
      </c>
    </row>
    <row r="933" spans="1:12">
      <c r="A933" s="71">
        <v>43431</v>
      </c>
      <c r="B933" t="s">
        <v>22</v>
      </c>
      <c r="C933">
        <v>125</v>
      </c>
      <c r="D933">
        <v>0.7962</v>
      </c>
      <c r="E933">
        <v>161</v>
      </c>
      <c r="F933">
        <v>0.8131</v>
      </c>
      <c r="G933">
        <v>1</v>
      </c>
      <c r="H933">
        <v>25</v>
      </c>
      <c r="I933">
        <v>0.2</v>
      </c>
      <c r="J933">
        <v>346.75</v>
      </c>
      <c r="K933" t="s">
        <v>64</v>
      </c>
      <c r="L933">
        <v>0.184</v>
      </c>
    </row>
    <row r="934" spans="1:12">
      <c r="A934" s="71">
        <v>43431</v>
      </c>
      <c r="B934" t="s">
        <v>18</v>
      </c>
      <c r="C934">
        <v>8</v>
      </c>
      <c r="D934">
        <v>0.051</v>
      </c>
      <c r="E934">
        <v>9</v>
      </c>
      <c r="F934">
        <v>0.0455</v>
      </c>
      <c r="G934">
        <v>1</v>
      </c>
      <c r="H934">
        <v>1</v>
      </c>
      <c r="I934">
        <v>0.125</v>
      </c>
      <c r="J934">
        <v>29.99</v>
      </c>
      <c r="K934" t="s">
        <v>39</v>
      </c>
      <c r="L934">
        <v>0.125</v>
      </c>
    </row>
    <row r="935" spans="1:12">
      <c r="A935" s="71">
        <v>43431</v>
      </c>
      <c r="B935" t="s">
        <v>23</v>
      </c>
      <c r="C935">
        <v>5</v>
      </c>
      <c r="D935">
        <v>0.0318</v>
      </c>
      <c r="E935">
        <v>7</v>
      </c>
      <c r="F935">
        <v>0.0354</v>
      </c>
      <c r="G935">
        <v>1</v>
      </c>
      <c r="H935">
        <v>1</v>
      </c>
      <c r="I935">
        <v>0.2</v>
      </c>
      <c r="J935">
        <v>11.99</v>
      </c>
      <c r="K935" t="s">
        <v>39</v>
      </c>
      <c r="L935">
        <v>0.2</v>
      </c>
    </row>
    <row r="936" spans="1:12">
      <c r="A936" s="71">
        <v>43432</v>
      </c>
      <c r="B936" t="s">
        <v>25</v>
      </c>
      <c r="C936">
        <v>1</v>
      </c>
      <c r="D936">
        <v>0.0114</v>
      </c>
      <c r="E936">
        <v>1</v>
      </c>
      <c r="F936">
        <v>0.0088</v>
      </c>
      <c r="G936">
        <v>1</v>
      </c>
      <c r="H936">
        <v>0</v>
      </c>
      <c r="I936">
        <v>0</v>
      </c>
      <c r="J936">
        <v>0</v>
      </c>
      <c r="K936" t="s">
        <v>38</v>
      </c>
      <c r="L936">
        <v>0</v>
      </c>
    </row>
    <row r="937" spans="1:12">
      <c r="A937" s="71">
        <v>43432</v>
      </c>
      <c r="B937" t="s">
        <v>27</v>
      </c>
      <c r="C937">
        <v>1</v>
      </c>
      <c r="D937">
        <v>0.0114</v>
      </c>
      <c r="E937">
        <v>1</v>
      </c>
      <c r="F937">
        <v>0.0088</v>
      </c>
      <c r="G937">
        <v>1</v>
      </c>
      <c r="H937">
        <v>0</v>
      </c>
      <c r="I937">
        <v>0</v>
      </c>
      <c r="J937">
        <v>0</v>
      </c>
      <c r="K937" t="s">
        <v>38</v>
      </c>
      <c r="L937">
        <v>0</v>
      </c>
    </row>
    <row r="938" spans="1:12">
      <c r="A938" s="71">
        <v>43432</v>
      </c>
      <c r="B938" t="s">
        <v>20</v>
      </c>
      <c r="C938">
        <v>2</v>
      </c>
      <c r="D938">
        <v>0.0227</v>
      </c>
      <c r="E938">
        <v>2</v>
      </c>
      <c r="F938">
        <v>0.0175</v>
      </c>
      <c r="G938">
        <v>1</v>
      </c>
      <c r="H938">
        <v>0</v>
      </c>
      <c r="I938">
        <v>0</v>
      </c>
      <c r="J938">
        <v>0</v>
      </c>
      <c r="K938" t="s">
        <v>38</v>
      </c>
      <c r="L938">
        <v>0</v>
      </c>
    </row>
    <row r="939" spans="1:12">
      <c r="A939" s="71">
        <v>43432</v>
      </c>
      <c r="B939" t="s">
        <v>24</v>
      </c>
      <c r="C939">
        <v>7</v>
      </c>
      <c r="D939">
        <v>0.0795</v>
      </c>
      <c r="E939">
        <v>8</v>
      </c>
      <c r="F939">
        <v>0.0702</v>
      </c>
      <c r="G939">
        <v>1</v>
      </c>
      <c r="H939">
        <v>0</v>
      </c>
      <c r="I939">
        <v>0</v>
      </c>
      <c r="J939">
        <v>0</v>
      </c>
      <c r="K939" t="s">
        <v>38</v>
      </c>
      <c r="L939">
        <v>0</v>
      </c>
    </row>
    <row r="940" spans="1:12">
      <c r="A940" s="71">
        <v>43432</v>
      </c>
      <c r="B940" t="s">
        <v>18</v>
      </c>
      <c r="C940">
        <v>6</v>
      </c>
      <c r="D940">
        <v>0.0682</v>
      </c>
      <c r="E940">
        <v>9</v>
      </c>
      <c r="F940">
        <v>0.0789</v>
      </c>
      <c r="G940">
        <v>1</v>
      </c>
      <c r="H940">
        <v>0</v>
      </c>
      <c r="I940">
        <v>0</v>
      </c>
      <c r="J940">
        <v>0</v>
      </c>
      <c r="K940" t="s">
        <v>38</v>
      </c>
      <c r="L940">
        <v>0</v>
      </c>
    </row>
    <row r="941" spans="1:12">
      <c r="A941" s="71">
        <v>43432</v>
      </c>
      <c r="B941" t="s">
        <v>19</v>
      </c>
      <c r="C941">
        <v>5</v>
      </c>
      <c r="D941">
        <v>0.0568</v>
      </c>
      <c r="E941">
        <v>6</v>
      </c>
      <c r="F941">
        <v>0.0526</v>
      </c>
      <c r="G941">
        <v>1</v>
      </c>
      <c r="H941">
        <v>0</v>
      </c>
      <c r="I941">
        <v>0</v>
      </c>
      <c r="J941">
        <v>0</v>
      </c>
      <c r="K941" t="s">
        <v>38</v>
      </c>
      <c r="L941">
        <v>0</v>
      </c>
    </row>
    <row r="942" spans="1:12">
      <c r="A942" s="71">
        <v>43432</v>
      </c>
      <c r="B942" t="s">
        <v>21</v>
      </c>
      <c r="C942">
        <v>4</v>
      </c>
      <c r="D942">
        <v>0.0455</v>
      </c>
      <c r="E942">
        <v>4</v>
      </c>
      <c r="F942">
        <v>0.0351</v>
      </c>
      <c r="G942">
        <v>1</v>
      </c>
      <c r="H942">
        <v>0</v>
      </c>
      <c r="I942">
        <v>0</v>
      </c>
      <c r="J942">
        <v>0</v>
      </c>
      <c r="K942" t="s">
        <v>38</v>
      </c>
      <c r="L942">
        <v>0</v>
      </c>
    </row>
    <row r="943" spans="1:12">
      <c r="A943" s="71">
        <v>43432</v>
      </c>
      <c r="B943" t="s">
        <v>23</v>
      </c>
      <c r="C943">
        <v>9</v>
      </c>
      <c r="D943">
        <v>0.1023</v>
      </c>
      <c r="E943">
        <v>9</v>
      </c>
      <c r="F943">
        <v>0.0789</v>
      </c>
      <c r="G943">
        <v>1</v>
      </c>
      <c r="H943">
        <v>4</v>
      </c>
      <c r="I943">
        <v>0.4444</v>
      </c>
      <c r="J943">
        <v>47.96</v>
      </c>
      <c r="K943" t="s">
        <v>40</v>
      </c>
      <c r="L943">
        <v>0.222222222222222</v>
      </c>
    </row>
    <row r="944" spans="1:12">
      <c r="A944" s="71">
        <v>43432</v>
      </c>
      <c r="B944" t="s">
        <v>22</v>
      </c>
      <c r="C944">
        <v>53</v>
      </c>
      <c r="D944">
        <v>0.6023</v>
      </c>
      <c r="E944">
        <v>74</v>
      </c>
      <c r="F944">
        <v>0.6491</v>
      </c>
      <c r="G944">
        <v>1</v>
      </c>
      <c r="H944">
        <v>21</v>
      </c>
      <c r="I944">
        <v>0.3962</v>
      </c>
      <c r="J944">
        <v>291.27</v>
      </c>
      <c r="K944" t="s">
        <v>50</v>
      </c>
      <c r="L944">
        <v>0.283018867924528</v>
      </c>
    </row>
    <row r="945" spans="1:12">
      <c r="A945" s="71">
        <v>43433</v>
      </c>
      <c r="B945" t="s">
        <v>20</v>
      </c>
      <c r="C945">
        <v>1</v>
      </c>
      <c r="D945">
        <v>0.0095</v>
      </c>
      <c r="E945">
        <v>1</v>
      </c>
      <c r="F945">
        <v>0.0074</v>
      </c>
      <c r="G945">
        <v>1</v>
      </c>
      <c r="H945">
        <v>0</v>
      </c>
      <c r="I945">
        <v>0</v>
      </c>
      <c r="J945">
        <v>0</v>
      </c>
      <c r="K945" t="s">
        <v>38</v>
      </c>
      <c r="L945">
        <v>0</v>
      </c>
    </row>
    <row r="946" spans="1:12">
      <c r="A946" s="71">
        <v>43433</v>
      </c>
      <c r="B946" t="s">
        <v>25</v>
      </c>
      <c r="C946">
        <v>2</v>
      </c>
      <c r="D946">
        <v>0.019</v>
      </c>
      <c r="E946">
        <v>2</v>
      </c>
      <c r="F946">
        <v>0.0147</v>
      </c>
      <c r="G946">
        <v>1</v>
      </c>
      <c r="H946">
        <v>0</v>
      </c>
      <c r="I946">
        <v>0</v>
      </c>
      <c r="J946">
        <v>0</v>
      </c>
      <c r="K946" t="s">
        <v>38</v>
      </c>
      <c r="L946">
        <v>0</v>
      </c>
    </row>
    <row r="947" spans="1:12">
      <c r="A947" s="71">
        <v>43433</v>
      </c>
      <c r="B947" t="s">
        <v>27</v>
      </c>
      <c r="C947">
        <v>2</v>
      </c>
      <c r="D947">
        <v>0.019</v>
      </c>
      <c r="E947">
        <v>2</v>
      </c>
      <c r="F947">
        <v>0.0147</v>
      </c>
      <c r="G947">
        <v>1</v>
      </c>
      <c r="H947">
        <v>0</v>
      </c>
      <c r="I947">
        <v>0</v>
      </c>
      <c r="J947">
        <v>0</v>
      </c>
      <c r="K947" t="s">
        <v>38</v>
      </c>
      <c r="L947">
        <v>0</v>
      </c>
    </row>
    <row r="948" spans="1:12">
      <c r="A948" s="71">
        <v>43433</v>
      </c>
      <c r="B948" t="s">
        <v>24</v>
      </c>
      <c r="C948">
        <v>12</v>
      </c>
      <c r="D948">
        <v>0.1143</v>
      </c>
      <c r="E948">
        <v>15</v>
      </c>
      <c r="F948">
        <v>0.1103</v>
      </c>
      <c r="G948">
        <v>1</v>
      </c>
      <c r="H948">
        <v>0</v>
      </c>
      <c r="I948">
        <v>0</v>
      </c>
      <c r="J948">
        <v>0</v>
      </c>
      <c r="K948" t="s">
        <v>38</v>
      </c>
      <c r="L948">
        <v>0</v>
      </c>
    </row>
    <row r="949" spans="1:12">
      <c r="A949" s="71">
        <v>43433</v>
      </c>
      <c r="B949" t="s">
        <v>21</v>
      </c>
      <c r="C949">
        <v>9</v>
      </c>
      <c r="D949">
        <v>0.0857</v>
      </c>
      <c r="E949">
        <v>13</v>
      </c>
      <c r="F949">
        <v>0.0956</v>
      </c>
      <c r="G949">
        <v>1</v>
      </c>
      <c r="H949">
        <v>0</v>
      </c>
      <c r="I949">
        <v>0</v>
      </c>
      <c r="J949">
        <v>0</v>
      </c>
      <c r="K949" t="s">
        <v>38</v>
      </c>
      <c r="L949">
        <v>0</v>
      </c>
    </row>
    <row r="950" spans="1:12">
      <c r="A950" s="71">
        <v>43433</v>
      </c>
      <c r="B950" t="s">
        <v>19</v>
      </c>
      <c r="C950">
        <v>4</v>
      </c>
      <c r="D950">
        <v>0.0381</v>
      </c>
      <c r="E950">
        <v>6</v>
      </c>
      <c r="F950">
        <v>0.0441</v>
      </c>
      <c r="G950">
        <v>1</v>
      </c>
      <c r="H950">
        <v>0</v>
      </c>
      <c r="I950">
        <v>0</v>
      </c>
      <c r="J950">
        <v>0</v>
      </c>
      <c r="K950" t="s">
        <v>38</v>
      </c>
      <c r="L950">
        <v>0</v>
      </c>
    </row>
    <row r="951" spans="1:12">
      <c r="A951" s="71">
        <v>43433</v>
      </c>
      <c r="B951" t="s">
        <v>22</v>
      </c>
      <c r="C951">
        <v>61</v>
      </c>
      <c r="D951">
        <v>0.581</v>
      </c>
      <c r="E951">
        <v>76</v>
      </c>
      <c r="F951">
        <v>0.5588</v>
      </c>
      <c r="G951">
        <v>0.99</v>
      </c>
      <c r="H951">
        <v>16</v>
      </c>
      <c r="I951">
        <v>0.2623</v>
      </c>
      <c r="J951">
        <v>221.92</v>
      </c>
      <c r="K951" t="s">
        <v>53</v>
      </c>
      <c r="L951">
        <v>0.213114754098361</v>
      </c>
    </row>
    <row r="952" spans="1:12">
      <c r="A952" s="71">
        <v>43433</v>
      </c>
      <c r="B952" t="s">
        <v>23</v>
      </c>
      <c r="C952">
        <v>10</v>
      </c>
      <c r="D952">
        <v>0.0952</v>
      </c>
      <c r="E952">
        <v>16</v>
      </c>
      <c r="F952">
        <v>0.1176</v>
      </c>
      <c r="G952">
        <v>1</v>
      </c>
      <c r="H952">
        <v>3</v>
      </c>
      <c r="I952">
        <v>0.3</v>
      </c>
      <c r="J952">
        <v>35.97</v>
      </c>
      <c r="K952" t="s">
        <v>39</v>
      </c>
      <c r="L952">
        <v>0.1</v>
      </c>
    </row>
    <row r="953" spans="1:12">
      <c r="A953" s="71">
        <v>43433</v>
      </c>
      <c r="B953" t="s">
        <v>18</v>
      </c>
      <c r="C953">
        <v>4</v>
      </c>
      <c r="D953">
        <v>0.0381</v>
      </c>
      <c r="E953">
        <v>5</v>
      </c>
      <c r="F953">
        <v>0.0368</v>
      </c>
      <c r="G953">
        <v>1</v>
      </c>
      <c r="H953">
        <v>1</v>
      </c>
      <c r="I953">
        <v>0.25</v>
      </c>
      <c r="J953">
        <v>29.99</v>
      </c>
      <c r="K953" t="s">
        <v>39</v>
      </c>
      <c r="L953">
        <v>0.25</v>
      </c>
    </row>
    <row r="954" spans="1:12">
      <c r="A954" s="71">
        <v>43434</v>
      </c>
      <c r="B954" t="s">
        <v>25</v>
      </c>
      <c r="C954">
        <v>1</v>
      </c>
      <c r="D954">
        <v>0.0098</v>
      </c>
      <c r="E954">
        <v>1</v>
      </c>
      <c r="F954">
        <v>0.0072</v>
      </c>
      <c r="G954">
        <v>1</v>
      </c>
      <c r="H954">
        <v>0</v>
      </c>
      <c r="I954">
        <v>0</v>
      </c>
      <c r="J954">
        <v>0</v>
      </c>
      <c r="K954" t="s">
        <v>38</v>
      </c>
      <c r="L954">
        <v>0</v>
      </c>
    </row>
    <row r="955" spans="1:12">
      <c r="A955" s="71">
        <v>43434</v>
      </c>
      <c r="B955" t="s">
        <v>27</v>
      </c>
      <c r="C955">
        <v>12</v>
      </c>
      <c r="D955">
        <v>0.1176</v>
      </c>
      <c r="E955">
        <v>16</v>
      </c>
      <c r="F955">
        <v>0.1151</v>
      </c>
      <c r="G955">
        <v>1</v>
      </c>
      <c r="H955">
        <v>0</v>
      </c>
      <c r="I955">
        <v>0</v>
      </c>
      <c r="J955">
        <v>0</v>
      </c>
      <c r="K955" t="s">
        <v>38</v>
      </c>
      <c r="L955">
        <v>0</v>
      </c>
    </row>
    <row r="956" spans="1:12">
      <c r="A956" s="71">
        <v>43434</v>
      </c>
      <c r="B956" t="s">
        <v>23</v>
      </c>
      <c r="C956">
        <v>10</v>
      </c>
      <c r="D956">
        <v>0.098</v>
      </c>
      <c r="E956">
        <v>12</v>
      </c>
      <c r="F956">
        <v>0.0863</v>
      </c>
      <c r="G956">
        <v>1</v>
      </c>
      <c r="H956">
        <v>0</v>
      </c>
      <c r="I956">
        <v>0</v>
      </c>
      <c r="J956">
        <v>0</v>
      </c>
      <c r="K956" t="s">
        <v>38</v>
      </c>
      <c r="L956">
        <v>0</v>
      </c>
    </row>
    <row r="957" spans="1:12">
      <c r="A957" s="71">
        <v>43434</v>
      </c>
      <c r="B957" t="s">
        <v>18</v>
      </c>
      <c r="C957">
        <v>6</v>
      </c>
      <c r="D957">
        <v>0.0588</v>
      </c>
      <c r="E957">
        <v>6</v>
      </c>
      <c r="F957">
        <v>0.0432</v>
      </c>
      <c r="G957">
        <v>1</v>
      </c>
      <c r="H957">
        <v>0</v>
      </c>
      <c r="I957">
        <v>0</v>
      </c>
      <c r="J957">
        <v>0</v>
      </c>
      <c r="K957" t="s">
        <v>38</v>
      </c>
      <c r="L957">
        <v>0</v>
      </c>
    </row>
    <row r="958" spans="1:12">
      <c r="A958" s="71">
        <v>43434</v>
      </c>
      <c r="B958" t="s">
        <v>21</v>
      </c>
      <c r="C958">
        <v>4</v>
      </c>
      <c r="D958">
        <v>0.0392</v>
      </c>
      <c r="E958">
        <v>6</v>
      </c>
      <c r="F958">
        <v>0.0432</v>
      </c>
      <c r="G958">
        <v>1</v>
      </c>
      <c r="H958">
        <v>0</v>
      </c>
      <c r="I958">
        <v>0</v>
      </c>
      <c r="J958">
        <v>0</v>
      </c>
      <c r="K958" t="s">
        <v>38</v>
      </c>
      <c r="L958">
        <v>0</v>
      </c>
    </row>
    <row r="959" spans="1:12">
      <c r="A959" s="71">
        <v>43434</v>
      </c>
      <c r="B959" t="s">
        <v>19</v>
      </c>
      <c r="C959">
        <v>3</v>
      </c>
      <c r="D959">
        <v>0.0294</v>
      </c>
      <c r="E959">
        <v>9</v>
      </c>
      <c r="F959">
        <v>0.0647</v>
      </c>
      <c r="G959">
        <v>1</v>
      </c>
      <c r="H959">
        <v>0</v>
      </c>
      <c r="I959">
        <v>0</v>
      </c>
      <c r="J959">
        <v>0</v>
      </c>
      <c r="K959" t="s">
        <v>38</v>
      </c>
      <c r="L959">
        <v>0</v>
      </c>
    </row>
    <row r="960" spans="1:12">
      <c r="A960" s="71">
        <v>43434</v>
      </c>
      <c r="B960" t="s">
        <v>22</v>
      </c>
      <c r="C960">
        <v>54</v>
      </c>
      <c r="D960">
        <v>0.5294</v>
      </c>
      <c r="E960">
        <v>75</v>
      </c>
      <c r="F960">
        <v>0.5396</v>
      </c>
      <c r="G960">
        <v>0.99</v>
      </c>
      <c r="H960">
        <v>18</v>
      </c>
      <c r="I960">
        <v>0.3333</v>
      </c>
      <c r="J960">
        <v>249.66</v>
      </c>
      <c r="K960" t="s">
        <v>50</v>
      </c>
      <c r="L960">
        <v>0.277777777777778</v>
      </c>
    </row>
    <row r="961" spans="1:12">
      <c r="A961" s="71">
        <v>43434</v>
      </c>
      <c r="B961" t="s">
        <v>24</v>
      </c>
      <c r="C961">
        <v>12</v>
      </c>
      <c r="D961">
        <v>0.1176</v>
      </c>
      <c r="E961">
        <v>14</v>
      </c>
      <c r="F961">
        <v>0.1007</v>
      </c>
      <c r="G961">
        <v>1</v>
      </c>
      <c r="H961">
        <v>4</v>
      </c>
      <c r="I961">
        <v>0.3333</v>
      </c>
      <c r="J961">
        <v>51.96</v>
      </c>
      <c r="K961" t="s">
        <v>42</v>
      </c>
      <c r="L961">
        <v>0.333333333333333</v>
      </c>
    </row>
    <row r="962" spans="1:12">
      <c r="A962" s="71">
        <v>43435</v>
      </c>
      <c r="B962" t="s">
        <v>18</v>
      </c>
      <c r="C962">
        <v>2</v>
      </c>
      <c r="D962">
        <v>0.0227</v>
      </c>
      <c r="E962">
        <v>3</v>
      </c>
      <c r="F962">
        <v>0.0268</v>
      </c>
      <c r="G962">
        <v>1</v>
      </c>
      <c r="H962">
        <v>0</v>
      </c>
      <c r="I962">
        <v>0</v>
      </c>
      <c r="J962">
        <v>0</v>
      </c>
      <c r="K962" t="s">
        <v>38</v>
      </c>
      <c r="L962">
        <v>0</v>
      </c>
    </row>
    <row r="963" spans="1:12">
      <c r="A963" s="71">
        <v>43435</v>
      </c>
      <c r="B963" t="s">
        <v>27</v>
      </c>
      <c r="C963">
        <v>8</v>
      </c>
      <c r="D963">
        <v>0.0909</v>
      </c>
      <c r="E963">
        <v>10</v>
      </c>
      <c r="F963">
        <v>0.0893</v>
      </c>
      <c r="G963">
        <v>1</v>
      </c>
      <c r="H963">
        <v>0</v>
      </c>
      <c r="I963">
        <v>0</v>
      </c>
      <c r="J963">
        <v>0</v>
      </c>
      <c r="K963" t="s">
        <v>38</v>
      </c>
      <c r="L963">
        <v>0</v>
      </c>
    </row>
    <row r="964" spans="1:12">
      <c r="A964" s="71">
        <v>43435</v>
      </c>
      <c r="B964" t="s">
        <v>23</v>
      </c>
      <c r="C964">
        <v>7</v>
      </c>
      <c r="D964">
        <v>0.0795</v>
      </c>
      <c r="E964">
        <v>7</v>
      </c>
      <c r="F964">
        <v>0.0625</v>
      </c>
      <c r="G964">
        <v>1</v>
      </c>
      <c r="H964">
        <v>0</v>
      </c>
      <c r="I964">
        <v>0</v>
      </c>
      <c r="J964">
        <v>0</v>
      </c>
      <c r="K964" t="s">
        <v>38</v>
      </c>
      <c r="L964">
        <v>0</v>
      </c>
    </row>
    <row r="965" spans="1:12">
      <c r="A965" s="71">
        <v>43435</v>
      </c>
      <c r="B965" t="s">
        <v>25</v>
      </c>
      <c r="C965">
        <v>4</v>
      </c>
      <c r="D965">
        <v>0.0455</v>
      </c>
      <c r="E965">
        <v>4</v>
      </c>
      <c r="F965">
        <v>0.0357</v>
      </c>
      <c r="G965">
        <v>1</v>
      </c>
      <c r="H965">
        <v>0</v>
      </c>
      <c r="I965">
        <v>0</v>
      </c>
      <c r="J965">
        <v>0</v>
      </c>
      <c r="K965" t="s">
        <v>38</v>
      </c>
      <c r="L965">
        <v>0</v>
      </c>
    </row>
    <row r="966" spans="1:12">
      <c r="A966" s="71">
        <v>43435</v>
      </c>
      <c r="B966" t="s">
        <v>24</v>
      </c>
      <c r="C966">
        <v>15</v>
      </c>
      <c r="D966">
        <v>0.1705</v>
      </c>
      <c r="E966">
        <v>21</v>
      </c>
      <c r="F966">
        <v>0.1875</v>
      </c>
      <c r="G966">
        <v>1</v>
      </c>
      <c r="H966">
        <v>3</v>
      </c>
      <c r="I966">
        <v>0.2</v>
      </c>
      <c r="J966">
        <v>38.97</v>
      </c>
      <c r="K966" t="s">
        <v>41</v>
      </c>
      <c r="L966">
        <v>0.2</v>
      </c>
    </row>
    <row r="967" spans="1:12">
      <c r="A967" s="71">
        <v>43435</v>
      </c>
      <c r="B967" t="s">
        <v>22</v>
      </c>
      <c r="C967">
        <v>38</v>
      </c>
      <c r="D967">
        <v>0.4318</v>
      </c>
      <c r="E967">
        <v>49</v>
      </c>
      <c r="F967">
        <v>0.4375</v>
      </c>
      <c r="G967">
        <v>1</v>
      </c>
      <c r="H967">
        <v>5</v>
      </c>
      <c r="I967">
        <v>0.1316</v>
      </c>
      <c r="J967">
        <v>69.35</v>
      </c>
      <c r="K967" t="s">
        <v>42</v>
      </c>
      <c r="L967">
        <v>0.105263157894737</v>
      </c>
    </row>
    <row r="968" spans="1:12">
      <c r="A968" s="71">
        <v>43435</v>
      </c>
      <c r="B968" t="s">
        <v>21</v>
      </c>
      <c r="C968">
        <v>9</v>
      </c>
      <c r="D968">
        <v>0.1023</v>
      </c>
      <c r="E968">
        <v>10</v>
      </c>
      <c r="F968">
        <v>0.0893</v>
      </c>
      <c r="G968">
        <v>1</v>
      </c>
      <c r="H968">
        <v>1</v>
      </c>
      <c r="I968">
        <v>0.1111</v>
      </c>
      <c r="J968">
        <v>22.98</v>
      </c>
      <c r="K968" t="s">
        <v>39</v>
      </c>
      <c r="L968">
        <v>0.111111111111111</v>
      </c>
    </row>
    <row r="969" spans="1:12">
      <c r="A969" s="71">
        <v>43435</v>
      </c>
      <c r="B969" t="s">
        <v>19</v>
      </c>
      <c r="C969">
        <v>5</v>
      </c>
      <c r="D969">
        <v>0.0568</v>
      </c>
      <c r="E969">
        <v>8</v>
      </c>
      <c r="F969">
        <v>0.0714</v>
      </c>
      <c r="G969">
        <v>1</v>
      </c>
      <c r="H969">
        <v>1</v>
      </c>
      <c r="I969">
        <v>0.2</v>
      </c>
      <c r="J969">
        <v>16.97</v>
      </c>
      <c r="K969" t="s">
        <v>39</v>
      </c>
      <c r="L969">
        <v>0.2</v>
      </c>
    </row>
    <row r="970" spans="1:12">
      <c r="A970" s="71">
        <v>43436</v>
      </c>
      <c r="B970" t="s">
        <v>20</v>
      </c>
      <c r="C970">
        <v>1</v>
      </c>
      <c r="D970">
        <v>0.0097</v>
      </c>
      <c r="E970">
        <v>2</v>
      </c>
      <c r="F970">
        <v>0.0157</v>
      </c>
      <c r="G970">
        <v>1</v>
      </c>
      <c r="H970">
        <v>0</v>
      </c>
      <c r="I970">
        <v>0</v>
      </c>
      <c r="J970">
        <v>0</v>
      </c>
      <c r="K970" t="s">
        <v>38</v>
      </c>
      <c r="L970">
        <v>0</v>
      </c>
    </row>
    <row r="971" spans="1:12">
      <c r="A971" s="71">
        <v>43436</v>
      </c>
      <c r="B971" t="s">
        <v>25</v>
      </c>
      <c r="C971">
        <v>1</v>
      </c>
      <c r="D971">
        <v>0.0097</v>
      </c>
      <c r="E971">
        <v>2</v>
      </c>
      <c r="F971">
        <v>0.0157</v>
      </c>
      <c r="G971">
        <v>1</v>
      </c>
      <c r="H971">
        <v>0</v>
      </c>
      <c r="I971">
        <v>0</v>
      </c>
      <c r="J971">
        <v>0</v>
      </c>
      <c r="K971" t="s">
        <v>38</v>
      </c>
      <c r="L971">
        <v>0</v>
      </c>
    </row>
    <row r="972" spans="1:12">
      <c r="A972" s="71">
        <v>43436</v>
      </c>
      <c r="B972" t="s">
        <v>27</v>
      </c>
      <c r="C972">
        <v>10</v>
      </c>
      <c r="D972">
        <v>0.0971</v>
      </c>
      <c r="E972">
        <v>10</v>
      </c>
      <c r="F972">
        <v>0.0787</v>
      </c>
      <c r="G972">
        <v>1</v>
      </c>
      <c r="H972">
        <v>0</v>
      </c>
      <c r="I972">
        <v>0</v>
      </c>
      <c r="J972">
        <v>0</v>
      </c>
      <c r="K972" t="s">
        <v>38</v>
      </c>
      <c r="L972">
        <v>0</v>
      </c>
    </row>
    <row r="973" spans="1:12">
      <c r="A973" s="71">
        <v>43436</v>
      </c>
      <c r="B973" t="s">
        <v>21</v>
      </c>
      <c r="C973">
        <v>7</v>
      </c>
      <c r="D973">
        <v>0.068</v>
      </c>
      <c r="E973">
        <v>13</v>
      </c>
      <c r="F973">
        <v>0.1024</v>
      </c>
      <c r="G973">
        <v>1</v>
      </c>
      <c r="H973">
        <v>0</v>
      </c>
      <c r="I973">
        <v>0</v>
      </c>
      <c r="J973">
        <v>0</v>
      </c>
      <c r="K973" t="s">
        <v>38</v>
      </c>
      <c r="L973">
        <v>0</v>
      </c>
    </row>
    <row r="974" spans="1:12">
      <c r="A974" s="71">
        <v>43436</v>
      </c>
      <c r="B974" t="s">
        <v>18</v>
      </c>
      <c r="C974">
        <v>7</v>
      </c>
      <c r="D974">
        <v>0.068</v>
      </c>
      <c r="E974">
        <v>7</v>
      </c>
      <c r="F974">
        <v>0.0551</v>
      </c>
      <c r="G974">
        <v>1</v>
      </c>
      <c r="H974">
        <v>2</v>
      </c>
      <c r="I974">
        <v>0.2857</v>
      </c>
      <c r="J974">
        <v>59.98</v>
      </c>
      <c r="K974" t="s">
        <v>40</v>
      </c>
      <c r="L974">
        <v>0.285714285714286</v>
      </c>
    </row>
    <row r="975" spans="1:12">
      <c r="A975" s="71">
        <v>43436</v>
      </c>
      <c r="B975" t="s">
        <v>19</v>
      </c>
      <c r="C975">
        <v>5</v>
      </c>
      <c r="D975">
        <v>0.0485</v>
      </c>
      <c r="E975">
        <v>8</v>
      </c>
      <c r="F975">
        <v>0.063</v>
      </c>
      <c r="G975">
        <v>1</v>
      </c>
      <c r="H975">
        <v>2</v>
      </c>
      <c r="I975">
        <v>0.4</v>
      </c>
      <c r="J975">
        <v>33.94</v>
      </c>
      <c r="K975" t="s">
        <v>40</v>
      </c>
      <c r="L975">
        <v>0.4</v>
      </c>
    </row>
    <row r="976" spans="1:12">
      <c r="A976" s="71">
        <v>43436</v>
      </c>
      <c r="B976" t="s">
        <v>22</v>
      </c>
      <c r="C976">
        <v>52</v>
      </c>
      <c r="D976">
        <v>0.5049</v>
      </c>
      <c r="E976">
        <v>64</v>
      </c>
      <c r="F976">
        <v>0.5039</v>
      </c>
      <c r="G976">
        <v>1</v>
      </c>
      <c r="H976">
        <v>21</v>
      </c>
      <c r="I976">
        <v>0.4038</v>
      </c>
      <c r="J976">
        <v>291.27</v>
      </c>
      <c r="K976" t="s">
        <v>50</v>
      </c>
      <c r="L976">
        <v>0.288461538461538</v>
      </c>
    </row>
    <row r="977" spans="1:12">
      <c r="A977" s="71">
        <v>43436</v>
      </c>
      <c r="B977" t="s">
        <v>24</v>
      </c>
      <c r="C977">
        <v>12</v>
      </c>
      <c r="D977">
        <v>0.1165</v>
      </c>
      <c r="E977">
        <v>13</v>
      </c>
      <c r="F977">
        <v>0.1024</v>
      </c>
      <c r="G977">
        <v>1</v>
      </c>
      <c r="H977">
        <v>1</v>
      </c>
      <c r="I977">
        <v>0.0833</v>
      </c>
      <c r="J977">
        <v>12.99</v>
      </c>
      <c r="K977" t="s">
        <v>39</v>
      </c>
      <c r="L977">
        <v>0.0833333333333333</v>
      </c>
    </row>
    <row r="978" spans="1:12">
      <c r="A978" s="71">
        <v>43436</v>
      </c>
      <c r="B978" t="s">
        <v>23</v>
      </c>
      <c r="C978">
        <v>8</v>
      </c>
      <c r="D978">
        <v>0.0777</v>
      </c>
      <c r="E978">
        <v>8</v>
      </c>
      <c r="F978">
        <v>0.063</v>
      </c>
      <c r="G978">
        <v>1</v>
      </c>
      <c r="H978">
        <v>1</v>
      </c>
      <c r="I978">
        <v>0.125</v>
      </c>
      <c r="J978">
        <v>11.99</v>
      </c>
      <c r="K978" t="s">
        <v>39</v>
      </c>
      <c r="L978">
        <v>0.125</v>
      </c>
    </row>
    <row r="979" spans="1:12">
      <c r="A979" s="71">
        <v>43437</v>
      </c>
      <c r="B979" t="s">
        <v>20</v>
      </c>
      <c r="C979">
        <v>2</v>
      </c>
      <c r="D979">
        <v>0.029</v>
      </c>
      <c r="E979">
        <v>2</v>
      </c>
      <c r="F979">
        <v>0.0194</v>
      </c>
      <c r="G979">
        <v>1</v>
      </c>
      <c r="H979">
        <v>0</v>
      </c>
      <c r="I979">
        <v>0</v>
      </c>
      <c r="J979">
        <v>0</v>
      </c>
      <c r="K979" t="s">
        <v>38</v>
      </c>
      <c r="L979">
        <v>0</v>
      </c>
    </row>
    <row r="980" spans="1:12">
      <c r="A980" s="71">
        <v>43437</v>
      </c>
      <c r="B980" t="s">
        <v>21</v>
      </c>
      <c r="C980">
        <v>7</v>
      </c>
      <c r="D980">
        <v>0.1014</v>
      </c>
      <c r="E980">
        <v>8</v>
      </c>
      <c r="F980">
        <v>0.0777</v>
      </c>
      <c r="G980">
        <v>1</v>
      </c>
      <c r="H980">
        <v>0</v>
      </c>
      <c r="I980">
        <v>0</v>
      </c>
      <c r="J980">
        <v>0</v>
      </c>
      <c r="K980" t="s">
        <v>38</v>
      </c>
      <c r="L980">
        <v>0</v>
      </c>
    </row>
    <row r="981" spans="1:12">
      <c r="A981" s="71">
        <v>43437</v>
      </c>
      <c r="B981" t="s">
        <v>27</v>
      </c>
      <c r="C981">
        <v>10</v>
      </c>
      <c r="D981">
        <v>0.1449</v>
      </c>
      <c r="E981">
        <v>14</v>
      </c>
      <c r="F981">
        <v>0.1359</v>
      </c>
      <c r="G981">
        <v>0.93</v>
      </c>
      <c r="H981">
        <v>0</v>
      </c>
      <c r="I981">
        <v>0</v>
      </c>
      <c r="J981">
        <v>0</v>
      </c>
      <c r="K981" t="s">
        <v>38</v>
      </c>
      <c r="L981">
        <v>0</v>
      </c>
    </row>
    <row r="982" spans="1:12">
      <c r="A982" s="71">
        <v>43437</v>
      </c>
      <c r="B982" t="s">
        <v>23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3</v>
      </c>
      <c r="I982">
        <v>0</v>
      </c>
      <c r="J982">
        <v>35.97</v>
      </c>
      <c r="K982" t="s">
        <v>39</v>
      </c>
      <c r="L982">
        <v>0</v>
      </c>
    </row>
    <row r="983" spans="1:12">
      <c r="A983" s="71">
        <v>43437</v>
      </c>
      <c r="B983" t="s">
        <v>24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2</v>
      </c>
      <c r="I983">
        <v>0</v>
      </c>
      <c r="J983">
        <v>25.98</v>
      </c>
      <c r="K983" t="s">
        <v>40</v>
      </c>
      <c r="L983">
        <v>0</v>
      </c>
    </row>
    <row r="984" spans="1:12">
      <c r="A984" s="71">
        <v>43437</v>
      </c>
      <c r="B984" t="s">
        <v>22</v>
      </c>
      <c r="C984">
        <v>47</v>
      </c>
      <c r="D984">
        <v>0.6812</v>
      </c>
      <c r="E984">
        <v>72</v>
      </c>
      <c r="F984">
        <v>0.699</v>
      </c>
      <c r="G984">
        <v>1</v>
      </c>
      <c r="H984">
        <v>10</v>
      </c>
      <c r="I984">
        <v>0.2128</v>
      </c>
      <c r="J984">
        <v>138.7</v>
      </c>
      <c r="K984" t="s">
        <v>44</v>
      </c>
      <c r="L984">
        <v>0.170212765957447</v>
      </c>
    </row>
    <row r="985" spans="1:12">
      <c r="A985" s="71">
        <v>43437</v>
      </c>
      <c r="B985" t="s">
        <v>19</v>
      </c>
      <c r="C985">
        <v>3</v>
      </c>
      <c r="D985">
        <v>0.0435</v>
      </c>
      <c r="E985">
        <v>7</v>
      </c>
      <c r="F985">
        <v>0.068</v>
      </c>
      <c r="G985">
        <v>1</v>
      </c>
      <c r="H985">
        <v>1</v>
      </c>
      <c r="I985">
        <v>0.3333</v>
      </c>
      <c r="J985">
        <v>16.97</v>
      </c>
      <c r="K985" t="s">
        <v>39</v>
      </c>
      <c r="L985">
        <v>0.333333333333333</v>
      </c>
    </row>
    <row r="986" spans="1:12">
      <c r="A986" s="71">
        <v>43438</v>
      </c>
      <c r="B986" t="s">
        <v>20</v>
      </c>
      <c r="C986">
        <v>2</v>
      </c>
      <c r="D986">
        <v>0.0168</v>
      </c>
      <c r="E986">
        <v>3</v>
      </c>
      <c r="F986">
        <v>0.0186</v>
      </c>
      <c r="G986">
        <v>1</v>
      </c>
      <c r="H986">
        <v>0</v>
      </c>
      <c r="I986">
        <v>0</v>
      </c>
      <c r="J986">
        <v>0</v>
      </c>
      <c r="K986" t="s">
        <v>38</v>
      </c>
      <c r="L986">
        <v>0</v>
      </c>
    </row>
    <row r="987" spans="1:12">
      <c r="A987" s="71">
        <v>43438</v>
      </c>
      <c r="B987" t="s">
        <v>19</v>
      </c>
      <c r="C987">
        <v>5</v>
      </c>
      <c r="D987">
        <v>0.042</v>
      </c>
      <c r="E987">
        <v>7</v>
      </c>
      <c r="F987">
        <v>0.0435</v>
      </c>
      <c r="G987">
        <v>1</v>
      </c>
      <c r="H987">
        <v>0</v>
      </c>
      <c r="I987">
        <v>0</v>
      </c>
      <c r="J987">
        <v>0</v>
      </c>
      <c r="K987" t="s">
        <v>38</v>
      </c>
      <c r="L987">
        <v>0</v>
      </c>
    </row>
    <row r="988" spans="1:12">
      <c r="A988" s="71">
        <v>43438</v>
      </c>
      <c r="B988" t="s">
        <v>25</v>
      </c>
      <c r="C988">
        <v>3</v>
      </c>
      <c r="D988">
        <v>0.0252</v>
      </c>
      <c r="E988">
        <v>4</v>
      </c>
      <c r="F988">
        <v>0.0248</v>
      </c>
      <c r="G988">
        <v>1</v>
      </c>
      <c r="H988">
        <v>0</v>
      </c>
      <c r="I988">
        <v>0</v>
      </c>
      <c r="J988">
        <v>0</v>
      </c>
      <c r="K988" t="s">
        <v>38</v>
      </c>
      <c r="L988">
        <v>0</v>
      </c>
    </row>
    <row r="989" spans="1:12">
      <c r="A989" s="71">
        <v>43438</v>
      </c>
      <c r="B989" t="s">
        <v>27</v>
      </c>
      <c r="C989">
        <v>10</v>
      </c>
      <c r="D989">
        <v>0.084</v>
      </c>
      <c r="E989">
        <v>12</v>
      </c>
      <c r="F989">
        <v>0.0745</v>
      </c>
      <c r="G989">
        <v>0.92</v>
      </c>
      <c r="H989">
        <v>0</v>
      </c>
      <c r="I989">
        <v>0</v>
      </c>
      <c r="J989">
        <v>0</v>
      </c>
      <c r="K989" t="s">
        <v>38</v>
      </c>
      <c r="L989">
        <v>0</v>
      </c>
    </row>
    <row r="990" spans="1:12">
      <c r="A990" s="71">
        <v>43438</v>
      </c>
      <c r="B990" t="s">
        <v>24</v>
      </c>
      <c r="C990">
        <v>13</v>
      </c>
      <c r="D990">
        <v>0.1092</v>
      </c>
      <c r="E990">
        <v>15</v>
      </c>
      <c r="F990">
        <v>0.0932</v>
      </c>
      <c r="G990">
        <v>1</v>
      </c>
      <c r="H990">
        <v>5</v>
      </c>
      <c r="I990">
        <v>0.3846</v>
      </c>
      <c r="J990">
        <v>64.95</v>
      </c>
      <c r="K990" t="s">
        <v>42</v>
      </c>
      <c r="L990">
        <v>0.307692307692308</v>
      </c>
    </row>
    <row r="991" spans="1:12">
      <c r="A991" s="71">
        <v>43438</v>
      </c>
      <c r="B991" t="s">
        <v>23</v>
      </c>
      <c r="C991">
        <v>12</v>
      </c>
      <c r="D991">
        <v>0.1008</v>
      </c>
      <c r="E991">
        <v>16</v>
      </c>
      <c r="F991">
        <v>0.0994</v>
      </c>
      <c r="G991">
        <v>1</v>
      </c>
      <c r="H991">
        <v>3</v>
      </c>
      <c r="I991">
        <v>0.25</v>
      </c>
      <c r="J991">
        <v>35.97</v>
      </c>
      <c r="K991" t="s">
        <v>40</v>
      </c>
      <c r="L991">
        <v>0.166666666666667</v>
      </c>
    </row>
    <row r="992" spans="1:12">
      <c r="A992" s="71">
        <v>43438</v>
      </c>
      <c r="B992" t="s">
        <v>22</v>
      </c>
      <c r="C992">
        <v>56</v>
      </c>
      <c r="D992">
        <v>0.4706</v>
      </c>
      <c r="E992">
        <v>78</v>
      </c>
      <c r="F992">
        <v>0.4845</v>
      </c>
      <c r="G992">
        <v>1</v>
      </c>
      <c r="H992">
        <v>19</v>
      </c>
      <c r="I992">
        <v>0.3393</v>
      </c>
      <c r="J992">
        <v>263.53</v>
      </c>
      <c r="K992" t="s">
        <v>65</v>
      </c>
      <c r="L992">
        <v>0.321428571428571</v>
      </c>
    </row>
    <row r="993" spans="1:12">
      <c r="A993" s="71">
        <v>43438</v>
      </c>
      <c r="B993" t="s">
        <v>18</v>
      </c>
      <c r="C993">
        <v>10</v>
      </c>
      <c r="D993">
        <v>0.084</v>
      </c>
      <c r="E993">
        <v>15</v>
      </c>
      <c r="F993">
        <v>0.0932</v>
      </c>
      <c r="G993">
        <v>1</v>
      </c>
      <c r="H993">
        <v>1</v>
      </c>
      <c r="I993">
        <v>0.1</v>
      </c>
      <c r="J993">
        <v>29.99</v>
      </c>
      <c r="K993" t="s">
        <v>39</v>
      </c>
      <c r="L993">
        <v>0.1</v>
      </c>
    </row>
    <row r="994" spans="1:12">
      <c r="A994" s="71">
        <v>43438</v>
      </c>
      <c r="B994" t="s">
        <v>21</v>
      </c>
      <c r="C994">
        <v>8</v>
      </c>
      <c r="D994">
        <v>0.0672</v>
      </c>
      <c r="E994">
        <v>11</v>
      </c>
      <c r="F994">
        <v>0.0683</v>
      </c>
      <c r="G994">
        <v>1</v>
      </c>
      <c r="H994">
        <v>1</v>
      </c>
      <c r="I994">
        <v>0.125</v>
      </c>
      <c r="J994">
        <v>22.98</v>
      </c>
      <c r="K994" t="s">
        <v>39</v>
      </c>
      <c r="L994">
        <v>0.125</v>
      </c>
    </row>
    <row r="995" spans="1:12">
      <c r="A995" s="71">
        <v>43439</v>
      </c>
      <c r="B995" t="s">
        <v>25</v>
      </c>
      <c r="C995">
        <v>1</v>
      </c>
      <c r="D995">
        <v>0.0167</v>
      </c>
      <c r="E995">
        <v>1</v>
      </c>
      <c r="F995">
        <v>0.0132</v>
      </c>
      <c r="G995">
        <v>1</v>
      </c>
      <c r="H995">
        <v>0</v>
      </c>
      <c r="I995">
        <v>0</v>
      </c>
      <c r="J995">
        <v>0</v>
      </c>
      <c r="K995" t="s">
        <v>38</v>
      </c>
      <c r="L995">
        <v>0</v>
      </c>
    </row>
    <row r="996" spans="1:12">
      <c r="A996" s="71">
        <v>43439</v>
      </c>
      <c r="B996" t="s">
        <v>27</v>
      </c>
      <c r="C996">
        <v>2</v>
      </c>
      <c r="D996">
        <v>0.0333</v>
      </c>
      <c r="E996">
        <v>2</v>
      </c>
      <c r="F996">
        <v>0.0263</v>
      </c>
      <c r="G996">
        <v>1</v>
      </c>
      <c r="H996">
        <v>0</v>
      </c>
      <c r="I996">
        <v>0</v>
      </c>
      <c r="J996">
        <v>0</v>
      </c>
      <c r="K996" t="s">
        <v>38</v>
      </c>
      <c r="L996">
        <v>0</v>
      </c>
    </row>
    <row r="997" spans="1:12">
      <c r="A997" s="71">
        <v>43439</v>
      </c>
      <c r="B997" t="s">
        <v>19</v>
      </c>
      <c r="C997">
        <v>7</v>
      </c>
      <c r="D997">
        <v>0.1167</v>
      </c>
      <c r="E997">
        <v>11</v>
      </c>
      <c r="F997">
        <v>0.1447</v>
      </c>
      <c r="G997">
        <v>1</v>
      </c>
      <c r="H997">
        <v>0</v>
      </c>
      <c r="I997">
        <v>0</v>
      </c>
      <c r="J997">
        <v>0</v>
      </c>
      <c r="K997" t="s">
        <v>38</v>
      </c>
      <c r="L997">
        <v>0</v>
      </c>
    </row>
    <row r="998" spans="1:12">
      <c r="A998" s="71">
        <v>43439</v>
      </c>
      <c r="B998" t="s">
        <v>23</v>
      </c>
      <c r="C998">
        <v>7</v>
      </c>
      <c r="D998">
        <v>0.1167</v>
      </c>
      <c r="E998">
        <v>7</v>
      </c>
      <c r="F998">
        <v>0.0921</v>
      </c>
      <c r="G998">
        <v>1</v>
      </c>
      <c r="H998">
        <v>0</v>
      </c>
      <c r="I998">
        <v>0</v>
      </c>
      <c r="J998">
        <v>0</v>
      </c>
      <c r="K998" t="s">
        <v>38</v>
      </c>
      <c r="L998">
        <v>0</v>
      </c>
    </row>
    <row r="999" spans="1:12">
      <c r="A999" s="71">
        <v>43439</v>
      </c>
      <c r="B999" t="s">
        <v>18</v>
      </c>
      <c r="C999">
        <v>5</v>
      </c>
      <c r="D999">
        <v>0.0833</v>
      </c>
      <c r="E999">
        <v>6</v>
      </c>
      <c r="F999">
        <v>0.0789</v>
      </c>
      <c r="G999">
        <v>1</v>
      </c>
      <c r="H999">
        <v>0</v>
      </c>
      <c r="I999">
        <v>0</v>
      </c>
      <c r="J999">
        <v>0</v>
      </c>
      <c r="K999" t="s">
        <v>38</v>
      </c>
      <c r="L999">
        <v>0</v>
      </c>
    </row>
    <row r="1000" spans="1:12">
      <c r="A1000" s="71">
        <v>43439</v>
      </c>
      <c r="B1000" t="s">
        <v>21</v>
      </c>
      <c r="C1000">
        <v>3</v>
      </c>
      <c r="D1000">
        <v>0.05</v>
      </c>
      <c r="E1000">
        <v>4</v>
      </c>
      <c r="F1000">
        <v>0.0526</v>
      </c>
      <c r="G1000">
        <v>1</v>
      </c>
      <c r="H1000">
        <v>0</v>
      </c>
      <c r="I1000">
        <v>0</v>
      </c>
      <c r="J1000">
        <v>0</v>
      </c>
      <c r="K1000" t="s">
        <v>38</v>
      </c>
      <c r="L1000">
        <v>0</v>
      </c>
    </row>
    <row r="1001" spans="1:12">
      <c r="A1001" s="71">
        <v>43439</v>
      </c>
      <c r="B1001" t="s">
        <v>24</v>
      </c>
      <c r="C1001">
        <v>0</v>
      </c>
      <c r="D1001">
        <v>0</v>
      </c>
      <c r="E1001">
        <v>0</v>
      </c>
      <c r="F1001">
        <v>0</v>
      </c>
      <c r="G1001">
        <v>0</v>
      </c>
      <c r="H1001">
        <v>2</v>
      </c>
      <c r="I1001">
        <v>0</v>
      </c>
      <c r="J1001">
        <v>25.98</v>
      </c>
      <c r="K1001" t="s">
        <v>40</v>
      </c>
      <c r="L1001">
        <v>0</v>
      </c>
    </row>
    <row r="1002" spans="1:12">
      <c r="A1002" s="71">
        <v>43439</v>
      </c>
      <c r="B1002" t="s">
        <v>22</v>
      </c>
      <c r="C1002">
        <v>35</v>
      </c>
      <c r="D1002">
        <v>0.5833</v>
      </c>
      <c r="E1002">
        <v>45</v>
      </c>
      <c r="F1002">
        <v>0.5921</v>
      </c>
      <c r="G1002">
        <v>1</v>
      </c>
      <c r="H1002">
        <v>20</v>
      </c>
      <c r="I1002">
        <v>0.5714</v>
      </c>
      <c r="J1002">
        <v>277.4</v>
      </c>
      <c r="K1002" t="s">
        <v>44</v>
      </c>
      <c r="L1002">
        <v>0.228571428571429</v>
      </c>
    </row>
    <row r="1003" spans="1:12">
      <c r="A1003" s="71">
        <v>43440</v>
      </c>
      <c r="B1003" t="s">
        <v>18</v>
      </c>
      <c r="C1003">
        <v>14</v>
      </c>
      <c r="D1003">
        <v>0.1667</v>
      </c>
      <c r="E1003">
        <v>20</v>
      </c>
      <c r="F1003">
        <v>0.1724</v>
      </c>
      <c r="G1003">
        <v>1</v>
      </c>
      <c r="H1003">
        <v>0</v>
      </c>
      <c r="I1003">
        <v>0</v>
      </c>
      <c r="J1003">
        <v>0</v>
      </c>
      <c r="K1003" t="s">
        <v>38</v>
      </c>
      <c r="L1003">
        <v>0</v>
      </c>
    </row>
    <row r="1004" spans="1:12">
      <c r="A1004" s="71">
        <v>43440</v>
      </c>
      <c r="B1004" t="s">
        <v>21</v>
      </c>
      <c r="C1004">
        <v>7</v>
      </c>
      <c r="D1004">
        <v>0.0833</v>
      </c>
      <c r="E1004">
        <v>8</v>
      </c>
      <c r="F1004">
        <v>0.069</v>
      </c>
      <c r="G1004">
        <v>1</v>
      </c>
      <c r="H1004">
        <v>0</v>
      </c>
      <c r="I1004">
        <v>0</v>
      </c>
      <c r="J1004">
        <v>0</v>
      </c>
      <c r="K1004" t="s">
        <v>38</v>
      </c>
      <c r="L1004">
        <v>0</v>
      </c>
    </row>
    <row r="1005" spans="1:12">
      <c r="A1005" s="71">
        <v>43440</v>
      </c>
      <c r="B1005" t="s">
        <v>24</v>
      </c>
      <c r="C1005">
        <v>7</v>
      </c>
      <c r="D1005">
        <v>0.0833</v>
      </c>
      <c r="E1005">
        <v>7</v>
      </c>
      <c r="F1005">
        <v>0.0603</v>
      </c>
      <c r="G1005">
        <v>1</v>
      </c>
      <c r="H1005">
        <v>0</v>
      </c>
      <c r="I1005">
        <v>0</v>
      </c>
      <c r="J1005">
        <v>0</v>
      </c>
      <c r="K1005" t="s">
        <v>38</v>
      </c>
      <c r="L1005">
        <v>0</v>
      </c>
    </row>
    <row r="1006" spans="1:12">
      <c r="A1006" s="71">
        <v>43440</v>
      </c>
      <c r="B1006" t="s">
        <v>19</v>
      </c>
      <c r="C1006">
        <v>5</v>
      </c>
      <c r="D1006">
        <v>0.0595</v>
      </c>
      <c r="E1006">
        <v>7</v>
      </c>
      <c r="F1006">
        <v>0.0603</v>
      </c>
      <c r="G1006">
        <v>1</v>
      </c>
      <c r="H1006">
        <v>0</v>
      </c>
      <c r="I1006">
        <v>0</v>
      </c>
      <c r="J1006">
        <v>0</v>
      </c>
      <c r="K1006" t="s">
        <v>38</v>
      </c>
      <c r="L1006">
        <v>0</v>
      </c>
    </row>
    <row r="1007" spans="1:12">
      <c r="A1007" s="71">
        <v>43440</v>
      </c>
      <c r="B1007" t="s">
        <v>23</v>
      </c>
      <c r="C1007">
        <v>5</v>
      </c>
      <c r="D1007">
        <v>0.0595</v>
      </c>
      <c r="E1007">
        <v>6</v>
      </c>
      <c r="F1007">
        <v>0.0517</v>
      </c>
      <c r="G1007">
        <v>1</v>
      </c>
      <c r="H1007">
        <v>0</v>
      </c>
      <c r="I1007">
        <v>0</v>
      </c>
      <c r="J1007">
        <v>0</v>
      </c>
      <c r="K1007" t="s">
        <v>38</v>
      </c>
      <c r="L1007">
        <v>0</v>
      </c>
    </row>
    <row r="1008" spans="1:12">
      <c r="A1008" s="71">
        <v>43440</v>
      </c>
      <c r="B1008" t="s">
        <v>20</v>
      </c>
      <c r="C1008">
        <v>3</v>
      </c>
      <c r="D1008">
        <v>0.0357</v>
      </c>
      <c r="E1008">
        <v>4</v>
      </c>
      <c r="F1008">
        <v>0.0345</v>
      </c>
      <c r="G1008">
        <v>1</v>
      </c>
      <c r="H1008">
        <v>0</v>
      </c>
      <c r="I1008">
        <v>0</v>
      </c>
      <c r="J1008">
        <v>0</v>
      </c>
      <c r="K1008" t="s">
        <v>38</v>
      </c>
      <c r="L1008">
        <v>0</v>
      </c>
    </row>
    <row r="1009" spans="1:12">
      <c r="A1009" s="71">
        <v>43440</v>
      </c>
      <c r="B1009" t="s">
        <v>22</v>
      </c>
      <c r="C1009">
        <v>43</v>
      </c>
      <c r="D1009">
        <v>0.5119</v>
      </c>
      <c r="E1009">
        <v>64</v>
      </c>
      <c r="F1009">
        <v>0.5517</v>
      </c>
      <c r="G1009">
        <v>1</v>
      </c>
      <c r="H1009">
        <v>8</v>
      </c>
      <c r="I1009">
        <v>0.186</v>
      </c>
      <c r="J1009">
        <v>110.96</v>
      </c>
      <c r="K1009" t="s">
        <v>46</v>
      </c>
      <c r="L1009">
        <v>0.162790697674419</v>
      </c>
    </row>
    <row r="1010" spans="1:12">
      <c r="A1010" s="71">
        <v>43441</v>
      </c>
      <c r="B1010" t="s">
        <v>20</v>
      </c>
      <c r="C1010">
        <v>2</v>
      </c>
      <c r="D1010">
        <v>0.0278</v>
      </c>
      <c r="E1010">
        <v>2</v>
      </c>
      <c r="F1010">
        <v>0.0211</v>
      </c>
      <c r="G1010">
        <v>1</v>
      </c>
      <c r="H1010">
        <v>0</v>
      </c>
      <c r="I1010">
        <v>0</v>
      </c>
      <c r="J1010">
        <v>0</v>
      </c>
      <c r="K1010" t="s">
        <v>38</v>
      </c>
      <c r="L1010">
        <v>0</v>
      </c>
    </row>
    <row r="1011" spans="1:12">
      <c r="A1011" s="71">
        <v>43441</v>
      </c>
      <c r="B1011" t="s">
        <v>19</v>
      </c>
      <c r="C1011">
        <v>6</v>
      </c>
      <c r="D1011">
        <v>0.0833</v>
      </c>
      <c r="E1011">
        <v>9</v>
      </c>
      <c r="F1011">
        <v>0.0947</v>
      </c>
      <c r="G1011">
        <v>1</v>
      </c>
      <c r="H1011">
        <v>0</v>
      </c>
      <c r="I1011">
        <v>0</v>
      </c>
      <c r="J1011">
        <v>0</v>
      </c>
      <c r="K1011" t="s">
        <v>38</v>
      </c>
      <c r="L1011">
        <v>0</v>
      </c>
    </row>
    <row r="1012" spans="1:12">
      <c r="A1012" s="71">
        <v>43441</v>
      </c>
      <c r="B1012" t="s">
        <v>18</v>
      </c>
      <c r="C1012">
        <v>6</v>
      </c>
      <c r="D1012">
        <v>0.0833</v>
      </c>
      <c r="E1012">
        <v>7</v>
      </c>
      <c r="F1012">
        <v>0.0737</v>
      </c>
      <c r="G1012">
        <v>1</v>
      </c>
      <c r="H1012">
        <v>0</v>
      </c>
      <c r="I1012">
        <v>0</v>
      </c>
      <c r="J1012">
        <v>0</v>
      </c>
      <c r="K1012" t="s">
        <v>38</v>
      </c>
      <c r="L1012">
        <v>0</v>
      </c>
    </row>
    <row r="1013" spans="1:12">
      <c r="A1013" s="71">
        <v>43441</v>
      </c>
      <c r="B1013" t="s">
        <v>27</v>
      </c>
      <c r="C1013">
        <v>3</v>
      </c>
      <c r="D1013">
        <v>0.0417</v>
      </c>
      <c r="E1013">
        <v>3</v>
      </c>
      <c r="F1013">
        <v>0.0316</v>
      </c>
      <c r="G1013">
        <v>1</v>
      </c>
      <c r="H1013">
        <v>0</v>
      </c>
      <c r="I1013">
        <v>0</v>
      </c>
      <c r="J1013">
        <v>0</v>
      </c>
      <c r="K1013" t="s">
        <v>38</v>
      </c>
      <c r="L1013">
        <v>0</v>
      </c>
    </row>
    <row r="1014" spans="1:12">
      <c r="A1014" s="71">
        <v>43441</v>
      </c>
      <c r="B1014" t="s">
        <v>24</v>
      </c>
      <c r="C1014">
        <v>15</v>
      </c>
      <c r="D1014">
        <v>0.2083</v>
      </c>
      <c r="E1014">
        <v>18</v>
      </c>
      <c r="F1014">
        <v>0.1895</v>
      </c>
      <c r="G1014">
        <v>1</v>
      </c>
      <c r="H1014">
        <v>3</v>
      </c>
      <c r="I1014">
        <v>0.2</v>
      </c>
      <c r="J1014">
        <v>38.97</v>
      </c>
      <c r="K1014" t="s">
        <v>41</v>
      </c>
      <c r="L1014">
        <v>0.2</v>
      </c>
    </row>
    <row r="1015" spans="1:12">
      <c r="A1015" s="71">
        <v>43441</v>
      </c>
      <c r="B1015" t="s">
        <v>22</v>
      </c>
      <c r="C1015">
        <v>37</v>
      </c>
      <c r="D1015">
        <v>0.5139</v>
      </c>
      <c r="E1015">
        <v>52</v>
      </c>
      <c r="F1015">
        <v>0.5474</v>
      </c>
      <c r="G1015">
        <v>1</v>
      </c>
      <c r="H1015">
        <v>10</v>
      </c>
      <c r="I1015">
        <v>0.2703</v>
      </c>
      <c r="J1015">
        <v>149.7</v>
      </c>
      <c r="K1015" t="s">
        <v>44</v>
      </c>
      <c r="L1015">
        <v>0.216216216216216</v>
      </c>
    </row>
    <row r="1016" spans="1:12">
      <c r="A1016" s="71">
        <v>43441</v>
      </c>
      <c r="B1016" t="s">
        <v>23</v>
      </c>
      <c r="C1016">
        <v>3</v>
      </c>
      <c r="D1016">
        <v>0.0417</v>
      </c>
      <c r="E1016">
        <v>4</v>
      </c>
      <c r="F1016">
        <v>0.0421</v>
      </c>
      <c r="G1016">
        <v>1</v>
      </c>
      <c r="H1016">
        <v>1</v>
      </c>
      <c r="I1016">
        <v>0.3333</v>
      </c>
      <c r="J1016">
        <v>11.99</v>
      </c>
      <c r="K1016" t="s">
        <v>39</v>
      </c>
      <c r="L1016">
        <v>0.333333333333333</v>
      </c>
    </row>
    <row r="1017" spans="1:12">
      <c r="A1017" s="71">
        <v>43442</v>
      </c>
      <c r="B1017" t="s">
        <v>19</v>
      </c>
      <c r="C1017">
        <v>1</v>
      </c>
      <c r="D1017">
        <v>0.0137</v>
      </c>
      <c r="E1017">
        <v>1</v>
      </c>
      <c r="F1017">
        <v>0.0105</v>
      </c>
      <c r="G1017">
        <v>1</v>
      </c>
      <c r="H1017">
        <v>0</v>
      </c>
      <c r="I1017">
        <v>0</v>
      </c>
      <c r="J1017">
        <v>0</v>
      </c>
      <c r="K1017" t="s">
        <v>38</v>
      </c>
      <c r="L1017">
        <v>0</v>
      </c>
    </row>
    <row r="1018" spans="1:12">
      <c r="A1018" s="71">
        <v>43442</v>
      </c>
      <c r="B1018" t="s">
        <v>21</v>
      </c>
      <c r="C1018">
        <v>1</v>
      </c>
      <c r="D1018">
        <v>0.0137</v>
      </c>
      <c r="E1018">
        <v>1</v>
      </c>
      <c r="F1018">
        <v>0.0105</v>
      </c>
      <c r="G1018">
        <v>1</v>
      </c>
      <c r="H1018">
        <v>0</v>
      </c>
      <c r="I1018">
        <v>0</v>
      </c>
      <c r="J1018">
        <v>0</v>
      </c>
      <c r="K1018" t="s">
        <v>38</v>
      </c>
      <c r="L1018">
        <v>0</v>
      </c>
    </row>
    <row r="1019" spans="1:12">
      <c r="A1019" s="71">
        <v>43442</v>
      </c>
      <c r="B1019" t="s">
        <v>27</v>
      </c>
      <c r="C1019">
        <v>8</v>
      </c>
      <c r="D1019">
        <v>0.1096</v>
      </c>
      <c r="E1019">
        <v>9</v>
      </c>
      <c r="F1019">
        <v>0.0947</v>
      </c>
      <c r="G1019">
        <v>1</v>
      </c>
      <c r="H1019">
        <v>0</v>
      </c>
      <c r="I1019">
        <v>0</v>
      </c>
      <c r="J1019">
        <v>0</v>
      </c>
      <c r="K1019" t="s">
        <v>38</v>
      </c>
      <c r="L1019">
        <v>0</v>
      </c>
    </row>
    <row r="1020" spans="1:12">
      <c r="A1020" s="71">
        <v>43442</v>
      </c>
      <c r="B1020" t="s">
        <v>23</v>
      </c>
      <c r="C1020">
        <v>7</v>
      </c>
      <c r="D1020">
        <v>0.0959</v>
      </c>
      <c r="E1020">
        <v>9</v>
      </c>
      <c r="F1020">
        <v>0.0947</v>
      </c>
      <c r="G1020">
        <v>1</v>
      </c>
      <c r="H1020">
        <v>0</v>
      </c>
      <c r="I1020">
        <v>0</v>
      </c>
      <c r="J1020">
        <v>0</v>
      </c>
      <c r="K1020" t="s">
        <v>38</v>
      </c>
      <c r="L1020">
        <v>0</v>
      </c>
    </row>
    <row r="1021" spans="1:12">
      <c r="A1021" s="71">
        <v>43442</v>
      </c>
      <c r="B1021" t="s">
        <v>24</v>
      </c>
      <c r="C1021">
        <v>7</v>
      </c>
      <c r="D1021">
        <v>0.0959</v>
      </c>
      <c r="E1021">
        <v>8</v>
      </c>
      <c r="F1021">
        <v>0.0842</v>
      </c>
      <c r="G1021">
        <v>1</v>
      </c>
      <c r="H1021">
        <v>0</v>
      </c>
      <c r="I1021">
        <v>0</v>
      </c>
      <c r="J1021">
        <v>0</v>
      </c>
      <c r="K1021" t="s">
        <v>38</v>
      </c>
      <c r="L1021">
        <v>0</v>
      </c>
    </row>
    <row r="1022" spans="1:12">
      <c r="A1022" s="71">
        <v>43442</v>
      </c>
      <c r="B1022" t="s">
        <v>18</v>
      </c>
      <c r="C1022">
        <v>12</v>
      </c>
      <c r="D1022">
        <v>0.1644</v>
      </c>
      <c r="E1022">
        <v>17</v>
      </c>
      <c r="F1022">
        <v>0.1789</v>
      </c>
      <c r="G1022">
        <v>1</v>
      </c>
      <c r="H1022">
        <v>2</v>
      </c>
      <c r="I1022">
        <v>0.1667</v>
      </c>
      <c r="J1022">
        <v>59.98</v>
      </c>
      <c r="K1022" t="s">
        <v>39</v>
      </c>
      <c r="L1022">
        <v>0.0833333333333333</v>
      </c>
    </row>
    <row r="1023" spans="1:12">
      <c r="A1023" s="71">
        <v>43442</v>
      </c>
      <c r="B1023" t="s">
        <v>22</v>
      </c>
      <c r="C1023">
        <v>37</v>
      </c>
      <c r="D1023">
        <v>0.5068</v>
      </c>
      <c r="E1023">
        <v>50</v>
      </c>
      <c r="F1023">
        <v>0.5263</v>
      </c>
      <c r="G1023">
        <v>1</v>
      </c>
      <c r="H1023">
        <v>8</v>
      </c>
      <c r="I1023">
        <v>0.2162</v>
      </c>
      <c r="J1023">
        <v>119.76</v>
      </c>
      <c r="K1023" t="s">
        <v>44</v>
      </c>
      <c r="L1023">
        <v>0.216216216216216</v>
      </c>
    </row>
    <row r="1024" spans="1:12">
      <c r="A1024" s="71">
        <v>43443</v>
      </c>
      <c r="B1024" t="s">
        <v>27</v>
      </c>
      <c r="C1024">
        <v>2</v>
      </c>
      <c r="D1024">
        <v>0.0185</v>
      </c>
      <c r="E1024">
        <v>2</v>
      </c>
      <c r="F1024">
        <v>0.0146</v>
      </c>
      <c r="G1024">
        <v>1</v>
      </c>
      <c r="H1024">
        <v>0</v>
      </c>
      <c r="I1024">
        <v>0</v>
      </c>
      <c r="J1024">
        <v>0</v>
      </c>
      <c r="K1024" t="s">
        <v>38</v>
      </c>
      <c r="L1024">
        <v>0</v>
      </c>
    </row>
    <row r="1025" spans="1:12">
      <c r="A1025" s="71">
        <v>43443</v>
      </c>
      <c r="B1025" t="s">
        <v>19</v>
      </c>
      <c r="C1025">
        <v>4</v>
      </c>
      <c r="D1025">
        <v>0.037</v>
      </c>
      <c r="E1025">
        <v>5</v>
      </c>
      <c r="F1025">
        <v>0.0365</v>
      </c>
      <c r="G1025">
        <v>1</v>
      </c>
      <c r="H1025">
        <v>0</v>
      </c>
      <c r="I1025">
        <v>0</v>
      </c>
      <c r="J1025">
        <v>0</v>
      </c>
      <c r="K1025" t="s">
        <v>38</v>
      </c>
      <c r="L1025">
        <v>0</v>
      </c>
    </row>
    <row r="1026" spans="1:12">
      <c r="A1026" s="71">
        <v>43443</v>
      </c>
      <c r="B1026" t="s">
        <v>21</v>
      </c>
      <c r="C1026">
        <v>1</v>
      </c>
      <c r="D1026">
        <v>0.0093</v>
      </c>
      <c r="E1026">
        <v>2</v>
      </c>
      <c r="F1026">
        <v>0.0146</v>
      </c>
      <c r="G1026">
        <v>0</v>
      </c>
      <c r="H1026">
        <v>0</v>
      </c>
      <c r="I1026">
        <v>0</v>
      </c>
      <c r="J1026">
        <v>0</v>
      </c>
      <c r="K1026" t="s">
        <v>38</v>
      </c>
      <c r="L1026">
        <v>0</v>
      </c>
    </row>
    <row r="1027" spans="1:12">
      <c r="A1027" s="71">
        <v>43443</v>
      </c>
      <c r="B1027" t="s">
        <v>23</v>
      </c>
      <c r="C1027">
        <v>7</v>
      </c>
      <c r="D1027">
        <v>0.0648</v>
      </c>
      <c r="E1027">
        <v>12</v>
      </c>
      <c r="F1027">
        <v>0.0876</v>
      </c>
      <c r="G1027">
        <v>1</v>
      </c>
      <c r="H1027">
        <v>2</v>
      </c>
      <c r="I1027">
        <v>0.2857</v>
      </c>
      <c r="J1027">
        <v>23.98</v>
      </c>
      <c r="K1027" t="s">
        <v>40</v>
      </c>
      <c r="L1027">
        <v>0.285714285714286</v>
      </c>
    </row>
    <row r="1028" spans="1:12">
      <c r="A1028" s="71">
        <v>43443</v>
      </c>
      <c r="B1028" t="s">
        <v>22</v>
      </c>
      <c r="C1028">
        <v>65</v>
      </c>
      <c r="D1028">
        <v>0.6019</v>
      </c>
      <c r="E1028">
        <v>83</v>
      </c>
      <c r="F1028">
        <v>0.6058</v>
      </c>
      <c r="G1028">
        <v>1</v>
      </c>
      <c r="H1028">
        <v>14</v>
      </c>
      <c r="I1028">
        <v>0.2154</v>
      </c>
      <c r="J1028">
        <v>209.58</v>
      </c>
      <c r="K1028" t="s">
        <v>54</v>
      </c>
      <c r="L1028">
        <v>0.169230769230769</v>
      </c>
    </row>
    <row r="1029" spans="1:12">
      <c r="A1029" s="71">
        <v>43443</v>
      </c>
      <c r="B1029" t="s">
        <v>18</v>
      </c>
      <c r="C1029">
        <v>16</v>
      </c>
      <c r="D1029">
        <v>0.1481</v>
      </c>
      <c r="E1029">
        <v>17</v>
      </c>
      <c r="F1029">
        <v>0.1241</v>
      </c>
      <c r="G1029">
        <v>1</v>
      </c>
      <c r="H1029">
        <v>1</v>
      </c>
      <c r="I1029">
        <v>0.0625</v>
      </c>
      <c r="J1029">
        <v>29.99</v>
      </c>
      <c r="K1029" t="s">
        <v>39</v>
      </c>
      <c r="L1029">
        <v>0.0625</v>
      </c>
    </row>
    <row r="1030" spans="1:12">
      <c r="A1030" s="71">
        <v>43443</v>
      </c>
      <c r="B1030" t="s">
        <v>24</v>
      </c>
      <c r="C1030">
        <v>13</v>
      </c>
      <c r="D1030">
        <v>0.1204</v>
      </c>
      <c r="E1030">
        <v>16</v>
      </c>
      <c r="F1030">
        <v>0.1168</v>
      </c>
      <c r="G1030">
        <v>1</v>
      </c>
      <c r="H1030">
        <v>1</v>
      </c>
      <c r="I1030">
        <v>0.0769</v>
      </c>
      <c r="J1030">
        <v>12.99</v>
      </c>
      <c r="K1030" t="s">
        <v>39</v>
      </c>
      <c r="L1030">
        <v>0.0769230769230769</v>
      </c>
    </row>
    <row r="1031" spans="1:12">
      <c r="A1031" s="71">
        <v>43444</v>
      </c>
      <c r="B1031" t="s">
        <v>20</v>
      </c>
      <c r="C1031">
        <v>1</v>
      </c>
      <c r="D1031">
        <v>0.0102</v>
      </c>
      <c r="E1031">
        <v>2</v>
      </c>
      <c r="F1031">
        <v>0.0154</v>
      </c>
      <c r="G1031">
        <v>1</v>
      </c>
      <c r="H1031">
        <v>0</v>
      </c>
      <c r="I1031">
        <v>0</v>
      </c>
      <c r="J1031">
        <v>0</v>
      </c>
      <c r="K1031" t="s">
        <v>38</v>
      </c>
      <c r="L1031">
        <v>0</v>
      </c>
    </row>
    <row r="1032" spans="1:12">
      <c r="A1032" s="71">
        <v>43444</v>
      </c>
      <c r="B1032" t="s">
        <v>21</v>
      </c>
      <c r="C1032">
        <v>2</v>
      </c>
      <c r="D1032">
        <v>0.0204</v>
      </c>
      <c r="E1032">
        <v>3</v>
      </c>
      <c r="F1032">
        <v>0.0231</v>
      </c>
      <c r="G1032">
        <v>1</v>
      </c>
      <c r="H1032">
        <v>0</v>
      </c>
      <c r="I1032">
        <v>0</v>
      </c>
      <c r="J1032">
        <v>0</v>
      </c>
      <c r="K1032" t="s">
        <v>38</v>
      </c>
      <c r="L1032">
        <v>0</v>
      </c>
    </row>
    <row r="1033" spans="1:12">
      <c r="A1033" s="71">
        <v>43444</v>
      </c>
      <c r="B1033" t="s">
        <v>27</v>
      </c>
      <c r="C1033">
        <v>4</v>
      </c>
      <c r="D1033">
        <v>0.0408</v>
      </c>
      <c r="E1033">
        <v>4</v>
      </c>
      <c r="F1033">
        <v>0.0308</v>
      </c>
      <c r="G1033">
        <v>0.75</v>
      </c>
      <c r="H1033">
        <v>0</v>
      </c>
      <c r="I1033">
        <v>0</v>
      </c>
      <c r="J1033">
        <v>0</v>
      </c>
      <c r="K1033" t="s">
        <v>38</v>
      </c>
      <c r="L1033">
        <v>0</v>
      </c>
    </row>
    <row r="1034" spans="1:12">
      <c r="A1034" s="71">
        <v>43444</v>
      </c>
      <c r="B1034" t="s">
        <v>22</v>
      </c>
      <c r="C1034">
        <v>56</v>
      </c>
      <c r="D1034">
        <v>0.5714</v>
      </c>
      <c r="E1034">
        <v>68</v>
      </c>
      <c r="F1034">
        <v>0.5231</v>
      </c>
      <c r="G1034">
        <v>0.99</v>
      </c>
      <c r="H1034">
        <v>11</v>
      </c>
      <c r="I1034">
        <v>0.1964</v>
      </c>
      <c r="J1034">
        <v>164.67</v>
      </c>
      <c r="K1034" t="s">
        <v>54</v>
      </c>
      <c r="L1034">
        <v>0.196428571428571</v>
      </c>
    </row>
    <row r="1035" spans="1:12">
      <c r="A1035" s="71">
        <v>43444</v>
      </c>
      <c r="B1035" t="s">
        <v>23</v>
      </c>
      <c r="C1035">
        <v>9</v>
      </c>
      <c r="D1035">
        <v>0.0918</v>
      </c>
      <c r="E1035">
        <v>18</v>
      </c>
      <c r="F1035">
        <v>0.1385</v>
      </c>
      <c r="G1035">
        <v>1</v>
      </c>
      <c r="H1035">
        <v>4</v>
      </c>
      <c r="I1035">
        <v>0.4444</v>
      </c>
      <c r="J1035">
        <v>47.96</v>
      </c>
      <c r="K1035" t="s">
        <v>39</v>
      </c>
      <c r="L1035">
        <v>0.111111111111111</v>
      </c>
    </row>
    <row r="1036" spans="1:12">
      <c r="A1036" s="71">
        <v>43444</v>
      </c>
      <c r="B1036" t="s">
        <v>24</v>
      </c>
      <c r="C1036">
        <v>7</v>
      </c>
      <c r="D1036">
        <v>0.0714</v>
      </c>
      <c r="E1036">
        <v>10</v>
      </c>
      <c r="F1036">
        <v>0.0769</v>
      </c>
      <c r="G1036">
        <v>1</v>
      </c>
      <c r="H1036">
        <v>7</v>
      </c>
      <c r="I1036">
        <v>1</v>
      </c>
      <c r="J1036">
        <v>90.93</v>
      </c>
      <c r="K1036" t="s">
        <v>43</v>
      </c>
      <c r="L1036">
        <v>0.714285714285714</v>
      </c>
    </row>
    <row r="1037" spans="1:12">
      <c r="A1037" s="71">
        <v>43444</v>
      </c>
      <c r="B1037" t="s">
        <v>18</v>
      </c>
      <c r="C1037">
        <v>17</v>
      </c>
      <c r="D1037">
        <v>0.1735</v>
      </c>
      <c r="E1037">
        <v>23</v>
      </c>
      <c r="F1037">
        <v>0.1769</v>
      </c>
      <c r="G1037">
        <v>1</v>
      </c>
      <c r="H1037">
        <v>3</v>
      </c>
      <c r="I1037">
        <v>0.1765</v>
      </c>
      <c r="J1037">
        <v>89.97</v>
      </c>
      <c r="K1037" t="s">
        <v>41</v>
      </c>
      <c r="L1037">
        <v>0.176470588235294</v>
      </c>
    </row>
    <row r="1038" spans="1:12">
      <c r="A1038" s="71">
        <v>43444</v>
      </c>
      <c r="B1038" t="s">
        <v>19</v>
      </c>
      <c r="C1038">
        <v>2</v>
      </c>
      <c r="D1038">
        <v>0.0204</v>
      </c>
      <c r="E1038">
        <v>2</v>
      </c>
      <c r="F1038">
        <v>0.0154</v>
      </c>
      <c r="G1038">
        <v>1</v>
      </c>
      <c r="H1038">
        <v>2</v>
      </c>
      <c r="I1038">
        <v>1</v>
      </c>
      <c r="J1038">
        <v>35.94</v>
      </c>
      <c r="K1038" t="s">
        <v>40</v>
      </c>
      <c r="L1038">
        <v>1</v>
      </c>
    </row>
    <row r="1039" spans="1:12">
      <c r="A1039" s="71">
        <v>43445</v>
      </c>
      <c r="B1039" t="s">
        <v>19</v>
      </c>
      <c r="C1039">
        <v>2</v>
      </c>
      <c r="D1039">
        <v>0.0339</v>
      </c>
      <c r="E1039">
        <v>2</v>
      </c>
      <c r="F1039">
        <v>0.027</v>
      </c>
      <c r="G1039">
        <v>1</v>
      </c>
      <c r="H1039">
        <v>0</v>
      </c>
      <c r="I1039">
        <v>0</v>
      </c>
      <c r="J1039">
        <v>0</v>
      </c>
      <c r="K1039" t="s">
        <v>38</v>
      </c>
      <c r="L1039">
        <v>0</v>
      </c>
    </row>
    <row r="1040" spans="1:12">
      <c r="A1040" s="71">
        <v>43445</v>
      </c>
      <c r="B1040" t="s">
        <v>23</v>
      </c>
      <c r="C1040">
        <v>4</v>
      </c>
      <c r="D1040">
        <v>0.0678</v>
      </c>
      <c r="E1040">
        <v>4</v>
      </c>
      <c r="F1040">
        <v>0.0541</v>
      </c>
      <c r="G1040">
        <v>1</v>
      </c>
      <c r="H1040">
        <v>0</v>
      </c>
      <c r="I1040">
        <v>0</v>
      </c>
      <c r="J1040">
        <v>0</v>
      </c>
      <c r="K1040" t="s">
        <v>38</v>
      </c>
      <c r="L1040">
        <v>0</v>
      </c>
    </row>
    <row r="1041" spans="1:12">
      <c r="A1041" s="71">
        <v>43445</v>
      </c>
      <c r="B1041" t="s">
        <v>18</v>
      </c>
      <c r="C1041">
        <v>10</v>
      </c>
      <c r="D1041">
        <v>0.1695</v>
      </c>
      <c r="E1041">
        <v>12</v>
      </c>
      <c r="F1041">
        <v>0.1622</v>
      </c>
      <c r="G1041">
        <v>1</v>
      </c>
      <c r="H1041">
        <v>1</v>
      </c>
      <c r="I1041">
        <v>0.1</v>
      </c>
      <c r="J1041">
        <v>0</v>
      </c>
      <c r="K1041" t="s">
        <v>39</v>
      </c>
      <c r="L1041">
        <v>0.1</v>
      </c>
    </row>
    <row r="1042" spans="1:12">
      <c r="A1042" s="71">
        <v>43445</v>
      </c>
      <c r="B1042" t="s">
        <v>22</v>
      </c>
      <c r="C1042">
        <v>38</v>
      </c>
      <c r="D1042">
        <v>0.6441</v>
      </c>
      <c r="E1042">
        <v>49</v>
      </c>
      <c r="F1042">
        <v>0.6622</v>
      </c>
      <c r="G1042">
        <v>1</v>
      </c>
      <c r="H1042">
        <v>11</v>
      </c>
      <c r="I1042">
        <v>0.2895</v>
      </c>
      <c r="J1042">
        <v>164.67</v>
      </c>
      <c r="K1042" t="s">
        <v>47</v>
      </c>
      <c r="L1042">
        <v>0.263157894736842</v>
      </c>
    </row>
    <row r="1043" spans="1:12">
      <c r="A1043" s="71">
        <v>43445</v>
      </c>
      <c r="B1043" t="s">
        <v>24</v>
      </c>
      <c r="C1043">
        <v>5</v>
      </c>
      <c r="D1043">
        <v>0.0847</v>
      </c>
      <c r="E1043">
        <v>7</v>
      </c>
      <c r="F1043">
        <v>0.0946</v>
      </c>
      <c r="G1043">
        <v>1</v>
      </c>
      <c r="H1043">
        <v>1</v>
      </c>
      <c r="I1043">
        <v>0.2</v>
      </c>
      <c r="J1043">
        <v>12.99</v>
      </c>
      <c r="K1043" t="s">
        <v>39</v>
      </c>
      <c r="L1043">
        <v>0.2</v>
      </c>
    </row>
    <row r="1044" spans="1:12">
      <c r="A1044" s="71">
        <v>43446</v>
      </c>
      <c r="B1044" t="s">
        <v>27</v>
      </c>
      <c r="C1044">
        <v>1</v>
      </c>
      <c r="D1044">
        <v>0.0149</v>
      </c>
      <c r="E1044">
        <v>1</v>
      </c>
      <c r="F1044">
        <v>0.0108</v>
      </c>
      <c r="G1044">
        <v>1</v>
      </c>
      <c r="H1044">
        <v>0</v>
      </c>
      <c r="I1044">
        <v>0</v>
      </c>
      <c r="J1044">
        <v>0</v>
      </c>
      <c r="K1044" t="s">
        <v>38</v>
      </c>
      <c r="L1044">
        <v>0</v>
      </c>
    </row>
    <row r="1045" spans="1:12">
      <c r="A1045" s="71">
        <v>43446</v>
      </c>
      <c r="B1045" t="s">
        <v>20</v>
      </c>
      <c r="C1045">
        <v>2</v>
      </c>
      <c r="D1045">
        <v>0.0299</v>
      </c>
      <c r="E1045">
        <v>3</v>
      </c>
      <c r="F1045">
        <v>0.0323</v>
      </c>
      <c r="G1045">
        <v>1</v>
      </c>
      <c r="H1045">
        <v>0</v>
      </c>
      <c r="I1045">
        <v>0</v>
      </c>
      <c r="J1045">
        <v>0</v>
      </c>
      <c r="K1045" t="s">
        <v>38</v>
      </c>
      <c r="L1045">
        <v>0</v>
      </c>
    </row>
    <row r="1046" spans="1:12">
      <c r="A1046" s="71">
        <v>43446</v>
      </c>
      <c r="B1046" t="s">
        <v>19</v>
      </c>
      <c r="C1046">
        <v>3</v>
      </c>
      <c r="D1046">
        <v>0.0448</v>
      </c>
      <c r="E1046">
        <v>3</v>
      </c>
      <c r="F1046">
        <v>0.0323</v>
      </c>
      <c r="G1046">
        <v>1</v>
      </c>
      <c r="H1046">
        <v>0</v>
      </c>
      <c r="I1046">
        <v>0</v>
      </c>
      <c r="J1046">
        <v>0</v>
      </c>
      <c r="K1046" t="s">
        <v>38</v>
      </c>
      <c r="L1046">
        <v>0</v>
      </c>
    </row>
    <row r="1047" spans="1:12">
      <c r="A1047" s="71">
        <v>43446</v>
      </c>
      <c r="B1047" t="s">
        <v>21</v>
      </c>
      <c r="C1047">
        <v>1</v>
      </c>
      <c r="D1047">
        <v>0.0149</v>
      </c>
      <c r="E1047">
        <v>2</v>
      </c>
      <c r="F1047">
        <v>0.0215</v>
      </c>
      <c r="G1047">
        <v>0.5</v>
      </c>
      <c r="H1047">
        <v>0</v>
      </c>
      <c r="I1047">
        <v>0</v>
      </c>
      <c r="J1047">
        <v>0</v>
      </c>
      <c r="K1047" t="s">
        <v>38</v>
      </c>
      <c r="L1047">
        <v>0</v>
      </c>
    </row>
    <row r="1048" spans="1:12">
      <c r="A1048" s="71">
        <v>43446</v>
      </c>
      <c r="B1048" t="s">
        <v>23</v>
      </c>
      <c r="C1048">
        <v>8</v>
      </c>
      <c r="D1048">
        <v>0.1194</v>
      </c>
      <c r="E1048">
        <v>12</v>
      </c>
      <c r="F1048">
        <v>0.129</v>
      </c>
      <c r="G1048">
        <v>1</v>
      </c>
      <c r="H1048">
        <v>3</v>
      </c>
      <c r="I1048">
        <v>0.375</v>
      </c>
      <c r="J1048">
        <v>35.97</v>
      </c>
      <c r="K1048" t="s">
        <v>41</v>
      </c>
      <c r="L1048">
        <v>0.375</v>
      </c>
    </row>
    <row r="1049" spans="1:12">
      <c r="A1049" s="71">
        <v>43446</v>
      </c>
      <c r="B1049" t="s">
        <v>24</v>
      </c>
      <c r="C1049">
        <v>11</v>
      </c>
      <c r="D1049">
        <v>0.1642</v>
      </c>
      <c r="E1049">
        <v>14</v>
      </c>
      <c r="F1049">
        <v>0.1505</v>
      </c>
      <c r="G1049">
        <v>1</v>
      </c>
      <c r="H1049">
        <v>2</v>
      </c>
      <c r="I1049">
        <v>0.1818</v>
      </c>
      <c r="J1049">
        <v>25.98</v>
      </c>
      <c r="K1049" t="s">
        <v>40</v>
      </c>
      <c r="L1049">
        <v>0.181818181818182</v>
      </c>
    </row>
    <row r="1050" spans="1:12">
      <c r="A1050" s="71">
        <v>43446</v>
      </c>
      <c r="B1050" t="s">
        <v>18</v>
      </c>
      <c r="C1050">
        <v>8</v>
      </c>
      <c r="D1050">
        <v>0.1194</v>
      </c>
      <c r="E1050">
        <v>12</v>
      </c>
      <c r="F1050">
        <v>0.129</v>
      </c>
      <c r="G1050">
        <v>1</v>
      </c>
      <c r="H1050">
        <v>2</v>
      </c>
      <c r="I1050">
        <v>0.25</v>
      </c>
      <c r="J1050">
        <v>59.98</v>
      </c>
      <c r="K1050" t="s">
        <v>40</v>
      </c>
      <c r="L1050">
        <v>0.25</v>
      </c>
    </row>
    <row r="1051" spans="1:12">
      <c r="A1051" s="71">
        <v>43446</v>
      </c>
      <c r="B1051" t="s">
        <v>22</v>
      </c>
      <c r="C1051">
        <v>33</v>
      </c>
      <c r="D1051">
        <v>0.4925</v>
      </c>
      <c r="E1051">
        <v>46</v>
      </c>
      <c r="F1051">
        <v>0.4946</v>
      </c>
      <c r="G1051">
        <v>1</v>
      </c>
      <c r="H1051">
        <v>18</v>
      </c>
      <c r="I1051">
        <v>0.5455</v>
      </c>
      <c r="J1051">
        <v>269.46</v>
      </c>
      <c r="K1051" t="s">
        <v>53</v>
      </c>
      <c r="L1051">
        <v>0.393939393939394</v>
      </c>
    </row>
    <row r="1052" spans="1:12">
      <c r="A1052" s="71">
        <v>43447</v>
      </c>
      <c r="B1052" t="s">
        <v>19</v>
      </c>
      <c r="C1052">
        <v>1</v>
      </c>
      <c r="D1052">
        <v>0.0139</v>
      </c>
      <c r="E1052">
        <v>1</v>
      </c>
      <c r="F1052">
        <v>0.0111</v>
      </c>
      <c r="G1052">
        <v>1</v>
      </c>
      <c r="H1052">
        <v>0</v>
      </c>
      <c r="I1052">
        <v>0</v>
      </c>
      <c r="J1052">
        <v>0</v>
      </c>
      <c r="K1052" t="s">
        <v>38</v>
      </c>
      <c r="L1052">
        <v>0</v>
      </c>
    </row>
    <row r="1053" spans="1:12">
      <c r="A1053" s="71">
        <v>43447</v>
      </c>
      <c r="B1053" t="s">
        <v>21</v>
      </c>
      <c r="C1053">
        <v>4</v>
      </c>
      <c r="D1053">
        <v>0.0556</v>
      </c>
      <c r="E1053">
        <v>6</v>
      </c>
      <c r="F1053">
        <v>0.0667</v>
      </c>
      <c r="G1053">
        <v>1</v>
      </c>
      <c r="H1053">
        <v>0</v>
      </c>
      <c r="I1053">
        <v>0</v>
      </c>
      <c r="J1053">
        <v>0</v>
      </c>
      <c r="K1053" t="s">
        <v>38</v>
      </c>
      <c r="L1053">
        <v>0</v>
      </c>
    </row>
    <row r="1054" spans="1:12">
      <c r="A1054" s="71">
        <v>43447</v>
      </c>
      <c r="B1054" t="s">
        <v>23</v>
      </c>
      <c r="C1054">
        <v>4</v>
      </c>
      <c r="D1054">
        <v>0.0556</v>
      </c>
      <c r="E1054">
        <v>5</v>
      </c>
      <c r="F1054">
        <v>0.0556</v>
      </c>
      <c r="G1054">
        <v>1</v>
      </c>
      <c r="H1054">
        <v>0</v>
      </c>
      <c r="I1054">
        <v>0</v>
      </c>
      <c r="J1054">
        <v>0</v>
      </c>
      <c r="K1054" t="s">
        <v>38</v>
      </c>
      <c r="L1054">
        <v>0</v>
      </c>
    </row>
    <row r="1055" spans="1:12">
      <c r="A1055" s="71">
        <v>43447</v>
      </c>
      <c r="B1055" t="s">
        <v>27</v>
      </c>
      <c r="C1055">
        <v>2</v>
      </c>
      <c r="D1055">
        <v>0.0278</v>
      </c>
      <c r="E1055">
        <v>3</v>
      </c>
      <c r="F1055">
        <v>0.0333</v>
      </c>
      <c r="G1055">
        <v>0</v>
      </c>
      <c r="H1055">
        <v>0</v>
      </c>
      <c r="I1055">
        <v>0</v>
      </c>
      <c r="J1055">
        <v>0</v>
      </c>
      <c r="K1055" t="s">
        <v>38</v>
      </c>
      <c r="L1055">
        <v>0</v>
      </c>
    </row>
    <row r="1056" spans="1:12">
      <c r="A1056" s="71">
        <v>43447</v>
      </c>
      <c r="B1056" t="s">
        <v>24</v>
      </c>
      <c r="C1056">
        <v>7</v>
      </c>
      <c r="D1056">
        <v>0.0972</v>
      </c>
      <c r="E1056">
        <v>8</v>
      </c>
      <c r="F1056">
        <v>0.0889</v>
      </c>
      <c r="G1056">
        <v>1</v>
      </c>
      <c r="H1056">
        <v>5</v>
      </c>
      <c r="I1056">
        <v>0.7143</v>
      </c>
      <c r="J1056">
        <v>64.95</v>
      </c>
      <c r="K1056" t="s">
        <v>43</v>
      </c>
      <c r="L1056">
        <v>0.714285714285714</v>
      </c>
    </row>
    <row r="1057" spans="1:12">
      <c r="A1057" s="71">
        <v>43447</v>
      </c>
      <c r="B1057" t="s">
        <v>18</v>
      </c>
      <c r="C1057">
        <v>16</v>
      </c>
      <c r="D1057">
        <v>0.2222</v>
      </c>
      <c r="E1057">
        <v>20</v>
      </c>
      <c r="F1057">
        <v>0.2222</v>
      </c>
      <c r="G1057">
        <v>1</v>
      </c>
      <c r="H1057">
        <v>3</v>
      </c>
      <c r="I1057">
        <v>0.1875</v>
      </c>
      <c r="J1057">
        <v>89.97</v>
      </c>
      <c r="K1057" t="s">
        <v>41</v>
      </c>
      <c r="L1057">
        <v>0.1875</v>
      </c>
    </row>
    <row r="1058" spans="1:12">
      <c r="A1058" s="71">
        <v>43447</v>
      </c>
      <c r="B1058" t="s">
        <v>22</v>
      </c>
      <c r="C1058">
        <v>38</v>
      </c>
      <c r="D1058">
        <v>0.5278</v>
      </c>
      <c r="E1058">
        <v>47</v>
      </c>
      <c r="F1058">
        <v>0.5222</v>
      </c>
      <c r="G1058">
        <v>1</v>
      </c>
      <c r="H1058">
        <v>9</v>
      </c>
      <c r="I1058">
        <v>0.2368</v>
      </c>
      <c r="J1058">
        <v>134.73</v>
      </c>
      <c r="K1058" t="s">
        <v>44</v>
      </c>
      <c r="L1058">
        <v>0.210526315789474</v>
      </c>
    </row>
    <row r="1059" spans="1:12">
      <c r="A1059" s="71">
        <v>43448</v>
      </c>
      <c r="B1059" t="s">
        <v>23</v>
      </c>
      <c r="C1059">
        <v>14</v>
      </c>
      <c r="D1059">
        <v>0.1944</v>
      </c>
      <c r="E1059">
        <v>20</v>
      </c>
      <c r="F1059">
        <v>0.1923</v>
      </c>
      <c r="G1059">
        <v>0.95</v>
      </c>
      <c r="H1059">
        <v>3</v>
      </c>
      <c r="I1059">
        <v>0.2143</v>
      </c>
      <c r="J1059">
        <v>35.97</v>
      </c>
      <c r="K1059" t="s">
        <v>40</v>
      </c>
      <c r="L1059">
        <v>0.142857142857143</v>
      </c>
    </row>
    <row r="1060" spans="1:12">
      <c r="A1060" s="71">
        <v>43448</v>
      </c>
      <c r="B1060" t="s">
        <v>27</v>
      </c>
      <c r="C1060">
        <v>3</v>
      </c>
      <c r="D1060">
        <v>0.0417</v>
      </c>
      <c r="E1060">
        <v>6</v>
      </c>
      <c r="F1060">
        <v>0.0577</v>
      </c>
      <c r="G1060">
        <v>0.33</v>
      </c>
      <c r="H1060">
        <v>1</v>
      </c>
      <c r="I1060">
        <v>0.3333</v>
      </c>
      <c r="J1060">
        <v>19.99</v>
      </c>
      <c r="K1060" t="s">
        <v>39</v>
      </c>
      <c r="L1060">
        <v>0.333333333333333</v>
      </c>
    </row>
    <row r="1061" spans="1:12">
      <c r="A1061" s="71">
        <v>43448</v>
      </c>
      <c r="B1061" t="s">
        <v>19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1</v>
      </c>
      <c r="I1061">
        <v>0</v>
      </c>
      <c r="J1061">
        <v>17.97</v>
      </c>
      <c r="K1061" t="s">
        <v>39</v>
      </c>
      <c r="L1061">
        <v>0</v>
      </c>
    </row>
    <row r="1062" spans="1:12">
      <c r="A1062" s="71">
        <v>43448</v>
      </c>
      <c r="B1062" t="s">
        <v>24</v>
      </c>
      <c r="C1062">
        <v>5</v>
      </c>
      <c r="D1062">
        <v>0.0694</v>
      </c>
      <c r="E1062">
        <v>10</v>
      </c>
      <c r="F1062">
        <v>0.0962</v>
      </c>
      <c r="G1062">
        <v>1</v>
      </c>
      <c r="H1062">
        <v>2</v>
      </c>
      <c r="I1062">
        <v>0.4</v>
      </c>
      <c r="J1062">
        <v>25.98</v>
      </c>
      <c r="K1062" t="s">
        <v>39</v>
      </c>
      <c r="L1062">
        <v>0.2</v>
      </c>
    </row>
    <row r="1063" spans="1:12">
      <c r="A1063" s="71">
        <v>43448</v>
      </c>
      <c r="B1063" t="s">
        <v>22</v>
      </c>
      <c r="C1063">
        <v>39</v>
      </c>
      <c r="D1063">
        <v>0.5417</v>
      </c>
      <c r="E1063">
        <v>53</v>
      </c>
      <c r="F1063">
        <v>0.5096</v>
      </c>
      <c r="G1063">
        <v>1</v>
      </c>
      <c r="H1063">
        <v>13</v>
      </c>
      <c r="I1063">
        <v>0.3333</v>
      </c>
      <c r="J1063">
        <v>194.61</v>
      </c>
      <c r="K1063" t="s">
        <v>49</v>
      </c>
      <c r="L1063">
        <v>0.307692307692308</v>
      </c>
    </row>
    <row r="1064" spans="1:12">
      <c r="A1064" s="71">
        <v>43448</v>
      </c>
      <c r="B1064" t="s">
        <v>18</v>
      </c>
      <c r="C1064">
        <v>11</v>
      </c>
      <c r="D1064">
        <v>0.1528</v>
      </c>
      <c r="E1064">
        <v>15</v>
      </c>
      <c r="F1064">
        <v>0.1442</v>
      </c>
      <c r="G1064">
        <v>1</v>
      </c>
      <c r="H1064">
        <v>1</v>
      </c>
      <c r="I1064">
        <v>0.0909</v>
      </c>
      <c r="J1064">
        <v>29.99</v>
      </c>
      <c r="K1064" t="s">
        <v>39</v>
      </c>
      <c r="L1064">
        <v>0.0909090909090909</v>
      </c>
    </row>
    <row r="1065" spans="1:12">
      <c r="A1065" s="71">
        <v>43449</v>
      </c>
      <c r="B1065" t="s">
        <v>27</v>
      </c>
      <c r="C1065">
        <v>1</v>
      </c>
      <c r="D1065">
        <v>0.0156</v>
      </c>
      <c r="E1065">
        <v>2</v>
      </c>
      <c r="F1065">
        <v>0.0233</v>
      </c>
      <c r="G1065">
        <v>1</v>
      </c>
      <c r="H1065">
        <v>0</v>
      </c>
      <c r="I1065">
        <v>0</v>
      </c>
      <c r="J1065">
        <v>0</v>
      </c>
      <c r="K1065" t="s">
        <v>38</v>
      </c>
      <c r="L1065">
        <v>0</v>
      </c>
    </row>
    <row r="1066" spans="1:12">
      <c r="A1066" s="71">
        <v>43449</v>
      </c>
      <c r="B1066" t="s">
        <v>18</v>
      </c>
      <c r="C1066">
        <v>9</v>
      </c>
      <c r="D1066">
        <v>0.1406</v>
      </c>
      <c r="E1066">
        <v>19</v>
      </c>
      <c r="F1066">
        <v>0.2209</v>
      </c>
      <c r="G1066">
        <v>1</v>
      </c>
      <c r="H1066">
        <v>0</v>
      </c>
      <c r="I1066">
        <v>0</v>
      </c>
      <c r="J1066">
        <v>0</v>
      </c>
      <c r="K1066" t="s">
        <v>38</v>
      </c>
      <c r="L1066">
        <v>0</v>
      </c>
    </row>
    <row r="1067" spans="1:12">
      <c r="A1067" s="71">
        <v>43449</v>
      </c>
      <c r="B1067" t="s">
        <v>19</v>
      </c>
      <c r="C1067">
        <v>3</v>
      </c>
      <c r="D1067">
        <v>0.0469</v>
      </c>
      <c r="E1067">
        <v>3</v>
      </c>
      <c r="F1067">
        <v>0.0349</v>
      </c>
      <c r="G1067">
        <v>1</v>
      </c>
      <c r="H1067">
        <v>0</v>
      </c>
      <c r="I1067">
        <v>0</v>
      </c>
      <c r="J1067">
        <v>0</v>
      </c>
      <c r="K1067" t="s">
        <v>38</v>
      </c>
      <c r="L1067">
        <v>0</v>
      </c>
    </row>
    <row r="1068" spans="1:12">
      <c r="A1068" s="71">
        <v>43449</v>
      </c>
      <c r="B1068" t="s">
        <v>24</v>
      </c>
      <c r="C1068">
        <v>5</v>
      </c>
      <c r="D1068">
        <v>0.0781</v>
      </c>
      <c r="E1068">
        <v>5</v>
      </c>
      <c r="F1068">
        <v>0.0581</v>
      </c>
      <c r="G1068">
        <v>1</v>
      </c>
      <c r="H1068">
        <v>5</v>
      </c>
      <c r="I1068">
        <v>1</v>
      </c>
      <c r="J1068">
        <v>64.95</v>
      </c>
      <c r="K1068" t="s">
        <v>41</v>
      </c>
      <c r="L1068">
        <v>0.6</v>
      </c>
    </row>
    <row r="1069" spans="1:12">
      <c r="A1069" s="71">
        <v>43449</v>
      </c>
      <c r="B1069" t="s">
        <v>23</v>
      </c>
      <c r="C1069">
        <v>5</v>
      </c>
      <c r="D1069">
        <v>0.0781</v>
      </c>
      <c r="E1069">
        <v>6</v>
      </c>
      <c r="F1069">
        <v>0.0698</v>
      </c>
      <c r="G1069">
        <v>1</v>
      </c>
      <c r="H1069">
        <v>3</v>
      </c>
      <c r="I1069">
        <v>0.6</v>
      </c>
      <c r="J1069">
        <v>35.97</v>
      </c>
      <c r="K1069" t="s">
        <v>40</v>
      </c>
      <c r="L1069">
        <v>0.4</v>
      </c>
    </row>
    <row r="1070" spans="1:12">
      <c r="A1070" s="71">
        <v>43449</v>
      </c>
      <c r="B1070" t="s">
        <v>22</v>
      </c>
      <c r="C1070">
        <v>41</v>
      </c>
      <c r="D1070">
        <v>0.6406</v>
      </c>
      <c r="E1070">
        <v>51</v>
      </c>
      <c r="F1070">
        <v>0.593</v>
      </c>
      <c r="G1070">
        <v>1</v>
      </c>
      <c r="H1070">
        <v>10</v>
      </c>
      <c r="I1070">
        <v>0.2439</v>
      </c>
      <c r="J1070">
        <v>149.7</v>
      </c>
      <c r="K1070" t="s">
        <v>46</v>
      </c>
      <c r="L1070">
        <v>0.170731707317073</v>
      </c>
    </row>
    <row r="1071" spans="1:12">
      <c r="A1071" s="71">
        <v>43450</v>
      </c>
      <c r="B1071" t="s">
        <v>27</v>
      </c>
      <c r="C1071">
        <v>1</v>
      </c>
      <c r="D1071">
        <v>0.0133</v>
      </c>
      <c r="E1071">
        <v>1</v>
      </c>
      <c r="F1071">
        <v>0.0105</v>
      </c>
      <c r="G1071">
        <v>1</v>
      </c>
      <c r="H1071">
        <v>0</v>
      </c>
      <c r="I1071">
        <v>0</v>
      </c>
      <c r="J1071">
        <v>0</v>
      </c>
      <c r="K1071" t="s">
        <v>38</v>
      </c>
      <c r="L1071">
        <v>0</v>
      </c>
    </row>
    <row r="1072" spans="1:12">
      <c r="A1072" s="71">
        <v>43450</v>
      </c>
      <c r="B1072" t="s">
        <v>19</v>
      </c>
      <c r="C1072">
        <v>4</v>
      </c>
      <c r="D1072">
        <v>0.0533</v>
      </c>
      <c r="E1072">
        <v>5</v>
      </c>
      <c r="F1072">
        <v>0.0526</v>
      </c>
      <c r="G1072">
        <v>1</v>
      </c>
      <c r="H1072">
        <v>0</v>
      </c>
      <c r="I1072">
        <v>0</v>
      </c>
      <c r="J1072">
        <v>0</v>
      </c>
      <c r="K1072" t="s">
        <v>38</v>
      </c>
      <c r="L1072">
        <v>0</v>
      </c>
    </row>
    <row r="1073" spans="1:12">
      <c r="A1073" s="71">
        <v>43450</v>
      </c>
      <c r="B1073" t="s">
        <v>23</v>
      </c>
      <c r="C1073">
        <v>7</v>
      </c>
      <c r="D1073">
        <v>0.0933</v>
      </c>
      <c r="E1073">
        <v>7</v>
      </c>
      <c r="F1073">
        <v>0.0737</v>
      </c>
      <c r="G1073">
        <v>1</v>
      </c>
      <c r="H1073">
        <v>4</v>
      </c>
      <c r="I1073">
        <v>0.5714</v>
      </c>
      <c r="J1073">
        <v>47.96</v>
      </c>
      <c r="K1073" t="s">
        <v>41</v>
      </c>
      <c r="L1073">
        <v>0.428571428571429</v>
      </c>
    </row>
    <row r="1074" spans="1:12">
      <c r="A1074" s="71">
        <v>43450</v>
      </c>
      <c r="B1074" t="s">
        <v>24</v>
      </c>
      <c r="C1074">
        <v>5</v>
      </c>
      <c r="D1074">
        <v>0.0667</v>
      </c>
      <c r="E1074">
        <v>5</v>
      </c>
      <c r="F1074">
        <v>0.0526</v>
      </c>
      <c r="G1074">
        <v>1</v>
      </c>
      <c r="H1074">
        <v>3</v>
      </c>
      <c r="I1074">
        <v>0.6</v>
      </c>
      <c r="J1074">
        <v>38.97</v>
      </c>
      <c r="K1074" t="s">
        <v>39</v>
      </c>
      <c r="L1074">
        <v>0.2</v>
      </c>
    </row>
    <row r="1075" spans="1:12">
      <c r="A1075" s="71">
        <v>43450</v>
      </c>
      <c r="B1075" t="s">
        <v>22</v>
      </c>
      <c r="C1075">
        <v>44</v>
      </c>
      <c r="D1075">
        <v>0.5867</v>
      </c>
      <c r="E1075">
        <v>58</v>
      </c>
      <c r="F1075">
        <v>0.6105</v>
      </c>
      <c r="G1075">
        <v>1</v>
      </c>
      <c r="H1075">
        <v>14</v>
      </c>
      <c r="I1075">
        <v>0.3182</v>
      </c>
      <c r="J1075">
        <v>209.58</v>
      </c>
      <c r="K1075" t="s">
        <v>53</v>
      </c>
      <c r="L1075">
        <v>0.295454545454546</v>
      </c>
    </row>
    <row r="1076" spans="1:12">
      <c r="A1076" s="71">
        <v>43450</v>
      </c>
      <c r="B1076" t="s">
        <v>18</v>
      </c>
      <c r="C1076">
        <v>14</v>
      </c>
      <c r="D1076">
        <v>0.1867</v>
      </c>
      <c r="E1076">
        <v>19</v>
      </c>
      <c r="F1076">
        <v>0.2</v>
      </c>
      <c r="G1076">
        <v>1</v>
      </c>
      <c r="H1076">
        <v>1</v>
      </c>
      <c r="I1076">
        <v>0.0714</v>
      </c>
      <c r="J1076">
        <v>29.99</v>
      </c>
      <c r="K1076" t="s">
        <v>39</v>
      </c>
      <c r="L1076">
        <v>0.0714285714285714</v>
      </c>
    </row>
    <row r="1077" spans="1:12">
      <c r="A1077" s="71">
        <v>43451</v>
      </c>
      <c r="B1077" t="s">
        <v>20</v>
      </c>
      <c r="C1077">
        <v>1</v>
      </c>
      <c r="D1077">
        <v>0.0112</v>
      </c>
      <c r="E1077">
        <v>1</v>
      </c>
      <c r="F1077">
        <v>0.0085</v>
      </c>
      <c r="G1077">
        <v>1</v>
      </c>
      <c r="H1077">
        <v>0</v>
      </c>
      <c r="I1077">
        <v>0</v>
      </c>
      <c r="J1077">
        <v>0</v>
      </c>
      <c r="K1077" t="s">
        <v>38</v>
      </c>
      <c r="L1077">
        <v>0</v>
      </c>
    </row>
    <row r="1078" spans="1:12">
      <c r="A1078" s="71">
        <v>43451</v>
      </c>
      <c r="B1078" t="s">
        <v>27</v>
      </c>
      <c r="C1078">
        <v>3</v>
      </c>
      <c r="D1078">
        <v>0.0337</v>
      </c>
      <c r="E1078">
        <v>4</v>
      </c>
      <c r="F1078">
        <v>0.0339</v>
      </c>
      <c r="G1078">
        <v>1</v>
      </c>
      <c r="H1078">
        <v>0</v>
      </c>
      <c r="I1078">
        <v>0</v>
      </c>
      <c r="J1078">
        <v>0</v>
      </c>
      <c r="K1078" t="s">
        <v>38</v>
      </c>
      <c r="L1078">
        <v>0</v>
      </c>
    </row>
    <row r="1079" spans="1:12">
      <c r="A1079" s="71">
        <v>43451</v>
      </c>
      <c r="B1079" t="s">
        <v>22</v>
      </c>
      <c r="C1079">
        <v>50</v>
      </c>
      <c r="D1079">
        <v>0.5618</v>
      </c>
      <c r="E1079">
        <v>61</v>
      </c>
      <c r="F1079">
        <v>0.5169</v>
      </c>
      <c r="G1079">
        <v>0.98</v>
      </c>
      <c r="H1079">
        <v>38</v>
      </c>
      <c r="I1079">
        <v>0.76</v>
      </c>
      <c r="J1079">
        <v>568.86</v>
      </c>
      <c r="K1079" t="s">
        <v>66</v>
      </c>
      <c r="L1079">
        <v>0.44</v>
      </c>
    </row>
    <row r="1080" spans="1:12">
      <c r="A1080" s="71">
        <v>43451</v>
      </c>
      <c r="B1080" t="s">
        <v>24</v>
      </c>
      <c r="C1080">
        <v>8</v>
      </c>
      <c r="D1080">
        <v>0.0899</v>
      </c>
      <c r="E1080">
        <v>12</v>
      </c>
      <c r="F1080">
        <v>0.1017</v>
      </c>
      <c r="G1080">
        <v>1</v>
      </c>
      <c r="H1080">
        <v>3</v>
      </c>
      <c r="I1080">
        <v>0.375</v>
      </c>
      <c r="J1080">
        <v>38.97</v>
      </c>
      <c r="K1080" t="s">
        <v>41</v>
      </c>
      <c r="L1080">
        <v>0.375</v>
      </c>
    </row>
    <row r="1081" spans="1:12">
      <c r="A1081" s="71">
        <v>43451</v>
      </c>
      <c r="B1081" t="s">
        <v>18</v>
      </c>
      <c r="C1081">
        <v>19</v>
      </c>
      <c r="D1081">
        <v>0.2135</v>
      </c>
      <c r="E1081">
        <v>26</v>
      </c>
      <c r="F1081">
        <v>0.2203</v>
      </c>
      <c r="G1081">
        <v>1</v>
      </c>
      <c r="H1081">
        <v>1</v>
      </c>
      <c r="I1081">
        <v>0.0526</v>
      </c>
      <c r="J1081">
        <v>29.99</v>
      </c>
      <c r="K1081" t="s">
        <v>39</v>
      </c>
      <c r="L1081">
        <v>0.0526315789473684</v>
      </c>
    </row>
    <row r="1082" spans="1:12">
      <c r="A1082" s="71">
        <v>43451</v>
      </c>
      <c r="B1082" t="s">
        <v>23</v>
      </c>
      <c r="C1082">
        <v>6</v>
      </c>
      <c r="D1082">
        <v>0.0674</v>
      </c>
      <c r="E1082">
        <v>10</v>
      </c>
      <c r="F1082">
        <v>0.0847</v>
      </c>
      <c r="G1082">
        <v>1</v>
      </c>
      <c r="H1082">
        <v>1</v>
      </c>
      <c r="I1082">
        <v>0.1667</v>
      </c>
      <c r="J1082">
        <v>11.99</v>
      </c>
      <c r="K1082" t="s">
        <v>39</v>
      </c>
      <c r="L1082">
        <v>0.166666666666667</v>
      </c>
    </row>
    <row r="1083" spans="1:12">
      <c r="A1083" s="71">
        <v>43451</v>
      </c>
      <c r="B1083" t="s">
        <v>19</v>
      </c>
      <c r="C1083">
        <v>2</v>
      </c>
      <c r="D1083">
        <v>0.0225</v>
      </c>
      <c r="E1083">
        <v>4</v>
      </c>
      <c r="F1083">
        <v>0.0339</v>
      </c>
      <c r="G1083">
        <v>1</v>
      </c>
      <c r="H1083">
        <v>1</v>
      </c>
      <c r="I1083">
        <v>0.5</v>
      </c>
      <c r="J1083">
        <v>17.97</v>
      </c>
      <c r="K1083" t="s">
        <v>39</v>
      </c>
      <c r="L1083">
        <v>0.5</v>
      </c>
    </row>
    <row r="1084" spans="1:12">
      <c r="A1084" s="71">
        <v>43452</v>
      </c>
      <c r="B1084" t="s">
        <v>27</v>
      </c>
      <c r="C1084">
        <v>1</v>
      </c>
      <c r="D1084">
        <v>0.0145</v>
      </c>
      <c r="E1084">
        <v>1</v>
      </c>
      <c r="F1084">
        <v>0.0089</v>
      </c>
      <c r="G1084">
        <v>1</v>
      </c>
      <c r="H1084">
        <v>0</v>
      </c>
      <c r="I1084">
        <v>0</v>
      </c>
      <c r="J1084">
        <v>0</v>
      </c>
      <c r="K1084" t="s">
        <v>38</v>
      </c>
      <c r="L1084">
        <v>0</v>
      </c>
    </row>
    <row r="1085" spans="1:12">
      <c r="A1085" s="71">
        <v>43452</v>
      </c>
      <c r="B1085" t="s">
        <v>21</v>
      </c>
      <c r="C1085">
        <v>1</v>
      </c>
      <c r="D1085">
        <v>0.0145</v>
      </c>
      <c r="E1085">
        <v>2</v>
      </c>
      <c r="F1085">
        <v>0.0179</v>
      </c>
      <c r="G1085">
        <v>1</v>
      </c>
      <c r="H1085">
        <v>0</v>
      </c>
      <c r="I1085">
        <v>0</v>
      </c>
      <c r="J1085">
        <v>0</v>
      </c>
      <c r="K1085" t="s">
        <v>38</v>
      </c>
      <c r="L1085">
        <v>0</v>
      </c>
    </row>
    <row r="1086" spans="1:12">
      <c r="A1086" s="71">
        <v>43452</v>
      </c>
      <c r="B1086" t="s">
        <v>23</v>
      </c>
      <c r="C1086">
        <v>8</v>
      </c>
      <c r="D1086">
        <v>0.1159</v>
      </c>
      <c r="E1086">
        <v>23</v>
      </c>
      <c r="F1086">
        <v>0.2054</v>
      </c>
      <c r="G1086">
        <v>1</v>
      </c>
      <c r="H1086">
        <v>0</v>
      </c>
      <c r="I1086">
        <v>0</v>
      </c>
      <c r="J1086">
        <v>0</v>
      </c>
      <c r="K1086" t="s">
        <v>38</v>
      </c>
      <c r="L1086">
        <v>0</v>
      </c>
    </row>
    <row r="1087" spans="1:12">
      <c r="A1087" s="71">
        <v>43452</v>
      </c>
      <c r="B1087" t="s">
        <v>18</v>
      </c>
      <c r="C1087">
        <v>4</v>
      </c>
      <c r="D1087">
        <v>0.058</v>
      </c>
      <c r="E1087">
        <v>7</v>
      </c>
      <c r="F1087">
        <v>0.0625</v>
      </c>
      <c r="G1087">
        <v>1</v>
      </c>
      <c r="H1087">
        <v>0</v>
      </c>
      <c r="I1087">
        <v>0</v>
      </c>
      <c r="J1087">
        <v>0</v>
      </c>
      <c r="K1087" t="s">
        <v>38</v>
      </c>
      <c r="L1087">
        <v>0</v>
      </c>
    </row>
    <row r="1088" spans="1:12">
      <c r="A1088" s="71">
        <v>43452</v>
      </c>
      <c r="B1088" t="s">
        <v>24</v>
      </c>
      <c r="C1088">
        <v>9</v>
      </c>
      <c r="D1088">
        <v>0.1304</v>
      </c>
      <c r="E1088">
        <v>13</v>
      </c>
      <c r="F1088">
        <v>0.1161</v>
      </c>
      <c r="G1088">
        <v>0.92</v>
      </c>
      <c r="H1088">
        <v>0</v>
      </c>
      <c r="I1088">
        <v>0</v>
      </c>
      <c r="J1088">
        <v>0</v>
      </c>
      <c r="K1088" t="s">
        <v>38</v>
      </c>
      <c r="L1088">
        <v>0</v>
      </c>
    </row>
    <row r="1089" spans="1:12">
      <c r="A1089" s="71">
        <v>43452</v>
      </c>
      <c r="B1089" t="s">
        <v>22</v>
      </c>
      <c r="C1089">
        <v>46</v>
      </c>
      <c r="D1089">
        <v>0.6667</v>
      </c>
      <c r="E1089">
        <v>66</v>
      </c>
      <c r="F1089">
        <v>0.5893</v>
      </c>
      <c r="G1089">
        <v>1</v>
      </c>
      <c r="H1089">
        <v>18</v>
      </c>
      <c r="I1089">
        <v>0.3913</v>
      </c>
      <c r="J1089">
        <v>269.46</v>
      </c>
      <c r="K1089" t="s">
        <v>53</v>
      </c>
      <c r="L1089">
        <v>0.282608695652174</v>
      </c>
    </row>
    <row r="1090" spans="1:12">
      <c r="A1090" s="71">
        <v>43453</v>
      </c>
      <c r="B1090" t="s">
        <v>20</v>
      </c>
      <c r="C1090">
        <v>2</v>
      </c>
      <c r="D1090">
        <v>0.0247</v>
      </c>
      <c r="E1090">
        <v>2</v>
      </c>
      <c r="F1090">
        <v>0.019</v>
      </c>
      <c r="G1090">
        <v>1</v>
      </c>
      <c r="H1090">
        <v>0</v>
      </c>
      <c r="I1090">
        <v>0</v>
      </c>
      <c r="J1090">
        <v>0</v>
      </c>
      <c r="K1090" t="s">
        <v>38</v>
      </c>
      <c r="L1090">
        <v>0</v>
      </c>
    </row>
    <row r="1091" spans="1:12">
      <c r="A1091" s="71">
        <v>43453</v>
      </c>
      <c r="B1091" t="s">
        <v>24</v>
      </c>
      <c r="C1091">
        <v>15</v>
      </c>
      <c r="D1091">
        <v>0.1852</v>
      </c>
      <c r="E1091">
        <v>17</v>
      </c>
      <c r="F1091">
        <v>0.1619</v>
      </c>
      <c r="G1091">
        <v>1</v>
      </c>
      <c r="H1091">
        <v>0</v>
      </c>
      <c r="I1091">
        <v>0</v>
      </c>
      <c r="J1091">
        <v>0</v>
      </c>
      <c r="K1091" t="s">
        <v>38</v>
      </c>
      <c r="L1091">
        <v>0</v>
      </c>
    </row>
    <row r="1092" spans="1:12">
      <c r="A1092" s="71">
        <v>43453</v>
      </c>
      <c r="B1092" t="s">
        <v>18</v>
      </c>
      <c r="C1092">
        <v>10</v>
      </c>
      <c r="D1092">
        <v>0.1235</v>
      </c>
      <c r="E1092">
        <v>14</v>
      </c>
      <c r="F1092">
        <v>0.1333</v>
      </c>
      <c r="G1092">
        <v>1</v>
      </c>
      <c r="H1092">
        <v>0</v>
      </c>
      <c r="I1092">
        <v>0</v>
      </c>
      <c r="J1092">
        <v>0</v>
      </c>
      <c r="K1092" t="s">
        <v>38</v>
      </c>
      <c r="L1092">
        <v>0</v>
      </c>
    </row>
    <row r="1093" spans="1:12">
      <c r="A1093" s="71">
        <v>43453</v>
      </c>
      <c r="B1093" t="s">
        <v>23</v>
      </c>
      <c r="C1093">
        <v>7</v>
      </c>
      <c r="D1093">
        <v>0.0864</v>
      </c>
      <c r="E1093">
        <v>8</v>
      </c>
      <c r="F1093">
        <v>0.0762</v>
      </c>
      <c r="G1093">
        <v>1</v>
      </c>
      <c r="H1093">
        <v>0</v>
      </c>
      <c r="I1093">
        <v>0</v>
      </c>
      <c r="J1093">
        <v>0</v>
      </c>
      <c r="K1093" t="s">
        <v>38</v>
      </c>
      <c r="L1093">
        <v>0</v>
      </c>
    </row>
    <row r="1094" spans="1:12">
      <c r="A1094" s="71">
        <v>43453</v>
      </c>
      <c r="B1094" t="s">
        <v>19</v>
      </c>
      <c r="C1094">
        <v>4</v>
      </c>
      <c r="D1094">
        <v>0.0494</v>
      </c>
      <c r="E1094">
        <v>6</v>
      </c>
      <c r="F1094">
        <v>0.0571</v>
      </c>
      <c r="G1094">
        <v>1</v>
      </c>
      <c r="H1094">
        <v>0</v>
      </c>
      <c r="I1094">
        <v>0</v>
      </c>
      <c r="J1094">
        <v>0</v>
      </c>
      <c r="K1094" t="s">
        <v>38</v>
      </c>
      <c r="L1094">
        <v>0</v>
      </c>
    </row>
    <row r="1095" spans="1:12">
      <c r="A1095" s="71">
        <v>43453</v>
      </c>
      <c r="B1095" t="s">
        <v>21</v>
      </c>
      <c r="C1095">
        <v>1</v>
      </c>
      <c r="D1095">
        <v>0.0123</v>
      </c>
      <c r="E1095">
        <v>1</v>
      </c>
      <c r="F1095">
        <v>0.0095</v>
      </c>
      <c r="G1095">
        <v>0</v>
      </c>
      <c r="H1095">
        <v>0</v>
      </c>
      <c r="I1095">
        <v>0</v>
      </c>
      <c r="J1095">
        <v>0</v>
      </c>
      <c r="K1095" t="s">
        <v>38</v>
      </c>
      <c r="L1095">
        <v>0</v>
      </c>
    </row>
    <row r="1096" spans="1:12">
      <c r="A1096" s="71">
        <v>43453</v>
      </c>
      <c r="B1096" t="s">
        <v>27</v>
      </c>
      <c r="C1096">
        <v>4</v>
      </c>
      <c r="D1096">
        <v>0.0494</v>
      </c>
      <c r="E1096">
        <v>8</v>
      </c>
      <c r="F1096">
        <v>0.0762</v>
      </c>
      <c r="G1096">
        <v>0.62</v>
      </c>
      <c r="H1096">
        <v>1</v>
      </c>
      <c r="I1096">
        <v>0.25</v>
      </c>
      <c r="J1096">
        <v>19.99</v>
      </c>
      <c r="K1096" t="s">
        <v>39</v>
      </c>
      <c r="L1096">
        <v>0.25</v>
      </c>
    </row>
    <row r="1097" spans="1:12">
      <c r="A1097" s="71">
        <v>43453</v>
      </c>
      <c r="B1097" t="s">
        <v>22</v>
      </c>
      <c r="C1097">
        <v>38</v>
      </c>
      <c r="D1097">
        <v>0.4691</v>
      </c>
      <c r="E1097">
        <v>49</v>
      </c>
      <c r="F1097">
        <v>0.4667</v>
      </c>
      <c r="G1097">
        <v>1</v>
      </c>
      <c r="H1097">
        <v>14</v>
      </c>
      <c r="I1097">
        <v>0.3684</v>
      </c>
      <c r="J1097">
        <v>209.58</v>
      </c>
      <c r="K1097" t="s">
        <v>55</v>
      </c>
      <c r="L1097">
        <v>0.368421052631579</v>
      </c>
    </row>
    <row r="1098" spans="1:12">
      <c r="A1098" s="71">
        <v>43454</v>
      </c>
      <c r="B1098" t="s">
        <v>27</v>
      </c>
      <c r="C1098">
        <v>1</v>
      </c>
      <c r="D1098">
        <v>0.0145</v>
      </c>
      <c r="E1098">
        <v>1</v>
      </c>
      <c r="F1098">
        <v>0.011</v>
      </c>
      <c r="G1098">
        <v>1</v>
      </c>
      <c r="H1098">
        <v>0</v>
      </c>
      <c r="I1098">
        <v>0</v>
      </c>
      <c r="J1098">
        <v>0</v>
      </c>
      <c r="K1098" t="s">
        <v>38</v>
      </c>
      <c r="L1098">
        <v>0</v>
      </c>
    </row>
    <row r="1099" spans="1:12">
      <c r="A1099" s="71">
        <v>43454</v>
      </c>
      <c r="B1099" t="s">
        <v>19</v>
      </c>
      <c r="C1099">
        <v>2</v>
      </c>
      <c r="D1099">
        <v>0.029</v>
      </c>
      <c r="E1099">
        <v>7</v>
      </c>
      <c r="F1099">
        <v>0.0769</v>
      </c>
      <c r="G1099">
        <v>1</v>
      </c>
      <c r="H1099">
        <v>0</v>
      </c>
      <c r="I1099">
        <v>0</v>
      </c>
      <c r="J1099">
        <v>0</v>
      </c>
      <c r="K1099" t="s">
        <v>38</v>
      </c>
      <c r="L1099">
        <v>0</v>
      </c>
    </row>
    <row r="1100" spans="1:12">
      <c r="A1100" s="71">
        <v>43454</v>
      </c>
      <c r="B1100" t="s">
        <v>18</v>
      </c>
      <c r="C1100">
        <v>9</v>
      </c>
      <c r="D1100">
        <v>0.1304</v>
      </c>
      <c r="E1100">
        <v>10</v>
      </c>
      <c r="F1100">
        <v>0.1099</v>
      </c>
      <c r="G1100">
        <v>1</v>
      </c>
      <c r="H1100">
        <v>0</v>
      </c>
      <c r="I1100">
        <v>0</v>
      </c>
      <c r="J1100">
        <v>0</v>
      </c>
      <c r="K1100" t="s">
        <v>38</v>
      </c>
      <c r="L1100">
        <v>0</v>
      </c>
    </row>
    <row r="1101" spans="1:12">
      <c r="A1101" s="71">
        <v>43454</v>
      </c>
      <c r="B1101" t="s">
        <v>22</v>
      </c>
      <c r="C1101">
        <v>45</v>
      </c>
      <c r="D1101">
        <v>0.6522</v>
      </c>
      <c r="E1101">
        <v>59</v>
      </c>
      <c r="F1101">
        <v>0.6484</v>
      </c>
      <c r="G1101">
        <v>0.98</v>
      </c>
      <c r="H1101">
        <v>12</v>
      </c>
      <c r="I1101">
        <v>0.2667</v>
      </c>
      <c r="J1101">
        <v>179.64</v>
      </c>
      <c r="K1101" t="s">
        <v>46</v>
      </c>
      <c r="L1101">
        <v>0.155555555555556</v>
      </c>
    </row>
    <row r="1102" spans="1:12">
      <c r="A1102" s="71">
        <v>43454</v>
      </c>
      <c r="B1102" t="s">
        <v>23</v>
      </c>
      <c r="C1102">
        <v>10</v>
      </c>
      <c r="D1102">
        <v>0.1449</v>
      </c>
      <c r="E1102">
        <v>11</v>
      </c>
      <c r="F1102">
        <v>0.1209</v>
      </c>
      <c r="G1102">
        <v>1</v>
      </c>
      <c r="H1102">
        <v>1</v>
      </c>
      <c r="I1102">
        <v>0.1</v>
      </c>
      <c r="J1102">
        <v>11.99</v>
      </c>
      <c r="K1102" t="s">
        <v>39</v>
      </c>
      <c r="L1102">
        <v>0.1</v>
      </c>
    </row>
    <row r="1103" spans="1:12">
      <c r="A1103" s="71">
        <v>43454</v>
      </c>
      <c r="B1103" t="s">
        <v>24</v>
      </c>
      <c r="C1103">
        <v>2</v>
      </c>
      <c r="D1103">
        <v>0.029</v>
      </c>
      <c r="E1103">
        <v>3</v>
      </c>
      <c r="F1103">
        <v>0.033</v>
      </c>
      <c r="G1103">
        <v>1</v>
      </c>
      <c r="H1103">
        <v>1</v>
      </c>
      <c r="I1103">
        <v>0.5</v>
      </c>
      <c r="J1103">
        <v>12.99</v>
      </c>
      <c r="K1103" t="s">
        <v>39</v>
      </c>
      <c r="L1103">
        <v>0.5</v>
      </c>
    </row>
    <row r="1104" spans="1:12">
      <c r="A1104" s="71">
        <v>43455</v>
      </c>
      <c r="B1104" t="s">
        <v>21</v>
      </c>
      <c r="C1104">
        <v>1</v>
      </c>
      <c r="D1104">
        <v>0.0263</v>
      </c>
      <c r="E1104">
        <v>1</v>
      </c>
      <c r="F1104">
        <v>0.0185</v>
      </c>
      <c r="G1104">
        <v>1</v>
      </c>
      <c r="H1104">
        <v>0</v>
      </c>
      <c r="I1104">
        <v>0</v>
      </c>
      <c r="J1104">
        <v>0</v>
      </c>
      <c r="K1104" t="s">
        <v>38</v>
      </c>
      <c r="L1104">
        <v>0</v>
      </c>
    </row>
    <row r="1105" spans="1:12">
      <c r="A1105" s="71">
        <v>43455</v>
      </c>
      <c r="B1105" t="s">
        <v>19</v>
      </c>
      <c r="C1105">
        <v>2</v>
      </c>
      <c r="D1105">
        <v>0.0526</v>
      </c>
      <c r="E1105">
        <v>9</v>
      </c>
      <c r="F1105">
        <v>0.1667</v>
      </c>
      <c r="G1105">
        <v>1</v>
      </c>
      <c r="H1105">
        <v>0</v>
      </c>
      <c r="I1105">
        <v>0</v>
      </c>
      <c r="J1105">
        <v>0</v>
      </c>
      <c r="K1105" t="s">
        <v>38</v>
      </c>
      <c r="L1105">
        <v>0</v>
      </c>
    </row>
    <row r="1106" spans="1:12">
      <c r="A1106" s="71">
        <v>43455</v>
      </c>
      <c r="B1106" t="s">
        <v>23</v>
      </c>
      <c r="C1106">
        <v>2</v>
      </c>
      <c r="D1106">
        <v>0.0526</v>
      </c>
      <c r="E1106">
        <v>2</v>
      </c>
      <c r="F1106">
        <v>0.037</v>
      </c>
      <c r="G1106">
        <v>1</v>
      </c>
      <c r="H1106">
        <v>0</v>
      </c>
      <c r="I1106">
        <v>0</v>
      </c>
      <c r="J1106">
        <v>0</v>
      </c>
      <c r="K1106" t="s">
        <v>38</v>
      </c>
      <c r="L1106">
        <v>0</v>
      </c>
    </row>
    <row r="1107" spans="1:12">
      <c r="A1107" s="71">
        <v>43455</v>
      </c>
      <c r="B1107" t="s">
        <v>18</v>
      </c>
      <c r="C1107">
        <v>6</v>
      </c>
      <c r="D1107">
        <v>0.1579</v>
      </c>
      <c r="E1107">
        <v>7</v>
      </c>
      <c r="F1107">
        <v>0.1296</v>
      </c>
      <c r="G1107">
        <v>1</v>
      </c>
      <c r="H1107">
        <v>0</v>
      </c>
      <c r="I1107">
        <v>0</v>
      </c>
      <c r="J1107">
        <v>0</v>
      </c>
      <c r="K1107" t="s">
        <v>38</v>
      </c>
      <c r="L1107">
        <v>0</v>
      </c>
    </row>
    <row r="1108" spans="1:12">
      <c r="A1108" s="71">
        <v>43455</v>
      </c>
      <c r="B1108" t="s">
        <v>24</v>
      </c>
      <c r="C1108">
        <v>3</v>
      </c>
      <c r="D1108">
        <v>0.0789</v>
      </c>
      <c r="E1108">
        <v>5</v>
      </c>
      <c r="F1108">
        <v>0.0926</v>
      </c>
      <c r="G1108">
        <v>1</v>
      </c>
      <c r="H1108">
        <v>0</v>
      </c>
      <c r="I1108">
        <v>0</v>
      </c>
      <c r="J1108">
        <v>0</v>
      </c>
      <c r="K1108" t="s">
        <v>38</v>
      </c>
      <c r="L1108">
        <v>0</v>
      </c>
    </row>
    <row r="1109" spans="1:12">
      <c r="A1109" s="71">
        <v>43455</v>
      </c>
      <c r="B1109" t="s">
        <v>22</v>
      </c>
      <c r="C1109">
        <v>24</v>
      </c>
      <c r="D1109">
        <v>0.6316</v>
      </c>
      <c r="E1109">
        <v>30</v>
      </c>
      <c r="F1109">
        <v>0.5556</v>
      </c>
      <c r="G1109">
        <v>1</v>
      </c>
      <c r="H1109">
        <v>9</v>
      </c>
      <c r="I1109">
        <v>0.375</v>
      </c>
      <c r="J1109">
        <v>134.73</v>
      </c>
      <c r="K1109" t="s">
        <v>48</v>
      </c>
      <c r="L1109">
        <v>0.375</v>
      </c>
    </row>
    <row r="1110" spans="1:12">
      <c r="A1110" s="71">
        <v>43456</v>
      </c>
      <c r="B1110" t="s">
        <v>21</v>
      </c>
      <c r="C1110">
        <v>1</v>
      </c>
      <c r="D1110">
        <v>0.0238</v>
      </c>
      <c r="E1110">
        <v>1</v>
      </c>
      <c r="F1110">
        <v>0.0172</v>
      </c>
      <c r="G1110">
        <v>1</v>
      </c>
      <c r="H1110">
        <v>0</v>
      </c>
      <c r="I1110">
        <v>0</v>
      </c>
      <c r="J1110">
        <v>0</v>
      </c>
      <c r="K1110" t="s">
        <v>38</v>
      </c>
      <c r="L1110">
        <v>0</v>
      </c>
    </row>
    <row r="1111" spans="1:12">
      <c r="A1111" s="71">
        <v>43456</v>
      </c>
      <c r="B1111" t="s">
        <v>19</v>
      </c>
      <c r="C1111">
        <v>1</v>
      </c>
      <c r="D1111">
        <v>0.0238</v>
      </c>
      <c r="E1111">
        <v>1</v>
      </c>
      <c r="F1111">
        <v>0.0172</v>
      </c>
      <c r="G1111">
        <v>1</v>
      </c>
      <c r="H1111">
        <v>0</v>
      </c>
      <c r="I1111">
        <v>0</v>
      </c>
      <c r="J1111">
        <v>0</v>
      </c>
      <c r="K1111" t="s">
        <v>38</v>
      </c>
      <c r="L1111">
        <v>0</v>
      </c>
    </row>
    <row r="1112" spans="1:12">
      <c r="A1112" s="71">
        <v>43456</v>
      </c>
      <c r="B1112" t="s">
        <v>27</v>
      </c>
      <c r="C1112">
        <v>0</v>
      </c>
      <c r="D1112">
        <v>0</v>
      </c>
      <c r="E1112">
        <v>0</v>
      </c>
      <c r="F1112">
        <v>0</v>
      </c>
      <c r="G1112">
        <v>0</v>
      </c>
      <c r="H1112">
        <v>1</v>
      </c>
      <c r="I1112">
        <v>0</v>
      </c>
      <c r="J1112">
        <v>19.99</v>
      </c>
      <c r="K1112" t="s">
        <v>39</v>
      </c>
      <c r="L1112">
        <v>0</v>
      </c>
    </row>
    <row r="1113" spans="1:12">
      <c r="A1113" s="71">
        <v>43456</v>
      </c>
      <c r="B1113" t="s">
        <v>22</v>
      </c>
      <c r="C1113">
        <v>24</v>
      </c>
      <c r="D1113">
        <v>0.5714</v>
      </c>
      <c r="E1113">
        <v>36</v>
      </c>
      <c r="F1113">
        <v>0.6207</v>
      </c>
      <c r="G1113">
        <v>1</v>
      </c>
      <c r="H1113">
        <v>8</v>
      </c>
      <c r="I1113">
        <v>0.3333</v>
      </c>
      <c r="J1113">
        <v>119.76</v>
      </c>
      <c r="K1113" t="s">
        <v>45</v>
      </c>
      <c r="L1113">
        <v>0.25</v>
      </c>
    </row>
    <row r="1114" spans="1:12">
      <c r="A1114" s="71">
        <v>43456</v>
      </c>
      <c r="B1114" t="s">
        <v>18</v>
      </c>
      <c r="C1114">
        <v>11</v>
      </c>
      <c r="D1114">
        <v>0.2619</v>
      </c>
      <c r="E1114">
        <v>14</v>
      </c>
      <c r="F1114">
        <v>0.2414</v>
      </c>
      <c r="G1114">
        <v>1</v>
      </c>
      <c r="H1114">
        <v>1</v>
      </c>
      <c r="I1114">
        <v>0.0909</v>
      </c>
      <c r="J1114">
        <v>29.99</v>
      </c>
      <c r="K1114" t="s">
        <v>39</v>
      </c>
      <c r="L1114">
        <v>0.0909090909090909</v>
      </c>
    </row>
    <row r="1115" spans="1:12">
      <c r="A1115" s="71">
        <v>43456</v>
      </c>
      <c r="B1115" t="s">
        <v>23</v>
      </c>
      <c r="C1115">
        <v>3</v>
      </c>
      <c r="D1115">
        <v>0.0714</v>
      </c>
      <c r="E1115">
        <v>3</v>
      </c>
      <c r="F1115">
        <v>0.0517</v>
      </c>
      <c r="G1115">
        <v>1</v>
      </c>
      <c r="H1115">
        <v>1</v>
      </c>
      <c r="I1115">
        <v>0.3333</v>
      </c>
      <c r="J1115">
        <v>11.99</v>
      </c>
      <c r="K1115" t="s">
        <v>39</v>
      </c>
      <c r="L1115">
        <v>0.333333333333333</v>
      </c>
    </row>
    <row r="1116" spans="1:12">
      <c r="A1116" s="71">
        <v>43456</v>
      </c>
      <c r="B1116" t="s">
        <v>24</v>
      </c>
      <c r="C1116">
        <v>2</v>
      </c>
      <c r="D1116">
        <v>0.0476</v>
      </c>
      <c r="E1116">
        <v>3</v>
      </c>
      <c r="F1116">
        <v>0.0517</v>
      </c>
      <c r="G1116">
        <v>1</v>
      </c>
      <c r="H1116">
        <v>1</v>
      </c>
      <c r="I1116">
        <v>0.5</v>
      </c>
      <c r="J1116">
        <v>12.99</v>
      </c>
      <c r="K1116" t="s">
        <v>39</v>
      </c>
      <c r="L1116">
        <v>0.5</v>
      </c>
    </row>
    <row r="1117" spans="1:12">
      <c r="A1117" s="71">
        <v>43457</v>
      </c>
      <c r="B1117" t="s">
        <v>19</v>
      </c>
      <c r="C1117">
        <v>1</v>
      </c>
      <c r="D1117">
        <v>0.025</v>
      </c>
      <c r="E1117">
        <v>1</v>
      </c>
      <c r="F1117">
        <v>0.0164</v>
      </c>
      <c r="G1117">
        <v>1</v>
      </c>
      <c r="H1117">
        <v>0</v>
      </c>
      <c r="I1117">
        <v>0</v>
      </c>
      <c r="J1117">
        <v>0</v>
      </c>
      <c r="K1117" t="s">
        <v>38</v>
      </c>
      <c r="L1117">
        <v>0</v>
      </c>
    </row>
    <row r="1118" spans="1:12">
      <c r="A1118" s="71">
        <v>43457</v>
      </c>
      <c r="B1118" t="s">
        <v>21</v>
      </c>
      <c r="C1118">
        <v>2</v>
      </c>
      <c r="D1118">
        <v>0.05</v>
      </c>
      <c r="E1118">
        <v>2</v>
      </c>
      <c r="F1118">
        <v>0.0328</v>
      </c>
      <c r="G1118">
        <v>1</v>
      </c>
      <c r="H1118">
        <v>0</v>
      </c>
      <c r="I1118">
        <v>0</v>
      </c>
      <c r="J1118">
        <v>0</v>
      </c>
      <c r="K1118" t="s">
        <v>38</v>
      </c>
      <c r="L1118">
        <v>0</v>
      </c>
    </row>
    <row r="1119" spans="1:12">
      <c r="A1119" s="71">
        <v>43457</v>
      </c>
      <c r="B1119" t="s">
        <v>18</v>
      </c>
      <c r="C1119">
        <v>9</v>
      </c>
      <c r="D1119">
        <v>0.225</v>
      </c>
      <c r="E1119">
        <v>12</v>
      </c>
      <c r="F1119">
        <v>0.1967</v>
      </c>
      <c r="G1119">
        <v>1</v>
      </c>
      <c r="H1119">
        <v>0</v>
      </c>
      <c r="I1119">
        <v>0</v>
      </c>
      <c r="J1119">
        <v>0</v>
      </c>
      <c r="K1119" t="s">
        <v>38</v>
      </c>
      <c r="L1119">
        <v>0</v>
      </c>
    </row>
    <row r="1120" spans="1:12">
      <c r="A1120" s="71">
        <v>43457</v>
      </c>
      <c r="B1120" t="s">
        <v>23</v>
      </c>
      <c r="C1120">
        <v>7</v>
      </c>
      <c r="D1120">
        <v>0.175</v>
      </c>
      <c r="E1120">
        <v>13</v>
      </c>
      <c r="F1120">
        <v>0.2131</v>
      </c>
      <c r="G1120">
        <v>1</v>
      </c>
      <c r="H1120">
        <v>0</v>
      </c>
      <c r="I1120">
        <v>0</v>
      </c>
      <c r="J1120">
        <v>0</v>
      </c>
      <c r="K1120" t="s">
        <v>38</v>
      </c>
      <c r="L1120">
        <v>0</v>
      </c>
    </row>
    <row r="1121" spans="1:12">
      <c r="A1121" s="71">
        <v>43457</v>
      </c>
      <c r="B1121" t="s">
        <v>27</v>
      </c>
      <c r="C1121">
        <v>3</v>
      </c>
      <c r="D1121">
        <v>0.075</v>
      </c>
      <c r="E1121">
        <v>4</v>
      </c>
      <c r="F1121">
        <v>0.0656</v>
      </c>
      <c r="G1121">
        <v>0.75</v>
      </c>
      <c r="H1121">
        <v>0</v>
      </c>
      <c r="I1121">
        <v>0</v>
      </c>
      <c r="J1121">
        <v>0</v>
      </c>
      <c r="K1121" t="s">
        <v>38</v>
      </c>
      <c r="L1121">
        <v>0</v>
      </c>
    </row>
    <row r="1122" spans="1:12">
      <c r="A1122" s="71">
        <v>43457</v>
      </c>
      <c r="B1122" t="s">
        <v>22</v>
      </c>
      <c r="C1122">
        <v>17</v>
      </c>
      <c r="D1122">
        <v>0.425</v>
      </c>
      <c r="E1122">
        <v>28</v>
      </c>
      <c r="F1122">
        <v>0.459</v>
      </c>
      <c r="G1122">
        <v>1</v>
      </c>
      <c r="H1122">
        <v>8</v>
      </c>
      <c r="I1122">
        <v>0.4706</v>
      </c>
      <c r="J1122">
        <v>119.76</v>
      </c>
      <c r="K1122" t="s">
        <v>42</v>
      </c>
      <c r="L1122">
        <v>0.235294117647059</v>
      </c>
    </row>
    <row r="1123" spans="1:12">
      <c r="A1123" s="71">
        <v>43457</v>
      </c>
      <c r="B1123" t="s">
        <v>24</v>
      </c>
      <c r="C1123">
        <v>1</v>
      </c>
      <c r="D1123">
        <v>0.025</v>
      </c>
      <c r="E1123">
        <v>1</v>
      </c>
      <c r="F1123">
        <v>0.0164</v>
      </c>
      <c r="G1123">
        <v>1</v>
      </c>
      <c r="H1123">
        <v>1</v>
      </c>
      <c r="I1123">
        <v>1</v>
      </c>
      <c r="J1123">
        <v>12.99</v>
      </c>
      <c r="K1123" t="s">
        <v>39</v>
      </c>
      <c r="L1123">
        <v>1</v>
      </c>
    </row>
    <row r="1124" spans="1:12">
      <c r="A1124" s="71">
        <v>43458</v>
      </c>
      <c r="B1124" t="s">
        <v>27</v>
      </c>
      <c r="C1124">
        <v>1</v>
      </c>
      <c r="D1124">
        <v>0.0303</v>
      </c>
      <c r="E1124">
        <v>1</v>
      </c>
      <c r="F1124">
        <v>0.0222</v>
      </c>
      <c r="G1124">
        <v>1</v>
      </c>
      <c r="H1124">
        <v>0</v>
      </c>
      <c r="I1124">
        <v>0</v>
      </c>
      <c r="J1124">
        <v>0</v>
      </c>
      <c r="K1124" t="s">
        <v>38</v>
      </c>
      <c r="L1124">
        <v>0</v>
      </c>
    </row>
    <row r="1125" spans="1:12">
      <c r="A1125" s="71">
        <v>43458</v>
      </c>
      <c r="B1125" t="s">
        <v>24</v>
      </c>
      <c r="C1125">
        <v>4</v>
      </c>
      <c r="D1125">
        <v>0.1212</v>
      </c>
      <c r="E1125">
        <v>4</v>
      </c>
      <c r="F1125">
        <v>0.0889</v>
      </c>
      <c r="G1125">
        <v>1</v>
      </c>
      <c r="H1125">
        <v>0</v>
      </c>
      <c r="I1125">
        <v>0</v>
      </c>
      <c r="J1125">
        <v>0</v>
      </c>
      <c r="K1125" t="s">
        <v>38</v>
      </c>
      <c r="L1125">
        <v>0</v>
      </c>
    </row>
    <row r="1126" spans="1:12">
      <c r="A1126" s="71">
        <v>43458</v>
      </c>
      <c r="B1126" t="s">
        <v>22</v>
      </c>
      <c r="C1126">
        <v>19</v>
      </c>
      <c r="D1126">
        <v>0.5758</v>
      </c>
      <c r="E1126">
        <v>26</v>
      </c>
      <c r="F1126">
        <v>0.5778</v>
      </c>
      <c r="G1126">
        <v>1</v>
      </c>
      <c r="H1126">
        <v>3</v>
      </c>
      <c r="I1126">
        <v>0.1579</v>
      </c>
      <c r="J1126">
        <v>44.91</v>
      </c>
      <c r="K1126" t="s">
        <v>40</v>
      </c>
      <c r="L1126">
        <v>0.105263157894737</v>
      </c>
    </row>
    <row r="1127" spans="1:12">
      <c r="A1127" s="71">
        <v>43458</v>
      </c>
      <c r="B1127" t="s">
        <v>18</v>
      </c>
      <c r="C1127">
        <v>9</v>
      </c>
      <c r="D1127">
        <v>0.2727</v>
      </c>
      <c r="E1127">
        <v>14</v>
      </c>
      <c r="F1127">
        <v>0.3111</v>
      </c>
      <c r="G1127">
        <v>1</v>
      </c>
      <c r="H1127">
        <v>1</v>
      </c>
      <c r="I1127">
        <v>0.1111</v>
      </c>
      <c r="J1127">
        <v>29.99</v>
      </c>
      <c r="K1127" t="s">
        <v>39</v>
      </c>
      <c r="L1127">
        <v>0.111111111111111</v>
      </c>
    </row>
    <row r="1128" spans="1:12">
      <c r="A1128" s="71">
        <v>43459</v>
      </c>
      <c r="B1128" t="s">
        <v>19</v>
      </c>
      <c r="C1128">
        <v>4</v>
      </c>
      <c r="D1128">
        <v>0.0625</v>
      </c>
      <c r="E1128">
        <v>5</v>
      </c>
      <c r="F1128">
        <v>0.0575</v>
      </c>
      <c r="G1128">
        <v>1</v>
      </c>
      <c r="H1128">
        <v>0</v>
      </c>
      <c r="I1128">
        <v>0</v>
      </c>
      <c r="J1128">
        <v>0</v>
      </c>
      <c r="K1128" t="s">
        <v>38</v>
      </c>
      <c r="L1128">
        <v>0</v>
      </c>
    </row>
    <row r="1129" spans="1:12">
      <c r="A1129" s="71">
        <v>43459</v>
      </c>
      <c r="B1129" t="s">
        <v>24</v>
      </c>
      <c r="C1129">
        <v>3</v>
      </c>
      <c r="D1129">
        <v>0.0469</v>
      </c>
      <c r="E1129">
        <v>4</v>
      </c>
      <c r="F1129">
        <v>0.046</v>
      </c>
      <c r="G1129">
        <v>1</v>
      </c>
      <c r="H1129">
        <v>0</v>
      </c>
      <c r="I1129">
        <v>0</v>
      </c>
      <c r="J1129">
        <v>0</v>
      </c>
      <c r="K1129" t="s">
        <v>38</v>
      </c>
      <c r="L1129">
        <v>0</v>
      </c>
    </row>
    <row r="1130" spans="1:12">
      <c r="A1130" s="71">
        <v>43459</v>
      </c>
      <c r="B1130" t="s">
        <v>27</v>
      </c>
      <c r="C1130">
        <v>3</v>
      </c>
      <c r="D1130">
        <v>0.0469</v>
      </c>
      <c r="E1130">
        <v>3</v>
      </c>
      <c r="F1130">
        <v>0.0345</v>
      </c>
      <c r="G1130">
        <v>0.67</v>
      </c>
      <c r="H1130">
        <v>0</v>
      </c>
      <c r="I1130">
        <v>0</v>
      </c>
      <c r="J1130">
        <v>0</v>
      </c>
      <c r="K1130" t="s">
        <v>38</v>
      </c>
      <c r="L1130">
        <v>0</v>
      </c>
    </row>
    <row r="1131" spans="1:12">
      <c r="A1131" s="71">
        <v>43459</v>
      </c>
      <c r="B1131" t="s">
        <v>22</v>
      </c>
      <c r="C1131">
        <v>37</v>
      </c>
      <c r="D1131">
        <v>0.5781</v>
      </c>
      <c r="E1131">
        <v>51</v>
      </c>
      <c r="F1131">
        <v>0.5862</v>
      </c>
      <c r="G1131">
        <v>0.98</v>
      </c>
      <c r="H1131">
        <v>1</v>
      </c>
      <c r="I1131">
        <v>0.027</v>
      </c>
      <c r="J1131">
        <v>14.97</v>
      </c>
      <c r="K1131" t="s">
        <v>39</v>
      </c>
      <c r="L1131">
        <v>0.027027027027027</v>
      </c>
    </row>
    <row r="1132" spans="1:12">
      <c r="A1132" s="71">
        <v>43459</v>
      </c>
      <c r="B1132" t="s">
        <v>23</v>
      </c>
      <c r="C1132">
        <v>9</v>
      </c>
      <c r="D1132">
        <v>0.1406</v>
      </c>
      <c r="E1132">
        <v>11</v>
      </c>
      <c r="F1132">
        <v>0.1264</v>
      </c>
      <c r="G1132">
        <v>1</v>
      </c>
      <c r="H1132">
        <v>3</v>
      </c>
      <c r="I1132">
        <v>0.3333</v>
      </c>
      <c r="J1132">
        <v>29.97</v>
      </c>
      <c r="K1132" t="s">
        <v>39</v>
      </c>
      <c r="L1132">
        <v>0.111111111111111</v>
      </c>
    </row>
    <row r="1133" spans="1:12">
      <c r="A1133" s="71">
        <v>43459</v>
      </c>
      <c r="B1133" t="s">
        <v>18</v>
      </c>
      <c r="C1133">
        <v>8</v>
      </c>
      <c r="D1133">
        <v>0.125</v>
      </c>
      <c r="E1133">
        <v>13</v>
      </c>
      <c r="F1133">
        <v>0.1494</v>
      </c>
      <c r="G1133">
        <v>1</v>
      </c>
      <c r="H1133">
        <v>1</v>
      </c>
      <c r="I1133">
        <v>0.125</v>
      </c>
      <c r="J1133">
        <v>29.99</v>
      </c>
      <c r="K1133" t="s">
        <v>39</v>
      </c>
      <c r="L1133">
        <v>0.125</v>
      </c>
    </row>
    <row r="1134" spans="1:12">
      <c r="A1134" s="71">
        <v>43460</v>
      </c>
      <c r="B1134" t="s">
        <v>27</v>
      </c>
      <c r="C1134">
        <v>1</v>
      </c>
      <c r="D1134">
        <v>0.0137</v>
      </c>
      <c r="E1134">
        <v>1</v>
      </c>
      <c r="F1134">
        <v>0.0106</v>
      </c>
      <c r="G1134">
        <v>1</v>
      </c>
      <c r="H1134">
        <v>0</v>
      </c>
      <c r="I1134">
        <v>0</v>
      </c>
      <c r="J1134">
        <v>0</v>
      </c>
      <c r="K1134" t="s">
        <v>38</v>
      </c>
      <c r="L1134">
        <v>0</v>
      </c>
    </row>
    <row r="1135" spans="1:12">
      <c r="A1135" s="71">
        <v>43460</v>
      </c>
      <c r="B1135" t="s">
        <v>24</v>
      </c>
      <c r="C1135">
        <v>2</v>
      </c>
      <c r="D1135">
        <v>0.0274</v>
      </c>
      <c r="E1135">
        <v>2</v>
      </c>
      <c r="F1135">
        <v>0.0213</v>
      </c>
      <c r="G1135">
        <v>1</v>
      </c>
      <c r="H1135">
        <v>0</v>
      </c>
      <c r="I1135">
        <v>0</v>
      </c>
      <c r="J1135">
        <v>0</v>
      </c>
      <c r="K1135" t="s">
        <v>38</v>
      </c>
      <c r="L1135">
        <v>0</v>
      </c>
    </row>
    <row r="1136" spans="1:12">
      <c r="A1136" s="71">
        <v>43460</v>
      </c>
      <c r="B1136" t="s">
        <v>18</v>
      </c>
      <c r="C1136">
        <v>7</v>
      </c>
      <c r="D1136">
        <v>0.0959</v>
      </c>
      <c r="E1136">
        <v>8</v>
      </c>
      <c r="F1136">
        <v>0.0851</v>
      </c>
      <c r="G1136">
        <v>1</v>
      </c>
      <c r="H1136">
        <v>0</v>
      </c>
      <c r="I1136">
        <v>0</v>
      </c>
      <c r="J1136">
        <v>0</v>
      </c>
      <c r="K1136" t="s">
        <v>38</v>
      </c>
      <c r="L1136">
        <v>0</v>
      </c>
    </row>
    <row r="1137" spans="1:12">
      <c r="A1137" s="71">
        <v>43460</v>
      </c>
      <c r="B1137" t="s">
        <v>19</v>
      </c>
      <c r="C1137">
        <v>3</v>
      </c>
      <c r="D1137">
        <v>0.0411</v>
      </c>
      <c r="E1137">
        <v>3</v>
      </c>
      <c r="F1137">
        <v>0.0319</v>
      </c>
      <c r="G1137">
        <v>1</v>
      </c>
      <c r="H1137">
        <v>0</v>
      </c>
      <c r="I1137">
        <v>0</v>
      </c>
      <c r="J1137">
        <v>0</v>
      </c>
      <c r="K1137" t="s">
        <v>38</v>
      </c>
      <c r="L1137">
        <v>0</v>
      </c>
    </row>
    <row r="1138" spans="1:12">
      <c r="A1138" s="71">
        <v>43460</v>
      </c>
      <c r="B1138" t="s">
        <v>23</v>
      </c>
      <c r="C1138">
        <v>13</v>
      </c>
      <c r="D1138">
        <v>0.1781</v>
      </c>
      <c r="E1138">
        <v>13</v>
      </c>
      <c r="F1138">
        <v>0.1383</v>
      </c>
      <c r="G1138">
        <v>1</v>
      </c>
      <c r="H1138">
        <v>3</v>
      </c>
      <c r="I1138">
        <v>0.2308</v>
      </c>
      <c r="J1138">
        <v>29.97</v>
      </c>
      <c r="K1138" t="s">
        <v>39</v>
      </c>
      <c r="L1138">
        <v>0.0769230769230769</v>
      </c>
    </row>
    <row r="1139" spans="1:12">
      <c r="A1139" s="71">
        <v>43460</v>
      </c>
      <c r="B1139" t="s">
        <v>22</v>
      </c>
      <c r="C1139">
        <v>47</v>
      </c>
      <c r="D1139">
        <v>0.6438</v>
      </c>
      <c r="E1139">
        <v>67</v>
      </c>
      <c r="F1139">
        <v>0.7128</v>
      </c>
      <c r="G1139">
        <v>1</v>
      </c>
      <c r="H1139">
        <v>9</v>
      </c>
      <c r="I1139">
        <v>0.1915</v>
      </c>
      <c r="J1139">
        <v>134.73</v>
      </c>
      <c r="K1139" t="s">
        <v>44</v>
      </c>
      <c r="L1139">
        <v>0.170212765957447</v>
      </c>
    </row>
    <row r="1140" spans="1:12">
      <c r="A1140" s="71">
        <v>43461</v>
      </c>
      <c r="B1140" t="s">
        <v>20</v>
      </c>
      <c r="C1140">
        <v>1</v>
      </c>
      <c r="D1140">
        <v>0.0147</v>
      </c>
      <c r="E1140">
        <v>2</v>
      </c>
      <c r="F1140">
        <v>0.0244</v>
      </c>
      <c r="G1140">
        <v>1</v>
      </c>
      <c r="H1140">
        <v>0</v>
      </c>
      <c r="I1140">
        <v>0</v>
      </c>
      <c r="J1140">
        <v>0</v>
      </c>
      <c r="K1140" t="s">
        <v>38</v>
      </c>
      <c r="L1140">
        <v>0</v>
      </c>
    </row>
    <row r="1141" spans="1:12">
      <c r="A1141" s="71">
        <v>43461</v>
      </c>
      <c r="B1141" t="s">
        <v>18</v>
      </c>
      <c r="C1141">
        <v>4</v>
      </c>
      <c r="D1141">
        <v>0.0588</v>
      </c>
      <c r="E1141">
        <v>7</v>
      </c>
      <c r="F1141">
        <v>0.0854</v>
      </c>
      <c r="G1141">
        <v>1</v>
      </c>
      <c r="H1141">
        <v>0</v>
      </c>
      <c r="I1141">
        <v>0</v>
      </c>
      <c r="J1141">
        <v>0</v>
      </c>
      <c r="K1141" t="s">
        <v>38</v>
      </c>
      <c r="L1141">
        <v>0</v>
      </c>
    </row>
    <row r="1142" spans="1:12">
      <c r="A1142" s="71">
        <v>43461</v>
      </c>
      <c r="B1142" t="s">
        <v>27</v>
      </c>
      <c r="C1142">
        <v>1</v>
      </c>
      <c r="D1142">
        <v>0.0147</v>
      </c>
      <c r="E1142">
        <v>1</v>
      </c>
      <c r="F1142">
        <v>0.0122</v>
      </c>
      <c r="G1142">
        <v>0</v>
      </c>
      <c r="H1142">
        <v>0</v>
      </c>
      <c r="I1142">
        <v>0</v>
      </c>
      <c r="J1142">
        <v>0</v>
      </c>
      <c r="K1142" t="s">
        <v>38</v>
      </c>
      <c r="L1142">
        <v>0</v>
      </c>
    </row>
    <row r="1143" spans="1:12">
      <c r="A1143" s="71">
        <v>43461</v>
      </c>
      <c r="B1143" t="s">
        <v>24</v>
      </c>
      <c r="C1143">
        <v>0</v>
      </c>
      <c r="D1143">
        <v>0</v>
      </c>
      <c r="E1143">
        <v>0</v>
      </c>
      <c r="F1143">
        <v>0</v>
      </c>
      <c r="G1143">
        <v>0</v>
      </c>
      <c r="H1143">
        <v>1</v>
      </c>
      <c r="I1143">
        <v>0</v>
      </c>
      <c r="J1143">
        <v>12.99</v>
      </c>
      <c r="K1143" t="s">
        <v>39</v>
      </c>
      <c r="L1143">
        <v>0</v>
      </c>
    </row>
    <row r="1144" spans="1:12">
      <c r="A1144" s="71">
        <v>43461</v>
      </c>
      <c r="B1144" t="s">
        <v>23</v>
      </c>
      <c r="C1144">
        <v>14</v>
      </c>
      <c r="D1144">
        <v>0.2059</v>
      </c>
      <c r="E1144">
        <v>14</v>
      </c>
      <c r="F1144">
        <v>0.1707</v>
      </c>
      <c r="G1144">
        <v>1</v>
      </c>
      <c r="H1144">
        <v>2</v>
      </c>
      <c r="I1144">
        <v>0.1429</v>
      </c>
      <c r="J1144">
        <v>19.98</v>
      </c>
      <c r="K1144" t="s">
        <v>39</v>
      </c>
      <c r="L1144">
        <v>0.0714285714285714</v>
      </c>
    </row>
    <row r="1145" spans="1:12">
      <c r="A1145" s="71">
        <v>43461</v>
      </c>
      <c r="B1145" t="s">
        <v>22</v>
      </c>
      <c r="C1145">
        <v>44</v>
      </c>
      <c r="D1145">
        <v>0.6471</v>
      </c>
      <c r="E1145">
        <v>53</v>
      </c>
      <c r="F1145">
        <v>0.6463</v>
      </c>
      <c r="G1145">
        <v>1</v>
      </c>
      <c r="H1145">
        <v>9</v>
      </c>
      <c r="I1145">
        <v>0.2045</v>
      </c>
      <c r="J1145">
        <v>134.73</v>
      </c>
      <c r="K1145" t="s">
        <v>48</v>
      </c>
      <c r="L1145">
        <v>0.204545454545455</v>
      </c>
    </row>
    <row r="1146" spans="1:12">
      <c r="A1146" s="71">
        <v>43461</v>
      </c>
      <c r="B1146" t="s">
        <v>19</v>
      </c>
      <c r="C1146">
        <v>4</v>
      </c>
      <c r="D1146">
        <v>0.0588</v>
      </c>
      <c r="E1146">
        <v>5</v>
      </c>
      <c r="F1146">
        <v>0.061</v>
      </c>
      <c r="G1146">
        <v>1</v>
      </c>
      <c r="H1146">
        <v>1</v>
      </c>
      <c r="I1146">
        <v>0.25</v>
      </c>
      <c r="J1146">
        <v>17.97</v>
      </c>
      <c r="K1146" t="s">
        <v>39</v>
      </c>
      <c r="L1146">
        <v>0.25</v>
      </c>
    </row>
    <row r="1147" spans="1:12">
      <c r="A1147" s="71">
        <v>43462</v>
      </c>
      <c r="B1147" t="s">
        <v>21</v>
      </c>
      <c r="C1147">
        <v>2</v>
      </c>
      <c r="D1147">
        <v>0.0256</v>
      </c>
      <c r="E1147">
        <v>2</v>
      </c>
      <c r="F1147">
        <v>0.0206</v>
      </c>
      <c r="G1147">
        <v>1</v>
      </c>
      <c r="H1147">
        <v>0</v>
      </c>
      <c r="I1147">
        <v>0</v>
      </c>
      <c r="J1147">
        <v>0</v>
      </c>
      <c r="K1147" t="s">
        <v>38</v>
      </c>
      <c r="L1147">
        <v>0</v>
      </c>
    </row>
    <row r="1148" spans="1:12">
      <c r="A1148" s="71">
        <v>43462</v>
      </c>
      <c r="B1148" t="s">
        <v>27</v>
      </c>
      <c r="C1148">
        <v>4</v>
      </c>
      <c r="D1148">
        <v>0.0513</v>
      </c>
      <c r="E1148">
        <v>4</v>
      </c>
      <c r="F1148">
        <v>0.0412</v>
      </c>
      <c r="G1148">
        <v>1</v>
      </c>
      <c r="H1148">
        <v>0</v>
      </c>
      <c r="I1148">
        <v>0</v>
      </c>
      <c r="J1148">
        <v>0</v>
      </c>
      <c r="K1148" t="s">
        <v>38</v>
      </c>
      <c r="L1148">
        <v>0</v>
      </c>
    </row>
    <row r="1149" spans="1:12">
      <c r="A1149" s="71">
        <v>43462</v>
      </c>
      <c r="B1149" t="s">
        <v>19</v>
      </c>
      <c r="C1149">
        <v>3</v>
      </c>
      <c r="D1149">
        <v>0.0385</v>
      </c>
      <c r="E1149">
        <v>3</v>
      </c>
      <c r="F1149">
        <v>0.0309</v>
      </c>
      <c r="G1149">
        <v>1</v>
      </c>
      <c r="H1149">
        <v>1</v>
      </c>
      <c r="I1149">
        <v>0.3333</v>
      </c>
      <c r="J1149">
        <v>0</v>
      </c>
      <c r="K1149" t="s">
        <v>39</v>
      </c>
      <c r="L1149">
        <v>0.333333333333333</v>
      </c>
    </row>
    <row r="1150" spans="1:12">
      <c r="A1150" s="71">
        <v>43462</v>
      </c>
      <c r="B1150" t="s">
        <v>23</v>
      </c>
      <c r="C1150">
        <v>12</v>
      </c>
      <c r="D1150">
        <v>0.1538</v>
      </c>
      <c r="E1150">
        <v>13</v>
      </c>
      <c r="F1150">
        <v>0.134</v>
      </c>
      <c r="G1150">
        <v>0.92</v>
      </c>
      <c r="H1150">
        <v>1</v>
      </c>
      <c r="I1150">
        <v>0.0833</v>
      </c>
      <c r="J1150">
        <v>9.99</v>
      </c>
      <c r="K1150" t="s">
        <v>39</v>
      </c>
      <c r="L1150">
        <v>0.0833333333333333</v>
      </c>
    </row>
    <row r="1151" spans="1:12">
      <c r="A1151" s="71">
        <v>43462</v>
      </c>
      <c r="B1151" t="s">
        <v>18</v>
      </c>
      <c r="C1151">
        <v>8</v>
      </c>
      <c r="D1151">
        <v>0.1026</v>
      </c>
      <c r="E1151">
        <v>13</v>
      </c>
      <c r="F1151">
        <v>0.134</v>
      </c>
      <c r="G1151">
        <v>1</v>
      </c>
      <c r="H1151">
        <v>2</v>
      </c>
      <c r="I1151">
        <v>0.25</v>
      </c>
      <c r="J1151">
        <v>59.98</v>
      </c>
      <c r="K1151" t="s">
        <v>40</v>
      </c>
      <c r="L1151">
        <v>0.25</v>
      </c>
    </row>
    <row r="1152" spans="1:12">
      <c r="A1152" s="71">
        <v>43462</v>
      </c>
      <c r="B1152" t="s">
        <v>22</v>
      </c>
      <c r="C1152">
        <v>45</v>
      </c>
      <c r="D1152">
        <v>0.5769</v>
      </c>
      <c r="E1152">
        <v>56</v>
      </c>
      <c r="F1152">
        <v>0.5773</v>
      </c>
      <c r="G1152">
        <v>1</v>
      </c>
      <c r="H1152">
        <v>7</v>
      </c>
      <c r="I1152">
        <v>0.1556</v>
      </c>
      <c r="J1152">
        <v>104.79</v>
      </c>
      <c r="K1152" t="s">
        <v>46</v>
      </c>
      <c r="L1152">
        <v>0.155555555555556</v>
      </c>
    </row>
    <row r="1153" spans="1:12">
      <c r="A1153" s="71">
        <v>43462</v>
      </c>
      <c r="B1153" t="s">
        <v>24</v>
      </c>
      <c r="C1153">
        <v>4</v>
      </c>
      <c r="D1153">
        <v>0.0513</v>
      </c>
      <c r="E1153">
        <v>6</v>
      </c>
      <c r="F1153">
        <v>0.0619</v>
      </c>
      <c r="G1153">
        <v>1</v>
      </c>
      <c r="H1153">
        <v>1</v>
      </c>
      <c r="I1153">
        <v>0.25</v>
      </c>
      <c r="J1153">
        <v>12.99</v>
      </c>
      <c r="K1153" t="s">
        <v>39</v>
      </c>
      <c r="L1153">
        <v>0.25</v>
      </c>
    </row>
    <row r="1154" spans="1:12">
      <c r="A1154" s="71">
        <v>43463</v>
      </c>
      <c r="B1154" t="s">
        <v>21</v>
      </c>
      <c r="C1154">
        <v>1</v>
      </c>
      <c r="D1154">
        <v>0.0175</v>
      </c>
      <c r="E1154">
        <v>4</v>
      </c>
      <c r="F1154">
        <v>0.0548</v>
      </c>
      <c r="G1154">
        <v>1</v>
      </c>
      <c r="H1154">
        <v>0</v>
      </c>
      <c r="I1154">
        <v>0</v>
      </c>
      <c r="J1154">
        <v>0</v>
      </c>
      <c r="K1154" t="s">
        <v>38</v>
      </c>
      <c r="L1154">
        <v>0</v>
      </c>
    </row>
    <row r="1155" spans="1:12">
      <c r="A1155" s="71">
        <v>43463</v>
      </c>
      <c r="B1155" t="s">
        <v>18</v>
      </c>
      <c r="C1155">
        <v>8</v>
      </c>
      <c r="D1155">
        <v>0.1404</v>
      </c>
      <c r="E1155">
        <v>15</v>
      </c>
      <c r="F1155">
        <v>0.2055</v>
      </c>
      <c r="G1155">
        <v>1</v>
      </c>
      <c r="H1155">
        <v>0</v>
      </c>
      <c r="I1155">
        <v>0</v>
      </c>
      <c r="J1155">
        <v>0</v>
      </c>
      <c r="K1155" t="s">
        <v>38</v>
      </c>
      <c r="L1155">
        <v>0</v>
      </c>
    </row>
    <row r="1156" spans="1:12">
      <c r="A1156" s="71">
        <v>43463</v>
      </c>
      <c r="B1156" t="s">
        <v>24</v>
      </c>
      <c r="C1156">
        <v>4</v>
      </c>
      <c r="D1156">
        <v>0.0702</v>
      </c>
      <c r="E1156">
        <v>4</v>
      </c>
      <c r="F1156">
        <v>0.0548</v>
      </c>
      <c r="G1156">
        <v>1</v>
      </c>
      <c r="H1156">
        <v>0</v>
      </c>
      <c r="I1156">
        <v>0</v>
      </c>
      <c r="J1156">
        <v>0</v>
      </c>
      <c r="K1156" t="s">
        <v>38</v>
      </c>
      <c r="L1156">
        <v>0</v>
      </c>
    </row>
    <row r="1157" spans="1:12">
      <c r="A1157" s="71">
        <v>43463</v>
      </c>
      <c r="B1157" t="s">
        <v>27</v>
      </c>
      <c r="C1157">
        <v>4</v>
      </c>
      <c r="D1157">
        <v>0.0702</v>
      </c>
      <c r="E1157">
        <v>5</v>
      </c>
      <c r="F1157">
        <v>0.0685</v>
      </c>
      <c r="G1157">
        <v>1</v>
      </c>
      <c r="H1157">
        <v>0</v>
      </c>
      <c r="I1157">
        <v>0</v>
      </c>
      <c r="J1157">
        <v>0</v>
      </c>
      <c r="K1157" t="s">
        <v>38</v>
      </c>
      <c r="L1157">
        <v>0</v>
      </c>
    </row>
    <row r="1158" spans="1:12">
      <c r="A1158" s="71">
        <v>43463</v>
      </c>
      <c r="B1158" t="s">
        <v>19</v>
      </c>
      <c r="C1158">
        <v>2</v>
      </c>
      <c r="D1158">
        <v>0.0351</v>
      </c>
      <c r="E1158">
        <v>4</v>
      </c>
      <c r="F1158">
        <v>0.0548</v>
      </c>
      <c r="G1158">
        <v>1</v>
      </c>
      <c r="H1158">
        <v>2</v>
      </c>
      <c r="I1158">
        <v>1</v>
      </c>
      <c r="J1158">
        <v>35.94</v>
      </c>
      <c r="K1158" t="s">
        <v>40</v>
      </c>
      <c r="L1158">
        <v>1</v>
      </c>
    </row>
    <row r="1159" spans="1:12">
      <c r="A1159" s="71">
        <v>43463</v>
      </c>
      <c r="B1159" t="s">
        <v>22</v>
      </c>
      <c r="C1159">
        <v>24</v>
      </c>
      <c r="D1159">
        <v>0.4211</v>
      </c>
      <c r="E1159">
        <v>26</v>
      </c>
      <c r="F1159">
        <v>0.3562</v>
      </c>
      <c r="G1159">
        <v>1</v>
      </c>
      <c r="H1159">
        <v>5</v>
      </c>
      <c r="I1159">
        <v>0.2083</v>
      </c>
      <c r="J1159">
        <v>74.85</v>
      </c>
      <c r="K1159" t="s">
        <v>41</v>
      </c>
      <c r="L1159">
        <v>0.125</v>
      </c>
    </row>
    <row r="1160" spans="1:12">
      <c r="A1160" s="71">
        <v>43463</v>
      </c>
      <c r="B1160" t="s">
        <v>23</v>
      </c>
      <c r="C1160">
        <v>14</v>
      </c>
      <c r="D1160">
        <v>0.2456</v>
      </c>
      <c r="E1160">
        <v>15</v>
      </c>
      <c r="F1160">
        <v>0.2055</v>
      </c>
      <c r="G1160">
        <v>1</v>
      </c>
      <c r="H1160">
        <v>1</v>
      </c>
      <c r="I1160">
        <v>0.0714</v>
      </c>
      <c r="J1160">
        <v>9.99</v>
      </c>
      <c r="K1160" t="s">
        <v>39</v>
      </c>
      <c r="L1160">
        <v>0.0714285714285714</v>
      </c>
    </row>
    <row r="1161" spans="1:12">
      <c r="A1161" s="71">
        <v>43464</v>
      </c>
      <c r="B1161" t="s">
        <v>19</v>
      </c>
      <c r="C1161">
        <v>1</v>
      </c>
      <c r="D1161">
        <v>0.0145</v>
      </c>
      <c r="E1161">
        <v>3</v>
      </c>
      <c r="F1161">
        <v>0.0366</v>
      </c>
      <c r="G1161">
        <v>1</v>
      </c>
      <c r="H1161">
        <v>0</v>
      </c>
      <c r="I1161">
        <v>0</v>
      </c>
      <c r="J1161">
        <v>0</v>
      </c>
      <c r="K1161" t="s">
        <v>38</v>
      </c>
      <c r="L1161">
        <v>0</v>
      </c>
    </row>
    <row r="1162" spans="1:12">
      <c r="A1162" s="71">
        <v>43464</v>
      </c>
      <c r="B1162" t="s">
        <v>21</v>
      </c>
      <c r="C1162">
        <v>2</v>
      </c>
      <c r="D1162">
        <v>0.029</v>
      </c>
      <c r="E1162">
        <v>2</v>
      </c>
      <c r="F1162">
        <v>0.0244</v>
      </c>
      <c r="G1162">
        <v>1</v>
      </c>
      <c r="H1162">
        <v>0</v>
      </c>
      <c r="I1162">
        <v>0</v>
      </c>
      <c r="J1162">
        <v>0</v>
      </c>
      <c r="K1162" t="s">
        <v>38</v>
      </c>
      <c r="L1162">
        <v>0</v>
      </c>
    </row>
    <row r="1163" spans="1:12">
      <c r="A1163" s="71">
        <v>43464</v>
      </c>
      <c r="B1163" t="s">
        <v>27</v>
      </c>
      <c r="C1163">
        <v>2</v>
      </c>
      <c r="D1163">
        <v>0.029</v>
      </c>
      <c r="E1163">
        <v>5</v>
      </c>
      <c r="F1163">
        <v>0.061</v>
      </c>
      <c r="G1163">
        <v>1</v>
      </c>
      <c r="H1163">
        <v>0</v>
      </c>
      <c r="I1163">
        <v>0</v>
      </c>
      <c r="J1163">
        <v>0</v>
      </c>
      <c r="K1163" t="s">
        <v>38</v>
      </c>
      <c r="L1163">
        <v>0</v>
      </c>
    </row>
    <row r="1164" spans="1:12">
      <c r="A1164" s="71">
        <v>43464</v>
      </c>
      <c r="B1164" t="s">
        <v>23</v>
      </c>
      <c r="C1164">
        <v>8</v>
      </c>
      <c r="D1164">
        <v>0.1159</v>
      </c>
      <c r="E1164">
        <v>9</v>
      </c>
      <c r="F1164">
        <v>0.1098</v>
      </c>
      <c r="G1164">
        <v>1</v>
      </c>
      <c r="H1164">
        <v>0</v>
      </c>
      <c r="I1164">
        <v>0</v>
      </c>
      <c r="J1164">
        <v>0</v>
      </c>
      <c r="K1164" t="s">
        <v>38</v>
      </c>
      <c r="L1164">
        <v>0</v>
      </c>
    </row>
    <row r="1165" spans="1:12">
      <c r="A1165" s="71">
        <v>43464</v>
      </c>
      <c r="B1165" t="s">
        <v>18</v>
      </c>
      <c r="C1165">
        <v>6</v>
      </c>
      <c r="D1165">
        <v>0.087</v>
      </c>
      <c r="E1165">
        <v>6</v>
      </c>
      <c r="F1165">
        <v>0.0732</v>
      </c>
      <c r="G1165">
        <v>1</v>
      </c>
      <c r="H1165">
        <v>0</v>
      </c>
      <c r="I1165">
        <v>0</v>
      </c>
      <c r="J1165">
        <v>0</v>
      </c>
      <c r="K1165" t="s">
        <v>38</v>
      </c>
      <c r="L1165">
        <v>0</v>
      </c>
    </row>
    <row r="1166" spans="1:12">
      <c r="A1166" s="71">
        <v>43464</v>
      </c>
      <c r="B1166" t="s">
        <v>24</v>
      </c>
      <c r="C1166">
        <v>3</v>
      </c>
      <c r="D1166">
        <v>0.0435</v>
      </c>
      <c r="E1166">
        <v>3</v>
      </c>
      <c r="F1166">
        <v>0.0366</v>
      </c>
      <c r="G1166">
        <v>1</v>
      </c>
      <c r="H1166">
        <v>0</v>
      </c>
      <c r="I1166">
        <v>0</v>
      </c>
      <c r="J1166">
        <v>0</v>
      </c>
      <c r="K1166" t="s">
        <v>38</v>
      </c>
      <c r="L1166">
        <v>0</v>
      </c>
    </row>
    <row r="1167" spans="1:12">
      <c r="A1167" s="71">
        <v>43464</v>
      </c>
      <c r="B1167" t="s">
        <v>22</v>
      </c>
      <c r="C1167">
        <v>47</v>
      </c>
      <c r="D1167">
        <v>0.6812</v>
      </c>
      <c r="E1167">
        <v>54</v>
      </c>
      <c r="F1167">
        <v>0.6585</v>
      </c>
      <c r="G1167">
        <v>1</v>
      </c>
      <c r="H1167">
        <v>8</v>
      </c>
      <c r="I1167">
        <v>0.1702</v>
      </c>
      <c r="J1167">
        <v>119.76</v>
      </c>
      <c r="K1167" t="s">
        <v>44</v>
      </c>
      <c r="L1167">
        <v>0.170212765957447</v>
      </c>
    </row>
    <row r="1168" spans="1:12">
      <c r="A1168" s="71">
        <v>43465</v>
      </c>
      <c r="B1168" t="s">
        <v>27</v>
      </c>
      <c r="C1168">
        <v>1</v>
      </c>
      <c r="D1168">
        <v>0.0179</v>
      </c>
      <c r="E1168">
        <v>1</v>
      </c>
      <c r="F1168">
        <v>0.0132</v>
      </c>
      <c r="G1168">
        <v>1</v>
      </c>
      <c r="H1168">
        <v>0</v>
      </c>
      <c r="I1168">
        <v>0</v>
      </c>
      <c r="J1168">
        <v>0</v>
      </c>
      <c r="K1168" t="s">
        <v>38</v>
      </c>
      <c r="L1168">
        <v>0</v>
      </c>
    </row>
    <row r="1169" spans="1:12">
      <c r="A1169" s="71">
        <v>43465</v>
      </c>
      <c r="B1169" t="s">
        <v>21</v>
      </c>
      <c r="C1169">
        <v>1</v>
      </c>
      <c r="D1169">
        <v>0.0179</v>
      </c>
      <c r="E1169">
        <v>3</v>
      </c>
      <c r="F1169">
        <v>0.0395</v>
      </c>
      <c r="G1169">
        <v>1</v>
      </c>
      <c r="H1169">
        <v>0</v>
      </c>
      <c r="I1169">
        <v>0</v>
      </c>
      <c r="J1169">
        <v>0</v>
      </c>
      <c r="K1169" t="s">
        <v>38</v>
      </c>
      <c r="L1169">
        <v>0</v>
      </c>
    </row>
    <row r="1170" spans="1:12">
      <c r="A1170" s="71">
        <v>43465</v>
      </c>
      <c r="B1170" t="s">
        <v>24</v>
      </c>
      <c r="C1170">
        <v>2</v>
      </c>
      <c r="D1170">
        <v>0.0357</v>
      </c>
      <c r="E1170">
        <v>3</v>
      </c>
      <c r="F1170">
        <v>0.0395</v>
      </c>
      <c r="G1170">
        <v>1</v>
      </c>
      <c r="H1170">
        <v>0</v>
      </c>
      <c r="I1170">
        <v>0</v>
      </c>
      <c r="J1170">
        <v>0</v>
      </c>
      <c r="K1170" t="s">
        <v>38</v>
      </c>
      <c r="L1170">
        <v>0</v>
      </c>
    </row>
    <row r="1171" spans="1:12">
      <c r="A1171" s="71">
        <v>43465</v>
      </c>
      <c r="B1171" t="s">
        <v>19</v>
      </c>
      <c r="C1171">
        <v>3</v>
      </c>
      <c r="D1171">
        <v>0.0536</v>
      </c>
      <c r="E1171">
        <v>3</v>
      </c>
      <c r="F1171">
        <v>0.0395</v>
      </c>
      <c r="G1171">
        <v>1</v>
      </c>
      <c r="H1171">
        <v>0</v>
      </c>
      <c r="I1171">
        <v>0</v>
      </c>
      <c r="J1171">
        <v>0</v>
      </c>
      <c r="K1171" t="s">
        <v>38</v>
      </c>
      <c r="L1171">
        <v>0</v>
      </c>
    </row>
    <row r="1172" spans="1:12">
      <c r="A1172" s="71">
        <v>43465</v>
      </c>
      <c r="B1172" t="s">
        <v>18</v>
      </c>
      <c r="C1172">
        <v>5</v>
      </c>
      <c r="D1172">
        <v>0.0893</v>
      </c>
      <c r="E1172">
        <v>6</v>
      </c>
      <c r="F1172">
        <v>0.0789</v>
      </c>
      <c r="G1172">
        <v>1</v>
      </c>
      <c r="H1172">
        <v>10</v>
      </c>
      <c r="I1172">
        <v>2</v>
      </c>
      <c r="J1172">
        <v>299.9</v>
      </c>
      <c r="K1172" t="s">
        <v>39</v>
      </c>
      <c r="L1172">
        <v>0.2</v>
      </c>
    </row>
    <row r="1173" spans="1:12">
      <c r="A1173" s="71">
        <v>43465</v>
      </c>
      <c r="B1173" t="s">
        <v>23</v>
      </c>
      <c r="C1173">
        <v>16</v>
      </c>
      <c r="D1173">
        <v>0.2857</v>
      </c>
      <c r="E1173">
        <v>16</v>
      </c>
      <c r="F1173">
        <v>0.2105</v>
      </c>
      <c r="G1173">
        <v>1</v>
      </c>
      <c r="H1173">
        <v>2</v>
      </c>
      <c r="I1173">
        <v>0.125</v>
      </c>
      <c r="J1173">
        <v>19.98</v>
      </c>
      <c r="K1173" t="s">
        <v>40</v>
      </c>
      <c r="L1173">
        <v>0.125</v>
      </c>
    </row>
    <row r="1174" spans="1:12">
      <c r="A1174" s="71">
        <v>43465</v>
      </c>
      <c r="B1174" t="s">
        <v>22</v>
      </c>
      <c r="C1174">
        <v>28</v>
      </c>
      <c r="D1174">
        <v>0.5</v>
      </c>
      <c r="E1174">
        <v>44</v>
      </c>
      <c r="F1174">
        <v>0.5789</v>
      </c>
      <c r="G1174">
        <v>1</v>
      </c>
      <c r="H1174">
        <v>7</v>
      </c>
      <c r="I1174">
        <v>0.25</v>
      </c>
      <c r="J1174">
        <v>104.79</v>
      </c>
      <c r="K1174" t="s">
        <v>46</v>
      </c>
      <c r="L1174">
        <v>0.25</v>
      </c>
    </row>
    <row r="1175" spans="1:12">
      <c r="A1175" s="71">
        <v>43466</v>
      </c>
      <c r="B1175" t="s">
        <v>27</v>
      </c>
      <c r="C1175">
        <v>1</v>
      </c>
      <c r="D1175">
        <v>0.0112</v>
      </c>
      <c r="E1175">
        <v>1</v>
      </c>
      <c r="F1175">
        <v>0.0081</v>
      </c>
      <c r="G1175">
        <v>1</v>
      </c>
      <c r="H1175">
        <v>0</v>
      </c>
      <c r="I1175">
        <v>0</v>
      </c>
      <c r="J1175">
        <v>0</v>
      </c>
      <c r="K1175" t="s">
        <v>38</v>
      </c>
      <c r="L1175">
        <v>0</v>
      </c>
    </row>
    <row r="1176" spans="1:12">
      <c r="A1176" s="71">
        <v>43466</v>
      </c>
      <c r="B1176" t="s">
        <v>19</v>
      </c>
      <c r="C1176">
        <v>1</v>
      </c>
      <c r="D1176">
        <v>0.0112</v>
      </c>
      <c r="E1176">
        <v>3</v>
      </c>
      <c r="F1176">
        <v>0.0244</v>
      </c>
      <c r="G1176">
        <v>1</v>
      </c>
      <c r="H1176">
        <v>0</v>
      </c>
      <c r="I1176">
        <v>0</v>
      </c>
      <c r="J1176">
        <v>0</v>
      </c>
      <c r="K1176" t="s">
        <v>38</v>
      </c>
      <c r="L1176">
        <v>0</v>
      </c>
    </row>
    <row r="1177" spans="1:12">
      <c r="A1177" s="71">
        <v>43466</v>
      </c>
      <c r="B1177" t="s">
        <v>23</v>
      </c>
      <c r="C1177">
        <v>30</v>
      </c>
      <c r="D1177">
        <v>0.3371</v>
      </c>
      <c r="E1177">
        <v>33</v>
      </c>
      <c r="F1177">
        <v>0.2683</v>
      </c>
      <c r="G1177">
        <v>1</v>
      </c>
      <c r="H1177">
        <v>5</v>
      </c>
      <c r="I1177">
        <v>0.1667</v>
      </c>
      <c r="J1177">
        <v>49.95</v>
      </c>
      <c r="K1177" t="s">
        <v>43</v>
      </c>
      <c r="L1177">
        <v>0.166666666666667</v>
      </c>
    </row>
    <row r="1178" spans="1:12">
      <c r="A1178" s="71">
        <v>43466</v>
      </c>
      <c r="B1178" t="s">
        <v>18</v>
      </c>
      <c r="C1178">
        <v>6</v>
      </c>
      <c r="D1178">
        <v>0.0674</v>
      </c>
      <c r="E1178">
        <v>7</v>
      </c>
      <c r="F1178">
        <v>0.0569</v>
      </c>
      <c r="G1178">
        <v>1</v>
      </c>
      <c r="H1178">
        <v>2</v>
      </c>
      <c r="I1178">
        <v>0.3333</v>
      </c>
      <c r="J1178">
        <v>59.98</v>
      </c>
      <c r="K1178" t="s">
        <v>40</v>
      </c>
      <c r="L1178">
        <v>0.333333333333333</v>
      </c>
    </row>
    <row r="1179" spans="1:12">
      <c r="A1179" s="71">
        <v>43466</v>
      </c>
      <c r="B1179" t="s">
        <v>24</v>
      </c>
      <c r="C1179">
        <v>2</v>
      </c>
      <c r="D1179">
        <v>0.0225</v>
      </c>
      <c r="E1179">
        <v>3</v>
      </c>
      <c r="F1179">
        <v>0.0244</v>
      </c>
      <c r="G1179">
        <v>1</v>
      </c>
      <c r="H1179">
        <v>2</v>
      </c>
      <c r="I1179">
        <v>1</v>
      </c>
      <c r="J1179">
        <v>25.98</v>
      </c>
      <c r="K1179" t="s">
        <v>40</v>
      </c>
      <c r="L1179">
        <v>1</v>
      </c>
    </row>
    <row r="1180" spans="1:12">
      <c r="A1180" s="71">
        <v>43466</v>
      </c>
      <c r="B1180" t="s">
        <v>22</v>
      </c>
      <c r="C1180">
        <v>49</v>
      </c>
      <c r="D1180">
        <v>0.5506</v>
      </c>
      <c r="E1180">
        <v>76</v>
      </c>
      <c r="F1180">
        <v>0.6179</v>
      </c>
      <c r="G1180">
        <v>1</v>
      </c>
      <c r="H1180">
        <v>6</v>
      </c>
      <c r="I1180">
        <v>0.1224</v>
      </c>
      <c r="J1180">
        <v>89.82</v>
      </c>
      <c r="K1180" t="s">
        <v>45</v>
      </c>
      <c r="L1180">
        <v>0.122448979591837</v>
      </c>
    </row>
    <row r="1181" spans="1:12">
      <c r="A1181" s="71">
        <v>43467</v>
      </c>
      <c r="B1181" t="s">
        <v>21</v>
      </c>
      <c r="C1181">
        <v>2</v>
      </c>
      <c r="D1181">
        <v>0.0267</v>
      </c>
      <c r="E1181">
        <v>2</v>
      </c>
      <c r="F1181">
        <v>0.0215</v>
      </c>
      <c r="G1181">
        <v>1</v>
      </c>
      <c r="H1181">
        <v>0</v>
      </c>
      <c r="I1181">
        <v>0</v>
      </c>
      <c r="J1181">
        <v>0</v>
      </c>
      <c r="K1181" t="s">
        <v>38</v>
      </c>
      <c r="L1181">
        <v>0</v>
      </c>
    </row>
    <row r="1182" spans="1:12">
      <c r="A1182" s="71">
        <v>43467</v>
      </c>
      <c r="B1182" t="s">
        <v>27</v>
      </c>
      <c r="C1182">
        <v>5</v>
      </c>
      <c r="D1182">
        <v>0.0667</v>
      </c>
      <c r="E1182">
        <v>5</v>
      </c>
      <c r="F1182">
        <v>0.0538</v>
      </c>
      <c r="G1182">
        <v>1</v>
      </c>
      <c r="H1182">
        <v>0</v>
      </c>
      <c r="I1182">
        <v>0</v>
      </c>
      <c r="J1182">
        <v>0</v>
      </c>
      <c r="K1182" t="s">
        <v>38</v>
      </c>
      <c r="L1182">
        <v>0</v>
      </c>
    </row>
    <row r="1183" spans="1:12">
      <c r="A1183" s="71">
        <v>43467</v>
      </c>
      <c r="B1183" t="s">
        <v>24</v>
      </c>
      <c r="C1183">
        <v>2</v>
      </c>
      <c r="D1183">
        <v>0.0267</v>
      </c>
      <c r="E1183">
        <v>4</v>
      </c>
      <c r="F1183">
        <v>0.043</v>
      </c>
      <c r="G1183">
        <v>1</v>
      </c>
      <c r="H1183">
        <v>5</v>
      </c>
      <c r="I1183">
        <v>2.5</v>
      </c>
      <c r="J1183">
        <v>64.95</v>
      </c>
      <c r="K1183" t="s">
        <v>41</v>
      </c>
      <c r="L1183">
        <v>1.5</v>
      </c>
    </row>
    <row r="1184" spans="1:12">
      <c r="A1184" s="71">
        <v>43467</v>
      </c>
      <c r="B1184" t="s">
        <v>22</v>
      </c>
      <c r="C1184">
        <v>46</v>
      </c>
      <c r="D1184">
        <v>0.6133</v>
      </c>
      <c r="E1184">
        <v>59</v>
      </c>
      <c r="F1184">
        <v>0.6344</v>
      </c>
      <c r="G1184">
        <v>1</v>
      </c>
      <c r="H1184">
        <v>8</v>
      </c>
      <c r="I1184">
        <v>0.1739</v>
      </c>
      <c r="J1184">
        <v>89.82</v>
      </c>
      <c r="K1184" t="s">
        <v>44</v>
      </c>
      <c r="L1184">
        <v>0.173913043478261</v>
      </c>
    </row>
    <row r="1185" spans="1:12">
      <c r="A1185" s="71">
        <v>43467</v>
      </c>
      <c r="B1185" t="s">
        <v>23</v>
      </c>
      <c r="C1185">
        <v>14</v>
      </c>
      <c r="D1185">
        <v>0.1867</v>
      </c>
      <c r="E1185">
        <v>15</v>
      </c>
      <c r="F1185">
        <v>0.1613</v>
      </c>
      <c r="G1185">
        <v>1</v>
      </c>
      <c r="H1185">
        <v>1</v>
      </c>
      <c r="I1185">
        <v>0.0714</v>
      </c>
      <c r="J1185">
        <v>9.99</v>
      </c>
      <c r="K1185" t="s">
        <v>39</v>
      </c>
      <c r="L1185">
        <v>0.0714285714285714</v>
      </c>
    </row>
    <row r="1186" spans="1:12">
      <c r="A1186" s="71">
        <v>43467</v>
      </c>
      <c r="B1186" t="s">
        <v>18</v>
      </c>
      <c r="C1186">
        <v>6</v>
      </c>
      <c r="D1186">
        <v>0.08</v>
      </c>
      <c r="E1186">
        <v>8</v>
      </c>
      <c r="F1186">
        <v>0.086</v>
      </c>
      <c r="G1186">
        <v>1</v>
      </c>
      <c r="H1186">
        <v>1</v>
      </c>
      <c r="I1186">
        <v>0.1667</v>
      </c>
      <c r="J1186">
        <v>29.99</v>
      </c>
      <c r="K1186" t="s">
        <v>39</v>
      </c>
      <c r="L1186">
        <v>0.166666666666667</v>
      </c>
    </row>
    <row r="1187" spans="1:12">
      <c r="A1187" s="71">
        <v>43468</v>
      </c>
      <c r="B1187" t="s">
        <v>19</v>
      </c>
      <c r="C1187">
        <v>1</v>
      </c>
      <c r="D1187">
        <v>0.0109</v>
      </c>
      <c r="E1187">
        <v>1</v>
      </c>
      <c r="F1187">
        <v>0.0086</v>
      </c>
      <c r="G1187">
        <v>1</v>
      </c>
      <c r="H1187">
        <v>0</v>
      </c>
      <c r="I1187">
        <v>0</v>
      </c>
      <c r="J1187">
        <v>0</v>
      </c>
      <c r="K1187" t="s">
        <v>38</v>
      </c>
      <c r="L1187">
        <v>0</v>
      </c>
    </row>
    <row r="1188" spans="1:12">
      <c r="A1188" s="71">
        <v>43468</v>
      </c>
      <c r="B1188" t="s">
        <v>18</v>
      </c>
      <c r="C1188">
        <v>4</v>
      </c>
      <c r="D1188">
        <v>0.0435</v>
      </c>
      <c r="E1188">
        <v>7</v>
      </c>
      <c r="F1188">
        <v>0.0603</v>
      </c>
      <c r="G1188">
        <v>1</v>
      </c>
      <c r="H1188">
        <v>0</v>
      </c>
      <c r="I1188">
        <v>0</v>
      </c>
      <c r="J1188">
        <v>0</v>
      </c>
      <c r="K1188" t="s">
        <v>38</v>
      </c>
      <c r="L1188">
        <v>0</v>
      </c>
    </row>
    <row r="1189" spans="1:12">
      <c r="A1189" s="71">
        <v>43468</v>
      </c>
      <c r="B1189" t="s">
        <v>24</v>
      </c>
      <c r="C1189">
        <v>3</v>
      </c>
      <c r="D1189">
        <v>0.0326</v>
      </c>
      <c r="E1189">
        <v>4</v>
      </c>
      <c r="F1189">
        <v>0.0345</v>
      </c>
      <c r="G1189">
        <v>1</v>
      </c>
      <c r="H1189">
        <v>0</v>
      </c>
      <c r="I1189">
        <v>0</v>
      </c>
      <c r="J1189">
        <v>0</v>
      </c>
      <c r="K1189" t="s">
        <v>38</v>
      </c>
      <c r="L1189">
        <v>0</v>
      </c>
    </row>
    <row r="1190" spans="1:12">
      <c r="A1190" s="71">
        <v>43468</v>
      </c>
      <c r="B1190" t="s">
        <v>27</v>
      </c>
      <c r="C1190">
        <v>3</v>
      </c>
      <c r="D1190">
        <v>0.0326</v>
      </c>
      <c r="E1190">
        <v>3</v>
      </c>
      <c r="F1190">
        <v>0.0259</v>
      </c>
      <c r="G1190">
        <v>1</v>
      </c>
      <c r="H1190">
        <v>0</v>
      </c>
      <c r="I1190">
        <v>0</v>
      </c>
      <c r="J1190">
        <v>0</v>
      </c>
      <c r="K1190" t="s">
        <v>38</v>
      </c>
      <c r="L1190">
        <v>0</v>
      </c>
    </row>
    <row r="1191" spans="1:12">
      <c r="A1191" s="71">
        <v>43468</v>
      </c>
      <c r="B1191" t="s">
        <v>23</v>
      </c>
      <c r="C1191">
        <v>21</v>
      </c>
      <c r="D1191">
        <v>0.2283</v>
      </c>
      <c r="E1191">
        <v>22</v>
      </c>
      <c r="F1191">
        <v>0.1897</v>
      </c>
      <c r="G1191">
        <v>1</v>
      </c>
      <c r="H1191">
        <v>2</v>
      </c>
      <c r="I1191">
        <v>0.0952</v>
      </c>
      <c r="J1191">
        <v>19.98</v>
      </c>
      <c r="K1191" t="s">
        <v>40</v>
      </c>
      <c r="L1191">
        <v>0.0952380952380952</v>
      </c>
    </row>
    <row r="1192" spans="1:12">
      <c r="A1192" s="71">
        <v>43468</v>
      </c>
      <c r="B1192" t="s">
        <v>22</v>
      </c>
      <c r="C1192">
        <v>59</v>
      </c>
      <c r="D1192">
        <v>0.6413</v>
      </c>
      <c r="E1192">
        <v>78</v>
      </c>
      <c r="F1192">
        <v>0.6724</v>
      </c>
      <c r="G1192">
        <v>1</v>
      </c>
      <c r="H1192">
        <v>12</v>
      </c>
      <c r="I1192">
        <v>0.2034</v>
      </c>
      <c r="J1192">
        <v>164.67</v>
      </c>
      <c r="K1192" t="s">
        <v>44</v>
      </c>
      <c r="L1192">
        <v>0.135593220338983</v>
      </c>
    </row>
    <row r="1193" spans="1:12">
      <c r="A1193" s="71">
        <v>43468</v>
      </c>
      <c r="B1193" t="s">
        <v>21</v>
      </c>
      <c r="C1193">
        <v>1</v>
      </c>
      <c r="D1193">
        <v>0.0109</v>
      </c>
      <c r="E1193">
        <v>1</v>
      </c>
      <c r="F1193">
        <v>0.0086</v>
      </c>
      <c r="G1193">
        <v>1</v>
      </c>
      <c r="H1193">
        <v>1</v>
      </c>
      <c r="I1193">
        <v>1</v>
      </c>
      <c r="J1193">
        <v>16.98</v>
      </c>
      <c r="K1193" t="s">
        <v>39</v>
      </c>
      <c r="L1193">
        <v>1</v>
      </c>
    </row>
    <row r="1194" spans="1:12">
      <c r="A1194" s="71">
        <v>43469</v>
      </c>
      <c r="B1194" t="s">
        <v>21</v>
      </c>
      <c r="C1194">
        <v>1</v>
      </c>
      <c r="D1194">
        <v>0.0172</v>
      </c>
      <c r="E1194">
        <v>1</v>
      </c>
      <c r="F1194">
        <v>0.0137</v>
      </c>
      <c r="G1194">
        <v>1</v>
      </c>
      <c r="H1194">
        <v>0</v>
      </c>
      <c r="I1194">
        <v>0</v>
      </c>
      <c r="J1194">
        <v>0</v>
      </c>
      <c r="K1194" t="s">
        <v>38</v>
      </c>
      <c r="L1194">
        <v>0</v>
      </c>
    </row>
    <row r="1195" spans="1:12">
      <c r="A1195" s="71">
        <v>43469</v>
      </c>
      <c r="B1195" t="s">
        <v>27</v>
      </c>
      <c r="C1195">
        <v>6</v>
      </c>
      <c r="D1195">
        <v>0.1034</v>
      </c>
      <c r="E1195">
        <v>8</v>
      </c>
      <c r="F1195">
        <v>0.1096</v>
      </c>
      <c r="G1195">
        <v>1</v>
      </c>
      <c r="H1195">
        <v>0</v>
      </c>
      <c r="I1195">
        <v>0</v>
      </c>
      <c r="J1195">
        <v>0</v>
      </c>
      <c r="K1195" t="s">
        <v>38</v>
      </c>
      <c r="L1195">
        <v>0</v>
      </c>
    </row>
    <row r="1196" spans="1:12">
      <c r="A1196" s="71">
        <v>43469</v>
      </c>
      <c r="B1196" t="s">
        <v>18</v>
      </c>
      <c r="C1196">
        <v>4</v>
      </c>
      <c r="D1196">
        <v>0.069</v>
      </c>
      <c r="E1196">
        <v>7</v>
      </c>
      <c r="F1196">
        <v>0.0959</v>
      </c>
      <c r="G1196">
        <v>1</v>
      </c>
      <c r="H1196">
        <v>0</v>
      </c>
      <c r="I1196">
        <v>0</v>
      </c>
      <c r="J1196">
        <v>0</v>
      </c>
      <c r="K1196" t="s">
        <v>38</v>
      </c>
      <c r="L1196">
        <v>0</v>
      </c>
    </row>
    <row r="1197" spans="1:12">
      <c r="A1197" s="71">
        <v>43469</v>
      </c>
      <c r="B1197" t="s">
        <v>19</v>
      </c>
      <c r="C1197">
        <v>3</v>
      </c>
      <c r="D1197">
        <v>0.0517</v>
      </c>
      <c r="E1197">
        <v>3</v>
      </c>
      <c r="F1197">
        <v>0.0411</v>
      </c>
      <c r="G1197">
        <v>1</v>
      </c>
      <c r="H1197">
        <v>0</v>
      </c>
      <c r="I1197">
        <v>0</v>
      </c>
      <c r="J1197">
        <v>0</v>
      </c>
      <c r="K1197" t="s">
        <v>38</v>
      </c>
      <c r="L1197">
        <v>0</v>
      </c>
    </row>
    <row r="1198" spans="1:12">
      <c r="A1198" s="71">
        <v>43469</v>
      </c>
      <c r="B1198" t="s">
        <v>24</v>
      </c>
      <c r="C1198">
        <v>5</v>
      </c>
      <c r="D1198">
        <v>0.0862</v>
      </c>
      <c r="E1198">
        <v>5</v>
      </c>
      <c r="F1198">
        <v>0.0685</v>
      </c>
      <c r="G1198">
        <v>1</v>
      </c>
      <c r="H1198">
        <v>5</v>
      </c>
      <c r="I1198">
        <v>1</v>
      </c>
      <c r="J1198">
        <v>64.95</v>
      </c>
      <c r="K1198" t="s">
        <v>42</v>
      </c>
      <c r="L1198">
        <v>0.8</v>
      </c>
    </row>
    <row r="1199" spans="1:12">
      <c r="A1199" s="71">
        <v>43469</v>
      </c>
      <c r="B1199" t="s">
        <v>22</v>
      </c>
      <c r="C1199">
        <v>32</v>
      </c>
      <c r="D1199">
        <v>0.5517</v>
      </c>
      <c r="E1199">
        <v>41</v>
      </c>
      <c r="F1199">
        <v>0.5616</v>
      </c>
      <c r="G1199">
        <v>1</v>
      </c>
      <c r="H1199">
        <v>5</v>
      </c>
      <c r="I1199">
        <v>0.1563</v>
      </c>
      <c r="J1199">
        <v>59.88</v>
      </c>
      <c r="K1199" t="s">
        <v>43</v>
      </c>
      <c r="L1199">
        <v>0.15625</v>
      </c>
    </row>
    <row r="1200" spans="1:12">
      <c r="A1200" s="71">
        <v>43469</v>
      </c>
      <c r="B1200" t="s">
        <v>23</v>
      </c>
      <c r="C1200">
        <v>7</v>
      </c>
      <c r="D1200">
        <v>0.1207</v>
      </c>
      <c r="E1200">
        <v>8</v>
      </c>
      <c r="F1200">
        <v>0.1096</v>
      </c>
      <c r="G1200">
        <v>1</v>
      </c>
      <c r="H1200">
        <v>1</v>
      </c>
      <c r="I1200">
        <v>0.1429</v>
      </c>
      <c r="J1200">
        <v>9.99</v>
      </c>
      <c r="K1200" t="s">
        <v>39</v>
      </c>
      <c r="L1200">
        <v>0.142857142857143</v>
      </c>
    </row>
    <row r="1201" spans="1:12">
      <c r="A1201" s="71">
        <v>43470</v>
      </c>
      <c r="B1201" t="s">
        <v>19</v>
      </c>
      <c r="C1201">
        <v>1</v>
      </c>
      <c r="D1201">
        <v>0.027</v>
      </c>
      <c r="E1201">
        <v>1</v>
      </c>
      <c r="F1201">
        <v>0.0217</v>
      </c>
      <c r="G1201">
        <v>1</v>
      </c>
      <c r="H1201">
        <v>0</v>
      </c>
      <c r="I1201">
        <v>0</v>
      </c>
      <c r="J1201">
        <v>0</v>
      </c>
      <c r="K1201" t="s">
        <v>38</v>
      </c>
      <c r="L1201">
        <v>0</v>
      </c>
    </row>
    <row r="1202" spans="1:12">
      <c r="A1202" s="71">
        <v>43470</v>
      </c>
      <c r="B1202" t="s">
        <v>21</v>
      </c>
      <c r="C1202">
        <v>1</v>
      </c>
      <c r="D1202">
        <v>0.027</v>
      </c>
      <c r="E1202">
        <v>1</v>
      </c>
      <c r="F1202">
        <v>0.0217</v>
      </c>
      <c r="G1202">
        <v>1</v>
      </c>
      <c r="H1202">
        <v>0</v>
      </c>
      <c r="I1202">
        <v>0</v>
      </c>
      <c r="J1202">
        <v>0</v>
      </c>
      <c r="K1202" t="s">
        <v>38</v>
      </c>
      <c r="L1202">
        <v>0</v>
      </c>
    </row>
    <row r="1203" spans="1:12">
      <c r="A1203" s="71">
        <v>43470</v>
      </c>
      <c r="B1203" t="s">
        <v>18</v>
      </c>
      <c r="C1203">
        <v>7</v>
      </c>
      <c r="D1203">
        <v>0.1892</v>
      </c>
      <c r="E1203">
        <v>7</v>
      </c>
      <c r="F1203">
        <v>0.1522</v>
      </c>
      <c r="G1203">
        <v>1</v>
      </c>
      <c r="H1203">
        <v>0</v>
      </c>
      <c r="I1203">
        <v>0</v>
      </c>
      <c r="J1203">
        <v>0</v>
      </c>
      <c r="K1203" t="s">
        <v>38</v>
      </c>
      <c r="L1203">
        <v>0</v>
      </c>
    </row>
    <row r="1204" spans="1:12">
      <c r="A1204" s="71">
        <v>43470</v>
      </c>
      <c r="B1204" t="s">
        <v>24</v>
      </c>
      <c r="C1204">
        <v>6</v>
      </c>
      <c r="D1204">
        <v>0.1622</v>
      </c>
      <c r="E1204">
        <v>7</v>
      </c>
      <c r="F1204">
        <v>0.1522</v>
      </c>
      <c r="G1204">
        <v>1</v>
      </c>
      <c r="H1204">
        <v>0</v>
      </c>
      <c r="I1204">
        <v>0</v>
      </c>
      <c r="J1204">
        <v>0</v>
      </c>
      <c r="K1204" t="s">
        <v>38</v>
      </c>
      <c r="L1204">
        <v>0</v>
      </c>
    </row>
    <row r="1205" spans="1:12">
      <c r="A1205" s="71">
        <v>43470</v>
      </c>
      <c r="B1205" t="s">
        <v>27</v>
      </c>
      <c r="C1205">
        <v>4</v>
      </c>
      <c r="D1205">
        <v>0.1081</v>
      </c>
      <c r="E1205">
        <v>4</v>
      </c>
      <c r="F1205">
        <v>0.087</v>
      </c>
      <c r="G1205">
        <v>1</v>
      </c>
      <c r="H1205">
        <v>0</v>
      </c>
      <c r="I1205">
        <v>0</v>
      </c>
      <c r="J1205">
        <v>0</v>
      </c>
      <c r="K1205" t="s">
        <v>38</v>
      </c>
      <c r="L1205">
        <v>0</v>
      </c>
    </row>
    <row r="1206" spans="1:12">
      <c r="A1206" s="71">
        <v>43470</v>
      </c>
      <c r="B1206" t="s">
        <v>22</v>
      </c>
      <c r="C1206">
        <v>6</v>
      </c>
      <c r="D1206">
        <v>0.1622</v>
      </c>
      <c r="E1206">
        <v>8</v>
      </c>
      <c r="F1206">
        <v>0.1739</v>
      </c>
      <c r="G1206">
        <v>0.5</v>
      </c>
      <c r="H1206">
        <v>1</v>
      </c>
      <c r="I1206">
        <v>0.1667</v>
      </c>
      <c r="J1206">
        <v>14.97</v>
      </c>
      <c r="K1206" t="s">
        <v>39</v>
      </c>
      <c r="L1206">
        <v>0.166666666666667</v>
      </c>
    </row>
    <row r="1207" spans="1:12">
      <c r="A1207" s="71">
        <v>43470</v>
      </c>
      <c r="B1207" t="s">
        <v>23</v>
      </c>
      <c r="C1207">
        <v>12</v>
      </c>
      <c r="D1207">
        <v>0.3243</v>
      </c>
      <c r="E1207">
        <v>18</v>
      </c>
      <c r="F1207">
        <v>0.3913</v>
      </c>
      <c r="G1207">
        <v>1</v>
      </c>
      <c r="H1207">
        <v>5</v>
      </c>
      <c r="I1207">
        <v>0.4167</v>
      </c>
      <c r="J1207">
        <v>49.95</v>
      </c>
      <c r="K1207" t="s">
        <v>40</v>
      </c>
      <c r="L1207">
        <v>0.166666666666667</v>
      </c>
    </row>
    <row r="1208" spans="1:12">
      <c r="A1208" s="71">
        <v>43471</v>
      </c>
      <c r="B1208" t="s">
        <v>27</v>
      </c>
      <c r="C1208">
        <v>1</v>
      </c>
      <c r="D1208">
        <v>0.0286</v>
      </c>
      <c r="E1208">
        <v>1</v>
      </c>
      <c r="F1208">
        <v>0.0256</v>
      </c>
      <c r="G1208">
        <v>1</v>
      </c>
      <c r="H1208">
        <v>0</v>
      </c>
      <c r="I1208">
        <v>0</v>
      </c>
      <c r="J1208">
        <v>0</v>
      </c>
      <c r="K1208" t="s">
        <v>38</v>
      </c>
      <c r="L1208">
        <v>0</v>
      </c>
    </row>
    <row r="1209" spans="1:12">
      <c r="A1209" s="71">
        <v>43471</v>
      </c>
      <c r="B1209" t="s">
        <v>21</v>
      </c>
      <c r="C1209">
        <v>2</v>
      </c>
      <c r="D1209">
        <v>0.0571</v>
      </c>
      <c r="E1209">
        <v>4</v>
      </c>
      <c r="F1209">
        <v>0.1026</v>
      </c>
      <c r="G1209">
        <v>1</v>
      </c>
      <c r="H1209">
        <v>0</v>
      </c>
      <c r="I1209">
        <v>0</v>
      </c>
      <c r="J1209">
        <v>0</v>
      </c>
      <c r="K1209" t="s">
        <v>38</v>
      </c>
      <c r="L1209">
        <v>0</v>
      </c>
    </row>
    <row r="1210" spans="1:12">
      <c r="A1210" s="71">
        <v>43471</v>
      </c>
      <c r="B1210" t="s">
        <v>18</v>
      </c>
      <c r="C1210">
        <v>16</v>
      </c>
      <c r="D1210">
        <v>0.4571</v>
      </c>
      <c r="E1210">
        <v>18</v>
      </c>
      <c r="F1210">
        <v>0.4615</v>
      </c>
      <c r="G1210">
        <v>1</v>
      </c>
      <c r="H1210">
        <v>0</v>
      </c>
      <c r="I1210">
        <v>0</v>
      </c>
      <c r="J1210">
        <v>0</v>
      </c>
      <c r="K1210" t="s">
        <v>38</v>
      </c>
      <c r="L1210">
        <v>0</v>
      </c>
    </row>
    <row r="1211" spans="1:12">
      <c r="A1211" s="71">
        <v>43471</v>
      </c>
      <c r="B1211" t="s">
        <v>23</v>
      </c>
      <c r="C1211">
        <v>15</v>
      </c>
      <c r="D1211">
        <v>0.4286</v>
      </c>
      <c r="E1211">
        <v>15</v>
      </c>
      <c r="F1211">
        <v>0.3846</v>
      </c>
      <c r="G1211">
        <v>1</v>
      </c>
      <c r="H1211">
        <v>3</v>
      </c>
      <c r="I1211">
        <v>0.2</v>
      </c>
      <c r="J1211">
        <v>29.97</v>
      </c>
      <c r="K1211" t="s">
        <v>40</v>
      </c>
      <c r="L1211">
        <v>0.133333333333333</v>
      </c>
    </row>
    <row r="1212" spans="1:12">
      <c r="A1212" s="71">
        <v>43471</v>
      </c>
      <c r="B1212" t="s">
        <v>24</v>
      </c>
      <c r="C1212">
        <v>1</v>
      </c>
      <c r="D1212">
        <v>0.0286</v>
      </c>
      <c r="E1212">
        <v>1</v>
      </c>
      <c r="F1212">
        <v>0.0256</v>
      </c>
      <c r="G1212">
        <v>1</v>
      </c>
      <c r="H1212">
        <v>2</v>
      </c>
      <c r="I1212">
        <v>2</v>
      </c>
      <c r="J1212">
        <v>25.98</v>
      </c>
      <c r="K1212" t="s">
        <v>40</v>
      </c>
      <c r="L1212">
        <v>2</v>
      </c>
    </row>
    <row r="1213" spans="1:12">
      <c r="A1213" s="71">
        <v>43472</v>
      </c>
      <c r="B1213" t="s">
        <v>19</v>
      </c>
      <c r="C1213">
        <v>1</v>
      </c>
      <c r="D1213">
        <v>0.0303</v>
      </c>
      <c r="E1213">
        <v>1</v>
      </c>
      <c r="F1213">
        <v>0.0222</v>
      </c>
      <c r="G1213">
        <v>1</v>
      </c>
      <c r="H1213">
        <v>0</v>
      </c>
      <c r="I1213">
        <v>0</v>
      </c>
      <c r="J1213">
        <v>0</v>
      </c>
      <c r="K1213" t="s">
        <v>38</v>
      </c>
      <c r="L1213">
        <v>0</v>
      </c>
    </row>
    <row r="1214" spans="1:12">
      <c r="A1214" s="71">
        <v>43472</v>
      </c>
      <c r="B1214" t="s">
        <v>21</v>
      </c>
      <c r="C1214">
        <v>1</v>
      </c>
      <c r="D1214">
        <v>0.0303</v>
      </c>
      <c r="E1214">
        <v>2</v>
      </c>
      <c r="F1214">
        <v>0.0444</v>
      </c>
      <c r="G1214">
        <v>1</v>
      </c>
      <c r="H1214">
        <v>0</v>
      </c>
      <c r="I1214">
        <v>0</v>
      </c>
      <c r="J1214">
        <v>0</v>
      </c>
      <c r="K1214" t="s">
        <v>38</v>
      </c>
      <c r="L1214">
        <v>0</v>
      </c>
    </row>
    <row r="1215" spans="1:12">
      <c r="A1215" s="71">
        <v>43472</v>
      </c>
      <c r="B1215" t="s">
        <v>18</v>
      </c>
      <c r="C1215">
        <v>9</v>
      </c>
      <c r="D1215">
        <v>0.2727</v>
      </c>
      <c r="E1215">
        <v>11</v>
      </c>
      <c r="F1215">
        <v>0.2444</v>
      </c>
      <c r="G1215">
        <v>1</v>
      </c>
      <c r="H1215">
        <v>0</v>
      </c>
      <c r="I1215">
        <v>0</v>
      </c>
      <c r="J1215">
        <v>0</v>
      </c>
      <c r="K1215" t="s">
        <v>38</v>
      </c>
      <c r="L1215">
        <v>0</v>
      </c>
    </row>
    <row r="1216" spans="1:12">
      <c r="A1216" s="71">
        <v>43472</v>
      </c>
      <c r="B1216" t="s">
        <v>27</v>
      </c>
      <c r="C1216">
        <v>6</v>
      </c>
      <c r="D1216">
        <v>0.1818</v>
      </c>
      <c r="E1216">
        <v>7</v>
      </c>
      <c r="F1216">
        <v>0.1556</v>
      </c>
      <c r="G1216">
        <v>0.86</v>
      </c>
      <c r="H1216">
        <v>0</v>
      </c>
      <c r="I1216">
        <v>0</v>
      </c>
      <c r="J1216">
        <v>0</v>
      </c>
      <c r="K1216" t="s">
        <v>38</v>
      </c>
      <c r="L1216">
        <v>0</v>
      </c>
    </row>
    <row r="1217" spans="1:12">
      <c r="A1217" s="71">
        <v>43472</v>
      </c>
      <c r="B1217" t="s">
        <v>24</v>
      </c>
      <c r="C1217">
        <v>2</v>
      </c>
      <c r="D1217">
        <v>0.0606</v>
      </c>
      <c r="E1217">
        <v>6</v>
      </c>
      <c r="F1217">
        <v>0.1333</v>
      </c>
      <c r="G1217">
        <v>1</v>
      </c>
      <c r="H1217">
        <v>4</v>
      </c>
      <c r="I1217">
        <v>2</v>
      </c>
      <c r="J1217">
        <v>51.96</v>
      </c>
      <c r="K1217" t="s">
        <v>41</v>
      </c>
      <c r="L1217">
        <v>1.5</v>
      </c>
    </row>
    <row r="1218" spans="1:12">
      <c r="A1218" s="71">
        <v>43472</v>
      </c>
      <c r="B1218" t="s">
        <v>23</v>
      </c>
      <c r="C1218">
        <v>14</v>
      </c>
      <c r="D1218">
        <v>0.4242</v>
      </c>
      <c r="E1218">
        <v>18</v>
      </c>
      <c r="F1218">
        <v>0.4</v>
      </c>
      <c r="G1218">
        <v>1</v>
      </c>
      <c r="H1218">
        <v>2</v>
      </c>
      <c r="I1218">
        <v>0.1429</v>
      </c>
      <c r="J1218">
        <v>19.98</v>
      </c>
      <c r="K1218" t="s">
        <v>39</v>
      </c>
      <c r="L1218">
        <v>0.0714285714285714</v>
      </c>
    </row>
    <row r="1219" spans="1:12">
      <c r="A1219" s="71">
        <v>43473</v>
      </c>
      <c r="B1219" t="s">
        <v>21</v>
      </c>
      <c r="C1219">
        <v>1</v>
      </c>
      <c r="D1219">
        <v>0.0333</v>
      </c>
      <c r="E1219">
        <v>1</v>
      </c>
      <c r="F1219">
        <v>0.0278</v>
      </c>
      <c r="G1219">
        <v>1</v>
      </c>
      <c r="H1219">
        <v>0</v>
      </c>
      <c r="I1219">
        <v>0</v>
      </c>
      <c r="J1219">
        <v>0</v>
      </c>
      <c r="K1219" t="s">
        <v>38</v>
      </c>
      <c r="L1219">
        <v>0</v>
      </c>
    </row>
    <row r="1220" spans="1:12">
      <c r="A1220" s="71">
        <v>43473</v>
      </c>
      <c r="B1220" t="s">
        <v>23</v>
      </c>
      <c r="C1220">
        <v>14</v>
      </c>
      <c r="D1220">
        <v>0.4667</v>
      </c>
      <c r="E1220">
        <v>17</v>
      </c>
      <c r="F1220">
        <v>0.4722</v>
      </c>
      <c r="G1220">
        <v>1</v>
      </c>
      <c r="H1220">
        <v>6</v>
      </c>
      <c r="I1220">
        <v>0.4286</v>
      </c>
      <c r="J1220">
        <v>59.94</v>
      </c>
      <c r="K1220" t="s">
        <v>43</v>
      </c>
      <c r="L1220">
        <v>0.357142857142857</v>
      </c>
    </row>
    <row r="1221" spans="1:12">
      <c r="A1221" s="71">
        <v>43473</v>
      </c>
      <c r="B1221" t="s">
        <v>18</v>
      </c>
      <c r="C1221">
        <v>9</v>
      </c>
      <c r="D1221">
        <v>0.3</v>
      </c>
      <c r="E1221">
        <v>12</v>
      </c>
      <c r="F1221">
        <v>0.3333</v>
      </c>
      <c r="G1221">
        <v>1</v>
      </c>
      <c r="H1221">
        <v>3</v>
      </c>
      <c r="I1221">
        <v>0.3333</v>
      </c>
      <c r="J1221">
        <v>89.97</v>
      </c>
      <c r="K1221" t="s">
        <v>40</v>
      </c>
      <c r="L1221">
        <v>0.222222222222222</v>
      </c>
    </row>
    <row r="1222" spans="1:12">
      <c r="A1222" s="71">
        <v>43473</v>
      </c>
      <c r="B1222" t="s">
        <v>24</v>
      </c>
      <c r="C1222">
        <v>3</v>
      </c>
      <c r="D1222">
        <v>0.1</v>
      </c>
      <c r="E1222">
        <v>3</v>
      </c>
      <c r="F1222">
        <v>0.0833</v>
      </c>
      <c r="G1222">
        <v>1</v>
      </c>
      <c r="H1222">
        <v>2</v>
      </c>
      <c r="I1222">
        <v>0.6667</v>
      </c>
      <c r="J1222">
        <v>25.98</v>
      </c>
      <c r="K1222" t="s">
        <v>39</v>
      </c>
      <c r="L1222">
        <v>0.333333333333333</v>
      </c>
    </row>
    <row r="1223" spans="1:12">
      <c r="A1223" s="71">
        <v>43473</v>
      </c>
      <c r="B1223" t="s">
        <v>27</v>
      </c>
      <c r="C1223">
        <v>3</v>
      </c>
      <c r="D1223">
        <v>0.1</v>
      </c>
      <c r="E1223">
        <v>3</v>
      </c>
      <c r="F1223">
        <v>0.0833</v>
      </c>
      <c r="G1223">
        <v>1</v>
      </c>
      <c r="H1223">
        <v>1</v>
      </c>
      <c r="I1223">
        <v>0.3333</v>
      </c>
      <c r="J1223">
        <v>19.99</v>
      </c>
      <c r="K1223" t="s">
        <v>39</v>
      </c>
      <c r="L1223">
        <v>0.333333333333333</v>
      </c>
    </row>
    <row r="1224" spans="1:12">
      <c r="A1224" s="71">
        <v>43474</v>
      </c>
      <c r="B1224" t="s">
        <v>21</v>
      </c>
      <c r="C1224">
        <v>1</v>
      </c>
      <c r="D1224">
        <v>0.0159</v>
      </c>
      <c r="E1224">
        <v>1</v>
      </c>
      <c r="F1224">
        <v>0.012</v>
      </c>
      <c r="G1224">
        <v>1</v>
      </c>
      <c r="H1224">
        <v>0</v>
      </c>
      <c r="I1224">
        <v>0</v>
      </c>
      <c r="J1224">
        <v>0</v>
      </c>
      <c r="K1224" t="s">
        <v>38</v>
      </c>
      <c r="L1224">
        <v>0</v>
      </c>
    </row>
    <row r="1225" spans="1:12">
      <c r="A1225" s="71">
        <v>43474</v>
      </c>
      <c r="B1225" t="s">
        <v>19</v>
      </c>
      <c r="C1225">
        <v>2</v>
      </c>
      <c r="D1225">
        <v>0.0317</v>
      </c>
      <c r="E1225">
        <v>2</v>
      </c>
      <c r="F1225">
        <v>0.0241</v>
      </c>
      <c r="G1225">
        <v>1</v>
      </c>
      <c r="H1225">
        <v>0</v>
      </c>
      <c r="I1225">
        <v>0</v>
      </c>
      <c r="J1225">
        <v>0</v>
      </c>
      <c r="K1225" t="s">
        <v>38</v>
      </c>
      <c r="L1225">
        <v>0</v>
      </c>
    </row>
    <row r="1226" spans="1:12">
      <c r="A1226" s="71">
        <v>43474</v>
      </c>
      <c r="B1226" t="s">
        <v>18</v>
      </c>
      <c r="C1226">
        <v>11</v>
      </c>
      <c r="D1226">
        <v>0.1746</v>
      </c>
      <c r="E1226">
        <v>12</v>
      </c>
      <c r="F1226">
        <v>0.1446</v>
      </c>
      <c r="G1226">
        <v>1</v>
      </c>
      <c r="H1226">
        <v>0</v>
      </c>
      <c r="I1226">
        <v>0</v>
      </c>
      <c r="J1226">
        <v>0</v>
      </c>
      <c r="K1226" t="s">
        <v>38</v>
      </c>
      <c r="L1226">
        <v>0</v>
      </c>
    </row>
    <row r="1227" spans="1:12">
      <c r="A1227" s="71">
        <v>43474</v>
      </c>
      <c r="B1227" t="s">
        <v>24</v>
      </c>
      <c r="C1227">
        <v>8</v>
      </c>
      <c r="D1227">
        <v>0.127</v>
      </c>
      <c r="E1227">
        <v>8</v>
      </c>
      <c r="F1227">
        <v>0.0964</v>
      </c>
      <c r="G1227">
        <v>1</v>
      </c>
      <c r="H1227">
        <v>2</v>
      </c>
      <c r="I1227">
        <v>0.25</v>
      </c>
      <c r="J1227">
        <v>0</v>
      </c>
      <c r="K1227" t="s">
        <v>39</v>
      </c>
      <c r="L1227">
        <v>0.125</v>
      </c>
    </row>
    <row r="1228" spans="1:12">
      <c r="A1228" s="71">
        <v>43474</v>
      </c>
      <c r="B1228" t="s">
        <v>22</v>
      </c>
      <c r="C1228">
        <v>26</v>
      </c>
      <c r="D1228">
        <v>0.4127</v>
      </c>
      <c r="E1228">
        <v>36</v>
      </c>
      <c r="F1228">
        <v>0.4337</v>
      </c>
      <c r="G1228">
        <v>1</v>
      </c>
      <c r="H1228">
        <v>4</v>
      </c>
      <c r="I1228">
        <v>0.1538</v>
      </c>
      <c r="J1228">
        <v>59.88</v>
      </c>
      <c r="K1228" t="s">
        <v>42</v>
      </c>
      <c r="L1228">
        <v>0.153846153846154</v>
      </c>
    </row>
    <row r="1229" spans="1:12">
      <c r="A1229" s="71">
        <v>43474</v>
      </c>
      <c r="B1229" t="s">
        <v>23</v>
      </c>
      <c r="C1229">
        <v>12</v>
      </c>
      <c r="D1229">
        <v>0.1905</v>
      </c>
      <c r="E1229">
        <v>16</v>
      </c>
      <c r="F1229">
        <v>0.1928</v>
      </c>
      <c r="G1229">
        <v>1</v>
      </c>
      <c r="H1229">
        <v>1</v>
      </c>
      <c r="I1229">
        <v>0.0833</v>
      </c>
      <c r="J1229">
        <v>11.99</v>
      </c>
      <c r="K1229" t="s">
        <v>39</v>
      </c>
      <c r="L1229">
        <v>0.0833333333333333</v>
      </c>
    </row>
    <row r="1230" spans="1:12">
      <c r="A1230" s="71">
        <v>43474</v>
      </c>
      <c r="B1230" t="s">
        <v>27</v>
      </c>
      <c r="C1230">
        <v>3</v>
      </c>
      <c r="D1230">
        <v>0.0476</v>
      </c>
      <c r="E1230">
        <v>8</v>
      </c>
      <c r="F1230">
        <v>0.0964</v>
      </c>
      <c r="G1230">
        <v>1</v>
      </c>
      <c r="H1230">
        <v>1</v>
      </c>
      <c r="I1230">
        <v>0.3333</v>
      </c>
      <c r="J1230">
        <v>19.99</v>
      </c>
      <c r="K1230" t="s">
        <v>39</v>
      </c>
      <c r="L1230">
        <v>0.333333333333333</v>
      </c>
    </row>
    <row r="1231" spans="1:12">
      <c r="A1231" s="71">
        <v>43475</v>
      </c>
      <c r="B1231" t="s">
        <v>20</v>
      </c>
      <c r="C1231">
        <v>1</v>
      </c>
      <c r="D1231">
        <v>0.0128</v>
      </c>
      <c r="E1231">
        <v>1</v>
      </c>
      <c r="F1231">
        <v>0.0103</v>
      </c>
      <c r="G1231">
        <v>1</v>
      </c>
      <c r="H1231">
        <v>0</v>
      </c>
      <c r="I1231">
        <v>0</v>
      </c>
      <c r="J1231">
        <v>0</v>
      </c>
      <c r="K1231" t="s">
        <v>38</v>
      </c>
      <c r="L1231">
        <v>0</v>
      </c>
    </row>
    <row r="1232" spans="1:12">
      <c r="A1232" s="71">
        <v>43475</v>
      </c>
      <c r="B1232" t="s">
        <v>21</v>
      </c>
      <c r="C1232">
        <v>2</v>
      </c>
      <c r="D1232">
        <v>0.0256</v>
      </c>
      <c r="E1232">
        <v>4</v>
      </c>
      <c r="F1232">
        <v>0.0412</v>
      </c>
      <c r="G1232">
        <v>1</v>
      </c>
      <c r="H1232">
        <v>0</v>
      </c>
      <c r="I1232">
        <v>0</v>
      </c>
      <c r="J1232">
        <v>0</v>
      </c>
      <c r="K1232" t="s">
        <v>38</v>
      </c>
      <c r="L1232">
        <v>0</v>
      </c>
    </row>
    <row r="1233" spans="1:12">
      <c r="A1233" s="71">
        <v>43475</v>
      </c>
      <c r="B1233" t="s">
        <v>19</v>
      </c>
      <c r="C1233">
        <v>3</v>
      </c>
      <c r="D1233">
        <v>0.0385</v>
      </c>
      <c r="E1233">
        <v>4</v>
      </c>
      <c r="F1233">
        <v>0.0412</v>
      </c>
      <c r="G1233">
        <v>1</v>
      </c>
      <c r="H1233">
        <v>0</v>
      </c>
      <c r="I1233">
        <v>0</v>
      </c>
      <c r="J1233">
        <v>0</v>
      </c>
      <c r="K1233" t="s">
        <v>38</v>
      </c>
      <c r="L1233">
        <v>0</v>
      </c>
    </row>
    <row r="1234" spans="1:12">
      <c r="A1234" s="71">
        <v>43475</v>
      </c>
      <c r="B1234" t="s">
        <v>24</v>
      </c>
      <c r="C1234">
        <v>7</v>
      </c>
      <c r="D1234">
        <v>0.0897</v>
      </c>
      <c r="E1234">
        <v>8</v>
      </c>
      <c r="F1234">
        <v>0.0825</v>
      </c>
      <c r="G1234">
        <v>0.88</v>
      </c>
      <c r="H1234">
        <v>0</v>
      </c>
      <c r="I1234">
        <v>0</v>
      </c>
      <c r="J1234">
        <v>0</v>
      </c>
      <c r="K1234" t="s">
        <v>38</v>
      </c>
      <c r="L1234">
        <v>0</v>
      </c>
    </row>
    <row r="1235" spans="1:12">
      <c r="A1235" s="71">
        <v>43475</v>
      </c>
      <c r="B1235" t="s">
        <v>18</v>
      </c>
      <c r="C1235">
        <v>6</v>
      </c>
      <c r="D1235">
        <v>0.0769</v>
      </c>
      <c r="E1235">
        <v>10</v>
      </c>
      <c r="F1235">
        <v>0.1031</v>
      </c>
      <c r="G1235">
        <v>1</v>
      </c>
      <c r="H1235">
        <v>2</v>
      </c>
      <c r="I1235">
        <v>0.3333</v>
      </c>
      <c r="J1235">
        <v>59.98</v>
      </c>
      <c r="K1235" t="s">
        <v>40</v>
      </c>
      <c r="L1235">
        <v>0.333333333333333</v>
      </c>
    </row>
    <row r="1236" spans="1:12">
      <c r="A1236" s="71">
        <v>43475</v>
      </c>
      <c r="B1236" t="s">
        <v>22</v>
      </c>
      <c r="C1236">
        <v>42</v>
      </c>
      <c r="D1236">
        <v>0.5385</v>
      </c>
      <c r="E1236">
        <v>50</v>
      </c>
      <c r="F1236">
        <v>0.5155</v>
      </c>
      <c r="G1236">
        <v>1</v>
      </c>
      <c r="H1236">
        <v>6</v>
      </c>
      <c r="I1236">
        <v>0.1429</v>
      </c>
      <c r="J1236">
        <v>89.82</v>
      </c>
      <c r="K1236" t="s">
        <v>43</v>
      </c>
      <c r="L1236">
        <v>0.119047619047619</v>
      </c>
    </row>
    <row r="1237" spans="1:12">
      <c r="A1237" s="71">
        <v>43475</v>
      </c>
      <c r="B1237" t="s">
        <v>23</v>
      </c>
      <c r="C1237">
        <v>13</v>
      </c>
      <c r="D1237">
        <v>0.1667</v>
      </c>
      <c r="E1237">
        <v>15</v>
      </c>
      <c r="F1237">
        <v>0.1546</v>
      </c>
      <c r="G1237">
        <v>1</v>
      </c>
      <c r="H1237">
        <v>1</v>
      </c>
      <c r="I1237">
        <v>0.0769</v>
      </c>
      <c r="J1237">
        <v>11.99</v>
      </c>
      <c r="K1237" t="s">
        <v>39</v>
      </c>
      <c r="L1237">
        <v>0.0769230769230769</v>
      </c>
    </row>
    <row r="1238" spans="1:12">
      <c r="A1238" s="71">
        <v>43475</v>
      </c>
      <c r="B1238" t="s">
        <v>27</v>
      </c>
      <c r="C1238">
        <v>4</v>
      </c>
      <c r="D1238">
        <v>0.0513</v>
      </c>
      <c r="E1238">
        <v>5</v>
      </c>
      <c r="F1238">
        <v>0.0515</v>
      </c>
      <c r="G1238">
        <v>1</v>
      </c>
      <c r="H1238">
        <v>1</v>
      </c>
      <c r="I1238">
        <v>0.25</v>
      </c>
      <c r="J1238">
        <v>19.99</v>
      </c>
      <c r="K1238" t="s">
        <v>39</v>
      </c>
      <c r="L1238">
        <v>0.25</v>
      </c>
    </row>
    <row r="1239" spans="1:12">
      <c r="A1239" s="71">
        <v>43476</v>
      </c>
      <c r="B1239" t="s">
        <v>19</v>
      </c>
      <c r="C1239">
        <v>1</v>
      </c>
      <c r="D1239">
        <v>0.0133</v>
      </c>
      <c r="E1239">
        <v>2</v>
      </c>
      <c r="F1239">
        <v>0.0194</v>
      </c>
      <c r="G1239">
        <v>1</v>
      </c>
      <c r="H1239">
        <v>0</v>
      </c>
      <c r="I1239">
        <v>0</v>
      </c>
      <c r="J1239">
        <v>0</v>
      </c>
      <c r="K1239" t="s">
        <v>38</v>
      </c>
      <c r="L1239">
        <v>0</v>
      </c>
    </row>
    <row r="1240" spans="1:12">
      <c r="A1240" s="71">
        <v>43476</v>
      </c>
      <c r="B1240" t="s">
        <v>18</v>
      </c>
      <c r="C1240">
        <v>14</v>
      </c>
      <c r="D1240">
        <v>0.1867</v>
      </c>
      <c r="E1240">
        <v>19</v>
      </c>
      <c r="F1240">
        <v>0.1845</v>
      </c>
      <c r="G1240">
        <v>1</v>
      </c>
      <c r="H1240">
        <v>0</v>
      </c>
      <c r="I1240">
        <v>0</v>
      </c>
      <c r="J1240">
        <v>0</v>
      </c>
      <c r="K1240" t="s">
        <v>38</v>
      </c>
      <c r="L1240">
        <v>0</v>
      </c>
    </row>
    <row r="1241" spans="1:12">
      <c r="A1241" s="71">
        <v>43476</v>
      </c>
      <c r="B1241" t="s">
        <v>24</v>
      </c>
      <c r="C1241">
        <v>10</v>
      </c>
      <c r="D1241">
        <v>0.1333</v>
      </c>
      <c r="E1241">
        <v>14</v>
      </c>
      <c r="F1241">
        <v>0.1359</v>
      </c>
      <c r="G1241">
        <v>1</v>
      </c>
      <c r="H1241">
        <v>3</v>
      </c>
      <c r="I1241">
        <v>0.3</v>
      </c>
      <c r="J1241">
        <v>38.97</v>
      </c>
      <c r="K1241" t="s">
        <v>41</v>
      </c>
      <c r="L1241">
        <v>0.3</v>
      </c>
    </row>
    <row r="1242" spans="1:12">
      <c r="A1242" s="71">
        <v>43476</v>
      </c>
      <c r="B1242" t="s">
        <v>23</v>
      </c>
      <c r="C1242">
        <v>11</v>
      </c>
      <c r="D1242">
        <v>0.1467</v>
      </c>
      <c r="E1242">
        <v>14</v>
      </c>
      <c r="F1242">
        <v>0.1359</v>
      </c>
      <c r="G1242">
        <v>1</v>
      </c>
      <c r="H1242">
        <v>2</v>
      </c>
      <c r="I1242">
        <v>0.1818</v>
      </c>
      <c r="J1242">
        <v>23.98</v>
      </c>
      <c r="K1242" t="s">
        <v>40</v>
      </c>
      <c r="L1242">
        <v>0.181818181818182</v>
      </c>
    </row>
    <row r="1243" spans="1:12">
      <c r="A1243" s="71">
        <v>43476</v>
      </c>
      <c r="B1243" t="s">
        <v>22</v>
      </c>
      <c r="C1243">
        <v>39</v>
      </c>
      <c r="D1243">
        <v>0.52</v>
      </c>
      <c r="E1243">
        <v>54</v>
      </c>
      <c r="F1243">
        <v>0.5243</v>
      </c>
      <c r="G1243">
        <v>1</v>
      </c>
      <c r="H1243">
        <v>12</v>
      </c>
      <c r="I1243">
        <v>0.3077</v>
      </c>
      <c r="J1243">
        <v>179.64</v>
      </c>
      <c r="K1243" t="s">
        <v>46</v>
      </c>
      <c r="L1243">
        <v>0.17948717948718</v>
      </c>
    </row>
    <row r="1244" spans="1:12">
      <c r="A1244" s="71">
        <v>43477</v>
      </c>
      <c r="B1244" t="s">
        <v>21</v>
      </c>
      <c r="C1244">
        <v>1</v>
      </c>
      <c r="D1244">
        <v>0.0141</v>
      </c>
      <c r="E1244">
        <v>1</v>
      </c>
      <c r="F1244">
        <v>0.0109</v>
      </c>
      <c r="G1244">
        <v>1</v>
      </c>
      <c r="H1244">
        <v>0</v>
      </c>
      <c r="I1244">
        <v>0</v>
      </c>
      <c r="J1244">
        <v>0</v>
      </c>
      <c r="K1244" t="s">
        <v>38</v>
      </c>
      <c r="L1244">
        <v>0</v>
      </c>
    </row>
    <row r="1245" spans="1:12">
      <c r="A1245" s="71">
        <v>43477</v>
      </c>
      <c r="B1245" t="s">
        <v>23</v>
      </c>
      <c r="C1245">
        <v>15</v>
      </c>
      <c r="D1245">
        <v>0.2113</v>
      </c>
      <c r="E1245">
        <v>19</v>
      </c>
      <c r="F1245">
        <v>0.2065</v>
      </c>
      <c r="G1245">
        <v>1</v>
      </c>
      <c r="H1245">
        <v>0</v>
      </c>
      <c r="I1245">
        <v>0</v>
      </c>
      <c r="J1245">
        <v>0</v>
      </c>
      <c r="K1245" t="s">
        <v>38</v>
      </c>
      <c r="L1245">
        <v>0</v>
      </c>
    </row>
    <row r="1246" spans="1:12">
      <c r="A1246" s="71">
        <v>43477</v>
      </c>
      <c r="B1246" t="s">
        <v>18</v>
      </c>
      <c r="C1246">
        <v>9</v>
      </c>
      <c r="D1246">
        <v>0.1268</v>
      </c>
      <c r="E1246">
        <v>12</v>
      </c>
      <c r="F1246">
        <v>0.1304</v>
      </c>
      <c r="G1246">
        <v>1</v>
      </c>
      <c r="H1246">
        <v>0</v>
      </c>
      <c r="I1246">
        <v>0</v>
      </c>
      <c r="J1246">
        <v>0</v>
      </c>
      <c r="K1246" t="s">
        <v>38</v>
      </c>
      <c r="L1246">
        <v>0</v>
      </c>
    </row>
    <row r="1247" spans="1:12">
      <c r="A1247" s="71">
        <v>43477</v>
      </c>
      <c r="B1247" t="s">
        <v>24</v>
      </c>
      <c r="C1247">
        <v>7</v>
      </c>
      <c r="D1247">
        <v>0.0986</v>
      </c>
      <c r="E1247">
        <v>7</v>
      </c>
      <c r="F1247">
        <v>0.0761</v>
      </c>
      <c r="G1247">
        <v>1</v>
      </c>
      <c r="H1247">
        <v>0</v>
      </c>
      <c r="I1247">
        <v>0</v>
      </c>
      <c r="J1247">
        <v>0</v>
      </c>
      <c r="K1247" t="s">
        <v>38</v>
      </c>
      <c r="L1247">
        <v>0</v>
      </c>
    </row>
    <row r="1248" spans="1:12">
      <c r="A1248" s="71">
        <v>43477</v>
      </c>
      <c r="B1248" t="s">
        <v>27</v>
      </c>
      <c r="C1248">
        <v>3</v>
      </c>
      <c r="D1248">
        <v>0.0423</v>
      </c>
      <c r="E1248">
        <v>4</v>
      </c>
      <c r="F1248">
        <v>0.0435</v>
      </c>
      <c r="G1248">
        <v>1</v>
      </c>
      <c r="H1248">
        <v>0</v>
      </c>
      <c r="I1248">
        <v>0</v>
      </c>
      <c r="J1248">
        <v>0</v>
      </c>
      <c r="K1248" t="s">
        <v>38</v>
      </c>
      <c r="L1248">
        <v>0</v>
      </c>
    </row>
    <row r="1249" spans="1:12">
      <c r="A1249" s="71">
        <v>43477</v>
      </c>
      <c r="B1249" t="s">
        <v>22</v>
      </c>
      <c r="C1249">
        <v>36</v>
      </c>
      <c r="D1249">
        <v>0.507</v>
      </c>
      <c r="E1249">
        <v>49</v>
      </c>
      <c r="F1249">
        <v>0.5326</v>
      </c>
      <c r="G1249">
        <v>0.98</v>
      </c>
      <c r="H1249">
        <v>0</v>
      </c>
      <c r="I1249">
        <v>0</v>
      </c>
      <c r="J1249">
        <v>0</v>
      </c>
      <c r="K1249" t="s">
        <v>38</v>
      </c>
      <c r="L1249">
        <v>0</v>
      </c>
    </row>
    <row r="1250" spans="1:12">
      <c r="A1250" s="71">
        <v>43478</v>
      </c>
      <c r="B1250" t="s">
        <v>21</v>
      </c>
      <c r="C1250">
        <v>2</v>
      </c>
      <c r="D1250">
        <v>0.0217</v>
      </c>
      <c r="E1250">
        <v>4</v>
      </c>
      <c r="F1250">
        <v>0.0323</v>
      </c>
      <c r="G1250">
        <v>1</v>
      </c>
      <c r="H1250">
        <v>0</v>
      </c>
      <c r="I1250">
        <v>0</v>
      </c>
      <c r="J1250">
        <v>0</v>
      </c>
      <c r="K1250" t="s">
        <v>38</v>
      </c>
      <c r="L1250">
        <v>0</v>
      </c>
    </row>
    <row r="1251" spans="1:12">
      <c r="A1251" s="71">
        <v>43478</v>
      </c>
      <c r="B1251" t="s">
        <v>19</v>
      </c>
      <c r="C1251">
        <v>2</v>
      </c>
      <c r="D1251">
        <v>0.0217</v>
      </c>
      <c r="E1251">
        <v>3</v>
      </c>
      <c r="F1251">
        <v>0.0242</v>
      </c>
      <c r="G1251">
        <v>1</v>
      </c>
      <c r="H1251">
        <v>0</v>
      </c>
      <c r="I1251">
        <v>0</v>
      </c>
      <c r="J1251">
        <v>0</v>
      </c>
      <c r="K1251" t="s">
        <v>38</v>
      </c>
      <c r="L1251">
        <v>0</v>
      </c>
    </row>
    <row r="1252" spans="1:12">
      <c r="A1252" s="71">
        <v>43478</v>
      </c>
      <c r="B1252" t="s">
        <v>27</v>
      </c>
      <c r="C1252">
        <v>3</v>
      </c>
      <c r="D1252">
        <v>0.0326</v>
      </c>
      <c r="E1252">
        <v>3</v>
      </c>
      <c r="F1252">
        <v>0.0242</v>
      </c>
      <c r="G1252">
        <v>1</v>
      </c>
      <c r="H1252">
        <v>0</v>
      </c>
      <c r="I1252">
        <v>0</v>
      </c>
      <c r="J1252">
        <v>0</v>
      </c>
      <c r="K1252" t="s">
        <v>38</v>
      </c>
      <c r="L1252">
        <v>0</v>
      </c>
    </row>
    <row r="1253" spans="1:12">
      <c r="A1253" s="71">
        <v>43478</v>
      </c>
      <c r="B1253" t="s">
        <v>23</v>
      </c>
      <c r="C1253">
        <v>20</v>
      </c>
      <c r="D1253">
        <v>0.2174</v>
      </c>
      <c r="E1253">
        <v>29</v>
      </c>
      <c r="F1253">
        <v>0.2339</v>
      </c>
      <c r="G1253">
        <v>1</v>
      </c>
      <c r="H1253">
        <v>7</v>
      </c>
      <c r="I1253">
        <v>0.35</v>
      </c>
      <c r="J1253">
        <v>83.93</v>
      </c>
      <c r="K1253" t="s">
        <v>45</v>
      </c>
      <c r="L1253">
        <v>0.3</v>
      </c>
    </row>
    <row r="1254" spans="1:12">
      <c r="A1254" s="71">
        <v>43478</v>
      </c>
      <c r="B1254" t="s">
        <v>18</v>
      </c>
      <c r="C1254">
        <v>17</v>
      </c>
      <c r="D1254">
        <v>0.1848</v>
      </c>
      <c r="E1254">
        <v>22</v>
      </c>
      <c r="F1254">
        <v>0.1774</v>
      </c>
      <c r="G1254">
        <v>1</v>
      </c>
      <c r="H1254">
        <v>2</v>
      </c>
      <c r="I1254">
        <v>0.1176</v>
      </c>
      <c r="J1254">
        <v>59.98</v>
      </c>
      <c r="K1254" t="s">
        <v>40</v>
      </c>
      <c r="L1254">
        <v>0.117647058823529</v>
      </c>
    </row>
    <row r="1255" spans="1:12">
      <c r="A1255" s="71">
        <v>43478</v>
      </c>
      <c r="B1255" t="s">
        <v>22</v>
      </c>
      <c r="C1255">
        <v>41</v>
      </c>
      <c r="D1255">
        <v>0.4457</v>
      </c>
      <c r="E1255">
        <v>56</v>
      </c>
      <c r="F1255">
        <v>0.4516</v>
      </c>
      <c r="G1255">
        <v>1</v>
      </c>
      <c r="H1255">
        <v>11</v>
      </c>
      <c r="I1255">
        <v>0.2683</v>
      </c>
      <c r="J1255">
        <v>164.67</v>
      </c>
      <c r="K1255" t="s">
        <v>45</v>
      </c>
      <c r="L1255">
        <v>0.146341463414634</v>
      </c>
    </row>
    <row r="1256" spans="1:12">
      <c r="A1256" s="71">
        <v>43478</v>
      </c>
      <c r="B1256" t="s">
        <v>24</v>
      </c>
      <c r="C1256">
        <v>7</v>
      </c>
      <c r="D1256">
        <v>0.0761</v>
      </c>
      <c r="E1256">
        <v>7</v>
      </c>
      <c r="F1256">
        <v>0.0565</v>
      </c>
      <c r="G1256">
        <v>1</v>
      </c>
      <c r="H1256">
        <v>1</v>
      </c>
      <c r="I1256">
        <v>0.1429</v>
      </c>
      <c r="J1256">
        <v>12.99</v>
      </c>
      <c r="K1256" t="s">
        <v>39</v>
      </c>
      <c r="L1256">
        <v>0.142857142857143</v>
      </c>
    </row>
  </sheetData>
  <sheetProtection formatCells="0" insertHyperlinks="0" autoFilter="0"/>
  <pageMargins left="0.7" right="0.7" top="0.75" bottom="0.75" header="0.3" footer="0.3"/>
  <headerFooter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77"/>
  <sheetViews>
    <sheetView workbookViewId="0">
      <selection activeCell="A86" sqref="A86"/>
    </sheetView>
  </sheetViews>
  <sheetFormatPr defaultColWidth="9" defaultRowHeight="14.25"/>
  <cols>
    <col min="1" max="1" width="11.625" style="67" customWidth="1"/>
    <col min="2" max="2" width="7.125" customWidth="1"/>
    <col min="3" max="3" width="9" style="68" customWidth="1"/>
    <col min="4" max="4" width="7.125" customWidth="1"/>
    <col min="5" max="5" width="9" style="68" customWidth="1"/>
    <col min="6" max="6" width="10.375" style="69" customWidth="1"/>
    <col min="7" max="7" width="11" customWidth="1"/>
    <col min="8" max="8" width="17.75" style="68" customWidth="1"/>
    <col min="9" max="9" width="13.625" style="70" customWidth="1"/>
    <col min="10" max="10" width="13.625" customWidth="1"/>
    <col min="11" max="11" width="17.75" customWidth="1"/>
  </cols>
  <sheetData>
    <row r="1" spans="1:9">
      <c r="A1" s="71" t="s">
        <v>67</v>
      </c>
      <c r="B1" t="s">
        <v>68</v>
      </c>
      <c r="C1" t="s">
        <v>69</v>
      </c>
      <c r="D1" t="s">
        <v>70</v>
      </c>
      <c r="E1" t="s">
        <v>71</v>
      </c>
      <c r="F1" t="s">
        <v>72</v>
      </c>
      <c r="G1" t="s">
        <v>73</v>
      </c>
      <c r="H1" t="s">
        <v>74</v>
      </c>
      <c r="I1" t="s">
        <v>75</v>
      </c>
    </row>
    <row r="2" spans="1:9">
      <c r="A2" s="72">
        <v>43378</v>
      </c>
      <c r="B2" s="6">
        <v>25</v>
      </c>
      <c r="C2" s="6">
        <v>0.2294</v>
      </c>
      <c r="D2" s="6">
        <v>61</v>
      </c>
      <c r="E2" s="6">
        <v>0.2711</v>
      </c>
      <c r="F2" s="6">
        <v>1</v>
      </c>
      <c r="G2" s="6">
        <v>4</v>
      </c>
      <c r="H2" s="6">
        <v>0.16</v>
      </c>
      <c r="I2" s="6">
        <v>109.96</v>
      </c>
    </row>
    <row r="3" spans="1:9">
      <c r="A3" s="72">
        <v>43374</v>
      </c>
      <c r="B3" s="6">
        <v>33</v>
      </c>
      <c r="C3" s="6">
        <v>0.1269</v>
      </c>
      <c r="D3" s="6">
        <v>40</v>
      </c>
      <c r="E3" s="6">
        <v>0.122</v>
      </c>
      <c r="F3" s="6">
        <v>1</v>
      </c>
      <c r="G3" s="6">
        <v>3</v>
      </c>
      <c r="H3" s="6">
        <v>0.0909090909090909</v>
      </c>
      <c r="I3" s="6">
        <v>82.47</v>
      </c>
    </row>
    <row r="4" spans="1:9">
      <c r="A4" s="72">
        <v>43375</v>
      </c>
      <c r="B4" s="6">
        <v>41</v>
      </c>
      <c r="C4" s="6">
        <v>0.2908</v>
      </c>
      <c r="D4" s="6">
        <v>65</v>
      </c>
      <c r="E4" s="6">
        <v>0.3385</v>
      </c>
      <c r="F4" s="6">
        <v>1</v>
      </c>
      <c r="G4" s="6">
        <v>3</v>
      </c>
      <c r="H4" s="6">
        <v>0.0731707317073171</v>
      </c>
      <c r="I4" s="6">
        <v>82.47</v>
      </c>
    </row>
    <row r="5" spans="1:9">
      <c r="A5" s="72">
        <v>43376</v>
      </c>
      <c r="B5" s="6">
        <v>30</v>
      </c>
      <c r="C5" s="6">
        <v>0.2752</v>
      </c>
      <c r="D5" s="6">
        <v>40</v>
      </c>
      <c r="E5" s="6">
        <v>0.2899</v>
      </c>
      <c r="F5" s="6">
        <v>1</v>
      </c>
      <c r="G5" s="6">
        <v>4</v>
      </c>
      <c r="H5" s="6">
        <v>0.133333333333333</v>
      </c>
      <c r="I5" s="6">
        <v>109.96</v>
      </c>
    </row>
    <row r="6" spans="1:9">
      <c r="A6" s="72">
        <v>43379</v>
      </c>
      <c r="B6" s="6">
        <v>27</v>
      </c>
      <c r="C6" s="6">
        <v>0.2477</v>
      </c>
      <c r="D6" s="6">
        <v>42</v>
      </c>
      <c r="E6" s="6">
        <v>0.1687</v>
      </c>
      <c r="F6" s="6">
        <v>1</v>
      </c>
      <c r="G6" s="6">
        <v>0</v>
      </c>
      <c r="H6" s="6">
        <v>0</v>
      </c>
      <c r="I6" s="6">
        <v>0</v>
      </c>
    </row>
    <row r="7" spans="1:9">
      <c r="A7" s="72">
        <v>43377</v>
      </c>
      <c r="B7" s="6">
        <v>33</v>
      </c>
      <c r="C7" s="6">
        <v>0.275</v>
      </c>
      <c r="D7" s="6">
        <v>64</v>
      </c>
      <c r="E7" s="6">
        <v>0.3168</v>
      </c>
      <c r="F7" s="6">
        <v>1</v>
      </c>
      <c r="G7" s="6">
        <v>3</v>
      </c>
      <c r="H7" s="6">
        <v>0.0909090909090909</v>
      </c>
      <c r="I7" s="6">
        <v>82.47</v>
      </c>
    </row>
    <row r="8" spans="1:9">
      <c r="A8" s="72">
        <v>43386</v>
      </c>
      <c r="B8" s="6">
        <v>27</v>
      </c>
      <c r="C8" s="6">
        <v>0.3333</v>
      </c>
      <c r="D8" s="6">
        <v>29</v>
      </c>
      <c r="E8" s="6">
        <v>0.2871</v>
      </c>
      <c r="F8" s="6">
        <v>1</v>
      </c>
      <c r="G8" s="6">
        <v>2</v>
      </c>
      <c r="H8" s="6">
        <v>0.037037037037037</v>
      </c>
      <c r="I8" s="6">
        <v>54.98</v>
      </c>
    </row>
    <row r="9" spans="1:9">
      <c r="A9" s="72">
        <v>43380</v>
      </c>
      <c r="B9" s="6">
        <v>38</v>
      </c>
      <c r="C9" s="6">
        <v>0.2969</v>
      </c>
      <c r="D9" s="6">
        <v>95</v>
      </c>
      <c r="E9" s="6">
        <v>0.3006</v>
      </c>
      <c r="F9" s="6">
        <v>1</v>
      </c>
      <c r="G9" s="6">
        <v>1</v>
      </c>
      <c r="H9" s="6">
        <v>0.0263157894736842</v>
      </c>
      <c r="I9" s="6">
        <v>27.49</v>
      </c>
    </row>
    <row r="10" spans="1:9">
      <c r="A10" s="72">
        <v>43381</v>
      </c>
      <c r="B10" s="6">
        <v>39</v>
      </c>
      <c r="C10" s="6">
        <v>0.291</v>
      </c>
      <c r="D10" s="6">
        <v>52</v>
      </c>
      <c r="E10" s="6">
        <v>0.2016</v>
      </c>
      <c r="F10" s="6">
        <v>1</v>
      </c>
      <c r="G10" s="6">
        <v>7</v>
      </c>
      <c r="H10" s="6">
        <v>0.17948717948718</v>
      </c>
      <c r="I10" s="6">
        <v>192.43</v>
      </c>
    </row>
    <row r="11" spans="1:9">
      <c r="A11" s="72">
        <v>43382</v>
      </c>
      <c r="B11" s="6">
        <v>35</v>
      </c>
      <c r="C11" s="6">
        <v>0.1882</v>
      </c>
      <c r="D11" s="6">
        <v>72</v>
      </c>
      <c r="E11" s="6">
        <v>0.1973</v>
      </c>
      <c r="F11" s="6">
        <v>1</v>
      </c>
      <c r="G11" s="6">
        <v>0</v>
      </c>
      <c r="H11" s="6">
        <v>0</v>
      </c>
      <c r="I11" s="6">
        <v>0</v>
      </c>
    </row>
    <row r="12" spans="1:9">
      <c r="A12" s="72">
        <v>43383</v>
      </c>
      <c r="B12" s="6">
        <v>34</v>
      </c>
      <c r="C12" s="6">
        <v>0.281</v>
      </c>
      <c r="D12" s="6">
        <v>48</v>
      </c>
      <c r="E12" s="6">
        <v>0.2652</v>
      </c>
      <c r="F12" s="6">
        <v>1</v>
      </c>
      <c r="G12" s="6">
        <v>3</v>
      </c>
      <c r="H12" s="6">
        <v>0.0882352941176471</v>
      </c>
      <c r="I12" s="6">
        <v>82.47</v>
      </c>
    </row>
    <row r="13" spans="1:9">
      <c r="A13" s="72">
        <v>43384</v>
      </c>
      <c r="B13" s="6">
        <v>33</v>
      </c>
      <c r="C13" s="6">
        <v>0.2797</v>
      </c>
      <c r="D13" s="6">
        <v>49</v>
      </c>
      <c r="E13" s="6">
        <v>0.2849</v>
      </c>
      <c r="F13" s="6">
        <v>1</v>
      </c>
      <c r="G13" s="6">
        <v>2</v>
      </c>
      <c r="H13" s="6">
        <v>0.0606060606060606</v>
      </c>
      <c r="I13" s="6">
        <v>54.98</v>
      </c>
    </row>
    <row r="14" spans="1:9">
      <c r="A14" s="72">
        <v>43385</v>
      </c>
      <c r="B14" s="6">
        <v>29</v>
      </c>
      <c r="C14" s="6">
        <v>0.2736</v>
      </c>
      <c r="D14" s="6">
        <v>48</v>
      </c>
      <c r="E14" s="6">
        <v>0.3357</v>
      </c>
      <c r="F14" s="6">
        <v>1</v>
      </c>
      <c r="G14" s="6">
        <v>6</v>
      </c>
      <c r="H14" s="6">
        <v>0.172413793103448</v>
      </c>
      <c r="I14" s="6">
        <v>164.94</v>
      </c>
    </row>
    <row r="15" spans="1:9">
      <c r="A15" s="72">
        <v>43389</v>
      </c>
      <c r="B15" s="6">
        <v>35</v>
      </c>
      <c r="C15" s="6">
        <v>0.3889</v>
      </c>
      <c r="D15" s="6">
        <v>41</v>
      </c>
      <c r="E15" s="6">
        <v>0.3694</v>
      </c>
      <c r="F15" s="6">
        <v>1</v>
      </c>
      <c r="G15" s="6">
        <v>1</v>
      </c>
      <c r="H15" s="6">
        <v>0.0285714285714286</v>
      </c>
      <c r="I15" s="6">
        <v>0</v>
      </c>
    </row>
    <row r="16" spans="1:9">
      <c r="A16" s="72">
        <v>43387</v>
      </c>
      <c r="B16" s="6">
        <v>30</v>
      </c>
      <c r="C16" s="6">
        <v>0.303</v>
      </c>
      <c r="D16" s="6">
        <v>42</v>
      </c>
      <c r="E16" s="6">
        <v>0.3111</v>
      </c>
      <c r="F16" s="6">
        <v>1</v>
      </c>
      <c r="G16" s="6">
        <v>5</v>
      </c>
      <c r="H16" s="6">
        <v>0.133333333333333</v>
      </c>
      <c r="I16" s="6">
        <v>137.45</v>
      </c>
    </row>
    <row r="17" spans="1:9">
      <c r="A17" s="72">
        <v>43388</v>
      </c>
      <c r="B17" s="6">
        <v>31</v>
      </c>
      <c r="C17" s="6">
        <v>0.2952</v>
      </c>
      <c r="D17" s="6">
        <v>42</v>
      </c>
      <c r="E17" s="6">
        <v>0.2897</v>
      </c>
      <c r="F17" s="6">
        <v>1</v>
      </c>
      <c r="G17" s="6">
        <v>4</v>
      </c>
      <c r="H17" s="6">
        <v>0.129032258064516</v>
      </c>
      <c r="I17" s="6">
        <v>109.96</v>
      </c>
    </row>
    <row r="18" spans="1:9">
      <c r="A18" s="72">
        <v>43392</v>
      </c>
      <c r="B18" s="6">
        <v>34</v>
      </c>
      <c r="C18" s="6">
        <v>0.178</v>
      </c>
      <c r="D18" s="6">
        <v>42</v>
      </c>
      <c r="E18" s="6">
        <v>0.1694</v>
      </c>
      <c r="F18" s="6">
        <v>1</v>
      </c>
      <c r="G18" s="6">
        <v>2</v>
      </c>
      <c r="H18" s="6">
        <v>0.0588235294117647</v>
      </c>
      <c r="I18" s="6">
        <v>54.98</v>
      </c>
    </row>
    <row r="19" spans="1:9">
      <c r="A19" s="72">
        <v>43394</v>
      </c>
      <c r="B19" s="6">
        <v>29</v>
      </c>
      <c r="C19" s="6">
        <v>0.2397</v>
      </c>
      <c r="D19" s="6">
        <v>43</v>
      </c>
      <c r="E19" s="6">
        <v>0.2671</v>
      </c>
      <c r="F19" s="6">
        <v>1</v>
      </c>
      <c r="G19" s="6">
        <v>4</v>
      </c>
      <c r="H19" s="6">
        <v>0.137931034482759</v>
      </c>
      <c r="I19" s="6">
        <v>109.96</v>
      </c>
    </row>
    <row r="20" spans="1:9">
      <c r="A20" s="72">
        <v>43391</v>
      </c>
      <c r="B20" s="6">
        <v>27</v>
      </c>
      <c r="C20" s="6">
        <v>0.225</v>
      </c>
      <c r="D20" s="6">
        <v>33</v>
      </c>
      <c r="E20" s="6">
        <v>0.2063</v>
      </c>
      <c r="F20" s="6">
        <v>1</v>
      </c>
      <c r="G20" s="6">
        <v>2</v>
      </c>
      <c r="H20" s="6">
        <v>0.0740740740740741</v>
      </c>
      <c r="I20" s="6">
        <v>54.98</v>
      </c>
    </row>
    <row r="21" spans="1:9">
      <c r="A21" s="72">
        <v>43393</v>
      </c>
      <c r="B21" s="6">
        <v>21</v>
      </c>
      <c r="C21" s="6">
        <v>0.1875</v>
      </c>
      <c r="D21" s="6">
        <v>25</v>
      </c>
      <c r="E21" s="6">
        <v>0.1592</v>
      </c>
      <c r="F21" s="6">
        <v>1</v>
      </c>
      <c r="G21" s="6">
        <v>1</v>
      </c>
      <c r="H21" s="6">
        <v>0.0476190476190476</v>
      </c>
      <c r="I21" s="6">
        <v>27.49</v>
      </c>
    </row>
    <row r="22" spans="1:9">
      <c r="A22" s="72">
        <v>43390</v>
      </c>
      <c r="B22" s="6">
        <v>35</v>
      </c>
      <c r="C22" s="6">
        <v>0.2482</v>
      </c>
      <c r="D22" s="6">
        <v>47</v>
      </c>
      <c r="E22" s="6">
        <v>0.241</v>
      </c>
      <c r="F22" s="6">
        <v>1</v>
      </c>
      <c r="G22" s="6">
        <v>3</v>
      </c>
      <c r="H22" s="6">
        <v>0.0857142857142857</v>
      </c>
      <c r="I22" s="6">
        <v>82.47</v>
      </c>
    </row>
    <row r="23" spans="1:9">
      <c r="A23" s="72">
        <v>43395</v>
      </c>
      <c r="B23" s="6">
        <v>22</v>
      </c>
      <c r="C23" s="6">
        <v>0.1571</v>
      </c>
      <c r="D23" s="6">
        <v>26</v>
      </c>
      <c r="E23" s="6">
        <v>0.1413</v>
      </c>
      <c r="F23" s="6">
        <v>1</v>
      </c>
      <c r="G23" s="6">
        <v>3</v>
      </c>
      <c r="H23" s="6">
        <v>0.136363636363636</v>
      </c>
      <c r="I23" s="6">
        <v>82.47</v>
      </c>
    </row>
    <row r="24" spans="1:9">
      <c r="A24" s="72">
        <v>43396</v>
      </c>
      <c r="B24" s="6">
        <v>26</v>
      </c>
      <c r="C24" s="6">
        <v>0.2281</v>
      </c>
      <c r="D24" s="6">
        <v>37</v>
      </c>
      <c r="E24" s="6">
        <v>0.2298</v>
      </c>
      <c r="F24" s="6">
        <v>0.97</v>
      </c>
      <c r="G24" s="6">
        <v>1</v>
      </c>
      <c r="H24" s="6">
        <v>0.0384615384615385</v>
      </c>
      <c r="I24" s="6">
        <v>27.87</v>
      </c>
    </row>
    <row r="25" spans="1:9">
      <c r="A25" s="72">
        <v>43397</v>
      </c>
      <c r="B25" s="6">
        <v>29</v>
      </c>
      <c r="C25" s="6">
        <v>0.2929</v>
      </c>
      <c r="D25" s="6">
        <v>40</v>
      </c>
      <c r="E25" s="6">
        <v>0.2878</v>
      </c>
      <c r="F25" s="6">
        <v>1</v>
      </c>
      <c r="G25" s="6">
        <v>1</v>
      </c>
      <c r="H25" s="6">
        <v>0.0344827586206897</v>
      </c>
      <c r="I25" s="6">
        <v>27.87</v>
      </c>
    </row>
    <row r="26" spans="1:9">
      <c r="A26" s="72">
        <v>43398</v>
      </c>
      <c r="B26" s="6">
        <v>26</v>
      </c>
      <c r="C26" s="6">
        <v>0.2407</v>
      </c>
      <c r="D26" s="6">
        <v>32</v>
      </c>
      <c r="E26" s="6">
        <v>0.2254</v>
      </c>
      <c r="F26" s="6">
        <v>1</v>
      </c>
      <c r="G26" s="6">
        <v>1</v>
      </c>
      <c r="H26" s="6">
        <v>0.0384615384615385</v>
      </c>
      <c r="I26" s="6">
        <v>27.87</v>
      </c>
    </row>
    <row r="27" spans="1:9">
      <c r="A27" s="72">
        <v>43399</v>
      </c>
      <c r="B27" s="6">
        <v>27</v>
      </c>
      <c r="C27" s="6">
        <v>0.3034</v>
      </c>
      <c r="D27" s="6">
        <v>34</v>
      </c>
      <c r="E27" s="6">
        <v>0.2677</v>
      </c>
      <c r="F27" s="6">
        <v>0.97</v>
      </c>
      <c r="G27" s="6">
        <v>2</v>
      </c>
      <c r="H27" s="6">
        <v>0.0740740740740741</v>
      </c>
      <c r="I27" s="6">
        <v>55.74</v>
      </c>
    </row>
    <row r="28" spans="1:9">
      <c r="A28" s="72">
        <v>43400</v>
      </c>
      <c r="B28" s="6">
        <v>21</v>
      </c>
      <c r="C28" s="6">
        <v>0.2234</v>
      </c>
      <c r="D28" s="6">
        <v>30</v>
      </c>
      <c r="E28" s="6">
        <v>0.2521</v>
      </c>
      <c r="F28" s="6">
        <v>1</v>
      </c>
      <c r="G28" s="6">
        <v>6</v>
      </c>
      <c r="H28" s="6">
        <v>0.238095238095238</v>
      </c>
      <c r="I28" s="6">
        <v>167.22</v>
      </c>
    </row>
    <row r="29" spans="1:9">
      <c r="A29" s="72">
        <v>43405</v>
      </c>
      <c r="B29" s="6">
        <v>15</v>
      </c>
      <c r="C29" s="6">
        <v>0.1515</v>
      </c>
      <c r="D29" s="6">
        <v>17</v>
      </c>
      <c r="E29" s="6">
        <v>0.1339</v>
      </c>
      <c r="F29" s="6">
        <v>1</v>
      </c>
      <c r="G29" s="6">
        <v>3</v>
      </c>
      <c r="H29" s="6">
        <v>0.2</v>
      </c>
      <c r="I29" s="6">
        <v>83.61</v>
      </c>
    </row>
    <row r="30" spans="1:9">
      <c r="A30" s="72">
        <v>43401</v>
      </c>
      <c r="B30" s="6">
        <v>21</v>
      </c>
      <c r="C30" s="6">
        <v>0.181</v>
      </c>
      <c r="D30" s="6">
        <v>26</v>
      </c>
      <c r="E30" s="6">
        <v>0.1677</v>
      </c>
      <c r="F30" s="6">
        <v>1</v>
      </c>
      <c r="G30" s="6">
        <v>1</v>
      </c>
      <c r="H30" s="6">
        <v>0.0476190476190476</v>
      </c>
      <c r="I30" s="6">
        <v>27.87</v>
      </c>
    </row>
    <row r="31" spans="1:9">
      <c r="A31" s="72">
        <v>43402</v>
      </c>
      <c r="B31" s="6">
        <v>29</v>
      </c>
      <c r="C31" s="6">
        <v>0.2266</v>
      </c>
      <c r="D31" s="6">
        <v>36</v>
      </c>
      <c r="E31" s="6">
        <v>0.2057</v>
      </c>
      <c r="F31" s="6">
        <v>1</v>
      </c>
      <c r="G31" s="6">
        <v>1</v>
      </c>
      <c r="H31" s="6">
        <v>0.0344827586206897</v>
      </c>
      <c r="I31" s="6">
        <v>27.87</v>
      </c>
    </row>
    <row r="32" spans="1:9">
      <c r="A32" s="72">
        <v>43403</v>
      </c>
      <c r="B32" s="6">
        <v>24</v>
      </c>
      <c r="C32" s="6">
        <v>0.2553</v>
      </c>
      <c r="D32" s="6">
        <v>32</v>
      </c>
      <c r="E32" s="6">
        <v>0.2406</v>
      </c>
      <c r="F32" s="6">
        <v>1</v>
      </c>
      <c r="G32" s="6">
        <v>3</v>
      </c>
      <c r="H32" s="6">
        <v>0.125</v>
      </c>
      <c r="I32" s="6">
        <v>83.61</v>
      </c>
    </row>
    <row r="33" spans="1:9">
      <c r="A33" s="72">
        <v>43404</v>
      </c>
      <c r="B33" s="6">
        <v>19</v>
      </c>
      <c r="C33" s="6">
        <v>0.2159</v>
      </c>
      <c r="D33" s="6">
        <v>24</v>
      </c>
      <c r="E33" s="6">
        <v>0.2222</v>
      </c>
      <c r="F33" s="6">
        <v>1</v>
      </c>
      <c r="G33" s="6">
        <v>1</v>
      </c>
      <c r="H33" s="6">
        <v>0.0526315789473684</v>
      </c>
      <c r="I33" s="6">
        <v>27.87</v>
      </c>
    </row>
    <row r="34" spans="1:9">
      <c r="A34" s="72">
        <v>43406</v>
      </c>
      <c r="B34" s="6">
        <v>22</v>
      </c>
      <c r="C34" s="6">
        <v>0.2472</v>
      </c>
      <c r="D34" s="6">
        <v>25</v>
      </c>
      <c r="E34" s="6">
        <v>0.1908</v>
      </c>
      <c r="F34" s="6">
        <v>1</v>
      </c>
      <c r="G34" s="6">
        <v>6</v>
      </c>
      <c r="H34" s="6">
        <v>0.227272727272727</v>
      </c>
      <c r="I34" s="6">
        <v>167.22</v>
      </c>
    </row>
    <row r="35" spans="1:9">
      <c r="A35" s="72">
        <v>43407</v>
      </c>
      <c r="B35" s="6">
        <v>23</v>
      </c>
      <c r="C35" s="6">
        <v>0.2738</v>
      </c>
      <c r="D35" s="6">
        <v>26</v>
      </c>
      <c r="E35" s="6">
        <v>0.2342</v>
      </c>
      <c r="F35" s="6">
        <v>1</v>
      </c>
      <c r="G35" s="6">
        <v>0</v>
      </c>
      <c r="H35" s="6">
        <v>0</v>
      </c>
      <c r="I35" s="6">
        <v>0</v>
      </c>
    </row>
    <row r="36" spans="1:9">
      <c r="A36" s="72">
        <v>43409</v>
      </c>
      <c r="B36" s="6">
        <v>29</v>
      </c>
      <c r="C36" s="6">
        <v>0.2248</v>
      </c>
      <c r="D36" s="6">
        <v>37</v>
      </c>
      <c r="E36" s="6">
        <v>0.2102</v>
      </c>
      <c r="F36" s="6">
        <v>1</v>
      </c>
      <c r="G36" s="6">
        <v>1</v>
      </c>
      <c r="H36" s="6">
        <v>0.0344827586206897</v>
      </c>
      <c r="I36" s="6">
        <v>27.87</v>
      </c>
    </row>
    <row r="37" spans="1:9">
      <c r="A37" s="72">
        <v>43410</v>
      </c>
      <c r="B37" s="6">
        <v>13</v>
      </c>
      <c r="C37" s="6">
        <v>0.1262</v>
      </c>
      <c r="D37" s="6">
        <v>17</v>
      </c>
      <c r="E37" s="6">
        <v>0.1172</v>
      </c>
      <c r="F37" s="6">
        <v>1</v>
      </c>
      <c r="G37" s="6">
        <v>0</v>
      </c>
      <c r="H37" s="6">
        <v>0</v>
      </c>
      <c r="I37" s="6">
        <v>0</v>
      </c>
    </row>
    <row r="38" spans="1:9">
      <c r="A38" s="72">
        <v>43408</v>
      </c>
      <c r="B38" s="6">
        <v>27</v>
      </c>
      <c r="C38" s="6">
        <v>0.2596</v>
      </c>
      <c r="D38" s="6">
        <v>34</v>
      </c>
      <c r="E38" s="6">
        <v>0.2787</v>
      </c>
      <c r="F38" s="6">
        <v>1</v>
      </c>
      <c r="G38" s="6">
        <v>0</v>
      </c>
      <c r="H38" s="6">
        <v>0</v>
      </c>
      <c r="I38" s="6">
        <v>0</v>
      </c>
    </row>
    <row r="39" spans="1:9">
      <c r="A39" s="72">
        <v>43413</v>
      </c>
      <c r="B39" s="6">
        <v>14</v>
      </c>
      <c r="C39" s="6">
        <v>0.1944</v>
      </c>
      <c r="D39" s="6">
        <v>15</v>
      </c>
      <c r="E39" s="6">
        <v>0.1546</v>
      </c>
      <c r="F39" s="6">
        <v>1</v>
      </c>
      <c r="G39" s="6">
        <v>1</v>
      </c>
      <c r="H39" s="6">
        <v>0.0714285714285714</v>
      </c>
      <c r="I39" s="6">
        <v>27.87</v>
      </c>
    </row>
    <row r="40" spans="1:9">
      <c r="A40" s="72">
        <v>43414</v>
      </c>
      <c r="B40" s="6">
        <v>9</v>
      </c>
      <c r="C40" s="6">
        <v>0.1406</v>
      </c>
      <c r="D40" s="6">
        <v>10</v>
      </c>
      <c r="E40" s="6">
        <v>0.1149</v>
      </c>
      <c r="F40" s="6">
        <v>1</v>
      </c>
      <c r="G40" s="6">
        <v>0</v>
      </c>
      <c r="H40" s="6">
        <v>0</v>
      </c>
      <c r="I40" s="6">
        <v>0</v>
      </c>
    </row>
    <row r="41" spans="1:9">
      <c r="A41" s="72">
        <v>43415</v>
      </c>
      <c r="B41" s="6">
        <v>2</v>
      </c>
      <c r="C41" s="6">
        <v>0.0183</v>
      </c>
      <c r="D41" s="6">
        <v>3</v>
      </c>
      <c r="E41" s="6">
        <v>0.0201</v>
      </c>
      <c r="F41" s="6">
        <v>1</v>
      </c>
      <c r="G41" s="6">
        <v>1</v>
      </c>
      <c r="H41" s="6">
        <v>0.5</v>
      </c>
      <c r="I41" s="6">
        <v>27.87</v>
      </c>
    </row>
    <row r="42" spans="1:9">
      <c r="A42" s="72">
        <v>43416</v>
      </c>
      <c r="B42" s="6">
        <v>4</v>
      </c>
      <c r="C42" s="6">
        <v>0.0381</v>
      </c>
      <c r="D42" s="6">
        <v>4</v>
      </c>
      <c r="E42" s="6">
        <v>0.0288</v>
      </c>
      <c r="F42" s="6">
        <v>1</v>
      </c>
      <c r="G42" s="6">
        <v>0</v>
      </c>
      <c r="H42" s="6">
        <v>0</v>
      </c>
      <c r="I42" s="6">
        <v>0</v>
      </c>
    </row>
    <row r="43" spans="1:9">
      <c r="A43" s="72">
        <v>43417</v>
      </c>
      <c r="B43" s="6">
        <v>7</v>
      </c>
      <c r="C43" s="6">
        <v>0.0753</v>
      </c>
      <c r="D43" s="6">
        <v>11</v>
      </c>
      <c r="E43" s="6">
        <v>0.0846</v>
      </c>
      <c r="F43" s="6">
        <v>1</v>
      </c>
      <c r="G43" s="6">
        <v>0</v>
      </c>
      <c r="H43" s="6">
        <v>0</v>
      </c>
      <c r="I43" s="6">
        <v>0</v>
      </c>
    </row>
    <row r="44" spans="1:9">
      <c r="A44" s="72">
        <v>43411</v>
      </c>
      <c r="B44" s="6">
        <v>21</v>
      </c>
      <c r="C44" s="6">
        <v>0.1591</v>
      </c>
      <c r="D44" s="6">
        <v>28</v>
      </c>
      <c r="E44" s="6">
        <v>0.1618</v>
      </c>
      <c r="F44" s="6">
        <v>1</v>
      </c>
      <c r="G44" s="6">
        <v>6</v>
      </c>
      <c r="H44" s="6">
        <v>0.142857142857143</v>
      </c>
      <c r="I44" s="6">
        <v>167.22</v>
      </c>
    </row>
    <row r="45" spans="1:9">
      <c r="A45" s="72">
        <v>43412</v>
      </c>
      <c r="B45" s="6">
        <v>21</v>
      </c>
      <c r="C45" s="6">
        <v>0.2727</v>
      </c>
      <c r="D45" s="6">
        <v>23</v>
      </c>
      <c r="E45" s="6">
        <v>0.2255</v>
      </c>
      <c r="F45" s="6">
        <v>1</v>
      </c>
      <c r="G45" s="6">
        <v>1</v>
      </c>
      <c r="H45" s="6">
        <v>0.0476190476190476</v>
      </c>
      <c r="I45" s="6">
        <v>27.87</v>
      </c>
    </row>
    <row r="46" spans="1:9">
      <c r="A46" s="72">
        <v>43419</v>
      </c>
      <c r="B46" s="6">
        <v>9</v>
      </c>
      <c r="C46" s="6">
        <v>0.0968</v>
      </c>
      <c r="D46" s="6">
        <v>14</v>
      </c>
      <c r="E46" s="6">
        <v>0.1085</v>
      </c>
      <c r="F46" s="6">
        <v>1</v>
      </c>
      <c r="G46" s="6">
        <v>0</v>
      </c>
      <c r="H46" s="6">
        <v>0</v>
      </c>
      <c r="I46" s="6">
        <v>0</v>
      </c>
    </row>
    <row r="47" spans="1:9">
      <c r="A47" s="72">
        <v>43420</v>
      </c>
      <c r="B47" s="6">
        <v>3</v>
      </c>
      <c r="C47" s="6">
        <v>0.0316</v>
      </c>
      <c r="D47" s="6">
        <v>3</v>
      </c>
      <c r="E47" s="6">
        <v>0.0244</v>
      </c>
      <c r="F47" s="6">
        <v>1</v>
      </c>
      <c r="G47" s="6">
        <v>0</v>
      </c>
      <c r="H47" s="6">
        <v>0</v>
      </c>
      <c r="I47" s="6">
        <v>0</v>
      </c>
    </row>
    <row r="48" spans="1:9">
      <c r="A48" s="72">
        <v>43421</v>
      </c>
      <c r="B48" s="6">
        <v>3</v>
      </c>
      <c r="C48" s="6">
        <v>0.0435</v>
      </c>
      <c r="D48" s="6">
        <v>6</v>
      </c>
      <c r="E48" s="6">
        <v>0.0652</v>
      </c>
      <c r="F48" s="6">
        <v>1</v>
      </c>
      <c r="G48" s="6">
        <v>0</v>
      </c>
      <c r="H48" s="6">
        <v>0</v>
      </c>
      <c r="I48" s="6">
        <v>0</v>
      </c>
    </row>
    <row r="49" spans="1:9">
      <c r="A49" s="72">
        <v>43418</v>
      </c>
      <c r="B49" s="6">
        <v>4</v>
      </c>
      <c r="C49" s="6">
        <v>0.0476</v>
      </c>
      <c r="D49" s="6">
        <v>6</v>
      </c>
      <c r="E49" s="6">
        <v>0.0606</v>
      </c>
      <c r="F49" s="6">
        <v>1</v>
      </c>
      <c r="G49" s="6">
        <v>1</v>
      </c>
      <c r="H49" s="6">
        <v>0.25</v>
      </c>
      <c r="I49" s="6">
        <v>27.87</v>
      </c>
    </row>
    <row r="50" spans="1:9">
      <c r="A50" s="72">
        <v>43422</v>
      </c>
      <c r="B50" s="6">
        <v>7</v>
      </c>
      <c r="C50" s="6">
        <v>0.0654</v>
      </c>
      <c r="D50" s="6">
        <v>11</v>
      </c>
      <c r="E50" s="6">
        <v>0.0748</v>
      </c>
      <c r="F50" s="6">
        <v>1</v>
      </c>
      <c r="G50" s="6">
        <v>0</v>
      </c>
      <c r="H50" s="6">
        <v>0</v>
      </c>
      <c r="I50" s="6">
        <v>0</v>
      </c>
    </row>
    <row r="51" spans="1:9">
      <c r="A51" s="72">
        <v>43423</v>
      </c>
      <c r="B51" s="6">
        <v>11</v>
      </c>
      <c r="C51" s="6">
        <v>0.1196</v>
      </c>
      <c r="D51" s="6">
        <v>26</v>
      </c>
      <c r="E51" s="6">
        <v>0.1769</v>
      </c>
      <c r="F51" s="6">
        <v>1</v>
      </c>
      <c r="G51" s="6">
        <v>1</v>
      </c>
      <c r="H51" s="6">
        <v>0.0909090909090909</v>
      </c>
      <c r="I51" s="6">
        <v>27.87</v>
      </c>
    </row>
    <row r="52" spans="1:9">
      <c r="A52" s="72">
        <v>43424</v>
      </c>
      <c r="B52" s="6">
        <v>11</v>
      </c>
      <c r="C52" s="6">
        <v>0.1048</v>
      </c>
      <c r="D52" s="6">
        <v>11</v>
      </c>
      <c r="E52" s="6">
        <v>0.0803</v>
      </c>
      <c r="F52" s="6">
        <v>1</v>
      </c>
      <c r="G52" s="6">
        <v>1</v>
      </c>
      <c r="H52" s="6">
        <v>0.0909090909090909</v>
      </c>
      <c r="I52" s="6">
        <v>29.99</v>
      </c>
    </row>
    <row r="53" spans="1:9">
      <c r="A53" s="72">
        <v>43425</v>
      </c>
      <c r="B53" s="6">
        <v>7</v>
      </c>
      <c r="C53" s="6">
        <v>0.0833</v>
      </c>
      <c r="D53" s="6">
        <v>12</v>
      </c>
      <c r="E53" s="6">
        <v>0.1034</v>
      </c>
      <c r="F53" s="6">
        <v>1</v>
      </c>
      <c r="G53" s="6">
        <v>0</v>
      </c>
      <c r="H53" s="6">
        <v>0</v>
      </c>
      <c r="I53" s="6">
        <v>0</v>
      </c>
    </row>
    <row r="54" spans="1:9">
      <c r="A54" s="72">
        <v>43426</v>
      </c>
      <c r="B54" s="6">
        <v>12</v>
      </c>
      <c r="C54" s="6">
        <v>0.1463</v>
      </c>
      <c r="D54" s="6">
        <v>13</v>
      </c>
      <c r="E54" s="6">
        <v>0.1182</v>
      </c>
      <c r="F54" s="6">
        <v>1</v>
      </c>
      <c r="G54" s="6">
        <v>0</v>
      </c>
      <c r="H54" s="6">
        <v>0</v>
      </c>
      <c r="I54" s="6">
        <v>0</v>
      </c>
    </row>
    <row r="55" spans="1:9">
      <c r="A55" s="72">
        <v>43427</v>
      </c>
      <c r="B55" s="6">
        <v>18</v>
      </c>
      <c r="C55" s="6">
        <v>0.0596</v>
      </c>
      <c r="D55" s="6">
        <v>31</v>
      </c>
      <c r="E55" s="6">
        <v>0.0709</v>
      </c>
      <c r="F55" s="6">
        <v>0.97</v>
      </c>
      <c r="G55" s="6">
        <v>0</v>
      </c>
      <c r="H55" s="6">
        <v>0</v>
      </c>
      <c r="I55" s="6">
        <v>0</v>
      </c>
    </row>
    <row r="56" spans="1:9">
      <c r="A56" s="72">
        <v>43428</v>
      </c>
      <c r="B56" s="6">
        <v>12</v>
      </c>
      <c r="C56" s="6">
        <v>0.1237</v>
      </c>
      <c r="D56" s="6">
        <v>14</v>
      </c>
      <c r="E56" s="6">
        <v>0.1069</v>
      </c>
      <c r="F56" s="6">
        <v>1</v>
      </c>
      <c r="G56" s="6">
        <v>2</v>
      </c>
      <c r="H56" s="6">
        <v>0.166666666666667</v>
      </c>
      <c r="I56" s="6">
        <v>59.98</v>
      </c>
    </row>
    <row r="57" spans="1:9">
      <c r="A57" s="72">
        <v>43430</v>
      </c>
      <c r="B57" s="6">
        <v>5</v>
      </c>
      <c r="C57" s="6">
        <v>0.0345</v>
      </c>
      <c r="D57" s="6">
        <v>6</v>
      </c>
      <c r="E57" s="6">
        <v>0.029</v>
      </c>
      <c r="F57" s="6">
        <v>1</v>
      </c>
      <c r="G57" s="6">
        <v>1</v>
      </c>
      <c r="H57" s="6">
        <v>0.2</v>
      </c>
      <c r="I57" s="6">
        <v>29.99</v>
      </c>
    </row>
    <row r="58" spans="1:9">
      <c r="A58" s="72">
        <v>43432</v>
      </c>
      <c r="B58" s="6">
        <v>6</v>
      </c>
      <c r="C58" s="6">
        <v>0.0682</v>
      </c>
      <c r="D58" s="6">
        <v>9</v>
      </c>
      <c r="E58" s="6">
        <v>0.0789</v>
      </c>
      <c r="F58" s="6">
        <v>1</v>
      </c>
      <c r="G58" s="6">
        <v>0</v>
      </c>
      <c r="H58" s="6">
        <v>0</v>
      </c>
      <c r="I58" s="6">
        <v>0</v>
      </c>
    </row>
    <row r="59" spans="1:9">
      <c r="A59" s="72">
        <v>43433</v>
      </c>
      <c r="B59" s="6">
        <v>4</v>
      </c>
      <c r="C59" s="6">
        <v>0.0381</v>
      </c>
      <c r="D59" s="6">
        <v>5</v>
      </c>
      <c r="E59" s="6">
        <v>0.0368</v>
      </c>
      <c r="F59" s="6">
        <v>1</v>
      </c>
      <c r="G59" s="6">
        <v>1</v>
      </c>
      <c r="H59" s="6">
        <v>0.25</v>
      </c>
      <c r="I59" s="6">
        <v>29.99</v>
      </c>
    </row>
    <row r="60" spans="1:9">
      <c r="A60" s="72">
        <v>43434</v>
      </c>
      <c r="B60" s="6">
        <v>6</v>
      </c>
      <c r="C60" s="6">
        <v>0.0588</v>
      </c>
      <c r="D60" s="6">
        <v>6</v>
      </c>
      <c r="E60" s="6">
        <v>0.0432</v>
      </c>
      <c r="F60" s="6">
        <v>1</v>
      </c>
      <c r="G60" s="6">
        <v>0</v>
      </c>
      <c r="H60" s="6">
        <v>0</v>
      </c>
      <c r="I60" s="6">
        <v>0</v>
      </c>
    </row>
    <row r="61" spans="1:9">
      <c r="A61" s="72">
        <v>43431</v>
      </c>
      <c r="B61" s="6">
        <v>8</v>
      </c>
      <c r="C61" s="6">
        <v>0.051</v>
      </c>
      <c r="D61" s="6">
        <v>9</v>
      </c>
      <c r="E61" s="6">
        <v>0.0455</v>
      </c>
      <c r="F61" s="6">
        <v>1</v>
      </c>
      <c r="G61" s="6">
        <v>1</v>
      </c>
      <c r="H61" s="6">
        <v>0.125</v>
      </c>
      <c r="I61" s="6">
        <v>29.99</v>
      </c>
    </row>
    <row r="62" spans="1:9">
      <c r="A62" s="72">
        <v>43429</v>
      </c>
      <c r="B62" s="6">
        <v>9</v>
      </c>
      <c r="C62" s="6">
        <v>0.1059</v>
      </c>
      <c r="D62" s="6">
        <v>9</v>
      </c>
      <c r="E62" s="6">
        <v>0.0841</v>
      </c>
      <c r="F62" s="6">
        <v>1</v>
      </c>
      <c r="G62" s="6">
        <v>0</v>
      </c>
      <c r="H62" s="6">
        <v>0</v>
      </c>
      <c r="I62" s="6">
        <v>0</v>
      </c>
    </row>
    <row r="63" spans="1:9">
      <c r="A63" s="72">
        <v>43435</v>
      </c>
      <c r="B63" s="6">
        <v>2</v>
      </c>
      <c r="C63" s="6">
        <v>0.0227</v>
      </c>
      <c r="D63" s="6">
        <v>3</v>
      </c>
      <c r="E63" s="6">
        <v>0.0268</v>
      </c>
      <c r="F63" s="6">
        <v>1</v>
      </c>
      <c r="G63" s="6">
        <v>0</v>
      </c>
      <c r="H63" s="6">
        <v>0</v>
      </c>
      <c r="I63" s="6">
        <v>0</v>
      </c>
    </row>
    <row r="64" spans="1:9">
      <c r="A64" s="72">
        <v>43436</v>
      </c>
      <c r="B64" s="6">
        <v>7</v>
      </c>
      <c r="C64" s="6">
        <v>0.068</v>
      </c>
      <c r="D64" s="6">
        <v>7</v>
      </c>
      <c r="E64" s="6">
        <v>0.0551</v>
      </c>
      <c r="F64" s="6">
        <v>1</v>
      </c>
      <c r="G64" s="6">
        <v>2</v>
      </c>
      <c r="H64" s="6">
        <v>0.285714285714286</v>
      </c>
      <c r="I64" s="6">
        <v>59.98</v>
      </c>
    </row>
    <row r="65" spans="1:9">
      <c r="A65" s="72">
        <v>43439</v>
      </c>
      <c r="B65" s="6">
        <v>5</v>
      </c>
      <c r="C65" s="6">
        <v>0.0833</v>
      </c>
      <c r="D65" s="6">
        <v>6</v>
      </c>
      <c r="E65" s="6">
        <v>0.0789</v>
      </c>
      <c r="F65" s="6">
        <v>1</v>
      </c>
      <c r="G65" s="6">
        <v>0</v>
      </c>
      <c r="H65" s="6">
        <v>0</v>
      </c>
      <c r="I65" s="6">
        <v>0</v>
      </c>
    </row>
    <row r="66" spans="1:9">
      <c r="A66" s="72">
        <v>43438</v>
      </c>
      <c r="B66" s="6">
        <v>10</v>
      </c>
      <c r="C66" s="6">
        <v>0.084</v>
      </c>
      <c r="D66" s="6">
        <v>15</v>
      </c>
      <c r="E66" s="6">
        <v>0.0932</v>
      </c>
      <c r="F66" s="6">
        <v>1</v>
      </c>
      <c r="G66" s="6">
        <v>1</v>
      </c>
      <c r="H66" s="6">
        <v>0.1</v>
      </c>
      <c r="I66" s="6">
        <v>29.99</v>
      </c>
    </row>
    <row r="67" spans="1:9">
      <c r="A67" s="72">
        <v>43441</v>
      </c>
      <c r="B67" s="6">
        <v>6</v>
      </c>
      <c r="C67" s="6">
        <v>0.0833</v>
      </c>
      <c r="D67" s="6">
        <v>7</v>
      </c>
      <c r="E67" s="6">
        <v>0.0737</v>
      </c>
      <c r="F67" s="6">
        <v>1</v>
      </c>
      <c r="G67" s="6">
        <v>0</v>
      </c>
      <c r="H67" s="6">
        <v>0</v>
      </c>
      <c r="I67" s="6">
        <v>0</v>
      </c>
    </row>
    <row r="68" spans="1:9">
      <c r="A68" s="72">
        <v>43440</v>
      </c>
      <c r="B68" s="6">
        <v>14</v>
      </c>
      <c r="C68" s="6">
        <v>0.1667</v>
      </c>
      <c r="D68" s="6">
        <v>20</v>
      </c>
      <c r="E68" s="6">
        <v>0.1724</v>
      </c>
      <c r="F68" s="6">
        <v>1</v>
      </c>
      <c r="G68" s="6">
        <v>0</v>
      </c>
      <c r="H68" s="6">
        <v>0</v>
      </c>
      <c r="I68" s="6">
        <v>0</v>
      </c>
    </row>
    <row r="69" spans="1:9">
      <c r="A69" s="72">
        <v>43442</v>
      </c>
      <c r="B69" s="6">
        <v>12</v>
      </c>
      <c r="C69" s="6">
        <v>0.1644</v>
      </c>
      <c r="D69" s="6">
        <v>17</v>
      </c>
      <c r="E69" s="6">
        <v>0.1789</v>
      </c>
      <c r="F69" s="6">
        <v>1</v>
      </c>
      <c r="G69" s="6">
        <v>2</v>
      </c>
      <c r="H69" s="6">
        <v>0.0833333333333333</v>
      </c>
      <c r="I69" s="6">
        <v>59.98</v>
      </c>
    </row>
    <row r="70" spans="1:9">
      <c r="A70" s="72">
        <v>43443</v>
      </c>
      <c r="B70" s="6">
        <v>16</v>
      </c>
      <c r="C70" s="6">
        <v>0.1481</v>
      </c>
      <c r="D70" s="6">
        <v>17</v>
      </c>
      <c r="E70" s="6">
        <v>0.1241</v>
      </c>
      <c r="F70" s="6">
        <v>1</v>
      </c>
      <c r="G70" s="6">
        <v>1</v>
      </c>
      <c r="H70" s="6">
        <v>0.0625</v>
      </c>
      <c r="I70" s="6">
        <v>29.99</v>
      </c>
    </row>
    <row r="71" spans="1:9">
      <c r="A71" s="72">
        <v>43444</v>
      </c>
      <c r="B71" s="6">
        <v>17</v>
      </c>
      <c r="C71" s="6">
        <v>0.1735</v>
      </c>
      <c r="D71" s="6">
        <v>23</v>
      </c>
      <c r="E71" s="6">
        <v>0.1769</v>
      </c>
      <c r="F71" s="6">
        <v>1</v>
      </c>
      <c r="G71" s="6">
        <v>3</v>
      </c>
      <c r="H71" s="6">
        <v>0.176470588235294</v>
      </c>
      <c r="I71" s="6">
        <v>89.97</v>
      </c>
    </row>
    <row r="72" spans="1:9">
      <c r="A72" s="72">
        <v>43445</v>
      </c>
      <c r="B72" s="6">
        <v>10</v>
      </c>
      <c r="C72" s="6">
        <v>0.1695</v>
      </c>
      <c r="D72" s="6">
        <v>12</v>
      </c>
      <c r="E72" s="6">
        <v>0.1622</v>
      </c>
      <c r="F72" s="6">
        <v>1</v>
      </c>
      <c r="G72" s="6">
        <v>1</v>
      </c>
      <c r="H72" s="6">
        <v>0.1</v>
      </c>
      <c r="I72" s="6">
        <v>0</v>
      </c>
    </row>
    <row r="73" spans="1:9">
      <c r="A73" s="72">
        <v>43446</v>
      </c>
      <c r="B73" s="6">
        <v>8</v>
      </c>
      <c r="C73" s="6">
        <v>0.1194</v>
      </c>
      <c r="D73" s="6">
        <v>12</v>
      </c>
      <c r="E73" s="6">
        <v>0.129</v>
      </c>
      <c r="F73" s="6">
        <v>1</v>
      </c>
      <c r="G73" s="6">
        <v>2</v>
      </c>
      <c r="H73" s="6">
        <v>0.25</v>
      </c>
      <c r="I73" s="6">
        <v>59.98</v>
      </c>
    </row>
    <row r="74" spans="1:9">
      <c r="A74" s="72">
        <v>43447</v>
      </c>
      <c r="B74" s="6">
        <v>16</v>
      </c>
      <c r="C74" s="6">
        <v>0.2222</v>
      </c>
      <c r="D74" s="6">
        <v>20</v>
      </c>
      <c r="E74" s="6">
        <v>0.2222</v>
      </c>
      <c r="F74" s="6">
        <v>1</v>
      </c>
      <c r="G74" s="6">
        <v>3</v>
      </c>
      <c r="H74" s="6">
        <v>0.1875</v>
      </c>
      <c r="I74" s="6">
        <v>89.97</v>
      </c>
    </row>
    <row r="75" spans="1:9">
      <c r="A75" s="72">
        <v>43448</v>
      </c>
      <c r="B75" s="6">
        <v>11</v>
      </c>
      <c r="C75" s="6">
        <v>0.1528</v>
      </c>
      <c r="D75" s="6">
        <v>15</v>
      </c>
      <c r="E75" s="6">
        <v>0.1442</v>
      </c>
      <c r="F75" s="6">
        <v>1</v>
      </c>
      <c r="G75" s="6">
        <v>1</v>
      </c>
      <c r="H75" s="6">
        <v>0.0909090909090909</v>
      </c>
      <c r="I75" s="6">
        <v>29.99</v>
      </c>
    </row>
    <row r="76" spans="1:9">
      <c r="A76" s="72">
        <v>43449</v>
      </c>
      <c r="B76" s="6">
        <v>9</v>
      </c>
      <c r="C76" s="6">
        <v>0.1406</v>
      </c>
      <c r="D76" s="6">
        <v>19</v>
      </c>
      <c r="E76" s="6">
        <v>0.2209</v>
      </c>
      <c r="F76" s="6">
        <v>1</v>
      </c>
      <c r="G76" s="6">
        <v>0</v>
      </c>
      <c r="H76" s="6">
        <v>0</v>
      </c>
      <c r="I76" s="6">
        <v>0</v>
      </c>
    </row>
    <row r="77" spans="1:9">
      <c r="A77" s="72">
        <v>43450</v>
      </c>
      <c r="B77" s="6">
        <v>14</v>
      </c>
      <c r="C77" s="6">
        <v>0.1867</v>
      </c>
      <c r="D77" s="6">
        <v>19</v>
      </c>
      <c r="E77" s="6">
        <v>0.2</v>
      </c>
      <c r="F77" s="6">
        <v>1</v>
      </c>
      <c r="G77" s="6">
        <v>1</v>
      </c>
      <c r="H77" s="6">
        <v>0.0714285714285714</v>
      </c>
      <c r="I77" s="6">
        <v>29.99</v>
      </c>
    </row>
    <row r="78" spans="1:9">
      <c r="A78" s="72">
        <v>43451</v>
      </c>
      <c r="B78" s="6">
        <v>19</v>
      </c>
      <c r="C78" s="6">
        <v>0.2135</v>
      </c>
      <c r="D78" s="6">
        <v>26</v>
      </c>
      <c r="E78" s="6">
        <v>0.2203</v>
      </c>
      <c r="F78" s="6">
        <v>1</v>
      </c>
      <c r="G78" s="6">
        <v>1</v>
      </c>
      <c r="H78" s="6">
        <v>0.0526315789473684</v>
      </c>
      <c r="I78" s="6">
        <v>29.99</v>
      </c>
    </row>
    <row r="79" spans="1:9">
      <c r="A79" s="72">
        <v>43452</v>
      </c>
      <c r="B79" s="6">
        <v>4</v>
      </c>
      <c r="C79" s="6">
        <v>0.058</v>
      </c>
      <c r="D79" s="6">
        <v>7</v>
      </c>
      <c r="E79" s="6">
        <v>0.0625</v>
      </c>
      <c r="F79" s="6">
        <v>1</v>
      </c>
      <c r="G79" s="6">
        <v>0</v>
      </c>
      <c r="H79" s="6">
        <v>0</v>
      </c>
      <c r="I79" s="6">
        <v>0</v>
      </c>
    </row>
    <row r="80" spans="1:9">
      <c r="A80" s="72">
        <v>43453</v>
      </c>
      <c r="B80" s="6">
        <v>10</v>
      </c>
      <c r="C80" s="6">
        <v>0.1235</v>
      </c>
      <c r="D80" s="6">
        <v>14</v>
      </c>
      <c r="E80" s="6">
        <v>0.1333</v>
      </c>
      <c r="F80" s="6">
        <v>1</v>
      </c>
      <c r="G80" s="6">
        <v>0</v>
      </c>
      <c r="H80" s="6">
        <v>0</v>
      </c>
      <c r="I80" s="6">
        <v>0</v>
      </c>
    </row>
    <row r="81" spans="1:9">
      <c r="A81" s="72">
        <v>43454</v>
      </c>
      <c r="B81" s="6">
        <v>9</v>
      </c>
      <c r="C81" s="6">
        <v>0.1304</v>
      </c>
      <c r="D81" s="6">
        <v>10</v>
      </c>
      <c r="E81" s="6">
        <v>0.1099</v>
      </c>
      <c r="F81" s="6">
        <v>1</v>
      </c>
      <c r="G81" s="6">
        <v>0</v>
      </c>
      <c r="H81" s="6">
        <v>0</v>
      </c>
      <c r="I81" s="6">
        <v>0</v>
      </c>
    </row>
    <row r="82" spans="1:9">
      <c r="A82" s="72">
        <v>43455</v>
      </c>
      <c r="B82" s="6">
        <v>6</v>
      </c>
      <c r="C82" s="6">
        <v>0.1579</v>
      </c>
      <c r="D82" s="6">
        <v>7</v>
      </c>
      <c r="E82" s="6">
        <v>0.1296</v>
      </c>
      <c r="F82" s="6">
        <v>1</v>
      </c>
      <c r="G82" s="6">
        <v>0</v>
      </c>
      <c r="H82" s="6">
        <v>0</v>
      </c>
      <c r="I82" s="6">
        <v>0</v>
      </c>
    </row>
    <row r="83" spans="1:9">
      <c r="A83" s="72">
        <v>43456</v>
      </c>
      <c r="B83" s="6">
        <v>11</v>
      </c>
      <c r="C83" s="6">
        <v>0.2619</v>
      </c>
      <c r="D83" s="6">
        <v>14</v>
      </c>
      <c r="E83" s="6">
        <v>0.2414</v>
      </c>
      <c r="F83" s="6">
        <v>1</v>
      </c>
      <c r="G83" s="6">
        <v>1</v>
      </c>
      <c r="H83" s="6">
        <v>0.0909090909090909</v>
      </c>
      <c r="I83" s="6">
        <v>29.99</v>
      </c>
    </row>
    <row r="84" spans="1:9">
      <c r="A84" s="72">
        <v>43457</v>
      </c>
      <c r="B84" s="6">
        <v>9</v>
      </c>
      <c r="C84" s="6">
        <v>0.225</v>
      </c>
      <c r="D84" s="6">
        <v>12</v>
      </c>
      <c r="E84" s="6">
        <v>0.1967</v>
      </c>
      <c r="F84" s="6">
        <v>1</v>
      </c>
      <c r="G84" s="6">
        <v>0</v>
      </c>
      <c r="H84" s="6">
        <v>0</v>
      </c>
      <c r="I84" s="6">
        <v>0</v>
      </c>
    </row>
    <row r="85" spans="1:9">
      <c r="A85" s="72">
        <v>43458</v>
      </c>
      <c r="B85" s="6">
        <v>9</v>
      </c>
      <c r="C85" s="6">
        <v>0.2727</v>
      </c>
      <c r="D85" s="6">
        <v>14</v>
      </c>
      <c r="E85" s="6">
        <v>0.3111</v>
      </c>
      <c r="F85" s="6">
        <v>1</v>
      </c>
      <c r="G85" s="6">
        <v>1</v>
      </c>
      <c r="H85" s="6">
        <v>0.111111111111111</v>
      </c>
      <c r="I85" s="6">
        <v>29.99</v>
      </c>
    </row>
    <row r="86" spans="1:9">
      <c r="A86" s="72">
        <v>43459</v>
      </c>
      <c r="B86" s="6">
        <v>8</v>
      </c>
      <c r="C86" s="6">
        <v>0.125</v>
      </c>
      <c r="D86" s="6">
        <v>13</v>
      </c>
      <c r="E86" s="6">
        <v>0.1494</v>
      </c>
      <c r="F86" s="6">
        <v>1</v>
      </c>
      <c r="G86" s="6">
        <v>1</v>
      </c>
      <c r="H86" s="6">
        <v>0.125</v>
      </c>
      <c r="I86" s="6">
        <v>29.99</v>
      </c>
    </row>
    <row r="87" spans="1:9">
      <c r="A87" s="72">
        <v>43460</v>
      </c>
      <c r="B87" s="6">
        <v>7</v>
      </c>
      <c r="C87" s="6">
        <v>0.0959</v>
      </c>
      <c r="D87" s="6">
        <v>8</v>
      </c>
      <c r="E87" s="6">
        <v>0.0851</v>
      </c>
      <c r="F87" s="6">
        <v>1</v>
      </c>
      <c r="G87" s="6">
        <v>0</v>
      </c>
      <c r="H87" s="6">
        <v>0</v>
      </c>
      <c r="I87" s="6">
        <v>0</v>
      </c>
    </row>
    <row r="88" spans="1:9">
      <c r="A88" s="72">
        <v>43461</v>
      </c>
      <c r="B88" s="6">
        <v>4</v>
      </c>
      <c r="C88" s="6">
        <v>0.0588</v>
      </c>
      <c r="D88" s="6">
        <v>7</v>
      </c>
      <c r="E88" s="6">
        <v>0.0854</v>
      </c>
      <c r="F88" s="6">
        <v>1</v>
      </c>
      <c r="G88" s="6">
        <v>0</v>
      </c>
      <c r="H88" s="6">
        <v>0</v>
      </c>
      <c r="I88" s="6">
        <v>0</v>
      </c>
    </row>
    <row r="89" spans="1:9">
      <c r="A89" s="72">
        <v>43462</v>
      </c>
      <c r="B89" s="6">
        <v>8</v>
      </c>
      <c r="C89" s="6">
        <v>0.1026</v>
      </c>
      <c r="D89" s="6">
        <v>13</v>
      </c>
      <c r="E89" s="6">
        <v>0.134</v>
      </c>
      <c r="F89" s="6">
        <v>1</v>
      </c>
      <c r="G89" s="6">
        <v>2</v>
      </c>
      <c r="H89" s="6">
        <v>0.25</v>
      </c>
      <c r="I89" s="6">
        <v>59.98</v>
      </c>
    </row>
    <row r="90" spans="1:9">
      <c r="A90" s="72">
        <v>43463</v>
      </c>
      <c r="B90" s="6">
        <v>8</v>
      </c>
      <c r="C90" s="6">
        <v>0.1404</v>
      </c>
      <c r="D90" s="6">
        <v>15</v>
      </c>
      <c r="E90" s="6">
        <v>0.2055</v>
      </c>
      <c r="F90" s="6">
        <v>1</v>
      </c>
      <c r="G90" s="6">
        <v>0</v>
      </c>
      <c r="H90" s="6">
        <v>0</v>
      </c>
      <c r="I90" s="6">
        <v>0</v>
      </c>
    </row>
    <row r="91" spans="1:9">
      <c r="A91" s="72">
        <v>43464</v>
      </c>
      <c r="B91" s="6">
        <v>6</v>
      </c>
      <c r="C91" s="6">
        <v>0.087</v>
      </c>
      <c r="D91" s="6">
        <v>6</v>
      </c>
      <c r="E91" s="6">
        <v>0.0732</v>
      </c>
      <c r="F91" s="6">
        <v>1</v>
      </c>
      <c r="G91" s="6">
        <v>0</v>
      </c>
      <c r="H91" s="6">
        <v>0</v>
      </c>
      <c r="I91" s="6">
        <v>0</v>
      </c>
    </row>
    <row r="92" spans="1:9">
      <c r="A92" s="72">
        <v>43465</v>
      </c>
      <c r="B92" s="6">
        <v>5</v>
      </c>
      <c r="C92" s="6">
        <v>0.0893</v>
      </c>
      <c r="D92" s="6">
        <v>6</v>
      </c>
      <c r="E92" s="6">
        <v>0.0789</v>
      </c>
      <c r="F92" s="6">
        <v>1</v>
      </c>
      <c r="G92" s="6">
        <v>10</v>
      </c>
      <c r="H92" s="6">
        <v>0.2</v>
      </c>
      <c r="I92" s="6">
        <v>299.9</v>
      </c>
    </row>
    <row r="93" spans="1:9">
      <c r="A93" s="72">
        <v>43466</v>
      </c>
      <c r="B93" s="6">
        <v>6</v>
      </c>
      <c r="C93" s="6">
        <v>0.0674</v>
      </c>
      <c r="D93" s="6">
        <v>7</v>
      </c>
      <c r="E93" s="6">
        <v>0.0569</v>
      </c>
      <c r="F93" s="6">
        <v>1</v>
      </c>
      <c r="G93" s="6">
        <v>2</v>
      </c>
      <c r="H93" s="6">
        <v>0.333333333333333</v>
      </c>
      <c r="I93" s="6">
        <v>59.98</v>
      </c>
    </row>
    <row r="94" spans="1:9">
      <c r="A94" s="72">
        <v>43467</v>
      </c>
      <c r="B94" s="6">
        <v>6</v>
      </c>
      <c r="C94" s="6">
        <v>0.08</v>
      </c>
      <c r="D94" s="6">
        <v>8</v>
      </c>
      <c r="E94" s="6">
        <v>0.086</v>
      </c>
      <c r="F94" s="6">
        <v>1</v>
      </c>
      <c r="G94" s="6">
        <v>1</v>
      </c>
      <c r="H94" s="6">
        <v>0.166666666666667</v>
      </c>
      <c r="I94" s="6">
        <v>29.99</v>
      </c>
    </row>
    <row r="95" spans="1:9">
      <c r="A95" s="72">
        <v>43468</v>
      </c>
      <c r="B95" s="6">
        <v>4</v>
      </c>
      <c r="C95" s="6">
        <v>0.0435</v>
      </c>
      <c r="D95" s="6">
        <v>7</v>
      </c>
      <c r="E95" s="6">
        <v>0.0603</v>
      </c>
      <c r="F95" s="6">
        <v>1</v>
      </c>
      <c r="G95" s="6">
        <v>0</v>
      </c>
      <c r="H95" s="6">
        <v>0</v>
      </c>
      <c r="I95" s="6">
        <v>0</v>
      </c>
    </row>
    <row r="96" spans="1:9">
      <c r="A96" s="72">
        <v>43469</v>
      </c>
      <c r="B96" s="6">
        <v>4</v>
      </c>
      <c r="C96" s="6">
        <v>0.069</v>
      </c>
      <c r="D96" s="6">
        <v>7</v>
      </c>
      <c r="E96" s="6">
        <v>0.0959</v>
      </c>
      <c r="F96" s="6">
        <v>1</v>
      </c>
      <c r="G96" s="6">
        <v>0</v>
      </c>
      <c r="H96" s="6">
        <v>0</v>
      </c>
      <c r="I96" s="6">
        <v>0</v>
      </c>
    </row>
    <row r="97" spans="1:9">
      <c r="A97" s="72">
        <v>43470</v>
      </c>
      <c r="B97" s="6">
        <v>7</v>
      </c>
      <c r="C97" s="6">
        <v>0.1892</v>
      </c>
      <c r="D97" s="6">
        <v>7</v>
      </c>
      <c r="E97" s="6">
        <v>0.1522</v>
      </c>
      <c r="F97" s="6">
        <v>1</v>
      </c>
      <c r="G97" s="6">
        <v>0</v>
      </c>
      <c r="H97" s="6">
        <v>0</v>
      </c>
      <c r="I97" s="6">
        <v>0</v>
      </c>
    </row>
    <row r="98" spans="1:9">
      <c r="A98" s="72">
        <v>43471</v>
      </c>
      <c r="B98" s="6">
        <v>16</v>
      </c>
      <c r="C98" s="6">
        <v>0.4571</v>
      </c>
      <c r="D98" s="6">
        <v>18</v>
      </c>
      <c r="E98" s="6">
        <v>0.4615</v>
      </c>
      <c r="F98" s="6">
        <v>1</v>
      </c>
      <c r="G98" s="6">
        <v>0</v>
      </c>
      <c r="H98" s="6">
        <v>0</v>
      </c>
      <c r="I98" s="6">
        <v>0</v>
      </c>
    </row>
    <row r="99" spans="1:9">
      <c r="A99" s="72">
        <v>43472</v>
      </c>
      <c r="B99" s="6">
        <v>9</v>
      </c>
      <c r="C99" s="6">
        <v>0.2727</v>
      </c>
      <c r="D99" s="6">
        <v>11</v>
      </c>
      <c r="E99" s="6">
        <v>0.2444</v>
      </c>
      <c r="F99" s="6">
        <v>1</v>
      </c>
      <c r="G99" s="6">
        <v>0</v>
      </c>
      <c r="H99" s="6">
        <v>0</v>
      </c>
      <c r="I99" s="6">
        <v>0</v>
      </c>
    </row>
    <row r="100" spans="1:9">
      <c r="A100" s="72">
        <v>43473</v>
      </c>
      <c r="B100" s="6">
        <v>9</v>
      </c>
      <c r="C100" s="6">
        <v>0.3</v>
      </c>
      <c r="D100" s="6">
        <v>12</v>
      </c>
      <c r="E100" s="6">
        <v>0.3333</v>
      </c>
      <c r="F100" s="6">
        <v>1</v>
      </c>
      <c r="G100" s="6">
        <v>3</v>
      </c>
      <c r="H100" s="6">
        <v>0.222222222222222</v>
      </c>
      <c r="I100" s="6">
        <v>89.97</v>
      </c>
    </row>
    <row r="101" spans="1:9">
      <c r="A101" s="72">
        <v>43474</v>
      </c>
      <c r="B101" s="6">
        <v>11</v>
      </c>
      <c r="C101" s="6">
        <v>0.1746</v>
      </c>
      <c r="D101" s="6">
        <v>12</v>
      </c>
      <c r="E101" s="6">
        <v>0.1446</v>
      </c>
      <c r="F101" s="6">
        <v>1</v>
      </c>
      <c r="G101" s="6">
        <v>0</v>
      </c>
      <c r="H101" s="6">
        <v>0</v>
      </c>
      <c r="I101" s="6">
        <v>0</v>
      </c>
    </row>
    <row r="102" spans="1:9">
      <c r="A102" s="72">
        <v>43475</v>
      </c>
      <c r="B102" s="6">
        <v>6</v>
      </c>
      <c r="C102" s="6">
        <v>0.0769</v>
      </c>
      <c r="D102" s="6">
        <v>10</v>
      </c>
      <c r="E102" s="6">
        <v>0.1031</v>
      </c>
      <c r="F102" s="6">
        <v>1</v>
      </c>
      <c r="G102" s="6">
        <v>2</v>
      </c>
      <c r="H102" s="6">
        <v>0.333333333333333</v>
      </c>
      <c r="I102" s="6">
        <v>59.98</v>
      </c>
    </row>
    <row r="103" spans="1:9">
      <c r="A103" s="72">
        <v>43476</v>
      </c>
      <c r="B103" s="6">
        <v>14</v>
      </c>
      <c r="C103" s="6">
        <v>0.1867</v>
      </c>
      <c r="D103" s="6">
        <v>19</v>
      </c>
      <c r="E103" s="6">
        <v>0.1845</v>
      </c>
      <c r="F103" s="6">
        <v>1</v>
      </c>
      <c r="G103" s="6">
        <v>0</v>
      </c>
      <c r="H103" s="6">
        <v>0</v>
      </c>
      <c r="I103" s="6">
        <v>0</v>
      </c>
    </row>
    <row r="104" spans="1:9">
      <c r="A104" s="72">
        <v>43477</v>
      </c>
      <c r="B104" s="6">
        <v>9</v>
      </c>
      <c r="C104" s="6">
        <v>0.1268</v>
      </c>
      <c r="D104" s="6">
        <v>12</v>
      </c>
      <c r="E104" s="6">
        <v>0.1304</v>
      </c>
      <c r="F104" s="6">
        <v>1</v>
      </c>
      <c r="G104" s="6">
        <v>0</v>
      </c>
      <c r="H104" s="6">
        <v>0</v>
      </c>
      <c r="I104" s="6">
        <v>0</v>
      </c>
    </row>
    <row r="105" spans="1:9">
      <c r="A105" s="72">
        <v>43478</v>
      </c>
      <c r="B105" s="6">
        <v>17</v>
      </c>
      <c r="C105" s="6">
        <v>0.1848</v>
      </c>
      <c r="D105" s="6">
        <v>22</v>
      </c>
      <c r="E105" s="6">
        <v>0.1774</v>
      </c>
      <c r="F105" s="6">
        <v>1</v>
      </c>
      <c r="G105" s="6">
        <v>2</v>
      </c>
      <c r="H105" s="6">
        <v>0.117647058823529</v>
      </c>
      <c r="I105" s="6">
        <v>59.98</v>
      </c>
    </row>
    <row r="106" spans="1:9">
      <c r="A106"/>
      <c r="C106"/>
      <c r="E106"/>
      <c r="F106"/>
      <c r="H106"/>
      <c r="I106"/>
    </row>
    <row r="107" spans="1:9">
      <c r="A107"/>
      <c r="C107"/>
      <c r="E107"/>
      <c r="F107"/>
      <c r="H107"/>
      <c r="I107"/>
    </row>
    <row r="108" spans="1:9">
      <c r="A108"/>
      <c r="C108"/>
      <c r="E108"/>
      <c r="F108"/>
      <c r="H108"/>
      <c r="I108"/>
    </row>
    <row r="109" spans="1:9">
      <c r="A109"/>
      <c r="C109"/>
      <c r="E109"/>
      <c r="F109"/>
      <c r="H109"/>
      <c r="I109"/>
    </row>
    <row r="110" spans="1:9">
      <c r="A110"/>
      <c r="C110"/>
      <c r="E110"/>
      <c r="F110"/>
      <c r="H110"/>
      <c r="I110"/>
    </row>
    <row r="111" spans="1:9">
      <c r="A111"/>
      <c r="C111"/>
      <c r="E111"/>
      <c r="F111"/>
      <c r="H111"/>
      <c r="I111"/>
    </row>
    <row r="112" spans="1:9">
      <c r="A112"/>
      <c r="C112"/>
      <c r="E112"/>
      <c r="F112"/>
      <c r="H112"/>
      <c r="I112"/>
    </row>
    <row r="113" spans="1:9">
      <c r="A113"/>
      <c r="C113"/>
      <c r="E113"/>
      <c r="F113"/>
      <c r="H113"/>
      <c r="I113"/>
    </row>
    <row r="114" spans="1:9">
      <c r="A114"/>
      <c r="C114"/>
      <c r="E114"/>
      <c r="F114"/>
      <c r="H114"/>
      <c r="I114"/>
    </row>
    <row r="115" spans="1:9">
      <c r="A115"/>
      <c r="C115"/>
      <c r="E115"/>
      <c r="F115"/>
      <c r="H115"/>
      <c r="I115"/>
    </row>
    <row r="116" spans="1:9">
      <c r="A116"/>
      <c r="C116"/>
      <c r="E116"/>
      <c r="F116"/>
      <c r="H116"/>
      <c r="I116"/>
    </row>
    <row r="117" spans="1:9">
      <c r="A117"/>
      <c r="C117"/>
      <c r="E117"/>
      <c r="F117"/>
      <c r="H117"/>
      <c r="I117"/>
    </row>
    <row r="118" spans="1:9">
      <c r="A118"/>
      <c r="C118"/>
      <c r="E118"/>
      <c r="F118"/>
      <c r="H118"/>
      <c r="I118"/>
    </row>
    <row r="119" spans="1:9">
      <c r="A119"/>
      <c r="C119"/>
      <c r="E119"/>
      <c r="F119"/>
      <c r="H119"/>
      <c r="I119"/>
    </row>
    <row r="120" spans="1:9">
      <c r="A120"/>
      <c r="C120"/>
      <c r="E120"/>
      <c r="F120"/>
      <c r="H120"/>
      <c r="I120"/>
    </row>
    <row r="121" spans="1:9">
      <c r="A121"/>
      <c r="C121"/>
      <c r="E121"/>
      <c r="F121"/>
      <c r="H121"/>
      <c r="I121"/>
    </row>
    <row r="122" spans="1:9">
      <c r="A122"/>
      <c r="C122"/>
      <c r="E122"/>
      <c r="F122"/>
      <c r="H122"/>
      <c r="I122"/>
    </row>
    <row r="123" spans="1:9">
      <c r="A123"/>
      <c r="C123"/>
      <c r="E123"/>
      <c r="F123"/>
      <c r="H123"/>
      <c r="I123"/>
    </row>
    <row r="124" spans="1:9">
      <c r="A124"/>
      <c r="C124"/>
      <c r="E124"/>
      <c r="F124"/>
      <c r="H124"/>
      <c r="I124"/>
    </row>
    <row r="125" spans="1:9">
      <c r="A125"/>
      <c r="C125"/>
      <c r="E125"/>
      <c r="F125"/>
      <c r="H125"/>
      <c r="I125"/>
    </row>
    <row r="126" spans="1:9">
      <c r="A126"/>
      <c r="C126"/>
      <c r="E126"/>
      <c r="F126"/>
      <c r="H126"/>
      <c r="I126"/>
    </row>
    <row r="127" spans="1:9">
      <c r="A127"/>
      <c r="C127"/>
      <c r="E127"/>
      <c r="F127"/>
      <c r="H127"/>
      <c r="I127"/>
    </row>
    <row r="128" spans="1:9">
      <c r="A128"/>
      <c r="C128"/>
      <c r="E128"/>
      <c r="F128"/>
      <c r="H128"/>
      <c r="I128"/>
    </row>
    <row r="129" spans="1:9">
      <c r="A129"/>
      <c r="C129"/>
      <c r="E129"/>
      <c r="F129"/>
      <c r="H129"/>
      <c r="I129"/>
    </row>
    <row r="130" spans="1:9">
      <c r="A130"/>
      <c r="C130"/>
      <c r="E130"/>
      <c r="F130"/>
      <c r="H130"/>
      <c r="I130"/>
    </row>
    <row r="131" spans="1:9">
      <c r="A131"/>
      <c r="C131"/>
      <c r="E131"/>
      <c r="F131"/>
      <c r="H131"/>
      <c r="I131"/>
    </row>
    <row r="132" spans="1:9">
      <c r="A132"/>
      <c r="C132"/>
      <c r="E132"/>
      <c r="F132"/>
      <c r="H132"/>
      <c r="I132"/>
    </row>
    <row r="133" spans="1:9">
      <c r="A133"/>
      <c r="C133"/>
      <c r="E133"/>
      <c r="F133"/>
      <c r="H133"/>
      <c r="I133"/>
    </row>
    <row r="134" spans="1:9">
      <c r="A134"/>
      <c r="C134"/>
      <c r="E134"/>
      <c r="F134"/>
      <c r="H134"/>
      <c r="I134"/>
    </row>
    <row r="135" spans="1:9">
      <c r="A135"/>
      <c r="C135"/>
      <c r="E135"/>
      <c r="F135"/>
      <c r="H135"/>
      <c r="I135"/>
    </row>
    <row r="136" spans="1:9">
      <c r="A136"/>
      <c r="C136"/>
      <c r="E136"/>
      <c r="F136"/>
      <c r="H136"/>
      <c r="I136"/>
    </row>
    <row r="137" spans="1:9">
      <c r="A137"/>
      <c r="C137"/>
      <c r="E137"/>
      <c r="F137"/>
      <c r="H137"/>
      <c r="I137"/>
    </row>
    <row r="138" spans="1:9">
      <c r="A138"/>
      <c r="C138"/>
      <c r="E138"/>
      <c r="F138"/>
      <c r="H138"/>
      <c r="I138"/>
    </row>
    <row r="139" spans="1:9">
      <c r="A139"/>
      <c r="C139"/>
      <c r="E139"/>
      <c r="F139"/>
      <c r="H139"/>
      <c r="I139"/>
    </row>
    <row r="140" spans="1:9">
      <c r="A140"/>
      <c r="C140"/>
      <c r="E140"/>
      <c r="F140"/>
      <c r="H140"/>
      <c r="I140"/>
    </row>
    <row r="141" spans="1:9">
      <c r="A141"/>
      <c r="C141"/>
      <c r="E141"/>
      <c r="F141"/>
      <c r="H141"/>
      <c r="I141"/>
    </row>
    <row r="142" spans="1:9">
      <c r="A142"/>
      <c r="C142"/>
      <c r="E142"/>
      <c r="F142"/>
      <c r="H142"/>
      <c r="I142"/>
    </row>
    <row r="143" spans="1:9">
      <c r="A143"/>
      <c r="C143"/>
      <c r="E143"/>
      <c r="F143"/>
      <c r="H143"/>
      <c r="I143"/>
    </row>
    <row r="144" spans="1:9">
      <c r="A144"/>
      <c r="C144"/>
      <c r="E144"/>
      <c r="F144"/>
      <c r="H144"/>
      <c r="I144"/>
    </row>
    <row r="145" spans="1:9">
      <c r="A145"/>
      <c r="C145"/>
      <c r="E145"/>
      <c r="F145"/>
      <c r="H145"/>
      <c r="I145"/>
    </row>
    <row r="146" spans="1:9">
      <c r="A146"/>
      <c r="C146"/>
      <c r="E146"/>
      <c r="F146"/>
      <c r="H146"/>
      <c r="I146"/>
    </row>
    <row r="147" spans="1:9">
      <c r="A147"/>
      <c r="C147"/>
      <c r="E147"/>
      <c r="F147"/>
      <c r="H147"/>
      <c r="I147"/>
    </row>
    <row r="148" spans="1:9">
      <c r="A148"/>
      <c r="C148"/>
      <c r="E148"/>
      <c r="F148"/>
      <c r="H148"/>
      <c r="I148"/>
    </row>
    <row r="149" spans="1:9">
      <c r="A149"/>
      <c r="C149"/>
      <c r="E149"/>
      <c r="F149"/>
      <c r="H149"/>
      <c r="I149"/>
    </row>
    <row r="150" spans="1:9">
      <c r="A150"/>
      <c r="C150"/>
      <c r="E150"/>
      <c r="F150"/>
      <c r="H150"/>
      <c r="I150"/>
    </row>
    <row r="151" spans="1:9">
      <c r="A151"/>
      <c r="C151"/>
      <c r="E151"/>
      <c r="F151"/>
      <c r="H151"/>
      <c r="I151"/>
    </row>
    <row r="152" spans="1:9">
      <c r="A152"/>
      <c r="C152"/>
      <c r="E152"/>
      <c r="F152"/>
      <c r="H152"/>
      <c r="I152"/>
    </row>
    <row r="153" spans="1:9">
      <c r="A153"/>
      <c r="C153"/>
      <c r="E153"/>
      <c r="F153"/>
      <c r="H153"/>
      <c r="I153"/>
    </row>
    <row r="154" spans="1:9">
      <c r="A154"/>
      <c r="C154"/>
      <c r="E154"/>
      <c r="F154"/>
      <c r="H154"/>
      <c r="I154"/>
    </row>
    <row r="155" spans="1:9">
      <c r="A155"/>
      <c r="C155"/>
      <c r="E155"/>
      <c r="F155"/>
      <c r="H155"/>
      <c r="I155"/>
    </row>
    <row r="156" spans="1:9">
      <c r="A156"/>
      <c r="C156"/>
      <c r="E156"/>
      <c r="F156"/>
      <c r="H156"/>
      <c r="I156"/>
    </row>
    <row r="157" spans="1:9">
      <c r="A157"/>
      <c r="C157"/>
      <c r="E157"/>
      <c r="F157"/>
      <c r="H157"/>
      <c r="I157"/>
    </row>
    <row r="158" spans="1:9">
      <c r="A158"/>
      <c r="C158"/>
      <c r="E158"/>
      <c r="F158"/>
      <c r="H158"/>
      <c r="I158"/>
    </row>
    <row r="159" spans="1:9">
      <c r="A159"/>
      <c r="C159"/>
      <c r="E159"/>
      <c r="F159"/>
      <c r="H159"/>
      <c r="I159"/>
    </row>
    <row r="160" spans="1:9">
      <c r="A160"/>
      <c r="C160"/>
      <c r="E160"/>
      <c r="F160"/>
      <c r="H160"/>
      <c r="I160"/>
    </row>
    <row r="161" spans="1:9">
      <c r="A161"/>
      <c r="C161"/>
      <c r="E161"/>
      <c r="F161"/>
      <c r="H161"/>
      <c r="I161"/>
    </row>
    <row r="162" spans="1:9">
      <c r="A162"/>
      <c r="C162"/>
      <c r="E162"/>
      <c r="F162"/>
      <c r="H162"/>
      <c r="I162"/>
    </row>
    <row r="163" spans="1:9">
      <c r="A163"/>
      <c r="C163"/>
      <c r="E163"/>
      <c r="F163"/>
      <c r="H163"/>
      <c r="I163"/>
    </row>
    <row r="164" spans="1:9">
      <c r="A164"/>
      <c r="C164"/>
      <c r="E164"/>
      <c r="F164"/>
      <c r="H164"/>
      <c r="I164"/>
    </row>
    <row r="165" spans="1:9">
      <c r="A165"/>
      <c r="C165"/>
      <c r="E165"/>
      <c r="F165"/>
      <c r="H165"/>
      <c r="I165"/>
    </row>
    <row r="166" spans="1:9">
      <c r="A166"/>
      <c r="C166"/>
      <c r="E166"/>
      <c r="F166"/>
      <c r="H166"/>
      <c r="I166"/>
    </row>
    <row r="167" spans="1:9">
      <c r="A167"/>
      <c r="C167"/>
      <c r="E167"/>
      <c r="F167"/>
      <c r="H167"/>
      <c r="I167"/>
    </row>
    <row r="168" spans="1:9">
      <c r="A168"/>
      <c r="C168"/>
      <c r="E168"/>
      <c r="F168"/>
      <c r="H168"/>
      <c r="I168"/>
    </row>
    <row r="169" spans="1:9">
      <c r="A169"/>
      <c r="C169"/>
      <c r="E169"/>
      <c r="F169"/>
      <c r="H169"/>
      <c r="I169"/>
    </row>
    <row r="170" spans="1:9">
      <c r="A170"/>
      <c r="C170"/>
      <c r="E170"/>
      <c r="F170"/>
      <c r="H170"/>
      <c r="I170"/>
    </row>
    <row r="171" spans="1:9">
      <c r="A171"/>
      <c r="C171"/>
      <c r="E171"/>
      <c r="F171"/>
      <c r="H171"/>
      <c r="I171"/>
    </row>
    <row r="172" spans="1:9">
      <c r="A172"/>
      <c r="C172"/>
      <c r="E172"/>
      <c r="F172"/>
      <c r="H172"/>
      <c r="I172"/>
    </row>
    <row r="173" spans="1:9">
      <c r="A173"/>
      <c r="C173"/>
      <c r="E173"/>
      <c r="F173"/>
      <c r="H173"/>
      <c r="I173"/>
    </row>
    <row r="174" spans="1:9">
      <c r="A174"/>
      <c r="C174"/>
      <c r="E174"/>
      <c r="F174"/>
      <c r="H174"/>
      <c r="I174"/>
    </row>
    <row r="175" spans="1:9">
      <c r="A175"/>
      <c r="C175"/>
      <c r="E175"/>
      <c r="F175"/>
      <c r="H175"/>
      <c r="I175"/>
    </row>
    <row r="176" spans="1:9">
      <c r="A176"/>
      <c r="C176"/>
      <c r="E176"/>
      <c r="F176"/>
      <c r="H176"/>
      <c r="I176"/>
    </row>
    <row r="177" spans="1:9">
      <c r="A177"/>
      <c r="C177"/>
      <c r="E177"/>
      <c r="F177"/>
      <c r="H177"/>
      <c r="I177"/>
    </row>
    <row r="178" spans="1:9">
      <c r="A178"/>
      <c r="C178"/>
      <c r="E178"/>
      <c r="F178"/>
      <c r="H178"/>
      <c r="I178"/>
    </row>
    <row r="179" spans="1:9">
      <c r="A179"/>
      <c r="C179"/>
      <c r="E179"/>
      <c r="F179"/>
      <c r="H179"/>
      <c r="I179"/>
    </row>
    <row r="180" spans="1:9">
      <c r="A180"/>
      <c r="C180"/>
      <c r="E180"/>
      <c r="F180"/>
      <c r="H180"/>
      <c r="I180"/>
    </row>
    <row r="181" spans="1:9">
      <c r="A181"/>
      <c r="C181"/>
      <c r="E181"/>
      <c r="F181"/>
      <c r="H181"/>
      <c r="I181"/>
    </row>
    <row r="182" spans="1:9">
      <c r="A182"/>
      <c r="C182"/>
      <c r="E182"/>
      <c r="F182"/>
      <c r="H182"/>
      <c r="I182"/>
    </row>
    <row r="183" spans="1:9">
      <c r="A183"/>
      <c r="C183"/>
      <c r="E183"/>
      <c r="F183"/>
      <c r="H183"/>
      <c r="I183"/>
    </row>
    <row r="184" spans="1:9">
      <c r="A184"/>
      <c r="C184"/>
      <c r="E184"/>
      <c r="F184"/>
      <c r="H184"/>
      <c r="I184"/>
    </row>
    <row r="185" spans="1:9">
      <c r="A185"/>
      <c r="C185"/>
      <c r="E185"/>
      <c r="F185"/>
      <c r="H185"/>
      <c r="I185"/>
    </row>
    <row r="186" spans="1:9">
      <c r="A186"/>
      <c r="C186"/>
      <c r="E186"/>
      <c r="F186"/>
      <c r="H186"/>
      <c r="I186"/>
    </row>
    <row r="187" spans="1:9">
      <c r="A187"/>
      <c r="C187"/>
      <c r="E187"/>
      <c r="F187"/>
      <c r="H187"/>
      <c r="I187"/>
    </row>
    <row r="188" spans="1:9">
      <c r="A188"/>
      <c r="C188"/>
      <c r="E188"/>
      <c r="F188"/>
      <c r="H188"/>
      <c r="I188"/>
    </row>
    <row r="189" spans="1:9">
      <c r="A189"/>
      <c r="C189"/>
      <c r="E189"/>
      <c r="F189"/>
      <c r="H189"/>
      <c r="I189"/>
    </row>
    <row r="190" spans="1:9">
      <c r="A190"/>
      <c r="C190"/>
      <c r="E190"/>
      <c r="F190"/>
      <c r="H190"/>
      <c r="I190"/>
    </row>
    <row r="191" spans="1:9">
      <c r="A191"/>
      <c r="C191"/>
      <c r="E191"/>
      <c r="F191"/>
      <c r="H191"/>
      <c r="I191"/>
    </row>
    <row r="192" spans="1:9">
      <c r="A192"/>
      <c r="C192"/>
      <c r="E192"/>
      <c r="F192"/>
      <c r="H192"/>
      <c r="I192"/>
    </row>
    <row r="193" spans="1:9">
      <c r="A193"/>
      <c r="C193"/>
      <c r="E193"/>
      <c r="F193"/>
      <c r="H193"/>
      <c r="I193"/>
    </row>
    <row r="194" spans="1:9">
      <c r="A194"/>
      <c r="C194"/>
      <c r="E194"/>
      <c r="F194"/>
      <c r="H194"/>
      <c r="I194"/>
    </row>
    <row r="195" spans="1:9">
      <c r="A195"/>
      <c r="C195"/>
      <c r="E195"/>
      <c r="F195"/>
      <c r="H195"/>
      <c r="I195"/>
    </row>
    <row r="196" spans="1:9">
      <c r="A196"/>
      <c r="C196"/>
      <c r="E196"/>
      <c r="F196"/>
      <c r="H196"/>
      <c r="I196"/>
    </row>
    <row r="197" spans="1:9">
      <c r="A197"/>
      <c r="C197"/>
      <c r="E197"/>
      <c r="F197"/>
      <c r="H197"/>
      <c r="I197"/>
    </row>
    <row r="198" spans="1:9">
      <c r="A198"/>
      <c r="C198"/>
      <c r="E198"/>
      <c r="F198"/>
      <c r="H198"/>
      <c r="I198"/>
    </row>
    <row r="199" spans="1:9">
      <c r="A199"/>
      <c r="C199"/>
      <c r="E199"/>
      <c r="F199"/>
      <c r="H199"/>
      <c r="I199"/>
    </row>
    <row r="200" spans="1:9">
      <c r="A200"/>
      <c r="C200"/>
      <c r="E200"/>
      <c r="F200"/>
      <c r="H200"/>
      <c r="I200"/>
    </row>
    <row r="201" spans="1:9">
      <c r="A201"/>
      <c r="C201"/>
      <c r="E201"/>
      <c r="F201"/>
      <c r="H201"/>
      <c r="I201"/>
    </row>
    <row r="202" spans="1:9">
      <c r="A202"/>
      <c r="C202"/>
      <c r="E202"/>
      <c r="F202"/>
      <c r="H202"/>
      <c r="I202"/>
    </row>
    <row r="203" spans="1:9">
      <c r="A203"/>
      <c r="C203"/>
      <c r="E203"/>
      <c r="F203"/>
      <c r="H203"/>
      <c r="I203"/>
    </row>
    <row r="204" spans="1:9">
      <c r="A204"/>
      <c r="C204"/>
      <c r="E204"/>
      <c r="F204"/>
      <c r="H204"/>
      <c r="I204"/>
    </row>
    <row r="205" spans="1:9">
      <c r="A205"/>
      <c r="C205"/>
      <c r="E205"/>
      <c r="F205"/>
      <c r="H205"/>
      <c r="I205"/>
    </row>
    <row r="206" spans="1:9">
      <c r="A206"/>
      <c r="C206"/>
      <c r="E206"/>
      <c r="F206"/>
      <c r="H206"/>
      <c r="I206"/>
    </row>
    <row r="207" spans="1:9">
      <c r="A207"/>
      <c r="C207"/>
      <c r="E207"/>
      <c r="F207"/>
      <c r="H207"/>
      <c r="I207"/>
    </row>
    <row r="208" spans="1:9">
      <c r="A208"/>
      <c r="C208"/>
      <c r="E208"/>
      <c r="F208"/>
      <c r="H208"/>
      <c r="I208"/>
    </row>
    <row r="209" spans="1:9">
      <c r="A209"/>
      <c r="C209"/>
      <c r="E209"/>
      <c r="F209"/>
      <c r="H209"/>
      <c r="I209"/>
    </row>
    <row r="210" spans="1:9">
      <c r="A210"/>
      <c r="C210"/>
      <c r="E210"/>
      <c r="F210"/>
      <c r="H210"/>
      <c r="I210"/>
    </row>
    <row r="211" spans="1:9">
      <c r="A211"/>
      <c r="C211"/>
      <c r="E211"/>
      <c r="F211"/>
      <c r="H211"/>
      <c r="I211"/>
    </row>
    <row r="212" spans="1:9">
      <c r="A212"/>
      <c r="C212"/>
      <c r="E212"/>
      <c r="F212"/>
      <c r="H212"/>
      <c r="I212"/>
    </row>
    <row r="213" spans="1:9">
      <c r="A213"/>
      <c r="C213"/>
      <c r="E213"/>
      <c r="F213"/>
      <c r="H213"/>
      <c r="I213"/>
    </row>
    <row r="214" spans="1:9">
      <c r="A214"/>
      <c r="C214"/>
      <c r="E214"/>
      <c r="F214"/>
      <c r="H214"/>
      <c r="I214"/>
    </row>
    <row r="215" spans="1:9">
      <c r="A215"/>
      <c r="C215"/>
      <c r="E215"/>
      <c r="F215"/>
      <c r="H215"/>
      <c r="I215"/>
    </row>
    <row r="216" spans="1:9">
      <c r="A216"/>
      <c r="C216"/>
      <c r="E216"/>
      <c r="F216"/>
      <c r="H216"/>
      <c r="I216"/>
    </row>
    <row r="217" spans="1:9">
      <c r="A217"/>
      <c r="C217"/>
      <c r="E217"/>
      <c r="F217"/>
      <c r="H217"/>
      <c r="I217"/>
    </row>
    <row r="218" spans="1:9">
      <c r="A218"/>
      <c r="C218"/>
      <c r="E218"/>
      <c r="F218"/>
      <c r="H218"/>
      <c r="I218"/>
    </row>
    <row r="219" spans="1:9">
      <c r="A219"/>
      <c r="C219"/>
      <c r="E219"/>
      <c r="F219"/>
      <c r="H219"/>
      <c r="I219"/>
    </row>
    <row r="220" spans="1:9">
      <c r="A220"/>
      <c r="C220"/>
      <c r="E220"/>
      <c r="F220"/>
      <c r="H220"/>
      <c r="I220"/>
    </row>
    <row r="221" spans="1:9">
      <c r="A221"/>
      <c r="C221"/>
      <c r="E221"/>
      <c r="F221"/>
      <c r="H221"/>
      <c r="I221"/>
    </row>
    <row r="222" spans="1:9">
      <c r="A222"/>
      <c r="C222"/>
      <c r="E222"/>
      <c r="F222"/>
      <c r="H222"/>
      <c r="I222"/>
    </row>
    <row r="223" spans="1:9">
      <c r="A223"/>
      <c r="C223"/>
      <c r="E223"/>
      <c r="F223"/>
      <c r="H223"/>
      <c r="I223"/>
    </row>
    <row r="224" spans="3:9">
      <c r="C224"/>
      <c r="E224"/>
      <c r="F224"/>
      <c r="H224"/>
      <c r="I224"/>
    </row>
    <row r="225" spans="3:9">
      <c r="C225"/>
      <c r="E225"/>
      <c r="F225"/>
      <c r="H225"/>
      <c r="I225"/>
    </row>
    <row r="226" spans="3:9">
      <c r="C226"/>
      <c r="E226"/>
      <c r="F226"/>
      <c r="H226"/>
      <c r="I226"/>
    </row>
    <row r="227" spans="3:9">
      <c r="C227"/>
      <c r="E227"/>
      <c r="F227"/>
      <c r="H227"/>
      <c r="I227"/>
    </row>
    <row r="228" spans="3:9">
      <c r="C228"/>
      <c r="E228"/>
      <c r="F228"/>
      <c r="H228"/>
      <c r="I228"/>
    </row>
    <row r="229" spans="3:9">
      <c r="C229"/>
      <c r="E229"/>
      <c r="F229"/>
      <c r="H229"/>
      <c r="I229"/>
    </row>
    <row r="230" spans="3:9">
      <c r="C230"/>
      <c r="E230"/>
      <c r="F230"/>
      <c r="H230"/>
      <c r="I230"/>
    </row>
    <row r="231" spans="3:9">
      <c r="C231"/>
      <c r="E231"/>
      <c r="F231"/>
      <c r="H231"/>
      <c r="I231"/>
    </row>
    <row r="232" spans="3:9">
      <c r="C232"/>
      <c r="E232"/>
      <c r="F232"/>
      <c r="H232"/>
      <c r="I232"/>
    </row>
    <row r="233" spans="3:9">
      <c r="C233"/>
      <c r="E233"/>
      <c r="F233"/>
      <c r="H233"/>
      <c r="I233"/>
    </row>
    <row r="234" spans="3:9">
      <c r="C234"/>
      <c r="E234"/>
      <c r="F234"/>
      <c r="H234"/>
      <c r="I234"/>
    </row>
    <row r="235" spans="3:9">
      <c r="C235"/>
      <c r="E235"/>
      <c r="F235"/>
      <c r="H235"/>
      <c r="I235"/>
    </row>
    <row r="236" spans="3:9">
      <c r="C236"/>
      <c r="E236"/>
      <c r="F236"/>
      <c r="H236"/>
      <c r="I236"/>
    </row>
    <row r="237" spans="3:9">
      <c r="C237"/>
      <c r="E237"/>
      <c r="F237"/>
      <c r="H237"/>
      <c r="I237"/>
    </row>
    <row r="238" spans="3:9">
      <c r="C238"/>
      <c r="E238"/>
      <c r="F238"/>
      <c r="H238"/>
      <c r="I238"/>
    </row>
    <row r="239" spans="3:9">
      <c r="C239"/>
      <c r="E239"/>
      <c r="F239"/>
      <c r="H239"/>
      <c r="I239"/>
    </row>
    <row r="240" spans="3:9">
      <c r="C240"/>
      <c r="E240"/>
      <c r="F240"/>
      <c r="H240"/>
      <c r="I240"/>
    </row>
    <row r="241" spans="3:9">
      <c r="C241"/>
      <c r="E241"/>
      <c r="F241"/>
      <c r="H241"/>
      <c r="I241"/>
    </row>
    <row r="242" spans="3:9">
      <c r="C242"/>
      <c r="E242"/>
      <c r="F242"/>
      <c r="H242"/>
      <c r="I242"/>
    </row>
    <row r="243" spans="3:9">
      <c r="C243"/>
      <c r="E243"/>
      <c r="F243"/>
      <c r="H243"/>
      <c r="I243"/>
    </row>
    <row r="244" spans="3:9">
      <c r="C244"/>
      <c r="E244"/>
      <c r="F244"/>
      <c r="H244"/>
      <c r="I244"/>
    </row>
    <row r="245" spans="3:9">
      <c r="C245"/>
      <c r="E245"/>
      <c r="F245"/>
      <c r="H245"/>
      <c r="I245"/>
    </row>
    <row r="246" spans="3:9">
      <c r="C246"/>
      <c r="E246"/>
      <c r="F246"/>
      <c r="H246"/>
      <c r="I246"/>
    </row>
    <row r="247" spans="3:9">
      <c r="C247"/>
      <c r="E247"/>
      <c r="F247"/>
      <c r="H247"/>
      <c r="I247"/>
    </row>
    <row r="248" spans="3:9">
      <c r="C248"/>
      <c r="E248"/>
      <c r="F248"/>
      <c r="H248"/>
      <c r="I248"/>
    </row>
    <row r="249" spans="3:9">
      <c r="C249"/>
      <c r="E249"/>
      <c r="F249"/>
      <c r="H249"/>
      <c r="I249"/>
    </row>
    <row r="250" spans="3:9">
      <c r="C250"/>
      <c r="E250"/>
      <c r="F250"/>
      <c r="H250"/>
      <c r="I250"/>
    </row>
    <row r="251" spans="3:9">
      <c r="C251"/>
      <c r="E251"/>
      <c r="F251"/>
      <c r="H251"/>
      <c r="I251"/>
    </row>
    <row r="252" spans="3:9">
      <c r="C252"/>
      <c r="E252"/>
      <c r="F252"/>
      <c r="H252"/>
      <c r="I252"/>
    </row>
    <row r="253" spans="3:9">
      <c r="C253"/>
      <c r="E253"/>
      <c r="F253"/>
      <c r="H253"/>
      <c r="I253"/>
    </row>
    <row r="254" spans="3:9">
      <c r="C254"/>
      <c r="E254"/>
      <c r="F254"/>
      <c r="H254"/>
      <c r="I254"/>
    </row>
    <row r="255" spans="3:9">
      <c r="C255"/>
      <c r="E255"/>
      <c r="F255"/>
      <c r="H255"/>
      <c r="I255"/>
    </row>
    <row r="256" spans="3:9">
      <c r="C256"/>
      <c r="E256"/>
      <c r="F256"/>
      <c r="H256"/>
      <c r="I256"/>
    </row>
    <row r="257" spans="3:9">
      <c r="C257"/>
      <c r="E257"/>
      <c r="F257"/>
      <c r="H257"/>
      <c r="I257"/>
    </row>
    <row r="258" spans="3:9">
      <c r="C258"/>
      <c r="E258"/>
      <c r="F258"/>
      <c r="H258"/>
      <c r="I258"/>
    </row>
    <row r="259" spans="3:9">
      <c r="C259"/>
      <c r="E259"/>
      <c r="F259"/>
      <c r="H259"/>
      <c r="I259"/>
    </row>
    <row r="260" spans="3:9">
      <c r="C260"/>
      <c r="E260"/>
      <c r="F260"/>
      <c r="H260"/>
      <c r="I260"/>
    </row>
    <row r="261" spans="3:9">
      <c r="C261"/>
      <c r="E261"/>
      <c r="F261"/>
      <c r="H261"/>
      <c r="I261"/>
    </row>
    <row r="262" spans="3:9">
      <c r="C262"/>
      <c r="E262"/>
      <c r="F262"/>
      <c r="H262"/>
      <c r="I262"/>
    </row>
    <row r="263" spans="3:9">
      <c r="C263"/>
      <c r="E263"/>
      <c r="F263"/>
      <c r="H263"/>
      <c r="I263"/>
    </row>
    <row r="264" spans="3:9">
      <c r="C264"/>
      <c r="E264"/>
      <c r="F264"/>
      <c r="H264"/>
      <c r="I264"/>
    </row>
    <row r="265" spans="3:9">
      <c r="C265"/>
      <c r="E265"/>
      <c r="F265"/>
      <c r="H265"/>
      <c r="I265"/>
    </row>
    <row r="266" spans="3:9">
      <c r="C266"/>
      <c r="E266"/>
      <c r="F266"/>
      <c r="H266"/>
      <c r="I266"/>
    </row>
    <row r="267" spans="3:9">
      <c r="C267"/>
      <c r="E267"/>
      <c r="F267"/>
      <c r="H267"/>
      <c r="I267"/>
    </row>
    <row r="268" spans="3:9">
      <c r="C268"/>
      <c r="E268"/>
      <c r="F268"/>
      <c r="H268"/>
      <c r="I268"/>
    </row>
    <row r="269" spans="3:9">
      <c r="C269"/>
      <c r="E269"/>
      <c r="F269"/>
      <c r="H269"/>
      <c r="I269"/>
    </row>
    <row r="270" spans="3:9">
      <c r="C270"/>
      <c r="E270"/>
      <c r="F270"/>
      <c r="H270"/>
      <c r="I270"/>
    </row>
    <row r="271" spans="3:9">
      <c r="C271"/>
      <c r="E271"/>
      <c r="F271"/>
      <c r="H271"/>
      <c r="I271"/>
    </row>
    <row r="272" spans="3:9">
      <c r="C272"/>
      <c r="E272"/>
      <c r="F272"/>
      <c r="H272"/>
      <c r="I272"/>
    </row>
    <row r="273" spans="3:9">
      <c r="C273"/>
      <c r="E273"/>
      <c r="F273"/>
      <c r="H273"/>
      <c r="I273"/>
    </row>
    <row r="274" spans="3:9">
      <c r="C274"/>
      <c r="E274"/>
      <c r="F274"/>
      <c r="H274"/>
      <c r="I274"/>
    </row>
    <row r="275" spans="3:9">
      <c r="C275"/>
      <c r="E275"/>
      <c r="F275"/>
      <c r="H275"/>
      <c r="I275"/>
    </row>
    <row r="276" spans="3:9">
      <c r="C276"/>
      <c r="E276"/>
      <c r="F276"/>
      <c r="H276"/>
      <c r="I276"/>
    </row>
    <row r="277" spans="3:9">
      <c r="C277"/>
      <c r="E277"/>
      <c r="F277"/>
      <c r="H277"/>
      <c r="I277"/>
    </row>
  </sheetData>
  <sheetProtection formatCells="0" insertHyperlinks="0" autoFilter="0"/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934"/>
  <sheetViews>
    <sheetView showGridLines="0" workbookViewId="0">
      <selection activeCell="I16" sqref="I16"/>
    </sheetView>
  </sheetViews>
  <sheetFormatPr defaultColWidth="9.125" defaultRowHeight="14.25"/>
  <cols>
    <col min="1" max="1" width="12.75" style="11" customWidth="1"/>
    <col min="2" max="2" width="5" style="11" customWidth="1"/>
    <col min="3" max="3" width="5.375" style="11" customWidth="1"/>
    <col min="4" max="4" width="5" style="11" customWidth="1"/>
    <col min="5" max="5" width="11.75" style="11" customWidth="1"/>
    <col min="6" max="6" width="7.375" style="11" customWidth="1"/>
    <col min="7" max="7" width="8.125" style="11" customWidth="1"/>
    <col min="8" max="8" width="3.375" style="11" customWidth="1"/>
    <col min="9" max="9" width="5.375" style="11" customWidth="1"/>
    <col min="10" max="10" width="7.75" style="11" customWidth="1"/>
    <col min="11" max="11" width="5.875" style="56" customWidth="1"/>
    <col min="12" max="12" width="14.25" style="57" customWidth="1"/>
    <col min="13" max="13" width="9.125" style="11"/>
    <col min="14" max="14" width="9.125" style="58"/>
    <col min="15" max="15" width="9.125" style="11"/>
    <col min="16" max="16" width="9.125" style="58"/>
    <col min="17" max="17" width="9.125" style="59"/>
    <col min="18" max="18" width="9.125" style="11"/>
    <col min="19" max="19" width="9.125" style="58"/>
    <col min="20" max="20" width="9.125" style="60"/>
    <col min="21" max="16384" width="9.125" style="11"/>
  </cols>
  <sheetData>
    <row r="1" spans="1:20">
      <c r="A1" s="61">
        <f>SMALL(day_data!$A:$A,1)</f>
        <v>43374</v>
      </c>
      <c r="B1" s="11">
        <v>0</v>
      </c>
      <c r="C1" s="11">
        <v>67</v>
      </c>
      <c r="E1" s="11" t="s">
        <v>76</v>
      </c>
      <c r="F1" s="11" t="b">
        <v>1</v>
      </c>
      <c r="L1" s="62" t="s">
        <v>67</v>
      </c>
      <c r="M1" s="63" t="s">
        <v>77</v>
      </c>
      <c r="N1" s="64" t="s">
        <v>78</v>
      </c>
      <c r="O1" s="63" t="s">
        <v>70</v>
      </c>
      <c r="P1" s="64" t="s">
        <v>79</v>
      </c>
      <c r="Q1" s="65" t="s">
        <v>80</v>
      </c>
      <c r="R1" s="63" t="s">
        <v>81</v>
      </c>
      <c r="S1" s="64" t="s">
        <v>82</v>
      </c>
      <c r="T1" s="66" t="s">
        <v>83</v>
      </c>
    </row>
    <row r="2" spans="5:20">
      <c r="E2" s="11" t="s">
        <v>84</v>
      </c>
      <c r="F2" s="11" t="b">
        <v>0</v>
      </c>
      <c r="L2" s="57">
        <f>A1+B1</f>
        <v>43374</v>
      </c>
      <c r="M2" s="11">
        <f>IF($F$1,IF($L2="","",IFERROR(VLOOKUP($L2,day_data!$A:$I,2,FALSE),0)),NA())</f>
        <v>33</v>
      </c>
      <c r="N2" s="58" t="e">
        <f>IF($F$2,IF($L2="","",IFERROR(VLOOKUP($L2,day_data!$A:$I,3,FALSE),0)),NA())</f>
        <v>#N/A</v>
      </c>
      <c r="O2" s="11" t="e">
        <f>IF($F$3,IF($L2="","",IFERROR(VLOOKUP($L2,day_data!$A:$I,4,FALSE),0)),NA())</f>
        <v>#N/A</v>
      </c>
      <c r="P2" s="58" t="e">
        <f>IF($F$4,IF($L2="","",IFERROR(VLOOKUP($L2,day_data!$A:$I,5,FALSE),0)),NA())</f>
        <v>#N/A</v>
      </c>
      <c r="Q2" s="59" t="e">
        <f>IF($F$8,IF($L2="","",IFERROR(VLOOKUP($L2,day_data!$A:$I,6,FALSE),0)),NA())</f>
        <v>#N/A</v>
      </c>
      <c r="R2" s="11" t="e">
        <f>IF($F$6,IF($L2="","",IFERROR(VLOOKUP($L2,day_data!$A:$I,7,FALSE),0)),NA())</f>
        <v>#N/A</v>
      </c>
      <c r="S2" s="58">
        <f>IF($F$5,IF($L2="","",IFERROR(VLOOKUP($L2,day_data!$A:$I,8,FALSE),0)),NA())</f>
        <v>0.0909090909090909</v>
      </c>
      <c r="T2" s="60" t="e">
        <f>IF($F$7,IF($L2="","",IFERROR(VLOOKUP($L2,day_data!$A:$I,9,FALSE),0)),NA())</f>
        <v>#N/A</v>
      </c>
    </row>
    <row r="3" spans="5:20">
      <c r="E3" s="11" t="s">
        <v>85</v>
      </c>
      <c r="F3" s="11" t="b">
        <v>0</v>
      </c>
      <c r="L3" s="57">
        <f>IF(ROW(L3)-1&gt;$C$1,"",L2+1)</f>
        <v>43375</v>
      </c>
      <c r="M3" s="11">
        <f>IF($F$1,IF($L3="","",IFERROR(VLOOKUP($L3,day_data!$A:$I,2,FALSE),0)),NA())</f>
        <v>41</v>
      </c>
      <c r="N3" s="58" t="e">
        <f>IF($F$2,IF($L3="","",IFERROR(VLOOKUP($L3,day_data!$A:$I,3,FALSE),0)),NA())</f>
        <v>#N/A</v>
      </c>
      <c r="O3" s="11" t="e">
        <f>IF($F$3,IF($L3="","",IFERROR(VLOOKUP($L3,day_data!$A:$I,4,FALSE),0)),NA())</f>
        <v>#N/A</v>
      </c>
      <c r="P3" s="58" t="e">
        <f>IF($F$4,IF($L3="","",IFERROR(VLOOKUP($L3,day_data!$A:$I,5,FALSE),0)),NA())</f>
        <v>#N/A</v>
      </c>
      <c r="Q3" s="59" t="e">
        <f>IF($F$8,IF($L3="","",IFERROR(VLOOKUP($L3,day_data!$A:$I,6,FALSE),0)),NA())</f>
        <v>#N/A</v>
      </c>
      <c r="R3" s="11" t="e">
        <f>IF($F$6,IF($L3="","",IFERROR(VLOOKUP($L3,day_data!$A:$I,7,FALSE),0)),NA())</f>
        <v>#N/A</v>
      </c>
      <c r="S3" s="58">
        <f>IF($F$5,IF($L3="","",IFERROR(VLOOKUP($L3,day_data!$A:$I,8,FALSE),0)),NA())</f>
        <v>0.0731707317073171</v>
      </c>
      <c r="T3" s="60" t="e">
        <f>IF($F$7,IF($L3="","",IFERROR(VLOOKUP($L3,day_data!$A:$I,9,FALSE),0)),NA())</f>
        <v>#N/A</v>
      </c>
    </row>
    <row r="4" spans="5:20">
      <c r="E4" s="11" t="s">
        <v>71</v>
      </c>
      <c r="F4" s="11" t="b">
        <v>0</v>
      </c>
      <c r="L4" s="57">
        <f>IF(ROW(L4)-1&gt;$C$1,"",L3+1)</f>
        <v>43376</v>
      </c>
      <c r="M4" s="11">
        <f>IF($F$1,IF($L4="","",IFERROR(VLOOKUP($L4,day_data!$A:$I,2,FALSE),0)),NA())</f>
        <v>30</v>
      </c>
      <c r="N4" s="58" t="e">
        <f>IF($F$2,IF($L4="","",IFERROR(VLOOKUP($L4,day_data!$A:$I,3,FALSE),0)),NA())</f>
        <v>#N/A</v>
      </c>
      <c r="O4" s="11" t="e">
        <f>IF($F$3,IF($L4="","",IFERROR(VLOOKUP($L4,day_data!$A:$I,4,FALSE),0)),NA())</f>
        <v>#N/A</v>
      </c>
      <c r="P4" s="58" t="e">
        <f>IF($F$4,IF($L4="","",IFERROR(VLOOKUP($L4,day_data!$A:$I,5,FALSE),0)),NA())</f>
        <v>#N/A</v>
      </c>
      <c r="Q4" s="59" t="e">
        <f>IF($F$8,IF($L4="","",IFERROR(VLOOKUP($L4,day_data!$A:$I,6,FALSE),0)),NA())</f>
        <v>#N/A</v>
      </c>
      <c r="R4" s="11" t="e">
        <f>IF($F$6,IF($L4="","",IFERROR(VLOOKUP($L4,day_data!$A:$I,7,FALSE),0)),NA())</f>
        <v>#N/A</v>
      </c>
      <c r="S4" s="58">
        <f>IF($F$5,IF($L4="","",IFERROR(VLOOKUP($L4,day_data!$A:$I,8,FALSE),0)),NA())</f>
        <v>0.133333333333333</v>
      </c>
      <c r="T4" s="60" t="e">
        <f>IF($F$7,IF($L4="","",IFERROR(VLOOKUP($L4,day_data!$A:$I,9,FALSE),0)),NA())</f>
        <v>#N/A</v>
      </c>
    </row>
    <row r="5" spans="5:20">
      <c r="E5" s="11" t="s">
        <v>86</v>
      </c>
      <c r="F5" s="11" t="b">
        <v>1</v>
      </c>
      <c r="L5" s="57">
        <f t="shared" ref="L5:L67" si="0">IF(ROW(L5)-1&gt;$C$1,"",L4+1)</f>
        <v>43377</v>
      </c>
      <c r="M5" s="11">
        <f>IF($F$1,IF($L5="","",IFERROR(VLOOKUP($L5,day_data!$A:$I,2,FALSE),0)),NA())</f>
        <v>33</v>
      </c>
      <c r="N5" s="58" t="e">
        <f>IF($F$2,IF($L5="","",IFERROR(VLOOKUP($L5,day_data!$A:$I,3,FALSE),0)),NA())</f>
        <v>#N/A</v>
      </c>
      <c r="O5" s="11" t="e">
        <f>IF($F$3,IF($L5="","",IFERROR(VLOOKUP($L5,day_data!$A:$I,4,FALSE),0)),NA())</f>
        <v>#N/A</v>
      </c>
      <c r="P5" s="58" t="e">
        <f>IF($F$4,IF($L5="","",IFERROR(VLOOKUP($L5,day_data!$A:$I,5,FALSE),0)),NA())</f>
        <v>#N/A</v>
      </c>
      <c r="Q5" s="59" t="e">
        <f>IF($F$8,IF($L5="","",IFERROR(VLOOKUP($L5,day_data!$A:$I,6,FALSE),0)),NA())</f>
        <v>#N/A</v>
      </c>
      <c r="R5" s="11" t="e">
        <f>IF($F$6,IF($L5="","",IFERROR(VLOOKUP($L5,day_data!$A:$I,7,FALSE),0)),NA())</f>
        <v>#N/A</v>
      </c>
      <c r="S5" s="58">
        <f>IF($F$5,IF($L5="","",IFERROR(VLOOKUP($L5,day_data!$A:$I,8,FALSE),0)),NA())</f>
        <v>0.0909090909090909</v>
      </c>
      <c r="T5" s="60" t="e">
        <f>IF($F$7,IF($L5="","",IFERROR(VLOOKUP($L5,day_data!$A:$I,9,FALSE),0)),NA())</f>
        <v>#N/A</v>
      </c>
    </row>
    <row r="6" spans="5:20">
      <c r="E6" s="11" t="s">
        <v>73</v>
      </c>
      <c r="F6" s="11" t="b">
        <v>0</v>
      </c>
      <c r="L6" s="57">
        <f t="shared" si="0"/>
        <v>43378</v>
      </c>
      <c r="M6" s="11">
        <f>IF($F$1,IF($L6="","",IFERROR(VLOOKUP($L6,day_data!$A:$I,2,FALSE),0)),NA())</f>
        <v>25</v>
      </c>
      <c r="N6" s="58" t="e">
        <f>IF($F$2,IF($L6="","",IFERROR(VLOOKUP($L6,day_data!$A:$I,3,FALSE),0)),NA())</f>
        <v>#N/A</v>
      </c>
      <c r="O6" s="11" t="e">
        <f>IF($F$3,IF($L6="","",IFERROR(VLOOKUP($L6,day_data!$A:$I,4,FALSE),0)),NA())</f>
        <v>#N/A</v>
      </c>
      <c r="P6" s="58" t="e">
        <f>IF($F$4,IF($L6="","",IFERROR(VLOOKUP($L6,day_data!$A:$I,5,FALSE),0)),NA())</f>
        <v>#N/A</v>
      </c>
      <c r="Q6" s="59" t="e">
        <f>IF($F$8,IF($L6="","",IFERROR(VLOOKUP($L6,day_data!$A:$I,6,FALSE),0)),NA())</f>
        <v>#N/A</v>
      </c>
      <c r="R6" s="11" t="e">
        <f>IF($F$6,IF($L6="","",IFERROR(VLOOKUP($L6,day_data!$A:$I,7,FALSE),0)),NA())</f>
        <v>#N/A</v>
      </c>
      <c r="S6" s="58">
        <f>IF($F$5,IF($L6="","",IFERROR(VLOOKUP($L6,day_data!$A:$I,8,FALSE),0)),NA())</f>
        <v>0.16</v>
      </c>
      <c r="T6" s="60" t="e">
        <f>IF($F$7,IF($L6="","",IFERROR(VLOOKUP($L6,day_data!$A:$I,9,FALSE),0)),NA())</f>
        <v>#N/A</v>
      </c>
    </row>
    <row r="7" spans="5:20">
      <c r="E7" s="11" t="s">
        <v>35</v>
      </c>
      <c r="F7" s="11" t="b">
        <v>0</v>
      </c>
      <c r="L7" s="57">
        <f t="shared" si="0"/>
        <v>43379</v>
      </c>
      <c r="M7" s="11">
        <f>IF($F$1,IF($L7="","",IFERROR(VLOOKUP($L7,day_data!$A:$I,2,FALSE),0)),NA())</f>
        <v>27</v>
      </c>
      <c r="N7" s="58" t="e">
        <f>IF($F$2,IF($L7="","",IFERROR(VLOOKUP($L7,day_data!$A:$I,3,FALSE),0)),NA())</f>
        <v>#N/A</v>
      </c>
      <c r="O7" s="11" t="e">
        <f>IF($F$3,IF($L7="","",IFERROR(VLOOKUP($L7,day_data!$A:$I,4,FALSE),0)),NA())</f>
        <v>#N/A</v>
      </c>
      <c r="P7" s="58" t="e">
        <f>IF($F$4,IF($L7="","",IFERROR(VLOOKUP($L7,day_data!$A:$I,5,FALSE),0)),NA())</f>
        <v>#N/A</v>
      </c>
      <c r="Q7" s="59" t="e">
        <f>IF($F$8,IF($L7="","",IFERROR(VLOOKUP($L7,day_data!$A:$I,6,FALSE),0)),NA())</f>
        <v>#N/A</v>
      </c>
      <c r="R7" s="11" t="e">
        <f>IF($F$6,IF($L7="","",IFERROR(VLOOKUP($L7,day_data!$A:$I,7,FALSE),0)),NA())</f>
        <v>#N/A</v>
      </c>
      <c r="S7" s="58">
        <f>IF($F$5,IF($L7="","",IFERROR(VLOOKUP($L7,day_data!$A:$I,8,FALSE),0)),NA())</f>
        <v>0</v>
      </c>
      <c r="T7" s="60" t="e">
        <f>IF($F$7,IF($L7="","",IFERROR(VLOOKUP($L7,day_data!$A:$I,9,FALSE),0)),NA())</f>
        <v>#N/A</v>
      </c>
    </row>
    <row r="8" spans="5:20">
      <c r="E8" s="11" t="s">
        <v>87</v>
      </c>
      <c r="F8" s="11" t="b">
        <v>0</v>
      </c>
      <c r="L8" s="57">
        <f t="shared" si="0"/>
        <v>43380</v>
      </c>
      <c r="M8" s="11">
        <f>IF($F$1,IF($L8="","",IFERROR(VLOOKUP($L8,day_data!$A:$I,2,FALSE),0)),NA())</f>
        <v>38</v>
      </c>
      <c r="N8" s="58" t="e">
        <f>IF($F$2,IF($L8="","",IFERROR(VLOOKUP($L8,day_data!$A:$I,3,FALSE),0)),NA())</f>
        <v>#N/A</v>
      </c>
      <c r="O8" s="11" t="e">
        <f>IF($F$3,IF($L8="","",IFERROR(VLOOKUP($L8,day_data!$A:$I,4,FALSE),0)),NA())</f>
        <v>#N/A</v>
      </c>
      <c r="P8" s="58" t="e">
        <f>IF($F$4,IF($L8="","",IFERROR(VLOOKUP($L8,day_data!$A:$I,5,FALSE),0)),NA())</f>
        <v>#N/A</v>
      </c>
      <c r="Q8" s="59" t="e">
        <f>IF($F$8,IF($L8="","",IFERROR(VLOOKUP($L8,day_data!$A:$I,6,FALSE),0)),NA())</f>
        <v>#N/A</v>
      </c>
      <c r="R8" s="11" t="e">
        <f>IF($F$6,IF($L8="","",IFERROR(VLOOKUP($L8,day_data!$A:$I,7,FALSE),0)),NA())</f>
        <v>#N/A</v>
      </c>
      <c r="S8" s="58">
        <f>IF($F$5,IF($L8="","",IFERROR(VLOOKUP($L8,day_data!$A:$I,8,FALSE),0)),NA())</f>
        <v>0.0263157894736842</v>
      </c>
      <c r="T8" s="60" t="e">
        <f>IF($F$7,IF($L8="","",IFERROR(VLOOKUP($L8,day_data!$A:$I,9,FALSE),0)),NA())</f>
        <v>#N/A</v>
      </c>
    </row>
    <row r="9" spans="12:20">
      <c r="L9" s="57">
        <f t="shared" si="0"/>
        <v>43381</v>
      </c>
      <c r="M9" s="11">
        <f>IF($F$1,IF($L9="","",IFERROR(VLOOKUP($L9,day_data!$A:$I,2,FALSE),0)),NA())</f>
        <v>39</v>
      </c>
      <c r="N9" s="58" t="e">
        <f>IF($F$2,IF($L9="","",IFERROR(VLOOKUP($L9,day_data!$A:$I,3,FALSE),0)),NA())</f>
        <v>#N/A</v>
      </c>
      <c r="O9" s="11" t="e">
        <f>IF($F$3,IF($L9="","",IFERROR(VLOOKUP($L9,day_data!$A:$I,4,FALSE),0)),NA())</f>
        <v>#N/A</v>
      </c>
      <c r="P9" s="58" t="e">
        <f>IF($F$4,IF($L9="","",IFERROR(VLOOKUP($L9,day_data!$A:$I,5,FALSE),0)),NA())</f>
        <v>#N/A</v>
      </c>
      <c r="Q9" s="59" t="e">
        <f>IF($F$8,IF($L9="","",IFERROR(VLOOKUP($L9,day_data!$A:$I,6,FALSE),0)),NA())</f>
        <v>#N/A</v>
      </c>
      <c r="R9" s="11" t="e">
        <f>IF($F$6,IF($L9="","",IFERROR(VLOOKUP($L9,day_data!$A:$I,7,FALSE),0)),NA())</f>
        <v>#N/A</v>
      </c>
      <c r="S9" s="58">
        <f>IF($F$5,IF($L9="","",IFERROR(VLOOKUP($L9,day_data!$A:$I,8,FALSE),0)),NA())</f>
        <v>0.17948717948718</v>
      </c>
      <c r="T9" s="60" t="e">
        <f>IF($F$7,IF($L9="","",IFERROR(VLOOKUP($L9,day_data!$A:$I,9,FALSE),0)),NA())</f>
        <v>#N/A</v>
      </c>
    </row>
    <row r="10" spans="12:20">
      <c r="L10" s="57">
        <f t="shared" si="0"/>
        <v>43382</v>
      </c>
      <c r="M10" s="11">
        <f>IF($F$1,IF($L10="","",IFERROR(VLOOKUP($L10,day_data!$A:$I,2,FALSE),0)),NA())</f>
        <v>35</v>
      </c>
      <c r="N10" s="58" t="e">
        <f>IF($F$2,IF($L10="","",IFERROR(VLOOKUP($L10,day_data!$A:$I,3,FALSE),0)),NA())</f>
        <v>#N/A</v>
      </c>
      <c r="O10" s="11" t="e">
        <f>IF($F$3,IF($L10="","",IFERROR(VLOOKUP($L10,day_data!$A:$I,4,FALSE),0)),NA())</f>
        <v>#N/A</v>
      </c>
      <c r="P10" s="58" t="e">
        <f>IF($F$4,IF($L10="","",IFERROR(VLOOKUP($L10,day_data!$A:$I,5,FALSE),0)),NA())</f>
        <v>#N/A</v>
      </c>
      <c r="Q10" s="59" t="e">
        <f>IF($F$8,IF($L10="","",IFERROR(VLOOKUP($L10,day_data!$A:$I,6,FALSE),0)),NA())</f>
        <v>#N/A</v>
      </c>
      <c r="R10" s="11" t="e">
        <f>IF($F$6,IF($L10="","",IFERROR(VLOOKUP($L10,day_data!$A:$I,7,FALSE),0)),NA())</f>
        <v>#N/A</v>
      </c>
      <c r="S10" s="58">
        <f>IF($F$5,IF($L10="","",IFERROR(VLOOKUP($L10,day_data!$A:$I,8,FALSE),0)),NA())</f>
        <v>0</v>
      </c>
      <c r="T10" s="60" t="e">
        <f>IF($F$7,IF($L10="","",IFERROR(VLOOKUP($L10,day_data!$A:$I,9,FALSE),0)),NA())</f>
        <v>#N/A</v>
      </c>
    </row>
    <row r="11" spans="12:20">
      <c r="L11" s="57">
        <f t="shared" si="0"/>
        <v>43383</v>
      </c>
      <c r="M11" s="11">
        <f>IF($F$1,IF($L11="","",IFERROR(VLOOKUP($L11,day_data!$A:$I,2,FALSE),0)),NA())</f>
        <v>34</v>
      </c>
      <c r="N11" s="58" t="e">
        <f>IF($F$2,IF($L11="","",IFERROR(VLOOKUP($L11,day_data!$A:$I,3,FALSE),0)),NA())</f>
        <v>#N/A</v>
      </c>
      <c r="O11" s="11" t="e">
        <f>IF($F$3,IF($L11="","",IFERROR(VLOOKUP($L11,day_data!$A:$I,4,FALSE),0)),NA())</f>
        <v>#N/A</v>
      </c>
      <c r="P11" s="58" t="e">
        <f>IF($F$4,IF($L11="","",IFERROR(VLOOKUP($L11,day_data!$A:$I,5,FALSE),0)),NA())</f>
        <v>#N/A</v>
      </c>
      <c r="Q11" s="59" t="e">
        <f>IF($F$8,IF($L11="","",IFERROR(VLOOKUP($L11,day_data!$A:$I,6,FALSE),0)),NA())</f>
        <v>#N/A</v>
      </c>
      <c r="R11" s="11" t="e">
        <f>IF($F$6,IF($L11="","",IFERROR(VLOOKUP($L11,day_data!$A:$I,7,FALSE),0)),NA())</f>
        <v>#N/A</v>
      </c>
      <c r="S11" s="58">
        <f>IF($F$5,IF($L11="","",IFERROR(VLOOKUP($L11,day_data!$A:$I,8,FALSE),0)),NA())</f>
        <v>0.0882352941176471</v>
      </c>
      <c r="T11" s="60" t="e">
        <f>IF($F$7,IF($L11="","",IFERROR(VLOOKUP($L11,day_data!$A:$I,9,FALSE),0)),NA())</f>
        <v>#N/A</v>
      </c>
    </row>
    <row r="12" spans="12:20">
      <c r="L12" s="57">
        <f t="shared" si="0"/>
        <v>43384</v>
      </c>
      <c r="M12" s="11">
        <f>IF($F$1,IF($L12="","",IFERROR(VLOOKUP($L12,day_data!$A:$I,2,FALSE),0)),NA())</f>
        <v>33</v>
      </c>
      <c r="N12" s="58" t="e">
        <f>IF($F$2,IF($L12="","",IFERROR(VLOOKUP($L12,day_data!$A:$I,3,FALSE),0)),NA())</f>
        <v>#N/A</v>
      </c>
      <c r="O12" s="11" t="e">
        <f>IF($F$3,IF($L12="","",IFERROR(VLOOKUP($L12,day_data!$A:$I,4,FALSE),0)),NA())</f>
        <v>#N/A</v>
      </c>
      <c r="P12" s="58" t="e">
        <f>IF($F$4,IF($L12="","",IFERROR(VLOOKUP($L12,day_data!$A:$I,5,FALSE),0)),NA())</f>
        <v>#N/A</v>
      </c>
      <c r="Q12" s="59" t="e">
        <f>IF($F$8,IF($L12="","",IFERROR(VLOOKUP($L12,day_data!$A:$I,6,FALSE),0)),NA())</f>
        <v>#N/A</v>
      </c>
      <c r="R12" s="11" t="e">
        <f>IF($F$6,IF($L12="","",IFERROR(VLOOKUP($L12,day_data!$A:$I,7,FALSE),0)),NA())</f>
        <v>#N/A</v>
      </c>
      <c r="S12" s="58">
        <f>IF($F$5,IF($L12="","",IFERROR(VLOOKUP($L12,day_data!$A:$I,8,FALSE),0)),NA())</f>
        <v>0.0606060606060606</v>
      </c>
      <c r="T12" s="60" t="e">
        <f>IF($F$7,IF($L12="","",IFERROR(VLOOKUP($L12,day_data!$A:$I,9,FALSE),0)),NA())</f>
        <v>#N/A</v>
      </c>
    </row>
    <row r="13" spans="12:20">
      <c r="L13" s="57">
        <f t="shared" si="0"/>
        <v>43385</v>
      </c>
      <c r="M13" s="11">
        <f>IF($F$1,IF($L13="","",IFERROR(VLOOKUP($L13,day_data!$A:$I,2,FALSE),0)),NA())</f>
        <v>29</v>
      </c>
      <c r="N13" s="58" t="e">
        <f>IF($F$2,IF($L13="","",IFERROR(VLOOKUP($L13,day_data!$A:$I,3,FALSE),0)),NA())</f>
        <v>#N/A</v>
      </c>
      <c r="O13" s="11" t="e">
        <f>IF($F$3,IF($L13="","",IFERROR(VLOOKUP($L13,day_data!$A:$I,4,FALSE),0)),NA())</f>
        <v>#N/A</v>
      </c>
      <c r="P13" s="58" t="e">
        <f>IF($F$4,IF($L13="","",IFERROR(VLOOKUP($L13,day_data!$A:$I,5,FALSE),0)),NA())</f>
        <v>#N/A</v>
      </c>
      <c r="Q13" s="59" t="e">
        <f>IF($F$8,IF($L13="","",IFERROR(VLOOKUP($L13,day_data!$A:$I,6,FALSE),0)),NA())</f>
        <v>#N/A</v>
      </c>
      <c r="R13" s="11" t="e">
        <f>IF($F$6,IF($L13="","",IFERROR(VLOOKUP($L13,day_data!$A:$I,7,FALSE),0)),NA())</f>
        <v>#N/A</v>
      </c>
      <c r="S13" s="58">
        <f>IF($F$5,IF($L13="","",IFERROR(VLOOKUP($L13,day_data!$A:$I,8,FALSE),0)),NA())</f>
        <v>0.172413793103448</v>
      </c>
      <c r="T13" s="60" t="e">
        <f>IF($F$7,IF($L13="","",IFERROR(VLOOKUP($L13,day_data!$A:$I,9,FALSE),0)),NA())</f>
        <v>#N/A</v>
      </c>
    </row>
    <row r="14" spans="12:20">
      <c r="L14" s="57">
        <f t="shared" si="0"/>
        <v>43386</v>
      </c>
      <c r="M14" s="11">
        <f>IF($F$1,IF($L14="","",IFERROR(VLOOKUP($L14,day_data!$A:$I,2,FALSE),0)),NA())</f>
        <v>27</v>
      </c>
      <c r="N14" s="58" t="e">
        <f>IF($F$2,IF($L14="","",IFERROR(VLOOKUP($L14,day_data!$A:$I,3,FALSE),0)),NA())</f>
        <v>#N/A</v>
      </c>
      <c r="O14" s="11" t="e">
        <f>IF($F$3,IF($L14="","",IFERROR(VLOOKUP($L14,day_data!$A:$I,4,FALSE),0)),NA())</f>
        <v>#N/A</v>
      </c>
      <c r="P14" s="58" t="e">
        <f>IF($F$4,IF($L14="","",IFERROR(VLOOKUP($L14,day_data!$A:$I,5,FALSE),0)),NA())</f>
        <v>#N/A</v>
      </c>
      <c r="Q14" s="59" t="e">
        <f>IF($F$8,IF($L14="","",IFERROR(VLOOKUP($L14,day_data!$A:$I,6,FALSE),0)),NA())</f>
        <v>#N/A</v>
      </c>
      <c r="R14" s="11" t="e">
        <f>IF($F$6,IF($L14="","",IFERROR(VLOOKUP($L14,day_data!$A:$I,7,FALSE),0)),NA())</f>
        <v>#N/A</v>
      </c>
      <c r="S14" s="58">
        <f>IF($F$5,IF($L14="","",IFERROR(VLOOKUP($L14,day_data!$A:$I,8,FALSE),0)),NA())</f>
        <v>0.037037037037037</v>
      </c>
      <c r="T14" s="60" t="e">
        <f>IF($F$7,IF($L14="","",IFERROR(VLOOKUP($L14,day_data!$A:$I,9,FALSE),0)),NA())</f>
        <v>#N/A</v>
      </c>
    </row>
    <row r="15" spans="12:20">
      <c r="L15" s="57">
        <f t="shared" si="0"/>
        <v>43387</v>
      </c>
      <c r="M15" s="11">
        <f>IF($F$1,IF($L15="","",IFERROR(VLOOKUP($L15,day_data!$A:$I,2,FALSE),0)),NA())</f>
        <v>30</v>
      </c>
      <c r="N15" s="58" t="e">
        <f>IF($F$2,IF($L15="","",IFERROR(VLOOKUP($L15,day_data!$A:$I,3,FALSE),0)),NA())</f>
        <v>#N/A</v>
      </c>
      <c r="O15" s="11" t="e">
        <f>IF($F$3,IF($L15="","",IFERROR(VLOOKUP($L15,day_data!$A:$I,4,FALSE),0)),NA())</f>
        <v>#N/A</v>
      </c>
      <c r="P15" s="58" t="e">
        <f>IF($F$4,IF($L15="","",IFERROR(VLOOKUP($L15,day_data!$A:$I,5,FALSE),0)),NA())</f>
        <v>#N/A</v>
      </c>
      <c r="Q15" s="59" t="e">
        <f>IF($F$8,IF($L15="","",IFERROR(VLOOKUP($L15,day_data!$A:$I,6,FALSE),0)),NA())</f>
        <v>#N/A</v>
      </c>
      <c r="R15" s="11" t="e">
        <f>IF($F$6,IF($L15="","",IFERROR(VLOOKUP($L15,day_data!$A:$I,7,FALSE),0)),NA())</f>
        <v>#N/A</v>
      </c>
      <c r="S15" s="58">
        <f>IF($F$5,IF($L15="","",IFERROR(VLOOKUP($L15,day_data!$A:$I,8,FALSE),0)),NA())</f>
        <v>0.133333333333333</v>
      </c>
      <c r="T15" s="60" t="e">
        <f>IF($F$7,IF($L15="","",IFERROR(VLOOKUP($L15,day_data!$A:$I,9,FALSE),0)),NA())</f>
        <v>#N/A</v>
      </c>
    </row>
    <row r="16" spans="12:20">
      <c r="L16" s="57">
        <f t="shared" si="0"/>
        <v>43388</v>
      </c>
      <c r="M16" s="11">
        <f>IF($F$1,IF($L16="","",IFERROR(VLOOKUP($L16,day_data!$A:$I,2,FALSE),0)),NA())</f>
        <v>31</v>
      </c>
      <c r="N16" s="58" t="e">
        <f>IF($F$2,IF($L16="","",IFERROR(VLOOKUP($L16,day_data!$A:$I,3,FALSE),0)),NA())</f>
        <v>#N/A</v>
      </c>
      <c r="O16" s="11" t="e">
        <f>IF($F$3,IF($L16="","",IFERROR(VLOOKUP($L16,day_data!$A:$I,4,FALSE),0)),NA())</f>
        <v>#N/A</v>
      </c>
      <c r="P16" s="58" t="e">
        <f>IF($F$4,IF($L16="","",IFERROR(VLOOKUP($L16,day_data!$A:$I,5,FALSE),0)),NA())</f>
        <v>#N/A</v>
      </c>
      <c r="Q16" s="59" t="e">
        <f>IF($F$8,IF($L16="","",IFERROR(VLOOKUP($L16,day_data!$A:$I,6,FALSE),0)),NA())</f>
        <v>#N/A</v>
      </c>
      <c r="R16" s="11" t="e">
        <f>IF($F$6,IF($L16="","",IFERROR(VLOOKUP($L16,day_data!$A:$I,7,FALSE),0)),NA())</f>
        <v>#N/A</v>
      </c>
      <c r="S16" s="58">
        <f>IF($F$5,IF($L16="","",IFERROR(VLOOKUP($L16,day_data!$A:$I,8,FALSE),0)),NA())</f>
        <v>0.129032258064516</v>
      </c>
      <c r="T16" s="60" t="e">
        <f>IF($F$7,IF($L16="","",IFERROR(VLOOKUP($L16,day_data!$A:$I,9,FALSE),0)),NA())</f>
        <v>#N/A</v>
      </c>
    </row>
    <row r="17" spans="12:20">
      <c r="L17" s="57">
        <f t="shared" si="0"/>
        <v>43389</v>
      </c>
      <c r="M17" s="11">
        <f>IF($F$1,IF($L17="","",IFERROR(VLOOKUP($L17,day_data!$A:$I,2,FALSE),0)),NA())</f>
        <v>35</v>
      </c>
      <c r="N17" s="58" t="e">
        <f>IF($F$2,IF($L17="","",IFERROR(VLOOKUP($L17,day_data!$A:$I,3,FALSE),0)),NA())</f>
        <v>#N/A</v>
      </c>
      <c r="O17" s="11" t="e">
        <f>IF($F$3,IF($L17="","",IFERROR(VLOOKUP($L17,day_data!$A:$I,4,FALSE),0)),NA())</f>
        <v>#N/A</v>
      </c>
      <c r="P17" s="58" t="e">
        <f>IF($F$4,IF($L17="","",IFERROR(VLOOKUP($L17,day_data!$A:$I,5,FALSE),0)),NA())</f>
        <v>#N/A</v>
      </c>
      <c r="Q17" s="59" t="e">
        <f>IF($F$8,IF($L17="","",IFERROR(VLOOKUP($L17,day_data!$A:$I,6,FALSE),0)),NA())</f>
        <v>#N/A</v>
      </c>
      <c r="R17" s="11" t="e">
        <f>IF($F$6,IF($L17="","",IFERROR(VLOOKUP($L17,day_data!$A:$I,7,FALSE),0)),NA())</f>
        <v>#N/A</v>
      </c>
      <c r="S17" s="58">
        <f>IF($F$5,IF($L17="","",IFERROR(VLOOKUP($L17,day_data!$A:$I,8,FALSE),0)),NA())</f>
        <v>0.0285714285714286</v>
      </c>
      <c r="T17" s="60" t="e">
        <f>IF($F$7,IF($L17="","",IFERROR(VLOOKUP($L17,day_data!$A:$I,9,FALSE),0)),NA())</f>
        <v>#N/A</v>
      </c>
    </row>
    <row r="18" spans="12:20">
      <c r="L18" s="57">
        <f t="shared" si="0"/>
        <v>43390</v>
      </c>
      <c r="M18" s="11">
        <f>IF($F$1,IF($L18="","",IFERROR(VLOOKUP($L18,day_data!$A:$I,2,FALSE),0)),NA())</f>
        <v>35</v>
      </c>
      <c r="N18" s="58" t="e">
        <f>IF($F$2,IF($L18="","",IFERROR(VLOOKUP($L18,day_data!$A:$I,3,FALSE),0)),NA())</f>
        <v>#N/A</v>
      </c>
      <c r="O18" s="11" t="e">
        <f>IF($F$3,IF($L18="","",IFERROR(VLOOKUP($L18,day_data!$A:$I,4,FALSE),0)),NA())</f>
        <v>#N/A</v>
      </c>
      <c r="P18" s="58" t="e">
        <f>IF($F$4,IF($L18="","",IFERROR(VLOOKUP($L18,day_data!$A:$I,5,FALSE),0)),NA())</f>
        <v>#N/A</v>
      </c>
      <c r="Q18" s="59" t="e">
        <f>IF($F$8,IF($L18="","",IFERROR(VLOOKUP($L18,day_data!$A:$I,6,FALSE),0)),NA())</f>
        <v>#N/A</v>
      </c>
      <c r="R18" s="11" t="e">
        <f>IF($F$6,IF($L18="","",IFERROR(VLOOKUP($L18,day_data!$A:$I,7,FALSE),0)),NA())</f>
        <v>#N/A</v>
      </c>
      <c r="S18" s="58">
        <f>IF($F$5,IF($L18="","",IFERROR(VLOOKUP($L18,day_data!$A:$I,8,FALSE),0)),NA())</f>
        <v>0.0857142857142857</v>
      </c>
      <c r="T18" s="60" t="e">
        <f>IF($F$7,IF($L18="","",IFERROR(VLOOKUP($L18,day_data!$A:$I,9,FALSE),0)),NA())</f>
        <v>#N/A</v>
      </c>
    </row>
    <row r="19" spans="12:20">
      <c r="L19" s="57">
        <f t="shared" si="0"/>
        <v>43391</v>
      </c>
      <c r="M19" s="11">
        <f>IF($F$1,IF($L19="","",IFERROR(VLOOKUP($L19,day_data!$A:$I,2,FALSE),0)),NA())</f>
        <v>27</v>
      </c>
      <c r="N19" s="58" t="e">
        <f>IF($F$2,IF($L19="","",IFERROR(VLOOKUP($L19,day_data!$A:$I,3,FALSE),0)),NA())</f>
        <v>#N/A</v>
      </c>
      <c r="O19" s="11" t="e">
        <f>IF($F$3,IF($L19="","",IFERROR(VLOOKUP($L19,day_data!$A:$I,4,FALSE),0)),NA())</f>
        <v>#N/A</v>
      </c>
      <c r="P19" s="58" t="e">
        <f>IF($F$4,IF($L19="","",IFERROR(VLOOKUP($L19,day_data!$A:$I,5,FALSE),0)),NA())</f>
        <v>#N/A</v>
      </c>
      <c r="Q19" s="59" t="e">
        <f>IF($F$8,IF($L19="","",IFERROR(VLOOKUP($L19,day_data!$A:$I,6,FALSE),0)),NA())</f>
        <v>#N/A</v>
      </c>
      <c r="R19" s="11" t="e">
        <f>IF($F$6,IF($L19="","",IFERROR(VLOOKUP($L19,day_data!$A:$I,7,FALSE),0)),NA())</f>
        <v>#N/A</v>
      </c>
      <c r="S19" s="58">
        <f>IF($F$5,IF($L19="","",IFERROR(VLOOKUP($L19,day_data!$A:$I,8,FALSE),0)),NA())</f>
        <v>0.0740740740740741</v>
      </c>
      <c r="T19" s="60" t="e">
        <f>IF($F$7,IF($L19="","",IFERROR(VLOOKUP($L19,day_data!$A:$I,9,FALSE),0)),NA())</f>
        <v>#N/A</v>
      </c>
    </row>
    <row r="20" spans="12:20">
      <c r="L20" s="57">
        <f t="shared" si="0"/>
        <v>43392</v>
      </c>
      <c r="M20" s="11">
        <f>IF($F$1,IF($L20="","",IFERROR(VLOOKUP($L20,day_data!$A:$I,2,FALSE),0)),NA())</f>
        <v>34</v>
      </c>
      <c r="N20" s="58" t="e">
        <f>IF($F$2,IF($L20="","",IFERROR(VLOOKUP($L20,day_data!$A:$I,3,FALSE),0)),NA())</f>
        <v>#N/A</v>
      </c>
      <c r="O20" s="11" t="e">
        <f>IF($F$3,IF($L20="","",IFERROR(VLOOKUP($L20,day_data!$A:$I,4,FALSE),0)),NA())</f>
        <v>#N/A</v>
      </c>
      <c r="P20" s="58" t="e">
        <f>IF($F$4,IF($L20="","",IFERROR(VLOOKUP($L20,day_data!$A:$I,5,FALSE),0)),NA())</f>
        <v>#N/A</v>
      </c>
      <c r="Q20" s="59" t="e">
        <f>IF($F$8,IF($L20="","",IFERROR(VLOOKUP($L20,day_data!$A:$I,6,FALSE),0)),NA())</f>
        <v>#N/A</v>
      </c>
      <c r="R20" s="11" t="e">
        <f>IF($F$6,IF($L20="","",IFERROR(VLOOKUP($L20,day_data!$A:$I,7,FALSE),0)),NA())</f>
        <v>#N/A</v>
      </c>
      <c r="S20" s="58">
        <f>IF($F$5,IF($L20="","",IFERROR(VLOOKUP($L20,day_data!$A:$I,8,FALSE),0)),NA())</f>
        <v>0.0588235294117647</v>
      </c>
      <c r="T20" s="60" t="e">
        <f>IF($F$7,IF($L20="","",IFERROR(VLOOKUP($L20,day_data!$A:$I,9,FALSE),0)),NA())</f>
        <v>#N/A</v>
      </c>
    </row>
    <row r="21" spans="12:20">
      <c r="L21" s="57">
        <f t="shared" si="0"/>
        <v>43393</v>
      </c>
      <c r="M21" s="11">
        <f>IF($F$1,IF($L21="","",IFERROR(VLOOKUP($L21,day_data!$A:$I,2,FALSE),0)),NA())</f>
        <v>21</v>
      </c>
      <c r="N21" s="58" t="e">
        <f>IF($F$2,IF($L21="","",IFERROR(VLOOKUP($L21,day_data!$A:$I,3,FALSE),0)),NA())</f>
        <v>#N/A</v>
      </c>
      <c r="O21" s="11" t="e">
        <f>IF($F$3,IF($L21="","",IFERROR(VLOOKUP($L21,day_data!$A:$I,4,FALSE),0)),NA())</f>
        <v>#N/A</v>
      </c>
      <c r="P21" s="58" t="e">
        <f>IF($F$4,IF($L21="","",IFERROR(VLOOKUP($L21,day_data!$A:$I,5,FALSE),0)),NA())</f>
        <v>#N/A</v>
      </c>
      <c r="Q21" s="59" t="e">
        <f>IF($F$8,IF($L21="","",IFERROR(VLOOKUP($L21,day_data!$A:$I,6,FALSE),0)),NA())</f>
        <v>#N/A</v>
      </c>
      <c r="R21" s="11" t="e">
        <f>IF($F$6,IF($L21="","",IFERROR(VLOOKUP($L21,day_data!$A:$I,7,FALSE),0)),NA())</f>
        <v>#N/A</v>
      </c>
      <c r="S21" s="58">
        <f>IF($F$5,IF($L21="","",IFERROR(VLOOKUP($L21,day_data!$A:$I,8,FALSE),0)),NA())</f>
        <v>0.0476190476190476</v>
      </c>
      <c r="T21" s="60" t="e">
        <f>IF($F$7,IF($L21="","",IFERROR(VLOOKUP($L21,day_data!$A:$I,9,FALSE),0)),NA())</f>
        <v>#N/A</v>
      </c>
    </row>
    <row r="22" spans="12:20">
      <c r="L22" s="57">
        <f t="shared" si="0"/>
        <v>43394</v>
      </c>
      <c r="M22" s="11">
        <f>IF($F$1,IF($L22="","",IFERROR(VLOOKUP($L22,day_data!$A:$I,2,FALSE),0)),NA())</f>
        <v>29</v>
      </c>
      <c r="N22" s="58" t="e">
        <f>IF($F$2,IF($L22="","",IFERROR(VLOOKUP($L22,day_data!$A:$I,3,FALSE),0)),NA())</f>
        <v>#N/A</v>
      </c>
      <c r="O22" s="11" t="e">
        <f>IF($F$3,IF($L22="","",IFERROR(VLOOKUP($L22,day_data!$A:$I,4,FALSE),0)),NA())</f>
        <v>#N/A</v>
      </c>
      <c r="P22" s="58" t="e">
        <f>IF($F$4,IF($L22="","",IFERROR(VLOOKUP($L22,day_data!$A:$I,5,FALSE),0)),NA())</f>
        <v>#N/A</v>
      </c>
      <c r="Q22" s="59" t="e">
        <f>IF($F$8,IF($L22="","",IFERROR(VLOOKUP($L22,day_data!$A:$I,6,FALSE),0)),NA())</f>
        <v>#N/A</v>
      </c>
      <c r="R22" s="11" t="e">
        <f>IF($F$6,IF($L22="","",IFERROR(VLOOKUP($L22,day_data!$A:$I,7,FALSE),0)),NA())</f>
        <v>#N/A</v>
      </c>
      <c r="S22" s="58">
        <f>IF($F$5,IF($L22="","",IFERROR(VLOOKUP($L22,day_data!$A:$I,8,FALSE),0)),NA())</f>
        <v>0.137931034482759</v>
      </c>
      <c r="T22" s="60" t="e">
        <f>IF($F$7,IF($L22="","",IFERROR(VLOOKUP($L22,day_data!$A:$I,9,FALSE),0)),NA())</f>
        <v>#N/A</v>
      </c>
    </row>
    <row r="23" spans="12:20">
      <c r="L23" s="57">
        <f t="shared" si="0"/>
        <v>43395</v>
      </c>
      <c r="M23" s="11">
        <f>IF($F$1,IF($L23="","",IFERROR(VLOOKUP($L23,day_data!$A:$I,2,FALSE),0)),NA())</f>
        <v>22</v>
      </c>
      <c r="N23" s="58" t="e">
        <f>IF($F$2,IF($L23="","",IFERROR(VLOOKUP($L23,day_data!$A:$I,3,FALSE),0)),NA())</f>
        <v>#N/A</v>
      </c>
      <c r="O23" s="11" t="e">
        <f>IF($F$3,IF($L23="","",IFERROR(VLOOKUP($L23,day_data!$A:$I,4,FALSE),0)),NA())</f>
        <v>#N/A</v>
      </c>
      <c r="P23" s="58" t="e">
        <f>IF($F$4,IF($L23="","",IFERROR(VLOOKUP($L23,day_data!$A:$I,5,FALSE),0)),NA())</f>
        <v>#N/A</v>
      </c>
      <c r="Q23" s="59" t="e">
        <f>IF($F$8,IF($L23="","",IFERROR(VLOOKUP($L23,day_data!$A:$I,6,FALSE),0)),NA())</f>
        <v>#N/A</v>
      </c>
      <c r="R23" s="11" t="e">
        <f>IF($F$6,IF($L23="","",IFERROR(VLOOKUP($L23,day_data!$A:$I,7,FALSE),0)),NA())</f>
        <v>#N/A</v>
      </c>
      <c r="S23" s="58">
        <f>IF($F$5,IF($L23="","",IFERROR(VLOOKUP($L23,day_data!$A:$I,8,FALSE),0)),NA())</f>
        <v>0.136363636363636</v>
      </c>
      <c r="T23" s="60" t="e">
        <f>IF($F$7,IF($L23="","",IFERROR(VLOOKUP($L23,day_data!$A:$I,9,FALSE),0)),NA())</f>
        <v>#N/A</v>
      </c>
    </row>
    <row r="24" spans="12:20">
      <c r="L24" s="57">
        <f t="shared" si="0"/>
        <v>43396</v>
      </c>
      <c r="M24" s="11">
        <f>IF($F$1,IF($L24="","",IFERROR(VLOOKUP($L24,day_data!$A:$I,2,FALSE),0)),NA())</f>
        <v>26</v>
      </c>
      <c r="N24" s="58" t="e">
        <f>IF($F$2,IF($L24="","",IFERROR(VLOOKUP($L24,day_data!$A:$I,3,FALSE),0)),NA())</f>
        <v>#N/A</v>
      </c>
      <c r="O24" s="11" t="e">
        <f>IF($F$3,IF($L24="","",IFERROR(VLOOKUP($L24,day_data!$A:$I,4,FALSE),0)),NA())</f>
        <v>#N/A</v>
      </c>
      <c r="P24" s="58" t="e">
        <f>IF($F$4,IF($L24="","",IFERROR(VLOOKUP($L24,day_data!$A:$I,5,FALSE),0)),NA())</f>
        <v>#N/A</v>
      </c>
      <c r="Q24" s="59" t="e">
        <f>IF($F$8,IF($L24="","",IFERROR(VLOOKUP($L24,day_data!$A:$I,6,FALSE),0)),NA())</f>
        <v>#N/A</v>
      </c>
      <c r="R24" s="11" t="e">
        <f>IF($F$6,IF($L24="","",IFERROR(VLOOKUP($L24,day_data!$A:$I,7,FALSE),0)),NA())</f>
        <v>#N/A</v>
      </c>
      <c r="S24" s="58">
        <f>IF($F$5,IF($L24="","",IFERROR(VLOOKUP($L24,day_data!$A:$I,8,FALSE),0)),NA())</f>
        <v>0.0384615384615385</v>
      </c>
      <c r="T24" s="60" t="e">
        <f>IF($F$7,IF($L24="","",IFERROR(VLOOKUP($L24,day_data!$A:$I,9,FALSE),0)),NA())</f>
        <v>#N/A</v>
      </c>
    </row>
    <row r="25" spans="12:20">
      <c r="L25" s="57">
        <f t="shared" si="0"/>
        <v>43397</v>
      </c>
      <c r="M25" s="11">
        <f>IF($F$1,IF($L25="","",IFERROR(VLOOKUP($L25,day_data!$A:$I,2,FALSE),0)),NA())</f>
        <v>29</v>
      </c>
      <c r="N25" s="58" t="e">
        <f>IF($F$2,IF($L25="","",IFERROR(VLOOKUP($L25,day_data!$A:$I,3,FALSE),0)),NA())</f>
        <v>#N/A</v>
      </c>
      <c r="O25" s="11" t="e">
        <f>IF($F$3,IF($L25="","",IFERROR(VLOOKUP($L25,day_data!$A:$I,4,FALSE),0)),NA())</f>
        <v>#N/A</v>
      </c>
      <c r="P25" s="58" t="e">
        <f>IF($F$4,IF($L25="","",IFERROR(VLOOKUP($L25,day_data!$A:$I,5,FALSE),0)),NA())</f>
        <v>#N/A</v>
      </c>
      <c r="Q25" s="59" t="e">
        <f>IF($F$8,IF($L25="","",IFERROR(VLOOKUP($L25,day_data!$A:$I,6,FALSE),0)),NA())</f>
        <v>#N/A</v>
      </c>
      <c r="R25" s="11" t="e">
        <f>IF($F$6,IF($L25="","",IFERROR(VLOOKUP($L25,day_data!$A:$I,7,FALSE),0)),NA())</f>
        <v>#N/A</v>
      </c>
      <c r="S25" s="58">
        <f>IF($F$5,IF($L25="","",IFERROR(VLOOKUP($L25,day_data!$A:$I,8,FALSE),0)),NA())</f>
        <v>0.0344827586206897</v>
      </c>
      <c r="T25" s="60" t="e">
        <f>IF($F$7,IF($L25="","",IFERROR(VLOOKUP($L25,day_data!$A:$I,9,FALSE),0)),NA())</f>
        <v>#N/A</v>
      </c>
    </row>
    <row r="26" spans="12:20">
      <c r="L26" s="57">
        <f t="shared" si="0"/>
        <v>43398</v>
      </c>
      <c r="M26" s="11">
        <f>IF($F$1,IF($L26="","",IFERROR(VLOOKUP($L26,day_data!$A:$I,2,FALSE),0)),NA())</f>
        <v>26</v>
      </c>
      <c r="N26" s="58" t="e">
        <f>IF($F$2,IF($L26="","",IFERROR(VLOOKUP($L26,day_data!$A:$I,3,FALSE),0)),NA())</f>
        <v>#N/A</v>
      </c>
      <c r="O26" s="11" t="e">
        <f>IF($F$3,IF($L26="","",IFERROR(VLOOKUP($L26,day_data!$A:$I,4,FALSE),0)),NA())</f>
        <v>#N/A</v>
      </c>
      <c r="P26" s="58" t="e">
        <f>IF($F$4,IF($L26="","",IFERROR(VLOOKUP($L26,day_data!$A:$I,5,FALSE),0)),NA())</f>
        <v>#N/A</v>
      </c>
      <c r="Q26" s="59" t="e">
        <f>IF($F$8,IF($L26="","",IFERROR(VLOOKUP($L26,day_data!$A:$I,6,FALSE),0)),NA())</f>
        <v>#N/A</v>
      </c>
      <c r="R26" s="11" t="e">
        <f>IF($F$6,IF($L26="","",IFERROR(VLOOKUP($L26,day_data!$A:$I,7,FALSE),0)),NA())</f>
        <v>#N/A</v>
      </c>
      <c r="S26" s="58">
        <f>IF($F$5,IF($L26="","",IFERROR(VLOOKUP($L26,day_data!$A:$I,8,FALSE),0)),NA())</f>
        <v>0.0384615384615385</v>
      </c>
      <c r="T26" s="60" t="e">
        <f>IF($F$7,IF($L26="","",IFERROR(VLOOKUP($L26,day_data!$A:$I,9,FALSE),0)),NA())</f>
        <v>#N/A</v>
      </c>
    </row>
    <row r="27" spans="12:20">
      <c r="L27" s="57">
        <f t="shared" si="0"/>
        <v>43399</v>
      </c>
      <c r="M27" s="11">
        <f>IF($F$1,IF($L27="","",IFERROR(VLOOKUP($L27,day_data!$A:$I,2,FALSE),0)),NA())</f>
        <v>27</v>
      </c>
      <c r="N27" s="58" t="e">
        <f>IF($F$2,IF($L27="","",IFERROR(VLOOKUP($L27,day_data!$A:$I,3,FALSE),0)),NA())</f>
        <v>#N/A</v>
      </c>
      <c r="O27" s="11" t="e">
        <f>IF($F$3,IF($L27="","",IFERROR(VLOOKUP($L27,day_data!$A:$I,4,FALSE),0)),NA())</f>
        <v>#N/A</v>
      </c>
      <c r="P27" s="58" t="e">
        <f>IF($F$4,IF($L27="","",IFERROR(VLOOKUP($L27,day_data!$A:$I,5,FALSE),0)),NA())</f>
        <v>#N/A</v>
      </c>
      <c r="Q27" s="59" t="e">
        <f>IF($F$8,IF($L27="","",IFERROR(VLOOKUP($L27,day_data!$A:$I,6,FALSE),0)),NA())</f>
        <v>#N/A</v>
      </c>
      <c r="R27" s="11" t="e">
        <f>IF($F$6,IF($L27="","",IFERROR(VLOOKUP($L27,day_data!$A:$I,7,FALSE),0)),NA())</f>
        <v>#N/A</v>
      </c>
      <c r="S27" s="58">
        <f>IF($F$5,IF($L27="","",IFERROR(VLOOKUP($L27,day_data!$A:$I,8,FALSE),0)),NA())</f>
        <v>0.0740740740740741</v>
      </c>
      <c r="T27" s="60" t="e">
        <f>IF($F$7,IF($L27="","",IFERROR(VLOOKUP($L27,day_data!$A:$I,9,FALSE),0)),NA())</f>
        <v>#N/A</v>
      </c>
    </row>
    <row r="28" spans="12:20">
      <c r="L28" s="57">
        <f t="shared" si="0"/>
        <v>43400</v>
      </c>
      <c r="M28" s="11">
        <f>IF($F$1,IF($L28="","",IFERROR(VLOOKUP($L28,day_data!$A:$I,2,FALSE),0)),NA())</f>
        <v>21</v>
      </c>
      <c r="N28" s="58" t="e">
        <f>IF($F$2,IF($L28="","",IFERROR(VLOOKUP($L28,day_data!$A:$I,3,FALSE),0)),NA())</f>
        <v>#N/A</v>
      </c>
      <c r="O28" s="11" t="e">
        <f>IF($F$3,IF($L28="","",IFERROR(VLOOKUP($L28,day_data!$A:$I,4,FALSE),0)),NA())</f>
        <v>#N/A</v>
      </c>
      <c r="P28" s="58" t="e">
        <f>IF($F$4,IF($L28="","",IFERROR(VLOOKUP($L28,day_data!$A:$I,5,FALSE),0)),NA())</f>
        <v>#N/A</v>
      </c>
      <c r="Q28" s="59" t="e">
        <f>IF($F$8,IF($L28="","",IFERROR(VLOOKUP($L28,day_data!$A:$I,6,FALSE),0)),NA())</f>
        <v>#N/A</v>
      </c>
      <c r="R28" s="11" t="e">
        <f>IF($F$6,IF($L28="","",IFERROR(VLOOKUP($L28,day_data!$A:$I,7,FALSE),0)),NA())</f>
        <v>#N/A</v>
      </c>
      <c r="S28" s="58">
        <f>IF($F$5,IF($L28="","",IFERROR(VLOOKUP($L28,day_data!$A:$I,8,FALSE),0)),NA())</f>
        <v>0.238095238095238</v>
      </c>
      <c r="T28" s="60" t="e">
        <f>IF($F$7,IF($L28="","",IFERROR(VLOOKUP($L28,day_data!$A:$I,9,FALSE),0)),NA())</f>
        <v>#N/A</v>
      </c>
    </row>
    <row r="29" spans="12:20">
      <c r="L29" s="57">
        <f t="shared" si="0"/>
        <v>43401</v>
      </c>
      <c r="M29" s="11">
        <f>IF($F$1,IF($L29="","",IFERROR(VLOOKUP($L29,day_data!$A:$I,2,FALSE),0)),NA())</f>
        <v>21</v>
      </c>
      <c r="N29" s="58" t="e">
        <f>IF($F$2,IF($L29="","",IFERROR(VLOOKUP($L29,day_data!$A:$I,3,FALSE),0)),NA())</f>
        <v>#N/A</v>
      </c>
      <c r="O29" s="11" t="e">
        <f>IF($F$3,IF($L29="","",IFERROR(VLOOKUP($L29,day_data!$A:$I,4,FALSE),0)),NA())</f>
        <v>#N/A</v>
      </c>
      <c r="P29" s="58" t="e">
        <f>IF($F$4,IF($L29="","",IFERROR(VLOOKUP($L29,day_data!$A:$I,5,FALSE),0)),NA())</f>
        <v>#N/A</v>
      </c>
      <c r="Q29" s="59" t="e">
        <f>IF($F$8,IF($L29="","",IFERROR(VLOOKUP($L29,day_data!$A:$I,6,FALSE),0)),NA())</f>
        <v>#N/A</v>
      </c>
      <c r="R29" s="11" t="e">
        <f>IF($F$6,IF($L29="","",IFERROR(VLOOKUP($L29,day_data!$A:$I,7,FALSE),0)),NA())</f>
        <v>#N/A</v>
      </c>
      <c r="S29" s="58">
        <f>IF($F$5,IF($L29="","",IFERROR(VLOOKUP($L29,day_data!$A:$I,8,FALSE),0)),NA())</f>
        <v>0.0476190476190476</v>
      </c>
      <c r="T29" s="60" t="e">
        <f>IF($F$7,IF($L29="","",IFERROR(VLOOKUP($L29,day_data!$A:$I,9,FALSE),0)),NA())</f>
        <v>#N/A</v>
      </c>
    </row>
    <row r="30" spans="12:20">
      <c r="L30" s="57">
        <f t="shared" si="0"/>
        <v>43402</v>
      </c>
      <c r="M30" s="11">
        <f>IF($F$1,IF($L30="","",IFERROR(VLOOKUP($L30,day_data!$A:$I,2,FALSE),0)),NA())</f>
        <v>29</v>
      </c>
      <c r="N30" s="58" t="e">
        <f>IF($F$2,IF($L30="","",IFERROR(VLOOKUP($L30,day_data!$A:$I,3,FALSE),0)),NA())</f>
        <v>#N/A</v>
      </c>
      <c r="O30" s="11" t="e">
        <f>IF($F$3,IF($L30="","",IFERROR(VLOOKUP($L30,day_data!$A:$I,4,FALSE),0)),NA())</f>
        <v>#N/A</v>
      </c>
      <c r="P30" s="58" t="e">
        <f>IF($F$4,IF($L30="","",IFERROR(VLOOKUP($L30,day_data!$A:$I,5,FALSE),0)),NA())</f>
        <v>#N/A</v>
      </c>
      <c r="Q30" s="59" t="e">
        <f>IF($F$8,IF($L30="","",IFERROR(VLOOKUP($L30,day_data!$A:$I,6,FALSE),0)),NA())</f>
        <v>#N/A</v>
      </c>
      <c r="R30" s="11" t="e">
        <f>IF($F$6,IF($L30="","",IFERROR(VLOOKUP($L30,day_data!$A:$I,7,FALSE),0)),NA())</f>
        <v>#N/A</v>
      </c>
      <c r="S30" s="58">
        <f>IF($F$5,IF($L30="","",IFERROR(VLOOKUP($L30,day_data!$A:$I,8,FALSE),0)),NA())</f>
        <v>0.0344827586206897</v>
      </c>
      <c r="T30" s="60" t="e">
        <f>IF($F$7,IF($L30="","",IFERROR(VLOOKUP($L30,day_data!$A:$I,9,FALSE),0)),NA())</f>
        <v>#N/A</v>
      </c>
    </row>
    <row r="31" spans="12:20">
      <c r="L31" s="57">
        <f t="shared" si="0"/>
        <v>43403</v>
      </c>
      <c r="M31" s="11">
        <f>IF($F$1,IF($L31="","",IFERROR(VLOOKUP($L31,day_data!$A:$I,2,FALSE),0)),NA())</f>
        <v>24</v>
      </c>
      <c r="N31" s="58" t="e">
        <f>IF($F$2,IF($L31="","",IFERROR(VLOOKUP($L31,day_data!$A:$I,3,FALSE),0)),NA())</f>
        <v>#N/A</v>
      </c>
      <c r="O31" s="11" t="e">
        <f>IF($F$3,IF($L31="","",IFERROR(VLOOKUP($L31,day_data!$A:$I,4,FALSE),0)),NA())</f>
        <v>#N/A</v>
      </c>
      <c r="P31" s="58" t="e">
        <f>IF($F$4,IF($L31="","",IFERROR(VLOOKUP($L31,day_data!$A:$I,5,FALSE),0)),NA())</f>
        <v>#N/A</v>
      </c>
      <c r="Q31" s="59" t="e">
        <f>IF($F$8,IF($L31="","",IFERROR(VLOOKUP($L31,day_data!$A:$I,6,FALSE),0)),NA())</f>
        <v>#N/A</v>
      </c>
      <c r="R31" s="11" t="e">
        <f>IF($F$6,IF($L31="","",IFERROR(VLOOKUP($L31,day_data!$A:$I,7,FALSE),0)),NA())</f>
        <v>#N/A</v>
      </c>
      <c r="S31" s="58">
        <f>IF($F$5,IF($L31="","",IFERROR(VLOOKUP($L31,day_data!$A:$I,8,FALSE),0)),NA())</f>
        <v>0.125</v>
      </c>
      <c r="T31" s="60" t="e">
        <f>IF($F$7,IF($L31="","",IFERROR(VLOOKUP($L31,day_data!$A:$I,9,FALSE),0)),NA())</f>
        <v>#N/A</v>
      </c>
    </row>
    <row r="32" spans="12:20">
      <c r="L32" s="57">
        <f t="shared" si="0"/>
        <v>43404</v>
      </c>
      <c r="M32" s="11">
        <f>IF($F$1,IF($L32="","",IFERROR(VLOOKUP($L32,day_data!$A:$I,2,FALSE),0)),NA())</f>
        <v>19</v>
      </c>
      <c r="N32" s="58" t="e">
        <f>IF($F$2,IF($L32="","",IFERROR(VLOOKUP($L32,day_data!$A:$I,3,FALSE),0)),NA())</f>
        <v>#N/A</v>
      </c>
      <c r="O32" s="11" t="e">
        <f>IF($F$3,IF($L32="","",IFERROR(VLOOKUP($L32,day_data!$A:$I,4,FALSE),0)),NA())</f>
        <v>#N/A</v>
      </c>
      <c r="P32" s="58" t="e">
        <f>IF($F$4,IF($L32="","",IFERROR(VLOOKUP($L32,day_data!$A:$I,5,FALSE),0)),NA())</f>
        <v>#N/A</v>
      </c>
      <c r="Q32" s="59" t="e">
        <f>IF($F$8,IF($L32="","",IFERROR(VLOOKUP($L32,day_data!$A:$I,6,FALSE),0)),NA())</f>
        <v>#N/A</v>
      </c>
      <c r="R32" s="11" t="e">
        <f>IF($F$6,IF($L32="","",IFERROR(VLOOKUP($L32,day_data!$A:$I,7,FALSE),0)),NA())</f>
        <v>#N/A</v>
      </c>
      <c r="S32" s="58">
        <f>IF($F$5,IF($L32="","",IFERROR(VLOOKUP($L32,day_data!$A:$I,8,FALSE),0)),NA())</f>
        <v>0.0526315789473684</v>
      </c>
      <c r="T32" s="60" t="e">
        <f>IF($F$7,IF($L32="","",IFERROR(VLOOKUP($L32,day_data!$A:$I,9,FALSE),0)),NA())</f>
        <v>#N/A</v>
      </c>
    </row>
    <row r="33" spans="12:20">
      <c r="L33" s="57">
        <f t="shared" si="0"/>
        <v>43405</v>
      </c>
      <c r="M33" s="11">
        <f>IF($F$1,IF($L33="","",IFERROR(VLOOKUP($L33,day_data!$A:$I,2,FALSE),0)),NA())</f>
        <v>15</v>
      </c>
      <c r="N33" s="58" t="e">
        <f>IF($F$2,IF($L33="","",IFERROR(VLOOKUP($L33,day_data!$A:$I,3,FALSE),0)),NA())</f>
        <v>#N/A</v>
      </c>
      <c r="O33" s="11" t="e">
        <f>IF($F$3,IF($L33="","",IFERROR(VLOOKUP($L33,day_data!$A:$I,4,FALSE),0)),NA())</f>
        <v>#N/A</v>
      </c>
      <c r="P33" s="58" t="e">
        <f>IF($F$4,IF($L33="","",IFERROR(VLOOKUP($L33,day_data!$A:$I,5,FALSE),0)),NA())</f>
        <v>#N/A</v>
      </c>
      <c r="Q33" s="59" t="e">
        <f>IF($F$8,IF($L33="","",IFERROR(VLOOKUP($L33,day_data!$A:$I,6,FALSE),0)),NA())</f>
        <v>#N/A</v>
      </c>
      <c r="R33" s="11" t="e">
        <f>IF($F$6,IF($L33="","",IFERROR(VLOOKUP($L33,day_data!$A:$I,7,FALSE),0)),NA())</f>
        <v>#N/A</v>
      </c>
      <c r="S33" s="58">
        <f>IF($F$5,IF($L33="","",IFERROR(VLOOKUP($L33,day_data!$A:$I,8,FALSE),0)),NA())</f>
        <v>0.2</v>
      </c>
      <c r="T33" s="60" t="e">
        <f>IF($F$7,IF($L33="","",IFERROR(VLOOKUP($L33,day_data!$A:$I,9,FALSE),0)),NA())</f>
        <v>#N/A</v>
      </c>
    </row>
    <row r="34" spans="12:20">
      <c r="L34" s="57">
        <f t="shared" si="0"/>
        <v>43406</v>
      </c>
      <c r="M34" s="11">
        <f>IF($F$1,IF($L34="","",IFERROR(VLOOKUP($L34,day_data!$A:$I,2,FALSE),0)),NA())</f>
        <v>22</v>
      </c>
      <c r="N34" s="58" t="e">
        <f>IF($F$2,IF($L34="","",IFERROR(VLOOKUP($L34,day_data!$A:$I,3,FALSE),0)),NA())</f>
        <v>#N/A</v>
      </c>
      <c r="O34" s="11" t="e">
        <f>IF($F$3,IF($L34="","",IFERROR(VLOOKUP($L34,day_data!$A:$I,4,FALSE),0)),NA())</f>
        <v>#N/A</v>
      </c>
      <c r="P34" s="58" t="e">
        <f>IF($F$4,IF($L34="","",IFERROR(VLOOKUP($L34,day_data!$A:$I,5,FALSE),0)),NA())</f>
        <v>#N/A</v>
      </c>
      <c r="Q34" s="59" t="e">
        <f>IF($F$8,IF($L34="","",IFERROR(VLOOKUP($L34,day_data!$A:$I,6,FALSE),0)),NA())</f>
        <v>#N/A</v>
      </c>
      <c r="R34" s="11" t="e">
        <f>IF($F$6,IF($L34="","",IFERROR(VLOOKUP($L34,day_data!$A:$I,7,FALSE),0)),NA())</f>
        <v>#N/A</v>
      </c>
      <c r="S34" s="58">
        <f>IF($F$5,IF($L34="","",IFERROR(VLOOKUP($L34,day_data!$A:$I,8,FALSE),0)),NA())</f>
        <v>0.227272727272727</v>
      </c>
      <c r="T34" s="60" t="e">
        <f>IF($F$7,IF($L34="","",IFERROR(VLOOKUP($L34,day_data!$A:$I,9,FALSE),0)),NA())</f>
        <v>#N/A</v>
      </c>
    </row>
    <row r="35" spans="12:20">
      <c r="L35" s="57">
        <f t="shared" si="0"/>
        <v>43407</v>
      </c>
      <c r="M35" s="11">
        <f>IF($F$1,IF($L35="","",IFERROR(VLOOKUP($L35,day_data!$A:$I,2,FALSE),0)),NA())</f>
        <v>23</v>
      </c>
      <c r="N35" s="58" t="e">
        <f>IF($F$2,IF($L35="","",IFERROR(VLOOKUP($L35,day_data!$A:$I,3,FALSE),0)),NA())</f>
        <v>#N/A</v>
      </c>
      <c r="O35" s="11" t="e">
        <f>IF($F$3,IF($L35="","",IFERROR(VLOOKUP($L35,day_data!$A:$I,4,FALSE),0)),NA())</f>
        <v>#N/A</v>
      </c>
      <c r="P35" s="58" t="e">
        <f>IF($F$4,IF($L35="","",IFERROR(VLOOKUP($L35,day_data!$A:$I,5,FALSE),0)),NA())</f>
        <v>#N/A</v>
      </c>
      <c r="Q35" s="59" t="e">
        <f>IF($F$8,IF($L35="","",IFERROR(VLOOKUP($L35,day_data!$A:$I,6,FALSE),0)),NA())</f>
        <v>#N/A</v>
      </c>
      <c r="R35" s="11" t="e">
        <f>IF($F$6,IF($L35="","",IFERROR(VLOOKUP($L35,day_data!$A:$I,7,FALSE),0)),NA())</f>
        <v>#N/A</v>
      </c>
      <c r="S35" s="58">
        <f>IF($F$5,IF($L35="","",IFERROR(VLOOKUP($L35,day_data!$A:$I,8,FALSE),0)),NA())</f>
        <v>0</v>
      </c>
      <c r="T35" s="60" t="e">
        <f>IF($F$7,IF($L35="","",IFERROR(VLOOKUP($L35,day_data!$A:$I,9,FALSE),0)),NA())</f>
        <v>#N/A</v>
      </c>
    </row>
    <row r="36" spans="12:20">
      <c r="L36" s="57">
        <f t="shared" si="0"/>
        <v>43408</v>
      </c>
      <c r="M36" s="11">
        <f>IF($F$1,IF($L36="","",IFERROR(VLOOKUP($L36,day_data!$A:$I,2,FALSE),0)),NA())</f>
        <v>27</v>
      </c>
      <c r="N36" s="58" t="e">
        <f>IF($F$2,IF($L36="","",IFERROR(VLOOKUP($L36,day_data!$A:$I,3,FALSE),0)),NA())</f>
        <v>#N/A</v>
      </c>
      <c r="O36" s="11" t="e">
        <f>IF($F$3,IF($L36="","",IFERROR(VLOOKUP($L36,day_data!$A:$I,4,FALSE),0)),NA())</f>
        <v>#N/A</v>
      </c>
      <c r="P36" s="58" t="e">
        <f>IF($F$4,IF($L36="","",IFERROR(VLOOKUP($L36,day_data!$A:$I,5,FALSE),0)),NA())</f>
        <v>#N/A</v>
      </c>
      <c r="Q36" s="59" t="e">
        <f>IF($F$8,IF($L36="","",IFERROR(VLOOKUP($L36,day_data!$A:$I,6,FALSE),0)),NA())</f>
        <v>#N/A</v>
      </c>
      <c r="R36" s="11" t="e">
        <f>IF($F$6,IF($L36="","",IFERROR(VLOOKUP($L36,day_data!$A:$I,7,FALSE),0)),NA())</f>
        <v>#N/A</v>
      </c>
      <c r="S36" s="58">
        <f>IF($F$5,IF($L36="","",IFERROR(VLOOKUP($L36,day_data!$A:$I,8,FALSE),0)),NA())</f>
        <v>0</v>
      </c>
      <c r="T36" s="60" t="e">
        <f>IF($F$7,IF($L36="","",IFERROR(VLOOKUP($L36,day_data!$A:$I,9,FALSE),0)),NA())</f>
        <v>#N/A</v>
      </c>
    </row>
    <row r="37" spans="12:20">
      <c r="L37" s="57">
        <f t="shared" si="0"/>
        <v>43409</v>
      </c>
      <c r="M37" s="11">
        <f>IF($F$1,IF($L37="","",IFERROR(VLOOKUP($L37,day_data!$A:$I,2,FALSE),0)),NA())</f>
        <v>29</v>
      </c>
      <c r="N37" s="58" t="e">
        <f>IF($F$2,IF($L37="","",IFERROR(VLOOKUP($L37,day_data!$A:$I,3,FALSE),0)),NA())</f>
        <v>#N/A</v>
      </c>
      <c r="O37" s="11" t="e">
        <f>IF($F$3,IF($L37="","",IFERROR(VLOOKUP($L37,day_data!$A:$I,4,FALSE),0)),NA())</f>
        <v>#N/A</v>
      </c>
      <c r="P37" s="58" t="e">
        <f>IF($F$4,IF($L37="","",IFERROR(VLOOKUP($L37,day_data!$A:$I,5,FALSE),0)),NA())</f>
        <v>#N/A</v>
      </c>
      <c r="Q37" s="59" t="e">
        <f>IF($F$8,IF($L37="","",IFERROR(VLOOKUP($L37,day_data!$A:$I,6,FALSE),0)),NA())</f>
        <v>#N/A</v>
      </c>
      <c r="R37" s="11" t="e">
        <f>IF($F$6,IF($L37="","",IFERROR(VLOOKUP($L37,day_data!$A:$I,7,FALSE),0)),NA())</f>
        <v>#N/A</v>
      </c>
      <c r="S37" s="58">
        <f>IF($F$5,IF($L37="","",IFERROR(VLOOKUP($L37,day_data!$A:$I,8,FALSE),0)),NA())</f>
        <v>0.0344827586206897</v>
      </c>
      <c r="T37" s="60" t="e">
        <f>IF($F$7,IF($L37="","",IFERROR(VLOOKUP($L37,day_data!$A:$I,9,FALSE),0)),NA())</f>
        <v>#N/A</v>
      </c>
    </row>
    <row r="38" spans="12:20">
      <c r="L38" s="57">
        <f t="shared" si="0"/>
        <v>43410</v>
      </c>
      <c r="M38" s="11">
        <f>IF($F$1,IF($L38="","",IFERROR(VLOOKUP($L38,day_data!$A:$I,2,FALSE),0)),NA())</f>
        <v>13</v>
      </c>
      <c r="N38" s="58" t="e">
        <f>IF($F$2,IF($L38="","",IFERROR(VLOOKUP($L38,day_data!$A:$I,3,FALSE),0)),NA())</f>
        <v>#N/A</v>
      </c>
      <c r="O38" s="11" t="e">
        <f>IF($F$3,IF($L38="","",IFERROR(VLOOKUP($L38,day_data!$A:$I,4,FALSE),0)),NA())</f>
        <v>#N/A</v>
      </c>
      <c r="P38" s="58" t="e">
        <f>IF($F$4,IF($L38="","",IFERROR(VLOOKUP($L38,day_data!$A:$I,5,FALSE),0)),NA())</f>
        <v>#N/A</v>
      </c>
      <c r="Q38" s="59" t="e">
        <f>IF($F$8,IF($L38="","",IFERROR(VLOOKUP($L38,day_data!$A:$I,6,FALSE),0)),NA())</f>
        <v>#N/A</v>
      </c>
      <c r="R38" s="11" t="e">
        <f>IF($F$6,IF($L38="","",IFERROR(VLOOKUP($L38,day_data!$A:$I,7,FALSE),0)),NA())</f>
        <v>#N/A</v>
      </c>
      <c r="S38" s="58">
        <f>IF($F$5,IF($L38="","",IFERROR(VLOOKUP($L38,day_data!$A:$I,8,FALSE),0)),NA())</f>
        <v>0</v>
      </c>
      <c r="T38" s="60" t="e">
        <f>IF($F$7,IF($L38="","",IFERROR(VLOOKUP($L38,day_data!$A:$I,9,FALSE),0)),NA())</f>
        <v>#N/A</v>
      </c>
    </row>
    <row r="39" spans="12:20">
      <c r="L39" s="57">
        <f t="shared" si="0"/>
        <v>43411</v>
      </c>
      <c r="M39" s="11">
        <f>IF($F$1,IF($L39="","",IFERROR(VLOOKUP($L39,day_data!$A:$I,2,FALSE),0)),NA())</f>
        <v>21</v>
      </c>
      <c r="N39" s="58" t="e">
        <f>IF($F$2,IF($L39="","",IFERROR(VLOOKUP($L39,day_data!$A:$I,3,FALSE),0)),NA())</f>
        <v>#N/A</v>
      </c>
      <c r="O39" s="11" t="e">
        <f>IF($F$3,IF($L39="","",IFERROR(VLOOKUP($L39,day_data!$A:$I,4,FALSE),0)),NA())</f>
        <v>#N/A</v>
      </c>
      <c r="P39" s="58" t="e">
        <f>IF($F$4,IF($L39="","",IFERROR(VLOOKUP($L39,day_data!$A:$I,5,FALSE),0)),NA())</f>
        <v>#N/A</v>
      </c>
      <c r="Q39" s="59" t="e">
        <f>IF($F$8,IF($L39="","",IFERROR(VLOOKUP($L39,day_data!$A:$I,6,FALSE),0)),NA())</f>
        <v>#N/A</v>
      </c>
      <c r="R39" s="11" t="e">
        <f>IF($F$6,IF($L39="","",IFERROR(VLOOKUP($L39,day_data!$A:$I,7,FALSE),0)),NA())</f>
        <v>#N/A</v>
      </c>
      <c r="S39" s="58">
        <f>IF($F$5,IF($L39="","",IFERROR(VLOOKUP($L39,day_data!$A:$I,8,FALSE),0)),NA())</f>
        <v>0.142857142857143</v>
      </c>
      <c r="T39" s="60" t="e">
        <f>IF($F$7,IF($L39="","",IFERROR(VLOOKUP($L39,day_data!$A:$I,9,FALSE),0)),NA())</f>
        <v>#N/A</v>
      </c>
    </row>
    <row r="40" spans="12:20">
      <c r="L40" s="57">
        <f t="shared" si="0"/>
        <v>43412</v>
      </c>
      <c r="M40" s="11">
        <f>IF($F$1,IF($L40="","",IFERROR(VLOOKUP($L40,day_data!$A:$I,2,FALSE),0)),NA())</f>
        <v>21</v>
      </c>
      <c r="N40" s="58" t="e">
        <f>IF($F$2,IF($L40="","",IFERROR(VLOOKUP($L40,day_data!$A:$I,3,FALSE),0)),NA())</f>
        <v>#N/A</v>
      </c>
      <c r="O40" s="11" t="e">
        <f>IF($F$3,IF($L40="","",IFERROR(VLOOKUP($L40,day_data!$A:$I,4,FALSE),0)),NA())</f>
        <v>#N/A</v>
      </c>
      <c r="P40" s="58" t="e">
        <f>IF($F$4,IF($L40="","",IFERROR(VLOOKUP($L40,day_data!$A:$I,5,FALSE),0)),NA())</f>
        <v>#N/A</v>
      </c>
      <c r="Q40" s="59" t="e">
        <f>IF($F$8,IF($L40="","",IFERROR(VLOOKUP($L40,day_data!$A:$I,6,FALSE),0)),NA())</f>
        <v>#N/A</v>
      </c>
      <c r="R40" s="11" t="e">
        <f>IF($F$6,IF($L40="","",IFERROR(VLOOKUP($L40,day_data!$A:$I,7,FALSE),0)),NA())</f>
        <v>#N/A</v>
      </c>
      <c r="S40" s="58">
        <f>IF($F$5,IF($L40="","",IFERROR(VLOOKUP($L40,day_data!$A:$I,8,FALSE),0)),NA())</f>
        <v>0.0476190476190476</v>
      </c>
      <c r="T40" s="60" t="e">
        <f>IF($F$7,IF($L40="","",IFERROR(VLOOKUP($L40,day_data!$A:$I,9,FALSE),0)),NA())</f>
        <v>#N/A</v>
      </c>
    </row>
    <row r="41" spans="12:20">
      <c r="L41" s="57">
        <f t="shared" si="0"/>
        <v>43413</v>
      </c>
      <c r="M41" s="11">
        <f>IF($F$1,IF($L41="","",IFERROR(VLOOKUP($L41,day_data!$A:$I,2,FALSE),0)),NA())</f>
        <v>14</v>
      </c>
      <c r="N41" s="58" t="e">
        <f>IF($F$2,IF($L41="","",IFERROR(VLOOKUP($L41,day_data!$A:$I,3,FALSE),0)),NA())</f>
        <v>#N/A</v>
      </c>
      <c r="O41" s="11" t="e">
        <f>IF($F$3,IF($L41="","",IFERROR(VLOOKUP($L41,day_data!$A:$I,4,FALSE),0)),NA())</f>
        <v>#N/A</v>
      </c>
      <c r="P41" s="58" t="e">
        <f>IF($F$4,IF($L41="","",IFERROR(VLOOKUP($L41,day_data!$A:$I,5,FALSE),0)),NA())</f>
        <v>#N/A</v>
      </c>
      <c r="Q41" s="59" t="e">
        <f>IF($F$8,IF($L41="","",IFERROR(VLOOKUP($L41,day_data!$A:$I,6,FALSE),0)),NA())</f>
        <v>#N/A</v>
      </c>
      <c r="R41" s="11" t="e">
        <f>IF($F$6,IF($L41="","",IFERROR(VLOOKUP($L41,day_data!$A:$I,7,FALSE),0)),NA())</f>
        <v>#N/A</v>
      </c>
      <c r="S41" s="58">
        <f>IF($F$5,IF($L41="","",IFERROR(VLOOKUP($L41,day_data!$A:$I,8,FALSE),0)),NA())</f>
        <v>0.0714285714285714</v>
      </c>
      <c r="T41" s="60" t="e">
        <f>IF($F$7,IF($L41="","",IFERROR(VLOOKUP($L41,day_data!$A:$I,9,FALSE),0)),NA())</f>
        <v>#N/A</v>
      </c>
    </row>
    <row r="42" spans="12:20">
      <c r="L42" s="57">
        <f t="shared" si="0"/>
        <v>43414</v>
      </c>
      <c r="M42" s="11">
        <f>IF($F$1,IF($L42="","",IFERROR(VLOOKUP($L42,day_data!$A:$I,2,FALSE),0)),NA())</f>
        <v>9</v>
      </c>
      <c r="N42" s="58" t="e">
        <f>IF($F$2,IF($L42="","",IFERROR(VLOOKUP($L42,day_data!$A:$I,3,FALSE),0)),NA())</f>
        <v>#N/A</v>
      </c>
      <c r="O42" s="11" t="e">
        <f>IF($F$3,IF($L42="","",IFERROR(VLOOKUP($L42,day_data!$A:$I,4,FALSE),0)),NA())</f>
        <v>#N/A</v>
      </c>
      <c r="P42" s="58" t="e">
        <f>IF($F$4,IF($L42="","",IFERROR(VLOOKUP($L42,day_data!$A:$I,5,FALSE),0)),NA())</f>
        <v>#N/A</v>
      </c>
      <c r="Q42" s="59" t="e">
        <f>IF($F$8,IF($L42="","",IFERROR(VLOOKUP($L42,day_data!$A:$I,6,FALSE),0)),NA())</f>
        <v>#N/A</v>
      </c>
      <c r="R42" s="11" t="e">
        <f>IF($F$6,IF($L42="","",IFERROR(VLOOKUP($L42,day_data!$A:$I,7,FALSE),0)),NA())</f>
        <v>#N/A</v>
      </c>
      <c r="S42" s="58">
        <f>IF($F$5,IF($L42="","",IFERROR(VLOOKUP($L42,day_data!$A:$I,8,FALSE),0)),NA())</f>
        <v>0</v>
      </c>
      <c r="T42" s="60" t="e">
        <f>IF($F$7,IF($L42="","",IFERROR(VLOOKUP($L42,day_data!$A:$I,9,FALSE),0)),NA())</f>
        <v>#N/A</v>
      </c>
    </row>
    <row r="43" spans="12:20">
      <c r="L43" s="57">
        <f t="shared" si="0"/>
        <v>43415</v>
      </c>
      <c r="M43" s="11">
        <f>IF($F$1,IF($L43="","",IFERROR(VLOOKUP($L43,day_data!$A:$I,2,FALSE),0)),NA())</f>
        <v>2</v>
      </c>
      <c r="N43" s="58" t="e">
        <f>IF($F$2,IF($L43="","",IFERROR(VLOOKUP($L43,day_data!$A:$I,3,FALSE),0)),NA())</f>
        <v>#N/A</v>
      </c>
      <c r="O43" s="11" t="e">
        <f>IF($F$3,IF($L43="","",IFERROR(VLOOKUP($L43,day_data!$A:$I,4,FALSE),0)),NA())</f>
        <v>#N/A</v>
      </c>
      <c r="P43" s="58" t="e">
        <f>IF($F$4,IF($L43="","",IFERROR(VLOOKUP($L43,day_data!$A:$I,5,FALSE),0)),NA())</f>
        <v>#N/A</v>
      </c>
      <c r="Q43" s="59" t="e">
        <f>IF($F$8,IF($L43="","",IFERROR(VLOOKUP($L43,day_data!$A:$I,6,FALSE),0)),NA())</f>
        <v>#N/A</v>
      </c>
      <c r="R43" s="11" t="e">
        <f>IF($F$6,IF($L43="","",IFERROR(VLOOKUP($L43,day_data!$A:$I,7,FALSE),0)),NA())</f>
        <v>#N/A</v>
      </c>
      <c r="S43" s="58">
        <f>IF($F$5,IF($L43="","",IFERROR(VLOOKUP($L43,day_data!$A:$I,8,FALSE),0)),NA())</f>
        <v>0.5</v>
      </c>
      <c r="T43" s="60" t="e">
        <f>IF($F$7,IF($L43="","",IFERROR(VLOOKUP($L43,day_data!$A:$I,9,FALSE),0)),NA())</f>
        <v>#N/A</v>
      </c>
    </row>
    <row r="44" spans="12:20">
      <c r="L44" s="57">
        <f t="shared" si="0"/>
        <v>43416</v>
      </c>
      <c r="M44" s="11">
        <f>IF($F$1,IF($L44="","",IFERROR(VLOOKUP($L44,day_data!$A:$I,2,FALSE),0)),NA())</f>
        <v>4</v>
      </c>
      <c r="N44" s="58" t="e">
        <f>IF($F$2,IF($L44="","",IFERROR(VLOOKUP($L44,day_data!$A:$I,3,FALSE),0)),NA())</f>
        <v>#N/A</v>
      </c>
      <c r="O44" s="11" t="e">
        <f>IF($F$3,IF($L44="","",IFERROR(VLOOKUP($L44,day_data!$A:$I,4,FALSE),0)),NA())</f>
        <v>#N/A</v>
      </c>
      <c r="P44" s="58" t="e">
        <f>IF($F$4,IF($L44="","",IFERROR(VLOOKUP($L44,day_data!$A:$I,5,FALSE),0)),NA())</f>
        <v>#N/A</v>
      </c>
      <c r="Q44" s="59" t="e">
        <f>IF($F$8,IF($L44="","",IFERROR(VLOOKUP($L44,day_data!$A:$I,6,FALSE),0)),NA())</f>
        <v>#N/A</v>
      </c>
      <c r="R44" s="11" t="e">
        <f>IF($F$6,IF($L44="","",IFERROR(VLOOKUP($L44,day_data!$A:$I,7,FALSE),0)),NA())</f>
        <v>#N/A</v>
      </c>
      <c r="S44" s="58">
        <f>IF($F$5,IF($L44="","",IFERROR(VLOOKUP($L44,day_data!$A:$I,8,FALSE),0)),NA())</f>
        <v>0</v>
      </c>
      <c r="T44" s="60" t="e">
        <f>IF($F$7,IF($L44="","",IFERROR(VLOOKUP($L44,day_data!$A:$I,9,FALSE),0)),NA())</f>
        <v>#N/A</v>
      </c>
    </row>
    <row r="45" spans="12:20">
      <c r="L45" s="57">
        <f t="shared" si="0"/>
        <v>43417</v>
      </c>
      <c r="M45" s="11">
        <f>IF($F$1,IF($L45="","",IFERROR(VLOOKUP($L45,day_data!$A:$I,2,FALSE),0)),NA())</f>
        <v>7</v>
      </c>
      <c r="N45" s="58" t="e">
        <f>IF($F$2,IF($L45="","",IFERROR(VLOOKUP($L45,day_data!$A:$I,3,FALSE),0)),NA())</f>
        <v>#N/A</v>
      </c>
      <c r="O45" s="11" t="e">
        <f>IF($F$3,IF($L45="","",IFERROR(VLOOKUP($L45,day_data!$A:$I,4,FALSE),0)),NA())</f>
        <v>#N/A</v>
      </c>
      <c r="P45" s="58" t="e">
        <f>IF($F$4,IF($L45="","",IFERROR(VLOOKUP($L45,day_data!$A:$I,5,FALSE),0)),NA())</f>
        <v>#N/A</v>
      </c>
      <c r="Q45" s="59" t="e">
        <f>IF($F$8,IF($L45="","",IFERROR(VLOOKUP($L45,day_data!$A:$I,6,FALSE),0)),NA())</f>
        <v>#N/A</v>
      </c>
      <c r="R45" s="11" t="e">
        <f>IF($F$6,IF($L45="","",IFERROR(VLOOKUP($L45,day_data!$A:$I,7,FALSE),0)),NA())</f>
        <v>#N/A</v>
      </c>
      <c r="S45" s="58">
        <f>IF($F$5,IF($L45="","",IFERROR(VLOOKUP($L45,day_data!$A:$I,8,FALSE),0)),NA())</f>
        <v>0</v>
      </c>
      <c r="T45" s="60" t="e">
        <f>IF($F$7,IF($L45="","",IFERROR(VLOOKUP($L45,day_data!$A:$I,9,FALSE),0)),NA())</f>
        <v>#N/A</v>
      </c>
    </row>
    <row r="46" spans="12:20">
      <c r="L46" s="57">
        <f t="shared" si="0"/>
        <v>43418</v>
      </c>
      <c r="M46" s="11">
        <f>IF($F$1,IF($L46="","",IFERROR(VLOOKUP($L46,day_data!$A:$I,2,FALSE),0)),NA())</f>
        <v>4</v>
      </c>
      <c r="N46" s="58" t="e">
        <f>IF($F$2,IF($L46="","",IFERROR(VLOOKUP($L46,day_data!$A:$I,3,FALSE),0)),NA())</f>
        <v>#N/A</v>
      </c>
      <c r="O46" s="11" t="e">
        <f>IF($F$3,IF($L46="","",IFERROR(VLOOKUP($L46,day_data!$A:$I,4,FALSE),0)),NA())</f>
        <v>#N/A</v>
      </c>
      <c r="P46" s="58" t="e">
        <f>IF($F$4,IF($L46="","",IFERROR(VLOOKUP($L46,day_data!$A:$I,5,FALSE),0)),NA())</f>
        <v>#N/A</v>
      </c>
      <c r="Q46" s="59" t="e">
        <f>IF($F$8,IF($L46="","",IFERROR(VLOOKUP($L46,day_data!$A:$I,6,FALSE),0)),NA())</f>
        <v>#N/A</v>
      </c>
      <c r="R46" s="11" t="e">
        <f>IF($F$6,IF($L46="","",IFERROR(VLOOKUP($L46,day_data!$A:$I,7,FALSE),0)),NA())</f>
        <v>#N/A</v>
      </c>
      <c r="S46" s="58">
        <f>IF($F$5,IF($L46="","",IFERROR(VLOOKUP($L46,day_data!$A:$I,8,FALSE),0)),NA())</f>
        <v>0.25</v>
      </c>
      <c r="T46" s="60" t="e">
        <f>IF($F$7,IF($L46="","",IFERROR(VLOOKUP($L46,day_data!$A:$I,9,FALSE),0)),NA())</f>
        <v>#N/A</v>
      </c>
    </row>
    <row r="47" spans="12:20">
      <c r="L47" s="57">
        <f t="shared" si="0"/>
        <v>43419</v>
      </c>
      <c r="M47" s="11">
        <f>IF($F$1,IF($L47="","",IFERROR(VLOOKUP($L47,day_data!$A:$I,2,FALSE),0)),NA())</f>
        <v>9</v>
      </c>
      <c r="N47" s="58" t="e">
        <f>IF($F$2,IF($L47="","",IFERROR(VLOOKUP($L47,day_data!$A:$I,3,FALSE),0)),NA())</f>
        <v>#N/A</v>
      </c>
      <c r="O47" s="11" t="e">
        <f>IF($F$3,IF($L47="","",IFERROR(VLOOKUP($L47,day_data!$A:$I,4,FALSE),0)),NA())</f>
        <v>#N/A</v>
      </c>
      <c r="P47" s="58" t="e">
        <f>IF($F$4,IF($L47="","",IFERROR(VLOOKUP($L47,day_data!$A:$I,5,FALSE),0)),NA())</f>
        <v>#N/A</v>
      </c>
      <c r="Q47" s="59" t="e">
        <f>IF($F$8,IF($L47="","",IFERROR(VLOOKUP($L47,day_data!$A:$I,6,FALSE),0)),NA())</f>
        <v>#N/A</v>
      </c>
      <c r="R47" s="11" t="e">
        <f>IF($F$6,IF($L47="","",IFERROR(VLOOKUP($L47,day_data!$A:$I,7,FALSE),0)),NA())</f>
        <v>#N/A</v>
      </c>
      <c r="S47" s="58">
        <f>IF($F$5,IF($L47="","",IFERROR(VLOOKUP($L47,day_data!$A:$I,8,FALSE),0)),NA())</f>
        <v>0</v>
      </c>
      <c r="T47" s="60" t="e">
        <f>IF($F$7,IF($L47="","",IFERROR(VLOOKUP($L47,day_data!$A:$I,9,FALSE),0)),NA())</f>
        <v>#N/A</v>
      </c>
    </row>
    <row r="48" spans="12:20">
      <c r="L48" s="57">
        <f t="shared" si="0"/>
        <v>43420</v>
      </c>
      <c r="M48" s="11">
        <f>IF($F$1,IF($L48="","",IFERROR(VLOOKUP($L48,day_data!$A:$I,2,FALSE),0)),NA())</f>
        <v>3</v>
      </c>
      <c r="N48" s="58" t="e">
        <f>IF($F$2,IF($L48="","",IFERROR(VLOOKUP($L48,day_data!$A:$I,3,FALSE),0)),NA())</f>
        <v>#N/A</v>
      </c>
      <c r="O48" s="11" t="e">
        <f>IF($F$3,IF($L48="","",IFERROR(VLOOKUP($L48,day_data!$A:$I,4,FALSE),0)),NA())</f>
        <v>#N/A</v>
      </c>
      <c r="P48" s="58" t="e">
        <f>IF($F$4,IF($L48="","",IFERROR(VLOOKUP($L48,day_data!$A:$I,5,FALSE),0)),NA())</f>
        <v>#N/A</v>
      </c>
      <c r="Q48" s="59" t="e">
        <f>IF($F$8,IF($L48="","",IFERROR(VLOOKUP($L48,day_data!$A:$I,6,FALSE),0)),NA())</f>
        <v>#N/A</v>
      </c>
      <c r="R48" s="11" t="e">
        <f>IF($F$6,IF($L48="","",IFERROR(VLOOKUP($L48,day_data!$A:$I,7,FALSE),0)),NA())</f>
        <v>#N/A</v>
      </c>
      <c r="S48" s="58">
        <f>IF($F$5,IF($L48="","",IFERROR(VLOOKUP($L48,day_data!$A:$I,8,FALSE),0)),NA())</f>
        <v>0</v>
      </c>
      <c r="T48" s="60" t="e">
        <f>IF($F$7,IF($L48="","",IFERROR(VLOOKUP($L48,day_data!$A:$I,9,FALSE),0)),NA())</f>
        <v>#N/A</v>
      </c>
    </row>
    <row r="49" spans="12:20">
      <c r="L49" s="57">
        <f t="shared" si="0"/>
        <v>43421</v>
      </c>
      <c r="M49" s="11">
        <f>IF($F$1,IF($L49="","",IFERROR(VLOOKUP($L49,day_data!$A:$I,2,FALSE),0)),NA())</f>
        <v>3</v>
      </c>
      <c r="N49" s="58" t="e">
        <f>IF($F$2,IF($L49="","",IFERROR(VLOOKUP($L49,day_data!$A:$I,3,FALSE),0)),NA())</f>
        <v>#N/A</v>
      </c>
      <c r="O49" s="11" t="e">
        <f>IF($F$3,IF($L49="","",IFERROR(VLOOKUP($L49,day_data!$A:$I,4,FALSE),0)),NA())</f>
        <v>#N/A</v>
      </c>
      <c r="P49" s="58" t="e">
        <f>IF($F$4,IF($L49="","",IFERROR(VLOOKUP($L49,day_data!$A:$I,5,FALSE),0)),NA())</f>
        <v>#N/A</v>
      </c>
      <c r="Q49" s="59" t="e">
        <f>IF($F$8,IF($L49="","",IFERROR(VLOOKUP($L49,day_data!$A:$I,6,FALSE),0)),NA())</f>
        <v>#N/A</v>
      </c>
      <c r="R49" s="11" t="e">
        <f>IF($F$6,IF($L49="","",IFERROR(VLOOKUP($L49,day_data!$A:$I,7,FALSE),0)),NA())</f>
        <v>#N/A</v>
      </c>
      <c r="S49" s="58">
        <f>IF($F$5,IF($L49="","",IFERROR(VLOOKUP($L49,day_data!$A:$I,8,FALSE),0)),NA())</f>
        <v>0</v>
      </c>
      <c r="T49" s="60" t="e">
        <f>IF($F$7,IF($L49="","",IFERROR(VLOOKUP($L49,day_data!$A:$I,9,FALSE),0)),NA())</f>
        <v>#N/A</v>
      </c>
    </row>
    <row r="50" spans="12:20">
      <c r="L50" s="57">
        <f t="shared" si="0"/>
        <v>43422</v>
      </c>
      <c r="M50" s="11">
        <f>IF($F$1,IF($L50="","",IFERROR(VLOOKUP($L50,day_data!$A:$I,2,FALSE),0)),NA())</f>
        <v>7</v>
      </c>
      <c r="N50" s="58" t="e">
        <f>IF($F$2,IF($L50="","",IFERROR(VLOOKUP($L50,day_data!$A:$I,3,FALSE),0)),NA())</f>
        <v>#N/A</v>
      </c>
      <c r="O50" s="11" t="e">
        <f>IF($F$3,IF($L50="","",IFERROR(VLOOKUP($L50,day_data!$A:$I,4,FALSE),0)),NA())</f>
        <v>#N/A</v>
      </c>
      <c r="P50" s="58" t="e">
        <f>IF($F$4,IF($L50="","",IFERROR(VLOOKUP($L50,day_data!$A:$I,5,FALSE),0)),NA())</f>
        <v>#N/A</v>
      </c>
      <c r="Q50" s="59" t="e">
        <f>IF($F$8,IF($L50="","",IFERROR(VLOOKUP($L50,day_data!$A:$I,6,FALSE),0)),NA())</f>
        <v>#N/A</v>
      </c>
      <c r="R50" s="11" t="e">
        <f>IF($F$6,IF($L50="","",IFERROR(VLOOKUP($L50,day_data!$A:$I,7,FALSE),0)),NA())</f>
        <v>#N/A</v>
      </c>
      <c r="S50" s="58">
        <f>IF($F$5,IF($L50="","",IFERROR(VLOOKUP($L50,day_data!$A:$I,8,FALSE),0)),NA())</f>
        <v>0</v>
      </c>
      <c r="T50" s="60" t="e">
        <f>IF($F$7,IF($L50="","",IFERROR(VLOOKUP($L50,day_data!$A:$I,9,FALSE),0)),NA())</f>
        <v>#N/A</v>
      </c>
    </row>
    <row r="51" spans="12:20">
      <c r="L51" s="57">
        <f t="shared" si="0"/>
        <v>43423</v>
      </c>
      <c r="M51" s="11">
        <f>IF($F$1,IF($L51="","",IFERROR(VLOOKUP($L51,day_data!$A:$I,2,FALSE),0)),NA())</f>
        <v>11</v>
      </c>
      <c r="N51" s="58" t="e">
        <f>IF($F$2,IF($L51="","",IFERROR(VLOOKUP($L51,day_data!$A:$I,3,FALSE),0)),NA())</f>
        <v>#N/A</v>
      </c>
      <c r="O51" s="11" t="e">
        <f>IF($F$3,IF($L51="","",IFERROR(VLOOKUP($L51,day_data!$A:$I,4,FALSE),0)),NA())</f>
        <v>#N/A</v>
      </c>
      <c r="P51" s="58" t="e">
        <f>IF($F$4,IF($L51="","",IFERROR(VLOOKUP($L51,day_data!$A:$I,5,FALSE),0)),NA())</f>
        <v>#N/A</v>
      </c>
      <c r="Q51" s="59" t="e">
        <f>IF($F$8,IF($L51="","",IFERROR(VLOOKUP($L51,day_data!$A:$I,6,FALSE),0)),NA())</f>
        <v>#N/A</v>
      </c>
      <c r="R51" s="11" t="e">
        <f>IF($F$6,IF($L51="","",IFERROR(VLOOKUP($L51,day_data!$A:$I,7,FALSE),0)),NA())</f>
        <v>#N/A</v>
      </c>
      <c r="S51" s="58">
        <f>IF($F$5,IF($L51="","",IFERROR(VLOOKUP($L51,day_data!$A:$I,8,FALSE),0)),NA())</f>
        <v>0.0909090909090909</v>
      </c>
      <c r="T51" s="60" t="e">
        <f>IF($F$7,IF($L51="","",IFERROR(VLOOKUP($L51,day_data!$A:$I,9,FALSE),0)),NA())</f>
        <v>#N/A</v>
      </c>
    </row>
    <row r="52" spans="12:20">
      <c r="L52" s="57">
        <f t="shared" si="0"/>
        <v>43424</v>
      </c>
      <c r="M52" s="11">
        <f>IF($F$1,IF($L52="","",IFERROR(VLOOKUP($L52,day_data!$A:$I,2,FALSE),0)),NA())</f>
        <v>11</v>
      </c>
      <c r="N52" s="58" t="e">
        <f>IF($F$2,IF($L52="","",IFERROR(VLOOKUP($L52,day_data!$A:$I,3,FALSE),0)),NA())</f>
        <v>#N/A</v>
      </c>
      <c r="O52" s="11" t="e">
        <f>IF($F$3,IF($L52="","",IFERROR(VLOOKUP($L52,day_data!$A:$I,4,FALSE),0)),NA())</f>
        <v>#N/A</v>
      </c>
      <c r="P52" s="58" t="e">
        <f>IF($F$4,IF($L52="","",IFERROR(VLOOKUP($L52,day_data!$A:$I,5,FALSE),0)),NA())</f>
        <v>#N/A</v>
      </c>
      <c r="Q52" s="59" t="e">
        <f>IF($F$8,IF($L52="","",IFERROR(VLOOKUP($L52,day_data!$A:$I,6,FALSE),0)),NA())</f>
        <v>#N/A</v>
      </c>
      <c r="R52" s="11" t="e">
        <f>IF($F$6,IF($L52="","",IFERROR(VLOOKUP($L52,day_data!$A:$I,7,FALSE),0)),NA())</f>
        <v>#N/A</v>
      </c>
      <c r="S52" s="58">
        <f>IF($F$5,IF($L52="","",IFERROR(VLOOKUP($L52,day_data!$A:$I,8,FALSE),0)),NA())</f>
        <v>0.0909090909090909</v>
      </c>
      <c r="T52" s="60" t="e">
        <f>IF($F$7,IF($L52="","",IFERROR(VLOOKUP($L52,day_data!$A:$I,9,FALSE),0)),NA())</f>
        <v>#N/A</v>
      </c>
    </row>
    <row r="53" spans="12:20">
      <c r="L53" s="57">
        <f t="shared" si="0"/>
        <v>43425</v>
      </c>
      <c r="M53" s="11">
        <f>IF($F$1,IF($L53="","",IFERROR(VLOOKUP($L53,day_data!$A:$I,2,FALSE),0)),NA())</f>
        <v>7</v>
      </c>
      <c r="N53" s="58" t="e">
        <f>IF($F$2,IF($L53="","",IFERROR(VLOOKUP($L53,day_data!$A:$I,3,FALSE),0)),NA())</f>
        <v>#N/A</v>
      </c>
      <c r="O53" s="11" t="e">
        <f>IF($F$3,IF($L53="","",IFERROR(VLOOKUP($L53,day_data!$A:$I,4,FALSE),0)),NA())</f>
        <v>#N/A</v>
      </c>
      <c r="P53" s="58" t="e">
        <f>IF($F$4,IF($L53="","",IFERROR(VLOOKUP($L53,day_data!$A:$I,5,FALSE),0)),NA())</f>
        <v>#N/A</v>
      </c>
      <c r="Q53" s="59" t="e">
        <f>IF($F$8,IF($L53="","",IFERROR(VLOOKUP($L53,day_data!$A:$I,6,FALSE),0)),NA())</f>
        <v>#N/A</v>
      </c>
      <c r="R53" s="11" t="e">
        <f>IF($F$6,IF($L53="","",IFERROR(VLOOKUP($L53,day_data!$A:$I,7,FALSE),0)),NA())</f>
        <v>#N/A</v>
      </c>
      <c r="S53" s="58">
        <f>IF($F$5,IF($L53="","",IFERROR(VLOOKUP($L53,day_data!$A:$I,8,FALSE),0)),NA())</f>
        <v>0</v>
      </c>
      <c r="T53" s="60" t="e">
        <f>IF($F$7,IF($L53="","",IFERROR(VLOOKUP($L53,day_data!$A:$I,9,FALSE),0)),NA())</f>
        <v>#N/A</v>
      </c>
    </row>
    <row r="54" spans="12:20">
      <c r="L54" s="57">
        <f t="shared" si="0"/>
        <v>43426</v>
      </c>
      <c r="M54" s="11">
        <f>IF($F$1,IF($L54="","",IFERROR(VLOOKUP($L54,day_data!$A:$I,2,FALSE),0)),NA())</f>
        <v>12</v>
      </c>
      <c r="N54" s="58" t="e">
        <f>IF($F$2,IF($L54="","",IFERROR(VLOOKUP($L54,day_data!$A:$I,3,FALSE),0)),NA())</f>
        <v>#N/A</v>
      </c>
      <c r="O54" s="11" t="e">
        <f>IF($F$3,IF($L54="","",IFERROR(VLOOKUP($L54,day_data!$A:$I,4,FALSE),0)),NA())</f>
        <v>#N/A</v>
      </c>
      <c r="P54" s="58" t="e">
        <f>IF($F$4,IF($L54="","",IFERROR(VLOOKUP($L54,day_data!$A:$I,5,FALSE),0)),NA())</f>
        <v>#N/A</v>
      </c>
      <c r="Q54" s="59" t="e">
        <f>IF($F$8,IF($L54="","",IFERROR(VLOOKUP($L54,day_data!$A:$I,6,FALSE),0)),NA())</f>
        <v>#N/A</v>
      </c>
      <c r="R54" s="11" t="e">
        <f>IF($F$6,IF($L54="","",IFERROR(VLOOKUP($L54,day_data!$A:$I,7,FALSE),0)),NA())</f>
        <v>#N/A</v>
      </c>
      <c r="S54" s="58">
        <f>IF($F$5,IF($L54="","",IFERROR(VLOOKUP($L54,day_data!$A:$I,8,FALSE),0)),NA())</f>
        <v>0</v>
      </c>
      <c r="T54" s="60" t="e">
        <f>IF($F$7,IF($L54="","",IFERROR(VLOOKUP($L54,day_data!$A:$I,9,FALSE),0)),NA())</f>
        <v>#N/A</v>
      </c>
    </row>
    <row r="55" spans="12:20">
      <c r="L55" s="57">
        <f t="shared" si="0"/>
        <v>43427</v>
      </c>
      <c r="M55" s="11">
        <f>IF($F$1,IF($L55="","",IFERROR(VLOOKUP($L55,day_data!$A:$I,2,FALSE),0)),NA())</f>
        <v>18</v>
      </c>
      <c r="N55" s="58" t="e">
        <f>IF($F$2,IF($L55="","",IFERROR(VLOOKUP($L55,day_data!$A:$I,3,FALSE),0)),NA())</f>
        <v>#N/A</v>
      </c>
      <c r="O55" s="11" t="e">
        <f>IF($F$3,IF($L55="","",IFERROR(VLOOKUP($L55,day_data!$A:$I,4,FALSE),0)),NA())</f>
        <v>#N/A</v>
      </c>
      <c r="P55" s="58" t="e">
        <f>IF($F$4,IF($L55="","",IFERROR(VLOOKUP($L55,day_data!$A:$I,5,FALSE),0)),NA())</f>
        <v>#N/A</v>
      </c>
      <c r="Q55" s="59" t="e">
        <f>IF($F$8,IF($L55="","",IFERROR(VLOOKUP($L55,day_data!$A:$I,6,FALSE),0)),NA())</f>
        <v>#N/A</v>
      </c>
      <c r="R55" s="11" t="e">
        <f>IF($F$6,IF($L55="","",IFERROR(VLOOKUP($L55,day_data!$A:$I,7,FALSE),0)),NA())</f>
        <v>#N/A</v>
      </c>
      <c r="S55" s="58">
        <f>IF($F$5,IF($L55="","",IFERROR(VLOOKUP($L55,day_data!$A:$I,8,FALSE),0)),NA())</f>
        <v>0</v>
      </c>
      <c r="T55" s="60" t="e">
        <f>IF($F$7,IF($L55="","",IFERROR(VLOOKUP($L55,day_data!$A:$I,9,FALSE),0)),NA())</f>
        <v>#N/A</v>
      </c>
    </row>
    <row r="56" spans="12:20">
      <c r="L56" s="57">
        <f t="shared" si="0"/>
        <v>43428</v>
      </c>
      <c r="M56" s="11">
        <f>IF($F$1,IF($L56="","",IFERROR(VLOOKUP($L56,day_data!$A:$I,2,FALSE),0)),NA())</f>
        <v>12</v>
      </c>
      <c r="N56" s="58" t="e">
        <f>IF($F$2,IF($L56="","",IFERROR(VLOOKUP($L56,day_data!$A:$I,3,FALSE),0)),NA())</f>
        <v>#N/A</v>
      </c>
      <c r="O56" s="11" t="e">
        <f>IF($F$3,IF($L56="","",IFERROR(VLOOKUP($L56,day_data!$A:$I,4,FALSE),0)),NA())</f>
        <v>#N/A</v>
      </c>
      <c r="P56" s="58" t="e">
        <f>IF($F$4,IF($L56="","",IFERROR(VLOOKUP($L56,day_data!$A:$I,5,FALSE),0)),NA())</f>
        <v>#N/A</v>
      </c>
      <c r="Q56" s="59" t="e">
        <f>IF($F$8,IF($L56="","",IFERROR(VLOOKUP($L56,day_data!$A:$I,6,FALSE),0)),NA())</f>
        <v>#N/A</v>
      </c>
      <c r="R56" s="11" t="e">
        <f>IF($F$6,IF($L56="","",IFERROR(VLOOKUP($L56,day_data!$A:$I,7,FALSE),0)),NA())</f>
        <v>#N/A</v>
      </c>
      <c r="S56" s="58">
        <f>IF($F$5,IF($L56="","",IFERROR(VLOOKUP($L56,day_data!$A:$I,8,FALSE),0)),NA())</f>
        <v>0.166666666666667</v>
      </c>
      <c r="T56" s="60" t="e">
        <f>IF($F$7,IF($L56="","",IFERROR(VLOOKUP($L56,day_data!$A:$I,9,FALSE),0)),NA())</f>
        <v>#N/A</v>
      </c>
    </row>
    <row r="57" spans="12:20">
      <c r="L57" s="57">
        <f t="shared" si="0"/>
        <v>43429</v>
      </c>
      <c r="M57" s="11">
        <f>IF($F$1,IF($L57="","",IFERROR(VLOOKUP($L57,day_data!$A:$I,2,FALSE),0)),NA())</f>
        <v>9</v>
      </c>
      <c r="N57" s="58" t="e">
        <f>IF($F$2,IF($L57="","",IFERROR(VLOOKUP($L57,day_data!$A:$I,3,FALSE),0)),NA())</f>
        <v>#N/A</v>
      </c>
      <c r="O57" s="11" t="e">
        <f>IF($F$3,IF($L57="","",IFERROR(VLOOKUP($L57,day_data!$A:$I,4,FALSE),0)),NA())</f>
        <v>#N/A</v>
      </c>
      <c r="P57" s="58" t="e">
        <f>IF($F$4,IF($L57="","",IFERROR(VLOOKUP($L57,day_data!$A:$I,5,FALSE),0)),NA())</f>
        <v>#N/A</v>
      </c>
      <c r="Q57" s="59" t="e">
        <f>IF($F$8,IF($L57="","",IFERROR(VLOOKUP($L57,day_data!$A:$I,6,FALSE),0)),NA())</f>
        <v>#N/A</v>
      </c>
      <c r="R57" s="11" t="e">
        <f>IF($F$6,IF($L57="","",IFERROR(VLOOKUP($L57,day_data!$A:$I,7,FALSE),0)),NA())</f>
        <v>#N/A</v>
      </c>
      <c r="S57" s="58">
        <f>IF($F$5,IF($L57="","",IFERROR(VLOOKUP($L57,day_data!$A:$I,8,FALSE),0)),NA())</f>
        <v>0</v>
      </c>
      <c r="T57" s="60" t="e">
        <f>IF($F$7,IF($L57="","",IFERROR(VLOOKUP($L57,day_data!$A:$I,9,FALSE),0)),NA())</f>
        <v>#N/A</v>
      </c>
    </row>
    <row r="58" spans="12:20">
      <c r="L58" s="57">
        <f t="shared" si="0"/>
        <v>43430</v>
      </c>
      <c r="M58" s="11">
        <f>IF($F$1,IF($L58="","",IFERROR(VLOOKUP($L58,day_data!$A:$I,2,FALSE),0)),NA())</f>
        <v>5</v>
      </c>
      <c r="N58" s="58" t="e">
        <f>IF($F$2,IF($L58="","",IFERROR(VLOOKUP($L58,day_data!$A:$I,3,FALSE),0)),NA())</f>
        <v>#N/A</v>
      </c>
      <c r="O58" s="11" t="e">
        <f>IF($F$3,IF($L58="","",IFERROR(VLOOKUP($L58,day_data!$A:$I,4,FALSE),0)),NA())</f>
        <v>#N/A</v>
      </c>
      <c r="P58" s="58" t="e">
        <f>IF($F$4,IF($L58="","",IFERROR(VLOOKUP($L58,day_data!$A:$I,5,FALSE),0)),NA())</f>
        <v>#N/A</v>
      </c>
      <c r="Q58" s="59" t="e">
        <f>IF($F$8,IF($L58="","",IFERROR(VLOOKUP($L58,day_data!$A:$I,6,FALSE),0)),NA())</f>
        <v>#N/A</v>
      </c>
      <c r="R58" s="11" t="e">
        <f>IF($F$6,IF($L58="","",IFERROR(VLOOKUP($L58,day_data!$A:$I,7,FALSE),0)),NA())</f>
        <v>#N/A</v>
      </c>
      <c r="S58" s="58">
        <f>IF($F$5,IF($L58="","",IFERROR(VLOOKUP($L58,day_data!$A:$I,8,FALSE),0)),NA())</f>
        <v>0.2</v>
      </c>
      <c r="T58" s="60" t="e">
        <f>IF($F$7,IF($L58="","",IFERROR(VLOOKUP($L58,day_data!$A:$I,9,FALSE),0)),NA())</f>
        <v>#N/A</v>
      </c>
    </row>
    <row r="59" spans="12:20">
      <c r="L59" s="57">
        <f t="shared" si="0"/>
        <v>43431</v>
      </c>
      <c r="M59" s="11">
        <f>IF($F$1,IF($L59="","",IFERROR(VLOOKUP($L59,day_data!$A:$I,2,FALSE),0)),NA())</f>
        <v>8</v>
      </c>
      <c r="N59" s="58" t="e">
        <f>IF($F$2,IF($L59="","",IFERROR(VLOOKUP($L59,day_data!$A:$I,3,FALSE),0)),NA())</f>
        <v>#N/A</v>
      </c>
      <c r="O59" s="11" t="e">
        <f>IF($F$3,IF($L59="","",IFERROR(VLOOKUP($L59,day_data!$A:$I,4,FALSE),0)),NA())</f>
        <v>#N/A</v>
      </c>
      <c r="P59" s="58" t="e">
        <f>IF($F$4,IF($L59="","",IFERROR(VLOOKUP($L59,day_data!$A:$I,5,FALSE),0)),NA())</f>
        <v>#N/A</v>
      </c>
      <c r="Q59" s="59" t="e">
        <f>IF($F$8,IF($L59="","",IFERROR(VLOOKUP($L59,day_data!$A:$I,6,FALSE),0)),NA())</f>
        <v>#N/A</v>
      </c>
      <c r="R59" s="11" t="e">
        <f>IF($F$6,IF($L59="","",IFERROR(VLOOKUP($L59,day_data!$A:$I,7,FALSE),0)),NA())</f>
        <v>#N/A</v>
      </c>
      <c r="S59" s="58">
        <f>IF($F$5,IF($L59="","",IFERROR(VLOOKUP($L59,day_data!$A:$I,8,FALSE),0)),NA())</f>
        <v>0.125</v>
      </c>
      <c r="T59" s="60" t="e">
        <f>IF($F$7,IF($L59="","",IFERROR(VLOOKUP($L59,day_data!$A:$I,9,FALSE),0)),NA())</f>
        <v>#N/A</v>
      </c>
    </row>
    <row r="60" spans="12:20">
      <c r="L60" s="57">
        <f t="shared" si="0"/>
        <v>43432</v>
      </c>
      <c r="M60" s="11">
        <f>IF($F$1,IF($L60="","",IFERROR(VLOOKUP($L60,day_data!$A:$I,2,FALSE),0)),NA())</f>
        <v>6</v>
      </c>
      <c r="N60" s="58" t="e">
        <f>IF($F$2,IF($L60="","",IFERROR(VLOOKUP($L60,day_data!$A:$I,3,FALSE),0)),NA())</f>
        <v>#N/A</v>
      </c>
      <c r="O60" s="11" t="e">
        <f>IF($F$3,IF($L60="","",IFERROR(VLOOKUP($L60,day_data!$A:$I,4,FALSE),0)),NA())</f>
        <v>#N/A</v>
      </c>
      <c r="P60" s="58" t="e">
        <f>IF($F$4,IF($L60="","",IFERROR(VLOOKUP($L60,day_data!$A:$I,5,FALSE),0)),NA())</f>
        <v>#N/A</v>
      </c>
      <c r="Q60" s="59" t="e">
        <f>IF($F$8,IF($L60="","",IFERROR(VLOOKUP($L60,day_data!$A:$I,6,FALSE),0)),NA())</f>
        <v>#N/A</v>
      </c>
      <c r="R60" s="11" t="e">
        <f>IF($F$6,IF($L60="","",IFERROR(VLOOKUP($L60,day_data!$A:$I,7,FALSE),0)),NA())</f>
        <v>#N/A</v>
      </c>
      <c r="S60" s="58">
        <f>IF($F$5,IF($L60="","",IFERROR(VLOOKUP($L60,day_data!$A:$I,8,FALSE),0)),NA())</f>
        <v>0</v>
      </c>
      <c r="T60" s="60" t="e">
        <f>IF($F$7,IF($L60="","",IFERROR(VLOOKUP($L60,day_data!$A:$I,9,FALSE),0)),NA())</f>
        <v>#N/A</v>
      </c>
    </row>
    <row r="61" spans="12:20">
      <c r="L61" s="57">
        <f t="shared" si="0"/>
        <v>43433</v>
      </c>
      <c r="M61" s="11">
        <f>IF($F$1,IF($L61="","",IFERROR(VLOOKUP($L61,day_data!$A:$I,2,FALSE),0)),NA())</f>
        <v>4</v>
      </c>
      <c r="N61" s="58" t="e">
        <f>IF($F$2,IF($L61="","",IFERROR(VLOOKUP($L61,day_data!$A:$I,3,FALSE),0)),NA())</f>
        <v>#N/A</v>
      </c>
      <c r="O61" s="11" t="e">
        <f>IF($F$3,IF($L61="","",IFERROR(VLOOKUP($L61,day_data!$A:$I,4,FALSE),0)),NA())</f>
        <v>#N/A</v>
      </c>
      <c r="P61" s="58" t="e">
        <f>IF($F$4,IF($L61="","",IFERROR(VLOOKUP($L61,day_data!$A:$I,5,FALSE),0)),NA())</f>
        <v>#N/A</v>
      </c>
      <c r="Q61" s="59" t="e">
        <f>IF($F$8,IF($L61="","",IFERROR(VLOOKUP($L61,day_data!$A:$I,6,FALSE),0)),NA())</f>
        <v>#N/A</v>
      </c>
      <c r="R61" s="11" t="e">
        <f>IF($F$6,IF($L61="","",IFERROR(VLOOKUP($L61,day_data!$A:$I,7,FALSE),0)),NA())</f>
        <v>#N/A</v>
      </c>
      <c r="S61" s="58">
        <f>IF($F$5,IF($L61="","",IFERROR(VLOOKUP($L61,day_data!$A:$I,8,FALSE),0)),NA())</f>
        <v>0.25</v>
      </c>
      <c r="T61" s="60" t="e">
        <f>IF($F$7,IF($L61="","",IFERROR(VLOOKUP($L61,day_data!$A:$I,9,FALSE),0)),NA())</f>
        <v>#N/A</v>
      </c>
    </row>
    <row r="62" spans="12:20">
      <c r="L62" s="57">
        <f t="shared" si="0"/>
        <v>43434</v>
      </c>
      <c r="M62" s="11">
        <f>IF($F$1,IF($L62="","",IFERROR(VLOOKUP($L62,day_data!$A:$I,2,FALSE),0)),NA())</f>
        <v>6</v>
      </c>
      <c r="N62" s="58" t="e">
        <f>IF($F$2,IF($L62="","",IFERROR(VLOOKUP($L62,day_data!$A:$I,3,FALSE),0)),NA())</f>
        <v>#N/A</v>
      </c>
      <c r="O62" s="11" t="e">
        <f>IF($F$3,IF($L62="","",IFERROR(VLOOKUP($L62,day_data!$A:$I,4,FALSE),0)),NA())</f>
        <v>#N/A</v>
      </c>
      <c r="P62" s="58" t="e">
        <f>IF($F$4,IF($L62="","",IFERROR(VLOOKUP($L62,day_data!$A:$I,5,FALSE),0)),NA())</f>
        <v>#N/A</v>
      </c>
      <c r="Q62" s="59" t="e">
        <f>IF($F$8,IF($L62="","",IFERROR(VLOOKUP($L62,day_data!$A:$I,6,FALSE),0)),NA())</f>
        <v>#N/A</v>
      </c>
      <c r="R62" s="11" t="e">
        <f>IF($F$6,IF($L62="","",IFERROR(VLOOKUP($L62,day_data!$A:$I,7,FALSE),0)),NA())</f>
        <v>#N/A</v>
      </c>
      <c r="S62" s="58">
        <f>IF($F$5,IF($L62="","",IFERROR(VLOOKUP($L62,day_data!$A:$I,8,FALSE),0)),NA())</f>
        <v>0</v>
      </c>
      <c r="T62" s="60" t="e">
        <f>IF($F$7,IF($L62="","",IFERROR(VLOOKUP($L62,day_data!$A:$I,9,FALSE),0)),NA())</f>
        <v>#N/A</v>
      </c>
    </row>
    <row r="63" spans="12:20">
      <c r="L63" s="57">
        <f t="shared" si="0"/>
        <v>43435</v>
      </c>
      <c r="M63" s="11">
        <f>IF($F$1,IF($L63="","",IFERROR(VLOOKUP($L63,day_data!$A:$I,2,FALSE),0)),NA())</f>
        <v>2</v>
      </c>
      <c r="N63" s="58" t="e">
        <f>IF($F$2,IF($L63="","",IFERROR(VLOOKUP($L63,day_data!$A:$I,3,FALSE),0)),NA())</f>
        <v>#N/A</v>
      </c>
      <c r="O63" s="11" t="e">
        <f>IF($F$3,IF($L63="","",IFERROR(VLOOKUP($L63,day_data!$A:$I,4,FALSE),0)),NA())</f>
        <v>#N/A</v>
      </c>
      <c r="P63" s="58" t="e">
        <f>IF($F$4,IF($L63="","",IFERROR(VLOOKUP($L63,day_data!$A:$I,5,FALSE),0)),NA())</f>
        <v>#N/A</v>
      </c>
      <c r="Q63" s="59" t="e">
        <f>IF($F$8,IF($L63="","",IFERROR(VLOOKUP($L63,day_data!$A:$I,6,FALSE),0)),NA())</f>
        <v>#N/A</v>
      </c>
      <c r="R63" s="11" t="e">
        <f>IF($F$6,IF($L63="","",IFERROR(VLOOKUP($L63,day_data!$A:$I,7,FALSE),0)),NA())</f>
        <v>#N/A</v>
      </c>
      <c r="S63" s="58">
        <f>IF($F$5,IF($L63="","",IFERROR(VLOOKUP($L63,day_data!$A:$I,8,FALSE),0)),NA())</f>
        <v>0</v>
      </c>
      <c r="T63" s="60" t="e">
        <f>IF($F$7,IF($L63="","",IFERROR(VLOOKUP($L63,day_data!$A:$I,9,FALSE),0)),NA())</f>
        <v>#N/A</v>
      </c>
    </row>
    <row r="64" spans="12:20">
      <c r="L64" s="57">
        <f t="shared" si="0"/>
        <v>43436</v>
      </c>
      <c r="M64" s="11">
        <f>IF($F$1,IF($L64="","",IFERROR(VLOOKUP($L64,day_data!$A:$I,2,FALSE),0)),NA())</f>
        <v>7</v>
      </c>
      <c r="N64" s="58" t="e">
        <f>IF($F$2,IF($L64="","",IFERROR(VLOOKUP($L64,day_data!$A:$I,3,FALSE),0)),NA())</f>
        <v>#N/A</v>
      </c>
      <c r="O64" s="11" t="e">
        <f>IF($F$3,IF($L64="","",IFERROR(VLOOKUP($L64,day_data!$A:$I,4,FALSE),0)),NA())</f>
        <v>#N/A</v>
      </c>
      <c r="P64" s="58" t="e">
        <f>IF($F$4,IF($L64="","",IFERROR(VLOOKUP($L64,day_data!$A:$I,5,FALSE),0)),NA())</f>
        <v>#N/A</v>
      </c>
      <c r="Q64" s="59" t="e">
        <f>IF($F$8,IF($L64="","",IFERROR(VLOOKUP($L64,day_data!$A:$I,6,FALSE),0)),NA())</f>
        <v>#N/A</v>
      </c>
      <c r="R64" s="11" t="e">
        <f>IF($F$6,IF($L64="","",IFERROR(VLOOKUP($L64,day_data!$A:$I,7,FALSE),0)),NA())</f>
        <v>#N/A</v>
      </c>
      <c r="S64" s="58">
        <f>IF($F$5,IF($L64="","",IFERROR(VLOOKUP($L64,day_data!$A:$I,8,FALSE),0)),NA())</f>
        <v>0.285714285714286</v>
      </c>
      <c r="T64" s="60" t="e">
        <f>IF($F$7,IF($L64="","",IFERROR(VLOOKUP($L64,day_data!$A:$I,9,FALSE),0)),NA())</f>
        <v>#N/A</v>
      </c>
    </row>
    <row r="65" spans="12:20">
      <c r="L65" s="57">
        <f t="shared" si="0"/>
        <v>43437</v>
      </c>
      <c r="M65" s="11">
        <f>IF($F$1,IF($L65="","",IFERROR(VLOOKUP($L65,day_data!$A:$I,2,FALSE),0)),NA())</f>
        <v>0</v>
      </c>
      <c r="N65" s="58" t="e">
        <f>IF($F$2,IF($L65="","",IFERROR(VLOOKUP($L65,day_data!$A:$I,3,FALSE),0)),NA())</f>
        <v>#N/A</v>
      </c>
      <c r="O65" s="11" t="e">
        <f>IF($F$3,IF($L65="","",IFERROR(VLOOKUP($L65,day_data!$A:$I,4,FALSE),0)),NA())</f>
        <v>#N/A</v>
      </c>
      <c r="P65" s="58" t="e">
        <f>IF($F$4,IF($L65="","",IFERROR(VLOOKUP($L65,day_data!$A:$I,5,FALSE),0)),NA())</f>
        <v>#N/A</v>
      </c>
      <c r="Q65" s="59" t="e">
        <f>IF($F$8,IF($L65="","",IFERROR(VLOOKUP($L65,day_data!$A:$I,6,FALSE),0)),NA())</f>
        <v>#N/A</v>
      </c>
      <c r="R65" s="11" t="e">
        <f>IF($F$6,IF($L65="","",IFERROR(VLOOKUP($L65,day_data!$A:$I,7,FALSE),0)),NA())</f>
        <v>#N/A</v>
      </c>
      <c r="S65" s="58">
        <f>IF($F$5,IF($L65="","",IFERROR(VLOOKUP($L65,day_data!$A:$I,8,FALSE),0)),NA())</f>
        <v>0</v>
      </c>
      <c r="T65" s="60" t="e">
        <f>IF($F$7,IF($L65="","",IFERROR(VLOOKUP($L65,day_data!$A:$I,9,FALSE),0)),NA())</f>
        <v>#N/A</v>
      </c>
    </row>
    <row r="66" spans="12:20">
      <c r="L66" s="57">
        <f t="shared" si="0"/>
        <v>43438</v>
      </c>
      <c r="M66" s="11">
        <f>IF($F$1,IF($L66="","",IFERROR(VLOOKUP($L66,day_data!$A:$I,2,FALSE),0)),NA())</f>
        <v>10</v>
      </c>
      <c r="N66" s="58" t="e">
        <f>IF($F$2,IF($L66="","",IFERROR(VLOOKUP($L66,day_data!$A:$I,3,FALSE),0)),NA())</f>
        <v>#N/A</v>
      </c>
      <c r="O66" s="11" t="e">
        <f>IF($F$3,IF($L66="","",IFERROR(VLOOKUP($L66,day_data!$A:$I,4,FALSE),0)),NA())</f>
        <v>#N/A</v>
      </c>
      <c r="P66" s="58" t="e">
        <f>IF($F$4,IF($L66="","",IFERROR(VLOOKUP($L66,day_data!$A:$I,5,FALSE),0)),NA())</f>
        <v>#N/A</v>
      </c>
      <c r="Q66" s="59" t="e">
        <f>IF($F$8,IF($L66="","",IFERROR(VLOOKUP($L66,day_data!$A:$I,6,FALSE),0)),NA())</f>
        <v>#N/A</v>
      </c>
      <c r="R66" s="11" t="e">
        <f>IF($F$6,IF($L66="","",IFERROR(VLOOKUP($L66,day_data!$A:$I,7,FALSE),0)),NA())</f>
        <v>#N/A</v>
      </c>
      <c r="S66" s="58">
        <f>IF($F$5,IF($L66="","",IFERROR(VLOOKUP($L66,day_data!$A:$I,8,FALSE),0)),NA())</f>
        <v>0.1</v>
      </c>
      <c r="T66" s="60" t="e">
        <f>IF($F$7,IF($L66="","",IFERROR(VLOOKUP($L66,day_data!$A:$I,9,FALSE),0)),NA())</f>
        <v>#N/A</v>
      </c>
    </row>
    <row r="67" spans="12:20">
      <c r="L67" s="57">
        <f t="shared" si="0"/>
        <v>43439</v>
      </c>
      <c r="M67" s="11">
        <f>IF($F$1,IF($L67="","",IFERROR(VLOOKUP($L67,day_data!$A:$I,2,FALSE),0)),NA())</f>
        <v>5</v>
      </c>
      <c r="N67" s="58" t="e">
        <f>IF($F$2,IF($L67="","",IFERROR(VLOOKUP($L67,day_data!$A:$I,3,FALSE),0)),NA())</f>
        <v>#N/A</v>
      </c>
      <c r="O67" s="11" t="e">
        <f>IF($F$3,IF($L67="","",IFERROR(VLOOKUP($L67,day_data!$A:$I,4,FALSE),0)),NA())</f>
        <v>#N/A</v>
      </c>
      <c r="P67" s="58" t="e">
        <f>IF($F$4,IF($L67="","",IFERROR(VLOOKUP($L67,day_data!$A:$I,5,FALSE),0)),NA())</f>
        <v>#N/A</v>
      </c>
      <c r="Q67" s="59" t="e">
        <f>IF($F$8,IF($L67="","",IFERROR(VLOOKUP($L67,day_data!$A:$I,6,FALSE),0)),NA())</f>
        <v>#N/A</v>
      </c>
      <c r="R67" s="11" t="e">
        <f>IF($F$6,IF($L67="","",IFERROR(VLOOKUP($L67,day_data!$A:$I,7,FALSE),0)),NA())</f>
        <v>#N/A</v>
      </c>
      <c r="S67" s="58">
        <f>IF($F$5,IF($L67="","",IFERROR(VLOOKUP($L67,day_data!$A:$I,8,FALSE),0)),NA())</f>
        <v>0</v>
      </c>
      <c r="T67" s="60" t="e">
        <f>IF($F$7,IF($L67="","",IFERROR(VLOOKUP($L67,day_data!$A:$I,9,FALSE),0)),NA())</f>
        <v>#N/A</v>
      </c>
    </row>
    <row r="68" spans="12:20">
      <c r="L68" s="57">
        <f t="shared" ref="L68:L131" si="1">IF(ROW(L68)-1&gt;$C$1,"",L67+1)</f>
        <v>43440</v>
      </c>
      <c r="M68" s="11">
        <f>IF($F$1,IF($L68="","",IFERROR(VLOOKUP($L68,day_data!$A:$I,2,FALSE),0)),NA())</f>
        <v>14</v>
      </c>
      <c r="N68" s="58" t="e">
        <f>IF($F$2,IF($L68="","",IFERROR(VLOOKUP($L68,day_data!$A:$I,3,FALSE),0)),NA())</f>
        <v>#N/A</v>
      </c>
      <c r="O68" s="11" t="e">
        <f>IF($F$3,IF($L68="","",IFERROR(VLOOKUP($L68,day_data!$A:$I,4,FALSE),0)),NA())</f>
        <v>#N/A</v>
      </c>
      <c r="P68" s="58" t="e">
        <f>IF($F$4,IF($L68="","",IFERROR(VLOOKUP($L68,day_data!$A:$I,5,FALSE),0)),NA())</f>
        <v>#N/A</v>
      </c>
      <c r="Q68" s="59" t="e">
        <f>IF($F$8,IF($L68="","",IFERROR(VLOOKUP($L68,day_data!$A:$I,6,FALSE),0)),NA())</f>
        <v>#N/A</v>
      </c>
      <c r="R68" s="11" t="e">
        <f>IF($F$6,IF($L68="","",IFERROR(VLOOKUP($L68,day_data!$A:$I,7,FALSE),0)),NA())</f>
        <v>#N/A</v>
      </c>
      <c r="S68" s="58">
        <f>IF($F$5,IF($L68="","",IFERROR(VLOOKUP($L68,day_data!$A:$I,8,FALSE),0)),NA())</f>
        <v>0</v>
      </c>
      <c r="T68" s="60" t="e">
        <f>IF($F$7,IF($L68="","",IFERROR(VLOOKUP($L68,day_data!$A:$I,9,FALSE),0)),NA())</f>
        <v>#N/A</v>
      </c>
    </row>
    <row r="69" spans="12:20">
      <c r="L69" s="57" t="str">
        <f t="shared" si="1"/>
        <v/>
      </c>
      <c r="M69" s="11" t="str">
        <f>IF($F$1,IF($L69="","",IFERROR(VLOOKUP($L69,day_data!$A:$I,2,FALSE),0)),NA())</f>
        <v/>
      </c>
      <c r="N69" s="58" t="e">
        <f>IF($F$2,IF($L69="","",IFERROR(VLOOKUP($L69,day_data!$A:$I,3,FALSE),0)),NA())</f>
        <v>#N/A</v>
      </c>
      <c r="O69" s="11" t="e">
        <f>IF($F$3,IF($L69="","",IFERROR(VLOOKUP($L69,day_data!$A:$I,4,FALSE),0)),NA())</f>
        <v>#N/A</v>
      </c>
      <c r="P69" s="58" t="e">
        <f>IF($F$4,IF($L69="","",IFERROR(VLOOKUP($L69,day_data!$A:$I,5,FALSE),0)),NA())</f>
        <v>#N/A</v>
      </c>
      <c r="Q69" s="59" t="e">
        <f>IF($F$8,IF($L69="","",IFERROR(VLOOKUP($L69,day_data!$A:$I,6,FALSE),0)),NA())</f>
        <v>#N/A</v>
      </c>
      <c r="R69" s="11" t="e">
        <f>IF($F$6,IF($L69="","",IFERROR(VLOOKUP($L69,day_data!$A:$I,7,FALSE),0)),NA())</f>
        <v>#N/A</v>
      </c>
      <c r="S69" s="58" t="str">
        <f>IF($F$5,IF($L69="","",IFERROR(VLOOKUP($L69,day_data!$A:$I,8,FALSE),0)),NA())</f>
        <v/>
      </c>
      <c r="T69" s="60" t="e">
        <f>IF($F$7,IF($L69="","",IFERROR(VLOOKUP($L69,day_data!$A:$I,9,FALSE),0)),NA())</f>
        <v>#N/A</v>
      </c>
    </row>
    <row r="70" spans="12:20">
      <c r="L70" s="57" t="str">
        <f t="shared" si="1"/>
        <v/>
      </c>
      <c r="M70" s="11" t="str">
        <f>IF($F$1,IF($L70="","",IFERROR(VLOOKUP($L70,day_data!$A:$I,2,FALSE),0)),NA())</f>
        <v/>
      </c>
      <c r="N70" s="58" t="e">
        <f>IF($F$2,IF($L70="","",IFERROR(VLOOKUP($L70,day_data!$A:$I,3,FALSE),0)),NA())</f>
        <v>#N/A</v>
      </c>
      <c r="O70" s="11" t="e">
        <f>IF($F$3,IF($L70="","",IFERROR(VLOOKUP($L70,day_data!$A:$I,4,FALSE),0)),NA())</f>
        <v>#N/A</v>
      </c>
      <c r="P70" s="58" t="e">
        <f>IF($F$4,IF($L70="","",IFERROR(VLOOKUP($L70,day_data!$A:$I,5,FALSE),0)),NA())</f>
        <v>#N/A</v>
      </c>
      <c r="Q70" s="59" t="e">
        <f>IF($F$8,IF($L70="","",IFERROR(VLOOKUP($L70,day_data!$A:$I,6,FALSE),0)),NA())</f>
        <v>#N/A</v>
      </c>
      <c r="R70" s="11" t="e">
        <f>IF($F$6,IF($L70="","",IFERROR(VLOOKUP($L70,day_data!$A:$I,7,FALSE),0)),NA())</f>
        <v>#N/A</v>
      </c>
      <c r="S70" s="58" t="str">
        <f>IF($F$5,IF($L70="","",IFERROR(VLOOKUP($L70,day_data!$A:$I,8,FALSE),0)),NA())</f>
        <v/>
      </c>
      <c r="T70" s="60" t="e">
        <f>IF($F$7,IF($L70="","",IFERROR(VLOOKUP($L70,day_data!$A:$I,9,FALSE),0)),NA())</f>
        <v>#N/A</v>
      </c>
    </row>
    <row r="71" spans="12:20">
      <c r="L71" s="57" t="str">
        <f t="shared" si="1"/>
        <v/>
      </c>
      <c r="M71" s="11" t="str">
        <f>IF($F$1,IF($L71="","",IFERROR(VLOOKUP($L71,day_data!$A:$I,2,FALSE),0)),NA())</f>
        <v/>
      </c>
      <c r="N71" s="58" t="e">
        <f>IF($F$2,IF($L71="","",IFERROR(VLOOKUP($L71,day_data!$A:$I,3,FALSE),0)),NA())</f>
        <v>#N/A</v>
      </c>
      <c r="O71" s="11" t="e">
        <f>IF($F$3,IF($L71="","",IFERROR(VLOOKUP($L71,day_data!$A:$I,4,FALSE),0)),NA())</f>
        <v>#N/A</v>
      </c>
      <c r="P71" s="58" t="e">
        <f>IF($F$4,IF($L71="","",IFERROR(VLOOKUP($L71,day_data!$A:$I,5,FALSE),0)),NA())</f>
        <v>#N/A</v>
      </c>
      <c r="Q71" s="59" t="e">
        <f>IF($F$8,IF($L71="","",IFERROR(VLOOKUP($L71,day_data!$A:$I,6,FALSE),0)),NA())</f>
        <v>#N/A</v>
      </c>
      <c r="R71" s="11" t="e">
        <f>IF($F$6,IF($L71="","",IFERROR(VLOOKUP($L71,day_data!$A:$I,7,FALSE),0)),NA())</f>
        <v>#N/A</v>
      </c>
      <c r="S71" s="58" t="str">
        <f>IF($F$5,IF($L71="","",IFERROR(VLOOKUP($L71,day_data!$A:$I,8,FALSE),0)),NA())</f>
        <v/>
      </c>
      <c r="T71" s="60" t="e">
        <f>IF($F$7,IF($L71="","",IFERROR(VLOOKUP($L71,day_data!$A:$I,9,FALSE),0)),NA())</f>
        <v>#N/A</v>
      </c>
    </row>
    <row r="72" spans="12:20">
      <c r="L72" s="57" t="str">
        <f t="shared" si="1"/>
        <v/>
      </c>
      <c r="M72" s="11" t="str">
        <f>IF($F$1,IF($L72="","",IFERROR(VLOOKUP($L72,day_data!$A:$I,2,FALSE),0)),NA())</f>
        <v/>
      </c>
      <c r="N72" s="58" t="e">
        <f>IF($F$2,IF($L72="","",IFERROR(VLOOKUP($L72,day_data!$A:$I,3,FALSE),0)),NA())</f>
        <v>#N/A</v>
      </c>
      <c r="O72" s="11" t="e">
        <f>IF($F$3,IF($L72="","",IFERROR(VLOOKUP($L72,day_data!$A:$I,4,FALSE),0)),NA())</f>
        <v>#N/A</v>
      </c>
      <c r="P72" s="58" t="e">
        <f>IF($F$4,IF($L72="","",IFERROR(VLOOKUP($L72,day_data!$A:$I,5,FALSE),0)),NA())</f>
        <v>#N/A</v>
      </c>
      <c r="Q72" s="59" t="e">
        <f>IF($F$8,IF($L72="","",IFERROR(VLOOKUP($L72,day_data!$A:$I,6,FALSE),0)),NA())</f>
        <v>#N/A</v>
      </c>
      <c r="R72" s="11" t="e">
        <f>IF($F$6,IF($L72="","",IFERROR(VLOOKUP($L72,day_data!$A:$I,7,FALSE),0)),NA())</f>
        <v>#N/A</v>
      </c>
      <c r="S72" s="58" t="str">
        <f>IF($F$5,IF($L72="","",IFERROR(VLOOKUP($L72,day_data!$A:$I,8,FALSE),0)),NA())</f>
        <v/>
      </c>
      <c r="T72" s="60" t="e">
        <f>IF($F$7,IF($L72="","",IFERROR(VLOOKUP($L72,day_data!$A:$I,9,FALSE),0)),NA())</f>
        <v>#N/A</v>
      </c>
    </row>
    <row r="73" spans="12:20">
      <c r="L73" s="57" t="str">
        <f t="shared" si="1"/>
        <v/>
      </c>
      <c r="M73" s="11" t="str">
        <f>IF($F$1,IF($L73="","",IFERROR(VLOOKUP($L73,day_data!$A:$I,2,FALSE),0)),NA())</f>
        <v/>
      </c>
      <c r="N73" s="58" t="e">
        <f>IF($F$2,IF($L73="","",IFERROR(VLOOKUP($L73,day_data!$A:$I,3,FALSE),0)),NA())</f>
        <v>#N/A</v>
      </c>
      <c r="O73" s="11" t="e">
        <f>IF($F$3,IF($L73="","",IFERROR(VLOOKUP($L73,day_data!$A:$I,4,FALSE),0)),NA())</f>
        <v>#N/A</v>
      </c>
      <c r="P73" s="58" t="e">
        <f>IF($F$4,IF($L73="","",IFERROR(VLOOKUP($L73,day_data!$A:$I,5,FALSE),0)),NA())</f>
        <v>#N/A</v>
      </c>
      <c r="Q73" s="59" t="e">
        <f>IF($F$8,IF($L73="","",IFERROR(VLOOKUP($L73,day_data!$A:$I,6,FALSE),0)),NA())</f>
        <v>#N/A</v>
      </c>
      <c r="R73" s="11" t="e">
        <f>IF($F$6,IF($L73="","",IFERROR(VLOOKUP($L73,day_data!$A:$I,7,FALSE),0)),NA())</f>
        <v>#N/A</v>
      </c>
      <c r="S73" s="58" t="str">
        <f>IF($F$5,IF($L73="","",IFERROR(VLOOKUP($L73,day_data!$A:$I,8,FALSE),0)),NA())</f>
        <v/>
      </c>
      <c r="T73" s="60" t="e">
        <f>IF($F$7,IF($L73="","",IFERROR(VLOOKUP($L73,day_data!$A:$I,9,FALSE),0)),NA())</f>
        <v>#N/A</v>
      </c>
    </row>
    <row r="74" spans="12:20">
      <c r="L74" s="57" t="str">
        <f t="shared" si="1"/>
        <v/>
      </c>
      <c r="M74" s="11" t="str">
        <f>IF($F$1,IF($L74="","",IFERROR(VLOOKUP($L74,day_data!$A:$I,2,FALSE),0)),NA())</f>
        <v/>
      </c>
      <c r="N74" s="58" t="e">
        <f>IF($F$2,IF($L74="","",IFERROR(VLOOKUP($L74,day_data!$A:$I,3,FALSE),0)),NA())</f>
        <v>#N/A</v>
      </c>
      <c r="O74" s="11" t="e">
        <f>IF($F$3,IF($L74="","",IFERROR(VLOOKUP($L74,day_data!$A:$I,4,FALSE),0)),NA())</f>
        <v>#N/A</v>
      </c>
      <c r="P74" s="58" t="e">
        <f>IF($F$4,IF($L74="","",IFERROR(VLOOKUP($L74,day_data!$A:$I,5,FALSE),0)),NA())</f>
        <v>#N/A</v>
      </c>
      <c r="Q74" s="59" t="e">
        <f>IF($F$8,IF($L74="","",IFERROR(VLOOKUP($L74,day_data!$A:$I,6,FALSE),0)),NA())</f>
        <v>#N/A</v>
      </c>
      <c r="R74" s="11" t="e">
        <f>IF($F$6,IF($L74="","",IFERROR(VLOOKUP($L74,day_data!$A:$I,7,FALSE),0)),NA())</f>
        <v>#N/A</v>
      </c>
      <c r="S74" s="58" t="str">
        <f>IF($F$5,IF($L74="","",IFERROR(VLOOKUP($L74,day_data!$A:$I,8,FALSE),0)),NA())</f>
        <v/>
      </c>
      <c r="T74" s="60" t="e">
        <f>IF($F$7,IF($L74="","",IFERROR(VLOOKUP($L74,day_data!$A:$I,9,FALSE),0)),NA())</f>
        <v>#N/A</v>
      </c>
    </row>
    <row r="75" spans="12:20">
      <c r="L75" s="57" t="str">
        <f t="shared" si="1"/>
        <v/>
      </c>
      <c r="M75" s="11" t="str">
        <f>IF($F$1,IF($L75="","",IFERROR(VLOOKUP($L75,day_data!$A:$I,2,FALSE),0)),NA())</f>
        <v/>
      </c>
      <c r="N75" s="58" t="e">
        <f>IF($F$2,IF($L75="","",IFERROR(VLOOKUP($L75,day_data!$A:$I,3,FALSE),0)),NA())</f>
        <v>#N/A</v>
      </c>
      <c r="O75" s="11" t="e">
        <f>IF($F$3,IF($L75="","",IFERROR(VLOOKUP($L75,day_data!$A:$I,4,FALSE),0)),NA())</f>
        <v>#N/A</v>
      </c>
      <c r="P75" s="58" t="e">
        <f>IF($F$4,IF($L75="","",IFERROR(VLOOKUP($L75,day_data!$A:$I,5,FALSE),0)),NA())</f>
        <v>#N/A</v>
      </c>
      <c r="Q75" s="59" t="e">
        <f>IF($F$8,IF($L75="","",IFERROR(VLOOKUP($L75,day_data!$A:$I,6,FALSE),0)),NA())</f>
        <v>#N/A</v>
      </c>
      <c r="R75" s="11" t="e">
        <f>IF($F$6,IF($L75="","",IFERROR(VLOOKUP($L75,day_data!$A:$I,7,FALSE),0)),NA())</f>
        <v>#N/A</v>
      </c>
      <c r="S75" s="58" t="str">
        <f>IF($F$5,IF($L75="","",IFERROR(VLOOKUP($L75,day_data!$A:$I,8,FALSE),0)),NA())</f>
        <v/>
      </c>
      <c r="T75" s="60" t="e">
        <f>IF($F$7,IF($L75="","",IFERROR(VLOOKUP($L75,day_data!$A:$I,9,FALSE),0)),NA())</f>
        <v>#N/A</v>
      </c>
    </row>
    <row r="76" spans="12:20">
      <c r="L76" s="57" t="str">
        <f t="shared" si="1"/>
        <v/>
      </c>
      <c r="M76" s="11" t="str">
        <f>IF($F$1,IF($L76="","",IFERROR(VLOOKUP($L76,day_data!$A:$I,2,FALSE),0)),NA())</f>
        <v/>
      </c>
      <c r="N76" s="58" t="e">
        <f>IF($F$2,IF($L76="","",IFERROR(VLOOKUP($L76,day_data!$A:$I,3,FALSE),0)),NA())</f>
        <v>#N/A</v>
      </c>
      <c r="O76" s="11" t="e">
        <f>IF($F$3,IF($L76="","",IFERROR(VLOOKUP($L76,day_data!$A:$I,4,FALSE),0)),NA())</f>
        <v>#N/A</v>
      </c>
      <c r="P76" s="58" t="e">
        <f>IF($F$4,IF($L76="","",IFERROR(VLOOKUP($L76,day_data!$A:$I,5,FALSE),0)),NA())</f>
        <v>#N/A</v>
      </c>
      <c r="Q76" s="59" t="e">
        <f>IF($F$8,IF($L76="","",IFERROR(VLOOKUP($L76,day_data!$A:$I,6,FALSE),0)),NA())</f>
        <v>#N/A</v>
      </c>
      <c r="R76" s="11" t="e">
        <f>IF($F$6,IF($L76="","",IFERROR(VLOOKUP($L76,day_data!$A:$I,7,FALSE),0)),NA())</f>
        <v>#N/A</v>
      </c>
      <c r="S76" s="58" t="str">
        <f>IF($F$5,IF($L76="","",IFERROR(VLOOKUP($L76,day_data!$A:$I,8,FALSE),0)),NA())</f>
        <v/>
      </c>
      <c r="T76" s="60" t="e">
        <f>IF($F$7,IF($L76="","",IFERROR(VLOOKUP($L76,day_data!$A:$I,9,FALSE),0)),NA())</f>
        <v>#N/A</v>
      </c>
    </row>
    <row r="77" spans="12:20">
      <c r="L77" s="57" t="str">
        <f t="shared" si="1"/>
        <v/>
      </c>
      <c r="M77" s="11" t="str">
        <f>IF($F$1,IF($L77="","",IFERROR(VLOOKUP($L77,day_data!$A:$I,2,FALSE),0)),NA())</f>
        <v/>
      </c>
      <c r="N77" s="58" t="e">
        <f>IF($F$2,IF($L77="","",IFERROR(VLOOKUP($L77,day_data!$A:$I,3,FALSE),0)),NA())</f>
        <v>#N/A</v>
      </c>
      <c r="O77" s="11" t="e">
        <f>IF($F$3,IF($L77="","",IFERROR(VLOOKUP($L77,day_data!$A:$I,4,FALSE),0)),NA())</f>
        <v>#N/A</v>
      </c>
      <c r="P77" s="58" t="e">
        <f>IF($F$4,IF($L77="","",IFERROR(VLOOKUP($L77,day_data!$A:$I,5,FALSE),0)),NA())</f>
        <v>#N/A</v>
      </c>
      <c r="Q77" s="59" t="e">
        <f>IF($F$8,IF($L77="","",IFERROR(VLOOKUP($L77,day_data!$A:$I,6,FALSE),0)),NA())</f>
        <v>#N/A</v>
      </c>
      <c r="R77" s="11" t="e">
        <f>IF($F$6,IF($L77="","",IFERROR(VLOOKUP($L77,day_data!$A:$I,7,FALSE),0)),NA())</f>
        <v>#N/A</v>
      </c>
      <c r="S77" s="58" t="str">
        <f>IF($F$5,IF($L77="","",IFERROR(VLOOKUP($L77,day_data!$A:$I,8,FALSE),0)),NA())</f>
        <v/>
      </c>
      <c r="T77" s="60" t="e">
        <f>IF($F$7,IF($L77="","",IFERROR(VLOOKUP($L77,day_data!$A:$I,9,FALSE),0)),NA())</f>
        <v>#N/A</v>
      </c>
    </row>
    <row r="78" spans="12:20">
      <c r="L78" s="57" t="str">
        <f t="shared" si="1"/>
        <v/>
      </c>
      <c r="M78" s="11" t="str">
        <f>IF($F$1,IF($L78="","",IFERROR(VLOOKUP($L78,day_data!$A:$I,2,FALSE),0)),NA())</f>
        <v/>
      </c>
      <c r="N78" s="58" t="e">
        <f>IF($F$2,IF($L78="","",IFERROR(VLOOKUP($L78,day_data!$A:$I,3,FALSE),0)),NA())</f>
        <v>#N/A</v>
      </c>
      <c r="O78" s="11" t="e">
        <f>IF($F$3,IF($L78="","",IFERROR(VLOOKUP($L78,day_data!$A:$I,4,FALSE),0)),NA())</f>
        <v>#N/A</v>
      </c>
      <c r="P78" s="58" t="e">
        <f>IF($F$4,IF($L78="","",IFERROR(VLOOKUP($L78,day_data!$A:$I,5,FALSE),0)),NA())</f>
        <v>#N/A</v>
      </c>
      <c r="Q78" s="59" t="e">
        <f>IF($F$8,IF($L78="","",IFERROR(VLOOKUP($L78,day_data!$A:$I,6,FALSE),0)),NA())</f>
        <v>#N/A</v>
      </c>
      <c r="R78" s="11" t="e">
        <f>IF($F$6,IF($L78="","",IFERROR(VLOOKUP($L78,day_data!$A:$I,7,FALSE),0)),NA())</f>
        <v>#N/A</v>
      </c>
      <c r="S78" s="58" t="str">
        <f>IF($F$5,IF($L78="","",IFERROR(VLOOKUP($L78,day_data!$A:$I,8,FALSE),0)),NA())</f>
        <v/>
      </c>
      <c r="T78" s="60" t="e">
        <f>IF($F$7,IF($L78="","",IFERROR(VLOOKUP($L78,day_data!$A:$I,9,FALSE),0)),NA())</f>
        <v>#N/A</v>
      </c>
    </row>
    <row r="79" spans="12:20">
      <c r="L79" s="57" t="str">
        <f t="shared" si="1"/>
        <v/>
      </c>
      <c r="M79" s="11" t="str">
        <f>IF($F$1,IF($L79="","",IFERROR(VLOOKUP($L79,day_data!$A:$I,2,FALSE),0)),NA())</f>
        <v/>
      </c>
      <c r="N79" s="58" t="e">
        <f>IF($F$2,IF($L79="","",IFERROR(VLOOKUP($L79,day_data!$A:$I,3,FALSE),0)),NA())</f>
        <v>#N/A</v>
      </c>
      <c r="O79" s="11" t="e">
        <f>IF($F$3,IF($L79="","",IFERROR(VLOOKUP($L79,day_data!$A:$I,4,FALSE),0)),NA())</f>
        <v>#N/A</v>
      </c>
      <c r="P79" s="58" t="e">
        <f>IF($F$4,IF($L79="","",IFERROR(VLOOKUP($L79,day_data!$A:$I,5,FALSE),0)),NA())</f>
        <v>#N/A</v>
      </c>
      <c r="Q79" s="59" t="e">
        <f>IF($F$8,IF($L79="","",IFERROR(VLOOKUP($L79,day_data!$A:$I,6,FALSE),0)),NA())</f>
        <v>#N/A</v>
      </c>
      <c r="R79" s="11" t="e">
        <f>IF($F$6,IF($L79="","",IFERROR(VLOOKUP($L79,day_data!$A:$I,7,FALSE),0)),NA())</f>
        <v>#N/A</v>
      </c>
      <c r="S79" s="58" t="str">
        <f>IF($F$5,IF($L79="","",IFERROR(VLOOKUP($L79,day_data!$A:$I,8,FALSE),0)),NA())</f>
        <v/>
      </c>
      <c r="T79" s="60" t="e">
        <f>IF($F$7,IF($L79="","",IFERROR(VLOOKUP($L79,day_data!$A:$I,9,FALSE),0)),NA())</f>
        <v>#N/A</v>
      </c>
    </row>
    <row r="80" spans="12:20">
      <c r="L80" s="57" t="str">
        <f t="shared" si="1"/>
        <v/>
      </c>
      <c r="M80" s="11" t="str">
        <f>IF($F$1,IF($L80="","",IFERROR(VLOOKUP($L80,day_data!$A:$I,2,FALSE),0)),NA())</f>
        <v/>
      </c>
      <c r="N80" s="58" t="e">
        <f>IF($F$2,IF($L80="","",IFERROR(VLOOKUP($L80,day_data!$A:$I,3,FALSE),0)),NA())</f>
        <v>#N/A</v>
      </c>
      <c r="O80" s="11" t="e">
        <f>IF($F$3,IF($L80="","",IFERROR(VLOOKUP($L80,day_data!$A:$I,4,FALSE),0)),NA())</f>
        <v>#N/A</v>
      </c>
      <c r="P80" s="58" t="e">
        <f>IF($F$4,IF($L80="","",IFERROR(VLOOKUP($L80,day_data!$A:$I,5,FALSE),0)),NA())</f>
        <v>#N/A</v>
      </c>
      <c r="Q80" s="59" t="e">
        <f>IF($F$8,IF($L80="","",IFERROR(VLOOKUP($L80,day_data!$A:$I,6,FALSE),0)),NA())</f>
        <v>#N/A</v>
      </c>
      <c r="R80" s="11" t="e">
        <f>IF($F$6,IF($L80="","",IFERROR(VLOOKUP($L80,day_data!$A:$I,7,FALSE),0)),NA())</f>
        <v>#N/A</v>
      </c>
      <c r="S80" s="58" t="str">
        <f>IF($F$5,IF($L80="","",IFERROR(VLOOKUP($L80,day_data!$A:$I,8,FALSE),0)),NA())</f>
        <v/>
      </c>
      <c r="T80" s="60" t="e">
        <f>IF($F$7,IF($L80="","",IFERROR(VLOOKUP($L80,day_data!$A:$I,9,FALSE),0)),NA())</f>
        <v>#N/A</v>
      </c>
    </row>
    <row r="81" spans="12:20">
      <c r="L81" s="57" t="str">
        <f t="shared" si="1"/>
        <v/>
      </c>
      <c r="M81" s="11" t="str">
        <f>IF($F$1,IF($L81="","",IFERROR(VLOOKUP($L81,day_data!$A:$I,2,FALSE),0)),NA())</f>
        <v/>
      </c>
      <c r="N81" s="58" t="e">
        <f>IF($F$2,IF($L81="","",IFERROR(VLOOKUP($L81,day_data!$A:$I,3,FALSE),0)),NA())</f>
        <v>#N/A</v>
      </c>
      <c r="O81" s="11" t="e">
        <f>IF($F$3,IF($L81="","",IFERROR(VLOOKUP($L81,day_data!$A:$I,4,FALSE),0)),NA())</f>
        <v>#N/A</v>
      </c>
      <c r="P81" s="58" t="e">
        <f>IF($F$4,IF($L81="","",IFERROR(VLOOKUP($L81,day_data!$A:$I,5,FALSE),0)),NA())</f>
        <v>#N/A</v>
      </c>
      <c r="Q81" s="59" t="e">
        <f>IF($F$8,IF($L81="","",IFERROR(VLOOKUP($L81,day_data!$A:$I,6,FALSE),0)),NA())</f>
        <v>#N/A</v>
      </c>
      <c r="R81" s="11" t="e">
        <f>IF($F$6,IF($L81="","",IFERROR(VLOOKUP($L81,day_data!$A:$I,7,FALSE),0)),NA())</f>
        <v>#N/A</v>
      </c>
      <c r="S81" s="58" t="str">
        <f>IF($F$5,IF($L81="","",IFERROR(VLOOKUP($L81,day_data!$A:$I,8,FALSE),0)),NA())</f>
        <v/>
      </c>
      <c r="T81" s="60" t="e">
        <f>IF($F$7,IF($L81="","",IFERROR(VLOOKUP($L81,day_data!$A:$I,9,FALSE),0)),NA())</f>
        <v>#N/A</v>
      </c>
    </row>
    <row r="82" spans="12:20">
      <c r="L82" s="57" t="str">
        <f t="shared" si="1"/>
        <v/>
      </c>
      <c r="M82" s="11" t="str">
        <f>IF($F$1,IF($L82="","",IFERROR(VLOOKUP($L82,day_data!$A:$I,2,FALSE),0)),NA())</f>
        <v/>
      </c>
      <c r="N82" s="58" t="e">
        <f>IF($F$2,IF($L82="","",IFERROR(VLOOKUP($L82,day_data!$A:$I,3,FALSE),0)),NA())</f>
        <v>#N/A</v>
      </c>
      <c r="O82" s="11" t="e">
        <f>IF($F$3,IF($L82="","",IFERROR(VLOOKUP($L82,day_data!$A:$I,4,FALSE),0)),NA())</f>
        <v>#N/A</v>
      </c>
      <c r="P82" s="58" t="e">
        <f>IF($F$4,IF($L82="","",IFERROR(VLOOKUP($L82,day_data!$A:$I,5,FALSE),0)),NA())</f>
        <v>#N/A</v>
      </c>
      <c r="Q82" s="59" t="e">
        <f>IF($F$8,IF($L82="","",IFERROR(VLOOKUP($L82,day_data!$A:$I,6,FALSE),0)),NA())</f>
        <v>#N/A</v>
      </c>
      <c r="R82" s="11" t="e">
        <f>IF($F$6,IF($L82="","",IFERROR(VLOOKUP($L82,day_data!$A:$I,7,FALSE),0)),NA())</f>
        <v>#N/A</v>
      </c>
      <c r="S82" s="58" t="str">
        <f>IF($F$5,IF($L82="","",IFERROR(VLOOKUP($L82,day_data!$A:$I,8,FALSE),0)),NA())</f>
        <v/>
      </c>
      <c r="T82" s="60" t="e">
        <f>IF($F$7,IF($L82="","",IFERROR(VLOOKUP($L82,day_data!$A:$I,9,FALSE),0)),NA())</f>
        <v>#N/A</v>
      </c>
    </row>
    <row r="83" spans="12:20">
      <c r="L83" s="57" t="str">
        <f t="shared" si="1"/>
        <v/>
      </c>
      <c r="M83" s="11" t="str">
        <f>IF($F$1,IF($L83="","",IFERROR(VLOOKUP($L83,day_data!$A:$I,2,FALSE),0)),NA())</f>
        <v/>
      </c>
      <c r="N83" s="58" t="e">
        <f>IF($F$2,IF($L83="","",IFERROR(VLOOKUP($L83,day_data!$A:$I,3,FALSE),0)),NA())</f>
        <v>#N/A</v>
      </c>
      <c r="O83" s="11" t="e">
        <f>IF($F$3,IF($L83="","",IFERROR(VLOOKUP($L83,day_data!$A:$I,4,FALSE),0)),NA())</f>
        <v>#N/A</v>
      </c>
      <c r="P83" s="58" t="e">
        <f>IF($F$4,IF($L83="","",IFERROR(VLOOKUP($L83,day_data!$A:$I,5,FALSE),0)),NA())</f>
        <v>#N/A</v>
      </c>
      <c r="Q83" s="59" t="e">
        <f>IF($F$8,IF($L83="","",IFERROR(VLOOKUP($L83,day_data!$A:$I,6,FALSE),0)),NA())</f>
        <v>#N/A</v>
      </c>
      <c r="R83" s="11" t="e">
        <f>IF($F$6,IF($L83="","",IFERROR(VLOOKUP($L83,day_data!$A:$I,7,FALSE),0)),NA())</f>
        <v>#N/A</v>
      </c>
      <c r="S83" s="58" t="str">
        <f>IF($F$5,IF($L83="","",IFERROR(VLOOKUP($L83,day_data!$A:$I,8,FALSE),0)),NA())</f>
        <v/>
      </c>
      <c r="T83" s="60" t="e">
        <f>IF($F$7,IF($L83="","",IFERROR(VLOOKUP($L83,day_data!$A:$I,9,FALSE),0)),NA())</f>
        <v>#N/A</v>
      </c>
    </row>
    <row r="84" spans="12:20">
      <c r="L84" s="57" t="str">
        <f t="shared" si="1"/>
        <v/>
      </c>
      <c r="M84" s="11" t="str">
        <f>IF($F$1,IF($L84="","",IFERROR(VLOOKUP($L84,day_data!$A:$I,2,FALSE),0)),NA())</f>
        <v/>
      </c>
      <c r="N84" s="58" t="e">
        <f>IF($F$2,IF($L84="","",IFERROR(VLOOKUP($L84,day_data!$A:$I,3,FALSE),0)),NA())</f>
        <v>#N/A</v>
      </c>
      <c r="O84" s="11" t="e">
        <f>IF($F$3,IF($L84="","",IFERROR(VLOOKUP($L84,day_data!$A:$I,4,FALSE),0)),NA())</f>
        <v>#N/A</v>
      </c>
      <c r="P84" s="58" t="e">
        <f>IF($F$4,IF($L84="","",IFERROR(VLOOKUP($L84,day_data!$A:$I,5,FALSE),0)),NA())</f>
        <v>#N/A</v>
      </c>
      <c r="Q84" s="59" t="e">
        <f>IF($F$8,IF($L84="","",IFERROR(VLOOKUP($L84,day_data!$A:$I,6,FALSE),0)),NA())</f>
        <v>#N/A</v>
      </c>
      <c r="R84" s="11" t="e">
        <f>IF($F$6,IF($L84="","",IFERROR(VLOOKUP($L84,day_data!$A:$I,7,FALSE),0)),NA())</f>
        <v>#N/A</v>
      </c>
      <c r="S84" s="58" t="str">
        <f>IF($F$5,IF($L84="","",IFERROR(VLOOKUP($L84,day_data!$A:$I,8,FALSE),0)),NA())</f>
        <v/>
      </c>
      <c r="T84" s="60" t="e">
        <f>IF($F$7,IF($L84="","",IFERROR(VLOOKUP($L84,day_data!$A:$I,9,FALSE),0)),NA())</f>
        <v>#N/A</v>
      </c>
    </row>
    <row r="85" spans="12:20">
      <c r="L85" s="57" t="str">
        <f t="shared" si="1"/>
        <v/>
      </c>
      <c r="M85" s="11" t="str">
        <f>IF($F$1,IF($L85="","",IFERROR(VLOOKUP($L85,day_data!$A:$I,2,FALSE),0)),NA())</f>
        <v/>
      </c>
      <c r="N85" s="58" t="e">
        <f>IF($F$2,IF($L85="","",IFERROR(VLOOKUP($L85,day_data!$A:$I,3,FALSE),0)),NA())</f>
        <v>#N/A</v>
      </c>
      <c r="O85" s="11" t="e">
        <f>IF($F$3,IF($L85="","",IFERROR(VLOOKUP($L85,day_data!$A:$I,4,FALSE),0)),NA())</f>
        <v>#N/A</v>
      </c>
      <c r="P85" s="58" t="e">
        <f>IF($F$4,IF($L85="","",IFERROR(VLOOKUP($L85,day_data!$A:$I,5,FALSE),0)),NA())</f>
        <v>#N/A</v>
      </c>
      <c r="Q85" s="59" t="e">
        <f>IF($F$8,IF($L85="","",IFERROR(VLOOKUP($L85,day_data!$A:$I,6,FALSE),0)),NA())</f>
        <v>#N/A</v>
      </c>
      <c r="R85" s="11" t="e">
        <f>IF($F$6,IF($L85="","",IFERROR(VLOOKUP($L85,day_data!$A:$I,7,FALSE),0)),NA())</f>
        <v>#N/A</v>
      </c>
      <c r="S85" s="58" t="str">
        <f>IF($F$5,IF($L85="","",IFERROR(VLOOKUP($L85,day_data!$A:$I,8,FALSE),0)),NA())</f>
        <v/>
      </c>
      <c r="T85" s="60" t="e">
        <f>IF($F$7,IF($L85="","",IFERROR(VLOOKUP($L85,day_data!$A:$I,9,FALSE),0)),NA())</f>
        <v>#N/A</v>
      </c>
    </row>
    <row r="86" spans="12:20">
      <c r="L86" s="57" t="str">
        <f t="shared" si="1"/>
        <v/>
      </c>
      <c r="M86" s="11" t="str">
        <f>IF($F$1,IF($L86="","",IFERROR(VLOOKUP($L86,day_data!$A:$I,2,FALSE),0)),NA())</f>
        <v/>
      </c>
      <c r="N86" s="58" t="e">
        <f>IF($F$2,IF($L86="","",IFERROR(VLOOKUP($L86,day_data!$A:$I,3,FALSE),0)),NA())</f>
        <v>#N/A</v>
      </c>
      <c r="O86" s="11" t="e">
        <f>IF($F$3,IF($L86="","",IFERROR(VLOOKUP($L86,day_data!$A:$I,4,FALSE),0)),NA())</f>
        <v>#N/A</v>
      </c>
      <c r="P86" s="58" t="e">
        <f>IF($F$4,IF($L86="","",IFERROR(VLOOKUP($L86,day_data!$A:$I,5,FALSE),0)),NA())</f>
        <v>#N/A</v>
      </c>
      <c r="Q86" s="59" t="e">
        <f>IF($F$8,IF($L86="","",IFERROR(VLOOKUP($L86,day_data!$A:$I,6,FALSE),0)),NA())</f>
        <v>#N/A</v>
      </c>
      <c r="R86" s="11" t="e">
        <f>IF($F$6,IF($L86="","",IFERROR(VLOOKUP($L86,day_data!$A:$I,7,FALSE),0)),NA())</f>
        <v>#N/A</v>
      </c>
      <c r="S86" s="58" t="str">
        <f>IF($F$5,IF($L86="","",IFERROR(VLOOKUP($L86,day_data!$A:$I,8,FALSE),0)),NA())</f>
        <v/>
      </c>
      <c r="T86" s="60" t="e">
        <f>IF($F$7,IF($L86="","",IFERROR(VLOOKUP($L86,day_data!$A:$I,9,FALSE),0)),NA())</f>
        <v>#N/A</v>
      </c>
    </row>
    <row r="87" spans="12:20">
      <c r="L87" s="57" t="str">
        <f t="shared" si="1"/>
        <v/>
      </c>
      <c r="M87" s="11" t="str">
        <f>IF($F$1,IF($L87="","",IFERROR(VLOOKUP($L87,day_data!$A:$I,2,FALSE),0)),NA())</f>
        <v/>
      </c>
      <c r="N87" s="58" t="e">
        <f>IF($F$2,IF($L87="","",IFERROR(VLOOKUP($L87,day_data!$A:$I,3,FALSE),0)),NA())</f>
        <v>#N/A</v>
      </c>
      <c r="O87" s="11" t="e">
        <f>IF($F$3,IF($L87="","",IFERROR(VLOOKUP($L87,day_data!$A:$I,4,FALSE),0)),NA())</f>
        <v>#N/A</v>
      </c>
      <c r="P87" s="58" t="e">
        <f>IF($F$4,IF($L87="","",IFERROR(VLOOKUP($L87,day_data!$A:$I,5,FALSE),0)),NA())</f>
        <v>#N/A</v>
      </c>
      <c r="Q87" s="59" t="e">
        <f>IF($F$8,IF($L87="","",IFERROR(VLOOKUP($L87,day_data!$A:$I,6,FALSE),0)),NA())</f>
        <v>#N/A</v>
      </c>
      <c r="R87" s="11" t="e">
        <f>IF($F$6,IF($L87="","",IFERROR(VLOOKUP($L87,day_data!$A:$I,7,FALSE),0)),NA())</f>
        <v>#N/A</v>
      </c>
      <c r="S87" s="58" t="str">
        <f>IF($F$5,IF($L87="","",IFERROR(VLOOKUP($L87,day_data!$A:$I,8,FALSE),0)),NA())</f>
        <v/>
      </c>
      <c r="T87" s="60" t="e">
        <f>IF($F$7,IF($L87="","",IFERROR(VLOOKUP($L87,day_data!$A:$I,9,FALSE),0)),NA())</f>
        <v>#N/A</v>
      </c>
    </row>
    <row r="88" spans="12:20">
      <c r="L88" s="57" t="str">
        <f t="shared" si="1"/>
        <v/>
      </c>
      <c r="M88" s="11" t="str">
        <f>IF($F$1,IF($L88="","",IFERROR(VLOOKUP($L88,day_data!$A:$I,2,FALSE),0)),NA())</f>
        <v/>
      </c>
      <c r="N88" s="58" t="e">
        <f>IF($F$2,IF($L88="","",IFERROR(VLOOKUP($L88,day_data!$A:$I,3,FALSE),0)),NA())</f>
        <v>#N/A</v>
      </c>
      <c r="O88" s="11" t="e">
        <f>IF($F$3,IF($L88="","",IFERROR(VLOOKUP($L88,day_data!$A:$I,4,FALSE),0)),NA())</f>
        <v>#N/A</v>
      </c>
      <c r="P88" s="58" t="e">
        <f>IF($F$4,IF($L88="","",IFERROR(VLOOKUP($L88,day_data!$A:$I,5,FALSE),0)),NA())</f>
        <v>#N/A</v>
      </c>
      <c r="Q88" s="59" t="e">
        <f>IF($F$8,IF($L88="","",IFERROR(VLOOKUP($L88,day_data!$A:$I,6,FALSE),0)),NA())</f>
        <v>#N/A</v>
      </c>
      <c r="R88" s="11" t="e">
        <f>IF($F$6,IF($L88="","",IFERROR(VLOOKUP($L88,day_data!$A:$I,7,FALSE),0)),NA())</f>
        <v>#N/A</v>
      </c>
      <c r="S88" s="58" t="str">
        <f>IF($F$5,IF($L88="","",IFERROR(VLOOKUP($L88,day_data!$A:$I,8,FALSE),0)),NA())</f>
        <v/>
      </c>
      <c r="T88" s="60" t="e">
        <f>IF($F$7,IF($L88="","",IFERROR(VLOOKUP($L88,day_data!$A:$I,9,FALSE),0)),NA())</f>
        <v>#N/A</v>
      </c>
    </row>
    <row r="89" spans="12:20">
      <c r="L89" s="57" t="str">
        <f t="shared" si="1"/>
        <v/>
      </c>
      <c r="M89" s="11" t="str">
        <f>IF($F$1,IF($L89="","",IFERROR(VLOOKUP($L89,day_data!$A:$I,2,FALSE),0)),NA())</f>
        <v/>
      </c>
      <c r="N89" s="58" t="e">
        <f>IF($F$2,IF($L89="","",IFERROR(VLOOKUP($L89,day_data!$A:$I,3,FALSE),0)),NA())</f>
        <v>#N/A</v>
      </c>
      <c r="O89" s="11" t="e">
        <f>IF($F$3,IF($L89="","",IFERROR(VLOOKUP($L89,day_data!$A:$I,4,FALSE),0)),NA())</f>
        <v>#N/A</v>
      </c>
      <c r="P89" s="58" t="e">
        <f>IF($F$4,IF($L89="","",IFERROR(VLOOKUP($L89,day_data!$A:$I,5,FALSE),0)),NA())</f>
        <v>#N/A</v>
      </c>
      <c r="Q89" s="59" t="e">
        <f>IF($F$8,IF($L89="","",IFERROR(VLOOKUP($L89,day_data!$A:$I,6,FALSE),0)),NA())</f>
        <v>#N/A</v>
      </c>
      <c r="R89" s="11" t="e">
        <f>IF($F$6,IF($L89="","",IFERROR(VLOOKUP($L89,day_data!$A:$I,7,FALSE),0)),NA())</f>
        <v>#N/A</v>
      </c>
      <c r="S89" s="58" t="str">
        <f>IF($F$5,IF($L89="","",IFERROR(VLOOKUP($L89,day_data!$A:$I,8,FALSE),0)),NA())</f>
        <v/>
      </c>
      <c r="T89" s="60" t="e">
        <f>IF($F$7,IF($L89="","",IFERROR(VLOOKUP($L89,day_data!$A:$I,9,FALSE),0)),NA())</f>
        <v>#N/A</v>
      </c>
    </row>
    <row r="90" spans="12:20">
      <c r="L90" s="57" t="str">
        <f t="shared" si="1"/>
        <v/>
      </c>
      <c r="M90" s="11" t="str">
        <f>IF($F$1,IF($L90="","",IFERROR(VLOOKUP($L90,day_data!$A:$I,2,FALSE),0)),NA())</f>
        <v/>
      </c>
      <c r="N90" s="58" t="e">
        <f>IF($F$2,IF($L90="","",IFERROR(VLOOKUP($L90,day_data!$A:$I,3,FALSE),0)),NA())</f>
        <v>#N/A</v>
      </c>
      <c r="O90" s="11" t="e">
        <f>IF($F$3,IF($L90="","",IFERROR(VLOOKUP($L90,day_data!$A:$I,4,FALSE),0)),NA())</f>
        <v>#N/A</v>
      </c>
      <c r="P90" s="58" t="e">
        <f>IF($F$4,IF($L90="","",IFERROR(VLOOKUP($L90,day_data!$A:$I,5,FALSE),0)),NA())</f>
        <v>#N/A</v>
      </c>
      <c r="Q90" s="59" t="e">
        <f>IF($F$8,IF($L90="","",IFERROR(VLOOKUP($L90,day_data!$A:$I,6,FALSE),0)),NA())</f>
        <v>#N/A</v>
      </c>
      <c r="R90" s="11" t="e">
        <f>IF($F$6,IF($L90="","",IFERROR(VLOOKUP($L90,day_data!$A:$I,7,FALSE),0)),NA())</f>
        <v>#N/A</v>
      </c>
      <c r="S90" s="58" t="str">
        <f>IF($F$5,IF($L90="","",IFERROR(VLOOKUP($L90,day_data!$A:$I,8,FALSE),0)),NA())</f>
        <v/>
      </c>
      <c r="T90" s="60" t="e">
        <f>IF($F$7,IF($L90="","",IFERROR(VLOOKUP($L90,day_data!$A:$I,9,FALSE),0)),NA())</f>
        <v>#N/A</v>
      </c>
    </row>
    <row r="91" spans="12:20">
      <c r="L91" s="57" t="str">
        <f t="shared" si="1"/>
        <v/>
      </c>
      <c r="M91" s="11" t="str">
        <f>IF($F$1,IF($L91="","",IFERROR(VLOOKUP($L91,day_data!$A:$I,2,FALSE),0)),NA())</f>
        <v/>
      </c>
      <c r="N91" s="58" t="e">
        <f>IF($F$2,IF($L91="","",IFERROR(VLOOKUP($L91,day_data!$A:$I,3,FALSE),0)),NA())</f>
        <v>#N/A</v>
      </c>
      <c r="O91" s="11" t="e">
        <f>IF($F$3,IF($L91="","",IFERROR(VLOOKUP($L91,day_data!$A:$I,4,FALSE),0)),NA())</f>
        <v>#N/A</v>
      </c>
      <c r="P91" s="58" t="e">
        <f>IF($F$4,IF($L91="","",IFERROR(VLOOKUP($L91,day_data!$A:$I,5,FALSE),0)),NA())</f>
        <v>#N/A</v>
      </c>
      <c r="Q91" s="59" t="e">
        <f>IF($F$8,IF($L91="","",IFERROR(VLOOKUP($L91,day_data!$A:$I,6,FALSE),0)),NA())</f>
        <v>#N/A</v>
      </c>
      <c r="R91" s="11" t="e">
        <f>IF($F$6,IF($L91="","",IFERROR(VLOOKUP($L91,day_data!$A:$I,7,FALSE),0)),NA())</f>
        <v>#N/A</v>
      </c>
      <c r="S91" s="58" t="str">
        <f>IF($F$5,IF($L91="","",IFERROR(VLOOKUP($L91,day_data!$A:$I,8,FALSE),0)),NA())</f>
        <v/>
      </c>
      <c r="T91" s="60" t="e">
        <f>IF($F$7,IF($L91="","",IFERROR(VLOOKUP($L91,day_data!$A:$I,9,FALSE),0)),NA())</f>
        <v>#N/A</v>
      </c>
    </row>
    <row r="92" spans="12:20">
      <c r="L92" s="57" t="str">
        <f t="shared" si="1"/>
        <v/>
      </c>
      <c r="M92" s="11" t="str">
        <f>IF($F$1,IF($L92="","",IFERROR(VLOOKUP($L92,day_data!$A:$I,2,FALSE),0)),NA())</f>
        <v/>
      </c>
      <c r="N92" s="58" t="e">
        <f>IF($F$2,IF($L92="","",IFERROR(VLOOKUP($L92,day_data!$A:$I,3,FALSE),0)),NA())</f>
        <v>#N/A</v>
      </c>
      <c r="O92" s="11" t="e">
        <f>IF($F$3,IF($L92="","",IFERROR(VLOOKUP($L92,day_data!$A:$I,4,FALSE),0)),NA())</f>
        <v>#N/A</v>
      </c>
      <c r="P92" s="58" t="e">
        <f>IF($F$4,IF($L92="","",IFERROR(VLOOKUP($L92,day_data!$A:$I,5,FALSE),0)),NA())</f>
        <v>#N/A</v>
      </c>
      <c r="Q92" s="59" t="e">
        <f>IF($F$8,IF($L92="","",IFERROR(VLOOKUP($L92,day_data!$A:$I,6,FALSE),0)),NA())</f>
        <v>#N/A</v>
      </c>
      <c r="R92" s="11" t="e">
        <f>IF($F$6,IF($L92="","",IFERROR(VLOOKUP($L92,day_data!$A:$I,7,FALSE),0)),NA())</f>
        <v>#N/A</v>
      </c>
      <c r="S92" s="58" t="str">
        <f>IF($F$5,IF($L92="","",IFERROR(VLOOKUP($L92,day_data!$A:$I,8,FALSE),0)),NA())</f>
        <v/>
      </c>
      <c r="T92" s="60" t="e">
        <f>IF($F$7,IF($L92="","",IFERROR(VLOOKUP($L92,day_data!$A:$I,9,FALSE),0)),NA())</f>
        <v>#N/A</v>
      </c>
    </row>
    <row r="93" spans="12:20">
      <c r="L93" s="57" t="str">
        <f t="shared" si="1"/>
        <v/>
      </c>
      <c r="M93" s="11" t="str">
        <f>IF($F$1,IF($L93="","",IFERROR(VLOOKUP($L93,day_data!$A:$I,2,FALSE),0)),NA())</f>
        <v/>
      </c>
      <c r="N93" s="58" t="e">
        <f>IF($F$2,IF($L93="","",IFERROR(VLOOKUP($L93,day_data!$A:$I,3,FALSE),0)),NA())</f>
        <v>#N/A</v>
      </c>
      <c r="O93" s="11" t="e">
        <f>IF($F$3,IF($L93="","",IFERROR(VLOOKUP($L93,day_data!$A:$I,4,FALSE),0)),NA())</f>
        <v>#N/A</v>
      </c>
      <c r="P93" s="58" t="e">
        <f>IF($F$4,IF($L93="","",IFERROR(VLOOKUP($L93,day_data!$A:$I,5,FALSE),0)),NA())</f>
        <v>#N/A</v>
      </c>
      <c r="Q93" s="59" t="e">
        <f>IF($F$8,IF($L93="","",IFERROR(VLOOKUP($L93,day_data!$A:$I,6,FALSE),0)),NA())</f>
        <v>#N/A</v>
      </c>
      <c r="R93" s="11" t="e">
        <f>IF($F$6,IF($L93="","",IFERROR(VLOOKUP($L93,day_data!$A:$I,7,FALSE),0)),NA())</f>
        <v>#N/A</v>
      </c>
      <c r="S93" s="58" t="str">
        <f>IF($F$5,IF($L93="","",IFERROR(VLOOKUP($L93,day_data!$A:$I,8,FALSE),0)),NA())</f>
        <v/>
      </c>
      <c r="T93" s="60" t="e">
        <f>IF($F$7,IF($L93="","",IFERROR(VLOOKUP($L93,day_data!$A:$I,9,FALSE),0)),NA())</f>
        <v>#N/A</v>
      </c>
    </row>
    <row r="94" spans="12:20">
      <c r="L94" s="57" t="str">
        <f t="shared" si="1"/>
        <v/>
      </c>
      <c r="M94" s="11" t="str">
        <f>IF($F$1,IF($L94="","",IFERROR(VLOOKUP($L94,day_data!$A:$I,2,FALSE),0)),NA())</f>
        <v/>
      </c>
      <c r="N94" s="58" t="e">
        <f>IF($F$2,IF($L94="","",IFERROR(VLOOKUP($L94,day_data!$A:$I,3,FALSE),0)),NA())</f>
        <v>#N/A</v>
      </c>
      <c r="O94" s="11" t="e">
        <f>IF($F$3,IF($L94="","",IFERROR(VLOOKUP($L94,day_data!$A:$I,4,FALSE),0)),NA())</f>
        <v>#N/A</v>
      </c>
      <c r="P94" s="58" t="e">
        <f>IF($F$4,IF($L94="","",IFERROR(VLOOKUP($L94,day_data!$A:$I,5,FALSE),0)),NA())</f>
        <v>#N/A</v>
      </c>
      <c r="Q94" s="59" t="e">
        <f>IF($F$8,IF($L94="","",IFERROR(VLOOKUP($L94,day_data!$A:$I,6,FALSE),0)),NA())</f>
        <v>#N/A</v>
      </c>
      <c r="R94" s="11" t="e">
        <f>IF($F$6,IF($L94="","",IFERROR(VLOOKUP($L94,day_data!$A:$I,7,FALSE),0)),NA())</f>
        <v>#N/A</v>
      </c>
      <c r="S94" s="58" t="str">
        <f>IF($F$5,IF($L94="","",IFERROR(VLOOKUP($L94,day_data!$A:$I,8,FALSE),0)),NA())</f>
        <v/>
      </c>
      <c r="T94" s="60" t="e">
        <f>IF($F$7,IF($L94="","",IFERROR(VLOOKUP($L94,day_data!$A:$I,9,FALSE),0)),NA())</f>
        <v>#N/A</v>
      </c>
    </row>
    <row r="95" spans="12:20">
      <c r="L95" s="57" t="str">
        <f t="shared" si="1"/>
        <v/>
      </c>
      <c r="M95" s="11" t="str">
        <f>IF($F$1,IF($L95="","",IFERROR(VLOOKUP($L95,day_data!$A:$I,2,FALSE),0)),NA())</f>
        <v/>
      </c>
      <c r="N95" s="58" t="e">
        <f>IF($F$2,IF($L95="","",IFERROR(VLOOKUP($L95,day_data!$A:$I,3,FALSE),0)),NA())</f>
        <v>#N/A</v>
      </c>
      <c r="O95" s="11" t="e">
        <f>IF($F$3,IF($L95="","",IFERROR(VLOOKUP($L95,day_data!$A:$I,4,FALSE),0)),NA())</f>
        <v>#N/A</v>
      </c>
      <c r="P95" s="58" t="e">
        <f>IF($F$4,IF($L95="","",IFERROR(VLOOKUP($L95,day_data!$A:$I,5,FALSE),0)),NA())</f>
        <v>#N/A</v>
      </c>
      <c r="Q95" s="59" t="e">
        <f>IF($F$8,IF($L95="","",IFERROR(VLOOKUP($L95,day_data!$A:$I,6,FALSE),0)),NA())</f>
        <v>#N/A</v>
      </c>
      <c r="R95" s="11" t="e">
        <f>IF($F$6,IF($L95="","",IFERROR(VLOOKUP($L95,day_data!$A:$I,7,FALSE),0)),NA())</f>
        <v>#N/A</v>
      </c>
      <c r="S95" s="58" t="str">
        <f>IF($F$5,IF($L95="","",IFERROR(VLOOKUP($L95,day_data!$A:$I,8,FALSE),0)),NA())</f>
        <v/>
      </c>
      <c r="T95" s="60" t="e">
        <f>IF($F$7,IF($L95="","",IFERROR(VLOOKUP($L95,day_data!$A:$I,9,FALSE),0)),NA())</f>
        <v>#N/A</v>
      </c>
    </row>
    <row r="96" spans="12:20">
      <c r="L96" s="57" t="str">
        <f t="shared" si="1"/>
        <v/>
      </c>
      <c r="M96" s="11" t="str">
        <f>IF($F$1,IF($L96="","",IFERROR(VLOOKUP($L96,day_data!$A:$I,2,FALSE),0)),NA())</f>
        <v/>
      </c>
      <c r="N96" s="58" t="e">
        <f>IF($F$2,IF($L96="","",IFERROR(VLOOKUP($L96,day_data!$A:$I,3,FALSE),0)),NA())</f>
        <v>#N/A</v>
      </c>
      <c r="O96" s="11" t="e">
        <f>IF($F$3,IF($L96="","",IFERROR(VLOOKUP($L96,day_data!$A:$I,4,FALSE),0)),NA())</f>
        <v>#N/A</v>
      </c>
      <c r="P96" s="58" t="e">
        <f>IF($F$4,IF($L96="","",IFERROR(VLOOKUP($L96,day_data!$A:$I,5,FALSE),0)),NA())</f>
        <v>#N/A</v>
      </c>
      <c r="Q96" s="59" t="e">
        <f>IF($F$8,IF($L96="","",IFERROR(VLOOKUP($L96,day_data!$A:$I,6,FALSE),0)),NA())</f>
        <v>#N/A</v>
      </c>
      <c r="R96" s="11" t="e">
        <f>IF($F$6,IF($L96="","",IFERROR(VLOOKUP($L96,day_data!$A:$I,7,FALSE),0)),NA())</f>
        <v>#N/A</v>
      </c>
      <c r="S96" s="58" t="str">
        <f>IF($F$5,IF($L96="","",IFERROR(VLOOKUP($L96,day_data!$A:$I,8,FALSE),0)),NA())</f>
        <v/>
      </c>
      <c r="T96" s="60" t="e">
        <f>IF($F$7,IF($L96="","",IFERROR(VLOOKUP($L96,day_data!$A:$I,9,FALSE),0)),NA())</f>
        <v>#N/A</v>
      </c>
    </row>
    <row r="97" spans="12:20">
      <c r="L97" s="57" t="str">
        <f t="shared" si="1"/>
        <v/>
      </c>
      <c r="M97" s="11" t="str">
        <f>IF($F$1,IF($L97="","",IFERROR(VLOOKUP($L97,day_data!$A:$I,2,FALSE),0)),NA())</f>
        <v/>
      </c>
      <c r="N97" s="58" t="e">
        <f>IF($F$2,IF($L97="","",IFERROR(VLOOKUP($L97,day_data!$A:$I,3,FALSE),0)),NA())</f>
        <v>#N/A</v>
      </c>
      <c r="O97" s="11" t="e">
        <f>IF($F$3,IF($L97="","",IFERROR(VLOOKUP($L97,day_data!$A:$I,4,FALSE),0)),NA())</f>
        <v>#N/A</v>
      </c>
      <c r="P97" s="58" t="e">
        <f>IF($F$4,IF($L97="","",IFERROR(VLOOKUP($L97,day_data!$A:$I,5,FALSE),0)),NA())</f>
        <v>#N/A</v>
      </c>
      <c r="Q97" s="59" t="e">
        <f>IF($F$8,IF($L97="","",IFERROR(VLOOKUP($L97,day_data!$A:$I,6,FALSE),0)),NA())</f>
        <v>#N/A</v>
      </c>
      <c r="R97" s="11" t="e">
        <f>IF($F$6,IF($L97="","",IFERROR(VLOOKUP($L97,day_data!$A:$I,7,FALSE),0)),NA())</f>
        <v>#N/A</v>
      </c>
      <c r="S97" s="58" t="str">
        <f>IF($F$5,IF($L97="","",IFERROR(VLOOKUP($L97,day_data!$A:$I,8,FALSE),0)),NA())</f>
        <v/>
      </c>
      <c r="T97" s="60" t="e">
        <f>IF($F$7,IF($L97="","",IFERROR(VLOOKUP($L97,day_data!$A:$I,9,FALSE),0)),NA())</f>
        <v>#N/A</v>
      </c>
    </row>
    <row r="98" spans="12:20">
      <c r="L98" s="57" t="str">
        <f t="shared" si="1"/>
        <v/>
      </c>
      <c r="M98" s="11" t="str">
        <f>IF($F$1,IF($L98="","",IFERROR(VLOOKUP($L98,day_data!$A:$I,2,FALSE),0)),NA())</f>
        <v/>
      </c>
      <c r="N98" s="58" t="e">
        <f>IF($F$2,IF($L98="","",IFERROR(VLOOKUP($L98,day_data!$A:$I,3,FALSE),0)),NA())</f>
        <v>#N/A</v>
      </c>
      <c r="O98" s="11" t="e">
        <f>IF($F$3,IF($L98="","",IFERROR(VLOOKUP($L98,day_data!$A:$I,4,FALSE),0)),NA())</f>
        <v>#N/A</v>
      </c>
      <c r="P98" s="58" t="e">
        <f>IF($F$4,IF($L98="","",IFERROR(VLOOKUP($L98,day_data!$A:$I,5,FALSE),0)),NA())</f>
        <v>#N/A</v>
      </c>
      <c r="Q98" s="59" t="e">
        <f>IF($F$8,IF($L98="","",IFERROR(VLOOKUP($L98,day_data!$A:$I,6,FALSE),0)),NA())</f>
        <v>#N/A</v>
      </c>
      <c r="R98" s="11" t="e">
        <f>IF($F$6,IF($L98="","",IFERROR(VLOOKUP($L98,day_data!$A:$I,7,FALSE),0)),NA())</f>
        <v>#N/A</v>
      </c>
      <c r="S98" s="58" t="str">
        <f>IF($F$5,IF($L98="","",IFERROR(VLOOKUP($L98,day_data!$A:$I,8,FALSE),0)),NA())</f>
        <v/>
      </c>
      <c r="T98" s="60" t="e">
        <f>IF($F$7,IF($L98="","",IFERROR(VLOOKUP($L98,day_data!$A:$I,9,FALSE),0)),NA())</f>
        <v>#N/A</v>
      </c>
    </row>
    <row r="99" spans="12:20">
      <c r="L99" s="57" t="str">
        <f t="shared" si="1"/>
        <v/>
      </c>
      <c r="M99" s="11" t="str">
        <f>IF($F$1,IF($L99="","",IFERROR(VLOOKUP($L99,day_data!$A:$I,2,FALSE),0)),NA())</f>
        <v/>
      </c>
      <c r="N99" s="58" t="e">
        <f>IF($F$2,IF($L99="","",IFERROR(VLOOKUP($L99,day_data!$A:$I,3,FALSE),0)),NA())</f>
        <v>#N/A</v>
      </c>
      <c r="O99" s="11" t="e">
        <f>IF($F$3,IF($L99="","",IFERROR(VLOOKUP($L99,day_data!$A:$I,4,FALSE),0)),NA())</f>
        <v>#N/A</v>
      </c>
      <c r="P99" s="58" t="e">
        <f>IF($F$4,IF($L99="","",IFERROR(VLOOKUP($L99,day_data!$A:$I,5,FALSE),0)),NA())</f>
        <v>#N/A</v>
      </c>
      <c r="Q99" s="59" t="e">
        <f>IF($F$8,IF($L99="","",IFERROR(VLOOKUP($L99,day_data!$A:$I,6,FALSE),0)),NA())</f>
        <v>#N/A</v>
      </c>
      <c r="R99" s="11" t="e">
        <f>IF($F$6,IF($L99="","",IFERROR(VLOOKUP($L99,day_data!$A:$I,7,FALSE),0)),NA())</f>
        <v>#N/A</v>
      </c>
      <c r="S99" s="58" t="str">
        <f>IF($F$5,IF($L99="","",IFERROR(VLOOKUP($L99,day_data!$A:$I,8,FALSE),0)),NA())</f>
        <v/>
      </c>
      <c r="T99" s="60" t="e">
        <f>IF($F$7,IF($L99="","",IFERROR(VLOOKUP($L99,day_data!$A:$I,9,FALSE),0)),NA())</f>
        <v>#N/A</v>
      </c>
    </row>
    <row r="100" spans="12:20">
      <c r="L100" s="57" t="str">
        <f t="shared" si="1"/>
        <v/>
      </c>
      <c r="M100" s="11" t="str">
        <f>IF($F$1,IF($L100="","",IFERROR(VLOOKUP($L100,day_data!$A:$I,2,FALSE),0)),NA())</f>
        <v/>
      </c>
      <c r="N100" s="58" t="e">
        <f>IF($F$2,IF($L100="","",IFERROR(VLOOKUP($L100,day_data!$A:$I,3,FALSE),0)),NA())</f>
        <v>#N/A</v>
      </c>
      <c r="O100" s="11" t="e">
        <f>IF($F$3,IF($L100="","",IFERROR(VLOOKUP($L100,day_data!$A:$I,4,FALSE),0)),NA())</f>
        <v>#N/A</v>
      </c>
      <c r="P100" s="58" t="e">
        <f>IF($F$4,IF($L100="","",IFERROR(VLOOKUP($L100,day_data!$A:$I,5,FALSE),0)),NA())</f>
        <v>#N/A</v>
      </c>
      <c r="Q100" s="59" t="e">
        <f>IF($F$8,IF($L100="","",IFERROR(VLOOKUP($L100,day_data!$A:$I,6,FALSE),0)),NA())</f>
        <v>#N/A</v>
      </c>
      <c r="R100" s="11" t="e">
        <f>IF($F$6,IF($L100="","",IFERROR(VLOOKUP($L100,day_data!$A:$I,7,FALSE),0)),NA())</f>
        <v>#N/A</v>
      </c>
      <c r="S100" s="58" t="str">
        <f>IF($F$5,IF($L100="","",IFERROR(VLOOKUP($L100,day_data!$A:$I,8,FALSE),0)),NA())</f>
        <v/>
      </c>
      <c r="T100" s="60" t="e">
        <f>IF($F$7,IF($L100="","",IFERROR(VLOOKUP($L100,day_data!$A:$I,9,FALSE),0)),NA())</f>
        <v>#N/A</v>
      </c>
    </row>
    <row r="101" spans="12:20">
      <c r="L101" s="57" t="str">
        <f t="shared" si="1"/>
        <v/>
      </c>
      <c r="M101" s="11" t="str">
        <f>IF($F$1,IF($L101="","",IFERROR(VLOOKUP($L101,day_data!$A:$I,2,FALSE),0)),NA())</f>
        <v/>
      </c>
      <c r="N101" s="58" t="e">
        <f>IF($F$2,IF($L101="","",IFERROR(VLOOKUP($L101,day_data!$A:$I,3,FALSE),0)),NA())</f>
        <v>#N/A</v>
      </c>
      <c r="O101" s="11" t="e">
        <f>IF($F$3,IF($L101="","",IFERROR(VLOOKUP($L101,day_data!$A:$I,4,FALSE),0)),NA())</f>
        <v>#N/A</v>
      </c>
      <c r="P101" s="58" t="e">
        <f>IF($F$4,IF($L101="","",IFERROR(VLOOKUP($L101,day_data!$A:$I,5,FALSE),0)),NA())</f>
        <v>#N/A</v>
      </c>
      <c r="Q101" s="59" t="e">
        <f>IF($F$8,IF($L101="","",IFERROR(VLOOKUP($L101,day_data!$A:$I,6,FALSE),0)),NA())</f>
        <v>#N/A</v>
      </c>
      <c r="R101" s="11" t="e">
        <f>IF($F$6,IF($L101="","",IFERROR(VLOOKUP($L101,day_data!$A:$I,7,FALSE),0)),NA())</f>
        <v>#N/A</v>
      </c>
      <c r="S101" s="58" t="str">
        <f>IF($F$5,IF($L101="","",IFERROR(VLOOKUP($L101,day_data!$A:$I,8,FALSE),0)),NA())</f>
        <v/>
      </c>
      <c r="T101" s="60" t="e">
        <f>IF($F$7,IF($L101="","",IFERROR(VLOOKUP($L101,day_data!$A:$I,9,FALSE),0)),NA())</f>
        <v>#N/A</v>
      </c>
    </row>
    <row r="102" spans="12:20">
      <c r="L102" s="57" t="str">
        <f t="shared" si="1"/>
        <v/>
      </c>
      <c r="M102" s="11" t="str">
        <f>IF($F$1,IF($L102="","",IFERROR(VLOOKUP($L102,day_data!$A:$I,2,FALSE),0)),NA())</f>
        <v/>
      </c>
      <c r="N102" s="58" t="e">
        <f>IF($F$2,IF($L102="","",IFERROR(VLOOKUP($L102,day_data!$A:$I,3,FALSE),0)),NA())</f>
        <v>#N/A</v>
      </c>
      <c r="O102" s="11" t="e">
        <f>IF($F$3,IF($L102="","",IFERROR(VLOOKUP($L102,day_data!$A:$I,4,FALSE),0)),NA())</f>
        <v>#N/A</v>
      </c>
      <c r="P102" s="58" t="e">
        <f>IF($F$4,IF($L102="","",IFERROR(VLOOKUP($L102,day_data!$A:$I,5,FALSE),0)),NA())</f>
        <v>#N/A</v>
      </c>
      <c r="Q102" s="59" t="e">
        <f>IF($F$8,IF($L102="","",IFERROR(VLOOKUP($L102,day_data!$A:$I,6,FALSE),0)),NA())</f>
        <v>#N/A</v>
      </c>
      <c r="R102" s="11" t="e">
        <f>IF($F$6,IF($L102="","",IFERROR(VLOOKUP($L102,day_data!$A:$I,7,FALSE),0)),NA())</f>
        <v>#N/A</v>
      </c>
      <c r="S102" s="58" t="str">
        <f>IF($F$5,IF($L102="","",IFERROR(VLOOKUP($L102,day_data!$A:$I,8,FALSE),0)),NA())</f>
        <v/>
      </c>
      <c r="T102" s="60" t="e">
        <f>IF($F$7,IF($L102="","",IFERROR(VLOOKUP($L102,day_data!$A:$I,9,FALSE),0)),NA())</f>
        <v>#N/A</v>
      </c>
    </row>
    <row r="103" spans="12:20">
      <c r="L103" s="57" t="str">
        <f t="shared" si="1"/>
        <v/>
      </c>
      <c r="M103" s="11" t="str">
        <f>IF($F$1,IF($L103="","",IFERROR(VLOOKUP($L103,day_data!$A:$I,2,FALSE),0)),NA())</f>
        <v/>
      </c>
      <c r="N103" s="58" t="e">
        <f>IF($F$2,IF($L103="","",IFERROR(VLOOKUP($L103,day_data!$A:$I,3,FALSE),0)),NA())</f>
        <v>#N/A</v>
      </c>
      <c r="O103" s="11" t="e">
        <f>IF($F$3,IF($L103="","",IFERROR(VLOOKUP($L103,day_data!$A:$I,4,FALSE),0)),NA())</f>
        <v>#N/A</v>
      </c>
      <c r="P103" s="58" t="e">
        <f>IF($F$4,IF($L103="","",IFERROR(VLOOKUP($L103,day_data!$A:$I,5,FALSE),0)),NA())</f>
        <v>#N/A</v>
      </c>
      <c r="Q103" s="59" t="e">
        <f>IF($F$8,IF($L103="","",IFERROR(VLOOKUP($L103,day_data!$A:$I,6,FALSE),0)),NA())</f>
        <v>#N/A</v>
      </c>
      <c r="R103" s="11" t="e">
        <f>IF($F$6,IF($L103="","",IFERROR(VLOOKUP($L103,day_data!$A:$I,7,FALSE),0)),NA())</f>
        <v>#N/A</v>
      </c>
      <c r="S103" s="58" t="str">
        <f>IF($F$5,IF($L103="","",IFERROR(VLOOKUP($L103,day_data!$A:$I,8,FALSE),0)),NA())</f>
        <v/>
      </c>
      <c r="T103" s="60" t="e">
        <f>IF($F$7,IF($L103="","",IFERROR(VLOOKUP($L103,day_data!$A:$I,9,FALSE),0)),NA())</f>
        <v>#N/A</v>
      </c>
    </row>
    <row r="104" spans="12:20">
      <c r="L104" s="57" t="str">
        <f t="shared" si="1"/>
        <v/>
      </c>
      <c r="M104" s="11" t="str">
        <f>IF($F$1,IF($L104="","",IFERROR(VLOOKUP($L104,day_data!$A:$I,2,FALSE),0)),NA())</f>
        <v/>
      </c>
      <c r="N104" s="58" t="e">
        <f>IF($F$2,IF($L104="","",IFERROR(VLOOKUP($L104,day_data!$A:$I,3,FALSE),0)),NA())</f>
        <v>#N/A</v>
      </c>
      <c r="O104" s="11" t="e">
        <f>IF($F$3,IF($L104="","",IFERROR(VLOOKUP($L104,day_data!$A:$I,4,FALSE),0)),NA())</f>
        <v>#N/A</v>
      </c>
      <c r="P104" s="58" t="e">
        <f>IF($F$4,IF($L104="","",IFERROR(VLOOKUP($L104,day_data!$A:$I,5,FALSE),0)),NA())</f>
        <v>#N/A</v>
      </c>
      <c r="Q104" s="59" t="e">
        <f>IF($F$8,IF($L104="","",IFERROR(VLOOKUP($L104,day_data!$A:$I,6,FALSE),0)),NA())</f>
        <v>#N/A</v>
      </c>
      <c r="R104" s="11" t="e">
        <f>IF($F$6,IF($L104="","",IFERROR(VLOOKUP($L104,day_data!$A:$I,7,FALSE),0)),NA())</f>
        <v>#N/A</v>
      </c>
      <c r="S104" s="58" t="str">
        <f>IF($F$5,IF($L104="","",IFERROR(VLOOKUP($L104,day_data!$A:$I,8,FALSE),0)),NA())</f>
        <v/>
      </c>
      <c r="T104" s="60" t="e">
        <f>IF($F$7,IF($L104="","",IFERROR(VLOOKUP($L104,day_data!$A:$I,9,FALSE),0)),NA())</f>
        <v>#N/A</v>
      </c>
    </row>
    <row r="105" spans="12:20">
      <c r="L105" s="57" t="str">
        <f t="shared" si="1"/>
        <v/>
      </c>
      <c r="M105" s="11" t="str">
        <f>IF($F$1,IF($L105="","",IFERROR(VLOOKUP($L105,day_data!$A:$I,2,FALSE),0)),NA())</f>
        <v/>
      </c>
      <c r="N105" s="58" t="e">
        <f>IF($F$2,IF($L105="","",IFERROR(VLOOKUP($L105,day_data!$A:$I,3,FALSE),0)),NA())</f>
        <v>#N/A</v>
      </c>
      <c r="O105" s="11" t="e">
        <f>IF($F$3,IF($L105="","",IFERROR(VLOOKUP($L105,day_data!$A:$I,4,FALSE),0)),NA())</f>
        <v>#N/A</v>
      </c>
      <c r="P105" s="58" t="e">
        <f>IF($F$4,IF($L105="","",IFERROR(VLOOKUP($L105,day_data!$A:$I,5,FALSE),0)),NA())</f>
        <v>#N/A</v>
      </c>
      <c r="Q105" s="59" t="e">
        <f>IF($F$8,IF($L105="","",IFERROR(VLOOKUP($L105,day_data!$A:$I,6,FALSE),0)),NA())</f>
        <v>#N/A</v>
      </c>
      <c r="R105" s="11" t="e">
        <f>IF($F$6,IF($L105="","",IFERROR(VLOOKUP($L105,day_data!$A:$I,7,FALSE),0)),NA())</f>
        <v>#N/A</v>
      </c>
      <c r="S105" s="58" t="str">
        <f>IF($F$5,IF($L105="","",IFERROR(VLOOKUP($L105,day_data!$A:$I,8,FALSE),0)),NA())</f>
        <v/>
      </c>
      <c r="T105" s="60" t="e">
        <f>IF($F$7,IF($L105="","",IFERROR(VLOOKUP($L105,day_data!$A:$I,9,FALSE),0)),NA())</f>
        <v>#N/A</v>
      </c>
    </row>
    <row r="106" spans="12:20">
      <c r="L106" s="57" t="str">
        <f t="shared" si="1"/>
        <v/>
      </c>
      <c r="M106" s="11" t="str">
        <f>IF($F$1,IF($L106="","",IFERROR(VLOOKUP($L106,day_data!$A:$I,2,FALSE),0)),NA())</f>
        <v/>
      </c>
      <c r="N106" s="58" t="e">
        <f>IF($F$2,IF($L106="","",IFERROR(VLOOKUP($L106,day_data!$A:$I,3,FALSE),0)),NA())</f>
        <v>#N/A</v>
      </c>
      <c r="O106" s="11" t="e">
        <f>IF($F$3,IF($L106="","",IFERROR(VLOOKUP($L106,day_data!$A:$I,4,FALSE),0)),NA())</f>
        <v>#N/A</v>
      </c>
      <c r="P106" s="58" t="e">
        <f>IF($F$4,IF($L106="","",IFERROR(VLOOKUP($L106,day_data!$A:$I,5,FALSE),0)),NA())</f>
        <v>#N/A</v>
      </c>
      <c r="Q106" s="59" t="e">
        <f>IF($F$8,IF($L106="","",IFERROR(VLOOKUP($L106,day_data!$A:$I,6,FALSE),0)),NA())</f>
        <v>#N/A</v>
      </c>
      <c r="R106" s="11" t="e">
        <f>IF($F$6,IF($L106="","",IFERROR(VLOOKUP($L106,day_data!$A:$I,7,FALSE),0)),NA())</f>
        <v>#N/A</v>
      </c>
      <c r="S106" s="58" t="str">
        <f>IF($F$5,IF($L106="","",IFERROR(VLOOKUP($L106,day_data!$A:$I,8,FALSE),0)),NA())</f>
        <v/>
      </c>
      <c r="T106" s="60" t="e">
        <f>IF($F$7,IF($L106="","",IFERROR(VLOOKUP($L106,day_data!$A:$I,9,FALSE),0)),NA())</f>
        <v>#N/A</v>
      </c>
    </row>
    <row r="107" spans="12:20">
      <c r="L107" s="57" t="str">
        <f t="shared" si="1"/>
        <v/>
      </c>
      <c r="M107" s="11" t="str">
        <f>IF($F$1,IF($L107="","",IFERROR(VLOOKUP($L107,day_data!$A:$I,2,FALSE),0)),NA())</f>
        <v/>
      </c>
      <c r="N107" s="58" t="e">
        <f>IF($F$2,IF($L107="","",IFERROR(VLOOKUP($L107,day_data!$A:$I,3,FALSE),0)),NA())</f>
        <v>#N/A</v>
      </c>
      <c r="O107" s="11" t="e">
        <f>IF($F$3,IF($L107="","",IFERROR(VLOOKUP($L107,day_data!$A:$I,4,FALSE),0)),NA())</f>
        <v>#N/A</v>
      </c>
      <c r="P107" s="58" t="e">
        <f>IF($F$4,IF($L107="","",IFERROR(VLOOKUP($L107,day_data!$A:$I,5,FALSE),0)),NA())</f>
        <v>#N/A</v>
      </c>
      <c r="Q107" s="59" t="e">
        <f>IF($F$8,IF($L107="","",IFERROR(VLOOKUP($L107,day_data!$A:$I,6,FALSE),0)),NA())</f>
        <v>#N/A</v>
      </c>
      <c r="R107" s="11" t="e">
        <f>IF($F$6,IF($L107="","",IFERROR(VLOOKUP($L107,day_data!$A:$I,7,FALSE),0)),NA())</f>
        <v>#N/A</v>
      </c>
      <c r="S107" s="58" t="str">
        <f>IF($F$5,IF($L107="","",IFERROR(VLOOKUP($L107,day_data!$A:$I,8,FALSE),0)),NA())</f>
        <v/>
      </c>
      <c r="T107" s="60" t="e">
        <f>IF($F$7,IF($L107="","",IFERROR(VLOOKUP($L107,day_data!$A:$I,9,FALSE),0)),NA())</f>
        <v>#N/A</v>
      </c>
    </row>
    <row r="108" spans="12:20">
      <c r="L108" s="57" t="str">
        <f t="shared" si="1"/>
        <v/>
      </c>
      <c r="M108" s="11" t="str">
        <f>IF($F$1,IF($L108="","",IFERROR(VLOOKUP($L108,day_data!$A:$I,2,FALSE),0)),NA())</f>
        <v/>
      </c>
      <c r="N108" s="58" t="e">
        <f>IF($F$2,IF($L108="","",IFERROR(VLOOKUP($L108,day_data!$A:$I,3,FALSE),0)),NA())</f>
        <v>#N/A</v>
      </c>
      <c r="O108" s="11" t="e">
        <f>IF($F$3,IF($L108="","",IFERROR(VLOOKUP($L108,day_data!$A:$I,4,FALSE),0)),NA())</f>
        <v>#N/A</v>
      </c>
      <c r="P108" s="58" t="e">
        <f>IF($F$4,IF($L108="","",IFERROR(VLOOKUP($L108,day_data!$A:$I,5,FALSE),0)),NA())</f>
        <v>#N/A</v>
      </c>
      <c r="Q108" s="59" t="e">
        <f>IF($F$8,IF($L108="","",IFERROR(VLOOKUP($L108,day_data!$A:$I,6,FALSE),0)),NA())</f>
        <v>#N/A</v>
      </c>
      <c r="R108" s="11" t="e">
        <f>IF($F$6,IF($L108="","",IFERROR(VLOOKUP($L108,day_data!$A:$I,7,FALSE),0)),NA())</f>
        <v>#N/A</v>
      </c>
      <c r="S108" s="58" t="str">
        <f>IF($F$5,IF($L108="","",IFERROR(VLOOKUP($L108,day_data!$A:$I,8,FALSE),0)),NA())</f>
        <v/>
      </c>
      <c r="T108" s="60" t="e">
        <f>IF($F$7,IF($L108="","",IFERROR(VLOOKUP($L108,day_data!$A:$I,9,FALSE),0)),NA())</f>
        <v>#N/A</v>
      </c>
    </row>
    <row r="109" spans="12:20">
      <c r="L109" s="57" t="str">
        <f t="shared" si="1"/>
        <v/>
      </c>
      <c r="M109" s="11" t="str">
        <f>IF($F$1,IF($L109="","",IFERROR(VLOOKUP($L109,day_data!$A:$I,2,FALSE),0)),NA())</f>
        <v/>
      </c>
      <c r="N109" s="58" t="e">
        <f>IF($F$2,IF($L109="","",IFERROR(VLOOKUP($L109,day_data!$A:$I,3,FALSE),0)),NA())</f>
        <v>#N/A</v>
      </c>
      <c r="O109" s="11" t="e">
        <f>IF($F$3,IF($L109="","",IFERROR(VLOOKUP($L109,day_data!$A:$I,4,FALSE),0)),NA())</f>
        <v>#N/A</v>
      </c>
      <c r="P109" s="58" t="e">
        <f>IF($F$4,IF($L109="","",IFERROR(VLOOKUP($L109,day_data!$A:$I,5,FALSE),0)),NA())</f>
        <v>#N/A</v>
      </c>
      <c r="Q109" s="59" t="e">
        <f>IF($F$8,IF($L109="","",IFERROR(VLOOKUP($L109,day_data!$A:$I,6,FALSE),0)),NA())</f>
        <v>#N/A</v>
      </c>
      <c r="R109" s="11" t="e">
        <f>IF($F$6,IF($L109="","",IFERROR(VLOOKUP($L109,day_data!$A:$I,7,FALSE),0)),NA())</f>
        <v>#N/A</v>
      </c>
      <c r="S109" s="58" t="str">
        <f>IF($F$5,IF($L109="","",IFERROR(VLOOKUP($L109,day_data!$A:$I,8,FALSE),0)),NA())</f>
        <v/>
      </c>
      <c r="T109" s="60" t="e">
        <f>IF($F$7,IF($L109="","",IFERROR(VLOOKUP($L109,day_data!$A:$I,9,FALSE),0)),NA())</f>
        <v>#N/A</v>
      </c>
    </row>
    <row r="110" spans="12:20">
      <c r="L110" s="57" t="str">
        <f t="shared" si="1"/>
        <v/>
      </c>
      <c r="M110" s="11" t="str">
        <f>IF($F$1,IF($L110="","",IFERROR(VLOOKUP($L110,day_data!$A:$I,2,FALSE),0)),NA())</f>
        <v/>
      </c>
      <c r="N110" s="58" t="e">
        <f>IF($F$2,IF($L110="","",IFERROR(VLOOKUP($L110,day_data!$A:$I,3,FALSE),0)),NA())</f>
        <v>#N/A</v>
      </c>
      <c r="O110" s="11" t="e">
        <f>IF($F$3,IF($L110="","",IFERROR(VLOOKUP($L110,day_data!$A:$I,4,FALSE),0)),NA())</f>
        <v>#N/A</v>
      </c>
      <c r="P110" s="58" t="e">
        <f>IF($F$4,IF($L110="","",IFERROR(VLOOKUP($L110,day_data!$A:$I,5,FALSE),0)),NA())</f>
        <v>#N/A</v>
      </c>
      <c r="Q110" s="59" t="e">
        <f>IF($F$8,IF($L110="","",IFERROR(VLOOKUP($L110,day_data!$A:$I,6,FALSE),0)),NA())</f>
        <v>#N/A</v>
      </c>
      <c r="R110" s="11" t="e">
        <f>IF($F$6,IF($L110="","",IFERROR(VLOOKUP($L110,day_data!$A:$I,7,FALSE),0)),NA())</f>
        <v>#N/A</v>
      </c>
      <c r="S110" s="58" t="str">
        <f>IF($F$5,IF($L110="","",IFERROR(VLOOKUP($L110,day_data!$A:$I,8,FALSE),0)),NA())</f>
        <v/>
      </c>
      <c r="T110" s="60" t="e">
        <f>IF($F$7,IF($L110="","",IFERROR(VLOOKUP($L110,day_data!$A:$I,9,FALSE),0)),NA())</f>
        <v>#N/A</v>
      </c>
    </row>
    <row r="111" spans="12:20">
      <c r="L111" s="57" t="str">
        <f t="shared" si="1"/>
        <v/>
      </c>
      <c r="M111" s="11" t="str">
        <f>IF($F$1,IF($L111="","",IFERROR(VLOOKUP($L111,day_data!$A:$I,2,FALSE),0)),NA())</f>
        <v/>
      </c>
      <c r="N111" s="58" t="e">
        <f>IF($F$2,IF($L111="","",IFERROR(VLOOKUP($L111,day_data!$A:$I,3,FALSE),0)),NA())</f>
        <v>#N/A</v>
      </c>
      <c r="O111" s="11" t="e">
        <f>IF($F$3,IF($L111="","",IFERROR(VLOOKUP($L111,day_data!$A:$I,4,FALSE),0)),NA())</f>
        <v>#N/A</v>
      </c>
      <c r="P111" s="58" t="e">
        <f>IF($F$4,IF($L111="","",IFERROR(VLOOKUP($L111,day_data!$A:$I,5,FALSE),0)),NA())</f>
        <v>#N/A</v>
      </c>
      <c r="Q111" s="59" t="e">
        <f>IF($F$8,IF($L111="","",IFERROR(VLOOKUP($L111,day_data!$A:$I,6,FALSE),0)),NA())</f>
        <v>#N/A</v>
      </c>
      <c r="R111" s="11" t="e">
        <f>IF($F$6,IF($L111="","",IFERROR(VLOOKUP($L111,day_data!$A:$I,7,FALSE),0)),NA())</f>
        <v>#N/A</v>
      </c>
      <c r="S111" s="58" t="str">
        <f>IF($F$5,IF($L111="","",IFERROR(VLOOKUP($L111,day_data!$A:$I,8,FALSE),0)),NA())</f>
        <v/>
      </c>
      <c r="T111" s="60" t="e">
        <f>IF($F$7,IF($L111="","",IFERROR(VLOOKUP($L111,day_data!$A:$I,9,FALSE),0)),NA())</f>
        <v>#N/A</v>
      </c>
    </row>
    <row r="112" spans="12:20">
      <c r="L112" s="57" t="str">
        <f t="shared" si="1"/>
        <v/>
      </c>
      <c r="M112" s="11" t="str">
        <f>IF($F$1,IF($L112="","",IFERROR(VLOOKUP($L112,day_data!$A:$I,2,FALSE),0)),NA())</f>
        <v/>
      </c>
      <c r="N112" s="58" t="e">
        <f>IF($F$2,IF($L112="","",IFERROR(VLOOKUP($L112,day_data!$A:$I,3,FALSE),0)),NA())</f>
        <v>#N/A</v>
      </c>
      <c r="O112" s="11" t="e">
        <f>IF($F$3,IF($L112="","",IFERROR(VLOOKUP($L112,day_data!$A:$I,4,FALSE),0)),NA())</f>
        <v>#N/A</v>
      </c>
      <c r="P112" s="58" t="e">
        <f>IF($F$4,IF($L112="","",IFERROR(VLOOKUP($L112,day_data!$A:$I,5,FALSE),0)),NA())</f>
        <v>#N/A</v>
      </c>
      <c r="Q112" s="59" t="e">
        <f>IF($F$8,IF($L112="","",IFERROR(VLOOKUP($L112,day_data!$A:$I,6,FALSE),0)),NA())</f>
        <v>#N/A</v>
      </c>
      <c r="R112" s="11" t="e">
        <f>IF($F$6,IF($L112="","",IFERROR(VLOOKUP($L112,day_data!$A:$I,7,FALSE),0)),NA())</f>
        <v>#N/A</v>
      </c>
      <c r="S112" s="58" t="str">
        <f>IF($F$5,IF($L112="","",IFERROR(VLOOKUP($L112,day_data!$A:$I,8,FALSE),0)),NA())</f>
        <v/>
      </c>
      <c r="T112" s="60" t="e">
        <f>IF($F$7,IF($L112="","",IFERROR(VLOOKUP($L112,day_data!$A:$I,9,FALSE),0)),NA())</f>
        <v>#N/A</v>
      </c>
    </row>
    <row r="113" spans="12:20">
      <c r="L113" s="57" t="str">
        <f t="shared" si="1"/>
        <v/>
      </c>
      <c r="M113" s="11" t="str">
        <f>IF($F$1,IF($L113="","",IFERROR(VLOOKUP($L113,day_data!$A:$I,2,FALSE),0)),NA())</f>
        <v/>
      </c>
      <c r="N113" s="58" t="e">
        <f>IF($F$2,IF($L113="","",IFERROR(VLOOKUP($L113,day_data!$A:$I,3,FALSE),0)),NA())</f>
        <v>#N/A</v>
      </c>
      <c r="O113" s="11" t="e">
        <f>IF($F$3,IF($L113="","",IFERROR(VLOOKUP($L113,day_data!$A:$I,4,FALSE),0)),NA())</f>
        <v>#N/A</v>
      </c>
      <c r="P113" s="58" t="e">
        <f>IF($F$4,IF($L113="","",IFERROR(VLOOKUP($L113,day_data!$A:$I,5,FALSE),0)),NA())</f>
        <v>#N/A</v>
      </c>
      <c r="Q113" s="59" t="e">
        <f>IF($F$8,IF($L113="","",IFERROR(VLOOKUP($L113,day_data!$A:$I,6,FALSE),0)),NA())</f>
        <v>#N/A</v>
      </c>
      <c r="R113" s="11" t="e">
        <f>IF($F$6,IF($L113="","",IFERROR(VLOOKUP($L113,day_data!$A:$I,7,FALSE),0)),NA())</f>
        <v>#N/A</v>
      </c>
      <c r="S113" s="58" t="str">
        <f>IF($F$5,IF($L113="","",IFERROR(VLOOKUP($L113,day_data!$A:$I,8,FALSE),0)),NA())</f>
        <v/>
      </c>
      <c r="T113" s="60" t="e">
        <f>IF($F$7,IF($L113="","",IFERROR(VLOOKUP($L113,day_data!$A:$I,9,FALSE),0)),NA())</f>
        <v>#N/A</v>
      </c>
    </row>
    <row r="114" spans="12:20">
      <c r="L114" s="57" t="str">
        <f t="shared" si="1"/>
        <v/>
      </c>
      <c r="M114" s="11" t="str">
        <f>IF($F$1,IF($L114="","",IFERROR(VLOOKUP($L114,day_data!$A:$I,2,FALSE),0)),NA())</f>
        <v/>
      </c>
      <c r="N114" s="58" t="e">
        <f>IF($F$2,IF($L114="","",IFERROR(VLOOKUP($L114,day_data!$A:$I,3,FALSE),0)),NA())</f>
        <v>#N/A</v>
      </c>
      <c r="O114" s="11" t="e">
        <f>IF($F$3,IF($L114="","",IFERROR(VLOOKUP($L114,day_data!$A:$I,4,FALSE),0)),NA())</f>
        <v>#N/A</v>
      </c>
      <c r="P114" s="58" t="e">
        <f>IF($F$4,IF($L114="","",IFERROR(VLOOKUP($L114,day_data!$A:$I,5,FALSE),0)),NA())</f>
        <v>#N/A</v>
      </c>
      <c r="Q114" s="59" t="e">
        <f>IF($F$8,IF($L114="","",IFERROR(VLOOKUP($L114,day_data!$A:$I,6,FALSE),0)),NA())</f>
        <v>#N/A</v>
      </c>
      <c r="R114" s="11" t="e">
        <f>IF($F$6,IF($L114="","",IFERROR(VLOOKUP($L114,day_data!$A:$I,7,FALSE),0)),NA())</f>
        <v>#N/A</v>
      </c>
      <c r="S114" s="58" t="str">
        <f>IF($F$5,IF($L114="","",IFERROR(VLOOKUP($L114,day_data!$A:$I,8,FALSE),0)),NA())</f>
        <v/>
      </c>
      <c r="T114" s="60" t="e">
        <f>IF($F$7,IF($L114="","",IFERROR(VLOOKUP($L114,day_data!$A:$I,9,FALSE),0)),NA())</f>
        <v>#N/A</v>
      </c>
    </row>
    <row r="115" spans="12:20">
      <c r="L115" s="57" t="str">
        <f t="shared" si="1"/>
        <v/>
      </c>
      <c r="M115" s="11" t="str">
        <f>IF($F$1,IF($L115="","",IFERROR(VLOOKUP($L115,day_data!$A:$I,2,FALSE),0)),NA())</f>
        <v/>
      </c>
      <c r="N115" s="58" t="e">
        <f>IF($F$2,IF($L115="","",IFERROR(VLOOKUP($L115,day_data!$A:$I,3,FALSE),0)),NA())</f>
        <v>#N/A</v>
      </c>
      <c r="O115" s="11" t="e">
        <f>IF($F$3,IF($L115="","",IFERROR(VLOOKUP($L115,day_data!$A:$I,4,FALSE),0)),NA())</f>
        <v>#N/A</v>
      </c>
      <c r="P115" s="58" t="e">
        <f>IF($F$4,IF($L115="","",IFERROR(VLOOKUP($L115,day_data!$A:$I,5,FALSE),0)),NA())</f>
        <v>#N/A</v>
      </c>
      <c r="Q115" s="59" t="e">
        <f>IF($F$8,IF($L115="","",IFERROR(VLOOKUP($L115,day_data!$A:$I,6,FALSE),0)),NA())</f>
        <v>#N/A</v>
      </c>
      <c r="R115" s="11" t="e">
        <f>IF($F$6,IF($L115="","",IFERROR(VLOOKUP($L115,day_data!$A:$I,7,FALSE),0)),NA())</f>
        <v>#N/A</v>
      </c>
      <c r="S115" s="58" t="str">
        <f>IF($F$5,IF($L115="","",IFERROR(VLOOKUP($L115,day_data!$A:$I,8,FALSE),0)),NA())</f>
        <v/>
      </c>
      <c r="T115" s="60" t="e">
        <f>IF($F$7,IF($L115="","",IFERROR(VLOOKUP($L115,day_data!$A:$I,9,FALSE),0)),NA())</f>
        <v>#N/A</v>
      </c>
    </row>
    <row r="116" spans="12:20">
      <c r="L116" s="57" t="str">
        <f t="shared" si="1"/>
        <v/>
      </c>
      <c r="M116" s="11" t="str">
        <f>IF($F$1,IF($L116="","",IFERROR(VLOOKUP($L116,day_data!$A:$I,2,FALSE),0)),NA())</f>
        <v/>
      </c>
      <c r="N116" s="58" t="e">
        <f>IF($F$2,IF($L116="","",IFERROR(VLOOKUP($L116,day_data!$A:$I,3,FALSE),0)),NA())</f>
        <v>#N/A</v>
      </c>
      <c r="O116" s="11" t="e">
        <f>IF($F$3,IF($L116="","",IFERROR(VLOOKUP($L116,day_data!$A:$I,4,FALSE),0)),NA())</f>
        <v>#N/A</v>
      </c>
      <c r="P116" s="58" t="e">
        <f>IF($F$4,IF($L116="","",IFERROR(VLOOKUP($L116,day_data!$A:$I,5,FALSE),0)),NA())</f>
        <v>#N/A</v>
      </c>
      <c r="Q116" s="59" t="e">
        <f>IF($F$8,IF($L116="","",IFERROR(VLOOKUP($L116,day_data!$A:$I,6,FALSE),0)),NA())</f>
        <v>#N/A</v>
      </c>
      <c r="R116" s="11" t="e">
        <f>IF($F$6,IF($L116="","",IFERROR(VLOOKUP($L116,day_data!$A:$I,7,FALSE),0)),NA())</f>
        <v>#N/A</v>
      </c>
      <c r="S116" s="58" t="str">
        <f>IF($F$5,IF($L116="","",IFERROR(VLOOKUP($L116,day_data!$A:$I,8,FALSE),0)),NA())</f>
        <v/>
      </c>
      <c r="T116" s="60" t="e">
        <f>IF($F$7,IF($L116="","",IFERROR(VLOOKUP($L116,day_data!$A:$I,9,FALSE),0)),NA())</f>
        <v>#N/A</v>
      </c>
    </row>
    <row r="117" spans="12:20">
      <c r="L117" s="57" t="str">
        <f t="shared" si="1"/>
        <v/>
      </c>
      <c r="M117" s="11" t="str">
        <f>IF($F$1,IF($L117="","",IFERROR(VLOOKUP($L117,day_data!$A:$I,2,FALSE),0)),NA())</f>
        <v/>
      </c>
      <c r="N117" s="58" t="e">
        <f>IF($F$2,IF($L117="","",IFERROR(VLOOKUP($L117,day_data!$A:$I,3,FALSE),0)),NA())</f>
        <v>#N/A</v>
      </c>
      <c r="O117" s="11" t="e">
        <f>IF($F$3,IF($L117="","",IFERROR(VLOOKUP($L117,day_data!$A:$I,4,FALSE),0)),NA())</f>
        <v>#N/A</v>
      </c>
      <c r="P117" s="58" t="e">
        <f>IF($F$4,IF($L117="","",IFERROR(VLOOKUP($L117,day_data!$A:$I,5,FALSE),0)),NA())</f>
        <v>#N/A</v>
      </c>
      <c r="Q117" s="59" t="e">
        <f>IF($F$8,IF($L117="","",IFERROR(VLOOKUP($L117,day_data!$A:$I,6,FALSE),0)),NA())</f>
        <v>#N/A</v>
      </c>
      <c r="R117" s="11" t="e">
        <f>IF($F$6,IF($L117="","",IFERROR(VLOOKUP($L117,day_data!$A:$I,7,FALSE),0)),NA())</f>
        <v>#N/A</v>
      </c>
      <c r="S117" s="58" t="str">
        <f>IF($F$5,IF($L117="","",IFERROR(VLOOKUP($L117,day_data!$A:$I,8,FALSE),0)),NA())</f>
        <v/>
      </c>
      <c r="T117" s="60" t="e">
        <f>IF($F$7,IF($L117="","",IFERROR(VLOOKUP($L117,day_data!$A:$I,9,FALSE),0)),NA())</f>
        <v>#N/A</v>
      </c>
    </row>
    <row r="118" spans="12:20">
      <c r="L118" s="57" t="str">
        <f t="shared" si="1"/>
        <v/>
      </c>
      <c r="M118" s="11" t="str">
        <f>IF($F$1,IF($L118="","",IFERROR(VLOOKUP($L118,day_data!$A:$I,2,FALSE),0)),NA())</f>
        <v/>
      </c>
      <c r="N118" s="58" t="e">
        <f>IF($F$2,IF($L118="","",IFERROR(VLOOKUP($L118,day_data!$A:$I,3,FALSE),0)),NA())</f>
        <v>#N/A</v>
      </c>
      <c r="O118" s="11" t="e">
        <f>IF($F$3,IF($L118="","",IFERROR(VLOOKUP($L118,day_data!$A:$I,4,FALSE),0)),NA())</f>
        <v>#N/A</v>
      </c>
      <c r="P118" s="58" t="e">
        <f>IF($F$4,IF($L118="","",IFERROR(VLOOKUP($L118,day_data!$A:$I,5,FALSE),0)),NA())</f>
        <v>#N/A</v>
      </c>
      <c r="Q118" s="59" t="e">
        <f>IF($F$8,IF($L118="","",IFERROR(VLOOKUP($L118,day_data!$A:$I,6,FALSE),0)),NA())</f>
        <v>#N/A</v>
      </c>
      <c r="R118" s="11" t="e">
        <f>IF($F$6,IF($L118="","",IFERROR(VLOOKUP($L118,day_data!$A:$I,7,FALSE),0)),NA())</f>
        <v>#N/A</v>
      </c>
      <c r="S118" s="58" t="str">
        <f>IF($F$5,IF($L118="","",IFERROR(VLOOKUP($L118,day_data!$A:$I,8,FALSE),0)),NA())</f>
        <v/>
      </c>
      <c r="T118" s="60" t="e">
        <f>IF($F$7,IF($L118="","",IFERROR(VLOOKUP($L118,day_data!$A:$I,9,FALSE),0)),NA())</f>
        <v>#N/A</v>
      </c>
    </row>
    <row r="119" spans="12:20">
      <c r="L119" s="57" t="str">
        <f t="shared" si="1"/>
        <v/>
      </c>
      <c r="M119" s="11" t="str">
        <f>IF($F$1,IF($L119="","",IFERROR(VLOOKUP($L119,day_data!$A:$I,2,FALSE),0)),NA())</f>
        <v/>
      </c>
      <c r="N119" s="58" t="e">
        <f>IF($F$2,IF($L119="","",IFERROR(VLOOKUP($L119,day_data!$A:$I,3,FALSE),0)),NA())</f>
        <v>#N/A</v>
      </c>
      <c r="O119" s="11" t="e">
        <f>IF($F$3,IF($L119="","",IFERROR(VLOOKUP($L119,day_data!$A:$I,4,FALSE),0)),NA())</f>
        <v>#N/A</v>
      </c>
      <c r="P119" s="58" t="e">
        <f>IF($F$4,IF($L119="","",IFERROR(VLOOKUP($L119,day_data!$A:$I,5,FALSE),0)),NA())</f>
        <v>#N/A</v>
      </c>
      <c r="Q119" s="59" t="e">
        <f>IF($F$8,IF($L119="","",IFERROR(VLOOKUP($L119,day_data!$A:$I,6,FALSE),0)),NA())</f>
        <v>#N/A</v>
      </c>
      <c r="R119" s="11" t="e">
        <f>IF($F$6,IF($L119="","",IFERROR(VLOOKUP($L119,day_data!$A:$I,7,FALSE),0)),NA())</f>
        <v>#N/A</v>
      </c>
      <c r="S119" s="58" t="str">
        <f>IF($F$5,IF($L119="","",IFERROR(VLOOKUP($L119,day_data!$A:$I,8,FALSE),0)),NA())</f>
        <v/>
      </c>
      <c r="T119" s="60" t="e">
        <f>IF($F$7,IF($L119="","",IFERROR(VLOOKUP($L119,day_data!$A:$I,9,FALSE),0)),NA())</f>
        <v>#N/A</v>
      </c>
    </row>
    <row r="120" spans="12:20">
      <c r="L120" s="57" t="str">
        <f t="shared" si="1"/>
        <v/>
      </c>
      <c r="M120" s="11" t="str">
        <f>IF($F$1,IF($L120="","",IFERROR(VLOOKUP($L120,day_data!$A:$I,2,FALSE),0)),NA())</f>
        <v/>
      </c>
      <c r="N120" s="58" t="e">
        <f>IF($F$2,IF($L120="","",IFERROR(VLOOKUP($L120,day_data!$A:$I,3,FALSE),0)),NA())</f>
        <v>#N/A</v>
      </c>
      <c r="O120" s="11" t="e">
        <f>IF($F$3,IF($L120="","",IFERROR(VLOOKUP($L120,day_data!$A:$I,4,FALSE),0)),NA())</f>
        <v>#N/A</v>
      </c>
      <c r="P120" s="58" t="e">
        <f>IF($F$4,IF($L120="","",IFERROR(VLOOKUP($L120,day_data!$A:$I,5,FALSE),0)),NA())</f>
        <v>#N/A</v>
      </c>
      <c r="Q120" s="59" t="e">
        <f>IF($F$8,IF($L120="","",IFERROR(VLOOKUP($L120,day_data!$A:$I,6,FALSE),0)),NA())</f>
        <v>#N/A</v>
      </c>
      <c r="R120" s="11" t="e">
        <f>IF($F$6,IF($L120="","",IFERROR(VLOOKUP($L120,day_data!$A:$I,7,FALSE),0)),NA())</f>
        <v>#N/A</v>
      </c>
      <c r="S120" s="58" t="str">
        <f>IF($F$5,IF($L120="","",IFERROR(VLOOKUP($L120,day_data!$A:$I,8,FALSE),0)),NA())</f>
        <v/>
      </c>
      <c r="T120" s="60" t="e">
        <f>IF($F$7,IF($L120="","",IFERROR(VLOOKUP($L120,day_data!$A:$I,9,FALSE),0)),NA())</f>
        <v>#N/A</v>
      </c>
    </row>
    <row r="121" spans="12:20">
      <c r="L121" s="57" t="str">
        <f t="shared" si="1"/>
        <v/>
      </c>
      <c r="M121" s="11" t="str">
        <f>IF($F$1,IF($L121="","",IFERROR(VLOOKUP($L121,day_data!$A:$I,2,FALSE),0)),NA())</f>
        <v/>
      </c>
      <c r="N121" s="58" t="e">
        <f>IF($F$2,IF($L121="","",IFERROR(VLOOKUP($L121,day_data!$A:$I,3,FALSE),0)),NA())</f>
        <v>#N/A</v>
      </c>
      <c r="O121" s="11" t="e">
        <f>IF($F$3,IF($L121="","",IFERROR(VLOOKUP($L121,day_data!$A:$I,4,FALSE),0)),NA())</f>
        <v>#N/A</v>
      </c>
      <c r="P121" s="58" t="e">
        <f>IF($F$4,IF($L121="","",IFERROR(VLOOKUP($L121,day_data!$A:$I,5,FALSE),0)),NA())</f>
        <v>#N/A</v>
      </c>
      <c r="Q121" s="59" t="e">
        <f>IF($F$8,IF($L121="","",IFERROR(VLOOKUP($L121,day_data!$A:$I,6,FALSE),0)),NA())</f>
        <v>#N/A</v>
      </c>
      <c r="R121" s="11" t="e">
        <f>IF($F$6,IF($L121="","",IFERROR(VLOOKUP($L121,day_data!$A:$I,7,FALSE),0)),NA())</f>
        <v>#N/A</v>
      </c>
      <c r="S121" s="58" t="str">
        <f>IF($F$5,IF($L121="","",IFERROR(VLOOKUP($L121,day_data!$A:$I,8,FALSE),0)),NA())</f>
        <v/>
      </c>
      <c r="T121" s="60" t="e">
        <f>IF($F$7,IF($L121="","",IFERROR(VLOOKUP($L121,day_data!$A:$I,9,FALSE),0)),NA())</f>
        <v>#N/A</v>
      </c>
    </row>
    <row r="122" spans="12:20">
      <c r="L122" s="57" t="str">
        <f t="shared" si="1"/>
        <v/>
      </c>
      <c r="M122" s="11" t="str">
        <f>IF($F$1,IF($L122="","",IFERROR(VLOOKUP($L122,day_data!$A:$I,2,FALSE),0)),NA())</f>
        <v/>
      </c>
      <c r="N122" s="58" t="e">
        <f>IF($F$2,IF($L122="","",IFERROR(VLOOKUP($L122,day_data!$A:$I,3,FALSE),0)),NA())</f>
        <v>#N/A</v>
      </c>
      <c r="O122" s="11" t="e">
        <f>IF($F$3,IF($L122="","",IFERROR(VLOOKUP($L122,day_data!$A:$I,4,FALSE),0)),NA())</f>
        <v>#N/A</v>
      </c>
      <c r="P122" s="58" t="e">
        <f>IF($F$4,IF($L122="","",IFERROR(VLOOKUP($L122,day_data!$A:$I,5,FALSE),0)),NA())</f>
        <v>#N/A</v>
      </c>
      <c r="Q122" s="59" t="e">
        <f>IF($F$8,IF($L122="","",IFERROR(VLOOKUP($L122,day_data!$A:$I,6,FALSE),0)),NA())</f>
        <v>#N/A</v>
      </c>
      <c r="R122" s="11" t="e">
        <f>IF($F$6,IF($L122="","",IFERROR(VLOOKUP($L122,day_data!$A:$I,7,FALSE),0)),NA())</f>
        <v>#N/A</v>
      </c>
      <c r="S122" s="58" t="str">
        <f>IF($F$5,IF($L122="","",IFERROR(VLOOKUP($L122,day_data!$A:$I,8,FALSE),0)),NA())</f>
        <v/>
      </c>
      <c r="T122" s="60" t="e">
        <f>IF($F$7,IF($L122="","",IFERROR(VLOOKUP($L122,day_data!$A:$I,9,FALSE),0)),NA())</f>
        <v>#N/A</v>
      </c>
    </row>
    <row r="123" spans="12:20">
      <c r="L123" s="57" t="str">
        <f t="shared" si="1"/>
        <v/>
      </c>
      <c r="M123" s="11" t="str">
        <f>IF($F$1,IF($L123="","",IFERROR(VLOOKUP($L123,day_data!$A:$I,2,FALSE),0)),NA())</f>
        <v/>
      </c>
      <c r="N123" s="58" t="e">
        <f>IF($F$2,IF($L123="","",IFERROR(VLOOKUP($L123,day_data!$A:$I,3,FALSE),0)),NA())</f>
        <v>#N/A</v>
      </c>
      <c r="O123" s="11" t="e">
        <f>IF($F$3,IF($L123="","",IFERROR(VLOOKUP($L123,day_data!$A:$I,4,FALSE),0)),NA())</f>
        <v>#N/A</v>
      </c>
      <c r="P123" s="58" t="e">
        <f>IF($F$4,IF($L123="","",IFERROR(VLOOKUP($L123,day_data!$A:$I,5,FALSE),0)),NA())</f>
        <v>#N/A</v>
      </c>
      <c r="Q123" s="59" t="e">
        <f>IF($F$8,IF($L123="","",IFERROR(VLOOKUP($L123,day_data!$A:$I,6,FALSE),0)),NA())</f>
        <v>#N/A</v>
      </c>
      <c r="R123" s="11" t="e">
        <f>IF($F$6,IF($L123="","",IFERROR(VLOOKUP($L123,day_data!$A:$I,7,FALSE),0)),NA())</f>
        <v>#N/A</v>
      </c>
      <c r="S123" s="58" t="str">
        <f>IF($F$5,IF($L123="","",IFERROR(VLOOKUP($L123,day_data!$A:$I,8,FALSE),0)),NA())</f>
        <v/>
      </c>
      <c r="T123" s="60" t="e">
        <f>IF($F$7,IF($L123="","",IFERROR(VLOOKUP($L123,day_data!$A:$I,9,FALSE),0)),NA())</f>
        <v>#N/A</v>
      </c>
    </row>
    <row r="124" spans="12:20">
      <c r="L124" s="57" t="str">
        <f t="shared" si="1"/>
        <v/>
      </c>
      <c r="M124" s="11" t="str">
        <f>IF($F$1,IF($L124="","",IFERROR(VLOOKUP($L124,day_data!$A:$I,2,FALSE),0)),NA())</f>
        <v/>
      </c>
      <c r="N124" s="58" t="e">
        <f>IF($F$2,IF($L124="","",IFERROR(VLOOKUP($L124,day_data!$A:$I,3,FALSE),0)),NA())</f>
        <v>#N/A</v>
      </c>
      <c r="O124" s="11" t="e">
        <f>IF($F$3,IF($L124="","",IFERROR(VLOOKUP($L124,day_data!$A:$I,4,FALSE),0)),NA())</f>
        <v>#N/A</v>
      </c>
      <c r="P124" s="58" t="e">
        <f>IF($F$4,IF($L124="","",IFERROR(VLOOKUP($L124,day_data!$A:$I,5,FALSE),0)),NA())</f>
        <v>#N/A</v>
      </c>
      <c r="Q124" s="59" t="e">
        <f>IF($F$8,IF($L124="","",IFERROR(VLOOKUP($L124,day_data!$A:$I,6,FALSE),0)),NA())</f>
        <v>#N/A</v>
      </c>
      <c r="R124" s="11" t="e">
        <f>IF($F$6,IF($L124="","",IFERROR(VLOOKUP($L124,day_data!$A:$I,7,FALSE),0)),NA())</f>
        <v>#N/A</v>
      </c>
      <c r="S124" s="58" t="str">
        <f>IF($F$5,IF($L124="","",IFERROR(VLOOKUP($L124,day_data!$A:$I,8,FALSE),0)),NA())</f>
        <v/>
      </c>
      <c r="T124" s="60" t="e">
        <f>IF($F$7,IF($L124="","",IFERROR(VLOOKUP($L124,day_data!$A:$I,9,FALSE),0)),NA())</f>
        <v>#N/A</v>
      </c>
    </row>
    <row r="125" spans="12:20">
      <c r="L125" s="57" t="str">
        <f t="shared" si="1"/>
        <v/>
      </c>
      <c r="M125" s="11" t="str">
        <f>IF($F$1,IF($L125="","",IFERROR(VLOOKUP($L125,day_data!$A:$I,2,FALSE),0)),NA())</f>
        <v/>
      </c>
      <c r="N125" s="58" t="e">
        <f>IF($F$2,IF($L125="","",IFERROR(VLOOKUP($L125,day_data!$A:$I,3,FALSE),0)),NA())</f>
        <v>#N/A</v>
      </c>
      <c r="O125" s="11" t="e">
        <f>IF($F$3,IF($L125="","",IFERROR(VLOOKUP($L125,day_data!$A:$I,4,FALSE),0)),NA())</f>
        <v>#N/A</v>
      </c>
      <c r="P125" s="58" t="e">
        <f>IF($F$4,IF($L125="","",IFERROR(VLOOKUP($L125,day_data!$A:$I,5,FALSE),0)),NA())</f>
        <v>#N/A</v>
      </c>
      <c r="Q125" s="59" t="e">
        <f>IF($F$8,IF($L125="","",IFERROR(VLOOKUP($L125,day_data!$A:$I,6,FALSE),0)),NA())</f>
        <v>#N/A</v>
      </c>
      <c r="R125" s="11" t="e">
        <f>IF($F$6,IF($L125="","",IFERROR(VLOOKUP($L125,day_data!$A:$I,7,FALSE),0)),NA())</f>
        <v>#N/A</v>
      </c>
      <c r="S125" s="58" t="str">
        <f>IF($F$5,IF($L125="","",IFERROR(VLOOKUP($L125,day_data!$A:$I,8,FALSE),0)),NA())</f>
        <v/>
      </c>
      <c r="T125" s="60" t="e">
        <f>IF($F$7,IF($L125="","",IFERROR(VLOOKUP($L125,day_data!$A:$I,9,FALSE),0)),NA())</f>
        <v>#N/A</v>
      </c>
    </row>
    <row r="126" spans="12:20">
      <c r="L126" s="57" t="str">
        <f t="shared" si="1"/>
        <v/>
      </c>
      <c r="M126" s="11" t="str">
        <f>IF($F$1,IF($L126="","",IFERROR(VLOOKUP($L126,day_data!$A:$I,2,FALSE),0)),NA())</f>
        <v/>
      </c>
      <c r="N126" s="58" t="e">
        <f>IF($F$2,IF($L126="","",IFERROR(VLOOKUP($L126,day_data!$A:$I,3,FALSE),0)),NA())</f>
        <v>#N/A</v>
      </c>
      <c r="O126" s="11" t="e">
        <f>IF($F$3,IF($L126="","",IFERROR(VLOOKUP($L126,day_data!$A:$I,4,FALSE),0)),NA())</f>
        <v>#N/A</v>
      </c>
      <c r="P126" s="58" t="e">
        <f>IF($F$4,IF($L126="","",IFERROR(VLOOKUP($L126,day_data!$A:$I,5,FALSE),0)),NA())</f>
        <v>#N/A</v>
      </c>
      <c r="Q126" s="59" t="e">
        <f>IF($F$8,IF($L126="","",IFERROR(VLOOKUP($L126,day_data!$A:$I,6,FALSE),0)),NA())</f>
        <v>#N/A</v>
      </c>
      <c r="R126" s="11" t="e">
        <f>IF($F$6,IF($L126="","",IFERROR(VLOOKUP($L126,day_data!$A:$I,7,FALSE),0)),NA())</f>
        <v>#N/A</v>
      </c>
      <c r="S126" s="58" t="str">
        <f>IF($F$5,IF($L126="","",IFERROR(VLOOKUP($L126,day_data!$A:$I,8,FALSE),0)),NA())</f>
        <v/>
      </c>
      <c r="T126" s="60" t="e">
        <f>IF($F$7,IF($L126="","",IFERROR(VLOOKUP($L126,day_data!$A:$I,9,FALSE),0)),NA())</f>
        <v>#N/A</v>
      </c>
    </row>
    <row r="127" spans="12:20">
      <c r="L127" s="57" t="str">
        <f t="shared" si="1"/>
        <v/>
      </c>
      <c r="M127" s="11" t="str">
        <f>IF($F$1,IF($L127="","",IFERROR(VLOOKUP($L127,day_data!$A:$I,2,FALSE),0)),NA())</f>
        <v/>
      </c>
      <c r="N127" s="58" t="e">
        <f>IF($F$2,IF($L127="","",IFERROR(VLOOKUP($L127,day_data!$A:$I,3,FALSE),0)),NA())</f>
        <v>#N/A</v>
      </c>
      <c r="O127" s="11" t="e">
        <f>IF($F$3,IF($L127="","",IFERROR(VLOOKUP($L127,day_data!$A:$I,4,FALSE),0)),NA())</f>
        <v>#N/A</v>
      </c>
      <c r="P127" s="58" t="e">
        <f>IF($F$4,IF($L127="","",IFERROR(VLOOKUP($L127,day_data!$A:$I,5,FALSE),0)),NA())</f>
        <v>#N/A</v>
      </c>
      <c r="Q127" s="59" t="e">
        <f>IF($F$8,IF($L127="","",IFERROR(VLOOKUP($L127,day_data!$A:$I,6,FALSE),0)),NA())</f>
        <v>#N/A</v>
      </c>
      <c r="R127" s="11" t="e">
        <f>IF($F$6,IF($L127="","",IFERROR(VLOOKUP($L127,day_data!$A:$I,7,FALSE),0)),NA())</f>
        <v>#N/A</v>
      </c>
      <c r="S127" s="58" t="str">
        <f>IF($F$5,IF($L127="","",IFERROR(VLOOKUP($L127,day_data!$A:$I,8,FALSE),0)),NA())</f>
        <v/>
      </c>
      <c r="T127" s="60" t="e">
        <f>IF($F$7,IF($L127="","",IFERROR(VLOOKUP($L127,day_data!$A:$I,9,FALSE),0)),NA())</f>
        <v>#N/A</v>
      </c>
    </row>
    <row r="128" spans="12:20">
      <c r="L128" s="57" t="str">
        <f t="shared" si="1"/>
        <v/>
      </c>
      <c r="M128" s="11" t="str">
        <f>IF($F$1,IF($L128="","",IFERROR(VLOOKUP($L128,day_data!$A:$I,2,FALSE),0)),NA())</f>
        <v/>
      </c>
      <c r="N128" s="58" t="e">
        <f>IF($F$2,IF($L128="","",IFERROR(VLOOKUP($L128,day_data!$A:$I,3,FALSE),0)),NA())</f>
        <v>#N/A</v>
      </c>
      <c r="O128" s="11" t="e">
        <f>IF($F$3,IF($L128="","",IFERROR(VLOOKUP($L128,day_data!$A:$I,4,FALSE),0)),NA())</f>
        <v>#N/A</v>
      </c>
      <c r="P128" s="58" t="e">
        <f>IF($F$4,IF($L128="","",IFERROR(VLOOKUP($L128,day_data!$A:$I,5,FALSE),0)),NA())</f>
        <v>#N/A</v>
      </c>
      <c r="Q128" s="59" t="e">
        <f>IF($F$8,IF($L128="","",IFERROR(VLOOKUP($L128,day_data!$A:$I,6,FALSE),0)),NA())</f>
        <v>#N/A</v>
      </c>
      <c r="R128" s="11" t="e">
        <f>IF($F$6,IF($L128="","",IFERROR(VLOOKUP($L128,day_data!$A:$I,7,FALSE),0)),NA())</f>
        <v>#N/A</v>
      </c>
      <c r="S128" s="58" t="str">
        <f>IF($F$5,IF($L128="","",IFERROR(VLOOKUP($L128,day_data!$A:$I,8,FALSE),0)),NA())</f>
        <v/>
      </c>
      <c r="T128" s="60" t="e">
        <f>IF($F$7,IF($L128="","",IFERROR(VLOOKUP($L128,day_data!$A:$I,9,FALSE),0)),NA())</f>
        <v>#N/A</v>
      </c>
    </row>
    <row r="129" spans="12:20">
      <c r="L129" s="57" t="str">
        <f t="shared" si="1"/>
        <v/>
      </c>
      <c r="M129" s="11" t="str">
        <f>IF($F$1,IF($L129="","",IFERROR(VLOOKUP($L129,day_data!$A:$I,2,FALSE),0)),NA())</f>
        <v/>
      </c>
      <c r="N129" s="58" t="e">
        <f>IF($F$2,IF($L129="","",IFERROR(VLOOKUP($L129,day_data!$A:$I,3,FALSE),0)),NA())</f>
        <v>#N/A</v>
      </c>
      <c r="O129" s="11" t="e">
        <f>IF($F$3,IF($L129="","",IFERROR(VLOOKUP($L129,day_data!$A:$I,4,FALSE),0)),NA())</f>
        <v>#N/A</v>
      </c>
      <c r="P129" s="58" t="e">
        <f>IF($F$4,IF($L129="","",IFERROR(VLOOKUP($L129,day_data!$A:$I,5,FALSE),0)),NA())</f>
        <v>#N/A</v>
      </c>
      <c r="Q129" s="59" t="e">
        <f>IF($F$8,IF($L129="","",IFERROR(VLOOKUP($L129,day_data!$A:$I,6,FALSE),0)),NA())</f>
        <v>#N/A</v>
      </c>
      <c r="R129" s="11" t="e">
        <f>IF($F$6,IF($L129="","",IFERROR(VLOOKUP($L129,day_data!$A:$I,7,FALSE),0)),NA())</f>
        <v>#N/A</v>
      </c>
      <c r="S129" s="58" t="str">
        <f>IF($F$5,IF($L129="","",IFERROR(VLOOKUP($L129,day_data!$A:$I,8,FALSE),0)),NA())</f>
        <v/>
      </c>
      <c r="T129" s="60" t="e">
        <f>IF($F$7,IF($L129="","",IFERROR(VLOOKUP($L129,day_data!$A:$I,9,FALSE),0)),NA())</f>
        <v>#N/A</v>
      </c>
    </row>
    <row r="130" spans="12:20">
      <c r="L130" s="57" t="str">
        <f t="shared" si="1"/>
        <v/>
      </c>
      <c r="M130" s="11" t="str">
        <f>IF($F$1,IF($L130="","",IFERROR(VLOOKUP($L130,day_data!$A:$I,2,FALSE),0)),NA())</f>
        <v/>
      </c>
      <c r="N130" s="58" t="e">
        <f>IF($F$2,IF($L130="","",IFERROR(VLOOKUP($L130,day_data!$A:$I,3,FALSE),0)),NA())</f>
        <v>#N/A</v>
      </c>
      <c r="O130" s="11" t="e">
        <f>IF($F$3,IF($L130="","",IFERROR(VLOOKUP($L130,day_data!$A:$I,4,FALSE),0)),NA())</f>
        <v>#N/A</v>
      </c>
      <c r="P130" s="58" t="e">
        <f>IF($F$4,IF($L130="","",IFERROR(VLOOKUP($L130,day_data!$A:$I,5,FALSE),0)),NA())</f>
        <v>#N/A</v>
      </c>
      <c r="Q130" s="59" t="e">
        <f>IF($F$8,IF($L130="","",IFERROR(VLOOKUP($L130,day_data!$A:$I,6,FALSE),0)),NA())</f>
        <v>#N/A</v>
      </c>
      <c r="R130" s="11" t="e">
        <f>IF($F$6,IF($L130="","",IFERROR(VLOOKUP($L130,day_data!$A:$I,7,FALSE),0)),NA())</f>
        <v>#N/A</v>
      </c>
      <c r="S130" s="58" t="str">
        <f>IF($F$5,IF($L130="","",IFERROR(VLOOKUP($L130,day_data!$A:$I,8,FALSE),0)),NA())</f>
        <v/>
      </c>
      <c r="T130" s="60" t="e">
        <f>IF($F$7,IF($L130="","",IFERROR(VLOOKUP($L130,day_data!$A:$I,9,FALSE),0)),NA())</f>
        <v>#N/A</v>
      </c>
    </row>
    <row r="131" spans="12:20">
      <c r="L131" s="57" t="str">
        <f t="shared" si="1"/>
        <v/>
      </c>
      <c r="M131" s="11" t="str">
        <f>IF($F$1,IF($L131="","",IFERROR(VLOOKUP($L131,day_data!$A:$I,2,FALSE),0)),NA())</f>
        <v/>
      </c>
      <c r="N131" s="58" t="e">
        <f>IF($F$2,IF($L131="","",IFERROR(VLOOKUP($L131,day_data!$A:$I,3,FALSE),0)),NA())</f>
        <v>#N/A</v>
      </c>
      <c r="O131" s="11" t="e">
        <f>IF($F$3,IF($L131="","",IFERROR(VLOOKUP($L131,day_data!$A:$I,4,FALSE),0)),NA())</f>
        <v>#N/A</v>
      </c>
      <c r="P131" s="58" t="e">
        <f>IF($F$4,IF($L131="","",IFERROR(VLOOKUP($L131,day_data!$A:$I,5,FALSE),0)),NA())</f>
        <v>#N/A</v>
      </c>
      <c r="Q131" s="59" t="e">
        <f>IF($F$8,IF($L131="","",IFERROR(VLOOKUP($L131,day_data!$A:$I,6,FALSE),0)),NA())</f>
        <v>#N/A</v>
      </c>
      <c r="R131" s="11" t="e">
        <f>IF($F$6,IF($L131="","",IFERROR(VLOOKUP($L131,day_data!$A:$I,7,FALSE),0)),NA())</f>
        <v>#N/A</v>
      </c>
      <c r="S131" s="58" t="str">
        <f>IF($F$5,IF($L131="","",IFERROR(VLOOKUP($L131,day_data!$A:$I,8,FALSE),0)),NA())</f>
        <v/>
      </c>
      <c r="T131" s="60" t="e">
        <f>IF($F$7,IF($L131="","",IFERROR(VLOOKUP($L131,day_data!$A:$I,9,FALSE),0)),NA())</f>
        <v>#N/A</v>
      </c>
    </row>
    <row r="132" spans="12:20">
      <c r="L132" s="57" t="str">
        <f t="shared" ref="L132:L195" si="2">IF(ROW(L132)-1&gt;$C$1,"",L131+1)</f>
        <v/>
      </c>
      <c r="M132" s="11" t="str">
        <f>IF($F$1,IF($L132="","",IFERROR(VLOOKUP($L132,day_data!$A:$I,2,FALSE),0)),NA())</f>
        <v/>
      </c>
      <c r="N132" s="58" t="e">
        <f>IF($F$2,IF($L132="","",IFERROR(VLOOKUP($L132,day_data!$A:$I,3,FALSE),0)),NA())</f>
        <v>#N/A</v>
      </c>
      <c r="O132" s="11" t="e">
        <f>IF($F$3,IF($L132="","",IFERROR(VLOOKUP($L132,day_data!$A:$I,4,FALSE),0)),NA())</f>
        <v>#N/A</v>
      </c>
      <c r="P132" s="58" t="e">
        <f>IF($F$4,IF($L132="","",IFERROR(VLOOKUP($L132,day_data!$A:$I,5,FALSE),0)),NA())</f>
        <v>#N/A</v>
      </c>
      <c r="Q132" s="59" t="e">
        <f>IF($F$8,IF($L132="","",IFERROR(VLOOKUP($L132,day_data!$A:$I,6,FALSE),0)),NA())</f>
        <v>#N/A</v>
      </c>
      <c r="R132" s="11" t="e">
        <f>IF($F$6,IF($L132="","",IFERROR(VLOOKUP($L132,day_data!$A:$I,7,FALSE),0)),NA())</f>
        <v>#N/A</v>
      </c>
      <c r="S132" s="58" t="str">
        <f>IF($F$5,IF($L132="","",IFERROR(VLOOKUP($L132,day_data!$A:$I,8,FALSE),0)),NA())</f>
        <v/>
      </c>
      <c r="T132" s="60" t="e">
        <f>IF($F$7,IF($L132="","",IFERROR(VLOOKUP($L132,day_data!$A:$I,9,FALSE),0)),NA())</f>
        <v>#N/A</v>
      </c>
    </row>
    <row r="133" spans="12:20">
      <c r="L133" s="57" t="str">
        <f t="shared" si="2"/>
        <v/>
      </c>
      <c r="M133" s="11" t="str">
        <f>IF($F$1,IF($L133="","",IFERROR(VLOOKUP($L133,day_data!$A:$I,2,FALSE),0)),NA())</f>
        <v/>
      </c>
      <c r="N133" s="58" t="e">
        <f>IF($F$2,IF($L133="","",IFERROR(VLOOKUP($L133,day_data!$A:$I,3,FALSE),0)),NA())</f>
        <v>#N/A</v>
      </c>
      <c r="O133" s="11" t="e">
        <f>IF($F$3,IF($L133="","",IFERROR(VLOOKUP($L133,day_data!$A:$I,4,FALSE),0)),NA())</f>
        <v>#N/A</v>
      </c>
      <c r="P133" s="58" t="e">
        <f>IF($F$4,IF($L133="","",IFERROR(VLOOKUP($L133,day_data!$A:$I,5,FALSE),0)),NA())</f>
        <v>#N/A</v>
      </c>
      <c r="Q133" s="59" t="e">
        <f>IF($F$8,IF($L133="","",IFERROR(VLOOKUP($L133,day_data!$A:$I,6,FALSE),0)),NA())</f>
        <v>#N/A</v>
      </c>
      <c r="R133" s="11" t="e">
        <f>IF($F$6,IF($L133="","",IFERROR(VLOOKUP($L133,day_data!$A:$I,7,FALSE),0)),NA())</f>
        <v>#N/A</v>
      </c>
      <c r="S133" s="58" t="str">
        <f>IF($F$5,IF($L133="","",IFERROR(VLOOKUP($L133,day_data!$A:$I,8,FALSE),0)),NA())</f>
        <v/>
      </c>
      <c r="T133" s="60" t="e">
        <f>IF($F$7,IF($L133="","",IFERROR(VLOOKUP($L133,day_data!$A:$I,9,FALSE),0)),NA())</f>
        <v>#N/A</v>
      </c>
    </row>
    <row r="134" spans="12:20">
      <c r="L134" s="57" t="str">
        <f t="shared" si="2"/>
        <v/>
      </c>
      <c r="M134" s="11" t="str">
        <f>IF($F$1,IF($L134="","",IFERROR(VLOOKUP($L134,day_data!$A:$I,2,FALSE),0)),NA())</f>
        <v/>
      </c>
      <c r="N134" s="58" t="e">
        <f>IF($F$2,IF($L134="","",IFERROR(VLOOKUP($L134,day_data!$A:$I,3,FALSE),0)),NA())</f>
        <v>#N/A</v>
      </c>
      <c r="O134" s="11" t="e">
        <f>IF($F$3,IF($L134="","",IFERROR(VLOOKUP($L134,day_data!$A:$I,4,FALSE),0)),NA())</f>
        <v>#N/A</v>
      </c>
      <c r="P134" s="58" t="e">
        <f>IF($F$4,IF($L134="","",IFERROR(VLOOKUP($L134,day_data!$A:$I,5,FALSE),0)),NA())</f>
        <v>#N/A</v>
      </c>
      <c r="Q134" s="59" t="e">
        <f>IF($F$8,IF($L134="","",IFERROR(VLOOKUP($L134,day_data!$A:$I,6,FALSE),0)),NA())</f>
        <v>#N/A</v>
      </c>
      <c r="R134" s="11" t="e">
        <f>IF($F$6,IF($L134="","",IFERROR(VLOOKUP($L134,day_data!$A:$I,7,FALSE),0)),NA())</f>
        <v>#N/A</v>
      </c>
      <c r="S134" s="58" t="str">
        <f>IF($F$5,IF($L134="","",IFERROR(VLOOKUP($L134,day_data!$A:$I,8,FALSE),0)),NA())</f>
        <v/>
      </c>
      <c r="T134" s="60" t="e">
        <f>IF($F$7,IF($L134="","",IFERROR(VLOOKUP($L134,day_data!$A:$I,9,FALSE),0)),NA())</f>
        <v>#N/A</v>
      </c>
    </row>
    <row r="135" spans="12:20">
      <c r="L135" s="57" t="str">
        <f t="shared" si="2"/>
        <v/>
      </c>
      <c r="M135" s="11" t="str">
        <f>IF($F$1,IF($L135="","",IFERROR(VLOOKUP($L135,day_data!$A:$I,2,FALSE),0)),NA())</f>
        <v/>
      </c>
      <c r="N135" s="58" t="e">
        <f>IF($F$2,IF($L135="","",IFERROR(VLOOKUP($L135,day_data!$A:$I,3,FALSE),0)),NA())</f>
        <v>#N/A</v>
      </c>
      <c r="O135" s="11" t="e">
        <f>IF($F$3,IF($L135="","",IFERROR(VLOOKUP($L135,day_data!$A:$I,4,FALSE),0)),NA())</f>
        <v>#N/A</v>
      </c>
      <c r="P135" s="58" t="e">
        <f>IF($F$4,IF($L135="","",IFERROR(VLOOKUP($L135,day_data!$A:$I,5,FALSE),0)),NA())</f>
        <v>#N/A</v>
      </c>
      <c r="Q135" s="59" t="e">
        <f>IF($F$8,IF($L135="","",IFERROR(VLOOKUP($L135,day_data!$A:$I,6,FALSE),0)),NA())</f>
        <v>#N/A</v>
      </c>
      <c r="R135" s="11" t="e">
        <f>IF($F$6,IF($L135="","",IFERROR(VLOOKUP($L135,day_data!$A:$I,7,FALSE),0)),NA())</f>
        <v>#N/A</v>
      </c>
      <c r="S135" s="58" t="str">
        <f>IF($F$5,IF($L135="","",IFERROR(VLOOKUP($L135,day_data!$A:$I,8,FALSE),0)),NA())</f>
        <v/>
      </c>
      <c r="T135" s="60" t="e">
        <f>IF($F$7,IF($L135="","",IFERROR(VLOOKUP($L135,day_data!$A:$I,9,FALSE),0)),NA())</f>
        <v>#N/A</v>
      </c>
    </row>
    <row r="136" spans="12:20">
      <c r="L136" s="57" t="str">
        <f t="shared" si="2"/>
        <v/>
      </c>
      <c r="M136" s="11" t="str">
        <f>IF($F$1,IF($L136="","",IFERROR(VLOOKUP($L136,day_data!$A:$I,2,FALSE),0)),NA())</f>
        <v/>
      </c>
      <c r="N136" s="58" t="e">
        <f>IF($F$2,IF($L136="","",IFERROR(VLOOKUP($L136,day_data!$A:$I,3,FALSE),0)),NA())</f>
        <v>#N/A</v>
      </c>
      <c r="O136" s="11" t="e">
        <f>IF($F$3,IF($L136="","",IFERROR(VLOOKUP($L136,day_data!$A:$I,4,FALSE),0)),NA())</f>
        <v>#N/A</v>
      </c>
      <c r="P136" s="58" t="e">
        <f>IF($F$4,IF($L136="","",IFERROR(VLOOKUP($L136,day_data!$A:$I,5,FALSE),0)),NA())</f>
        <v>#N/A</v>
      </c>
      <c r="Q136" s="59" t="e">
        <f>IF($F$8,IF($L136="","",IFERROR(VLOOKUP($L136,day_data!$A:$I,6,FALSE),0)),NA())</f>
        <v>#N/A</v>
      </c>
      <c r="R136" s="11" t="e">
        <f>IF($F$6,IF($L136="","",IFERROR(VLOOKUP($L136,day_data!$A:$I,7,FALSE),0)),NA())</f>
        <v>#N/A</v>
      </c>
      <c r="S136" s="58" t="str">
        <f>IF($F$5,IF($L136="","",IFERROR(VLOOKUP($L136,day_data!$A:$I,8,FALSE),0)),NA())</f>
        <v/>
      </c>
      <c r="T136" s="60" t="e">
        <f>IF($F$7,IF($L136="","",IFERROR(VLOOKUP($L136,day_data!$A:$I,9,FALSE),0)),NA())</f>
        <v>#N/A</v>
      </c>
    </row>
    <row r="137" spans="12:20">
      <c r="L137" s="57" t="str">
        <f t="shared" si="2"/>
        <v/>
      </c>
      <c r="M137" s="11" t="str">
        <f>IF($F$1,IF($L137="","",IFERROR(VLOOKUP($L137,day_data!$A:$I,2,FALSE),0)),NA())</f>
        <v/>
      </c>
      <c r="N137" s="58" t="e">
        <f>IF($F$2,IF($L137="","",IFERROR(VLOOKUP($L137,day_data!$A:$I,3,FALSE),0)),NA())</f>
        <v>#N/A</v>
      </c>
      <c r="O137" s="11" t="e">
        <f>IF($F$3,IF($L137="","",IFERROR(VLOOKUP($L137,day_data!$A:$I,4,FALSE),0)),NA())</f>
        <v>#N/A</v>
      </c>
      <c r="P137" s="58" t="e">
        <f>IF($F$4,IF($L137="","",IFERROR(VLOOKUP($L137,day_data!$A:$I,5,FALSE),0)),NA())</f>
        <v>#N/A</v>
      </c>
      <c r="Q137" s="59" t="e">
        <f>IF($F$8,IF($L137="","",IFERROR(VLOOKUP($L137,day_data!$A:$I,6,FALSE),0)),NA())</f>
        <v>#N/A</v>
      </c>
      <c r="R137" s="11" t="e">
        <f>IF($F$6,IF($L137="","",IFERROR(VLOOKUP($L137,day_data!$A:$I,7,FALSE),0)),NA())</f>
        <v>#N/A</v>
      </c>
      <c r="S137" s="58" t="str">
        <f>IF($F$5,IF($L137="","",IFERROR(VLOOKUP($L137,day_data!$A:$I,8,FALSE),0)),NA())</f>
        <v/>
      </c>
      <c r="T137" s="60" t="e">
        <f>IF($F$7,IF($L137="","",IFERROR(VLOOKUP($L137,day_data!$A:$I,9,FALSE),0)),NA())</f>
        <v>#N/A</v>
      </c>
    </row>
    <row r="138" spans="12:20">
      <c r="L138" s="57" t="str">
        <f t="shared" si="2"/>
        <v/>
      </c>
      <c r="M138" s="11" t="str">
        <f>IF($F$1,IF($L138="","",IFERROR(VLOOKUP($L138,day_data!$A:$I,2,FALSE),0)),NA())</f>
        <v/>
      </c>
      <c r="N138" s="58" t="e">
        <f>IF($F$2,IF($L138="","",IFERROR(VLOOKUP($L138,day_data!$A:$I,3,FALSE),0)),NA())</f>
        <v>#N/A</v>
      </c>
      <c r="O138" s="11" t="e">
        <f>IF($F$3,IF($L138="","",IFERROR(VLOOKUP($L138,day_data!$A:$I,4,FALSE),0)),NA())</f>
        <v>#N/A</v>
      </c>
      <c r="P138" s="58" t="e">
        <f>IF($F$4,IF($L138="","",IFERROR(VLOOKUP($L138,day_data!$A:$I,5,FALSE),0)),NA())</f>
        <v>#N/A</v>
      </c>
      <c r="Q138" s="59" t="e">
        <f>IF($F$8,IF($L138="","",IFERROR(VLOOKUP($L138,day_data!$A:$I,6,FALSE),0)),NA())</f>
        <v>#N/A</v>
      </c>
      <c r="R138" s="11" t="e">
        <f>IF($F$6,IF($L138="","",IFERROR(VLOOKUP($L138,day_data!$A:$I,7,FALSE),0)),NA())</f>
        <v>#N/A</v>
      </c>
      <c r="S138" s="58" t="str">
        <f>IF($F$5,IF($L138="","",IFERROR(VLOOKUP($L138,day_data!$A:$I,8,FALSE),0)),NA())</f>
        <v/>
      </c>
      <c r="T138" s="60" t="e">
        <f>IF($F$7,IF($L138="","",IFERROR(VLOOKUP($L138,day_data!$A:$I,9,FALSE),0)),NA())</f>
        <v>#N/A</v>
      </c>
    </row>
    <row r="139" spans="12:20">
      <c r="L139" s="57" t="str">
        <f t="shared" si="2"/>
        <v/>
      </c>
      <c r="M139" s="11" t="str">
        <f>IF($F$1,IF($L139="","",IFERROR(VLOOKUP($L139,day_data!$A:$I,2,FALSE),0)),NA())</f>
        <v/>
      </c>
      <c r="N139" s="58" t="e">
        <f>IF($F$2,IF($L139="","",IFERROR(VLOOKUP($L139,day_data!$A:$I,3,FALSE),0)),NA())</f>
        <v>#N/A</v>
      </c>
      <c r="O139" s="11" t="e">
        <f>IF($F$3,IF($L139="","",IFERROR(VLOOKUP($L139,day_data!$A:$I,4,FALSE),0)),NA())</f>
        <v>#N/A</v>
      </c>
      <c r="P139" s="58" t="e">
        <f>IF($F$4,IF($L139="","",IFERROR(VLOOKUP($L139,day_data!$A:$I,5,FALSE),0)),NA())</f>
        <v>#N/A</v>
      </c>
      <c r="Q139" s="59" t="e">
        <f>IF($F$8,IF($L139="","",IFERROR(VLOOKUP($L139,day_data!$A:$I,6,FALSE),0)),NA())</f>
        <v>#N/A</v>
      </c>
      <c r="R139" s="11" t="e">
        <f>IF($F$6,IF($L139="","",IFERROR(VLOOKUP($L139,day_data!$A:$I,7,FALSE),0)),NA())</f>
        <v>#N/A</v>
      </c>
      <c r="S139" s="58" t="str">
        <f>IF($F$5,IF($L139="","",IFERROR(VLOOKUP($L139,day_data!$A:$I,8,FALSE),0)),NA())</f>
        <v/>
      </c>
      <c r="T139" s="60" t="e">
        <f>IF($F$7,IF($L139="","",IFERROR(VLOOKUP($L139,day_data!$A:$I,9,FALSE),0)),NA())</f>
        <v>#N/A</v>
      </c>
    </row>
    <row r="140" spans="12:20">
      <c r="L140" s="57" t="str">
        <f t="shared" si="2"/>
        <v/>
      </c>
      <c r="M140" s="11" t="str">
        <f>IF($F$1,IF($L140="","",IFERROR(VLOOKUP($L140,day_data!$A:$I,2,FALSE),0)),NA())</f>
        <v/>
      </c>
      <c r="N140" s="58" t="e">
        <f>IF($F$2,IF($L140="","",IFERROR(VLOOKUP($L140,day_data!$A:$I,3,FALSE),0)),NA())</f>
        <v>#N/A</v>
      </c>
      <c r="O140" s="11" t="e">
        <f>IF($F$3,IF($L140="","",IFERROR(VLOOKUP($L140,day_data!$A:$I,4,FALSE),0)),NA())</f>
        <v>#N/A</v>
      </c>
      <c r="P140" s="58" t="e">
        <f>IF($F$4,IF($L140="","",IFERROR(VLOOKUP($L140,day_data!$A:$I,5,FALSE),0)),NA())</f>
        <v>#N/A</v>
      </c>
      <c r="Q140" s="59" t="e">
        <f>IF($F$8,IF($L140="","",IFERROR(VLOOKUP($L140,day_data!$A:$I,6,FALSE),0)),NA())</f>
        <v>#N/A</v>
      </c>
      <c r="R140" s="11" t="e">
        <f>IF($F$6,IF($L140="","",IFERROR(VLOOKUP($L140,day_data!$A:$I,7,FALSE),0)),NA())</f>
        <v>#N/A</v>
      </c>
      <c r="S140" s="58" t="str">
        <f>IF($F$5,IF($L140="","",IFERROR(VLOOKUP($L140,day_data!$A:$I,8,FALSE),0)),NA())</f>
        <v/>
      </c>
      <c r="T140" s="60" t="e">
        <f>IF($F$7,IF($L140="","",IFERROR(VLOOKUP($L140,day_data!$A:$I,9,FALSE),0)),NA())</f>
        <v>#N/A</v>
      </c>
    </row>
    <row r="141" spans="12:20">
      <c r="L141" s="57" t="str">
        <f t="shared" si="2"/>
        <v/>
      </c>
      <c r="M141" s="11" t="str">
        <f>IF($F$1,IF($L141="","",IFERROR(VLOOKUP($L141,day_data!$A:$I,2,FALSE),0)),NA())</f>
        <v/>
      </c>
      <c r="N141" s="58" t="e">
        <f>IF($F$2,IF($L141="","",IFERROR(VLOOKUP($L141,day_data!$A:$I,3,FALSE),0)),NA())</f>
        <v>#N/A</v>
      </c>
      <c r="O141" s="11" t="e">
        <f>IF($F$3,IF($L141="","",IFERROR(VLOOKUP($L141,day_data!$A:$I,4,FALSE),0)),NA())</f>
        <v>#N/A</v>
      </c>
      <c r="P141" s="58" t="e">
        <f>IF($F$4,IF($L141="","",IFERROR(VLOOKUP($L141,day_data!$A:$I,5,FALSE),0)),NA())</f>
        <v>#N/A</v>
      </c>
      <c r="Q141" s="59" t="e">
        <f>IF($F$8,IF($L141="","",IFERROR(VLOOKUP($L141,day_data!$A:$I,6,FALSE),0)),NA())</f>
        <v>#N/A</v>
      </c>
      <c r="R141" s="11" t="e">
        <f>IF($F$6,IF($L141="","",IFERROR(VLOOKUP($L141,day_data!$A:$I,7,FALSE),0)),NA())</f>
        <v>#N/A</v>
      </c>
      <c r="S141" s="58" t="str">
        <f>IF($F$5,IF($L141="","",IFERROR(VLOOKUP($L141,day_data!$A:$I,8,FALSE),0)),NA())</f>
        <v/>
      </c>
      <c r="T141" s="60" t="e">
        <f>IF($F$7,IF($L141="","",IFERROR(VLOOKUP($L141,day_data!$A:$I,9,FALSE),0)),NA())</f>
        <v>#N/A</v>
      </c>
    </row>
    <row r="142" spans="12:20">
      <c r="L142" s="57" t="str">
        <f t="shared" si="2"/>
        <v/>
      </c>
      <c r="M142" s="11" t="str">
        <f>IF($F$1,IF($L142="","",IFERROR(VLOOKUP($L142,day_data!$A:$I,2,FALSE),0)),NA())</f>
        <v/>
      </c>
      <c r="N142" s="58" t="e">
        <f>IF($F$2,IF($L142="","",IFERROR(VLOOKUP($L142,day_data!$A:$I,3,FALSE),0)),NA())</f>
        <v>#N/A</v>
      </c>
      <c r="O142" s="11" t="e">
        <f>IF($F$3,IF($L142="","",IFERROR(VLOOKUP($L142,day_data!$A:$I,4,FALSE),0)),NA())</f>
        <v>#N/A</v>
      </c>
      <c r="P142" s="58" t="e">
        <f>IF($F$4,IF($L142="","",IFERROR(VLOOKUP($L142,day_data!$A:$I,5,FALSE),0)),NA())</f>
        <v>#N/A</v>
      </c>
      <c r="Q142" s="59" t="e">
        <f>IF($F$8,IF($L142="","",IFERROR(VLOOKUP($L142,day_data!$A:$I,6,FALSE),0)),NA())</f>
        <v>#N/A</v>
      </c>
      <c r="R142" s="11" t="e">
        <f>IF($F$6,IF($L142="","",IFERROR(VLOOKUP($L142,day_data!$A:$I,7,FALSE),0)),NA())</f>
        <v>#N/A</v>
      </c>
      <c r="S142" s="58" t="str">
        <f>IF($F$5,IF($L142="","",IFERROR(VLOOKUP($L142,day_data!$A:$I,8,FALSE),0)),NA())</f>
        <v/>
      </c>
      <c r="T142" s="60" t="e">
        <f>IF($F$7,IF($L142="","",IFERROR(VLOOKUP($L142,day_data!$A:$I,9,FALSE),0)),NA())</f>
        <v>#N/A</v>
      </c>
    </row>
    <row r="143" spans="12:20">
      <c r="L143" s="57" t="str">
        <f t="shared" si="2"/>
        <v/>
      </c>
      <c r="M143" s="11" t="str">
        <f>IF($F$1,IF($L143="","",IFERROR(VLOOKUP($L143,day_data!$A:$I,2,FALSE),0)),NA())</f>
        <v/>
      </c>
      <c r="N143" s="58" t="e">
        <f>IF($F$2,IF($L143="","",IFERROR(VLOOKUP($L143,day_data!$A:$I,3,FALSE),0)),NA())</f>
        <v>#N/A</v>
      </c>
      <c r="O143" s="11" t="e">
        <f>IF($F$3,IF($L143="","",IFERROR(VLOOKUP($L143,day_data!$A:$I,4,FALSE),0)),NA())</f>
        <v>#N/A</v>
      </c>
      <c r="P143" s="58" t="e">
        <f>IF($F$4,IF($L143="","",IFERROR(VLOOKUP($L143,day_data!$A:$I,5,FALSE),0)),NA())</f>
        <v>#N/A</v>
      </c>
      <c r="Q143" s="59" t="e">
        <f>IF($F$8,IF($L143="","",IFERROR(VLOOKUP($L143,day_data!$A:$I,6,FALSE),0)),NA())</f>
        <v>#N/A</v>
      </c>
      <c r="R143" s="11" t="e">
        <f>IF($F$6,IF($L143="","",IFERROR(VLOOKUP($L143,day_data!$A:$I,7,FALSE),0)),NA())</f>
        <v>#N/A</v>
      </c>
      <c r="S143" s="58" t="str">
        <f>IF($F$5,IF($L143="","",IFERROR(VLOOKUP($L143,day_data!$A:$I,8,FALSE),0)),NA())</f>
        <v/>
      </c>
      <c r="T143" s="60" t="e">
        <f>IF($F$7,IF($L143="","",IFERROR(VLOOKUP($L143,day_data!$A:$I,9,FALSE),0)),NA())</f>
        <v>#N/A</v>
      </c>
    </row>
    <row r="144" spans="12:20">
      <c r="L144" s="57" t="str">
        <f t="shared" si="2"/>
        <v/>
      </c>
      <c r="M144" s="11" t="str">
        <f>IF($F$1,IF($L144="","",IFERROR(VLOOKUP($L144,day_data!$A:$I,2,FALSE),0)),NA())</f>
        <v/>
      </c>
      <c r="N144" s="58" t="e">
        <f>IF($F$2,IF($L144="","",IFERROR(VLOOKUP($L144,day_data!$A:$I,3,FALSE),0)),NA())</f>
        <v>#N/A</v>
      </c>
      <c r="O144" s="11" t="e">
        <f>IF($F$3,IF($L144="","",IFERROR(VLOOKUP($L144,day_data!$A:$I,4,FALSE),0)),NA())</f>
        <v>#N/A</v>
      </c>
      <c r="P144" s="58" t="e">
        <f>IF($F$4,IF($L144="","",IFERROR(VLOOKUP($L144,day_data!$A:$I,5,FALSE),0)),NA())</f>
        <v>#N/A</v>
      </c>
      <c r="Q144" s="59" t="e">
        <f>IF($F$8,IF($L144="","",IFERROR(VLOOKUP($L144,day_data!$A:$I,6,FALSE),0)),NA())</f>
        <v>#N/A</v>
      </c>
      <c r="R144" s="11" t="e">
        <f>IF($F$6,IF($L144="","",IFERROR(VLOOKUP($L144,day_data!$A:$I,7,FALSE),0)),NA())</f>
        <v>#N/A</v>
      </c>
      <c r="S144" s="58" t="str">
        <f>IF($F$5,IF($L144="","",IFERROR(VLOOKUP($L144,day_data!$A:$I,8,FALSE),0)),NA())</f>
        <v/>
      </c>
      <c r="T144" s="60" t="e">
        <f>IF($F$7,IF($L144="","",IFERROR(VLOOKUP($L144,day_data!$A:$I,9,FALSE),0)),NA())</f>
        <v>#N/A</v>
      </c>
    </row>
    <row r="145" spans="12:20">
      <c r="L145" s="57" t="str">
        <f t="shared" si="2"/>
        <v/>
      </c>
      <c r="M145" s="11" t="str">
        <f>IF($F$1,IF($L145="","",IFERROR(VLOOKUP($L145,day_data!$A:$I,2,FALSE),0)),NA())</f>
        <v/>
      </c>
      <c r="N145" s="58" t="e">
        <f>IF($F$2,IF($L145="","",IFERROR(VLOOKUP($L145,day_data!$A:$I,3,FALSE),0)),NA())</f>
        <v>#N/A</v>
      </c>
      <c r="O145" s="11" t="e">
        <f>IF($F$3,IF($L145="","",IFERROR(VLOOKUP($L145,day_data!$A:$I,4,FALSE),0)),NA())</f>
        <v>#N/A</v>
      </c>
      <c r="P145" s="58" t="e">
        <f>IF($F$4,IF($L145="","",IFERROR(VLOOKUP($L145,day_data!$A:$I,5,FALSE),0)),NA())</f>
        <v>#N/A</v>
      </c>
      <c r="Q145" s="59" t="e">
        <f>IF($F$8,IF($L145="","",IFERROR(VLOOKUP($L145,day_data!$A:$I,6,FALSE),0)),NA())</f>
        <v>#N/A</v>
      </c>
      <c r="R145" s="11" t="e">
        <f>IF($F$6,IF($L145="","",IFERROR(VLOOKUP($L145,day_data!$A:$I,7,FALSE),0)),NA())</f>
        <v>#N/A</v>
      </c>
      <c r="S145" s="58" t="str">
        <f>IF($F$5,IF($L145="","",IFERROR(VLOOKUP($L145,day_data!$A:$I,8,FALSE),0)),NA())</f>
        <v/>
      </c>
      <c r="T145" s="60" t="e">
        <f>IF($F$7,IF($L145="","",IFERROR(VLOOKUP($L145,day_data!$A:$I,9,FALSE),0)),NA())</f>
        <v>#N/A</v>
      </c>
    </row>
    <row r="146" spans="12:20">
      <c r="L146" s="57" t="str">
        <f t="shared" si="2"/>
        <v/>
      </c>
      <c r="M146" s="11" t="str">
        <f>IF($F$1,IF($L146="","",IFERROR(VLOOKUP($L146,day_data!$A:$I,2,FALSE),0)),NA())</f>
        <v/>
      </c>
      <c r="N146" s="58" t="e">
        <f>IF($F$2,IF($L146="","",IFERROR(VLOOKUP($L146,day_data!$A:$I,3,FALSE),0)),NA())</f>
        <v>#N/A</v>
      </c>
      <c r="O146" s="11" t="e">
        <f>IF($F$3,IF($L146="","",IFERROR(VLOOKUP($L146,day_data!$A:$I,4,FALSE),0)),NA())</f>
        <v>#N/A</v>
      </c>
      <c r="P146" s="58" t="e">
        <f>IF($F$4,IF($L146="","",IFERROR(VLOOKUP($L146,day_data!$A:$I,5,FALSE),0)),NA())</f>
        <v>#N/A</v>
      </c>
      <c r="Q146" s="59" t="e">
        <f>IF($F$8,IF($L146="","",IFERROR(VLOOKUP($L146,day_data!$A:$I,6,FALSE),0)),NA())</f>
        <v>#N/A</v>
      </c>
      <c r="R146" s="11" t="e">
        <f>IF($F$6,IF($L146="","",IFERROR(VLOOKUP($L146,day_data!$A:$I,7,FALSE),0)),NA())</f>
        <v>#N/A</v>
      </c>
      <c r="S146" s="58" t="str">
        <f>IF($F$5,IF($L146="","",IFERROR(VLOOKUP($L146,day_data!$A:$I,8,FALSE),0)),NA())</f>
        <v/>
      </c>
      <c r="T146" s="60" t="e">
        <f>IF($F$7,IF($L146="","",IFERROR(VLOOKUP($L146,day_data!$A:$I,9,FALSE),0)),NA())</f>
        <v>#N/A</v>
      </c>
    </row>
    <row r="147" spans="12:20">
      <c r="L147" s="57" t="str">
        <f t="shared" si="2"/>
        <v/>
      </c>
      <c r="M147" s="11" t="str">
        <f>IF($F$1,IF($L147="","",IFERROR(VLOOKUP($L147,day_data!$A:$I,2,FALSE),0)),NA())</f>
        <v/>
      </c>
      <c r="N147" s="58" t="e">
        <f>IF($F$2,IF($L147="","",IFERROR(VLOOKUP($L147,day_data!$A:$I,3,FALSE),0)),NA())</f>
        <v>#N/A</v>
      </c>
      <c r="O147" s="11" t="e">
        <f>IF($F$3,IF($L147="","",IFERROR(VLOOKUP($L147,day_data!$A:$I,4,FALSE),0)),NA())</f>
        <v>#N/A</v>
      </c>
      <c r="P147" s="58" t="e">
        <f>IF($F$4,IF($L147="","",IFERROR(VLOOKUP($L147,day_data!$A:$I,5,FALSE),0)),NA())</f>
        <v>#N/A</v>
      </c>
      <c r="Q147" s="59" t="e">
        <f>IF($F$8,IF($L147="","",IFERROR(VLOOKUP($L147,day_data!$A:$I,6,FALSE),0)),NA())</f>
        <v>#N/A</v>
      </c>
      <c r="R147" s="11" t="e">
        <f>IF($F$6,IF($L147="","",IFERROR(VLOOKUP($L147,day_data!$A:$I,7,FALSE),0)),NA())</f>
        <v>#N/A</v>
      </c>
      <c r="S147" s="58" t="str">
        <f>IF($F$5,IF($L147="","",IFERROR(VLOOKUP($L147,day_data!$A:$I,8,FALSE),0)),NA())</f>
        <v/>
      </c>
      <c r="T147" s="60" t="e">
        <f>IF($F$7,IF($L147="","",IFERROR(VLOOKUP($L147,day_data!$A:$I,9,FALSE),0)),NA())</f>
        <v>#N/A</v>
      </c>
    </row>
    <row r="148" spans="12:20">
      <c r="L148" s="57" t="str">
        <f t="shared" si="2"/>
        <v/>
      </c>
      <c r="M148" s="11" t="str">
        <f>IF($F$1,IF($L148="","",IFERROR(VLOOKUP($L148,day_data!$A:$I,2,FALSE),0)),NA())</f>
        <v/>
      </c>
      <c r="N148" s="58" t="e">
        <f>IF($F$2,IF($L148="","",IFERROR(VLOOKUP($L148,day_data!$A:$I,3,FALSE),0)),NA())</f>
        <v>#N/A</v>
      </c>
      <c r="O148" s="11" t="e">
        <f>IF($F$3,IF($L148="","",IFERROR(VLOOKUP($L148,day_data!$A:$I,4,FALSE),0)),NA())</f>
        <v>#N/A</v>
      </c>
      <c r="P148" s="58" t="e">
        <f>IF($F$4,IF($L148="","",IFERROR(VLOOKUP($L148,day_data!$A:$I,5,FALSE),0)),NA())</f>
        <v>#N/A</v>
      </c>
      <c r="Q148" s="59" t="e">
        <f>IF($F$8,IF($L148="","",IFERROR(VLOOKUP($L148,day_data!$A:$I,6,FALSE),0)),NA())</f>
        <v>#N/A</v>
      </c>
      <c r="R148" s="11" t="e">
        <f>IF($F$6,IF($L148="","",IFERROR(VLOOKUP($L148,day_data!$A:$I,7,FALSE),0)),NA())</f>
        <v>#N/A</v>
      </c>
      <c r="S148" s="58" t="str">
        <f>IF($F$5,IF($L148="","",IFERROR(VLOOKUP($L148,day_data!$A:$I,8,FALSE),0)),NA())</f>
        <v/>
      </c>
      <c r="T148" s="60" t="e">
        <f>IF($F$7,IF($L148="","",IFERROR(VLOOKUP($L148,day_data!$A:$I,9,FALSE),0)),NA())</f>
        <v>#N/A</v>
      </c>
    </row>
    <row r="149" spans="12:20">
      <c r="L149" s="57" t="str">
        <f t="shared" si="2"/>
        <v/>
      </c>
      <c r="M149" s="11" t="str">
        <f>IF($F$1,IF($L149="","",IFERROR(VLOOKUP($L149,day_data!$A:$I,2,FALSE),0)),NA())</f>
        <v/>
      </c>
      <c r="N149" s="58" t="e">
        <f>IF($F$2,IF($L149="","",IFERROR(VLOOKUP($L149,day_data!$A:$I,3,FALSE),0)),NA())</f>
        <v>#N/A</v>
      </c>
      <c r="O149" s="11" t="e">
        <f>IF($F$3,IF($L149="","",IFERROR(VLOOKUP($L149,day_data!$A:$I,4,FALSE),0)),NA())</f>
        <v>#N/A</v>
      </c>
      <c r="P149" s="58" t="e">
        <f>IF($F$4,IF($L149="","",IFERROR(VLOOKUP($L149,day_data!$A:$I,5,FALSE),0)),NA())</f>
        <v>#N/A</v>
      </c>
      <c r="Q149" s="59" t="e">
        <f>IF($F$8,IF($L149="","",IFERROR(VLOOKUP($L149,day_data!$A:$I,6,FALSE),0)),NA())</f>
        <v>#N/A</v>
      </c>
      <c r="R149" s="11" t="e">
        <f>IF($F$6,IF($L149="","",IFERROR(VLOOKUP($L149,day_data!$A:$I,7,FALSE),0)),NA())</f>
        <v>#N/A</v>
      </c>
      <c r="S149" s="58" t="str">
        <f>IF($F$5,IF($L149="","",IFERROR(VLOOKUP($L149,day_data!$A:$I,8,FALSE),0)),NA())</f>
        <v/>
      </c>
      <c r="T149" s="60" t="e">
        <f>IF($F$7,IF($L149="","",IFERROR(VLOOKUP($L149,day_data!$A:$I,9,FALSE),0)),NA())</f>
        <v>#N/A</v>
      </c>
    </row>
    <row r="150" spans="12:20">
      <c r="L150" s="57" t="str">
        <f t="shared" si="2"/>
        <v/>
      </c>
      <c r="M150" s="11" t="str">
        <f>IF($F$1,IF($L150="","",IFERROR(VLOOKUP($L150,day_data!$A:$I,2,FALSE),0)),NA())</f>
        <v/>
      </c>
      <c r="N150" s="58" t="e">
        <f>IF($F$2,IF($L150="","",IFERROR(VLOOKUP($L150,day_data!$A:$I,3,FALSE),0)),NA())</f>
        <v>#N/A</v>
      </c>
      <c r="O150" s="11" t="e">
        <f>IF($F$3,IF($L150="","",IFERROR(VLOOKUP($L150,day_data!$A:$I,4,FALSE),0)),NA())</f>
        <v>#N/A</v>
      </c>
      <c r="P150" s="58" t="e">
        <f>IF($F$4,IF($L150="","",IFERROR(VLOOKUP($L150,day_data!$A:$I,5,FALSE),0)),NA())</f>
        <v>#N/A</v>
      </c>
      <c r="Q150" s="59" t="e">
        <f>IF($F$8,IF($L150="","",IFERROR(VLOOKUP($L150,day_data!$A:$I,6,FALSE),0)),NA())</f>
        <v>#N/A</v>
      </c>
      <c r="R150" s="11" t="e">
        <f>IF($F$6,IF($L150="","",IFERROR(VLOOKUP($L150,day_data!$A:$I,7,FALSE),0)),NA())</f>
        <v>#N/A</v>
      </c>
      <c r="S150" s="58" t="str">
        <f>IF($F$5,IF($L150="","",IFERROR(VLOOKUP($L150,day_data!$A:$I,8,FALSE),0)),NA())</f>
        <v/>
      </c>
      <c r="T150" s="60" t="e">
        <f>IF($F$7,IF($L150="","",IFERROR(VLOOKUP($L150,day_data!$A:$I,9,FALSE),0)),NA())</f>
        <v>#N/A</v>
      </c>
    </row>
    <row r="151" spans="12:20">
      <c r="L151" s="57" t="str">
        <f t="shared" si="2"/>
        <v/>
      </c>
      <c r="M151" s="11" t="str">
        <f>IF($F$1,IF($L151="","",IFERROR(VLOOKUP($L151,day_data!$A:$I,2,FALSE),0)),NA())</f>
        <v/>
      </c>
      <c r="N151" s="58" t="e">
        <f>IF($F$2,IF($L151="","",IFERROR(VLOOKUP($L151,day_data!$A:$I,3,FALSE),0)),NA())</f>
        <v>#N/A</v>
      </c>
      <c r="O151" s="11" t="e">
        <f>IF($F$3,IF($L151="","",IFERROR(VLOOKUP($L151,day_data!$A:$I,4,FALSE),0)),NA())</f>
        <v>#N/A</v>
      </c>
      <c r="P151" s="58" t="e">
        <f>IF($F$4,IF($L151="","",IFERROR(VLOOKUP($L151,day_data!$A:$I,5,FALSE),0)),NA())</f>
        <v>#N/A</v>
      </c>
      <c r="Q151" s="59" t="e">
        <f>IF($F$8,IF($L151="","",IFERROR(VLOOKUP($L151,day_data!$A:$I,6,FALSE),0)),NA())</f>
        <v>#N/A</v>
      </c>
      <c r="R151" s="11" t="e">
        <f>IF($F$6,IF($L151="","",IFERROR(VLOOKUP($L151,day_data!$A:$I,7,FALSE),0)),NA())</f>
        <v>#N/A</v>
      </c>
      <c r="S151" s="58" t="str">
        <f>IF($F$5,IF($L151="","",IFERROR(VLOOKUP($L151,day_data!$A:$I,8,FALSE),0)),NA())</f>
        <v/>
      </c>
      <c r="T151" s="60" t="e">
        <f>IF($F$7,IF($L151="","",IFERROR(VLOOKUP($L151,day_data!$A:$I,9,FALSE),0)),NA())</f>
        <v>#N/A</v>
      </c>
    </row>
    <row r="152" spans="12:20">
      <c r="L152" s="57" t="str">
        <f t="shared" si="2"/>
        <v/>
      </c>
      <c r="M152" s="11" t="str">
        <f>IF($F$1,IF($L152="","",IFERROR(VLOOKUP($L152,day_data!$A:$I,2,FALSE),0)),NA())</f>
        <v/>
      </c>
      <c r="N152" s="58" t="e">
        <f>IF($F$2,IF($L152="","",IFERROR(VLOOKUP($L152,day_data!$A:$I,3,FALSE),0)),NA())</f>
        <v>#N/A</v>
      </c>
      <c r="O152" s="11" t="e">
        <f>IF($F$3,IF($L152="","",IFERROR(VLOOKUP($L152,day_data!$A:$I,4,FALSE),0)),NA())</f>
        <v>#N/A</v>
      </c>
      <c r="P152" s="58" t="e">
        <f>IF($F$4,IF($L152="","",IFERROR(VLOOKUP($L152,day_data!$A:$I,5,FALSE),0)),NA())</f>
        <v>#N/A</v>
      </c>
      <c r="Q152" s="59" t="e">
        <f>IF($F$8,IF($L152="","",IFERROR(VLOOKUP($L152,day_data!$A:$I,6,FALSE),0)),NA())</f>
        <v>#N/A</v>
      </c>
      <c r="R152" s="11" t="e">
        <f>IF($F$6,IF($L152="","",IFERROR(VLOOKUP($L152,day_data!$A:$I,7,FALSE),0)),NA())</f>
        <v>#N/A</v>
      </c>
      <c r="S152" s="58" t="str">
        <f>IF($F$5,IF($L152="","",IFERROR(VLOOKUP($L152,day_data!$A:$I,8,FALSE),0)),NA())</f>
        <v/>
      </c>
      <c r="T152" s="60" t="e">
        <f>IF($F$7,IF($L152="","",IFERROR(VLOOKUP($L152,day_data!$A:$I,9,FALSE),0)),NA())</f>
        <v>#N/A</v>
      </c>
    </row>
    <row r="153" spans="12:20">
      <c r="L153" s="57" t="str">
        <f t="shared" si="2"/>
        <v/>
      </c>
      <c r="M153" s="11" t="str">
        <f>IF($F$1,IF($L153="","",IFERROR(VLOOKUP($L153,day_data!$A:$I,2,FALSE),0)),NA())</f>
        <v/>
      </c>
      <c r="N153" s="58" t="e">
        <f>IF($F$2,IF($L153="","",IFERROR(VLOOKUP($L153,day_data!$A:$I,3,FALSE),0)),NA())</f>
        <v>#N/A</v>
      </c>
      <c r="O153" s="11" t="e">
        <f>IF($F$3,IF($L153="","",IFERROR(VLOOKUP($L153,day_data!$A:$I,4,FALSE),0)),NA())</f>
        <v>#N/A</v>
      </c>
      <c r="P153" s="58" t="e">
        <f>IF($F$4,IF($L153="","",IFERROR(VLOOKUP($L153,day_data!$A:$I,5,FALSE),0)),NA())</f>
        <v>#N/A</v>
      </c>
      <c r="Q153" s="59" t="e">
        <f>IF($F$8,IF($L153="","",IFERROR(VLOOKUP($L153,day_data!$A:$I,6,FALSE),0)),NA())</f>
        <v>#N/A</v>
      </c>
      <c r="R153" s="11" t="e">
        <f>IF($F$6,IF($L153="","",IFERROR(VLOOKUP($L153,day_data!$A:$I,7,FALSE),0)),NA())</f>
        <v>#N/A</v>
      </c>
      <c r="S153" s="58" t="str">
        <f>IF($F$5,IF($L153="","",IFERROR(VLOOKUP($L153,day_data!$A:$I,8,FALSE),0)),NA())</f>
        <v/>
      </c>
      <c r="T153" s="60" t="e">
        <f>IF($F$7,IF($L153="","",IFERROR(VLOOKUP($L153,day_data!$A:$I,9,FALSE),0)),NA())</f>
        <v>#N/A</v>
      </c>
    </row>
    <row r="154" spans="12:20">
      <c r="L154" s="57" t="str">
        <f t="shared" si="2"/>
        <v/>
      </c>
      <c r="M154" s="11" t="str">
        <f>IF($F$1,IF($L154="","",IFERROR(VLOOKUP($L154,day_data!$A:$I,2,FALSE),0)),NA())</f>
        <v/>
      </c>
      <c r="N154" s="58" t="e">
        <f>IF($F$2,IF($L154="","",IFERROR(VLOOKUP($L154,day_data!$A:$I,3,FALSE),0)),NA())</f>
        <v>#N/A</v>
      </c>
      <c r="O154" s="11" t="e">
        <f>IF($F$3,IF($L154="","",IFERROR(VLOOKUP($L154,day_data!$A:$I,4,FALSE),0)),NA())</f>
        <v>#N/A</v>
      </c>
      <c r="P154" s="58" t="e">
        <f>IF($F$4,IF($L154="","",IFERROR(VLOOKUP($L154,day_data!$A:$I,5,FALSE),0)),NA())</f>
        <v>#N/A</v>
      </c>
      <c r="Q154" s="59" t="e">
        <f>IF($F$8,IF($L154="","",IFERROR(VLOOKUP($L154,day_data!$A:$I,6,FALSE),0)),NA())</f>
        <v>#N/A</v>
      </c>
      <c r="R154" s="11" t="e">
        <f>IF($F$6,IF($L154="","",IFERROR(VLOOKUP($L154,day_data!$A:$I,7,FALSE),0)),NA())</f>
        <v>#N/A</v>
      </c>
      <c r="S154" s="58" t="str">
        <f>IF($F$5,IF($L154="","",IFERROR(VLOOKUP($L154,day_data!$A:$I,8,FALSE),0)),NA())</f>
        <v/>
      </c>
      <c r="T154" s="60" t="e">
        <f>IF($F$7,IF($L154="","",IFERROR(VLOOKUP($L154,day_data!$A:$I,9,FALSE),0)),NA())</f>
        <v>#N/A</v>
      </c>
    </row>
    <row r="155" spans="12:20">
      <c r="L155" s="57" t="str">
        <f t="shared" si="2"/>
        <v/>
      </c>
      <c r="M155" s="11" t="str">
        <f>IF($F$1,IF($L155="","",IFERROR(VLOOKUP($L155,day_data!$A:$I,2,FALSE),0)),NA())</f>
        <v/>
      </c>
      <c r="N155" s="58" t="e">
        <f>IF($F$2,IF($L155="","",IFERROR(VLOOKUP($L155,day_data!$A:$I,3,FALSE),0)),NA())</f>
        <v>#N/A</v>
      </c>
      <c r="O155" s="11" t="e">
        <f>IF($F$3,IF($L155="","",IFERROR(VLOOKUP($L155,day_data!$A:$I,4,FALSE),0)),NA())</f>
        <v>#N/A</v>
      </c>
      <c r="P155" s="58" t="e">
        <f>IF($F$4,IF($L155="","",IFERROR(VLOOKUP($L155,day_data!$A:$I,5,FALSE),0)),NA())</f>
        <v>#N/A</v>
      </c>
      <c r="Q155" s="59" t="e">
        <f>IF($F$8,IF($L155="","",IFERROR(VLOOKUP($L155,day_data!$A:$I,6,FALSE),0)),NA())</f>
        <v>#N/A</v>
      </c>
      <c r="R155" s="11" t="e">
        <f>IF($F$6,IF($L155="","",IFERROR(VLOOKUP($L155,day_data!$A:$I,7,FALSE),0)),NA())</f>
        <v>#N/A</v>
      </c>
      <c r="S155" s="58" t="str">
        <f>IF($F$5,IF($L155="","",IFERROR(VLOOKUP($L155,day_data!$A:$I,8,FALSE),0)),NA())</f>
        <v/>
      </c>
      <c r="T155" s="60" t="e">
        <f>IF($F$7,IF($L155="","",IFERROR(VLOOKUP($L155,day_data!$A:$I,9,FALSE),0)),NA())</f>
        <v>#N/A</v>
      </c>
    </row>
    <row r="156" spans="12:20">
      <c r="L156" s="57" t="str">
        <f t="shared" si="2"/>
        <v/>
      </c>
      <c r="M156" s="11" t="str">
        <f>IF($F$1,IF($L156="","",IFERROR(VLOOKUP($L156,day_data!$A:$I,2,FALSE),0)),NA())</f>
        <v/>
      </c>
      <c r="N156" s="58" t="e">
        <f>IF($F$2,IF($L156="","",IFERROR(VLOOKUP($L156,day_data!$A:$I,3,FALSE),0)),NA())</f>
        <v>#N/A</v>
      </c>
      <c r="O156" s="11" t="e">
        <f>IF($F$3,IF($L156="","",IFERROR(VLOOKUP($L156,day_data!$A:$I,4,FALSE),0)),NA())</f>
        <v>#N/A</v>
      </c>
      <c r="P156" s="58" t="e">
        <f>IF($F$4,IF($L156="","",IFERROR(VLOOKUP($L156,day_data!$A:$I,5,FALSE),0)),NA())</f>
        <v>#N/A</v>
      </c>
      <c r="Q156" s="59" t="e">
        <f>IF($F$8,IF($L156="","",IFERROR(VLOOKUP($L156,day_data!$A:$I,6,FALSE),0)),NA())</f>
        <v>#N/A</v>
      </c>
      <c r="R156" s="11" t="e">
        <f>IF($F$6,IF($L156="","",IFERROR(VLOOKUP($L156,day_data!$A:$I,7,FALSE),0)),NA())</f>
        <v>#N/A</v>
      </c>
      <c r="S156" s="58" t="str">
        <f>IF($F$5,IF($L156="","",IFERROR(VLOOKUP($L156,day_data!$A:$I,8,FALSE),0)),NA())</f>
        <v/>
      </c>
      <c r="T156" s="60" t="e">
        <f>IF($F$7,IF($L156="","",IFERROR(VLOOKUP($L156,day_data!$A:$I,9,FALSE),0)),NA())</f>
        <v>#N/A</v>
      </c>
    </row>
    <row r="157" spans="12:20">
      <c r="L157" s="57" t="str">
        <f t="shared" si="2"/>
        <v/>
      </c>
      <c r="M157" s="11" t="str">
        <f>IF($F$1,IF($L157="","",IFERROR(VLOOKUP($L157,day_data!$A:$I,2,FALSE),0)),NA())</f>
        <v/>
      </c>
      <c r="N157" s="58" t="e">
        <f>IF($F$2,IF($L157="","",IFERROR(VLOOKUP($L157,day_data!$A:$I,3,FALSE),0)),NA())</f>
        <v>#N/A</v>
      </c>
      <c r="O157" s="11" t="e">
        <f>IF($F$3,IF($L157="","",IFERROR(VLOOKUP($L157,day_data!$A:$I,4,FALSE),0)),NA())</f>
        <v>#N/A</v>
      </c>
      <c r="P157" s="58" t="e">
        <f>IF($F$4,IF($L157="","",IFERROR(VLOOKUP($L157,day_data!$A:$I,5,FALSE),0)),NA())</f>
        <v>#N/A</v>
      </c>
      <c r="Q157" s="59" t="e">
        <f>IF($F$8,IF($L157="","",IFERROR(VLOOKUP($L157,day_data!$A:$I,6,FALSE),0)),NA())</f>
        <v>#N/A</v>
      </c>
      <c r="R157" s="11" t="e">
        <f>IF($F$6,IF($L157="","",IFERROR(VLOOKUP($L157,day_data!$A:$I,7,FALSE),0)),NA())</f>
        <v>#N/A</v>
      </c>
      <c r="S157" s="58" t="str">
        <f>IF($F$5,IF($L157="","",IFERROR(VLOOKUP($L157,day_data!$A:$I,8,FALSE),0)),NA())</f>
        <v/>
      </c>
      <c r="T157" s="60" t="e">
        <f>IF($F$7,IF($L157="","",IFERROR(VLOOKUP($L157,day_data!$A:$I,9,FALSE),0)),NA())</f>
        <v>#N/A</v>
      </c>
    </row>
    <row r="158" spans="12:20">
      <c r="L158" s="57" t="str">
        <f t="shared" si="2"/>
        <v/>
      </c>
      <c r="M158" s="11" t="str">
        <f>IF($F$1,IF($L158="","",IFERROR(VLOOKUP($L158,day_data!$A:$I,2,FALSE),0)),NA())</f>
        <v/>
      </c>
      <c r="N158" s="58" t="e">
        <f>IF($F$2,IF($L158="","",IFERROR(VLOOKUP($L158,day_data!$A:$I,3,FALSE),0)),NA())</f>
        <v>#N/A</v>
      </c>
      <c r="O158" s="11" t="e">
        <f>IF($F$3,IF($L158="","",IFERROR(VLOOKUP($L158,day_data!$A:$I,4,FALSE),0)),NA())</f>
        <v>#N/A</v>
      </c>
      <c r="P158" s="58" t="e">
        <f>IF($F$4,IF($L158="","",IFERROR(VLOOKUP($L158,day_data!$A:$I,5,FALSE),0)),NA())</f>
        <v>#N/A</v>
      </c>
      <c r="Q158" s="59" t="e">
        <f>IF($F$8,IF($L158="","",IFERROR(VLOOKUP($L158,day_data!$A:$I,6,FALSE),0)),NA())</f>
        <v>#N/A</v>
      </c>
      <c r="R158" s="11" t="e">
        <f>IF($F$6,IF($L158="","",IFERROR(VLOOKUP($L158,day_data!$A:$I,7,FALSE),0)),NA())</f>
        <v>#N/A</v>
      </c>
      <c r="S158" s="58" t="str">
        <f>IF($F$5,IF($L158="","",IFERROR(VLOOKUP($L158,day_data!$A:$I,8,FALSE),0)),NA())</f>
        <v/>
      </c>
      <c r="T158" s="60" t="e">
        <f>IF($F$7,IF($L158="","",IFERROR(VLOOKUP($L158,day_data!$A:$I,9,FALSE),0)),NA())</f>
        <v>#N/A</v>
      </c>
    </row>
    <row r="159" spans="12:20">
      <c r="L159" s="57" t="str">
        <f t="shared" si="2"/>
        <v/>
      </c>
      <c r="M159" s="11" t="str">
        <f>IF($F$1,IF($L159="","",IFERROR(VLOOKUP($L159,day_data!$A:$I,2,FALSE),0)),NA())</f>
        <v/>
      </c>
      <c r="N159" s="58" t="e">
        <f>IF($F$2,IF($L159="","",IFERROR(VLOOKUP($L159,day_data!$A:$I,3,FALSE),0)),NA())</f>
        <v>#N/A</v>
      </c>
      <c r="O159" s="11" t="e">
        <f>IF($F$3,IF($L159="","",IFERROR(VLOOKUP($L159,day_data!$A:$I,4,FALSE),0)),NA())</f>
        <v>#N/A</v>
      </c>
      <c r="P159" s="58" t="e">
        <f>IF($F$4,IF($L159="","",IFERROR(VLOOKUP($L159,day_data!$A:$I,5,FALSE),0)),NA())</f>
        <v>#N/A</v>
      </c>
      <c r="Q159" s="59" t="e">
        <f>IF($F$8,IF($L159="","",IFERROR(VLOOKUP($L159,day_data!$A:$I,6,FALSE),0)),NA())</f>
        <v>#N/A</v>
      </c>
      <c r="R159" s="11" t="e">
        <f>IF($F$6,IF($L159="","",IFERROR(VLOOKUP($L159,day_data!$A:$I,7,FALSE),0)),NA())</f>
        <v>#N/A</v>
      </c>
      <c r="S159" s="58" t="str">
        <f>IF($F$5,IF($L159="","",IFERROR(VLOOKUP($L159,day_data!$A:$I,8,FALSE),0)),NA())</f>
        <v/>
      </c>
      <c r="T159" s="60" t="e">
        <f>IF($F$7,IF($L159="","",IFERROR(VLOOKUP($L159,day_data!$A:$I,9,FALSE),0)),NA())</f>
        <v>#N/A</v>
      </c>
    </row>
    <row r="160" spans="12:20">
      <c r="L160" s="57" t="str">
        <f t="shared" si="2"/>
        <v/>
      </c>
      <c r="M160" s="11" t="str">
        <f>IF($F$1,IF($L160="","",IFERROR(VLOOKUP($L160,day_data!$A:$I,2,FALSE),0)),NA())</f>
        <v/>
      </c>
      <c r="N160" s="58" t="e">
        <f>IF($F$2,IF($L160="","",IFERROR(VLOOKUP($L160,day_data!$A:$I,3,FALSE),0)),NA())</f>
        <v>#N/A</v>
      </c>
      <c r="O160" s="11" t="e">
        <f>IF($F$3,IF($L160="","",IFERROR(VLOOKUP($L160,day_data!$A:$I,4,FALSE),0)),NA())</f>
        <v>#N/A</v>
      </c>
      <c r="P160" s="58" t="e">
        <f>IF($F$4,IF($L160="","",IFERROR(VLOOKUP($L160,day_data!$A:$I,5,FALSE),0)),NA())</f>
        <v>#N/A</v>
      </c>
      <c r="Q160" s="59" t="e">
        <f>IF($F$8,IF($L160="","",IFERROR(VLOOKUP($L160,day_data!$A:$I,6,FALSE),0)),NA())</f>
        <v>#N/A</v>
      </c>
      <c r="R160" s="11" t="e">
        <f>IF($F$6,IF($L160="","",IFERROR(VLOOKUP($L160,day_data!$A:$I,7,FALSE),0)),NA())</f>
        <v>#N/A</v>
      </c>
      <c r="S160" s="58" t="str">
        <f>IF($F$5,IF($L160="","",IFERROR(VLOOKUP($L160,day_data!$A:$I,8,FALSE),0)),NA())</f>
        <v/>
      </c>
      <c r="T160" s="60" t="e">
        <f>IF($F$7,IF($L160="","",IFERROR(VLOOKUP($L160,day_data!$A:$I,9,FALSE),0)),NA())</f>
        <v>#N/A</v>
      </c>
    </row>
    <row r="161" spans="12:20">
      <c r="L161" s="57" t="str">
        <f t="shared" si="2"/>
        <v/>
      </c>
      <c r="M161" s="11" t="str">
        <f>IF($F$1,IF($L161="","",IFERROR(VLOOKUP($L161,day_data!$A:$I,2,FALSE),0)),NA())</f>
        <v/>
      </c>
      <c r="N161" s="58" t="e">
        <f>IF($F$2,IF($L161="","",IFERROR(VLOOKUP($L161,day_data!$A:$I,3,FALSE),0)),NA())</f>
        <v>#N/A</v>
      </c>
      <c r="O161" s="11" t="e">
        <f>IF($F$3,IF($L161="","",IFERROR(VLOOKUP($L161,day_data!$A:$I,4,FALSE),0)),NA())</f>
        <v>#N/A</v>
      </c>
      <c r="P161" s="58" t="e">
        <f>IF($F$4,IF($L161="","",IFERROR(VLOOKUP($L161,day_data!$A:$I,5,FALSE),0)),NA())</f>
        <v>#N/A</v>
      </c>
      <c r="Q161" s="59" t="e">
        <f>IF($F$8,IF($L161="","",IFERROR(VLOOKUP($L161,day_data!$A:$I,6,FALSE),0)),NA())</f>
        <v>#N/A</v>
      </c>
      <c r="R161" s="11" t="e">
        <f>IF($F$6,IF($L161="","",IFERROR(VLOOKUP($L161,day_data!$A:$I,7,FALSE),0)),NA())</f>
        <v>#N/A</v>
      </c>
      <c r="S161" s="58" t="str">
        <f>IF($F$5,IF($L161="","",IFERROR(VLOOKUP($L161,day_data!$A:$I,8,FALSE),0)),NA())</f>
        <v/>
      </c>
      <c r="T161" s="60" t="e">
        <f>IF($F$7,IF($L161="","",IFERROR(VLOOKUP($L161,day_data!$A:$I,9,FALSE),0)),NA())</f>
        <v>#N/A</v>
      </c>
    </row>
    <row r="162" spans="12:20">
      <c r="L162" s="57" t="str">
        <f t="shared" si="2"/>
        <v/>
      </c>
      <c r="M162" s="11" t="str">
        <f>IF($F$1,IF($L162="","",IFERROR(VLOOKUP($L162,day_data!$A:$I,2,FALSE),0)),NA())</f>
        <v/>
      </c>
      <c r="N162" s="58" t="e">
        <f>IF($F$2,IF($L162="","",IFERROR(VLOOKUP($L162,day_data!$A:$I,3,FALSE),0)),NA())</f>
        <v>#N/A</v>
      </c>
      <c r="O162" s="11" t="e">
        <f>IF($F$3,IF($L162="","",IFERROR(VLOOKUP($L162,day_data!$A:$I,4,FALSE),0)),NA())</f>
        <v>#N/A</v>
      </c>
      <c r="P162" s="58" t="e">
        <f>IF($F$4,IF($L162="","",IFERROR(VLOOKUP($L162,day_data!$A:$I,5,FALSE),0)),NA())</f>
        <v>#N/A</v>
      </c>
      <c r="Q162" s="59" t="e">
        <f>IF($F$8,IF($L162="","",IFERROR(VLOOKUP($L162,day_data!$A:$I,6,FALSE),0)),NA())</f>
        <v>#N/A</v>
      </c>
      <c r="R162" s="11" t="e">
        <f>IF($F$6,IF($L162="","",IFERROR(VLOOKUP($L162,day_data!$A:$I,7,FALSE),0)),NA())</f>
        <v>#N/A</v>
      </c>
      <c r="S162" s="58" t="str">
        <f>IF($F$5,IF($L162="","",IFERROR(VLOOKUP($L162,day_data!$A:$I,8,FALSE),0)),NA())</f>
        <v/>
      </c>
      <c r="T162" s="60" t="e">
        <f>IF($F$7,IF($L162="","",IFERROR(VLOOKUP($L162,day_data!$A:$I,9,FALSE),0)),NA())</f>
        <v>#N/A</v>
      </c>
    </row>
    <row r="163" spans="12:20">
      <c r="L163" s="57" t="str">
        <f t="shared" si="2"/>
        <v/>
      </c>
      <c r="M163" s="11" t="str">
        <f>IF($F$1,IF($L163="","",IFERROR(VLOOKUP($L163,day_data!$A:$I,2,FALSE),0)),NA())</f>
        <v/>
      </c>
      <c r="N163" s="58" t="e">
        <f>IF($F$2,IF($L163="","",IFERROR(VLOOKUP($L163,day_data!$A:$I,3,FALSE),0)),NA())</f>
        <v>#N/A</v>
      </c>
      <c r="O163" s="11" t="e">
        <f>IF($F$3,IF($L163="","",IFERROR(VLOOKUP($L163,day_data!$A:$I,4,FALSE),0)),NA())</f>
        <v>#N/A</v>
      </c>
      <c r="P163" s="58" t="e">
        <f>IF($F$4,IF($L163="","",IFERROR(VLOOKUP($L163,day_data!$A:$I,5,FALSE),0)),NA())</f>
        <v>#N/A</v>
      </c>
      <c r="Q163" s="59" t="e">
        <f>IF($F$8,IF($L163="","",IFERROR(VLOOKUP($L163,day_data!$A:$I,6,FALSE),0)),NA())</f>
        <v>#N/A</v>
      </c>
      <c r="R163" s="11" t="e">
        <f>IF($F$6,IF($L163="","",IFERROR(VLOOKUP($L163,day_data!$A:$I,7,FALSE),0)),NA())</f>
        <v>#N/A</v>
      </c>
      <c r="S163" s="58" t="str">
        <f>IF($F$5,IF($L163="","",IFERROR(VLOOKUP($L163,day_data!$A:$I,8,FALSE),0)),NA())</f>
        <v/>
      </c>
      <c r="T163" s="60" t="e">
        <f>IF($F$7,IF($L163="","",IFERROR(VLOOKUP($L163,day_data!$A:$I,9,FALSE),0)),NA())</f>
        <v>#N/A</v>
      </c>
    </row>
    <row r="164" spans="12:20">
      <c r="L164" s="57" t="str">
        <f t="shared" si="2"/>
        <v/>
      </c>
      <c r="M164" s="11" t="str">
        <f>IF($F$1,IF($L164="","",IFERROR(VLOOKUP($L164,day_data!$A:$I,2,FALSE),0)),NA())</f>
        <v/>
      </c>
      <c r="N164" s="58" t="e">
        <f>IF($F$2,IF($L164="","",IFERROR(VLOOKUP($L164,day_data!$A:$I,3,FALSE),0)),NA())</f>
        <v>#N/A</v>
      </c>
      <c r="O164" s="11" t="e">
        <f>IF($F$3,IF($L164="","",IFERROR(VLOOKUP($L164,day_data!$A:$I,4,FALSE),0)),NA())</f>
        <v>#N/A</v>
      </c>
      <c r="P164" s="58" t="e">
        <f>IF($F$4,IF($L164="","",IFERROR(VLOOKUP($L164,day_data!$A:$I,5,FALSE),0)),NA())</f>
        <v>#N/A</v>
      </c>
      <c r="Q164" s="59" t="e">
        <f>IF($F$8,IF($L164="","",IFERROR(VLOOKUP($L164,day_data!$A:$I,6,FALSE),0)),NA())</f>
        <v>#N/A</v>
      </c>
      <c r="R164" s="11" t="e">
        <f>IF($F$6,IF($L164="","",IFERROR(VLOOKUP($L164,day_data!$A:$I,7,FALSE),0)),NA())</f>
        <v>#N/A</v>
      </c>
      <c r="S164" s="58" t="str">
        <f>IF($F$5,IF($L164="","",IFERROR(VLOOKUP($L164,day_data!$A:$I,8,FALSE),0)),NA())</f>
        <v/>
      </c>
      <c r="T164" s="60" t="e">
        <f>IF($F$7,IF($L164="","",IFERROR(VLOOKUP($L164,day_data!$A:$I,9,FALSE),0)),NA())</f>
        <v>#N/A</v>
      </c>
    </row>
    <row r="165" spans="12:20">
      <c r="L165" s="57" t="str">
        <f t="shared" si="2"/>
        <v/>
      </c>
      <c r="M165" s="11" t="str">
        <f>IF($F$1,IF($L165="","",IFERROR(VLOOKUP($L165,day_data!$A:$I,2,FALSE),0)),NA())</f>
        <v/>
      </c>
      <c r="N165" s="58" t="e">
        <f>IF($F$2,IF($L165="","",IFERROR(VLOOKUP($L165,day_data!$A:$I,3,FALSE),0)),NA())</f>
        <v>#N/A</v>
      </c>
      <c r="O165" s="11" t="e">
        <f>IF($F$3,IF($L165="","",IFERROR(VLOOKUP($L165,day_data!$A:$I,4,FALSE),0)),NA())</f>
        <v>#N/A</v>
      </c>
      <c r="P165" s="58" t="e">
        <f>IF($F$4,IF($L165="","",IFERROR(VLOOKUP($L165,day_data!$A:$I,5,FALSE),0)),NA())</f>
        <v>#N/A</v>
      </c>
      <c r="Q165" s="59" t="e">
        <f>IF($F$8,IF($L165="","",IFERROR(VLOOKUP($L165,day_data!$A:$I,6,FALSE),0)),NA())</f>
        <v>#N/A</v>
      </c>
      <c r="R165" s="11" t="e">
        <f>IF($F$6,IF($L165="","",IFERROR(VLOOKUP($L165,day_data!$A:$I,7,FALSE),0)),NA())</f>
        <v>#N/A</v>
      </c>
      <c r="S165" s="58" t="str">
        <f>IF($F$5,IF($L165="","",IFERROR(VLOOKUP($L165,day_data!$A:$I,8,FALSE),0)),NA())</f>
        <v/>
      </c>
      <c r="T165" s="60" t="e">
        <f>IF($F$7,IF($L165="","",IFERROR(VLOOKUP($L165,day_data!$A:$I,9,FALSE),0)),NA())</f>
        <v>#N/A</v>
      </c>
    </row>
    <row r="166" spans="12:20">
      <c r="L166" s="57" t="str">
        <f t="shared" si="2"/>
        <v/>
      </c>
      <c r="M166" s="11" t="str">
        <f>IF($F$1,IF($L166="","",IFERROR(VLOOKUP($L166,day_data!$A:$I,2,FALSE),0)),NA())</f>
        <v/>
      </c>
      <c r="N166" s="58" t="e">
        <f>IF($F$2,IF($L166="","",IFERROR(VLOOKUP($L166,day_data!$A:$I,3,FALSE),0)),NA())</f>
        <v>#N/A</v>
      </c>
      <c r="O166" s="11" t="e">
        <f>IF($F$3,IF($L166="","",IFERROR(VLOOKUP($L166,day_data!$A:$I,4,FALSE),0)),NA())</f>
        <v>#N/A</v>
      </c>
      <c r="P166" s="58" t="e">
        <f>IF($F$4,IF($L166="","",IFERROR(VLOOKUP($L166,day_data!$A:$I,5,FALSE),0)),NA())</f>
        <v>#N/A</v>
      </c>
      <c r="Q166" s="59" t="e">
        <f>IF($F$8,IF($L166="","",IFERROR(VLOOKUP($L166,day_data!$A:$I,6,FALSE),0)),NA())</f>
        <v>#N/A</v>
      </c>
      <c r="R166" s="11" t="e">
        <f>IF($F$6,IF($L166="","",IFERROR(VLOOKUP($L166,day_data!$A:$I,7,FALSE),0)),NA())</f>
        <v>#N/A</v>
      </c>
      <c r="S166" s="58" t="str">
        <f>IF($F$5,IF($L166="","",IFERROR(VLOOKUP($L166,day_data!$A:$I,8,FALSE),0)),NA())</f>
        <v/>
      </c>
      <c r="T166" s="60" t="e">
        <f>IF($F$7,IF($L166="","",IFERROR(VLOOKUP($L166,day_data!$A:$I,9,FALSE),0)),NA())</f>
        <v>#N/A</v>
      </c>
    </row>
    <row r="167" spans="12:20">
      <c r="L167" s="57" t="str">
        <f t="shared" si="2"/>
        <v/>
      </c>
      <c r="M167" s="11" t="str">
        <f>IF($F$1,IF($L167="","",IFERROR(VLOOKUP($L167,day_data!$A:$I,2,FALSE),0)),NA())</f>
        <v/>
      </c>
      <c r="N167" s="58" t="e">
        <f>IF($F$2,IF($L167="","",IFERROR(VLOOKUP($L167,day_data!$A:$I,3,FALSE),0)),NA())</f>
        <v>#N/A</v>
      </c>
      <c r="O167" s="11" t="e">
        <f>IF($F$3,IF($L167="","",IFERROR(VLOOKUP($L167,day_data!$A:$I,4,FALSE),0)),NA())</f>
        <v>#N/A</v>
      </c>
      <c r="P167" s="58" t="e">
        <f>IF($F$4,IF($L167="","",IFERROR(VLOOKUP($L167,day_data!$A:$I,5,FALSE),0)),NA())</f>
        <v>#N/A</v>
      </c>
      <c r="Q167" s="59" t="e">
        <f>IF($F$8,IF($L167="","",IFERROR(VLOOKUP($L167,day_data!$A:$I,6,FALSE),0)),NA())</f>
        <v>#N/A</v>
      </c>
      <c r="R167" s="11" t="e">
        <f>IF($F$6,IF($L167="","",IFERROR(VLOOKUP($L167,day_data!$A:$I,7,FALSE),0)),NA())</f>
        <v>#N/A</v>
      </c>
      <c r="S167" s="58" t="str">
        <f>IF($F$5,IF($L167="","",IFERROR(VLOOKUP($L167,day_data!$A:$I,8,FALSE),0)),NA())</f>
        <v/>
      </c>
      <c r="T167" s="60" t="e">
        <f>IF($F$7,IF($L167="","",IFERROR(VLOOKUP($L167,day_data!$A:$I,9,FALSE),0)),NA())</f>
        <v>#N/A</v>
      </c>
    </row>
    <row r="168" spans="12:20">
      <c r="L168" s="57" t="str">
        <f t="shared" si="2"/>
        <v/>
      </c>
      <c r="M168" s="11" t="str">
        <f>IF($F$1,IF($L168="","",IFERROR(VLOOKUP($L168,day_data!$A:$I,2,FALSE),0)),NA())</f>
        <v/>
      </c>
      <c r="N168" s="58" t="e">
        <f>IF($F$2,IF($L168="","",IFERROR(VLOOKUP($L168,day_data!$A:$I,3,FALSE),0)),NA())</f>
        <v>#N/A</v>
      </c>
      <c r="O168" s="11" t="e">
        <f>IF($F$3,IF($L168="","",IFERROR(VLOOKUP($L168,day_data!$A:$I,4,FALSE),0)),NA())</f>
        <v>#N/A</v>
      </c>
      <c r="P168" s="58" t="e">
        <f>IF($F$4,IF($L168="","",IFERROR(VLOOKUP($L168,day_data!$A:$I,5,FALSE),0)),NA())</f>
        <v>#N/A</v>
      </c>
      <c r="Q168" s="59" t="e">
        <f>IF($F$8,IF($L168="","",IFERROR(VLOOKUP($L168,day_data!$A:$I,6,FALSE),0)),NA())</f>
        <v>#N/A</v>
      </c>
      <c r="R168" s="11" t="e">
        <f>IF($F$6,IF($L168="","",IFERROR(VLOOKUP($L168,day_data!$A:$I,7,FALSE),0)),NA())</f>
        <v>#N/A</v>
      </c>
      <c r="S168" s="58" t="str">
        <f>IF($F$5,IF($L168="","",IFERROR(VLOOKUP($L168,day_data!$A:$I,8,FALSE),0)),NA())</f>
        <v/>
      </c>
      <c r="T168" s="60" t="e">
        <f>IF($F$7,IF($L168="","",IFERROR(VLOOKUP($L168,day_data!$A:$I,9,FALSE),0)),NA())</f>
        <v>#N/A</v>
      </c>
    </row>
    <row r="169" spans="12:20">
      <c r="L169" s="57" t="str">
        <f t="shared" si="2"/>
        <v/>
      </c>
      <c r="M169" s="11" t="str">
        <f>IF($F$1,IF($L169="","",IFERROR(VLOOKUP($L169,day_data!$A:$I,2,FALSE),0)),NA())</f>
        <v/>
      </c>
      <c r="N169" s="58" t="e">
        <f>IF($F$2,IF($L169="","",IFERROR(VLOOKUP($L169,day_data!$A:$I,3,FALSE),0)),NA())</f>
        <v>#N/A</v>
      </c>
      <c r="O169" s="11" t="e">
        <f>IF($F$3,IF($L169="","",IFERROR(VLOOKUP($L169,day_data!$A:$I,4,FALSE),0)),NA())</f>
        <v>#N/A</v>
      </c>
      <c r="P169" s="58" t="e">
        <f>IF($F$4,IF($L169="","",IFERROR(VLOOKUP($L169,day_data!$A:$I,5,FALSE),0)),NA())</f>
        <v>#N/A</v>
      </c>
      <c r="Q169" s="59" t="e">
        <f>IF($F$8,IF($L169="","",IFERROR(VLOOKUP($L169,day_data!$A:$I,6,FALSE),0)),NA())</f>
        <v>#N/A</v>
      </c>
      <c r="R169" s="11" t="e">
        <f>IF($F$6,IF($L169="","",IFERROR(VLOOKUP($L169,day_data!$A:$I,7,FALSE),0)),NA())</f>
        <v>#N/A</v>
      </c>
      <c r="S169" s="58" t="str">
        <f>IF($F$5,IF($L169="","",IFERROR(VLOOKUP($L169,day_data!$A:$I,8,FALSE),0)),NA())</f>
        <v/>
      </c>
      <c r="T169" s="60" t="e">
        <f>IF($F$7,IF($L169="","",IFERROR(VLOOKUP($L169,day_data!$A:$I,9,FALSE),0)),NA())</f>
        <v>#N/A</v>
      </c>
    </row>
    <row r="170" spans="12:20">
      <c r="L170" s="57" t="str">
        <f t="shared" si="2"/>
        <v/>
      </c>
      <c r="M170" s="11" t="str">
        <f>IF($F$1,IF($L170="","",IFERROR(VLOOKUP($L170,day_data!$A:$I,2,FALSE),0)),NA())</f>
        <v/>
      </c>
      <c r="N170" s="58" t="e">
        <f>IF($F$2,IF($L170="","",IFERROR(VLOOKUP($L170,day_data!$A:$I,3,FALSE),0)),NA())</f>
        <v>#N/A</v>
      </c>
      <c r="O170" s="11" t="e">
        <f>IF($F$3,IF($L170="","",IFERROR(VLOOKUP($L170,day_data!$A:$I,4,FALSE),0)),NA())</f>
        <v>#N/A</v>
      </c>
      <c r="P170" s="58" t="e">
        <f>IF($F$4,IF($L170="","",IFERROR(VLOOKUP($L170,day_data!$A:$I,5,FALSE),0)),NA())</f>
        <v>#N/A</v>
      </c>
      <c r="Q170" s="59" t="e">
        <f>IF($F$8,IF($L170="","",IFERROR(VLOOKUP($L170,day_data!$A:$I,6,FALSE),0)),NA())</f>
        <v>#N/A</v>
      </c>
      <c r="R170" s="11" t="e">
        <f>IF($F$6,IF($L170="","",IFERROR(VLOOKUP($L170,day_data!$A:$I,7,FALSE),0)),NA())</f>
        <v>#N/A</v>
      </c>
      <c r="S170" s="58" t="str">
        <f>IF($F$5,IF($L170="","",IFERROR(VLOOKUP($L170,day_data!$A:$I,8,FALSE),0)),NA())</f>
        <v/>
      </c>
      <c r="T170" s="60" t="e">
        <f>IF($F$7,IF($L170="","",IFERROR(VLOOKUP($L170,day_data!$A:$I,9,FALSE),0)),NA())</f>
        <v>#N/A</v>
      </c>
    </row>
    <row r="171" spans="12:20">
      <c r="L171" s="57" t="str">
        <f t="shared" si="2"/>
        <v/>
      </c>
      <c r="M171" s="11" t="str">
        <f>IF($F$1,IF($L171="","",IFERROR(VLOOKUP($L171,day_data!$A:$I,2,FALSE),0)),NA())</f>
        <v/>
      </c>
      <c r="N171" s="58" t="e">
        <f>IF($F$2,IF($L171="","",IFERROR(VLOOKUP($L171,day_data!$A:$I,3,FALSE),0)),NA())</f>
        <v>#N/A</v>
      </c>
      <c r="O171" s="11" t="e">
        <f>IF($F$3,IF($L171="","",IFERROR(VLOOKUP($L171,day_data!$A:$I,4,FALSE),0)),NA())</f>
        <v>#N/A</v>
      </c>
      <c r="P171" s="58" t="e">
        <f>IF($F$4,IF($L171="","",IFERROR(VLOOKUP($L171,day_data!$A:$I,5,FALSE),0)),NA())</f>
        <v>#N/A</v>
      </c>
      <c r="Q171" s="59" t="e">
        <f>IF($F$8,IF($L171="","",IFERROR(VLOOKUP($L171,day_data!$A:$I,6,FALSE),0)),NA())</f>
        <v>#N/A</v>
      </c>
      <c r="R171" s="11" t="e">
        <f>IF($F$6,IF($L171="","",IFERROR(VLOOKUP($L171,day_data!$A:$I,7,FALSE),0)),NA())</f>
        <v>#N/A</v>
      </c>
      <c r="S171" s="58" t="str">
        <f>IF($F$5,IF($L171="","",IFERROR(VLOOKUP($L171,day_data!$A:$I,8,FALSE),0)),NA())</f>
        <v/>
      </c>
      <c r="T171" s="60" t="e">
        <f>IF($F$7,IF($L171="","",IFERROR(VLOOKUP($L171,day_data!$A:$I,9,FALSE),0)),NA())</f>
        <v>#N/A</v>
      </c>
    </row>
    <row r="172" spans="12:20">
      <c r="L172" s="57" t="str">
        <f t="shared" si="2"/>
        <v/>
      </c>
      <c r="M172" s="11" t="str">
        <f>IF($F$1,IF($L172="","",IFERROR(VLOOKUP($L172,day_data!$A:$I,2,FALSE),0)),NA())</f>
        <v/>
      </c>
      <c r="N172" s="58" t="e">
        <f>IF($F$2,IF($L172="","",IFERROR(VLOOKUP($L172,day_data!$A:$I,3,FALSE),0)),NA())</f>
        <v>#N/A</v>
      </c>
      <c r="O172" s="11" t="e">
        <f>IF($F$3,IF($L172="","",IFERROR(VLOOKUP($L172,day_data!$A:$I,4,FALSE),0)),NA())</f>
        <v>#N/A</v>
      </c>
      <c r="P172" s="58" t="e">
        <f>IF($F$4,IF($L172="","",IFERROR(VLOOKUP($L172,day_data!$A:$I,5,FALSE),0)),NA())</f>
        <v>#N/A</v>
      </c>
      <c r="Q172" s="59" t="e">
        <f>IF($F$8,IF($L172="","",IFERROR(VLOOKUP($L172,day_data!$A:$I,6,FALSE),0)),NA())</f>
        <v>#N/A</v>
      </c>
      <c r="R172" s="11" t="e">
        <f>IF($F$6,IF($L172="","",IFERROR(VLOOKUP($L172,day_data!$A:$I,7,FALSE),0)),NA())</f>
        <v>#N/A</v>
      </c>
      <c r="S172" s="58" t="str">
        <f>IF($F$5,IF($L172="","",IFERROR(VLOOKUP($L172,day_data!$A:$I,8,FALSE),0)),NA())</f>
        <v/>
      </c>
      <c r="T172" s="60" t="e">
        <f>IF($F$7,IF($L172="","",IFERROR(VLOOKUP($L172,day_data!$A:$I,9,FALSE),0)),NA())</f>
        <v>#N/A</v>
      </c>
    </row>
    <row r="173" spans="12:20">
      <c r="L173" s="57" t="str">
        <f t="shared" si="2"/>
        <v/>
      </c>
      <c r="M173" s="11" t="str">
        <f>IF($F$1,IF($L173="","",IFERROR(VLOOKUP($L173,day_data!$A:$I,2,FALSE),0)),NA())</f>
        <v/>
      </c>
      <c r="N173" s="58" t="e">
        <f>IF($F$2,IF($L173="","",IFERROR(VLOOKUP($L173,day_data!$A:$I,3,FALSE),0)),NA())</f>
        <v>#N/A</v>
      </c>
      <c r="O173" s="11" t="e">
        <f>IF($F$3,IF($L173="","",IFERROR(VLOOKUP($L173,day_data!$A:$I,4,FALSE),0)),NA())</f>
        <v>#N/A</v>
      </c>
      <c r="P173" s="58" t="e">
        <f>IF($F$4,IF($L173="","",IFERROR(VLOOKUP($L173,day_data!$A:$I,5,FALSE),0)),NA())</f>
        <v>#N/A</v>
      </c>
      <c r="Q173" s="59" t="e">
        <f>IF($F$8,IF($L173="","",IFERROR(VLOOKUP($L173,day_data!$A:$I,6,FALSE),0)),NA())</f>
        <v>#N/A</v>
      </c>
      <c r="R173" s="11" t="e">
        <f>IF($F$6,IF($L173="","",IFERROR(VLOOKUP($L173,day_data!$A:$I,7,FALSE),0)),NA())</f>
        <v>#N/A</v>
      </c>
      <c r="S173" s="58" t="str">
        <f>IF($F$5,IF($L173="","",IFERROR(VLOOKUP($L173,day_data!$A:$I,8,FALSE),0)),NA())</f>
        <v/>
      </c>
      <c r="T173" s="60" t="e">
        <f>IF($F$7,IF($L173="","",IFERROR(VLOOKUP($L173,day_data!$A:$I,9,FALSE),0)),NA())</f>
        <v>#N/A</v>
      </c>
    </row>
    <row r="174" spans="12:20">
      <c r="L174" s="57" t="str">
        <f t="shared" si="2"/>
        <v/>
      </c>
      <c r="M174" s="11" t="str">
        <f>IF($F$1,IF($L174="","",IFERROR(VLOOKUP($L174,day_data!$A:$I,2,FALSE),0)),NA())</f>
        <v/>
      </c>
      <c r="N174" s="58" t="e">
        <f>IF($F$2,IF($L174="","",IFERROR(VLOOKUP($L174,day_data!$A:$I,3,FALSE),0)),NA())</f>
        <v>#N/A</v>
      </c>
      <c r="O174" s="11" t="e">
        <f>IF($F$3,IF($L174="","",IFERROR(VLOOKUP($L174,day_data!$A:$I,4,FALSE),0)),NA())</f>
        <v>#N/A</v>
      </c>
      <c r="P174" s="58" t="e">
        <f>IF($F$4,IF($L174="","",IFERROR(VLOOKUP($L174,day_data!$A:$I,5,FALSE),0)),NA())</f>
        <v>#N/A</v>
      </c>
      <c r="Q174" s="59" t="e">
        <f>IF($F$8,IF($L174="","",IFERROR(VLOOKUP($L174,day_data!$A:$I,6,FALSE),0)),NA())</f>
        <v>#N/A</v>
      </c>
      <c r="R174" s="11" t="e">
        <f>IF($F$6,IF($L174="","",IFERROR(VLOOKUP($L174,day_data!$A:$I,7,FALSE),0)),NA())</f>
        <v>#N/A</v>
      </c>
      <c r="S174" s="58" t="str">
        <f>IF($F$5,IF($L174="","",IFERROR(VLOOKUP($L174,day_data!$A:$I,8,FALSE),0)),NA())</f>
        <v/>
      </c>
      <c r="T174" s="60" t="e">
        <f>IF($F$7,IF($L174="","",IFERROR(VLOOKUP($L174,day_data!$A:$I,9,FALSE),0)),NA())</f>
        <v>#N/A</v>
      </c>
    </row>
    <row r="175" spans="12:20">
      <c r="L175" s="57" t="str">
        <f t="shared" si="2"/>
        <v/>
      </c>
      <c r="M175" s="11" t="str">
        <f>IF($F$1,IF($L175="","",IFERROR(VLOOKUP($L175,day_data!$A:$I,2,FALSE),0)),NA())</f>
        <v/>
      </c>
      <c r="N175" s="58" t="e">
        <f>IF($F$2,IF($L175="","",IFERROR(VLOOKUP($L175,day_data!$A:$I,3,FALSE),0)),NA())</f>
        <v>#N/A</v>
      </c>
      <c r="O175" s="11" t="e">
        <f>IF($F$3,IF($L175="","",IFERROR(VLOOKUP($L175,day_data!$A:$I,4,FALSE),0)),NA())</f>
        <v>#N/A</v>
      </c>
      <c r="P175" s="58" t="e">
        <f>IF($F$4,IF($L175="","",IFERROR(VLOOKUP($L175,day_data!$A:$I,5,FALSE),0)),NA())</f>
        <v>#N/A</v>
      </c>
      <c r="Q175" s="59" t="e">
        <f>IF($F$8,IF($L175="","",IFERROR(VLOOKUP($L175,day_data!$A:$I,6,FALSE),0)),NA())</f>
        <v>#N/A</v>
      </c>
      <c r="R175" s="11" t="e">
        <f>IF($F$6,IF($L175="","",IFERROR(VLOOKUP($L175,day_data!$A:$I,7,FALSE),0)),NA())</f>
        <v>#N/A</v>
      </c>
      <c r="S175" s="58" t="str">
        <f>IF($F$5,IF($L175="","",IFERROR(VLOOKUP($L175,day_data!$A:$I,8,FALSE),0)),NA())</f>
        <v/>
      </c>
      <c r="T175" s="60" t="e">
        <f>IF($F$7,IF($L175="","",IFERROR(VLOOKUP($L175,day_data!$A:$I,9,FALSE),0)),NA())</f>
        <v>#N/A</v>
      </c>
    </row>
    <row r="176" spans="12:20">
      <c r="L176" s="57" t="str">
        <f t="shared" si="2"/>
        <v/>
      </c>
      <c r="M176" s="11" t="str">
        <f>IF($F$1,IF($L176="","",IFERROR(VLOOKUP($L176,day_data!$A:$I,2,FALSE),0)),NA())</f>
        <v/>
      </c>
      <c r="N176" s="58" t="e">
        <f>IF($F$2,IF($L176="","",IFERROR(VLOOKUP($L176,day_data!$A:$I,3,FALSE),0)),NA())</f>
        <v>#N/A</v>
      </c>
      <c r="O176" s="11" t="e">
        <f>IF($F$3,IF($L176="","",IFERROR(VLOOKUP($L176,day_data!$A:$I,4,FALSE),0)),NA())</f>
        <v>#N/A</v>
      </c>
      <c r="P176" s="58" t="e">
        <f>IF($F$4,IF($L176="","",IFERROR(VLOOKUP($L176,day_data!$A:$I,5,FALSE),0)),NA())</f>
        <v>#N/A</v>
      </c>
      <c r="Q176" s="59" t="e">
        <f>IF($F$8,IF($L176="","",IFERROR(VLOOKUP($L176,day_data!$A:$I,6,FALSE),0)),NA())</f>
        <v>#N/A</v>
      </c>
      <c r="R176" s="11" t="e">
        <f>IF($F$6,IF($L176="","",IFERROR(VLOOKUP($L176,day_data!$A:$I,7,FALSE),0)),NA())</f>
        <v>#N/A</v>
      </c>
      <c r="S176" s="58" t="str">
        <f>IF($F$5,IF($L176="","",IFERROR(VLOOKUP($L176,day_data!$A:$I,8,FALSE),0)),NA())</f>
        <v/>
      </c>
      <c r="T176" s="60" t="e">
        <f>IF($F$7,IF($L176="","",IFERROR(VLOOKUP($L176,day_data!$A:$I,9,FALSE),0)),NA())</f>
        <v>#N/A</v>
      </c>
    </row>
    <row r="177" spans="12:20">
      <c r="L177" s="57" t="str">
        <f t="shared" si="2"/>
        <v/>
      </c>
      <c r="M177" s="11" t="str">
        <f>IF($F$1,IF($L177="","",IFERROR(VLOOKUP($L177,day_data!$A:$I,2,FALSE),0)),NA())</f>
        <v/>
      </c>
      <c r="N177" s="58" t="e">
        <f>IF($F$2,IF($L177="","",IFERROR(VLOOKUP($L177,day_data!$A:$I,3,FALSE),0)),NA())</f>
        <v>#N/A</v>
      </c>
      <c r="O177" s="11" t="e">
        <f>IF($F$3,IF($L177="","",IFERROR(VLOOKUP($L177,day_data!$A:$I,4,FALSE),0)),NA())</f>
        <v>#N/A</v>
      </c>
      <c r="P177" s="58" t="e">
        <f>IF($F$4,IF($L177="","",IFERROR(VLOOKUP($L177,day_data!$A:$I,5,FALSE),0)),NA())</f>
        <v>#N/A</v>
      </c>
      <c r="Q177" s="59" t="e">
        <f>IF($F$8,IF($L177="","",IFERROR(VLOOKUP($L177,day_data!$A:$I,6,FALSE),0)),NA())</f>
        <v>#N/A</v>
      </c>
      <c r="R177" s="11" t="e">
        <f>IF($F$6,IF($L177="","",IFERROR(VLOOKUP($L177,day_data!$A:$I,7,FALSE),0)),NA())</f>
        <v>#N/A</v>
      </c>
      <c r="S177" s="58" t="str">
        <f>IF($F$5,IF($L177="","",IFERROR(VLOOKUP($L177,day_data!$A:$I,8,FALSE),0)),NA())</f>
        <v/>
      </c>
      <c r="T177" s="60" t="e">
        <f>IF($F$7,IF($L177="","",IFERROR(VLOOKUP($L177,day_data!$A:$I,9,FALSE),0)),NA())</f>
        <v>#N/A</v>
      </c>
    </row>
    <row r="178" spans="12:20">
      <c r="L178" s="57" t="str">
        <f t="shared" si="2"/>
        <v/>
      </c>
      <c r="M178" s="11" t="str">
        <f>IF($F$1,IF($L178="","",IFERROR(VLOOKUP($L178,day_data!$A:$I,2,FALSE),0)),NA())</f>
        <v/>
      </c>
      <c r="N178" s="58" t="e">
        <f>IF($F$2,IF($L178="","",IFERROR(VLOOKUP($L178,day_data!$A:$I,3,FALSE),0)),NA())</f>
        <v>#N/A</v>
      </c>
      <c r="O178" s="11" t="e">
        <f>IF($F$3,IF($L178="","",IFERROR(VLOOKUP($L178,day_data!$A:$I,4,FALSE),0)),NA())</f>
        <v>#N/A</v>
      </c>
      <c r="P178" s="58" t="e">
        <f>IF($F$4,IF($L178="","",IFERROR(VLOOKUP($L178,day_data!$A:$I,5,FALSE),0)),NA())</f>
        <v>#N/A</v>
      </c>
      <c r="Q178" s="59" t="e">
        <f>IF($F$8,IF($L178="","",IFERROR(VLOOKUP($L178,day_data!$A:$I,6,FALSE),0)),NA())</f>
        <v>#N/A</v>
      </c>
      <c r="R178" s="11" t="e">
        <f>IF($F$6,IF($L178="","",IFERROR(VLOOKUP($L178,day_data!$A:$I,7,FALSE),0)),NA())</f>
        <v>#N/A</v>
      </c>
      <c r="S178" s="58" t="str">
        <f>IF($F$5,IF($L178="","",IFERROR(VLOOKUP($L178,day_data!$A:$I,8,FALSE),0)),NA())</f>
        <v/>
      </c>
      <c r="T178" s="60" t="e">
        <f>IF($F$7,IF($L178="","",IFERROR(VLOOKUP($L178,day_data!$A:$I,9,FALSE),0)),NA())</f>
        <v>#N/A</v>
      </c>
    </row>
    <row r="179" spans="12:20">
      <c r="L179" s="57" t="str">
        <f t="shared" si="2"/>
        <v/>
      </c>
      <c r="M179" s="11" t="str">
        <f>IF($F$1,IF($L179="","",IFERROR(VLOOKUP($L179,day_data!$A:$I,2,FALSE),0)),NA())</f>
        <v/>
      </c>
      <c r="N179" s="58" t="e">
        <f>IF($F$2,IF($L179="","",IFERROR(VLOOKUP($L179,day_data!$A:$I,3,FALSE),0)),NA())</f>
        <v>#N/A</v>
      </c>
      <c r="O179" s="11" t="e">
        <f>IF($F$3,IF($L179="","",IFERROR(VLOOKUP($L179,day_data!$A:$I,4,FALSE),0)),NA())</f>
        <v>#N/A</v>
      </c>
      <c r="P179" s="58" t="e">
        <f>IF($F$4,IF($L179="","",IFERROR(VLOOKUP($L179,day_data!$A:$I,5,FALSE),0)),NA())</f>
        <v>#N/A</v>
      </c>
      <c r="Q179" s="59" t="e">
        <f>IF($F$8,IF($L179="","",IFERROR(VLOOKUP($L179,day_data!$A:$I,6,FALSE),0)),NA())</f>
        <v>#N/A</v>
      </c>
      <c r="R179" s="11" t="e">
        <f>IF($F$6,IF($L179="","",IFERROR(VLOOKUP($L179,day_data!$A:$I,7,FALSE),0)),NA())</f>
        <v>#N/A</v>
      </c>
      <c r="S179" s="58" t="str">
        <f>IF($F$5,IF($L179="","",IFERROR(VLOOKUP($L179,day_data!$A:$I,8,FALSE),0)),NA())</f>
        <v/>
      </c>
      <c r="T179" s="60" t="e">
        <f>IF($F$7,IF($L179="","",IFERROR(VLOOKUP($L179,day_data!$A:$I,9,FALSE),0)),NA())</f>
        <v>#N/A</v>
      </c>
    </row>
    <row r="180" spans="12:20">
      <c r="L180" s="57" t="str">
        <f t="shared" si="2"/>
        <v/>
      </c>
      <c r="M180" s="11" t="str">
        <f>IF($F$1,IF($L180="","",IFERROR(VLOOKUP($L180,day_data!$A:$I,2,FALSE),0)),NA())</f>
        <v/>
      </c>
      <c r="N180" s="58" t="e">
        <f>IF($F$2,IF($L180="","",IFERROR(VLOOKUP($L180,day_data!$A:$I,3,FALSE),0)),NA())</f>
        <v>#N/A</v>
      </c>
      <c r="O180" s="11" t="e">
        <f>IF($F$3,IF($L180="","",IFERROR(VLOOKUP($L180,day_data!$A:$I,4,FALSE),0)),NA())</f>
        <v>#N/A</v>
      </c>
      <c r="P180" s="58" t="e">
        <f>IF($F$4,IF($L180="","",IFERROR(VLOOKUP($L180,day_data!$A:$I,5,FALSE),0)),NA())</f>
        <v>#N/A</v>
      </c>
      <c r="Q180" s="59" t="e">
        <f>IF($F$8,IF($L180="","",IFERROR(VLOOKUP($L180,day_data!$A:$I,6,FALSE),0)),NA())</f>
        <v>#N/A</v>
      </c>
      <c r="R180" s="11" t="e">
        <f>IF($F$6,IF($L180="","",IFERROR(VLOOKUP($L180,day_data!$A:$I,7,FALSE),0)),NA())</f>
        <v>#N/A</v>
      </c>
      <c r="S180" s="58" t="str">
        <f>IF($F$5,IF($L180="","",IFERROR(VLOOKUP($L180,day_data!$A:$I,8,FALSE),0)),NA())</f>
        <v/>
      </c>
      <c r="T180" s="60" t="e">
        <f>IF($F$7,IF($L180="","",IFERROR(VLOOKUP($L180,day_data!$A:$I,9,FALSE),0)),NA())</f>
        <v>#N/A</v>
      </c>
    </row>
    <row r="181" spans="12:20">
      <c r="L181" s="57" t="str">
        <f t="shared" si="2"/>
        <v/>
      </c>
      <c r="M181" s="11" t="str">
        <f>IF($F$1,IF($L181="","",IFERROR(VLOOKUP($L181,day_data!$A:$I,2,FALSE),0)),NA())</f>
        <v/>
      </c>
      <c r="N181" s="58" t="e">
        <f>IF($F$2,IF($L181="","",IFERROR(VLOOKUP($L181,day_data!$A:$I,3,FALSE),0)),NA())</f>
        <v>#N/A</v>
      </c>
      <c r="O181" s="11" t="e">
        <f>IF($F$3,IF($L181="","",IFERROR(VLOOKUP($L181,day_data!$A:$I,4,FALSE),0)),NA())</f>
        <v>#N/A</v>
      </c>
      <c r="P181" s="58" t="e">
        <f>IF($F$4,IF($L181="","",IFERROR(VLOOKUP($L181,day_data!$A:$I,5,FALSE),0)),NA())</f>
        <v>#N/A</v>
      </c>
      <c r="Q181" s="59" t="e">
        <f>IF($F$8,IF($L181="","",IFERROR(VLOOKUP($L181,day_data!$A:$I,6,FALSE),0)),NA())</f>
        <v>#N/A</v>
      </c>
      <c r="R181" s="11" t="e">
        <f>IF($F$6,IF($L181="","",IFERROR(VLOOKUP($L181,day_data!$A:$I,7,FALSE),0)),NA())</f>
        <v>#N/A</v>
      </c>
      <c r="S181" s="58" t="str">
        <f>IF($F$5,IF($L181="","",IFERROR(VLOOKUP($L181,day_data!$A:$I,8,FALSE),0)),NA())</f>
        <v/>
      </c>
      <c r="T181" s="60" t="e">
        <f>IF($F$7,IF($L181="","",IFERROR(VLOOKUP($L181,day_data!$A:$I,9,FALSE),0)),NA())</f>
        <v>#N/A</v>
      </c>
    </row>
    <row r="182" spans="12:20">
      <c r="L182" s="57" t="str">
        <f t="shared" si="2"/>
        <v/>
      </c>
      <c r="M182" s="11" t="str">
        <f>IF($F$1,IF($L182="","",IFERROR(VLOOKUP($L182,day_data!$A:$I,2,FALSE),0)),NA())</f>
        <v/>
      </c>
      <c r="N182" s="58" t="e">
        <f>IF($F$2,IF($L182="","",IFERROR(VLOOKUP($L182,day_data!$A:$I,3,FALSE),0)),NA())</f>
        <v>#N/A</v>
      </c>
      <c r="O182" s="11" t="e">
        <f>IF($F$3,IF($L182="","",IFERROR(VLOOKUP($L182,day_data!$A:$I,4,FALSE),0)),NA())</f>
        <v>#N/A</v>
      </c>
      <c r="P182" s="58" t="e">
        <f>IF($F$4,IF($L182="","",IFERROR(VLOOKUP($L182,day_data!$A:$I,5,FALSE),0)),NA())</f>
        <v>#N/A</v>
      </c>
      <c r="Q182" s="59" t="e">
        <f>IF($F$8,IF($L182="","",IFERROR(VLOOKUP($L182,day_data!$A:$I,6,FALSE),0)),NA())</f>
        <v>#N/A</v>
      </c>
      <c r="R182" s="11" t="e">
        <f>IF($F$6,IF($L182="","",IFERROR(VLOOKUP($L182,day_data!$A:$I,7,FALSE),0)),NA())</f>
        <v>#N/A</v>
      </c>
      <c r="S182" s="58" t="str">
        <f>IF($F$5,IF($L182="","",IFERROR(VLOOKUP($L182,day_data!$A:$I,8,FALSE),0)),NA())</f>
        <v/>
      </c>
      <c r="T182" s="60" t="e">
        <f>IF($F$7,IF($L182="","",IFERROR(VLOOKUP($L182,day_data!$A:$I,9,FALSE),0)),NA())</f>
        <v>#N/A</v>
      </c>
    </row>
    <row r="183" spans="12:20">
      <c r="L183" s="57" t="str">
        <f t="shared" si="2"/>
        <v/>
      </c>
      <c r="M183" s="11" t="str">
        <f>IF($F$1,IF($L183="","",IFERROR(VLOOKUP($L183,day_data!$A:$I,2,FALSE),0)),NA())</f>
        <v/>
      </c>
      <c r="N183" s="58" t="e">
        <f>IF($F$2,IF($L183="","",IFERROR(VLOOKUP($L183,day_data!$A:$I,3,FALSE),0)),NA())</f>
        <v>#N/A</v>
      </c>
      <c r="O183" s="11" t="e">
        <f>IF($F$3,IF($L183="","",IFERROR(VLOOKUP($L183,day_data!$A:$I,4,FALSE),0)),NA())</f>
        <v>#N/A</v>
      </c>
      <c r="P183" s="58" t="e">
        <f>IF($F$4,IF($L183="","",IFERROR(VLOOKUP($L183,day_data!$A:$I,5,FALSE),0)),NA())</f>
        <v>#N/A</v>
      </c>
      <c r="Q183" s="59" t="e">
        <f>IF($F$8,IF($L183="","",IFERROR(VLOOKUP($L183,day_data!$A:$I,6,FALSE),0)),NA())</f>
        <v>#N/A</v>
      </c>
      <c r="R183" s="11" t="e">
        <f>IF($F$6,IF($L183="","",IFERROR(VLOOKUP($L183,day_data!$A:$I,7,FALSE),0)),NA())</f>
        <v>#N/A</v>
      </c>
      <c r="S183" s="58" t="str">
        <f>IF($F$5,IF($L183="","",IFERROR(VLOOKUP($L183,day_data!$A:$I,8,FALSE),0)),NA())</f>
        <v/>
      </c>
      <c r="T183" s="60" t="e">
        <f>IF($F$7,IF($L183="","",IFERROR(VLOOKUP($L183,day_data!$A:$I,9,FALSE),0)),NA())</f>
        <v>#N/A</v>
      </c>
    </row>
    <row r="184" spans="12:20">
      <c r="L184" s="57" t="str">
        <f t="shared" si="2"/>
        <v/>
      </c>
      <c r="M184" s="11" t="str">
        <f>IF($F$1,IF($L184="","",IFERROR(VLOOKUP($L184,day_data!$A:$I,2,FALSE),0)),NA())</f>
        <v/>
      </c>
      <c r="N184" s="58" t="e">
        <f>IF($F$2,IF($L184="","",IFERROR(VLOOKUP($L184,day_data!$A:$I,3,FALSE),0)),NA())</f>
        <v>#N/A</v>
      </c>
      <c r="O184" s="11" t="e">
        <f>IF($F$3,IF($L184="","",IFERROR(VLOOKUP($L184,day_data!$A:$I,4,FALSE),0)),NA())</f>
        <v>#N/A</v>
      </c>
      <c r="P184" s="58" t="e">
        <f>IF($F$4,IF($L184="","",IFERROR(VLOOKUP($L184,day_data!$A:$I,5,FALSE),0)),NA())</f>
        <v>#N/A</v>
      </c>
      <c r="Q184" s="59" t="e">
        <f>IF($F$8,IF($L184="","",IFERROR(VLOOKUP($L184,day_data!$A:$I,6,FALSE),0)),NA())</f>
        <v>#N/A</v>
      </c>
      <c r="R184" s="11" t="e">
        <f>IF($F$6,IF($L184="","",IFERROR(VLOOKUP($L184,day_data!$A:$I,7,FALSE),0)),NA())</f>
        <v>#N/A</v>
      </c>
      <c r="S184" s="58" t="str">
        <f>IF($F$5,IF($L184="","",IFERROR(VLOOKUP($L184,day_data!$A:$I,8,FALSE),0)),NA())</f>
        <v/>
      </c>
      <c r="T184" s="60" t="e">
        <f>IF($F$7,IF($L184="","",IFERROR(VLOOKUP($L184,day_data!$A:$I,9,FALSE),0)),NA())</f>
        <v>#N/A</v>
      </c>
    </row>
    <row r="185" spans="12:20">
      <c r="L185" s="57" t="str">
        <f t="shared" si="2"/>
        <v/>
      </c>
      <c r="M185" s="11" t="str">
        <f>IF($F$1,IF($L185="","",IFERROR(VLOOKUP($L185,day_data!$A:$I,2,FALSE),0)),NA())</f>
        <v/>
      </c>
      <c r="N185" s="58" t="e">
        <f>IF($F$2,IF($L185="","",IFERROR(VLOOKUP($L185,day_data!$A:$I,3,FALSE),0)),NA())</f>
        <v>#N/A</v>
      </c>
      <c r="O185" s="11" t="e">
        <f>IF($F$3,IF($L185="","",IFERROR(VLOOKUP($L185,day_data!$A:$I,4,FALSE),0)),NA())</f>
        <v>#N/A</v>
      </c>
      <c r="P185" s="58" t="e">
        <f>IF($F$4,IF($L185="","",IFERROR(VLOOKUP($L185,day_data!$A:$I,5,FALSE),0)),NA())</f>
        <v>#N/A</v>
      </c>
      <c r="Q185" s="59" t="e">
        <f>IF($F$8,IF($L185="","",IFERROR(VLOOKUP($L185,day_data!$A:$I,6,FALSE),0)),NA())</f>
        <v>#N/A</v>
      </c>
      <c r="R185" s="11" t="e">
        <f>IF($F$6,IF($L185="","",IFERROR(VLOOKUP($L185,day_data!$A:$I,7,FALSE),0)),NA())</f>
        <v>#N/A</v>
      </c>
      <c r="S185" s="58" t="str">
        <f>IF($F$5,IF($L185="","",IFERROR(VLOOKUP($L185,day_data!$A:$I,8,FALSE),0)),NA())</f>
        <v/>
      </c>
      <c r="T185" s="60" t="e">
        <f>IF($F$7,IF($L185="","",IFERROR(VLOOKUP($L185,day_data!$A:$I,9,FALSE),0)),NA())</f>
        <v>#N/A</v>
      </c>
    </row>
    <row r="186" spans="12:20">
      <c r="L186" s="57" t="str">
        <f t="shared" si="2"/>
        <v/>
      </c>
      <c r="M186" s="11" t="str">
        <f>IF($F$1,IF($L186="","",IFERROR(VLOOKUP($L186,day_data!$A:$I,2,FALSE),0)),NA())</f>
        <v/>
      </c>
      <c r="N186" s="58" t="e">
        <f>IF($F$2,IF($L186="","",IFERROR(VLOOKUP($L186,day_data!$A:$I,3,FALSE),0)),NA())</f>
        <v>#N/A</v>
      </c>
      <c r="O186" s="11" t="e">
        <f>IF($F$3,IF($L186="","",IFERROR(VLOOKUP($L186,day_data!$A:$I,4,FALSE),0)),NA())</f>
        <v>#N/A</v>
      </c>
      <c r="P186" s="58" t="e">
        <f>IF($F$4,IF($L186="","",IFERROR(VLOOKUP($L186,day_data!$A:$I,5,FALSE),0)),NA())</f>
        <v>#N/A</v>
      </c>
      <c r="Q186" s="59" t="e">
        <f>IF($F$8,IF($L186="","",IFERROR(VLOOKUP($L186,day_data!$A:$I,6,FALSE),0)),NA())</f>
        <v>#N/A</v>
      </c>
      <c r="R186" s="11" t="e">
        <f>IF($F$6,IF($L186="","",IFERROR(VLOOKUP($L186,day_data!$A:$I,7,FALSE),0)),NA())</f>
        <v>#N/A</v>
      </c>
      <c r="S186" s="58" t="str">
        <f>IF($F$5,IF($L186="","",IFERROR(VLOOKUP($L186,day_data!$A:$I,8,FALSE),0)),NA())</f>
        <v/>
      </c>
      <c r="T186" s="60" t="e">
        <f>IF($F$7,IF($L186="","",IFERROR(VLOOKUP($L186,day_data!$A:$I,9,FALSE),0)),NA())</f>
        <v>#N/A</v>
      </c>
    </row>
    <row r="187" spans="12:20">
      <c r="L187" s="57" t="str">
        <f t="shared" si="2"/>
        <v/>
      </c>
      <c r="M187" s="11" t="str">
        <f>IF($F$1,IF($L187="","",IFERROR(VLOOKUP($L187,day_data!$A:$I,2,FALSE),0)),NA())</f>
        <v/>
      </c>
      <c r="N187" s="58" t="e">
        <f>IF($F$2,IF($L187="","",IFERROR(VLOOKUP($L187,day_data!$A:$I,3,FALSE),0)),NA())</f>
        <v>#N/A</v>
      </c>
      <c r="O187" s="11" t="e">
        <f>IF($F$3,IF($L187="","",IFERROR(VLOOKUP($L187,day_data!$A:$I,4,FALSE),0)),NA())</f>
        <v>#N/A</v>
      </c>
      <c r="P187" s="58" t="e">
        <f>IF($F$4,IF($L187="","",IFERROR(VLOOKUP($L187,day_data!$A:$I,5,FALSE),0)),NA())</f>
        <v>#N/A</v>
      </c>
      <c r="Q187" s="59" t="e">
        <f>IF($F$8,IF($L187="","",IFERROR(VLOOKUP($L187,day_data!$A:$I,6,FALSE),0)),NA())</f>
        <v>#N/A</v>
      </c>
      <c r="R187" s="11" t="e">
        <f>IF($F$6,IF($L187="","",IFERROR(VLOOKUP($L187,day_data!$A:$I,7,FALSE),0)),NA())</f>
        <v>#N/A</v>
      </c>
      <c r="S187" s="58" t="str">
        <f>IF($F$5,IF($L187="","",IFERROR(VLOOKUP($L187,day_data!$A:$I,8,FALSE),0)),NA())</f>
        <v/>
      </c>
      <c r="T187" s="60" t="e">
        <f>IF($F$7,IF($L187="","",IFERROR(VLOOKUP($L187,day_data!$A:$I,9,FALSE),0)),NA())</f>
        <v>#N/A</v>
      </c>
    </row>
    <row r="188" spans="12:20">
      <c r="L188" s="57" t="str">
        <f t="shared" si="2"/>
        <v/>
      </c>
      <c r="M188" s="11" t="str">
        <f>IF($F$1,IF($L188="","",IFERROR(VLOOKUP($L188,day_data!$A:$I,2,FALSE),0)),NA())</f>
        <v/>
      </c>
      <c r="N188" s="58" t="e">
        <f>IF($F$2,IF($L188="","",IFERROR(VLOOKUP($L188,day_data!$A:$I,3,FALSE),0)),NA())</f>
        <v>#N/A</v>
      </c>
      <c r="O188" s="11" t="e">
        <f>IF($F$3,IF($L188="","",IFERROR(VLOOKUP($L188,day_data!$A:$I,4,FALSE),0)),NA())</f>
        <v>#N/A</v>
      </c>
      <c r="P188" s="58" t="e">
        <f>IF($F$4,IF($L188="","",IFERROR(VLOOKUP($L188,day_data!$A:$I,5,FALSE),0)),NA())</f>
        <v>#N/A</v>
      </c>
      <c r="Q188" s="59" t="e">
        <f>IF($F$8,IF($L188="","",IFERROR(VLOOKUP($L188,day_data!$A:$I,6,FALSE),0)),NA())</f>
        <v>#N/A</v>
      </c>
      <c r="R188" s="11" t="e">
        <f>IF($F$6,IF($L188="","",IFERROR(VLOOKUP($L188,day_data!$A:$I,7,FALSE),0)),NA())</f>
        <v>#N/A</v>
      </c>
      <c r="S188" s="58" t="str">
        <f>IF($F$5,IF($L188="","",IFERROR(VLOOKUP($L188,day_data!$A:$I,8,FALSE),0)),NA())</f>
        <v/>
      </c>
      <c r="T188" s="60" t="e">
        <f>IF($F$7,IF($L188="","",IFERROR(VLOOKUP($L188,day_data!$A:$I,9,FALSE),0)),NA())</f>
        <v>#N/A</v>
      </c>
    </row>
    <row r="189" spans="12:20">
      <c r="L189" s="57" t="str">
        <f t="shared" si="2"/>
        <v/>
      </c>
      <c r="M189" s="11" t="str">
        <f>IF($F$1,IF($L189="","",IFERROR(VLOOKUP($L189,day_data!$A:$I,2,FALSE),0)),NA())</f>
        <v/>
      </c>
      <c r="N189" s="58" t="e">
        <f>IF($F$2,IF($L189="","",IFERROR(VLOOKUP($L189,day_data!$A:$I,3,FALSE),0)),NA())</f>
        <v>#N/A</v>
      </c>
      <c r="O189" s="11" t="e">
        <f>IF($F$3,IF($L189="","",IFERROR(VLOOKUP($L189,day_data!$A:$I,4,FALSE),0)),NA())</f>
        <v>#N/A</v>
      </c>
      <c r="P189" s="58" t="e">
        <f>IF($F$4,IF($L189="","",IFERROR(VLOOKUP($L189,day_data!$A:$I,5,FALSE),0)),NA())</f>
        <v>#N/A</v>
      </c>
      <c r="Q189" s="59" t="e">
        <f>IF($F$8,IF($L189="","",IFERROR(VLOOKUP($L189,day_data!$A:$I,6,FALSE),0)),NA())</f>
        <v>#N/A</v>
      </c>
      <c r="R189" s="11" t="e">
        <f>IF($F$6,IF($L189="","",IFERROR(VLOOKUP($L189,day_data!$A:$I,7,FALSE),0)),NA())</f>
        <v>#N/A</v>
      </c>
      <c r="S189" s="58" t="str">
        <f>IF($F$5,IF($L189="","",IFERROR(VLOOKUP($L189,day_data!$A:$I,8,FALSE),0)),NA())</f>
        <v/>
      </c>
      <c r="T189" s="60" t="e">
        <f>IF($F$7,IF($L189="","",IFERROR(VLOOKUP($L189,day_data!$A:$I,9,FALSE),0)),NA())</f>
        <v>#N/A</v>
      </c>
    </row>
    <row r="190" spans="12:20">
      <c r="L190" s="57" t="str">
        <f t="shared" si="2"/>
        <v/>
      </c>
      <c r="M190" s="11" t="str">
        <f>IF($F$1,IF($L190="","",IFERROR(VLOOKUP($L190,day_data!$A:$I,2,FALSE),0)),NA())</f>
        <v/>
      </c>
      <c r="N190" s="58" t="e">
        <f>IF($F$2,IF($L190="","",IFERROR(VLOOKUP($L190,day_data!$A:$I,3,FALSE),0)),NA())</f>
        <v>#N/A</v>
      </c>
      <c r="O190" s="11" t="e">
        <f>IF($F$3,IF($L190="","",IFERROR(VLOOKUP($L190,day_data!$A:$I,4,FALSE),0)),NA())</f>
        <v>#N/A</v>
      </c>
      <c r="P190" s="58" t="e">
        <f>IF($F$4,IF($L190="","",IFERROR(VLOOKUP($L190,day_data!$A:$I,5,FALSE),0)),NA())</f>
        <v>#N/A</v>
      </c>
      <c r="Q190" s="59" t="e">
        <f>IF($F$8,IF($L190="","",IFERROR(VLOOKUP($L190,day_data!$A:$I,6,FALSE),0)),NA())</f>
        <v>#N/A</v>
      </c>
      <c r="R190" s="11" t="e">
        <f>IF($F$6,IF($L190="","",IFERROR(VLOOKUP($L190,day_data!$A:$I,7,FALSE),0)),NA())</f>
        <v>#N/A</v>
      </c>
      <c r="S190" s="58" t="str">
        <f>IF($F$5,IF($L190="","",IFERROR(VLOOKUP($L190,day_data!$A:$I,8,FALSE),0)),NA())</f>
        <v/>
      </c>
      <c r="T190" s="60" t="e">
        <f>IF($F$7,IF($L190="","",IFERROR(VLOOKUP($L190,day_data!$A:$I,9,FALSE),0)),NA())</f>
        <v>#N/A</v>
      </c>
    </row>
    <row r="191" spans="12:20">
      <c r="L191" s="57" t="str">
        <f t="shared" si="2"/>
        <v/>
      </c>
      <c r="M191" s="11" t="str">
        <f>IF($F$1,IF($L191="","",IFERROR(VLOOKUP($L191,day_data!$A:$I,2,FALSE),0)),NA())</f>
        <v/>
      </c>
      <c r="N191" s="58" t="e">
        <f>IF($F$2,IF($L191="","",IFERROR(VLOOKUP($L191,day_data!$A:$I,3,FALSE),0)),NA())</f>
        <v>#N/A</v>
      </c>
      <c r="O191" s="11" t="e">
        <f>IF($F$3,IF($L191="","",IFERROR(VLOOKUP($L191,day_data!$A:$I,4,FALSE),0)),NA())</f>
        <v>#N/A</v>
      </c>
      <c r="P191" s="58" t="e">
        <f>IF($F$4,IF($L191="","",IFERROR(VLOOKUP($L191,day_data!$A:$I,5,FALSE),0)),NA())</f>
        <v>#N/A</v>
      </c>
      <c r="Q191" s="59" t="e">
        <f>IF($F$8,IF($L191="","",IFERROR(VLOOKUP($L191,day_data!$A:$I,6,FALSE),0)),NA())</f>
        <v>#N/A</v>
      </c>
      <c r="R191" s="11" t="e">
        <f>IF($F$6,IF($L191="","",IFERROR(VLOOKUP($L191,day_data!$A:$I,7,FALSE),0)),NA())</f>
        <v>#N/A</v>
      </c>
      <c r="S191" s="58" t="str">
        <f>IF($F$5,IF($L191="","",IFERROR(VLOOKUP($L191,day_data!$A:$I,8,FALSE),0)),NA())</f>
        <v/>
      </c>
      <c r="T191" s="60" t="e">
        <f>IF($F$7,IF($L191="","",IFERROR(VLOOKUP($L191,day_data!$A:$I,9,FALSE),0)),NA())</f>
        <v>#N/A</v>
      </c>
    </row>
    <row r="192" spans="12:20">
      <c r="L192" s="57" t="str">
        <f t="shared" si="2"/>
        <v/>
      </c>
      <c r="M192" s="11" t="str">
        <f>IF($F$1,IF($L192="","",IFERROR(VLOOKUP($L192,day_data!$A:$I,2,FALSE),0)),NA())</f>
        <v/>
      </c>
      <c r="N192" s="58" t="e">
        <f>IF($F$2,IF($L192="","",IFERROR(VLOOKUP($L192,day_data!$A:$I,3,FALSE),0)),NA())</f>
        <v>#N/A</v>
      </c>
      <c r="O192" s="11" t="e">
        <f>IF($F$3,IF($L192="","",IFERROR(VLOOKUP($L192,day_data!$A:$I,4,FALSE),0)),NA())</f>
        <v>#N/A</v>
      </c>
      <c r="P192" s="58" t="e">
        <f>IF($F$4,IF($L192="","",IFERROR(VLOOKUP($L192,day_data!$A:$I,5,FALSE),0)),NA())</f>
        <v>#N/A</v>
      </c>
      <c r="Q192" s="59" t="e">
        <f>IF($F$8,IF($L192="","",IFERROR(VLOOKUP($L192,day_data!$A:$I,6,FALSE),0)),NA())</f>
        <v>#N/A</v>
      </c>
      <c r="R192" s="11" t="e">
        <f>IF($F$6,IF($L192="","",IFERROR(VLOOKUP($L192,day_data!$A:$I,7,FALSE),0)),NA())</f>
        <v>#N/A</v>
      </c>
      <c r="S192" s="58" t="str">
        <f>IF($F$5,IF($L192="","",IFERROR(VLOOKUP($L192,day_data!$A:$I,8,FALSE),0)),NA())</f>
        <v/>
      </c>
      <c r="T192" s="60" t="e">
        <f>IF($F$7,IF($L192="","",IFERROR(VLOOKUP($L192,day_data!$A:$I,9,FALSE),0)),NA())</f>
        <v>#N/A</v>
      </c>
    </row>
    <row r="193" spans="12:20">
      <c r="L193" s="57" t="str">
        <f t="shared" si="2"/>
        <v/>
      </c>
      <c r="M193" s="11" t="str">
        <f>IF($F$1,IF($L193="","",IFERROR(VLOOKUP($L193,day_data!$A:$I,2,FALSE),0)),NA())</f>
        <v/>
      </c>
      <c r="N193" s="58" t="e">
        <f>IF($F$2,IF($L193="","",IFERROR(VLOOKUP($L193,day_data!$A:$I,3,FALSE),0)),NA())</f>
        <v>#N/A</v>
      </c>
      <c r="O193" s="11" t="e">
        <f>IF($F$3,IF($L193="","",IFERROR(VLOOKUP($L193,day_data!$A:$I,4,FALSE),0)),NA())</f>
        <v>#N/A</v>
      </c>
      <c r="P193" s="58" t="e">
        <f>IF($F$4,IF($L193="","",IFERROR(VLOOKUP($L193,day_data!$A:$I,5,FALSE),0)),NA())</f>
        <v>#N/A</v>
      </c>
      <c r="Q193" s="59" t="e">
        <f>IF($F$8,IF($L193="","",IFERROR(VLOOKUP($L193,day_data!$A:$I,6,FALSE),0)),NA())</f>
        <v>#N/A</v>
      </c>
      <c r="R193" s="11" t="e">
        <f>IF($F$6,IF($L193="","",IFERROR(VLOOKUP($L193,day_data!$A:$I,7,FALSE),0)),NA())</f>
        <v>#N/A</v>
      </c>
      <c r="S193" s="58" t="str">
        <f>IF($F$5,IF($L193="","",IFERROR(VLOOKUP($L193,day_data!$A:$I,8,FALSE),0)),NA())</f>
        <v/>
      </c>
      <c r="T193" s="60" t="e">
        <f>IF($F$7,IF($L193="","",IFERROR(VLOOKUP($L193,day_data!$A:$I,9,FALSE),0)),NA())</f>
        <v>#N/A</v>
      </c>
    </row>
    <row r="194" spans="12:20">
      <c r="L194" s="57" t="str">
        <f t="shared" si="2"/>
        <v/>
      </c>
      <c r="M194" s="11" t="str">
        <f>IF($F$1,IF($L194="","",IFERROR(VLOOKUP($L194,day_data!$A:$I,2,FALSE),0)),NA())</f>
        <v/>
      </c>
      <c r="N194" s="58" t="e">
        <f>IF($F$2,IF($L194="","",IFERROR(VLOOKUP($L194,day_data!$A:$I,3,FALSE),0)),NA())</f>
        <v>#N/A</v>
      </c>
      <c r="O194" s="11" t="e">
        <f>IF($F$3,IF($L194="","",IFERROR(VLOOKUP($L194,day_data!$A:$I,4,FALSE),0)),NA())</f>
        <v>#N/A</v>
      </c>
      <c r="P194" s="58" t="e">
        <f>IF($F$4,IF($L194="","",IFERROR(VLOOKUP($L194,day_data!$A:$I,5,FALSE),0)),NA())</f>
        <v>#N/A</v>
      </c>
      <c r="Q194" s="59" t="e">
        <f>IF($F$8,IF($L194="","",IFERROR(VLOOKUP($L194,day_data!$A:$I,6,FALSE),0)),NA())</f>
        <v>#N/A</v>
      </c>
      <c r="R194" s="11" t="e">
        <f>IF($F$6,IF($L194="","",IFERROR(VLOOKUP($L194,day_data!$A:$I,7,FALSE),0)),NA())</f>
        <v>#N/A</v>
      </c>
      <c r="S194" s="58" t="str">
        <f>IF($F$5,IF($L194="","",IFERROR(VLOOKUP($L194,day_data!$A:$I,8,FALSE),0)),NA())</f>
        <v/>
      </c>
      <c r="T194" s="60" t="e">
        <f>IF($F$7,IF($L194="","",IFERROR(VLOOKUP($L194,day_data!$A:$I,9,FALSE),0)),NA())</f>
        <v>#N/A</v>
      </c>
    </row>
    <row r="195" spans="12:20">
      <c r="L195" s="57" t="str">
        <f t="shared" si="2"/>
        <v/>
      </c>
      <c r="M195" s="11" t="str">
        <f>IF($F$1,IF($L195="","",IFERROR(VLOOKUP($L195,day_data!$A:$I,2,FALSE),0)),NA())</f>
        <v/>
      </c>
      <c r="N195" s="58" t="e">
        <f>IF($F$2,IF($L195="","",IFERROR(VLOOKUP($L195,day_data!$A:$I,3,FALSE),0)),NA())</f>
        <v>#N/A</v>
      </c>
      <c r="O195" s="11" t="e">
        <f>IF($F$3,IF($L195="","",IFERROR(VLOOKUP($L195,day_data!$A:$I,4,FALSE),0)),NA())</f>
        <v>#N/A</v>
      </c>
      <c r="P195" s="58" t="e">
        <f>IF($F$4,IF($L195="","",IFERROR(VLOOKUP($L195,day_data!$A:$I,5,FALSE),0)),NA())</f>
        <v>#N/A</v>
      </c>
      <c r="Q195" s="59" t="e">
        <f>IF($F$8,IF($L195="","",IFERROR(VLOOKUP($L195,day_data!$A:$I,6,FALSE),0)),NA())</f>
        <v>#N/A</v>
      </c>
      <c r="R195" s="11" t="e">
        <f>IF($F$6,IF($L195="","",IFERROR(VLOOKUP($L195,day_data!$A:$I,7,FALSE),0)),NA())</f>
        <v>#N/A</v>
      </c>
      <c r="S195" s="58" t="str">
        <f>IF($F$5,IF($L195="","",IFERROR(VLOOKUP($L195,day_data!$A:$I,8,FALSE),0)),NA())</f>
        <v/>
      </c>
      <c r="T195" s="60" t="e">
        <f>IF($F$7,IF($L195="","",IFERROR(VLOOKUP($L195,day_data!$A:$I,9,FALSE),0)),NA())</f>
        <v>#N/A</v>
      </c>
    </row>
    <row r="196" spans="12:20">
      <c r="L196" s="57" t="str">
        <f t="shared" ref="L196:L259" si="3">IF(ROW(L196)-1&gt;$C$1,"",L195+1)</f>
        <v/>
      </c>
      <c r="M196" s="11" t="str">
        <f>IF($F$1,IF($L196="","",IFERROR(VLOOKUP($L196,day_data!$A:$I,2,FALSE),0)),NA())</f>
        <v/>
      </c>
      <c r="N196" s="58" t="e">
        <f>IF($F$2,IF($L196="","",IFERROR(VLOOKUP($L196,day_data!$A:$I,3,FALSE),0)),NA())</f>
        <v>#N/A</v>
      </c>
      <c r="O196" s="11" t="e">
        <f>IF($F$3,IF($L196="","",IFERROR(VLOOKUP($L196,day_data!$A:$I,4,FALSE),0)),NA())</f>
        <v>#N/A</v>
      </c>
      <c r="P196" s="58" t="e">
        <f>IF($F$4,IF($L196="","",IFERROR(VLOOKUP($L196,day_data!$A:$I,5,FALSE),0)),NA())</f>
        <v>#N/A</v>
      </c>
      <c r="Q196" s="59" t="e">
        <f>IF($F$8,IF($L196="","",IFERROR(VLOOKUP($L196,day_data!$A:$I,6,FALSE),0)),NA())</f>
        <v>#N/A</v>
      </c>
      <c r="R196" s="11" t="e">
        <f>IF($F$6,IF($L196="","",IFERROR(VLOOKUP($L196,day_data!$A:$I,7,FALSE),0)),NA())</f>
        <v>#N/A</v>
      </c>
      <c r="S196" s="58" t="str">
        <f>IF($F$5,IF($L196="","",IFERROR(VLOOKUP($L196,day_data!$A:$I,8,FALSE),0)),NA())</f>
        <v/>
      </c>
      <c r="T196" s="60" t="e">
        <f>IF($F$7,IF($L196="","",IFERROR(VLOOKUP($L196,day_data!$A:$I,9,FALSE),0)),NA())</f>
        <v>#N/A</v>
      </c>
    </row>
    <row r="197" spans="12:20">
      <c r="L197" s="57" t="str">
        <f t="shared" si="3"/>
        <v/>
      </c>
      <c r="M197" s="11" t="str">
        <f>IF($F$1,IF($L197="","",IFERROR(VLOOKUP($L197,day_data!$A:$I,2,FALSE),0)),NA())</f>
        <v/>
      </c>
      <c r="N197" s="58" t="e">
        <f>IF($F$2,IF($L197="","",IFERROR(VLOOKUP($L197,day_data!$A:$I,3,FALSE),0)),NA())</f>
        <v>#N/A</v>
      </c>
      <c r="O197" s="11" t="e">
        <f>IF($F$3,IF($L197="","",IFERROR(VLOOKUP($L197,day_data!$A:$I,4,FALSE),0)),NA())</f>
        <v>#N/A</v>
      </c>
      <c r="P197" s="58" t="e">
        <f>IF($F$4,IF($L197="","",IFERROR(VLOOKUP($L197,day_data!$A:$I,5,FALSE),0)),NA())</f>
        <v>#N/A</v>
      </c>
      <c r="Q197" s="59" t="e">
        <f>IF($F$8,IF($L197="","",IFERROR(VLOOKUP($L197,day_data!$A:$I,6,FALSE),0)),NA())</f>
        <v>#N/A</v>
      </c>
      <c r="R197" s="11" t="e">
        <f>IF($F$6,IF($L197="","",IFERROR(VLOOKUP($L197,day_data!$A:$I,7,FALSE),0)),NA())</f>
        <v>#N/A</v>
      </c>
      <c r="S197" s="58" t="str">
        <f>IF($F$5,IF($L197="","",IFERROR(VLOOKUP($L197,day_data!$A:$I,8,FALSE),0)),NA())</f>
        <v/>
      </c>
      <c r="T197" s="60" t="e">
        <f>IF($F$7,IF($L197="","",IFERROR(VLOOKUP($L197,day_data!$A:$I,9,FALSE),0)),NA())</f>
        <v>#N/A</v>
      </c>
    </row>
    <row r="198" spans="12:20">
      <c r="L198" s="57" t="str">
        <f t="shared" si="3"/>
        <v/>
      </c>
      <c r="M198" s="11" t="str">
        <f>IF($F$1,IF($L198="","",IFERROR(VLOOKUP($L198,day_data!$A:$I,2,FALSE),0)),NA())</f>
        <v/>
      </c>
      <c r="N198" s="58" t="e">
        <f>IF($F$2,IF($L198="","",IFERROR(VLOOKUP($L198,day_data!$A:$I,3,FALSE),0)),NA())</f>
        <v>#N/A</v>
      </c>
      <c r="O198" s="11" t="e">
        <f>IF($F$3,IF($L198="","",IFERROR(VLOOKUP($L198,day_data!$A:$I,4,FALSE),0)),NA())</f>
        <v>#N/A</v>
      </c>
      <c r="P198" s="58" t="e">
        <f>IF($F$4,IF($L198="","",IFERROR(VLOOKUP($L198,day_data!$A:$I,5,FALSE),0)),NA())</f>
        <v>#N/A</v>
      </c>
      <c r="Q198" s="59" t="e">
        <f>IF($F$8,IF($L198="","",IFERROR(VLOOKUP($L198,day_data!$A:$I,6,FALSE),0)),NA())</f>
        <v>#N/A</v>
      </c>
      <c r="R198" s="11" t="e">
        <f>IF($F$6,IF($L198="","",IFERROR(VLOOKUP($L198,day_data!$A:$I,7,FALSE),0)),NA())</f>
        <v>#N/A</v>
      </c>
      <c r="S198" s="58" t="str">
        <f>IF($F$5,IF($L198="","",IFERROR(VLOOKUP($L198,day_data!$A:$I,8,FALSE),0)),NA())</f>
        <v/>
      </c>
      <c r="T198" s="60" t="e">
        <f>IF($F$7,IF($L198="","",IFERROR(VLOOKUP($L198,day_data!$A:$I,9,FALSE),0)),NA())</f>
        <v>#N/A</v>
      </c>
    </row>
    <row r="199" spans="12:20">
      <c r="L199" s="57" t="str">
        <f t="shared" si="3"/>
        <v/>
      </c>
      <c r="M199" s="11" t="str">
        <f>IF($F$1,IF($L199="","",IFERROR(VLOOKUP($L199,day_data!$A:$I,2,FALSE),0)),NA())</f>
        <v/>
      </c>
      <c r="N199" s="58" t="e">
        <f>IF($F$2,IF($L199="","",IFERROR(VLOOKUP($L199,day_data!$A:$I,3,FALSE),0)),NA())</f>
        <v>#N/A</v>
      </c>
      <c r="O199" s="11" t="e">
        <f>IF($F$3,IF($L199="","",IFERROR(VLOOKUP($L199,day_data!$A:$I,4,FALSE),0)),NA())</f>
        <v>#N/A</v>
      </c>
      <c r="P199" s="58" t="e">
        <f>IF($F$4,IF($L199="","",IFERROR(VLOOKUP($L199,day_data!$A:$I,5,FALSE),0)),NA())</f>
        <v>#N/A</v>
      </c>
      <c r="Q199" s="59" t="e">
        <f>IF($F$8,IF($L199="","",IFERROR(VLOOKUP($L199,day_data!$A:$I,6,FALSE),0)),NA())</f>
        <v>#N/A</v>
      </c>
      <c r="R199" s="11" t="e">
        <f>IF($F$6,IF($L199="","",IFERROR(VLOOKUP($L199,day_data!$A:$I,7,FALSE),0)),NA())</f>
        <v>#N/A</v>
      </c>
      <c r="S199" s="58" t="str">
        <f>IF($F$5,IF($L199="","",IFERROR(VLOOKUP($L199,day_data!$A:$I,8,FALSE),0)),NA())</f>
        <v/>
      </c>
      <c r="T199" s="60" t="e">
        <f>IF($F$7,IF($L199="","",IFERROR(VLOOKUP($L199,day_data!$A:$I,9,FALSE),0)),NA())</f>
        <v>#N/A</v>
      </c>
    </row>
    <row r="200" spans="12:20">
      <c r="L200" s="57" t="str">
        <f t="shared" si="3"/>
        <v/>
      </c>
      <c r="M200" s="11" t="str">
        <f>IF($F$1,IF($L200="","",IFERROR(VLOOKUP($L200,day_data!$A:$I,2,FALSE),0)),NA())</f>
        <v/>
      </c>
      <c r="N200" s="58" t="e">
        <f>IF($F$2,IF($L200="","",IFERROR(VLOOKUP($L200,day_data!$A:$I,3,FALSE),0)),NA())</f>
        <v>#N/A</v>
      </c>
      <c r="O200" s="11" t="e">
        <f>IF($F$3,IF($L200="","",IFERROR(VLOOKUP($L200,day_data!$A:$I,4,FALSE),0)),NA())</f>
        <v>#N/A</v>
      </c>
      <c r="P200" s="58" t="e">
        <f>IF($F$4,IF($L200="","",IFERROR(VLOOKUP($L200,day_data!$A:$I,5,FALSE),0)),NA())</f>
        <v>#N/A</v>
      </c>
      <c r="Q200" s="59" t="e">
        <f>IF($F$8,IF($L200="","",IFERROR(VLOOKUP($L200,day_data!$A:$I,6,FALSE),0)),NA())</f>
        <v>#N/A</v>
      </c>
      <c r="R200" s="11" t="e">
        <f>IF($F$6,IF($L200="","",IFERROR(VLOOKUP($L200,day_data!$A:$I,7,FALSE),0)),NA())</f>
        <v>#N/A</v>
      </c>
      <c r="S200" s="58" t="str">
        <f>IF($F$5,IF($L200="","",IFERROR(VLOOKUP($L200,day_data!$A:$I,8,FALSE),0)),NA())</f>
        <v/>
      </c>
      <c r="T200" s="60" t="e">
        <f>IF($F$7,IF($L200="","",IFERROR(VLOOKUP($L200,day_data!$A:$I,9,FALSE),0)),NA())</f>
        <v>#N/A</v>
      </c>
    </row>
    <row r="201" spans="12:20">
      <c r="L201" s="57" t="str">
        <f t="shared" si="3"/>
        <v/>
      </c>
      <c r="M201" s="11" t="str">
        <f>IF($F$1,IF($L201="","",IFERROR(VLOOKUP($L201,day_data!$A:$I,2,FALSE),0)),NA())</f>
        <v/>
      </c>
      <c r="N201" s="58" t="e">
        <f>IF($F$2,IF($L201="","",IFERROR(VLOOKUP($L201,day_data!$A:$I,3,FALSE),0)),NA())</f>
        <v>#N/A</v>
      </c>
      <c r="O201" s="11" t="e">
        <f>IF($F$3,IF($L201="","",IFERROR(VLOOKUP($L201,day_data!$A:$I,4,FALSE),0)),NA())</f>
        <v>#N/A</v>
      </c>
      <c r="P201" s="58" t="e">
        <f>IF($F$4,IF($L201="","",IFERROR(VLOOKUP($L201,day_data!$A:$I,5,FALSE),0)),NA())</f>
        <v>#N/A</v>
      </c>
      <c r="Q201" s="59" t="e">
        <f>IF($F$8,IF($L201="","",IFERROR(VLOOKUP($L201,day_data!$A:$I,6,FALSE),0)),NA())</f>
        <v>#N/A</v>
      </c>
      <c r="R201" s="11" t="e">
        <f>IF($F$6,IF($L201="","",IFERROR(VLOOKUP($L201,day_data!$A:$I,7,FALSE),0)),NA())</f>
        <v>#N/A</v>
      </c>
      <c r="S201" s="58" t="str">
        <f>IF($F$5,IF($L201="","",IFERROR(VLOOKUP($L201,day_data!$A:$I,8,FALSE),0)),NA())</f>
        <v/>
      </c>
      <c r="T201" s="60" t="e">
        <f>IF($F$7,IF($L201="","",IFERROR(VLOOKUP($L201,day_data!$A:$I,9,FALSE),0)),NA())</f>
        <v>#N/A</v>
      </c>
    </row>
    <row r="202" spans="12:20">
      <c r="L202" s="57" t="str">
        <f t="shared" si="3"/>
        <v/>
      </c>
      <c r="M202" s="11" t="str">
        <f>IF($F$1,IF($L202="","",IFERROR(VLOOKUP($L202,day_data!$A:$I,2,FALSE),0)),NA())</f>
        <v/>
      </c>
      <c r="N202" s="58" t="e">
        <f>IF($F$2,IF($L202="","",IFERROR(VLOOKUP($L202,day_data!$A:$I,3,FALSE),0)),NA())</f>
        <v>#N/A</v>
      </c>
      <c r="O202" s="11" t="e">
        <f>IF($F$3,IF($L202="","",IFERROR(VLOOKUP($L202,day_data!$A:$I,4,FALSE),0)),NA())</f>
        <v>#N/A</v>
      </c>
      <c r="P202" s="58" t="e">
        <f>IF($F$4,IF($L202="","",IFERROR(VLOOKUP($L202,day_data!$A:$I,5,FALSE),0)),NA())</f>
        <v>#N/A</v>
      </c>
      <c r="Q202" s="59" t="e">
        <f>IF($F$8,IF($L202="","",IFERROR(VLOOKUP($L202,day_data!$A:$I,6,FALSE),0)),NA())</f>
        <v>#N/A</v>
      </c>
      <c r="R202" s="11" t="e">
        <f>IF($F$6,IF($L202="","",IFERROR(VLOOKUP($L202,day_data!$A:$I,7,FALSE),0)),NA())</f>
        <v>#N/A</v>
      </c>
      <c r="S202" s="58" t="str">
        <f>IF($F$5,IF($L202="","",IFERROR(VLOOKUP($L202,day_data!$A:$I,8,FALSE),0)),NA())</f>
        <v/>
      </c>
      <c r="T202" s="60" t="e">
        <f>IF($F$7,IF($L202="","",IFERROR(VLOOKUP($L202,day_data!$A:$I,9,FALSE),0)),NA())</f>
        <v>#N/A</v>
      </c>
    </row>
    <row r="203" spans="12:20">
      <c r="L203" s="57" t="str">
        <f t="shared" si="3"/>
        <v/>
      </c>
      <c r="M203" s="11" t="str">
        <f>IF($F$1,IF($L203="","",IFERROR(VLOOKUP($L203,day_data!$A:$I,2,FALSE),0)),NA())</f>
        <v/>
      </c>
      <c r="N203" s="58" t="e">
        <f>IF($F$2,IF($L203="","",IFERROR(VLOOKUP($L203,day_data!$A:$I,3,FALSE),0)),NA())</f>
        <v>#N/A</v>
      </c>
      <c r="O203" s="11" t="e">
        <f>IF($F$3,IF($L203="","",IFERROR(VLOOKUP($L203,day_data!$A:$I,4,FALSE),0)),NA())</f>
        <v>#N/A</v>
      </c>
      <c r="P203" s="58" t="e">
        <f>IF($F$4,IF($L203="","",IFERROR(VLOOKUP($L203,day_data!$A:$I,5,FALSE),0)),NA())</f>
        <v>#N/A</v>
      </c>
      <c r="Q203" s="59" t="e">
        <f>IF($F$8,IF($L203="","",IFERROR(VLOOKUP($L203,day_data!$A:$I,6,FALSE),0)),NA())</f>
        <v>#N/A</v>
      </c>
      <c r="R203" s="11" t="e">
        <f>IF($F$6,IF($L203="","",IFERROR(VLOOKUP($L203,day_data!$A:$I,7,FALSE),0)),NA())</f>
        <v>#N/A</v>
      </c>
      <c r="S203" s="58" t="str">
        <f>IF($F$5,IF($L203="","",IFERROR(VLOOKUP($L203,day_data!$A:$I,8,FALSE),0)),NA())</f>
        <v/>
      </c>
      <c r="T203" s="60" t="e">
        <f>IF($F$7,IF($L203="","",IFERROR(VLOOKUP($L203,day_data!$A:$I,9,FALSE),0)),NA())</f>
        <v>#N/A</v>
      </c>
    </row>
    <row r="204" spans="12:20">
      <c r="L204" s="57" t="str">
        <f t="shared" si="3"/>
        <v/>
      </c>
      <c r="M204" s="11" t="str">
        <f>IF($F$1,IF($L204="","",IFERROR(VLOOKUP($L204,day_data!$A:$I,2,FALSE),0)),NA())</f>
        <v/>
      </c>
      <c r="N204" s="58" t="e">
        <f>IF($F$2,IF($L204="","",IFERROR(VLOOKUP($L204,day_data!$A:$I,3,FALSE),0)),NA())</f>
        <v>#N/A</v>
      </c>
      <c r="O204" s="11" t="e">
        <f>IF($F$3,IF($L204="","",IFERROR(VLOOKUP($L204,day_data!$A:$I,4,FALSE),0)),NA())</f>
        <v>#N/A</v>
      </c>
      <c r="P204" s="58" t="e">
        <f>IF($F$4,IF($L204="","",IFERROR(VLOOKUP($L204,day_data!$A:$I,5,FALSE),0)),NA())</f>
        <v>#N/A</v>
      </c>
      <c r="Q204" s="59" t="e">
        <f>IF($F$8,IF($L204="","",IFERROR(VLOOKUP($L204,day_data!$A:$I,6,FALSE),0)),NA())</f>
        <v>#N/A</v>
      </c>
      <c r="R204" s="11" t="e">
        <f>IF($F$6,IF($L204="","",IFERROR(VLOOKUP($L204,day_data!$A:$I,7,FALSE),0)),NA())</f>
        <v>#N/A</v>
      </c>
      <c r="S204" s="58" t="str">
        <f>IF($F$5,IF($L204="","",IFERROR(VLOOKUP($L204,day_data!$A:$I,8,FALSE),0)),NA())</f>
        <v/>
      </c>
      <c r="T204" s="60" t="e">
        <f>IF($F$7,IF($L204="","",IFERROR(VLOOKUP($L204,day_data!$A:$I,9,FALSE),0)),NA())</f>
        <v>#N/A</v>
      </c>
    </row>
    <row r="205" spans="12:20">
      <c r="L205" s="57" t="str">
        <f t="shared" si="3"/>
        <v/>
      </c>
      <c r="M205" s="11" t="str">
        <f>IF($F$1,IF($L205="","",IFERROR(VLOOKUP($L205,day_data!$A:$I,2,FALSE),0)),NA())</f>
        <v/>
      </c>
      <c r="N205" s="58" t="e">
        <f>IF($F$2,IF($L205="","",IFERROR(VLOOKUP($L205,day_data!$A:$I,3,FALSE),0)),NA())</f>
        <v>#N/A</v>
      </c>
      <c r="O205" s="11" t="e">
        <f>IF($F$3,IF($L205="","",IFERROR(VLOOKUP($L205,day_data!$A:$I,4,FALSE),0)),NA())</f>
        <v>#N/A</v>
      </c>
      <c r="P205" s="58" t="e">
        <f>IF($F$4,IF($L205="","",IFERROR(VLOOKUP($L205,day_data!$A:$I,5,FALSE),0)),NA())</f>
        <v>#N/A</v>
      </c>
      <c r="Q205" s="59" t="e">
        <f>IF($F$8,IF($L205="","",IFERROR(VLOOKUP($L205,day_data!$A:$I,6,FALSE),0)),NA())</f>
        <v>#N/A</v>
      </c>
      <c r="R205" s="11" t="e">
        <f>IF($F$6,IF($L205="","",IFERROR(VLOOKUP($L205,day_data!$A:$I,7,FALSE),0)),NA())</f>
        <v>#N/A</v>
      </c>
      <c r="S205" s="58" t="str">
        <f>IF($F$5,IF($L205="","",IFERROR(VLOOKUP($L205,day_data!$A:$I,8,FALSE),0)),NA())</f>
        <v/>
      </c>
      <c r="T205" s="60" t="e">
        <f>IF($F$7,IF($L205="","",IFERROR(VLOOKUP($L205,day_data!$A:$I,9,FALSE),0)),NA())</f>
        <v>#N/A</v>
      </c>
    </row>
    <row r="206" spans="12:20">
      <c r="L206" s="57" t="str">
        <f t="shared" si="3"/>
        <v/>
      </c>
      <c r="M206" s="11" t="str">
        <f>IF($F$1,IF($L206="","",IFERROR(VLOOKUP($L206,day_data!$A:$I,2,FALSE),0)),NA())</f>
        <v/>
      </c>
      <c r="N206" s="58" t="e">
        <f>IF($F$2,IF($L206="","",IFERROR(VLOOKUP($L206,day_data!$A:$I,3,FALSE),0)),NA())</f>
        <v>#N/A</v>
      </c>
      <c r="O206" s="11" t="e">
        <f>IF($F$3,IF($L206="","",IFERROR(VLOOKUP($L206,day_data!$A:$I,4,FALSE),0)),NA())</f>
        <v>#N/A</v>
      </c>
      <c r="P206" s="58" t="e">
        <f>IF($F$4,IF($L206="","",IFERROR(VLOOKUP($L206,day_data!$A:$I,5,FALSE),0)),NA())</f>
        <v>#N/A</v>
      </c>
      <c r="Q206" s="59" t="e">
        <f>IF($F$8,IF($L206="","",IFERROR(VLOOKUP($L206,day_data!$A:$I,6,FALSE),0)),NA())</f>
        <v>#N/A</v>
      </c>
      <c r="R206" s="11" t="e">
        <f>IF($F$6,IF($L206="","",IFERROR(VLOOKUP($L206,day_data!$A:$I,7,FALSE),0)),NA())</f>
        <v>#N/A</v>
      </c>
      <c r="S206" s="58" t="str">
        <f>IF($F$5,IF($L206="","",IFERROR(VLOOKUP($L206,day_data!$A:$I,8,FALSE),0)),NA())</f>
        <v/>
      </c>
      <c r="T206" s="60" t="e">
        <f>IF($F$7,IF($L206="","",IFERROR(VLOOKUP($L206,day_data!$A:$I,9,FALSE),0)),NA())</f>
        <v>#N/A</v>
      </c>
    </row>
    <row r="207" spans="12:20">
      <c r="L207" s="57" t="str">
        <f t="shared" si="3"/>
        <v/>
      </c>
      <c r="M207" s="11" t="str">
        <f>IF($F$1,IF($L207="","",IFERROR(VLOOKUP($L207,day_data!$A:$I,2,FALSE),0)),NA())</f>
        <v/>
      </c>
      <c r="N207" s="58" t="e">
        <f>IF($F$2,IF($L207="","",IFERROR(VLOOKUP($L207,day_data!$A:$I,3,FALSE),0)),NA())</f>
        <v>#N/A</v>
      </c>
      <c r="O207" s="11" t="e">
        <f>IF($F$3,IF($L207="","",IFERROR(VLOOKUP($L207,day_data!$A:$I,4,FALSE),0)),NA())</f>
        <v>#N/A</v>
      </c>
      <c r="P207" s="58" t="e">
        <f>IF($F$4,IF($L207="","",IFERROR(VLOOKUP($L207,day_data!$A:$I,5,FALSE),0)),NA())</f>
        <v>#N/A</v>
      </c>
      <c r="Q207" s="59" t="e">
        <f>IF($F$8,IF($L207="","",IFERROR(VLOOKUP($L207,day_data!$A:$I,6,FALSE),0)),NA())</f>
        <v>#N/A</v>
      </c>
      <c r="R207" s="11" t="e">
        <f>IF($F$6,IF($L207="","",IFERROR(VLOOKUP($L207,day_data!$A:$I,7,FALSE),0)),NA())</f>
        <v>#N/A</v>
      </c>
      <c r="S207" s="58" t="str">
        <f>IF($F$5,IF($L207="","",IFERROR(VLOOKUP($L207,day_data!$A:$I,8,FALSE),0)),NA())</f>
        <v/>
      </c>
      <c r="T207" s="60" t="e">
        <f>IF($F$7,IF($L207="","",IFERROR(VLOOKUP($L207,day_data!$A:$I,9,FALSE),0)),NA())</f>
        <v>#N/A</v>
      </c>
    </row>
    <row r="208" spans="12:20">
      <c r="L208" s="57" t="str">
        <f t="shared" si="3"/>
        <v/>
      </c>
      <c r="M208" s="11" t="str">
        <f>IF($F$1,IF($L208="","",IFERROR(VLOOKUP($L208,day_data!$A:$I,2,FALSE),0)),NA())</f>
        <v/>
      </c>
      <c r="N208" s="58" t="e">
        <f>IF($F$2,IF($L208="","",IFERROR(VLOOKUP($L208,day_data!$A:$I,3,FALSE),0)),NA())</f>
        <v>#N/A</v>
      </c>
      <c r="O208" s="11" t="e">
        <f>IF($F$3,IF($L208="","",IFERROR(VLOOKUP($L208,day_data!$A:$I,4,FALSE),0)),NA())</f>
        <v>#N/A</v>
      </c>
      <c r="P208" s="58" t="e">
        <f>IF($F$4,IF($L208="","",IFERROR(VLOOKUP($L208,day_data!$A:$I,5,FALSE),0)),NA())</f>
        <v>#N/A</v>
      </c>
      <c r="Q208" s="59" t="e">
        <f>IF($F$8,IF($L208="","",IFERROR(VLOOKUP($L208,day_data!$A:$I,6,FALSE),0)),NA())</f>
        <v>#N/A</v>
      </c>
      <c r="R208" s="11" t="e">
        <f>IF($F$6,IF($L208="","",IFERROR(VLOOKUP($L208,day_data!$A:$I,7,FALSE),0)),NA())</f>
        <v>#N/A</v>
      </c>
      <c r="S208" s="58" t="str">
        <f>IF($F$5,IF($L208="","",IFERROR(VLOOKUP($L208,day_data!$A:$I,8,FALSE),0)),NA())</f>
        <v/>
      </c>
      <c r="T208" s="60" t="e">
        <f>IF($F$7,IF($L208="","",IFERROR(VLOOKUP($L208,day_data!$A:$I,9,FALSE),0)),NA())</f>
        <v>#N/A</v>
      </c>
    </row>
    <row r="209" spans="12:20">
      <c r="L209" s="57" t="str">
        <f t="shared" si="3"/>
        <v/>
      </c>
      <c r="M209" s="11" t="str">
        <f>IF($F$1,IF($L209="","",IFERROR(VLOOKUP($L209,day_data!$A:$I,2,FALSE),0)),NA())</f>
        <v/>
      </c>
      <c r="N209" s="58" t="e">
        <f>IF($F$2,IF($L209="","",IFERROR(VLOOKUP($L209,day_data!$A:$I,3,FALSE),0)),NA())</f>
        <v>#N/A</v>
      </c>
      <c r="O209" s="11" t="e">
        <f>IF($F$3,IF($L209="","",IFERROR(VLOOKUP($L209,day_data!$A:$I,4,FALSE),0)),NA())</f>
        <v>#N/A</v>
      </c>
      <c r="P209" s="58" t="e">
        <f>IF($F$4,IF($L209="","",IFERROR(VLOOKUP($L209,day_data!$A:$I,5,FALSE),0)),NA())</f>
        <v>#N/A</v>
      </c>
      <c r="Q209" s="59" t="e">
        <f>IF($F$8,IF($L209="","",IFERROR(VLOOKUP($L209,day_data!$A:$I,6,FALSE),0)),NA())</f>
        <v>#N/A</v>
      </c>
      <c r="R209" s="11" t="e">
        <f>IF($F$6,IF($L209="","",IFERROR(VLOOKUP($L209,day_data!$A:$I,7,FALSE),0)),NA())</f>
        <v>#N/A</v>
      </c>
      <c r="S209" s="58" t="str">
        <f>IF($F$5,IF($L209="","",IFERROR(VLOOKUP($L209,day_data!$A:$I,8,FALSE),0)),NA())</f>
        <v/>
      </c>
      <c r="T209" s="60" t="e">
        <f>IF($F$7,IF($L209="","",IFERROR(VLOOKUP($L209,day_data!$A:$I,9,FALSE),0)),NA())</f>
        <v>#N/A</v>
      </c>
    </row>
    <row r="210" spans="12:20">
      <c r="L210" s="57" t="str">
        <f t="shared" si="3"/>
        <v/>
      </c>
      <c r="M210" s="11" t="str">
        <f>IF($F$1,IF($L210="","",IFERROR(VLOOKUP($L210,day_data!$A:$I,2,FALSE),0)),NA())</f>
        <v/>
      </c>
      <c r="N210" s="58" t="e">
        <f>IF($F$2,IF($L210="","",IFERROR(VLOOKUP($L210,day_data!$A:$I,3,FALSE),0)),NA())</f>
        <v>#N/A</v>
      </c>
      <c r="O210" s="11" t="e">
        <f>IF($F$3,IF($L210="","",IFERROR(VLOOKUP($L210,day_data!$A:$I,4,FALSE),0)),NA())</f>
        <v>#N/A</v>
      </c>
      <c r="P210" s="58" t="e">
        <f>IF($F$4,IF($L210="","",IFERROR(VLOOKUP($L210,day_data!$A:$I,5,FALSE),0)),NA())</f>
        <v>#N/A</v>
      </c>
      <c r="Q210" s="59" t="e">
        <f>IF($F$8,IF($L210="","",IFERROR(VLOOKUP($L210,day_data!$A:$I,6,FALSE),0)),NA())</f>
        <v>#N/A</v>
      </c>
      <c r="R210" s="11" t="e">
        <f>IF($F$6,IF($L210="","",IFERROR(VLOOKUP($L210,day_data!$A:$I,7,FALSE),0)),NA())</f>
        <v>#N/A</v>
      </c>
      <c r="S210" s="58" t="str">
        <f>IF($F$5,IF($L210="","",IFERROR(VLOOKUP($L210,day_data!$A:$I,8,FALSE),0)),NA())</f>
        <v/>
      </c>
      <c r="T210" s="60" t="e">
        <f>IF($F$7,IF($L210="","",IFERROR(VLOOKUP($L210,day_data!$A:$I,9,FALSE),0)),NA())</f>
        <v>#N/A</v>
      </c>
    </row>
    <row r="211" spans="12:20">
      <c r="L211" s="57" t="str">
        <f t="shared" si="3"/>
        <v/>
      </c>
      <c r="M211" s="11" t="str">
        <f>IF($F$1,IF($L211="","",IFERROR(VLOOKUP($L211,day_data!$A:$I,2,FALSE),0)),NA())</f>
        <v/>
      </c>
      <c r="N211" s="58" t="e">
        <f>IF($F$2,IF($L211="","",IFERROR(VLOOKUP($L211,day_data!$A:$I,3,FALSE),0)),NA())</f>
        <v>#N/A</v>
      </c>
      <c r="O211" s="11" t="e">
        <f>IF($F$3,IF($L211="","",IFERROR(VLOOKUP($L211,day_data!$A:$I,4,FALSE),0)),NA())</f>
        <v>#N/A</v>
      </c>
      <c r="P211" s="58" t="e">
        <f>IF($F$4,IF($L211="","",IFERROR(VLOOKUP($L211,day_data!$A:$I,5,FALSE),0)),NA())</f>
        <v>#N/A</v>
      </c>
      <c r="Q211" s="59" t="e">
        <f>IF($F$8,IF($L211="","",IFERROR(VLOOKUP($L211,day_data!$A:$I,6,FALSE),0)),NA())</f>
        <v>#N/A</v>
      </c>
      <c r="R211" s="11" t="e">
        <f>IF($F$6,IF($L211="","",IFERROR(VLOOKUP($L211,day_data!$A:$I,7,FALSE),0)),NA())</f>
        <v>#N/A</v>
      </c>
      <c r="S211" s="58" t="str">
        <f>IF($F$5,IF($L211="","",IFERROR(VLOOKUP($L211,day_data!$A:$I,8,FALSE),0)),NA())</f>
        <v/>
      </c>
      <c r="T211" s="60" t="e">
        <f>IF($F$7,IF($L211="","",IFERROR(VLOOKUP($L211,day_data!$A:$I,9,FALSE),0)),NA())</f>
        <v>#N/A</v>
      </c>
    </row>
    <row r="212" spans="12:20">
      <c r="L212" s="57" t="str">
        <f t="shared" si="3"/>
        <v/>
      </c>
      <c r="M212" s="11" t="str">
        <f>IF($F$1,IF($L212="","",IFERROR(VLOOKUP($L212,day_data!$A:$I,2,FALSE),0)),NA())</f>
        <v/>
      </c>
      <c r="N212" s="58" t="e">
        <f>IF($F$2,IF($L212="","",IFERROR(VLOOKUP($L212,day_data!$A:$I,3,FALSE),0)),NA())</f>
        <v>#N/A</v>
      </c>
      <c r="O212" s="11" t="e">
        <f>IF($F$3,IF($L212="","",IFERROR(VLOOKUP($L212,day_data!$A:$I,4,FALSE),0)),NA())</f>
        <v>#N/A</v>
      </c>
      <c r="P212" s="58" t="e">
        <f>IF($F$4,IF($L212="","",IFERROR(VLOOKUP($L212,day_data!$A:$I,5,FALSE),0)),NA())</f>
        <v>#N/A</v>
      </c>
      <c r="Q212" s="59" t="e">
        <f>IF($F$8,IF($L212="","",IFERROR(VLOOKUP($L212,day_data!$A:$I,6,FALSE),0)),NA())</f>
        <v>#N/A</v>
      </c>
      <c r="R212" s="11" t="e">
        <f>IF($F$6,IF($L212="","",IFERROR(VLOOKUP($L212,day_data!$A:$I,7,FALSE),0)),NA())</f>
        <v>#N/A</v>
      </c>
      <c r="S212" s="58" t="str">
        <f>IF($F$5,IF($L212="","",IFERROR(VLOOKUP($L212,day_data!$A:$I,8,FALSE),0)),NA())</f>
        <v/>
      </c>
      <c r="T212" s="60" t="e">
        <f>IF($F$7,IF($L212="","",IFERROR(VLOOKUP($L212,day_data!$A:$I,9,FALSE),0)),NA())</f>
        <v>#N/A</v>
      </c>
    </row>
    <row r="213" spans="12:20">
      <c r="L213" s="57" t="str">
        <f t="shared" si="3"/>
        <v/>
      </c>
      <c r="M213" s="11" t="str">
        <f>IF($F$1,IF($L213="","",IFERROR(VLOOKUP($L213,day_data!$A:$I,2,FALSE),0)),NA())</f>
        <v/>
      </c>
      <c r="N213" s="58" t="e">
        <f>IF($F$2,IF($L213="","",IFERROR(VLOOKUP($L213,day_data!$A:$I,3,FALSE),0)),NA())</f>
        <v>#N/A</v>
      </c>
      <c r="O213" s="11" t="e">
        <f>IF($F$3,IF($L213="","",IFERROR(VLOOKUP($L213,day_data!$A:$I,4,FALSE),0)),NA())</f>
        <v>#N/A</v>
      </c>
      <c r="P213" s="58" t="e">
        <f>IF($F$4,IF($L213="","",IFERROR(VLOOKUP($L213,day_data!$A:$I,5,FALSE),0)),NA())</f>
        <v>#N/A</v>
      </c>
      <c r="Q213" s="59" t="e">
        <f>IF($F$8,IF($L213="","",IFERROR(VLOOKUP($L213,day_data!$A:$I,6,FALSE),0)),NA())</f>
        <v>#N/A</v>
      </c>
      <c r="R213" s="11" t="e">
        <f>IF($F$6,IF($L213="","",IFERROR(VLOOKUP($L213,day_data!$A:$I,7,FALSE),0)),NA())</f>
        <v>#N/A</v>
      </c>
      <c r="S213" s="58" t="str">
        <f>IF($F$5,IF($L213="","",IFERROR(VLOOKUP($L213,day_data!$A:$I,8,FALSE),0)),NA())</f>
        <v/>
      </c>
      <c r="T213" s="60" t="e">
        <f>IF($F$7,IF($L213="","",IFERROR(VLOOKUP($L213,day_data!$A:$I,9,FALSE),0)),NA())</f>
        <v>#N/A</v>
      </c>
    </row>
    <row r="214" spans="12:20">
      <c r="L214" s="57" t="str">
        <f t="shared" si="3"/>
        <v/>
      </c>
      <c r="M214" s="11" t="str">
        <f>IF($F$1,IF($L214="","",IFERROR(VLOOKUP($L214,day_data!$A:$I,2,FALSE),0)),NA())</f>
        <v/>
      </c>
      <c r="N214" s="58" t="e">
        <f>IF($F$2,IF($L214="","",IFERROR(VLOOKUP($L214,day_data!$A:$I,3,FALSE),0)),NA())</f>
        <v>#N/A</v>
      </c>
      <c r="O214" s="11" t="e">
        <f>IF($F$3,IF($L214="","",IFERROR(VLOOKUP($L214,day_data!$A:$I,4,FALSE),0)),NA())</f>
        <v>#N/A</v>
      </c>
      <c r="P214" s="58" t="e">
        <f>IF($F$4,IF($L214="","",IFERROR(VLOOKUP($L214,day_data!$A:$I,5,FALSE),0)),NA())</f>
        <v>#N/A</v>
      </c>
      <c r="Q214" s="59" t="e">
        <f>IF($F$8,IF($L214="","",IFERROR(VLOOKUP($L214,day_data!$A:$I,6,FALSE),0)),NA())</f>
        <v>#N/A</v>
      </c>
      <c r="R214" s="11" t="e">
        <f>IF($F$6,IF($L214="","",IFERROR(VLOOKUP($L214,day_data!$A:$I,7,FALSE),0)),NA())</f>
        <v>#N/A</v>
      </c>
      <c r="S214" s="58" t="str">
        <f>IF($F$5,IF($L214="","",IFERROR(VLOOKUP($L214,day_data!$A:$I,8,FALSE),0)),NA())</f>
        <v/>
      </c>
      <c r="T214" s="60" t="e">
        <f>IF($F$7,IF($L214="","",IFERROR(VLOOKUP($L214,day_data!$A:$I,9,FALSE),0)),NA())</f>
        <v>#N/A</v>
      </c>
    </row>
    <row r="215" spans="12:20">
      <c r="L215" s="57" t="str">
        <f t="shared" si="3"/>
        <v/>
      </c>
      <c r="M215" s="11" t="str">
        <f>IF($F$1,IF($L215="","",IFERROR(VLOOKUP($L215,day_data!$A:$I,2,FALSE),0)),NA())</f>
        <v/>
      </c>
      <c r="N215" s="58" t="e">
        <f>IF($F$2,IF($L215="","",IFERROR(VLOOKUP($L215,day_data!$A:$I,3,FALSE),0)),NA())</f>
        <v>#N/A</v>
      </c>
      <c r="O215" s="11" t="e">
        <f>IF($F$3,IF($L215="","",IFERROR(VLOOKUP($L215,day_data!$A:$I,4,FALSE),0)),NA())</f>
        <v>#N/A</v>
      </c>
      <c r="P215" s="58" t="e">
        <f>IF($F$4,IF($L215="","",IFERROR(VLOOKUP($L215,day_data!$A:$I,5,FALSE),0)),NA())</f>
        <v>#N/A</v>
      </c>
      <c r="Q215" s="59" t="e">
        <f>IF($F$8,IF($L215="","",IFERROR(VLOOKUP($L215,day_data!$A:$I,6,FALSE),0)),NA())</f>
        <v>#N/A</v>
      </c>
      <c r="R215" s="11" t="e">
        <f>IF($F$6,IF($L215="","",IFERROR(VLOOKUP($L215,day_data!$A:$I,7,FALSE),0)),NA())</f>
        <v>#N/A</v>
      </c>
      <c r="S215" s="58" t="str">
        <f>IF($F$5,IF($L215="","",IFERROR(VLOOKUP($L215,day_data!$A:$I,8,FALSE),0)),NA())</f>
        <v/>
      </c>
      <c r="T215" s="60" t="e">
        <f>IF($F$7,IF($L215="","",IFERROR(VLOOKUP($L215,day_data!$A:$I,9,FALSE),0)),NA())</f>
        <v>#N/A</v>
      </c>
    </row>
    <row r="216" spans="12:20">
      <c r="L216" s="57" t="str">
        <f t="shared" si="3"/>
        <v/>
      </c>
      <c r="M216" s="11" t="str">
        <f>IF($F$1,IF($L216="","",IFERROR(VLOOKUP($L216,day_data!$A:$I,2,FALSE),0)),NA())</f>
        <v/>
      </c>
      <c r="N216" s="58" t="e">
        <f>IF($F$2,IF($L216="","",IFERROR(VLOOKUP($L216,day_data!$A:$I,3,FALSE),0)),NA())</f>
        <v>#N/A</v>
      </c>
      <c r="O216" s="11" t="e">
        <f>IF($F$3,IF($L216="","",IFERROR(VLOOKUP($L216,day_data!$A:$I,4,FALSE),0)),NA())</f>
        <v>#N/A</v>
      </c>
      <c r="P216" s="58" t="e">
        <f>IF($F$4,IF($L216="","",IFERROR(VLOOKUP($L216,day_data!$A:$I,5,FALSE),0)),NA())</f>
        <v>#N/A</v>
      </c>
      <c r="Q216" s="59" t="e">
        <f>IF($F$8,IF($L216="","",IFERROR(VLOOKUP($L216,day_data!$A:$I,6,FALSE),0)),NA())</f>
        <v>#N/A</v>
      </c>
      <c r="R216" s="11" t="e">
        <f>IF($F$6,IF($L216="","",IFERROR(VLOOKUP($L216,day_data!$A:$I,7,FALSE),0)),NA())</f>
        <v>#N/A</v>
      </c>
      <c r="S216" s="58" t="str">
        <f>IF($F$5,IF($L216="","",IFERROR(VLOOKUP($L216,day_data!$A:$I,8,FALSE),0)),NA())</f>
        <v/>
      </c>
      <c r="T216" s="60" t="e">
        <f>IF($F$7,IF($L216="","",IFERROR(VLOOKUP($L216,day_data!$A:$I,9,FALSE),0)),NA())</f>
        <v>#N/A</v>
      </c>
    </row>
    <row r="217" spans="12:20">
      <c r="L217" s="57" t="str">
        <f t="shared" si="3"/>
        <v/>
      </c>
      <c r="M217" s="11" t="str">
        <f>IF($F$1,IF($L217="","",IFERROR(VLOOKUP($L217,day_data!$A:$I,2,FALSE),0)),NA())</f>
        <v/>
      </c>
      <c r="N217" s="58" t="e">
        <f>IF($F$2,IF($L217="","",IFERROR(VLOOKUP($L217,day_data!$A:$I,3,FALSE),0)),NA())</f>
        <v>#N/A</v>
      </c>
      <c r="O217" s="11" t="e">
        <f>IF($F$3,IF($L217="","",IFERROR(VLOOKUP($L217,day_data!$A:$I,4,FALSE),0)),NA())</f>
        <v>#N/A</v>
      </c>
      <c r="P217" s="58" t="e">
        <f>IF($F$4,IF($L217="","",IFERROR(VLOOKUP($L217,day_data!$A:$I,5,FALSE),0)),NA())</f>
        <v>#N/A</v>
      </c>
      <c r="Q217" s="59" t="e">
        <f>IF($F$8,IF($L217="","",IFERROR(VLOOKUP($L217,day_data!$A:$I,6,FALSE),0)),NA())</f>
        <v>#N/A</v>
      </c>
      <c r="R217" s="11" t="e">
        <f>IF($F$6,IF($L217="","",IFERROR(VLOOKUP($L217,day_data!$A:$I,7,FALSE),0)),NA())</f>
        <v>#N/A</v>
      </c>
      <c r="S217" s="58" t="str">
        <f>IF($F$5,IF($L217="","",IFERROR(VLOOKUP($L217,day_data!$A:$I,8,FALSE),0)),NA())</f>
        <v/>
      </c>
      <c r="T217" s="60" t="e">
        <f>IF($F$7,IF($L217="","",IFERROR(VLOOKUP($L217,day_data!$A:$I,9,FALSE),0)),NA())</f>
        <v>#N/A</v>
      </c>
    </row>
    <row r="218" spans="12:20">
      <c r="L218" s="57" t="str">
        <f t="shared" si="3"/>
        <v/>
      </c>
      <c r="M218" s="11" t="str">
        <f>IF($F$1,IF($L218="","",IFERROR(VLOOKUP($L218,day_data!$A:$I,2,FALSE),0)),NA())</f>
        <v/>
      </c>
      <c r="N218" s="58" t="e">
        <f>IF($F$2,IF($L218="","",IFERROR(VLOOKUP($L218,day_data!$A:$I,3,FALSE),0)),NA())</f>
        <v>#N/A</v>
      </c>
      <c r="O218" s="11" t="e">
        <f>IF($F$3,IF($L218="","",IFERROR(VLOOKUP($L218,day_data!$A:$I,4,FALSE),0)),NA())</f>
        <v>#N/A</v>
      </c>
      <c r="P218" s="58" t="e">
        <f>IF($F$4,IF($L218="","",IFERROR(VLOOKUP($L218,day_data!$A:$I,5,FALSE),0)),NA())</f>
        <v>#N/A</v>
      </c>
      <c r="Q218" s="59" t="e">
        <f>IF($F$8,IF($L218="","",IFERROR(VLOOKUP($L218,day_data!$A:$I,6,FALSE),0)),NA())</f>
        <v>#N/A</v>
      </c>
      <c r="R218" s="11" t="e">
        <f>IF($F$6,IF($L218="","",IFERROR(VLOOKUP($L218,day_data!$A:$I,7,FALSE),0)),NA())</f>
        <v>#N/A</v>
      </c>
      <c r="S218" s="58" t="str">
        <f>IF($F$5,IF($L218="","",IFERROR(VLOOKUP($L218,day_data!$A:$I,8,FALSE),0)),NA())</f>
        <v/>
      </c>
      <c r="T218" s="60" t="e">
        <f>IF($F$7,IF($L218="","",IFERROR(VLOOKUP($L218,day_data!$A:$I,9,FALSE),0)),NA())</f>
        <v>#N/A</v>
      </c>
    </row>
    <row r="219" spans="12:20">
      <c r="L219" s="57" t="str">
        <f t="shared" si="3"/>
        <v/>
      </c>
      <c r="M219" s="11" t="str">
        <f>IF($F$1,IF($L219="","",IFERROR(VLOOKUP($L219,day_data!$A:$I,2,FALSE),0)),NA())</f>
        <v/>
      </c>
      <c r="N219" s="58" t="e">
        <f>IF($F$2,IF($L219="","",IFERROR(VLOOKUP($L219,day_data!$A:$I,3,FALSE),0)),NA())</f>
        <v>#N/A</v>
      </c>
      <c r="O219" s="11" t="e">
        <f>IF($F$3,IF($L219="","",IFERROR(VLOOKUP($L219,day_data!$A:$I,4,FALSE),0)),NA())</f>
        <v>#N/A</v>
      </c>
      <c r="P219" s="58" t="e">
        <f>IF($F$4,IF($L219="","",IFERROR(VLOOKUP($L219,day_data!$A:$I,5,FALSE),0)),NA())</f>
        <v>#N/A</v>
      </c>
      <c r="Q219" s="59" t="e">
        <f>IF($F$8,IF($L219="","",IFERROR(VLOOKUP($L219,day_data!$A:$I,6,FALSE),0)),NA())</f>
        <v>#N/A</v>
      </c>
      <c r="R219" s="11" t="e">
        <f>IF($F$6,IF($L219="","",IFERROR(VLOOKUP($L219,day_data!$A:$I,7,FALSE),0)),NA())</f>
        <v>#N/A</v>
      </c>
      <c r="S219" s="58" t="str">
        <f>IF($F$5,IF($L219="","",IFERROR(VLOOKUP($L219,day_data!$A:$I,8,FALSE),0)),NA())</f>
        <v/>
      </c>
      <c r="T219" s="60" t="e">
        <f>IF($F$7,IF($L219="","",IFERROR(VLOOKUP($L219,day_data!$A:$I,9,FALSE),0)),NA())</f>
        <v>#N/A</v>
      </c>
    </row>
    <row r="220" spans="12:20">
      <c r="L220" s="57" t="str">
        <f t="shared" si="3"/>
        <v/>
      </c>
      <c r="M220" s="11" t="str">
        <f>IF($F$1,IF($L220="","",IFERROR(VLOOKUP($L220,day_data!$A:$I,2,FALSE),0)),NA())</f>
        <v/>
      </c>
      <c r="N220" s="58" t="e">
        <f>IF($F$2,IF($L220="","",IFERROR(VLOOKUP($L220,day_data!$A:$I,3,FALSE),0)),NA())</f>
        <v>#N/A</v>
      </c>
      <c r="O220" s="11" t="e">
        <f>IF($F$3,IF($L220="","",IFERROR(VLOOKUP($L220,day_data!$A:$I,4,FALSE),0)),NA())</f>
        <v>#N/A</v>
      </c>
      <c r="P220" s="58" t="e">
        <f>IF($F$4,IF($L220="","",IFERROR(VLOOKUP($L220,day_data!$A:$I,5,FALSE),0)),NA())</f>
        <v>#N/A</v>
      </c>
      <c r="Q220" s="59" t="e">
        <f>IF($F$8,IF($L220="","",IFERROR(VLOOKUP($L220,day_data!$A:$I,6,FALSE),0)),NA())</f>
        <v>#N/A</v>
      </c>
      <c r="R220" s="11" t="e">
        <f>IF($F$6,IF($L220="","",IFERROR(VLOOKUP($L220,day_data!$A:$I,7,FALSE),0)),NA())</f>
        <v>#N/A</v>
      </c>
      <c r="S220" s="58" t="str">
        <f>IF($F$5,IF($L220="","",IFERROR(VLOOKUP($L220,day_data!$A:$I,8,FALSE),0)),NA())</f>
        <v/>
      </c>
      <c r="T220" s="60" t="e">
        <f>IF($F$7,IF($L220="","",IFERROR(VLOOKUP($L220,day_data!$A:$I,9,FALSE),0)),NA())</f>
        <v>#N/A</v>
      </c>
    </row>
    <row r="221" spans="12:20">
      <c r="L221" s="57" t="str">
        <f t="shared" si="3"/>
        <v/>
      </c>
      <c r="M221" s="11" t="str">
        <f>IF($F$1,IF($L221="","",IFERROR(VLOOKUP($L221,day_data!$A:$I,2,FALSE),0)),NA())</f>
        <v/>
      </c>
      <c r="N221" s="58" t="e">
        <f>IF($F$2,IF($L221="","",IFERROR(VLOOKUP($L221,day_data!$A:$I,3,FALSE),0)),NA())</f>
        <v>#N/A</v>
      </c>
      <c r="O221" s="11" t="e">
        <f>IF($F$3,IF($L221="","",IFERROR(VLOOKUP($L221,day_data!$A:$I,4,FALSE),0)),NA())</f>
        <v>#N/A</v>
      </c>
      <c r="P221" s="58" t="e">
        <f>IF($F$4,IF($L221="","",IFERROR(VLOOKUP($L221,day_data!$A:$I,5,FALSE),0)),NA())</f>
        <v>#N/A</v>
      </c>
      <c r="Q221" s="59" t="e">
        <f>IF($F$8,IF($L221="","",IFERROR(VLOOKUP($L221,day_data!$A:$I,6,FALSE),0)),NA())</f>
        <v>#N/A</v>
      </c>
      <c r="R221" s="11" t="e">
        <f>IF($F$6,IF($L221="","",IFERROR(VLOOKUP($L221,day_data!$A:$I,7,FALSE),0)),NA())</f>
        <v>#N/A</v>
      </c>
      <c r="S221" s="58" t="str">
        <f>IF($F$5,IF($L221="","",IFERROR(VLOOKUP($L221,day_data!$A:$I,8,FALSE),0)),NA())</f>
        <v/>
      </c>
      <c r="T221" s="60" t="e">
        <f>IF($F$7,IF($L221="","",IFERROR(VLOOKUP($L221,day_data!$A:$I,9,FALSE),0)),NA())</f>
        <v>#N/A</v>
      </c>
    </row>
    <row r="222" spans="12:20">
      <c r="L222" s="57" t="str">
        <f t="shared" si="3"/>
        <v/>
      </c>
      <c r="M222" s="11" t="str">
        <f>IF($F$1,IF($L222="","",IFERROR(VLOOKUP($L222,day_data!$A:$I,2,FALSE),0)),NA())</f>
        <v/>
      </c>
      <c r="N222" s="58" t="e">
        <f>IF($F$2,IF($L222="","",IFERROR(VLOOKUP($L222,day_data!$A:$I,3,FALSE),0)),NA())</f>
        <v>#N/A</v>
      </c>
      <c r="O222" s="11" t="e">
        <f>IF($F$3,IF($L222="","",IFERROR(VLOOKUP($L222,day_data!$A:$I,4,FALSE),0)),NA())</f>
        <v>#N/A</v>
      </c>
      <c r="P222" s="58" t="e">
        <f>IF($F$4,IF($L222="","",IFERROR(VLOOKUP($L222,day_data!$A:$I,5,FALSE),0)),NA())</f>
        <v>#N/A</v>
      </c>
      <c r="Q222" s="59" t="e">
        <f>IF($F$8,IF($L222="","",IFERROR(VLOOKUP($L222,day_data!$A:$I,6,FALSE),0)),NA())</f>
        <v>#N/A</v>
      </c>
      <c r="R222" s="11" t="e">
        <f>IF($F$6,IF($L222="","",IFERROR(VLOOKUP($L222,day_data!$A:$I,7,FALSE),0)),NA())</f>
        <v>#N/A</v>
      </c>
      <c r="S222" s="58" t="str">
        <f>IF($F$5,IF($L222="","",IFERROR(VLOOKUP($L222,day_data!$A:$I,8,FALSE),0)),NA())</f>
        <v/>
      </c>
      <c r="T222" s="60" t="e">
        <f>IF($F$7,IF($L222="","",IFERROR(VLOOKUP($L222,day_data!$A:$I,9,FALSE),0)),NA())</f>
        <v>#N/A</v>
      </c>
    </row>
    <row r="223" spans="12:20">
      <c r="L223" s="57" t="str">
        <f t="shared" si="3"/>
        <v/>
      </c>
      <c r="M223" s="11" t="str">
        <f>IF($F$1,IF($L223="","",IFERROR(VLOOKUP($L223,day_data!$A:$I,2,FALSE),0)),NA())</f>
        <v/>
      </c>
      <c r="N223" s="58" t="e">
        <f>IF($F$2,IF($L223="","",IFERROR(VLOOKUP($L223,day_data!$A:$I,3,FALSE),0)),NA())</f>
        <v>#N/A</v>
      </c>
      <c r="O223" s="11" t="e">
        <f>IF($F$3,IF($L223="","",IFERROR(VLOOKUP($L223,day_data!$A:$I,4,FALSE),0)),NA())</f>
        <v>#N/A</v>
      </c>
      <c r="P223" s="58" t="e">
        <f>IF($F$4,IF($L223="","",IFERROR(VLOOKUP($L223,day_data!$A:$I,5,FALSE),0)),NA())</f>
        <v>#N/A</v>
      </c>
      <c r="Q223" s="59" t="e">
        <f>IF($F$8,IF($L223="","",IFERROR(VLOOKUP($L223,day_data!$A:$I,6,FALSE),0)),NA())</f>
        <v>#N/A</v>
      </c>
      <c r="R223" s="11" t="e">
        <f>IF($F$6,IF($L223="","",IFERROR(VLOOKUP($L223,day_data!$A:$I,7,FALSE),0)),NA())</f>
        <v>#N/A</v>
      </c>
      <c r="S223" s="58" t="str">
        <f>IF($F$5,IF($L223="","",IFERROR(VLOOKUP($L223,day_data!$A:$I,8,FALSE),0)),NA())</f>
        <v/>
      </c>
      <c r="T223" s="60" t="e">
        <f>IF($F$7,IF($L223="","",IFERROR(VLOOKUP($L223,day_data!$A:$I,9,FALSE),0)),NA())</f>
        <v>#N/A</v>
      </c>
    </row>
    <row r="224" spans="12:20">
      <c r="L224" s="57" t="str">
        <f t="shared" si="3"/>
        <v/>
      </c>
      <c r="M224" s="11" t="str">
        <f>IF($F$1,IF($L224="","",IFERROR(VLOOKUP($L224,day_data!$A:$I,2,FALSE),0)),NA())</f>
        <v/>
      </c>
      <c r="N224" s="58" t="e">
        <f>IF($F$2,IF($L224="","",IFERROR(VLOOKUP($L224,day_data!$A:$I,3,FALSE),0)),NA())</f>
        <v>#N/A</v>
      </c>
      <c r="O224" s="11" t="e">
        <f>IF($F$3,IF($L224="","",IFERROR(VLOOKUP($L224,day_data!$A:$I,4,FALSE),0)),NA())</f>
        <v>#N/A</v>
      </c>
      <c r="P224" s="58" t="e">
        <f>IF($F$4,IF($L224="","",IFERROR(VLOOKUP($L224,day_data!$A:$I,5,FALSE),0)),NA())</f>
        <v>#N/A</v>
      </c>
      <c r="Q224" s="59" t="e">
        <f>IF($F$8,IF($L224="","",IFERROR(VLOOKUP($L224,day_data!$A:$I,6,FALSE),0)),NA())</f>
        <v>#N/A</v>
      </c>
      <c r="R224" s="11" t="e">
        <f>IF($F$6,IF($L224="","",IFERROR(VLOOKUP($L224,day_data!$A:$I,7,FALSE),0)),NA())</f>
        <v>#N/A</v>
      </c>
      <c r="S224" s="58" t="str">
        <f>IF($F$5,IF($L224="","",IFERROR(VLOOKUP($L224,day_data!$A:$I,8,FALSE),0)),NA())</f>
        <v/>
      </c>
      <c r="T224" s="60" t="e">
        <f>IF($F$7,IF($L224="","",IFERROR(VLOOKUP($L224,day_data!$A:$I,9,FALSE),0)),NA())</f>
        <v>#N/A</v>
      </c>
    </row>
    <row r="225" spans="12:20">
      <c r="L225" s="57" t="str">
        <f t="shared" si="3"/>
        <v/>
      </c>
      <c r="M225" s="11" t="str">
        <f>IF($F$1,IF($L225="","",IFERROR(VLOOKUP($L225,day_data!$A:$I,2,FALSE),0)),NA())</f>
        <v/>
      </c>
      <c r="N225" s="58" t="e">
        <f>IF($F$2,IF($L225="","",IFERROR(VLOOKUP($L225,day_data!$A:$I,3,FALSE),0)),NA())</f>
        <v>#N/A</v>
      </c>
      <c r="O225" s="11" t="e">
        <f>IF($F$3,IF($L225="","",IFERROR(VLOOKUP($L225,day_data!$A:$I,4,FALSE),0)),NA())</f>
        <v>#N/A</v>
      </c>
      <c r="P225" s="58" t="e">
        <f>IF($F$4,IF($L225="","",IFERROR(VLOOKUP($L225,day_data!$A:$I,5,FALSE),0)),NA())</f>
        <v>#N/A</v>
      </c>
      <c r="Q225" s="59" t="e">
        <f>IF($F$8,IF($L225="","",IFERROR(VLOOKUP($L225,day_data!$A:$I,6,FALSE),0)),NA())</f>
        <v>#N/A</v>
      </c>
      <c r="R225" s="11" t="e">
        <f>IF($F$6,IF($L225="","",IFERROR(VLOOKUP($L225,day_data!$A:$I,7,FALSE),0)),NA())</f>
        <v>#N/A</v>
      </c>
      <c r="S225" s="58" t="str">
        <f>IF($F$5,IF($L225="","",IFERROR(VLOOKUP($L225,day_data!$A:$I,8,FALSE),0)),NA())</f>
        <v/>
      </c>
      <c r="T225" s="60" t="e">
        <f>IF($F$7,IF($L225="","",IFERROR(VLOOKUP($L225,day_data!$A:$I,9,FALSE),0)),NA())</f>
        <v>#N/A</v>
      </c>
    </row>
    <row r="226" spans="12:20">
      <c r="L226" s="57" t="str">
        <f t="shared" si="3"/>
        <v/>
      </c>
      <c r="M226" s="11" t="str">
        <f>IF($F$1,IF($L226="","",IFERROR(VLOOKUP($L226,day_data!$A:$I,2,FALSE),0)),NA())</f>
        <v/>
      </c>
      <c r="N226" s="58" t="e">
        <f>IF($F$2,IF($L226="","",IFERROR(VLOOKUP($L226,day_data!$A:$I,3,FALSE),0)),NA())</f>
        <v>#N/A</v>
      </c>
      <c r="O226" s="11" t="e">
        <f>IF($F$3,IF($L226="","",IFERROR(VLOOKUP($L226,day_data!$A:$I,4,FALSE),0)),NA())</f>
        <v>#N/A</v>
      </c>
      <c r="P226" s="58" t="e">
        <f>IF($F$4,IF($L226="","",IFERROR(VLOOKUP($L226,day_data!$A:$I,5,FALSE),0)),NA())</f>
        <v>#N/A</v>
      </c>
      <c r="Q226" s="59" t="e">
        <f>IF($F$8,IF($L226="","",IFERROR(VLOOKUP($L226,day_data!$A:$I,6,FALSE),0)),NA())</f>
        <v>#N/A</v>
      </c>
      <c r="R226" s="11" t="e">
        <f>IF($F$6,IF($L226="","",IFERROR(VLOOKUP($L226,day_data!$A:$I,7,FALSE),0)),NA())</f>
        <v>#N/A</v>
      </c>
      <c r="S226" s="58" t="str">
        <f>IF($F$5,IF($L226="","",IFERROR(VLOOKUP($L226,day_data!$A:$I,8,FALSE),0)),NA())</f>
        <v/>
      </c>
      <c r="T226" s="60" t="e">
        <f>IF($F$7,IF($L226="","",IFERROR(VLOOKUP($L226,day_data!$A:$I,9,FALSE),0)),NA())</f>
        <v>#N/A</v>
      </c>
    </row>
    <row r="227" spans="12:20">
      <c r="L227" s="57" t="str">
        <f t="shared" si="3"/>
        <v/>
      </c>
      <c r="M227" s="11" t="str">
        <f>IF($F$1,IF($L227="","",IFERROR(VLOOKUP($L227,day_data!$A:$I,2,FALSE),0)),NA())</f>
        <v/>
      </c>
      <c r="N227" s="58" t="e">
        <f>IF($F$2,IF($L227="","",IFERROR(VLOOKUP($L227,day_data!$A:$I,3,FALSE),0)),NA())</f>
        <v>#N/A</v>
      </c>
      <c r="O227" s="11" t="e">
        <f>IF($F$3,IF($L227="","",IFERROR(VLOOKUP($L227,day_data!$A:$I,4,FALSE),0)),NA())</f>
        <v>#N/A</v>
      </c>
      <c r="P227" s="58" t="e">
        <f>IF($F$4,IF($L227="","",IFERROR(VLOOKUP($L227,day_data!$A:$I,5,FALSE),0)),NA())</f>
        <v>#N/A</v>
      </c>
      <c r="Q227" s="59" t="e">
        <f>IF($F$8,IF($L227="","",IFERROR(VLOOKUP($L227,day_data!$A:$I,6,FALSE),0)),NA())</f>
        <v>#N/A</v>
      </c>
      <c r="R227" s="11" t="e">
        <f>IF($F$6,IF($L227="","",IFERROR(VLOOKUP($L227,day_data!$A:$I,7,FALSE),0)),NA())</f>
        <v>#N/A</v>
      </c>
      <c r="S227" s="58" t="str">
        <f>IF($F$5,IF($L227="","",IFERROR(VLOOKUP($L227,day_data!$A:$I,8,FALSE),0)),NA())</f>
        <v/>
      </c>
      <c r="T227" s="60" t="e">
        <f>IF($F$7,IF($L227="","",IFERROR(VLOOKUP($L227,day_data!$A:$I,9,FALSE),0)),NA())</f>
        <v>#N/A</v>
      </c>
    </row>
    <row r="228" spans="12:20">
      <c r="L228" s="57" t="str">
        <f t="shared" si="3"/>
        <v/>
      </c>
      <c r="M228" s="11" t="str">
        <f>IF($F$1,IF($L228="","",IFERROR(VLOOKUP($L228,day_data!$A:$I,2,FALSE),0)),NA())</f>
        <v/>
      </c>
      <c r="N228" s="58" t="e">
        <f>IF($F$2,IF($L228="","",IFERROR(VLOOKUP($L228,day_data!$A:$I,3,FALSE),0)),NA())</f>
        <v>#N/A</v>
      </c>
      <c r="O228" s="11" t="e">
        <f>IF($F$3,IF($L228="","",IFERROR(VLOOKUP($L228,day_data!$A:$I,4,FALSE),0)),NA())</f>
        <v>#N/A</v>
      </c>
      <c r="P228" s="58" t="e">
        <f>IF($F$4,IF($L228="","",IFERROR(VLOOKUP($L228,day_data!$A:$I,5,FALSE),0)),NA())</f>
        <v>#N/A</v>
      </c>
      <c r="Q228" s="59" t="e">
        <f>IF($F$8,IF($L228="","",IFERROR(VLOOKUP($L228,day_data!$A:$I,6,FALSE),0)),NA())</f>
        <v>#N/A</v>
      </c>
      <c r="R228" s="11" t="e">
        <f>IF($F$6,IF($L228="","",IFERROR(VLOOKUP($L228,day_data!$A:$I,7,FALSE),0)),NA())</f>
        <v>#N/A</v>
      </c>
      <c r="S228" s="58" t="str">
        <f>IF($F$5,IF($L228="","",IFERROR(VLOOKUP($L228,day_data!$A:$I,8,FALSE),0)),NA())</f>
        <v/>
      </c>
      <c r="T228" s="60" t="e">
        <f>IF($F$7,IF($L228="","",IFERROR(VLOOKUP($L228,day_data!$A:$I,9,FALSE),0)),NA())</f>
        <v>#N/A</v>
      </c>
    </row>
    <row r="229" spans="12:20">
      <c r="L229" s="57" t="str">
        <f t="shared" si="3"/>
        <v/>
      </c>
      <c r="M229" s="11" t="str">
        <f>IF($F$1,IF($L229="","",IFERROR(VLOOKUP($L229,day_data!$A:$I,2,FALSE),0)),NA())</f>
        <v/>
      </c>
      <c r="N229" s="58" t="e">
        <f>IF($F$2,IF($L229="","",IFERROR(VLOOKUP($L229,day_data!$A:$I,3,FALSE),0)),NA())</f>
        <v>#N/A</v>
      </c>
      <c r="O229" s="11" t="e">
        <f>IF($F$3,IF($L229="","",IFERROR(VLOOKUP($L229,day_data!$A:$I,4,FALSE),0)),NA())</f>
        <v>#N/A</v>
      </c>
      <c r="P229" s="58" t="e">
        <f>IF($F$4,IF($L229="","",IFERROR(VLOOKUP($L229,day_data!$A:$I,5,FALSE),0)),NA())</f>
        <v>#N/A</v>
      </c>
      <c r="Q229" s="59" t="e">
        <f>IF($F$8,IF($L229="","",IFERROR(VLOOKUP($L229,day_data!$A:$I,6,FALSE),0)),NA())</f>
        <v>#N/A</v>
      </c>
      <c r="R229" s="11" t="e">
        <f>IF($F$6,IF($L229="","",IFERROR(VLOOKUP($L229,day_data!$A:$I,7,FALSE),0)),NA())</f>
        <v>#N/A</v>
      </c>
      <c r="S229" s="58" t="str">
        <f>IF($F$5,IF($L229="","",IFERROR(VLOOKUP($L229,day_data!$A:$I,8,FALSE),0)),NA())</f>
        <v/>
      </c>
      <c r="T229" s="60" t="e">
        <f>IF($F$7,IF($L229="","",IFERROR(VLOOKUP($L229,day_data!$A:$I,9,FALSE),0)),NA())</f>
        <v>#N/A</v>
      </c>
    </row>
    <row r="230" spans="12:20">
      <c r="L230" s="57" t="str">
        <f t="shared" si="3"/>
        <v/>
      </c>
      <c r="M230" s="11" t="str">
        <f>IF($F$1,IF($L230="","",IFERROR(VLOOKUP($L230,day_data!$A:$I,2,FALSE),0)),NA())</f>
        <v/>
      </c>
      <c r="N230" s="58" t="e">
        <f>IF($F$2,IF($L230="","",IFERROR(VLOOKUP($L230,day_data!$A:$I,3,FALSE),0)),NA())</f>
        <v>#N/A</v>
      </c>
      <c r="O230" s="11" t="e">
        <f>IF($F$3,IF($L230="","",IFERROR(VLOOKUP($L230,day_data!$A:$I,4,FALSE),0)),NA())</f>
        <v>#N/A</v>
      </c>
      <c r="P230" s="58" t="e">
        <f>IF($F$4,IF($L230="","",IFERROR(VLOOKUP($L230,day_data!$A:$I,5,FALSE),0)),NA())</f>
        <v>#N/A</v>
      </c>
      <c r="Q230" s="59" t="e">
        <f>IF($F$8,IF($L230="","",IFERROR(VLOOKUP($L230,day_data!$A:$I,6,FALSE),0)),NA())</f>
        <v>#N/A</v>
      </c>
      <c r="R230" s="11" t="e">
        <f>IF($F$6,IF($L230="","",IFERROR(VLOOKUP($L230,day_data!$A:$I,7,FALSE),0)),NA())</f>
        <v>#N/A</v>
      </c>
      <c r="S230" s="58" t="str">
        <f>IF($F$5,IF($L230="","",IFERROR(VLOOKUP($L230,day_data!$A:$I,8,FALSE),0)),NA())</f>
        <v/>
      </c>
      <c r="T230" s="60" t="e">
        <f>IF($F$7,IF($L230="","",IFERROR(VLOOKUP($L230,day_data!$A:$I,9,FALSE),0)),NA())</f>
        <v>#N/A</v>
      </c>
    </row>
    <row r="231" spans="12:20">
      <c r="L231" s="57" t="str">
        <f t="shared" si="3"/>
        <v/>
      </c>
      <c r="M231" s="11" t="str">
        <f>IF($F$1,IF($L231="","",IFERROR(VLOOKUP($L231,day_data!$A:$I,2,FALSE),0)),NA())</f>
        <v/>
      </c>
      <c r="N231" s="58" t="e">
        <f>IF($F$2,IF($L231="","",IFERROR(VLOOKUP($L231,day_data!$A:$I,3,FALSE),0)),NA())</f>
        <v>#N/A</v>
      </c>
      <c r="O231" s="11" t="e">
        <f>IF($F$3,IF($L231="","",IFERROR(VLOOKUP($L231,day_data!$A:$I,4,FALSE),0)),NA())</f>
        <v>#N/A</v>
      </c>
      <c r="P231" s="58" t="e">
        <f>IF($F$4,IF($L231="","",IFERROR(VLOOKUP($L231,day_data!$A:$I,5,FALSE),0)),NA())</f>
        <v>#N/A</v>
      </c>
      <c r="Q231" s="59" t="e">
        <f>IF($F$8,IF($L231="","",IFERROR(VLOOKUP($L231,day_data!$A:$I,6,FALSE),0)),NA())</f>
        <v>#N/A</v>
      </c>
      <c r="R231" s="11" t="e">
        <f>IF($F$6,IF($L231="","",IFERROR(VLOOKUP($L231,day_data!$A:$I,7,FALSE),0)),NA())</f>
        <v>#N/A</v>
      </c>
      <c r="S231" s="58" t="str">
        <f>IF($F$5,IF($L231="","",IFERROR(VLOOKUP($L231,day_data!$A:$I,8,FALSE),0)),NA())</f>
        <v/>
      </c>
      <c r="T231" s="60" t="e">
        <f>IF($F$7,IF($L231="","",IFERROR(VLOOKUP($L231,day_data!$A:$I,9,FALSE),0)),NA())</f>
        <v>#N/A</v>
      </c>
    </row>
    <row r="232" spans="12:20">
      <c r="L232" s="57" t="str">
        <f t="shared" si="3"/>
        <v/>
      </c>
      <c r="M232" s="11" t="str">
        <f>IF($F$1,IF($L232="","",IFERROR(VLOOKUP($L232,day_data!$A:$I,2,FALSE),0)),NA())</f>
        <v/>
      </c>
      <c r="N232" s="58" t="e">
        <f>IF($F$2,IF($L232="","",IFERROR(VLOOKUP($L232,day_data!$A:$I,3,FALSE),0)),NA())</f>
        <v>#N/A</v>
      </c>
      <c r="O232" s="11" t="e">
        <f>IF($F$3,IF($L232="","",IFERROR(VLOOKUP($L232,day_data!$A:$I,4,FALSE),0)),NA())</f>
        <v>#N/A</v>
      </c>
      <c r="P232" s="58" t="e">
        <f>IF($F$4,IF($L232="","",IFERROR(VLOOKUP($L232,day_data!$A:$I,5,FALSE),0)),NA())</f>
        <v>#N/A</v>
      </c>
      <c r="Q232" s="59" t="e">
        <f>IF($F$8,IF($L232="","",IFERROR(VLOOKUP($L232,day_data!$A:$I,6,FALSE),0)),NA())</f>
        <v>#N/A</v>
      </c>
      <c r="R232" s="11" t="e">
        <f>IF($F$6,IF($L232="","",IFERROR(VLOOKUP($L232,day_data!$A:$I,7,FALSE),0)),NA())</f>
        <v>#N/A</v>
      </c>
      <c r="S232" s="58" t="str">
        <f>IF($F$5,IF($L232="","",IFERROR(VLOOKUP($L232,day_data!$A:$I,8,FALSE),0)),NA())</f>
        <v/>
      </c>
      <c r="T232" s="60" t="e">
        <f>IF($F$7,IF($L232="","",IFERROR(VLOOKUP($L232,day_data!$A:$I,9,FALSE),0)),NA())</f>
        <v>#N/A</v>
      </c>
    </row>
    <row r="233" spans="12:20">
      <c r="L233" s="57" t="str">
        <f t="shared" si="3"/>
        <v/>
      </c>
      <c r="M233" s="11" t="str">
        <f>IF($F$1,IF($L233="","",IFERROR(VLOOKUP($L233,day_data!$A:$I,2,FALSE),0)),NA())</f>
        <v/>
      </c>
      <c r="N233" s="58" t="e">
        <f>IF($F$2,IF($L233="","",IFERROR(VLOOKUP($L233,day_data!$A:$I,3,FALSE),0)),NA())</f>
        <v>#N/A</v>
      </c>
      <c r="O233" s="11" t="e">
        <f>IF($F$3,IF($L233="","",IFERROR(VLOOKUP($L233,day_data!$A:$I,4,FALSE),0)),NA())</f>
        <v>#N/A</v>
      </c>
      <c r="P233" s="58" t="e">
        <f>IF($F$4,IF($L233="","",IFERROR(VLOOKUP($L233,day_data!$A:$I,5,FALSE),0)),NA())</f>
        <v>#N/A</v>
      </c>
      <c r="Q233" s="59" t="e">
        <f>IF($F$8,IF($L233="","",IFERROR(VLOOKUP($L233,day_data!$A:$I,6,FALSE),0)),NA())</f>
        <v>#N/A</v>
      </c>
      <c r="R233" s="11" t="e">
        <f>IF($F$6,IF($L233="","",IFERROR(VLOOKUP($L233,day_data!$A:$I,7,FALSE),0)),NA())</f>
        <v>#N/A</v>
      </c>
      <c r="S233" s="58" t="str">
        <f>IF($F$5,IF($L233="","",IFERROR(VLOOKUP($L233,day_data!$A:$I,8,FALSE),0)),NA())</f>
        <v/>
      </c>
      <c r="T233" s="60" t="e">
        <f>IF($F$7,IF($L233="","",IFERROR(VLOOKUP($L233,day_data!$A:$I,9,FALSE),0)),NA())</f>
        <v>#N/A</v>
      </c>
    </row>
    <row r="234" spans="12:20">
      <c r="L234" s="57" t="str">
        <f t="shared" si="3"/>
        <v/>
      </c>
      <c r="M234" s="11" t="str">
        <f>IF($F$1,IF($L234="","",IFERROR(VLOOKUP($L234,day_data!$A:$I,2,FALSE),0)),NA())</f>
        <v/>
      </c>
      <c r="N234" s="58" t="e">
        <f>IF($F$2,IF($L234="","",IFERROR(VLOOKUP($L234,day_data!$A:$I,3,FALSE),0)),NA())</f>
        <v>#N/A</v>
      </c>
      <c r="O234" s="11" t="e">
        <f>IF($F$3,IF($L234="","",IFERROR(VLOOKUP($L234,day_data!$A:$I,4,FALSE),0)),NA())</f>
        <v>#N/A</v>
      </c>
      <c r="P234" s="58" t="e">
        <f>IF($F$4,IF($L234="","",IFERROR(VLOOKUP($L234,day_data!$A:$I,5,FALSE),0)),NA())</f>
        <v>#N/A</v>
      </c>
      <c r="Q234" s="59" t="e">
        <f>IF($F$8,IF($L234="","",IFERROR(VLOOKUP($L234,day_data!$A:$I,6,FALSE),0)),NA())</f>
        <v>#N/A</v>
      </c>
      <c r="R234" s="11" t="e">
        <f>IF($F$6,IF($L234="","",IFERROR(VLOOKUP($L234,day_data!$A:$I,7,FALSE),0)),NA())</f>
        <v>#N/A</v>
      </c>
      <c r="S234" s="58" t="str">
        <f>IF($F$5,IF($L234="","",IFERROR(VLOOKUP($L234,day_data!$A:$I,8,FALSE),0)),NA())</f>
        <v/>
      </c>
      <c r="T234" s="60" t="e">
        <f>IF($F$7,IF($L234="","",IFERROR(VLOOKUP($L234,day_data!$A:$I,9,FALSE),0)),NA())</f>
        <v>#N/A</v>
      </c>
    </row>
    <row r="235" spans="12:20">
      <c r="L235" s="57" t="str">
        <f t="shared" si="3"/>
        <v/>
      </c>
      <c r="M235" s="11" t="str">
        <f>IF($F$1,IF($L235="","",IFERROR(VLOOKUP($L235,day_data!$A:$I,2,FALSE),0)),NA())</f>
        <v/>
      </c>
      <c r="N235" s="58" t="e">
        <f>IF($F$2,IF($L235="","",IFERROR(VLOOKUP($L235,day_data!$A:$I,3,FALSE),0)),NA())</f>
        <v>#N/A</v>
      </c>
      <c r="O235" s="11" t="e">
        <f>IF($F$3,IF($L235="","",IFERROR(VLOOKUP($L235,day_data!$A:$I,4,FALSE),0)),NA())</f>
        <v>#N/A</v>
      </c>
      <c r="P235" s="58" t="e">
        <f>IF($F$4,IF($L235="","",IFERROR(VLOOKUP($L235,day_data!$A:$I,5,FALSE),0)),NA())</f>
        <v>#N/A</v>
      </c>
      <c r="Q235" s="59" t="e">
        <f>IF($F$8,IF($L235="","",IFERROR(VLOOKUP($L235,day_data!$A:$I,6,FALSE),0)),NA())</f>
        <v>#N/A</v>
      </c>
      <c r="R235" s="11" t="e">
        <f>IF($F$6,IF($L235="","",IFERROR(VLOOKUP($L235,day_data!$A:$I,7,FALSE),0)),NA())</f>
        <v>#N/A</v>
      </c>
      <c r="S235" s="58" t="str">
        <f>IF($F$5,IF($L235="","",IFERROR(VLOOKUP($L235,day_data!$A:$I,8,FALSE),0)),NA())</f>
        <v/>
      </c>
      <c r="T235" s="60" t="e">
        <f>IF($F$7,IF($L235="","",IFERROR(VLOOKUP($L235,day_data!$A:$I,9,FALSE),0)),NA())</f>
        <v>#N/A</v>
      </c>
    </row>
    <row r="236" spans="12:20">
      <c r="L236" s="57" t="str">
        <f t="shared" si="3"/>
        <v/>
      </c>
      <c r="M236" s="11" t="str">
        <f>IF($F$1,IF($L236="","",IFERROR(VLOOKUP($L236,day_data!$A:$I,2,FALSE),0)),NA())</f>
        <v/>
      </c>
      <c r="N236" s="58" t="e">
        <f>IF($F$2,IF($L236="","",IFERROR(VLOOKUP($L236,day_data!$A:$I,3,FALSE),0)),NA())</f>
        <v>#N/A</v>
      </c>
      <c r="O236" s="11" t="e">
        <f>IF($F$3,IF($L236="","",IFERROR(VLOOKUP($L236,day_data!$A:$I,4,FALSE),0)),NA())</f>
        <v>#N/A</v>
      </c>
      <c r="P236" s="58" t="e">
        <f>IF($F$4,IF($L236="","",IFERROR(VLOOKUP($L236,day_data!$A:$I,5,FALSE),0)),NA())</f>
        <v>#N/A</v>
      </c>
      <c r="Q236" s="59" t="e">
        <f>IF($F$8,IF($L236="","",IFERROR(VLOOKUP($L236,day_data!$A:$I,6,FALSE),0)),NA())</f>
        <v>#N/A</v>
      </c>
      <c r="R236" s="11" t="e">
        <f>IF($F$6,IF($L236="","",IFERROR(VLOOKUP($L236,day_data!$A:$I,7,FALSE),0)),NA())</f>
        <v>#N/A</v>
      </c>
      <c r="S236" s="58" t="str">
        <f>IF($F$5,IF($L236="","",IFERROR(VLOOKUP($L236,day_data!$A:$I,8,FALSE),0)),NA())</f>
        <v/>
      </c>
      <c r="T236" s="60" t="e">
        <f>IF($F$7,IF($L236="","",IFERROR(VLOOKUP($L236,day_data!$A:$I,9,FALSE),0)),NA())</f>
        <v>#N/A</v>
      </c>
    </row>
    <row r="237" spans="12:20">
      <c r="L237" s="57" t="str">
        <f t="shared" si="3"/>
        <v/>
      </c>
      <c r="M237" s="11" t="str">
        <f>IF($F$1,IF($L237="","",IFERROR(VLOOKUP($L237,day_data!$A:$I,2,FALSE),0)),NA())</f>
        <v/>
      </c>
      <c r="N237" s="58" t="e">
        <f>IF($F$2,IF($L237="","",IFERROR(VLOOKUP($L237,day_data!$A:$I,3,FALSE),0)),NA())</f>
        <v>#N/A</v>
      </c>
      <c r="O237" s="11" t="e">
        <f>IF($F$3,IF($L237="","",IFERROR(VLOOKUP($L237,day_data!$A:$I,4,FALSE),0)),NA())</f>
        <v>#N/A</v>
      </c>
      <c r="P237" s="58" t="e">
        <f>IF($F$4,IF($L237="","",IFERROR(VLOOKUP($L237,day_data!$A:$I,5,FALSE),0)),NA())</f>
        <v>#N/A</v>
      </c>
      <c r="Q237" s="59" t="e">
        <f>IF($F$8,IF($L237="","",IFERROR(VLOOKUP($L237,day_data!$A:$I,6,FALSE),0)),NA())</f>
        <v>#N/A</v>
      </c>
      <c r="R237" s="11" t="e">
        <f>IF($F$6,IF($L237="","",IFERROR(VLOOKUP($L237,day_data!$A:$I,7,FALSE),0)),NA())</f>
        <v>#N/A</v>
      </c>
      <c r="S237" s="58" t="str">
        <f>IF($F$5,IF($L237="","",IFERROR(VLOOKUP($L237,day_data!$A:$I,8,FALSE),0)),NA())</f>
        <v/>
      </c>
      <c r="T237" s="60" t="e">
        <f>IF($F$7,IF($L237="","",IFERROR(VLOOKUP($L237,day_data!$A:$I,9,FALSE),0)),NA())</f>
        <v>#N/A</v>
      </c>
    </row>
    <row r="238" spans="12:20">
      <c r="L238" s="57" t="str">
        <f t="shared" si="3"/>
        <v/>
      </c>
      <c r="M238" s="11" t="str">
        <f>IF($F$1,IF($L238="","",IFERROR(VLOOKUP($L238,day_data!$A:$I,2,FALSE),0)),NA())</f>
        <v/>
      </c>
      <c r="N238" s="58" t="e">
        <f>IF($F$2,IF($L238="","",IFERROR(VLOOKUP($L238,day_data!$A:$I,3,FALSE),0)),NA())</f>
        <v>#N/A</v>
      </c>
      <c r="O238" s="11" t="e">
        <f>IF($F$3,IF($L238="","",IFERROR(VLOOKUP($L238,day_data!$A:$I,4,FALSE),0)),NA())</f>
        <v>#N/A</v>
      </c>
      <c r="P238" s="58" t="e">
        <f>IF($F$4,IF($L238="","",IFERROR(VLOOKUP($L238,day_data!$A:$I,5,FALSE),0)),NA())</f>
        <v>#N/A</v>
      </c>
      <c r="Q238" s="59" t="e">
        <f>IF($F$8,IF($L238="","",IFERROR(VLOOKUP($L238,day_data!$A:$I,6,FALSE),0)),NA())</f>
        <v>#N/A</v>
      </c>
      <c r="R238" s="11" t="e">
        <f>IF($F$6,IF($L238="","",IFERROR(VLOOKUP($L238,day_data!$A:$I,7,FALSE),0)),NA())</f>
        <v>#N/A</v>
      </c>
      <c r="S238" s="58" t="str">
        <f>IF($F$5,IF($L238="","",IFERROR(VLOOKUP($L238,day_data!$A:$I,8,FALSE),0)),NA())</f>
        <v/>
      </c>
      <c r="T238" s="60" t="e">
        <f>IF($F$7,IF($L238="","",IFERROR(VLOOKUP($L238,day_data!$A:$I,9,FALSE),0)),NA())</f>
        <v>#N/A</v>
      </c>
    </row>
    <row r="239" spans="12:20">
      <c r="L239" s="57" t="str">
        <f t="shared" si="3"/>
        <v/>
      </c>
      <c r="M239" s="11" t="str">
        <f>IF($F$1,IF($L239="","",IFERROR(VLOOKUP($L239,day_data!$A:$I,2,FALSE),0)),NA())</f>
        <v/>
      </c>
      <c r="N239" s="58" t="e">
        <f>IF($F$2,IF($L239="","",IFERROR(VLOOKUP($L239,day_data!$A:$I,3,FALSE),0)),NA())</f>
        <v>#N/A</v>
      </c>
      <c r="O239" s="11" t="e">
        <f>IF($F$3,IF($L239="","",IFERROR(VLOOKUP($L239,day_data!$A:$I,4,FALSE),0)),NA())</f>
        <v>#N/A</v>
      </c>
      <c r="P239" s="58" t="e">
        <f>IF($F$4,IF($L239="","",IFERROR(VLOOKUP($L239,day_data!$A:$I,5,FALSE),0)),NA())</f>
        <v>#N/A</v>
      </c>
      <c r="Q239" s="59" t="e">
        <f>IF($F$8,IF($L239="","",IFERROR(VLOOKUP($L239,day_data!$A:$I,6,FALSE),0)),NA())</f>
        <v>#N/A</v>
      </c>
      <c r="R239" s="11" t="e">
        <f>IF($F$6,IF($L239="","",IFERROR(VLOOKUP($L239,day_data!$A:$I,7,FALSE),0)),NA())</f>
        <v>#N/A</v>
      </c>
      <c r="S239" s="58" t="str">
        <f>IF($F$5,IF($L239="","",IFERROR(VLOOKUP($L239,day_data!$A:$I,8,FALSE),0)),NA())</f>
        <v/>
      </c>
      <c r="T239" s="60" t="e">
        <f>IF($F$7,IF($L239="","",IFERROR(VLOOKUP($L239,day_data!$A:$I,9,FALSE),0)),NA())</f>
        <v>#N/A</v>
      </c>
    </row>
    <row r="240" spans="12:20">
      <c r="L240" s="57" t="str">
        <f t="shared" si="3"/>
        <v/>
      </c>
      <c r="M240" s="11" t="str">
        <f>IF($F$1,IF($L240="","",IFERROR(VLOOKUP($L240,day_data!$A:$I,2,FALSE),0)),NA())</f>
        <v/>
      </c>
      <c r="N240" s="58" t="e">
        <f>IF($F$2,IF($L240="","",IFERROR(VLOOKUP($L240,day_data!$A:$I,3,FALSE),0)),NA())</f>
        <v>#N/A</v>
      </c>
      <c r="O240" s="11" t="e">
        <f>IF($F$3,IF($L240="","",IFERROR(VLOOKUP($L240,day_data!$A:$I,4,FALSE),0)),NA())</f>
        <v>#N/A</v>
      </c>
      <c r="P240" s="58" t="e">
        <f>IF($F$4,IF($L240="","",IFERROR(VLOOKUP($L240,day_data!$A:$I,5,FALSE),0)),NA())</f>
        <v>#N/A</v>
      </c>
      <c r="Q240" s="59" t="e">
        <f>IF($F$8,IF($L240="","",IFERROR(VLOOKUP($L240,day_data!$A:$I,6,FALSE),0)),NA())</f>
        <v>#N/A</v>
      </c>
      <c r="R240" s="11" t="e">
        <f>IF($F$6,IF($L240="","",IFERROR(VLOOKUP($L240,day_data!$A:$I,7,FALSE),0)),NA())</f>
        <v>#N/A</v>
      </c>
      <c r="S240" s="58" t="str">
        <f>IF($F$5,IF($L240="","",IFERROR(VLOOKUP($L240,day_data!$A:$I,8,FALSE),0)),NA())</f>
        <v/>
      </c>
      <c r="T240" s="60" t="e">
        <f>IF($F$7,IF($L240="","",IFERROR(VLOOKUP($L240,day_data!$A:$I,9,FALSE),0)),NA())</f>
        <v>#N/A</v>
      </c>
    </row>
    <row r="241" spans="12:20">
      <c r="L241" s="57" t="str">
        <f t="shared" si="3"/>
        <v/>
      </c>
      <c r="M241" s="11" t="str">
        <f>IF($F$1,IF($L241="","",IFERROR(VLOOKUP($L241,day_data!$A:$I,2,FALSE),0)),NA())</f>
        <v/>
      </c>
      <c r="N241" s="58" t="e">
        <f>IF($F$2,IF($L241="","",IFERROR(VLOOKUP($L241,day_data!$A:$I,3,FALSE),0)),NA())</f>
        <v>#N/A</v>
      </c>
      <c r="O241" s="11" t="e">
        <f>IF($F$3,IF($L241="","",IFERROR(VLOOKUP($L241,day_data!$A:$I,4,FALSE),0)),NA())</f>
        <v>#N/A</v>
      </c>
      <c r="P241" s="58" t="e">
        <f>IF($F$4,IF($L241="","",IFERROR(VLOOKUP($L241,day_data!$A:$I,5,FALSE),0)),NA())</f>
        <v>#N/A</v>
      </c>
      <c r="Q241" s="59" t="e">
        <f>IF($F$8,IF($L241="","",IFERROR(VLOOKUP($L241,day_data!$A:$I,6,FALSE),0)),NA())</f>
        <v>#N/A</v>
      </c>
      <c r="R241" s="11" t="e">
        <f>IF($F$6,IF($L241="","",IFERROR(VLOOKUP($L241,day_data!$A:$I,7,FALSE),0)),NA())</f>
        <v>#N/A</v>
      </c>
      <c r="S241" s="58" t="str">
        <f>IF($F$5,IF($L241="","",IFERROR(VLOOKUP($L241,day_data!$A:$I,8,FALSE),0)),NA())</f>
        <v/>
      </c>
      <c r="T241" s="60" t="e">
        <f>IF($F$7,IF($L241="","",IFERROR(VLOOKUP($L241,day_data!$A:$I,9,FALSE),0)),NA())</f>
        <v>#N/A</v>
      </c>
    </row>
    <row r="242" spans="12:20">
      <c r="L242" s="57" t="str">
        <f t="shared" si="3"/>
        <v/>
      </c>
      <c r="M242" s="11" t="str">
        <f>IF($F$1,IF($L242="","",IFERROR(VLOOKUP($L242,day_data!$A:$I,2,FALSE),0)),NA())</f>
        <v/>
      </c>
      <c r="N242" s="58" t="e">
        <f>IF($F$2,IF($L242="","",IFERROR(VLOOKUP($L242,day_data!$A:$I,3,FALSE),0)),NA())</f>
        <v>#N/A</v>
      </c>
      <c r="O242" s="11" t="e">
        <f>IF($F$3,IF($L242="","",IFERROR(VLOOKUP($L242,day_data!$A:$I,4,FALSE),0)),NA())</f>
        <v>#N/A</v>
      </c>
      <c r="P242" s="58" t="e">
        <f>IF($F$4,IF($L242="","",IFERROR(VLOOKUP($L242,day_data!$A:$I,5,FALSE),0)),NA())</f>
        <v>#N/A</v>
      </c>
      <c r="Q242" s="59" t="e">
        <f>IF($F$8,IF($L242="","",IFERROR(VLOOKUP($L242,day_data!$A:$I,6,FALSE),0)),NA())</f>
        <v>#N/A</v>
      </c>
      <c r="R242" s="11" t="e">
        <f>IF($F$6,IF($L242="","",IFERROR(VLOOKUP($L242,day_data!$A:$I,7,FALSE),0)),NA())</f>
        <v>#N/A</v>
      </c>
      <c r="S242" s="58" t="str">
        <f>IF($F$5,IF($L242="","",IFERROR(VLOOKUP($L242,day_data!$A:$I,8,FALSE),0)),NA())</f>
        <v/>
      </c>
      <c r="T242" s="60" t="e">
        <f>IF($F$7,IF($L242="","",IFERROR(VLOOKUP($L242,day_data!$A:$I,9,FALSE),0)),NA())</f>
        <v>#N/A</v>
      </c>
    </row>
    <row r="243" spans="12:20">
      <c r="L243" s="57" t="str">
        <f t="shared" si="3"/>
        <v/>
      </c>
      <c r="M243" s="11" t="str">
        <f>IF($F$1,IF($L243="","",IFERROR(VLOOKUP($L243,day_data!$A:$I,2,FALSE),0)),NA())</f>
        <v/>
      </c>
      <c r="N243" s="58" t="e">
        <f>IF($F$2,IF($L243="","",IFERROR(VLOOKUP($L243,day_data!$A:$I,3,FALSE),0)),NA())</f>
        <v>#N/A</v>
      </c>
      <c r="O243" s="11" t="e">
        <f>IF($F$3,IF($L243="","",IFERROR(VLOOKUP($L243,day_data!$A:$I,4,FALSE),0)),NA())</f>
        <v>#N/A</v>
      </c>
      <c r="P243" s="58" t="e">
        <f>IF($F$4,IF($L243="","",IFERROR(VLOOKUP($L243,day_data!$A:$I,5,FALSE),0)),NA())</f>
        <v>#N/A</v>
      </c>
      <c r="Q243" s="59" t="e">
        <f>IF($F$8,IF($L243="","",IFERROR(VLOOKUP($L243,day_data!$A:$I,6,FALSE),0)),NA())</f>
        <v>#N/A</v>
      </c>
      <c r="R243" s="11" t="e">
        <f>IF($F$6,IF($L243="","",IFERROR(VLOOKUP($L243,day_data!$A:$I,7,FALSE),0)),NA())</f>
        <v>#N/A</v>
      </c>
      <c r="S243" s="58" t="str">
        <f>IF($F$5,IF($L243="","",IFERROR(VLOOKUP($L243,day_data!$A:$I,8,FALSE),0)),NA())</f>
        <v/>
      </c>
      <c r="T243" s="60" t="e">
        <f>IF($F$7,IF($L243="","",IFERROR(VLOOKUP($L243,day_data!$A:$I,9,FALSE),0)),NA())</f>
        <v>#N/A</v>
      </c>
    </row>
    <row r="244" spans="12:20">
      <c r="L244" s="57" t="str">
        <f t="shared" si="3"/>
        <v/>
      </c>
      <c r="M244" s="11" t="str">
        <f>IF($F$1,IF($L244="","",IFERROR(VLOOKUP($L244,day_data!$A:$I,2,FALSE),0)),NA())</f>
        <v/>
      </c>
      <c r="N244" s="58" t="e">
        <f>IF($F$2,IF($L244="","",IFERROR(VLOOKUP($L244,day_data!$A:$I,3,FALSE),0)),NA())</f>
        <v>#N/A</v>
      </c>
      <c r="O244" s="11" t="e">
        <f>IF($F$3,IF($L244="","",IFERROR(VLOOKUP($L244,day_data!$A:$I,4,FALSE),0)),NA())</f>
        <v>#N/A</v>
      </c>
      <c r="P244" s="58" t="e">
        <f>IF($F$4,IF($L244="","",IFERROR(VLOOKUP($L244,day_data!$A:$I,5,FALSE),0)),NA())</f>
        <v>#N/A</v>
      </c>
      <c r="Q244" s="59" t="e">
        <f>IF($F$8,IF($L244="","",IFERROR(VLOOKUP($L244,day_data!$A:$I,6,FALSE),0)),NA())</f>
        <v>#N/A</v>
      </c>
      <c r="R244" s="11" t="e">
        <f>IF($F$6,IF($L244="","",IFERROR(VLOOKUP($L244,day_data!$A:$I,7,FALSE),0)),NA())</f>
        <v>#N/A</v>
      </c>
      <c r="S244" s="58" t="str">
        <f>IF($F$5,IF($L244="","",IFERROR(VLOOKUP($L244,day_data!$A:$I,8,FALSE),0)),NA())</f>
        <v/>
      </c>
      <c r="T244" s="60" t="e">
        <f>IF($F$7,IF($L244="","",IFERROR(VLOOKUP($L244,day_data!$A:$I,9,FALSE),0)),NA())</f>
        <v>#N/A</v>
      </c>
    </row>
    <row r="245" spans="12:20">
      <c r="L245" s="57" t="str">
        <f t="shared" si="3"/>
        <v/>
      </c>
      <c r="M245" s="11" t="str">
        <f>IF($F$1,IF($L245="","",IFERROR(VLOOKUP($L245,day_data!$A:$I,2,FALSE),0)),NA())</f>
        <v/>
      </c>
      <c r="N245" s="58" t="e">
        <f>IF($F$2,IF($L245="","",IFERROR(VLOOKUP($L245,day_data!$A:$I,3,FALSE),0)),NA())</f>
        <v>#N/A</v>
      </c>
      <c r="O245" s="11" t="e">
        <f>IF($F$3,IF($L245="","",IFERROR(VLOOKUP($L245,day_data!$A:$I,4,FALSE),0)),NA())</f>
        <v>#N/A</v>
      </c>
      <c r="P245" s="58" t="e">
        <f>IF($F$4,IF($L245="","",IFERROR(VLOOKUP($L245,day_data!$A:$I,5,FALSE),0)),NA())</f>
        <v>#N/A</v>
      </c>
      <c r="Q245" s="59" t="e">
        <f>IF($F$8,IF($L245="","",IFERROR(VLOOKUP($L245,day_data!$A:$I,6,FALSE),0)),NA())</f>
        <v>#N/A</v>
      </c>
      <c r="R245" s="11" t="e">
        <f>IF($F$6,IF($L245="","",IFERROR(VLOOKUP($L245,day_data!$A:$I,7,FALSE),0)),NA())</f>
        <v>#N/A</v>
      </c>
      <c r="S245" s="58" t="str">
        <f>IF($F$5,IF($L245="","",IFERROR(VLOOKUP($L245,day_data!$A:$I,8,FALSE),0)),NA())</f>
        <v/>
      </c>
      <c r="T245" s="60" t="e">
        <f>IF($F$7,IF($L245="","",IFERROR(VLOOKUP($L245,day_data!$A:$I,9,FALSE),0)),NA())</f>
        <v>#N/A</v>
      </c>
    </row>
    <row r="246" spans="12:20">
      <c r="L246" s="57" t="str">
        <f t="shared" si="3"/>
        <v/>
      </c>
      <c r="M246" s="11" t="str">
        <f>IF($F$1,IF($L246="","",IFERROR(VLOOKUP($L246,day_data!$A:$I,2,FALSE),0)),NA())</f>
        <v/>
      </c>
      <c r="N246" s="58" t="e">
        <f>IF($F$2,IF($L246="","",IFERROR(VLOOKUP($L246,day_data!$A:$I,3,FALSE),0)),NA())</f>
        <v>#N/A</v>
      </c>
      <c r="O246" s="11" t="e">
        <f>IF($F$3,IF($L246="","",IFERROR(VLOOKUP($L246,day_data!$A:$I,4,FALSE),0)),NA())</f>
        <v>#N/A</v>
      </c>
      <c r="P246" s="58" t="e">
        <f>IF($F$4,IF($L246="","",IFERROR(VLOOKUP($L246,day_data!$A:$I,5,FALSE),0)),NA())</f>
        <v>#N/A</v>
      </c>
      <c r="Q246" s="59" t="e">
        <f>IF($F$8,IF($L246="","",IFERROR(VLOOKUP($L246,day_data!$A:$I,6,FALSE),0)),NA())</f>
        <v>#N/A</v>
      </c>
      <c r="R246" s="11" t="e">
        <f>IF($F$6,IF($L246="","",IFERROR(VLOOKUP($L246,day_data!$A:$I,7,FALSE),0)),NA())</f>
        <v>#N/A</v>
      </c>
      <c r="S246" s="58" t="str">
        <f>IF($F$5,IF($L246="","",IFERROR(VLOOKUP($L246,day_data!$A:$I,8,FALSE),0)),NA())</f>
        <v/>
      </c>
      <c r="T246" s="60" t="e">
        <f>IF($F$7,IF($L246="","",IFERROR(VLOOKUP($L246,day_data!$A:$I,9,FALSE),0)),NA())</f>
        <v>#N/A</v>
      </c>
    </row>
    <row r="247" spans="12:20">
      <c r="L247" s="57" t="str">
        <f t="shared" si="3"/>
        <v/>
      </c>
      <c r="M247" s="11" t="str">
        <f>IF($F$1,IF($L247="","",IFERROR(VLOOKUP($L247,day_data!$A:$I,2,FALSE),0)),NA())</f>
        <v/>
      </c>
      <c r="N247" s="58" t="e">
        <f>IF($F$2,IF($L247="","",IFERROR(VLOOKUP($L247,day_data!$A:$I,3,FALSE),0)),NA())</f>
        <v>#N/A</v>
      </c>
      <c r="O247" s="11" t="e">
        <f>IF($F$3,IF($L247="","",IFERROR(VLOOKUP($L247,day_data!$A:$I,4,FALSE),0)),NA())</f>
        <v>#N/A</v>
      </c>
      <c r="P247" s="58" t="e">
        <f>IF($F$4,IF($L247="","",IFERROR(VLOOKUP($L247,day_data!$A:$I,5,FALSE),0)),NA())</f>
        <v>#N/A</v>
      </c>
      <c r="Q247" s="59" t="e">
        <f>IF($F$8,IF($L247="","",IFERROR(VLOOKUP($L247,day_data!$A:$I,6,FALSE),0)),NA())</f>
        <v>#N/A</v>
      </c>
      <c r="R247" s="11" t="e">
        <f>IF($F$6,IF($L247="","",IFERROR(VLOOKUP($L247,day_data!$A:$I,7,FALSE),0)),NA())</f>
        <v>#N/A</v>
      </c>
      <c r="S247" s="58" t="str">
        <f>IF($F$5,IF($L247="","",IFERROR(VLOOKUP($L247,day_data!$A:$I,8,FALSE),0)),NA())</f>
        <v/>
      </c>
      <c r="T247" s="60" t="e">
        <f>IF($F$7,IF($L247="","",IFERROR(VLOOKUP($L247,day_data!$A:$I,9,FALSE),0)),NA())</f>
        <v>#N/A</v>
      </c>
    </row>
    <row r="248" spans="12:20">
      <c r="L248" s="57" t="str">
        <f t="shared" si="3"/>
        <v/>
      </c>
      <c r="M248" s="11" t="str">
        <f>IF($F$1,IF($L248="","",IFERROR(VLOOKUP($L248,day_data!$A:$I,2,FALSE),0)),NA())</f>
        <v/>
      </c>
      <c r="N248" s="58" t="e">
        <f>IF($F$2,IF($L248="","",IFERROR(VLOOKUP($L248,day_data!$A:$I,3,FALSE),0)),NA())</f>
        <v>#N/A</v>
      </c>
      <c r="O248" s="11" t="e">
        <f>IF($F$3,IF($L248="","",IFERROR(VLOOKUP($L248,day_data!$A:$I,4,FALSE),0)),NA())</f>
        <v>#N/A</v>
      </c>
      <c r="P248" s="58" t="e">
        <f>IF($F$4,IF($L248="","",IFERROR(VLOOKUP($L248,day_data!$A:$I,5,FALSE),0)),NA())</f>
        <v>#N/A</v>
      </c>
      <c r="Q248" s="59" t="e">
        <f>IF($F$8,IF($L248="","",IFERROR(VLOOKUP($L248,day_data!$A:$I,6,FALSE),0)),NA())</f>
        <v>#N/A</v>
      </c>
      <c r="R248" s="11" t="e">
        <f>IF($F$6,IF($L248="","",IFERROR(VLOOKUP($L248,day_data!$A:$I,7,FALSE),0)),NA())</f>
        <v>#N/A</v>
      </c>
      <c r="S248" s="58" t="str">
        <f>IF($F$5,IF($L248="","",IFERROR(VLOOKUP($L248,day_data!$A:$I,8,FALSE),0)),NA())</f>
        <v/>
      </c>
      <c r="T248" s="60" t="e">
        <f>IF($F$7,IF($L248="","",IFERROR(VLOOKUP($L248,day_data!$A:$I,9,FALSE),0)),NA())</f>
        <v>#N/A</v>
      </c>
    </row>
    <row r="249" spans="12:20">
      <c r="L249" s="57" t="str">
        <f t="shared" si="3"/>
        <v/>
      </c>
      <c r="M249" s="11" t="str">
        <f>IF($F$1,IF($L249="","",IFERROR(VLOOKUP($L249,day_data!$A:$I,2,FALSE),0)),NA())</f>
        <v/>
      </c>
      <c r="N249" s="58" t="e">
        <f>IF($F$2,IF($L249="","",IFERROR(VLOOKUP($L249,day_data!$A:$I,3,FALSE),0)),NA())</f>
        <v>#N/A</v>
      </c>
      <c r="O249" s="11" t="e">
        <f>IF($F$3,IF($L249="","",IFERROR(VLOOKUP($L249,day_data!$A:$I,4,FALSE),0)),NA())</f>
        <v>#N/A</v>
      </c>
      <c r="P249" s="58" t="e">
        <f>IF($F$4,IF($L249="","",IFERROR(VLOOKUP($L249,day_data!$A:$I,5,FALSE),0)),NA())</f>
        <v>#N/A</v>
      </c>
      <c r="Q249" s="59" t="e">
        <f>IF($F$8,IF($L249="","",IFERROR(VLOOKUP($L249,day_data!$A:$I,6,FALSE),0)),NA())</f>
        <v>#N/A</v>
      </c>
      <c r="R249" s="11" t="e">
        <f>IF($F$6,IF($L249="","",IFERROR(VLOOKUP($L249,day_data!$A:$I,7,FALSE),0)),NA())</f>
        <v>#N/A</v>
      </c>
      <c r="S249" s="58" t="str">
        <f>IF($F$5,IF($L249="","",IFERROR(VLOOKUP($L249,day_data!$A:$I,8,FALSE),0)),NA())</f>
        <v/>
      </c>
      <c r="T249" s="60" t="e">
        <f>IF($F$7,IF($L249="","",IFERROR(VLOOKUP($L249,day_data!$A:$I,9,FALSE),0)),NA())</f>
        <v>#N/A</v>
      </c>
    </row>
    <row r="250" spans="12:20">
      <c r="L250" s="57" t="str">
        <f t="shared" si="3"/>
        <v/>
      </c>
      <c r="M250" s="11" t="str">
        <f>IF($F$1,IF($L250="","",IFERROR(VLOOKUP($L250,day_data!$A:$I,2,FALSE),0)),NA())</f>
        <v/>
      </c>
      <c r="N250" s="58" t="e">
        <f>IF($F$2,IF($L250="","",IFERROR(VLOOKUP($L250,day_data!$A:$I,3,FALSE),0)),NA())</f>
        <v>#N/A</v>
      </c>
      <c r="O250" s="11" t="e">
        <f>IF($F$3,IF($L250="","",IFERROR(VLOOKUP($L250,day_data!$A:$I,4,FALSE),0)),NA())</f>
        <v>#N/A</v>
      </c>
      <c r="P250" s="58" t="e">
        <f>IF($F$4,IF($L250="","",IFERROR(VLOOKUP($L250,day_data!$A:$I,5,FALSE),0)),NA())</f>
        <v>#N/A</v>
      </c>
      <c r="Q250" s="59" t="e">
        <f>IF($F$8,IF($L250="","",IFERROR(VLOOKUP($L250,day_data!$A:$I,6,FALSE),0)),NA())</f>
        <v>#N/A</v>
      </c>
      <c r="R250" s="11" t="e">
        <f>IF($F$6,IF($L250="","",IFERROR(VLOOKUP($L250,day_data!$A:$I,7,FALSE),0)),NA())</f>
        <v>#N/A</v>
      </c>
      <c r="S250" s="58" t="str">
        <f>IF($F$5,IF($L250="","",IFERROR(VLOOKUP($L250,day_data!$A:$I,8,FALSE),0)),NA())</f>
        <v/>
      </c>
      <c r="T250" s="60" t="e">
        <f>IF($F$7,IF($L250="","",IFERROR(VLOOKUP($L250,day_data!$A:$I,9,FALSE),0)),NA())</f>
        <v>#N/A</v>
      </c>
    </row>
    <row r="251" spans="12:20">
      <c r="L251" s="57" t="str">
        <f t="shared" si="3"/>
        <v/>
      </c>
      <c r="M251" s="11" t="str">
        <f>IF($F$1,IF($L251="","",IFERROR(VLOOKUP($L251,day_data!$A:$I,2,FALSE),0)),NA())</f>
        <v/>
      </c>
      <c r="N251" s="58" t="e">
        <f>IF($F$2,IF($L251="","",IFERROR(VLOOKUP($L251,day_data!$A:$I,3,FALSE),0)),NA())</f>
        <v>#N/A</v>
      </c>
      <c r="O251" s="11" t="e">
        <f>IF($F$3,IF($L251="","",IFERROR(VLOOKUP($L251,day_data!$A:$I,4,FALSE),0)),NA())</f>
        <v>#N/A</v>
      </c>
      <c r="P251" s="58" t="e">
        <f>IF($F$4,IF($L251="","",IFERROR(VLOOKUP($L251,day_data!$A:$I,5,FALSE),0)),NA())</f>
        <v>#N/A</v>
      </c>
      <c r="Q251" s="59" t="e">
        <f>IF($F$8,IF($L251="","",IFERROR(VLOOKUP($L251,day_data!$A:$I,6,FALSE),0)),NA())</f>
        <v>#N/A</v>
      </c>
      <c r="R251" s="11" t="e">
        <f>IF($F$6,IF($L251="","",IFERROR(VLOOKUP($L251,day_data!$A:$I,7,FALSE),0)),NA())</f>
        <v>#N/A</v>
      </c>
      <c r="S251" s="58" t="str">
        <f>IF($F$5,IF($L251="","",IFERROR(VLOOKUP($L251,day_data!$A:$I,8,FALSE),0)),NA())</f>
        <v/>
      </c>
      <c r="T251" s="60" t="e">
        <f>IF($F$7,IF($L251="","",IFERROR(VLOOKUP($L251,day_data!$A:$I,9,FALSE),0)),NA())</f>
        <v>#N/A</v>
      </c>
    </row>
    <row r="252" spans="12:20">
      <c r="L252" s="57" t="str">
        <f t="shared" si="3"/>
        <v/>
      </c>
      <c r="M252" s="11" t="str">
        <f>IF($F$1,IF($L252="","",IFERROR(VLOOKUP($L252,day_data!$A:$I,2,FALSE),0)),NA())</f>
        <v/>
      </c>
      <c r="N252" s="58" t="e">
        <f>IF($F$2,IF($L252="","",IFERROR(VLOOKUP($L252,day_data!$A:$I,3,FALSE),0)),NA())</f>
        <v>#N/A</v>
      </c>
      <c r="O252" s="11" t="e">
        <f>IF($F$3,IF($L252="","",IFERROR(VLOOKUP($L252,day_data!$A:$I,4,FALSE),0)),NA())</f>
        <v>#N/A</v>
      </c>
      <c r="P252" s="58" t="e">
        <f>IF($F$4,IF($L252="","",IFERROR(VLOOKUP($L252,day_data!$A:$I,5,FALSE),0)),NA())</f>
        <v>#N/A</v>
      </c>
      <c r="Q252" s="59" t="e">
        <f>IF($F$8,IF($L252="","",IFERROR(VLOOKUP($L252,day_data!$A:$I,6,FALSE),0)),NA())</f>
        <v>#N/A</v>
      </c>
      <c r="R252" s="11" t="e">
        <f>IF($F$6,IF($L252="","",IFERROR(VLOOKUP($L252,day_data!$A:$I,7,FALSE),0)),NA())</f>
        <v>#N/A</v>
      </c>
      <c r="S252" s="58" t="str">
        <f>IF($F$5,IF($L252="","",IFERROR(VLOOKUP($L252,day_data!$A:$I,8,FALSE),0)),NA())</f>
        <v/>
      </c>
      <c r="T252" s="60" t="e">
        <f>IF($F$7,IF($L252="","",IFERROR(VLOOKUP($L252,day_data!$A:$I,9,FALSE),0)),NA())</f>
        <v>#N/A</v>
      </c>
    </row>
    <row r="253" spans="12:20">
      <c r="L253" s="57" t="str">
        <f t="shared" si="3"/>
        <v/>
      </c>
      <c r="M253" s="11" t="str">
        <f>IF($F$1,IF($L253="","",IFERROR(VLOOKUP($L253,day_data!$A:$I,2,FALSE),0)),NA())</f>
        <v/>
      </c>
      <c r="N253" s="58" t="e">
        <f>IF($F$2,IF($L253="","",IFERROR(VLOOKUP($L253,day_data!$A:$I,3,FALSE),0)),NA())</f>
        <v>#N/A</v>
      </c>
      <c r="O253" s="11" t="e">
        <f>IF($F$3,IF($L253="","",IFERROR(VLOOKUP($L253,day_data!$A:$I,4,FALSE),0)),NA())</f>
        <v>#N/A</v>
      </c>
      <c r="P253" s="58" t="e">
        <f>IF($F$4,IF($L253="","",IFERROR(VLOOKUP($L253,day_data!$A:$I,5,FALSE),0)),NA())</f>
        <v>#N/A</v>
      </c>
      <c r="Q253" s="59" t="e">
        <f>IF($F$8,IF($L253="","",IFERROR(VLOOKUP($L253,day_data!$A:$I,6,FALSE),0)),NA())</f>
        <v>#N/A</v>
      </c>
      <c r="R253" s="11" t="e">
        <f>IF($F$6,IF($L253="","",IFERROR(VLOOKUP($L253,day_data!$A:$I,7,FALSE),0)),NA())</f>
        <v>#N/A</v>
      </c>
      <c r="S253" s="58" t="str">
        <f>IF($F$5,IF($L253="","",IFERROR(VLOOKUP($L253,day_data!$A:$I,8,FALSE),0)),NA())</f>
        <v/>
      </c>
      <c r="T253" s="60" t="e">
        <f>IF($F$7,IF($L253="","",IFERROR(VLOOKUP($L253,day_data!$A:$I,9,FALSE),0)),NA())</f>
        <v>#N/A</v>
      </c>
    </row>
    <row r="254" spans="12:20">
      <c r="L254" s="57" t="str">
        <f t="shared" si="3"/>
        <v/>
      </c>
      <c r="M254" s="11" t="str">
        <f>IF($F$1,IF($L254="","",IFERROR(VLOOKUP($L254,day_data!$A:$I,2,FALSE),0)),NA())</f>
        <v/>
      </c>
      <c r="N254" s="58" t="e">
        <f>IF($F$2,IF($L254="","",IFERROR(VLOOKUP($L254,day_data!$A:$I,3,FALSE),0)),NA())</f>
        <v>#N/A</v>
      </c>
      <c r="O254" s="11" t="e">
        <f>IF($F$3,IF($L254="","",IFERROR(VLOOKUP($L254,day_data!$A:$I,4,FALSE),0)),NA())</f>
        <v>#N/A</v>
      </c>
      <c r="P254" s="58" t="e">
        <f>IF($F$4,IF($L254="","",IFERROR(VLOOKUP($L254,day_data!$A:$I,5,FALSE),0)),NA())</f>
        <v>#N/A</v>
      </c>
      <c r="Q254" s="59" t="e">
        <f>IF($F$8,IF($L254="","",IFERROR(VLOOKUP($L254,day_data!$A:$I,6,FALSE),0)),NA())</f>
        <v>#N/A</v>
      </c>
      <c r="R254" s="11" t="e">
        <f>IF($F$6,IF($L254="","",IFERROR(VLOOKUP($L254,day_data!$A:$I,7,FALSE),0)),NA())</f>
        <v>#N/A</v>
      </c>
      <c r="S254" s="58" t="str">
        <f>IF($F$5,IF($L254="","",IFERROR(VLOOKUP($L254,day_data!$A:$I,8,FALSE),0)),NA())</f>
        <v/>
      </c>
      <c r="T254" s="60" t="e">
        <f>IF($F$7,IF($L254="","",IFERROR(VLOOKUP($L254,day_data!$A:$I,9,FALSE),0)),NA())</f>
        <v>#N/A</v>
      </c>
    </row>
    <row r="255" spans="12:20">
      <c r="L255" s="57" t="str">
        <f t="shared" si="3"/>
        <v/>
      </c>
      <c r="M255" s="11" t="str">
        <f>IF($F$1,IF($L255="","",IFERROR(VLOOKUP($L255,day_data!$A:$I,2,FALSE),0)),NA())</f>
        <v/>
      </c>
      <c r="N255" s="58" t="e">
        <f>IF($F$2,IF($L255="","",IFERROR(VLOOKUP($L255,day_data!$A:$I,3,FALSE),0)),NA())</f>
        <v>#N/A</v>
      </c>
      <c r="O255" s="11" t="e">
        <f>IF($F$3,IF($L255="","",IFERROR(VLOOKUP($L255,day_data!$A:$I,4,FALSE),0)),NA())</f>
        <v>#N/A</v>
      </c>
      <c r="P255" s="58" t="e">
        <f>IF($F$4,IF($L255="","",IFERROR(VLOOKUP($L255,day_data!$A:$I,5,FALSE),0)),NA())</f>
        <v>#N/A</v>
      </c>
      <c r="Q255" s="59" t="e">
        <f>IF($F$8,IF($L255="","",IFERROR(VLOOKUP($L255,day_data!$A:$I,6,FALSE),0)),NA())</f>
        <v>#N/A</v>
      </c>
      <c r="R255" s="11" t="e">
        <f>IF($F$6,IF($L255="","",IFERROR(VLOOKUP($L255,day_data!$A:$I,7,FALSE),0)),NA())</f>
        <v>#N/A</v>
      </c>
      <c r="S255" s="58" t="str">
        <f>IF($F$5,IF($L255="","",IFERROR(VLOOKUP($L255,day_data!$A:$I,8,FALSE),0)),NA())</f>
        <v/>
      </c>
      <c r="T255" s="60" t="e">
        <f>IF($F$7,IF($L255="","",IFERROR(VLOOKUP($L255,day_data!$A:$I,9,FALSE),0)),NA())</f>
        <v>#N/A</v>
      </c>
    </row>
    <row r="256" spans="12:20">
      <c r="L256" s="57" t="str">
        <f t="shared" si="3"/>
        <v/>
      </c>
      <c r="M256" s="11" t="str">
        <f>IF($F$1,IF($L256="","",IFERROR(VLOOKUP($L256,day_data!$A:$I,2,FALSE),0)),NA())</f>
        <v/>
      </c>
      <c r="N256" s="58" t="e">
        <f>IF($F$2,IF($L256="","",IFERROR(VLOOKUP($L256,day_data!$A:$I,3,FALSE),0)),NA())</f>
        <v>#N/A</v>
      </c>
      <c r="O256" s="11" t="e">
        <f>IF($F$3,IF($L256="","",IFERROR(VLOOKUP($L256,day_data!$A:$I,4,FALSE),0)),NA())</f>
        <v>#N/A</v>
      </c>
      <c r="P256" s="58" t="e">
        <f>IF($F$4,IF($L256="","",IFERROR(VLOOKUP($L256,day_data!$A:$I,5,FALSE),0)),NA())</f>
        <v>#N/A</v>
      </c>
      <c r="Q256" s="59" t="e">
        <f>IF($F$8,IF($L256="","",IFERROR(VLOOKUP($L256,day_data!$A:$I,6,FALSE),0)),NA())</f>
        <v>#N/A</v>
      </c>
      <c r="R256" s="11" t="e">
        <f>IF($F$6,IF($L256="","",IFERROR(VLOOKUP($L256,day_data!$A:$I,7,FALSE),0)),NA())</f>
        <v>#N/A</v>
      </c>
      <c r="S256" s="58" t="str">
        <f>IF($F$5,IF($L256="","",IFERROR(VLOOKUP($L256,day_data!$A:$I,8,FALSE),0)),NA())</f>
        <v/>
      </c>
      <c r="T256" s="60" t="e">
        <f>IF($F$7,IF($L256="","",IFERROR(VLOOKUP($L256,day_data!$A:$I,9,FALSE),0)),NA())</f>
        <v>#N/A</v>
      </c>
    </row>
    <row r="257" spans="12:20">
      <c r="L257" s="57" t="str">
        <f t="shared" si="3"/>
        <v/>
      </c>
      <c r="M257" s="11" t="str">
        <f>IF($F$1,IF($L257="","",IFERROR(VLOOKUP($L257,day_data!$A:$I,2,FALSE),0)),NA())</f>
        <v/>
      </c>
      <c r="N257" s="58" t="e">
        <f>IF($F$2,IF($L257="","",IFERROR(VLOOKUP($L257,day_data!$A:$I,3,FALSE),0)),NA())</f>
        <v>#N/A</v>
      </c>
      <c r="O257" s="11" t="e">
        <f>IF($F$3,IF($L257="","",IFERROR(VLOOKUP($L257,day_data!$A:$I,4,FALSE),0)),NA())</f>
        <v>#N/A</v>
      </c>
      <c r="P257" s="58" t="e">
        <f>IF($F$4,IF($L257="","",IFERROR(VLOOKUP($L257,day_data!$A:$I,5,FALSE),0)),NA())</f>
        <v>#N/A</v>
      </c>
      <c r="Q257" s="59" t="e">
        <f>IF($F$8,IF($L257="","",IFERROR(VLOOKUP($L257,day_data!$A:$I,6,FALSE),0)),NA())</f>
        <v>#N/A</v>
      </c>
      <c r="R257" s="11" t="e">
        <f>IF($F$6,IF($L257="","",IFERROR(VLOOKUP($L257,day_data!$A:$I,7,FALSE),0)),NA())</f>
        <v>#N/A</v>
      </c>
      <c r="S257" s="58" t="str">
        <f>IF($F$5,IF($L257="","",IFERROR(VLOOKUP($L257,day_data!$A:$I,8,FALSE),0)),NA())</f>
        <v/>
      </c>
      <c r="T257" s="60" t="e">
        <f>IF($F$7,IF($L257="","",IFERROR(VLOOKUP($L257,day_data!$A:$I,9,FALSE),0)),NA())</f>
        <v>#N/A</v>
      </c>
    </row>
    <row r="258" spans="12:20">
      <c r="L258" s="57" t="str">
        <f t="shared" si="3"/>
        <v/>
      </c>
      <c r="M258" s="11" t="str">
        <f>IF($F$1,IF($L258="","",IFERROR(VLOOKUP($L258,day_data!$A:$I,2,FALSE),0)),NA())</f>
        <v/>
      </c>
      <c r="N258" s="58" t="e">
        <f>IF($F$2,IF($L258="","",IFERROR(VLOOKUP($L258,day_data!$A:$I,3,FALSE),0)),NA())</f>
        <v>#N/A</v>
      </c>
      <c r="O258" s="11" t="e">
        <f>IF($F$3,IF($L258="","",IFERROR(VLOOKUP($L258,day_data!$A:$I,4,FALSE),0)),NA())</f>
        <v>#N/A</v>
      </c>
      <c r="P258" s="58" t="e">
        <f>IF($F$4,IF($L258="","",IFERROR(VLOOKUP($L258,day_data!$A:$I,5,FALSE),0)),NA())</f>
        <v>#N/A</v>
      </c>
      <c r="Q258" s="59" t="e">
        <f>IF($F$8,IF($L258="","",IFERROR(VLOOKUP($L258,day_data!$A:$I,6,FALSE),0)),NA())</f>
        <v>#N/A</v>
      </c>
      <c r="R258" s="11" t="e">
        <f>IF($F$6,IF($L258="","",IFERROR(VLOOKUP($L258,day_data!$A:$I,7,FALSE),0)),NA())</f>
        <v>#N/A</v>
      </c>
      <c r="S258" s="58" t="str">
        <f>IF($F$5,IF($L258="","",IFERROR(VLOOKUP($L258,day_data!$A:$I,8,FALSE),0)),NA())</f>
        <v/>
      </c>
      <c r="T258" s="60" t="e">
        <f>IF($F$7,IF($L258="","",IFERROR(VLOOKUP($L258,day_data!$A:$I,9,FALSE),0)),NA())</f>
        <v>#N/A</v>
      </c>
    </row>
    <row r="259" spans="12:20">
      <c r="L259" s="57" t="str">
        <f t="shared" si="3"/>
        <v/>
      </c>
      <c r="M259" s="11" t="str">
        <f>IF($F$1,IF($L259="","",IFERROR(VLOOKUP($L259,day_data!$A:$I,2,FALSE),0)),NA())</f>
        <v/>
      </c>
      <c r="N259" s="58" t="e">
        <f>IF($F$2,IF($L259="","",IFERROR(VLOOKUP($L259,day_data!$A:$I,3,FALSE),0)),NA())</f>
        <v>#N/A</v>
      </c>
      <c r="O259" s="11" t="e">
        <f>IF($F$3,IF($L259="","",IFERROR(VLOOKUP($L259,day_data!$A:$I,4,FALSE),0)),NA())</f>
        <v>#N/A</v>
      </c>
      <c r="P259" s="58" t="e">
        <f>IF($F$4,IF($L259="","",IFERROR(VLOOKUP($L259,day_data!$A:$I,5,FALSE),0)),NA())</f>
        <v>#N/A</v>
      </c>
      <c r="Q259" s="59" t="e">
        <f>IF($F$8,IF($L259="","",IFERROR(VLOOKUP($L259,day_data!$A:$I,6,FALSE),0)),NA())</f>
        <v>#N/A</v>
      </c>
      <c r="R259" s="11" t="e">
        <f>IF($F$6,IF($L259="","",IFERROR(VLOOKUP($L259,day_data!$A:$I,7,FALSE),0)),NA())</f>
        <v>#N/A</v>
      </c>
      <c r="S259" s="58" t="str">
        <f>IF($F$5,IF($L259="","",IFERROR(VLOOKUP($L259,day_data!$A:$I,8,FALSE),0)),NA())</f>
        <v/>
      </c>
      <c r="T259" s="60" t="e">
        <f>IF($F$7,IF($L259="","",IFERROR(VLOOKUP($L259,day_data!$A:$I,9,FALSE),0)),NA())</f>
        <v>#N/A</v>
      </c>
    </row>
    <row r="260" spans="12:20">
      <c r="L260" s="57" t="str">
        <f t="shared" ref="L260:L323" si="4">IF(ROW(L260)-1&gt;$C$1,"",L259+1)</f>
        <v/>
      </c>
      <c r="M260" s="11" t="str">
        <f>IF($F$1,IF($L260="","",IFERROR(VLOOKUP($L260,day_data!$A:$I,2,FALSE),0)),NA())</f>
        <v/>
      </c>
      <c r="N260" s="58" t="e">
        <f>IF($F$2,IF($L260="","",IFERROR(VLOOKUP($L260,day_data!$A:$I,3,FALSE),0)),NA())</f>
        <v>#N/A</v>
      </c>
      <c r="O260" s="11" t="e">
        <f>IF($F$3,IF($L260="","",IFERROR(VLOOKUP($L260,day_data!$A:$I,4,FALSE),0)),NA())</f>
        <v>#N/A</v>
      </c>
      <c r="P260" s="58" t="e">
        <f>IF($F$4,IF($L260="","",IFERROR(VLOOKUP($L260,day_data!$A:$I,5,FALSE),0)),NA())</f>
        <v>#N/A</v>
      </c>
      <c r="Q260" s="59" t="e">
        <f>IF($F$8,IF($L260="","",IFERROR(VLOOKUP($L260,day_data!$A:$I,6,FALSE),0)),NA())</f>
        <v>#N/A</v>
      </c>
      <c r="R260" s="11" t="e">
        <f>IF($F$6,IF($L260="","",IFERROR(VLOOKUP($L260,day_data!$A:$I,7,FALSE),0)),NA())</f>
        <v>#N/A</v>
      </c>
      <c r="S260" s="58" t="str">
        <f>IF($F$5,IF($L260="","",IFERROR(VLOOKUP($L260,day_data!$A:$I,8,FALSE),0)),NA())</f>
        <v/>
      </c>
      <c r="T260" s="60" t="e">
        <f>IF($F$7,IF($L260="","",IFERROR(VLOOKUP($L260,day_data!$A:$I,9,FALSE),0)),NA())</f>
        <v>#N/A</v>
      </c>
    </row>
    <row r="261" spans="12:20">
      <c r="L261" s="57" t="str">
        <f t="shared" si="4"/>
        <v/>
      </c>
      <c r="M261" s="11" t="str">
        <f>IF($F$1,IF($L261="","",IFERROR(VLOOKUP($L261,day_data!$A:$I,2,FALSE),0)),NA())</f>
        <v/>
      </c>
      <c r="N261" s="58" t="e">
        <f>IF($F$2,IF($L261="","",IFERROR(VLOOKUP($L261,day_data!$A:$I,3,FALSE),0)),NA())</f>
        <v>#N/A</v>
      </c>
      <c r="O261" s="11" t="e">
        <f>IF($F$3,IF($L261="","",IFERROR(VLOOKUP($L261,day_data!$A:$I,4,FALSE),0)),NA())</f>
        <v>#N/A</v>
      </c>
      <c r="P261" s="58" t="e">
        <f>IF($F$4,IF($L261="","",IFERROR(VLOOKUP($L261,day_data!$A:$I,5,FALSE),0)),NA())</f>
        <v>#N/A</v>
      </c>
      <c r="Q261" s="59" t="e">
        <f>IF($F$8,IF($L261="","",IFERROR(VLOOKUP($L261,day_data!$A:$I,6,FALSE),0)),NA())</f>
        <v>#N/A</v>
      </c>
      <c r="R261" s="11" t="e">
        <f>IF($F$6,IF($L261="","",IFERROR(VLOOKUP($L261,day_data!$A:$I,7,FALSE),0)),NA())</f>
        <v>#N/A</v>
      </c>
      <c r="S261" s="58" t="str">
        <f>IF($F$5,IF($L261="","",IFERROR(VLOOKUP($L261,day_data!$A:$I,8,FALSE),0)),NA())</f>
        <v/>
      </c>
      <c r="T261" s="60" t="e">
        <f>IF($F$7,IF($L261="","",IFERROR(VLOOKUP($L261,day_data!$A:$I,9,FALSE),0)),NA())</f>
        <v>#N/A</v>
      </c>
    </row>
    <row r="262" spans="12:20">
      <c r="L262" s="57" t="str">
        <f t="shared" si="4"/>
        <v/>
      </c>
      <c r="M262" s="11" t="str">
        <f>IF($F$1,IF($L262="","",IFERROR(VLOOKUP($L262,day_data!$A:$I,2,FALSE),0)),NA())</f>
        <v/>
      </c>
      <c r="N262" s="58" t="e">
        <f>IF($F$2,IF($L262="","",IFERROR(VLOOKUP($L262,day_data!$A:$I,3,FALSE),0)),NA())</f>
        <v>#N/A</v>
      </c>
      <c r="O262" s="11" t="e">
        <f>IF($F$3,IF($L262="","",IFERROR(VLOOKUP($L262,day_data!$A:$I,4,FALSE),0)),NA())</f>
        <v>#N/A</v>
      </c>
      <c r="P262" s="58" t="e">
        <f>IF($F$4,IF($L262="","",IFERROR(VLOOKUP($L262,day_data!$A:$I,5,FALSE),0)),NA())</f>
        <v>#N/A</v>
      </c>
      <c r="Q262" s="59" t="e">
        <f>IF($F$8,IF($L262="","",IFERROR(VLOOKUP($L262,day_data!$A:$I,6,FALSE),0)),NA())</f>
        <v>#N/A</v>
      </c>
      <c r="R262" s="11" t="e">
        <f>IF($F$6,IF($L262="","",IFERROR(VLOOKUP($L262,day_data!$A:$I,7,FALSE),0)),NA())</f>
        <v>#N/A</v>
      </c>
      <c r="S262" s="58" t="str">
        <f>IF($F$5,IF($L262="","",IFERROR(VLOOKUP($L262,day_data!$A:$I,8,FALSE),0)),NA())</f>
        <v/>
      </c>
      <c r="T262" s="60" t="e">
        <f>IF($F$7,IF($L262="","",IFERROR(VLOOKUP($L262,day_data!$A:$I,9,FALSE),0)),NA())</f>
        <v>#N/A</v>
      </c>
    </row>
    <row r="263" spans="12:20">
      <c r="L263" s="57" t="str">
        <f t="shared" si="4"/>
        <v/>
      </c>
      <c r="M263" s="11" t="str">
        <f>IF($F$1,IF($L263="","",IFERROR(VLOOKUP($L263,day_data!$A:$I,2,FALSE),0)),NA())</f>
        <v/>
      </c>
      <c r="N263" s="58" t="e">
        <f>IF($F$2,IF($L263="","",IFERROR(VLOOKUP($L263,day_data!$A:$I,3,FALSE),0)),NA())</f>
        <v>#N/A</v>
      </c>
      <c r="O263" s="11" t="e">
        <f>IF($F$3,IF($L263="","",IFERROR(VLOOKUP($L263,day_data!$A:$I,4,FALSE),0)),NA())</f>
        <v>#N/A</v>
      </c>
      <c r="P263" s="58" t="e">
        <f>IF($F$4,IF($L263="","",IFERROR(VLOOKUP($L263,day_data!$A:$I,5,FALSE),0)),NA())</f>
        <v>#N/A</v>
      </c>
      <c r="Q263" s="59" t="e">
        <f>IF($F$8,IF($L263="","",IFERROR(VLOOKUP($L263,day_data!$A:$I,6,FALSE),0)),NA())</f>
        <v>#N/A</v>
      </c>
      <c r="R263" s="11" t="e">
        <f>IF($F$6,IF($L263="","",IFERROR(VLOOKUP($L263,day_data!$A:$I,7,FALSE),0)),NA())</f>
        <v>#N/A</v>
      </c>
      <c r="S263" s="58" t="str">
        <f>IF($F$5,IF($L263="","",IFERROR(VLOOKUP($L263,day_data!$A:$I,8,FALSE),0)),NA())</f>
        <v/>
      </c>
      <c r="T263" s="60" t="e">
        <f>IF($F$7,IF($L263="","",IFERROR(VLOOKUP($L263,day_data!$A:$I,9,FALSE),0)),NA())</f>
        <v>#N/A</v>
      </c>
    </row>
    <row r="264" spans="12:20">
      <c r="L264" s="57" t="str">
        <f t="shared" si="4"/>
        <v/>
      </c>
      <c r="M264" s="11" t="str">
        <f>IF($F$1,IF($L264="","",IFERROR(VLOOKUP($L264,day_data!$A:$I,2,FALSE),0)),NA())</f>
        <v/>
      </c>
      <c r="N264" s="58" t="e">
        <f>IF($F$2,IF($L264="","",IFERROR(VLOOKUP($L264,day_data!$A:$I,3,FALSE),0)),NA())</f>
        <v>#N/A</v>
      </c>
      <c r="O264" s="11" t="e">
        <f>IF($F$3,IF($L264="","",IFERROR(VLOOKUP($L264,day_data!$A:$I,4,FALSE),0)),NA())</f>
        <v>#N/A</v>
      </c>
      <c r="P264" s="58" t="e">
        <f>IF($F$4,IF($L264="","",IFERROR(VLOOKUP($L264,day_data!$A:$I,5,FALSE),0)),NA())</f>
        <v>#N/A</v>
      </c>
      <c r="Q264" s="59" t="e">
        <f>IF($F$8,IF($L264="","",IFERROR(VLOOKUP($L264,day_data!$A:$I,6,FALSE),0)),NA())</f>
        <v>#N/A</v>
      </c>
      <c r="R264" s="11" t="e">
        <f>IF($F$6,IF($L264="","",IFERROR(VLOOKUP($L264,day_data!$A:$I,7,FALSE),0)),NA())</f>
        <v>#N/A</v>
      </c>
      <c r="S264" s="58" t="str">
        <f>IF($F$5,IF($L264="","",IFERROR(VLOOKUP($L264,day_data!$A:$I,8,FALSE),0)),NA())</f>
        <v/>
      </c>
      <c r="T264" s="60" t="e">
        <f>IF($F$7,IF($L264="","",IFERROR(VLOOKUP($L264,day_data!$A:$I,9,FALSE),0)),NA())</f>
        <v>#N/A</v>
      </c>
    </row>
    <row r="265" spans="12:20">
      <c r="L265" s="57" t="str">
        <f t="shared" si="4"/>
        <v/>
      </c>
      <c r="M265" s="11" t="str">
        <f>IF($F$1,IF($L265="","",IFERROR(VLOOKUP($L265,day_data!$A:$I,2,FALSE),0)),NA())</f>
        <v/>
      </c>
      <c r="N265" s="58" t="e">
        <f>IF($F$2,IF($L265="","",IFERROR(VLOOKUP($L265,day_data!$A:$I,3,FALSE),0)),NA())</f>
        <v>#N/A</v>
      </c>
      <c r="O265" s="11" t="e">
        <f>IF($F$3,IF($L265="","",IFERROR(VLOOKUP($L265,day_data!$A:$I,4,FALSE),0)),NA())</f>
        <v>#N/A</v>
      </c>
      <c r="P265" s="58" t="e">
        <f>IF($F$4,IF($L265="","",IFERROR(VLOOKUP($L265,day_data!$A:$I,5,FALSE),0)),NA())</f>
        <v>#N/A</v>
      </c>
      <c r="Q265" s="59" t="e">
        <f>IF($F$8,IF($L265="","",IFERROR(VLOOKUP($L265,day_data!$A:$I,6,FALSE),0)),NA())</f>
        <v>#N/A</v>
      </c>
      <c r="R265" s="11" t="e">
        <f>IF($F$6,IF($L265="","",IFERROR(VLOOKUP($L265,day_data!$A:$I,7,FALSE),0)),NA())</f>
        <v>#N/A</v>
      </c>
      <c r="S265" s="58" t="str">
        <f>IF($F$5,IF($L265="","",IFERROR(VLOOKUP($L265,day_data!$A:$I,8,FALSE),0)),NA())</f>
        <v/>
      </c>
      <c r="T265" s="60" t="e">
        <f>IF($F$7,IF($L265="","",IFERROR(VLOOKUP($L265,day_data!$A:$I,9,FALSE),0)),NA())</f>
        <v>#N/A</v>
      </c>
    </row>
    <row r="266" spans="12:20">
      <c r="L266" s="57" t="str">
        <f t="shared" si="4"/>
        <v/>
      </c>
      <c r="M266" s="11" t="str">
        <f>IF($F$1,IF($L266="","",IFERROR(VLOOKUP($L266,day_data!$A:$I,2,FALSE),0)),NA())</f>
        <v/>
      </c>
      <c r="N266" s="58" t="e">
        <f>IF($F$2,IF($L266="","",IFERROR(VLOOKUP($L266,day_data!$A:$I,3,FALSE),0)),NA())</f>
        <v>#N/A</v>
      </c>
      <c r="O266" s="11" t="e">
        <f>IF($F$3,IF($L266="","",IFERROR(VLOOKUP($L266,day_data!$A:$I,4,FALSE),0)),NA())</f>
        <v>#N/A</v>
      </c>
      <c r="P266" s="58" t="e">
        <f>IF($F$4,IF($L266="","",IFERROR(VLOOKUP($L266,day_data!$A:$I,5,FALSE),0)),NA())</f>
        <v>#N/A</v>
      </c>
      <c r="Q266" s="59" t="e">
        <f>IF($F$8,IF($L266="","",IFERROR(VLOOKUP($L266,day_data!$A:$I,6,FALSE),0)),NA())</f>
        <v>#N/A</v>
      </c>
      <c r="R266" s="11" t="e">
        <f>IF($F$6,IF($L266="","",IFERROR(VLOOKUP($L266,day_data!$A:$I,7,FALSE),0)),NA())</f>
        <v>#N/A</v>
      </c>
      <c r="S266" s="58" t="str">
        <f>IF($F$5,IF($L266="","",IFERROR(VLOOKUP($L266,day_data!$A:$I,8,FALSE),0)),NA())</f>
        <v/>
      </c>
      <c r="T266" s="60" t="e">
        <f>IF($F$7,IF($L266="","",IFERROR(VLOOKUP($L266,day_data!$A:$I,9,FALSE),0)),NA())</f>
        <v>#N/A</v>
      </c>
    </row>
    <row r="267" spans="12:20">
      <c r="L267" s="57" t="str">
        <f t="shared" si="4"/>
        <v/>
      </c>
      <c r="M267" s="11" t="str">
        <f>IF($F$1,IF($L267="","",IFERROR(VLOOKUP($L267,day_data!$A:$I,2,FALSE),0)),NA())</f>
        <v/>
      </c>
      <c r="N267" s="58" t="e">
        <f>IF($F$2,IF($L267="","",IFERROR(VLOOKUP($L267,day_data!$A:$I,3,FALSE),0)),NA())</f>
        <v>#N/A</v>
      </c>
      <c r="O267" s="11" t="e">
        <f>IF($F$3,IF($L267="","",IFERROR(VLOOKUP($L267,day_data!$A:$I,4,FALSE),0)),NA())</f>
        <v>#N/A</v>
      </c>
      <c r="P267" s="58" t="e">
        <f>IF($F$4,IF($L267="","",IFERROR(VLOOKUP($L267,day_data!$A:$I,5,FALSE),0)),NA())</f>
        <v>#N/A</v>
      </c>
      <c r="Q267" s="59" t="e">
        <f>IF($F$8,IF($L267="","",IFERROR(VLOOKUP($L267,day_data!$A:$I,6,FALSE),0)),NA())</f>
        <v>#N/A</v>
      </c>
      <c r="R267" s="11" t="e">
        <f>IF($F$6,IF($L267="","",IFERROR(VLOOKUP($L267,day_data!$A:$I,7,FALSE),0)),NA())</f>
        <v>#N/A</v>
      </c>
      <c r="S267" s="58" t="str">
        <f>IF($F$5,IF($L267="","",IFERROR(VLOOKUP($L267,day_data!$A:$I,8,FALSE),0)),NA())</f>
        <v/>
      </c>
      <c r="T267" s="60" t="e">
        <f>IF($F$7,IF($L267="","",IFERROR(VLOOKUP($L267,day_data!$A:$I,9,FALSE),0)),NA())</f>
        <v>#N/A</v>
      </c>
    </row>
    <row r="268" spans="12:20">
      <c r="L268" s="57" t="str">
        <f t="shared" si="4"/>
        <v/>
      </c>
      <c r="M268" s="11" t="str">
        <f>IF($F$1,IF($L268="","",IFERROR(VLOOKUP($L268,day_data!$A:$I,2,FALSE),0)),NA())</f>
        <v/>
      </c>
      <c r="N268" s="58" t="e">
        <f>IF($F$2,IF($L268="","",IFERROR(VLOOKUP($L268,day_data!$A:$I,3,FALSE),0)),NA())</f>
        <v>#N/A</v>
      </c>
      <c r="O268" s="11" t="e">
        <f>IF($F$3,IF($L268="","",IFERROR(VLOOKUP($L268,day_data!$A:$I,4,FALSE),0)),NA())</f>
        <v>#N/A</v>
      </c>
      <c r="P268" s="58" t="e">
        <f>IF($F$4,IF($L268="","",IFERROR(VLOOKUP($L268,day_data!$A:$I,5,FALSE),0)),NA())</f>
        <v>#N/A</v>
      </c>
      <c r="Q268" s="59" t="e">
        <f>IF($F$8,IF($L268="","",IFERROR(VLOOKUP($L268,day_data!$A:$I,6,FALSE),0)),NA())</f>
        <v>#N/A</v>
      </c>
      <c r="R268" s="11" t="e">
        <f>IF($F$6,IF($L268="","",IFERROR(VLOOKUP($L268,day_data!$A:$I,7,FALSE),0)),NA())</f>
        <v>#N/A</v>
      </c>
      <c r="S268" s="58" t="str">
        <f>IF($F$5,IF($L268="","",IFERROR(VLOOKUP($L268,day_data!$A:$I,8,FALSE),0)),NA())</f>
        <v/>
      </c>
      <c r="T268" s="60" t="e">
        <f>IF($F$7,IF($L268="","",IFERROR(VLOOKUP($L268,day_data!$A:$I,9,FALSE),0)),NA())</f>
        <v>#N/A</v>
      </c>
    </row>
    <row r="269" spans="12:20">
      <c r="L269" s="57" t="str">
        <f t="shared" si="4"/>
        <v/>
      </c>
      <c r="M269" s="11" t="str">
        <f>IF($F$1,IF($L269="","",IFERROR(VLOOKUP($L269,day_data!$A:$I,2,FALSE),0)),NA())</f>
        <v/>
      </c>
      <c r="N269" s="58" t="e">
        <f>IF($F$2,IF($L269="","",IFERROR(VLOOKUP($L269,day_data!$A:$I,3,FALSE),0)),NA())</f>
        <v>#N/A</v>
      </c>
      <c r="O269" s="11" t="e">
        <f>IF($F$3,IF($L269="","",IFERROR(VLOOKUP($L269,day_data!$A:$I,4,FALSE),0)),NA())</f>
        <v>#N/A</v>
      </c>
      <c r="P269" s="58" t="e">
        <f>IF($F$4,IF($L269="","",IFERROR(VLOOKUP($L269,day_data!$A:$I,5,FALSE),0)),NA())</f>
        <v>#N/A</v>
      </c>
      <c r="Q269" s="59" t="e">
        <f>IF($F$8,IF($L269="","",IFERROR(VLOOKUP($L269,day_data!$A:$I,6,FALSE),0)),NA())</f>
        <v>#N/A</v>
      </c>
      <c r="R269" s="11" t="e">
        <f>IF($F$6,IF($L269="","",IFERROR(VLOOKUP($L269,day_data!$A:$I,7,FALSE),0)),NA())</f>
        <v>#N/A</v>
      </c>
      <c r="S269" s="58" t="str">
        <f>IF($F$5,IF($L269="","",IFERROR(VLOOKUP($L269,day_data!$A:$I,8,FALSE),0)),NA())</f>
        <v/>
      </c>
      <c r="T269" s="60" t="e">
        <f>IF($F$7,IF($L269="","",IFERROR(VLOOKUP($L269,day_data!$A:$I,9,FALSE),0)),NA())</f>
        <v>#N/A</v>
      </c>
    </row>
    <row r="270" spans="12:20">
      <c r="L270" s="57" t="str">
        <f t="shared" si="4"/>
        <v/>
      </c>
      <c r="M270" s="11" t="str">
        <f>IF($F$1,IF($L270="","",IFERROR(VLOOKUP($L270,day_data!$A:$I,2,FALSE),0)),NA())</f>
        <v/>
      </c>
      <c r="N270" s="58" t="e">
        <f>IF($F$2,IF($L270="","",IFERROR(VLOOKUP($L270,day_data!$A:$I,3,FALSE),0)),NA())</f>
        <v>#N/A</v>
      </c>
      <c r="O270" s="11" t="e">
        <f>IF($F$3,IF($L270="","",IFERROR(VLOOKUP($L270,day_data!$A:$I,4,FALSE),0)),NA())</f>
        <v>#N/A</v>
      </c>
      <c r="P270" s="58" t="e">
        <f>IF($F$4,IF($L270="","",IFERROR(VLOOKUP($L270,day_data!$A:$I,5,FALSE),0)),NA())</f>
        <v>#N/A</v>
      </c>
      <c r="Q270" s="59" t="e">
        <f>IF($F$8,IF($L270="","",IFERROR(VLOOKUP($L270,day_data!$A:$I,6,FALSE),0)),NA())</f>
        <v>#N/A</v>
      </c>
      <c r="R270" s="11" t="e">
        <f>IF($F$6,IF($L270="","",IFERROR(VLOOKUP($L270,day_data!$A:$I,7,FALSE),0)),NA())</f>
        <v>#N/A</v>
      </c>
      <c r="S270" s="58" t="str">
        <f>IF($F$5,IF($L270="","",IFERROR(VLOOKUP($L270,day_data!$A:$I,8,FALSE),0)),NA())</f>
        <v/>
      </c>
      <c r="T270" s="60" t="e">
        <f>IF($F$7,IF($L270="","",IFERROR(VLOOKUP($L270,day_data!$A:$I,9,FALSE),0)),NA())</f>
        <v>#N/A</v>
      </c>
    </row>
    <row r="271" spans="12:20">
      <c r="L271" s="57" t="str">
        <f t="shared" si="4"/>
        <v/>
      </c>
      <c r="M271" s="11" t="str">
        <f>IF($F$1,IF($L271="","",IFERROR(VLOOKUP($L271,day_data!$A:$I,2,FALSE),0)),NA())</f>
        <v/>
      </c>
      <c r="N271" s="58" t="e">
        <f>IF($F$2,IF($L271="","",IFERROR(VLOOKUP($L271,day_data!$A:$I,3,FALSE),0)),NA())</f>
        <v>#N/A</v>
      </c>
      <c r="O271" s="11" t="e">
        <f>IF($F$3,IF($L271="","",IFERROR(VLOOKUP($L271,day_data!$A:$I,4,FALSE),0)),NA())</f>
        <v>#N/A</v>
      </c>
      <c r="P271" s="58" t="e">
        <f>IF($F$4,IF($L271="","",IFERROR(VLOOKUP($L271,day_data!$A:$I,5,FALSE),0)),NA())</f>
        <v>#N/A</v>
      </c>
      <c r="Q271" s="59" t="e">
        <f>IF($F$8,IF($L271="","",IFERROR(VLOOKUP($L271,day_data!$A:$I,6,FALSE),0)),NA())</f>
        <v>#N/A</v>
      </c>
      <c r="R271" s="11" t="e">
        <f>IF($F$6,IF($L271="","",IFERROR(VLOOKUP($L271,day_data!$A:$I,7,FALSE),0)),NA())</f>
        <v>#N/A</v>
      </c>
      <c r="S271" s="58" t="str">
        <f>IF($F$5,IF($L271="","",IFERROR(VLOOKUP($L271,day_data!$A:$I,8,FALSE),0)),NA())</f>
        <v/>
      </c>
      <c r="T271" s="60" t="e">
        <f>IF($F$7,IF($L271="","",IFERROR(VLOOKUP($L271,day_data!$A:$I,9,FALSE),0)),NA())</f>
        <v>#N/A</v>
      </c>
    </row>
    <row r="272" spans="12:20">
      <c r="L272" s="57" t="str">
        <f t="shared" si="4"/>
        <v/>
      </c>
      <c r="M272" s="11" t="str">
        <f>IF($F$1,IF($L272="","",IFERROR(VLOOKUP($L272,day_data!$A:$I,2,FALSE),0)),NA())</f>
        <v/>
      </c>
      <c r="N272" s="58" t="e">
        <f>IF($F$2,IF($L272="","",IFERROR(VLOOKUP($L272,day_data!$A:$I,3,FALSE),0)),NA())</f>
        <v>#N/A</v>
      </c>
      <c r="O272" s="11" t="e">
        <f>IF($F$3,IF($L272="","",IFERROR(VLOOKUP($L272,day_data!$A:$I,4,FALSE),0)),NA())</f>
        <v>#N/A</v>
      </c>
      <c r="P272" s="58" t="e">
        <f>IF($F$4,IF($L272="","",IFERROR(VLOOKUP($L272,day_data!$A:$I,5,FALSE),0)),NA())</f>
        <v>#N/A</v>
      </c>
      <c r="Q272" s="59" t="e">
        <f>IF($F$8,IF($L272="","",IFERROR(VLOOKUP($L272,day_data!$A:$I,6,FALSE),0)),NA())</f>
        <v>#N/A</v>
      </c>
      <c r="R272" s="11" t="e">
        <f>IF($F$6,IF($L272="","",IFERROR(VLOOKUP($L272,day_data!$A:$I,7,FALSE),0)),NA())</f>
        <v>#N/A</v>
      </c>
      <c r="S272" s="58" t="str">
        <f>IF($F$5,IF($L272="","",IFERROR(VLOOKUP($L272,day_data!$A:$I,8,FALSE),0)),NA())</f>
        <v/>
      </c>
      <c r="T272" s="60" t="e">
        <f>IF($F$7,IF($L272="","",IFERROR(VLOOKUP($L272,day_data!$A:$I,9,FALSE),0)),NA())</f>
        <v>#N/A</v>
      </c>
    </row>
    <row r="273" spans="12:20">
      <c r="L273" s="57" t="str">
        <f t="shared" si="4"/>
        <v/>
      </c>
      <c r="M273" s="11" t="str">
        <f>IF($F$1,IF($L273="","",IFERROR(VLOOKUP($L273,day_data!$A:$I,2,FALSE),0)),NA())</f>
        <v/>
      </c>
      <c r="N273" s="58" t="e">
        <f>IF($F$2,IF($L273="","",IFERROR(VLOOKUP($L273,day_data!$A:$I,3,FALSE),0)),NA())</f>
        <v>#N/A</v>
      </c>
      <c r="O273" s="11" t="e">
        <f>IF($F$3,IF($L273="","",IFERROR(VLOOKUP($L273,day_data!$A:$I,4,FALSE),0)),NA())</f>
        <v>#N/A</v>
      </c>
      <c r="P273" s="58" t="e">
        <f>IF($F$4,IF($L273="","",IFERROR(VLOOKUP($L273,day_data!$A:$I,5,FALSE),0)),NA())</f>
        <v>#N/A</v>
      </c>
      <c r="Q273" s="59" t="e">
        <f>IF($F$8,IF($L273="","",IFERROR(VLOOKUP($L273,day_data!$A:$I,6,FALSE),0)),NA())</f>
        <v>#N/A</v>
      </c>
      <c r="R273" s="11" t="e">
        <f>IF($F$6,IF($L273="","",IFERROR(VLOOKUP($L273,day_data!$A:$I,7,FALSE),0)),NA())</f>
        <v>#N/A</v>
      </c>
      <c r="S273" s="58" t="str">
        <f>IF($F$5,IF($L273="","",IFERROR(VLOOKUP($L273,day_data!$A:$I,8,FALSE),0)),NA())</f>
        <v/>
      </c>
      <c r="T273" s="60" t="e">
        <f>IF($F$7,IF($L273="","",IFERROR(VLOOKUP($L273,day_data!$A:$I,9,FALSE),0)),NA())</f>
        <v>#N/A</v>
      </c>
    </row>
    <row r="274" spans="12:20">
      <c r="L274" s="57" t="str">
        <f t="shared" si="4"/>
        <v/>
      </c>
      <c r="M274" s="11" t="str">
        <f>IF($F$1,IF($L274="","",IFERROR(VLOOKUP($L274,day_data!$A:$I,2,FALSE),0)),NA())</f>
        <v/>
      </c>
      <c r="N274" s="58" t="e">
        <f>IF($F$2,IF($L274="","",IFERROR(VLOOKUP($L274,day_data!$A:$I,3,FALSE),0)),NA())</f>
        <v>#N/A</v>
      </c>
      <c r="O274" s="11" t="e">
        <f>IF($F$3,IF($L274="","",IFERROR(VLOOKUP($L274,day_data!$A:$I,4,FALSE),0)),NA())</f>
        <v>#N/A</v>
      </c>
      <c r="P274" s="58" t="e">
        <f>IF($F$4,IF($L274="","",IFERROR(VLOOKUP($L274,day_data!$A:$I,5,FALSE),0)),NA())</f>
        <v>#N/A</v>
      </c>
      <c r="Q274" s="59" t="e">
        <f>IF($F$8,IF($L274="","",IFERROR(VLOOKUP($L274,day_data!$A:$I,6,FALSE),0)),NA())</f>
        <v>#N/A</v>
      </c>
      <c r="R274" s="11" t="e">
        <f>IF($F$6,IF($L274="","",IFERROR(VLOOKUP($L274,day_data!$A:$I,7,FALSE),0)),NA())</f>
        <v>#N/A</v>
      </c>
      <c r="S274" s="58" t="str">
        <f>IF($F$5,IF($L274="","",IFERROR(VLOOKUP($L274,day_data!$A:$I,8,FALSE),0)),NA())</f>
        <v/>
      </c>
      <c r="T274" s="60" t="e">
        <f>IF($F$7,IF($L274="","",IFERROR(VLOOKUP($L274,day_data!$A:$I,9,FALSE),0)),NA())</f>
        <v>#N/A</v>
      </c>
    </row>
    <row r="275" spans="12:20">
      <c r="L275" s="57" t="str">
        <f t="shared" si="4"/>
        <v/>
      </c>
      <c r="M275" s="11" t="str">
        <f>IF($F$1,IF($L275="","",IFERROR(VLOOKUP($L275,day_data!$A:$I,2,FALSE),0)),NA())</f>
        <v/>
      </c>
      <c r="N275" s="58" t="e">
        <f>IF($F$2,IF($L275="","",IFERROR(VLOOKUP($L275,day_data!$A:$I,3,FALSE),0)),NA())</f>
        <v>#N/A</v>
      </c>
      <c r="O275" s="11" t="e">
        <f>IF($F$3,IF($L275="","",IFERROR(VLOOKUP($L275,day_data!$A:$I,4,FALSE),0)),NA())</f>
        <v>#N/A</v>
      </c>
      <c r="P275" s="58" t="e">
        <f>IF($F$4,IF($L275="","",IFERROR(VLOOKUP($L275,day_data!$A:$I,5,FALSE),0)),NA())</f>
        <v>#N/A</v>
      </c>
      <c r="Q275" s="59" t="e">
        <f>IF($F$8,IF($L275="","",IFERROR(VLOOKUP($L275,day_data!$A:$I,6,FALSE),0)),NA())</f>
        <v>#N/A</v>
      </c>
      <c r="R275" s="11" t="e">
        <f>IF($F$6,IF($L275="","",IFERROR(VLOOKUP($L275,day_data!$A:$I,7,FALSE),0)),NA())</f>
        <v>#N/A</v>
      </c>
      <c r="S275" s="58" t="str">
        <f>IF($F$5,IF($L275="","",IFERROR(VLOOKUP($L275,day_data!$A:$I,8,FALSE),0)),NA())</f>
        <v/>
      </c>
      <c r="T275" s="60" t="e">
        <f>IF($F$7,IF($L275="","",IFERROR(VLOOKUP($L275,day_data!$A:$I,9,FALSE),0)),NA())</f>
        <v>#N/A</v>
      </c>
    </row>
    <row r="276" spans="12:20">
      <c r="L276" s="57" t="str">
        <f t="shared" si="4"/>
        <v/>
      </c>
      <c r="M276" s="11" t="str">
        <f>IF($F$1,IF($L276="","",IFERROR(VLOOKUP($L276,day_data!$A:$I,2,FALSE),0)),NA())</f>
        <v/>
      </c>
      <c r="N276" s="58" t="e">
        <f>IF($F$2,IF($L276="","",IFERROR(VLOOKUP($L276,day_data!$A:$I,3,FALSE),0)),NA())</f>
        <v>#N/A</v>
      </c>
      <c r="O276" s="11" t="e">
        <f>IF($F$3,IF($L276="","",IFERROR(VLOOKUP($L276,day_data!$A:$I,4,FALSE),0)),NA())</f>
        <v>#N/A</v>
      </c>
      <c r="P276" s="58" t="e">
        <f>IF($F$4,IF($L276="","",IFERROR(VLOOKUP($L276,day_data!$A:$I,5,FALSE),0)),NA())</f>
        <v>#N/A</v>
      </c>
      <c r="Q276" s="59" t="e">
        <f>IF($F$8,IF($L276="","",IFERROR(VLOOKUP($L276,day_data!$A:$I,6,FALSE),0)),NA())</f>
        <v>#N/A</v>
      </c>
      <c r="R276" s="11" t="e">
        <f>IF($F$6,IF($L276="","",IFERROR(VLOOKUP($L276,day_data!$A:$I,7,FALSE),0)),NA())</f>
        <v>#N/A</v>
      </c>
      <c r="S276" s="58" t="str">
        <f>IF($F$5,IF($L276="","",IFERROR(VLOOKUP($L276,day_data!$A:$I,8,FALSE),0)),NA())</f>
        <v/>
      </c>
      <c r="T276" s="60" t="e">
        <f>IF($F$7,IF($L276="","",IFERROR(VLOOKUP($L276,day_data!$A:$I,9,FALSE),0)),NA())</f>
        <v>#N/A</v>
      </c>
    </row>
    <row r="277" spans="12:20">
      <c r="L277" s="57" t="str">
        <f t="shared" si="4"/>
        <v/>
      </c>
      <c r="M277" s="11" t="str">
        <f>IF($F$1,IF($L277="","",IFERROR(VLOOKUP($L277,day_data!$A:$I,2,FALSE),0)),NA())</f>
        <v/>
      </c>
      <c r="N277" s="58" t="e">
        <f>IF($F$2,IF($L277="","",IFERROR(VLOOKUP($L277,day_data!$A:$I,3,FALSE),0)),NA())</f>
        <v>#N/A</v>
      </c>
      <c r="O277" s="11" t="e">
        <f>IF($F$3,IF($L277="","",IFERROR(VLOOKUP($L277,day_data!$A:$I,4,FALSE),0)),NA())</f>
        <v>#N/A</v>
      </c>
      <c r="P277" s="58" t="e">
        <f>IF($F$4,IF($L277="","",IFERROR(VLOOKUP($L277,day_data!$A:$I,5,FALSE),0)),NA())</f>
        <v>#N/A</v>
      </c>
      <c r="Q277" s="59" t="e">
        <f>IF($F$8,IF($L277="","",IFERROR(VLOOKUP($L277,day_data!$A:$I,6,FALSE),0)),NA())</f>
        <v>#N/A</v>
      </c>
      <c r="R277" s="11" t="e">
        <f>IF($F$6,IF($L277="","",IFERROR(VLOOKUP($L277,day_data!$A:$I,7,FALSE),0)),NA())</f>
        <v>#N/A</v>
      </c>
      <c r="S277" s="58" t="str">
        <f>IF($F$5,IF($L277="","",IFERROR(VLOOKUP($L277,day_data!$A:$I,8,FALSE),0)),NA())</f>
        <v/>
      </c>
      <c r="T277" s="60" t="e">
        <f>IF($F$7,IF($L277="","",IFERROR(VLOOKUP($L277,day_data!$A:$I,9,FALSE),0)),NA())</f>
        <v>#N/A</v>
      </c>
    </row>
    <row r="278" spans="12:20">
      <c r="L278" s="57" t="str">
        <f t="shared" si="4"/>
        <v/>
      </c>
      <c r="M278" s="11" t="str">
        <f>IF($F$1,IF($L278="","",IFERROR(VLOOKUP($L278,day_data!$A:$I,2,FALSE),0)),NA())</f>
        <v/>
      </c>
      <c r="N278" s="58" t="e">
        <f>IF($F$2,IF($L278="","",IFERROR(VLOOKUP($L278,day_data!$A:$I,3,FALSE),0)),NA())</f>
        <v>#N/A</v>
      </c>
      <c r="O278" s="11" t="e">
        <f>IF($F$3,IF($L278="","",IFERROR(VLOOKUP($L278,day_data!$A:$I,4,FALSE),0)),NA())</f>
        <v>#N/A</v>
      </c>
      <c r="P278" s="58" t="e">
        <f>IF($F$4,IF($L278="","",IFERROR(VLOOKUP($L278,day_data!$A:$I,5,FALSE),0)),NA())</f>
        <v>#N/A</v>
      </c>
      <c r="Q278" s="59" t="e">
        <f>IF($F$8,IF($L278="","",IFERROR(VLOOKUP($L278,day_data!$A:$I,6,FALSE),0)),NA())</f>
        <v>#N/A</v>
      </c>
      <c r="R278" s="11" t="e">
        <f>IF($F$6,IF($L278="","",IFERROR(VLOOKUP($L278,day_data!$A:$I,7,FALSE),0)),NA())</f>
        <v>#N/A</v>
      </c>
      <c r="S278" s="58" t="str">
        <f>IF($F$5,IF($L278="","",IFERROR(VLOOKUP($L278,day_data!$A:$I,8,FALSE),0)),NA())</f>
        <v/>
      </c>
      <c r="T278" s="60" t="e">
        <f>IF($F$7,IF($L278="","",IFERROR(VLOOKUP($L278,day_data!$A:$I,9,FALSE),0)),NA())</f>
        <v>#N/A</v>
      </c>
    </row>
    <row r="279" spans="12:20">
      <c r="L279" s="57" t="str">
        <f t="shared" si="4"/>
        <v/>
      </c>
      <c r="M279" s="11" t="str">
        <f>IF($F$1,IF($L279="","",IFERROR(VLOOKUP($L279,day_data!$A:$I,2,FALSE),0)),NA())</f>
        <v/>
      </c>
      <c r="N279" s="58" t="e">
        <f>IF($F$2,IF($L279="","",IFERROR(VLOOKUP($L279,day_data!$A:$I,3,FALSE),0)),NA())</f>
        <v>#N/A</v>
      </c>
      <c r="O279" s="11" t="e">
        <f>IF($F$3,IF($L279="","",IFERROR(VLOOKUP($L279,day_data!$A:$I,4,FALSE),0)),NA())</f>
        <v>#N/A</v>
      </c>
      <c r="P279" s="58" t="e">
        <f>IF($F$4,IF($L279="","",IFERROR(VLOOKUP($L279,day_data!$A:$I,5,FALSE),0)),NA())</f>
        <v>#N/A</v>
      </c>
      <c r="Q279" s="59" t="e">
        <f>IF($F$8,IF($L279="","",IFERROR(VLOOKUP($L279,day_data!$A:$I,6,FALSE),0)),NA())</f>
        <v>#N/A</v>
      </c>
      <c r="R279" s="11" t="e">
        <f>IF($F$6,IF($L279="","",IFERROR(VLOOKUP($L279,day_data!$A:$I,7,FALSE),0)),NA())</f>
        <v>#N/A</v>
      </c>
      <c r="S279" s="58" t="str">
        <f>IF($F$5,IF($L279="","",IFERROR(VLOOKUP($L279,day_data!$A:$I,8,FALSE),0)),NA())</f>
        <v/>
      </c>
      <c r="T279" s="60" t="e">
        <f>IF($F$7,IF($L279="","",IFERROR(VLOOKUP($L279,day_data!$A:$I,9,FALSE),0)),NA())</f>
        <v>#N/A</v>
      </c>
    </row>
    <row r="280" spans="12:20">
      <c r="L280" s="57" t="str">
        <f t="shared" si="4"/>
        <v/>
      </c>
      <c r="M280" s="11" t="str">
        <f>IF($F$1,IF($L280="","",IFERROR(VLOOKUP($L280,day_data!$A:$I,2,FALSE),0)),NA())</f>
        <v/>
      </c>
      <c r="N280" s="58" t="e">
        <f>IF($F$2,IF($L280="","",IFERROR(VLOOKUP($L280,day_data!$A:$I,3,FALSE),0)),NA())</f>
        <v>#N/A</v>
      </c>
      <c r="O280" s="11" t="e">
        <f>IF($F$3,IF($L280="","",IFERROR(VLOOKUP($L280,day_data!$A:$I,4,FALSE),0)),NA())</f>
        <v>#N/A</v>
      </c>
      <c r="P280" s="58" t="e">
        <f>IF($F$4,IF($L280="","",IFERROR(VLOOKUP($L280,day_data!$A:$I,5,FALSE),0)),NA())</f>
        <v>#N/A</v>
      </c>
      <c r="Q280" s="59" t="e">
        <f>IF($F$8,IF($L280="","",IFERROR(VLOOKUP($L280,day_data!$A:$I,6,FALSE),0)),NA())</f>
        <v>#N/A</v>
      </c>
      <c r="R280" s="11" t="e">
        <f>IF($F$6,IF($L280="","",IFERROR(VLOOKUP($L280,day_data!$A:$I,7,FALSE),0)),NA())</f>
        <v>#N/A</v>
      </c>
      <c r="S280" s="58" t="str">
        <f>IF($F$5,IF($L280="","",IFERROR(VLOOKUP($L280,day_data!$A:$I,8,FALSE),0)),NA())</f>
        <v/>
      </c>
      <c r="T280" s="60" t="e">
        <f>IF($F$7,IF($L280="","",IFERROR(VLOOKUP($L280,day_data!$A:$I,9,FALSE),0)),NA())</f>
        <v>#N/A</v>
      </c>
    </row>
    <row r="281" spans="12:20">
      <c r="L281" s="57" t="str">
        <f t="shared" si="4"/>
        <v/>
      </c>
      <c r="M281" s="11" t="str">
        <f>IF($F$1,IF($L281="","",IFERROR(VLOOKUP($L281,day_data!$A:$I,2,FALSE),0)),NA())</f>
        <v/>
      </c>
      <c r="N281" s="58" t="e">
        <f>IF($F$2,IF($L281="","",IFERROR(VLOOKUP($L281,day_data!$A:$I,3,FALSE),0)),NA())</f>
        <v>#N/A</v>
      </c>
      <c r="O281" s="11" t="e">
        <f>IF($F$3,IF($L281="","",IFERROR(VLOOKUP($L281,day_data!$A:$I,4,FALSE),0)),NA())</f>
        <v>#N/A</v>
      </c>
      <c r="P281" s="58" t="e">
        <f>IF($F$4,IF($L281="","",IFERROR(VLOOKUP($L281,day_data!$A:$I,5,FALSE),0)),NA())</f>
        <v>#N/A</v>
      </c>
      <c r="Q281" s="59" t="e">
        <f>IF($F$8,IF($L281="","",IFERROR(VLOOKUP($L281,day_data!$A:$I,6,FALSE),0)),NA())</f>
        <v>#N/A</v>
      </c>
      <c r="R281" s="11" t="e">
        <f>IF($F$6,IF($L281="","",IFERROR(VLOOKUP($L281,day_data!$A:$I,7,FALSE),0)),NA())</f>
        <v>#N/A</v>
      </c>
      <c r="S281" s="58" t="str">
        <f>IF($F$5,IF($L281="","",IFERROR(VLOOKUP($L281,day_data!$A:$I,8,FALSE),0)),NA())</f>
        <v/>
      </c>
      <c r="T281" s="60" t="e">
        <f>IF($F$7,IF($L281="","",IFERROR(VLOOKUP($L281,day_data!$A:$I,9,FALSE),0)),NA())</f>
        <v>#N/A</v>
      </c>
    </row>
    <row r="282" spans="12:20">
      <c r="L282" s="57" t="str">
        <f t="shared" si="4"/>
        <v/>
      </c>
      <c r="M282" s="11" t="str">
        <f>IF($F$1,IF($L282="","",IFERROR(VLOOKUP($L282,day_data!$A:$I,2,FALSE),0)),NA())</f>
        <v/>
      </c>
      <c r="N282" s="58" t="e">
        <f>IF($F$2,IF($L282="","",IFERROR(VLOOKUP($L282,day_data!$A:$I,3,FALSE),0)),NA())</f>
        <v>#N/A</v>
      </c>
      <c r="O282" s="11" t="e">
        <f>IF($F$3,IF($L282="","",IFERROR(VLOOKUP($L282,day_data!$A:$I,4,FALSE),0)),NA())</f>
        <v>#N/A</v>
      </c>
      <c r="P282" s="58" t="e">
        <f>IF($F$4,IF($L282="","",IFERROR(VLOOKUP($L282,day_data!$A:$I,5,FALSE),0)),NA())</f>
        <v>#N/A</v>
      </c>
      <c r="Q282" s="59" t="e">
        <f>IF($F$8,IF($L282="","",IFERROR(VLOOKUP($L282,day_data!$A:$I,6,FALSE),0)),NA())</f>
        <v>#N/A</v>
      </c>
      <c r="R282" s="11" t="e">
        <f>IF($F$6,IF($L282="","",IFERROR(VLOOKUP($L282,day_data!$A:$I,7,FALSE),0)),NA())</f>
        <v>#N/A</v>
      </c>
      <c r="S282" s="58" t="str">
        <f>IF($F$5,IF($L282="","",IFERROR(VLOOKUP($L282,day_data!$A:$I,8,FALSE),0)),NA())</f>
        <v/>
      </c>
      <c r="T282" s="60" t="e">
        <f>IF($F$7,IF($L282="","",IFERROR(VLOOKUP($L282,day_data!$A:$I,9,FALSE),0)),NA())</f>
        <v>#N/A</v>
      </c>
    </row>
    <row r="283" spans="12:20">
      <c r="L283" s="57" t="str">
        <f t="shared" si="4"/>
        <v/>
      </c>
      <c r="M283" s="11" t="str">
        <f>IF($F$1,IF($L283="","",IFERROR(VLOOKUP($L283,day_data!$A:$I,2,FALSE),0)),NA())</f>
        <v/>
      </c>
      <c r="N283" s="58" t="e">
        <f>IF($F$2,IF($L283="","",IFERROR(VLOOKUP($L283,day_data!$A:$I,3,FALSE),0)),NA())</f>
        <v>#N/A</v>
      </c>
      <c r="O283" s="11" t="e">
        <f>IF($F$3,IF($L283="","",IFERROR(VLOOKUP($L283,day_data!$A:$I,4,FALSE),0)),NA())</f>
        <v>#N/A</v>
      </c>
      <c r="P283" s="58" t="e">
        <f>IF($F$4,IF($L283="","",IFERROR(VLOOKUP($L283,day_data!$A:$I,5,FALSE),0)),NA())</f>
        <v>#N/A</v>
      </c>
      <c r="Q283" s="59" t="e">
        <f>IF($F$8,IF($L283="","",IFERROR(VLOOKUP($L283,day_data!$A:$I,6,FALSE),0)),NA())</f>
        <v>#N/A</v>
      </c>
      <c r="R283" s="11" t="e">
        <f>IF($F$6,IF($L283="","",IFERROR(VLOOKUP($L283,day_data!$A:$I,7,FALSE),0)),NA())</f>
        <v>#N/A</v>
      </c>
      <c r="S283" s="58" t="str">
        <f>IF($F$5,IF($L283="","",IFERROR(VLOOKUP($L283,day_data!$A:$I,8,FALSE),0)),NA())</f>
        <v/>
      </c>
      <c r="T283" s="60" t="e">
        <f>IF($F$7,IF($L283="","",IFERROR(VLOOKUP($L283,day_data!$A:$I,9,FALSE),0)),NA())</f>
        <v>#N/A</v>
      </c>
    </row>
    <row r="284" spans="12:20">
      <c r="L284" s="57" t="str">
        <f t="shared" si="4"/>
        <v/>
      </c>
      <c r="M284" s="11" t="str">
        <f>IF($F$1,IF($L284="","",IFERROR(VLOOKUP($L284,day_data!$A:$I,2,FALSE),0)),NA())</f>
        <v/>
      </c>
      <c r="N284" s="58" t="e">
        <f>IF($F$2,IF($L284="","",IFERROR(VLOOKUP($L284,day_data!$A:$I,3,FALSE),0)),NA())</f>
        <v>#N/A</v>
      </c>
      <c r="O284" s="11" t="e">
        <f>IF($F$3,IF($L284="","",IFERROR(VLOOKUP($L284,day_data!$A:$I,4,FALSE),0)),NA())</f>
        <v>#N/A</v>
      </c>
      <c r="P284" s="58" t="e">
        <f>IF($F$4,IF($L284="","",IFERROR(VLOOKUP($L284,day_data!$A:$I,5,FALSE),0)),NA())</f>
        <v>#N/A</v>
      </c>
      <c r="Q284" s="59" t="e">
        <f>IF($F$8,IF($L284="","",IFERROR(VLOOKUP($L284,day_data!$A:$I,6,FALSE),0)),NA())</f>
        <v>#N/A</v>
      </c>
      <c r="R284" s="11" t="e">
        <f>IF($F$6,IF($L284="","",IFERROR(VLOOKUP($L284,day_data!$A:$I,7,FALSE),0)),NA())</f>
        <v>#N/A</v>
      </c>
      <c r="S284" s="58" t="str">
        <f>IF($F$5,IF($L284="","",IFERROR(VLOOKUP($L284,day_data!$A:$I,8,FALSE),0)),NA())</f>
        <v/>
      </c>
      <c r="T284" s="60" t="e">
        <f>IF($F$7,IF($L284="","",IFERROR(VLOOKUP($L284,day_data!$A:$I,9,FALSE),0)),NA())</f>
        <v>#N/A</v>
      </c>
    </row>
    <row r="285" spans="12:20">
      <c r="L285" s="57" t="str">
        <f t="shared" si="4"/>
        <v/>
      </c>
      <c r="M285" s="11" t="str">
        <f>IF($F$1,IF($L285="","",IFERROR(VLOOKUP($L285,day_data!$A:$I,2,FALSE),0)),NA())</f>
        <v/>
      </c>
      <c r="N285" s="58" t="e">
        <f>IF($F$2,IF($L285="","",IFERROR(VLOOKUP($L285,day_data!$A:$I,3,FALSE),0)),NA())</f>
        <v>#N/A</v>
      </c>
      <c r="O285" s="11" t="e">
        <f>IF($F$3,IF($L285="","",IFERROR(VLOOKUP($L285,day_data!$A:$I,4,FALSE),0)),NA())</f>
        <v>#N/A</v>
      </c>
      <c r="P285" s="58" t="e">
        <f>IF($F$4,IF($L285="","",IFERROR(VLOOKUP($L285,day_data!$A:$I,5,FALSE),0)),NA())</f>
        <v>#N/A</v>
      </c>
      <c r="Q285" s="59" t="e">
        <f>IF($F$8,IF($L285="","",IFERROR(VLOOKUP($L285,day_data!$A:$I,6,FALSE),0)),NA())</f>
        <v>#N/A</v>
      </c>
      <c r="R285" s="11" t="e">
        <f>IF($F$6,IF($L285="","",IFERROR(VLOOKUP($L285,day_data!$A:$I,7,FALSE),0)),NA())</f>
        <v>#N/A</v>
      </c>
      <c r="S285" s="58" t="str">
        <f>IF($F$5,IF($L285="","",IFERROR(VLOOKUP($L285,day_data!$A:$I,8,FALSE),0)),NA())</f>
        <v/>
      </c>
      <c r="T285" s="60" t="e">
        <f>IF($F$7,IF($L285="","",IFERROR(VLOOKUP($L285,day_data!$A:$I,9,FALSE),0)),NA())</f>
        <v>#N/A</v>
      </c>
    </row>
    <row r="286" spans="12:20">
      <c r="L286" s="57" t="str">
        <f t="shared" si="4"/>
        <v/>
      </c>
      <c r="M286" s="11" t="str">
        <f>IF($F$1,IF($L286="","",IFERROR(VLOOKUP($L286,day_data!$A:$I,2,FALSE),0)),NA())</f>
        <v/>
      </c>
      <c r="N286" s="58" t="e">
        <f>IF($F$2,IF($L286="","",IFERROR(VLOOKUP($L286,day_data!$A:$I,3,FALSE),0)),NA())</f>
        <v>#N/A</v>
      </c>
      <c r="O286" s="11" t="e">
        <f>IF($F$3,IF($L286="","",IFERROR(VLOOKUP($L286,day_data!$A:$I,4,FALSE),0)),NA())</f>
        <v>#N/A</v>
      </c>
      <c r="P286" s="58" t="e">
        <f>IF($F$4,IF($L286="","",IFERROR(VLOOKUP($L286,day_data!$A:$I,5,FALSE),0)),NA())</f>
        <v>#N/A</v>
      </c>
      <c r="Q286" s="59" t="e">
        <f>IF($F$8,IF($L286="","",IFERROR(VLOOKUP($L286,day_data!$A:$I,6,FALSE),0)),NA())</f>
        <v>#N/A</v>
      </c>
      <c r="R286" s="11" t="e">
        <f>IF($F$6,IF($L286="","",IFERROR(VLOOKUP($L286,day_data!$A:$I,7,FALSE),0)),NA())</f>
        <v>#N/A</v>
      </c>
      <c r="S286" s="58" t="str">
        <f>IF($F$5,IF($L286="","",IFERROR(VLOOKUP($L286,day_data!$A:$I,8,FALSE),0)),NA())</f>
        <v/>
      </c>
      <c r="T286" s="60" t="e">
        <f>IF($F$7,IF($L286="","",IFERROR(VLOOKUP($L286,day_data!$A:$I,9,FALSE),0)),NA())</f>
        <v>#N/A</v>
      </c>
    </row>
    <row r="287" spans="12:20">
      <c r="L287" s="57" t="str">
        <f t="shared" si="4"/>
        <v/>
      </c>
      <c r="M287" s="11" t="str">
        <f>IF($F$1,IF($L287="","",IFERROR(VLOOKUP($L287,day_data!$A:$I,2,FALSE),0)),NA())</f>
        <v/>
      </c>
      <c r="N287" s="58" t="e">
        <f>IF($F$2,IF($L287="","",IFERROR(VLOOKUP($L287,day_data!$A:$I,3,FALSE),0)),NA())</f>
        <v>#N/A</v>
      </c>
      <c r="O287" s="11" t="e">
        <f>IF($F$3,IF($L287="","",IFERROR(VLOOKUP($L287,day_data!$A:$I,4,FALSE),0)),NA())</f>
        <v>#N/A</v>
      </c>
      <c r="P287" s="58" t="e">
        <f>IF($F$4,IF($L287="","",IFERROR(VLOOKUP($L287,day_data!$A:$I,5,FALSE),0)),NA())</f>
        <v>#N/A</v>
      </c>
      <c r="Q287" s="59" t="e">
        <f>IF($F$8,IF($L287="","",IFERROR(VLOOKUP($L287,day_data!$A:$I,6,FALSE),0)),NA())</f>
        <v>#N/A</v>
      </c>
      <c r="R287" s="11" t="e">
        <f>IF($F$6,IF($L287="","",IFERROR(VLOOKUP($L287,day_data!$A:$I,7,FALSE),0)),NA())</f>
        <v>#N/A</v>
      </c>
      <c r="S287" s="58" t="str">
        <f>IF($F$5,IF($L287="","",IFERROR(VLOOKUP($L287,day_data!$A:$I,8,FALSE),0)),NA())</f>
        <v/>
      </c>
      <c r="T287" s="60" t="e">
        <f>IF($F$7,IF($L287="","",IFERROR(VLOOKUP($L287,day_data!$A:$I,9,FALSE),0)),NA())</f>
        <v>#N/A</v>
      </c>
    </row>
    <row r="288" spans="12:20">
      <c r="L288" s="57" t="str">
        <f t="shared" si="4"/>
        <v/>
      </c>
      <c r="M288" s="11" t="str">
        <f>IF($F$1,IF($L288="","",IFERROR(VLOOKUP($L288,day_data!$A:$I,2,FALSE),0)),NA())</f>
        <v/>
      </c>
      <c r="N288" s="58" t="e">
        <f>IF($F$2,IF($L288="","",IFERROR(VLOOKUP($L288,day_data!$A:$I,3,FALSE),0)),NA())</f>
        <v>#N/A</v>
      </c>
      <c r="O288" s="11" t="e">
        <f>IF($F$3,IF($L288="","",IFERROR(VLOOKUP($L288,day_data!$A:$I,4,FALSE),0)),NA())</f>
        <v>#N/A</v>
      </c>
      <c r="P288" s="58" t="e">
        <f>IF($F$4,IF($L288="","",IFERROR(VLOOKUP($L288,day_data!$A:$I,5,FALSE),0)),NA())</f>
        <v>#N/A</v>
      </c>
      <c r="Q288" s="59" t="e">
        <f>IF($F$8,IF($L288="","",IFERROR(VLOOKUP($L288,day_data!$A:$I,6,FALSE),0)),NA())</f>
        <v>#N/A</v>
      </c>
      <c r="R288" s="11" t="e">
        <f>IF($F$6,IF($L288="","",IFERROR(VLOOKUP($L288,day_data!$A:$I,7,FALSE),0)),NA())</f>
        <v>#N/A</v>
      </c>
      <c r="S288" s="58" t="str">
        <f>IF($F$5,IF($L288="","",IFERROR(VLOOKUP($L288,day_data!$A:$I,8,FALSE),0)),NA())</f>
        <v/>
      </c>
      <c r="T288" s="60" t="e">
        <f>IF($F$7,IF($L288="","",IFERROR(VLOOKUP($L288,day_data!$A:$I,9,FALSE),0)),NA())</f>
        <v>#N/A</v>
      </c>
    </row>
    <row r="289" spans="12:20">
      <c r="L289" s="57" t="str">
        <f t="shared" si="4"/>
        <v/>
      </c>
      <c r="M289" s="11" t="str">
        <f>IF($F$1,IF($L289="","",IFERROR(VLOOKUP($L289,day_data!$A:$I,2,FALSE),0)),NA())</f>
        <v/>
      </c>
      <c r="N289" s="58" t="e">
        <f>IF($F$2,IF($L289="","",IFERROR(VLOOKUP($L289,day_data!$A:$I,3,FALSE),0)),NA())</f>
        <v>#N/A</v>
      </c>
      <c r="O289" s="11" t="e">
        <f>IF($F$3,IF($L289="","",IFERROR(VLOOKUP($L289,day_data!$A:$I,4,FALSE),0)),NA())</f>
        <v>#N/A</v>
      </c>
      <c r="P289" s="58" t="e">
        <f>IF($F$4,IF($L289="","",IFERROR(VLOOKUP($L289,day_data!$A:$I,5,FALSE),0)),NA())</f>
        <v>#N/A</v>
      </c>
      <c r="Q289" s="59" t="e">
        <f>IF($F$8,IF($L289="","",IFERROR(VLOOKUP($L289,day_data!$A:$I,6,FALSE),0)),NA())</f>
        <v>#N/A</v>
      </c>
      <c r="R289" s="11" t="e">
        <f>IF($F$6,IF($L289="","",IFERROR(VLOOKUP($L289,day_data!$A:$I,7,FALSE),0)),NA())</f>
        <v>#N/A</v>
      </c>
      <c r="S289" s="58" t="str">
        <f>IF($F$5,IF($L289="","",IFERROR(VLOOKUP($L289,day_data!$A:$I,8,FALSE),0)),NA())</f>
        <v/>
      </c>
      <c r="T289" s="60" t="e">
        <f>IF($F$7,IF($L289="","",IFERROR(VLOOKUP($L289,day_data!$A:$I,9,FALSE),0)),NA())</f>
        <v>#N/A</v>
      </c>
    </row>
    <row r="290" spans="12:20">
      <c r="L290" s="57" t="str">
        <f t="shared" si="4"/>
        <v/>
      </c>
      <c r="M290" s="11" t="str">
        <f>IF($F$1,IF($L290="","",IFERROR(VLOOKUP($L290,day_data!$A:$I,2,FALSE),0)),NA())</f>
        <v/>
      </c>
      <c r="N290" s="58" t="e">
        <f>IF($F$2,IF($L290="","",IFERROR(VLOOKUP($L290,day_data!$A:$I,3,FALSE),0)),NA())</f>
        <v>#N/A</v>
      </c>
      <c r="O290" s="11" t="e">
        <f>IF($F$3,IF($L290="","",IFERROR(VLOOKUP($L290,day_data!$A:$I,4,FALSE),0)),NA())</f>
        <v>#N/A</v>
      </c>
      <c r="P290" s="58" t="e">
        <f>IF($F$4,IF($L290="","",IFERROR(VLOOKUP($L290,day_data!$A:$I,5,FALSE),0)),NA())</f>
        <v>#N/A</v>
      </c>
      <c r="Q290" s="59" t="e">
        <f>IF($F$8,IF($L290="","",IFERROR(VLOOKUP($L290,day_data!$A:$I,6,FALSE),0)),NA())</f>
        <v>#N/A</v>
      </c>
      <c r="R290" s="11" t="e">
        <f>IF($F$6,IF($L290="","",IFERROR(VLOOKUP($L290,day_data!$A:$I,7,FALSE),0)),NA())</f>
        <v>#N/A</v>
      </c>
      <c r="S290" s="58" t="str">
        <f>IF($F$5,IF($L290="","",IFERROR(VLOOKUP($L290,day_data!$A:$I,8,FALSE),0)),NA())</f>
        <v/>
      </c>
      <c r="T290" s="60" t="e">
        <f>IF($F$7,IF($L290="","",IFERROR(VLOOKUP($L290,day_data!$A:$I,9,FALSE),0)),NA())</f>
        <v>#N/A</v>
      </c>
    </row>
    <row r="291" spans="12:20">
      <c r="L291" s="57" t="str">
        <f t="shared" si="4"/>
        <v/>
      </c>
      <c r="M291" s="11" t="str">
        <f>IF($F$1,IF($L291="","",IFERROR(VLOOKUP($L291,day_data!$A:$I,2,FALSE),0)),NA())</f>
        <v/>
      </c>
      <c r="N291" s="58" t="e">
        <f>IF($F$2,IF($L291="","",IFERROR(VLOOKUP($L291,day_data!$A:$I,3,FALSE),0)),NA())</f>
        <v>#N/A</v>
      </c>
      <c r="O291" s="11" t="e">
        <f>IF($F$3,IF($L291="","",IFERROR(VLOOKUP($L291,day_data!$A:$I,4,FALSE),0)),NA())</f>
        <v>#N/A</v>
      </c>
      <c r="P291" s="58" t="e">
        <f>IF($F$4,IF($L291="","",IFERROR(VLOOKUP($L291,day_data!$A:$I,5,FALSE),0)),NA())</f>
        <v>#N/A</v>
      </c>
      <c r="Q291" s="59" t="e">
        <f>IF($F$8,IF($L291="","",IFERROR(VLOOKUP($L291,day_data!$A:$I,6,FALSE),0)),NA())</f>
        <v>#N/A</v>
      </c>
      <c r="R291" s="11" t="e">
        <f>IF($F$6,IF($L291="","",IFERROR(VLOOKUP($L291,day_data!$A:$I,7,FALSE),0)),NA())</f>
        <v>#N/A</v>
      </c>
      <c r="S291" s="58" t="str">
        <f>IF($F$5,IF($L291="","",IFERROR(VLOOKUP($L291,day_data!$A:$I,8,FALSE),0)),NA())</f>
        <v/>
      </c>
      <c r="T291" s="60" t="e">
        <f>IF($F$7,IF($L291="","",IFERROR(VLOOKUP($L291,day_data!$A:$I,9,FALSE),0)),NA())</f>
        <v>#N/A</v>
      </c>
    </row>
    <row r="292" spans="12:20">
      <c r="L292" s="57" t="str">
        <f t="shared" si="4"/>
        <v/>
      </c>
      <c r="M292" s="11" t="str">
        <f>IF($F$1,IF($L292="","",IFERROR(VLOOKUP($L292,day_data!$A:$I,2,FALSE),0)),NA())</f>
        <v/>
      </c>
      <c r="N292" s="58" t="e">
        <f>IF($F$2,IF($L292="","",IFERROR(VLOOKUP($L292,day_data!$A:$I,3,FALSE),0)),NA())</f>
        <v>#N/A</v>
      </c>
      <c r="O292" s="11" t="e">
        <f>IF($F$3,IF($L292="","",IFERROR(VLOOKUP($L292,day_data!$A:$I,4,FALSE),0)),NA())</f>
        <v>#N/A</v>
      </c>
      <c r="P292" s="58" t="e">
        <f>IF($F$4,IF($L292="","",IFERROR(VLOOKUP($L292,day_data!$A:$I,5,FALSE),0)),NA())</f>
        <v>#N/A</v>
      </c>
      <c r="Q292" s="59" t="e">
        <f>IF($F$8,IF($L292="","",IFERROR(VLOOKUP($L292,day_data!$A:$I,6,FALSE),0)),NA())</f>
        <v>#N/A</v>
      </c>
      <c r="R292" s="11" t="e">
        <f>IF($F$6,IF($L292="","",IFERROR(VLOOKUP($L292,day_data!$A:$I,7,FALSE),0)),NA())</f>
        <v>#N/A</v>
      </c>
      <c r="S292" s="58" t="str">
        <f>IF($F$5,IF($L292="","",IFERROR(VLOOKUP($L292,day_data!$A:$I,8,FALSE),0)),NA())</f>
        <v/>
      </c>
      <c r="T292" s="60" t="e">
        <f>IF($F$7,IF($L292="","",IFERROR(VLOOKUP($L292,day_data!$A:$I,9,FALSE),0)),NA())</f>
        <v>#N/A</v>
      </c>
    </row>
    <row r="293" spans="12:20">
      <c r="L293" s="57" t="str">
        <f t="shared" si="4"/>
        <v/>
      </c>
      <c r="M293" s="11" t="str">
        <f>IF($F$1,IF($L293="","",IFERROR(VLOOKUP($L293,day_data!$A:$I,2,FALSE),0)),NA())</f>
        <v/>
      </c>
      <c r="N293" s="58" t="e">
        <f>IF($F$2,IF($L293="","",IFERROR(VLOOKUP($L293,day_data!$A:$I,3,FALSE),0)),NA())</f>
        <v>#N/A</v>
      </c>
      <c r="O293" s="11" t="e">
        <f>IF($F$3,IF($L293="","",IFERROR(VLOOKUP($L293,day_data!$A:$I,4,FALSE),0)),NA())</f>
        <v>#N/A</v>
      </c>
      <c r="P293" s="58" t="e">
        <f>IF($F$4,IF($L293="","",IFERROR(VLOOKUP($L293,day_data!$A:$I,5,FALSE),0)),NA())</f>
        <v>#N/A</v>
      </c>
      <c r="Q293" s="59" t="e">
        <f>IF($F$8,IF($L293="","",IFERROR(VLOOKUP($L293,day_data!$A:$I,6,FALSE),0)),NA())</f>
        <v>#N/A</v>
      </c>
      <c r="R293" s="11" t="e">
        <f>IF($F$6,IF($L293="","",IFERROR(VLOOKUP($L293,day_data!$A:$I,7,FALSE),0)),NA())</f>
        <v>#N/A</v>
      </c>
      <c r="S293" s="58" t="str">
        <f>IF($F$5,IF($L293="","",IFERROR(VLOOKUP($L293,day_data!$A:$I,8,FALSE),0)),NA())</f>
        <v/>
      </c>
      <c r="T293" s="60" t="e">
        <f>IF($F$7,IF($L293="","",IFERROR(VLOOKUP($L293,day_data!$A:$I,9,FALSE),0)),NA())</f>
        <v>#N/A</v>
      </c>
    </row>
    <row r="294" spans="12:20">
      <c r="L294" s="57" t="str">
        <f t="shared" si="4"/>
        <v/>
      </c>
      <c r="M294" s="11" t="str">
        <f>IF($F$1,IF($L294="","",IFERROR(VLOOKUP($L294,day_data!$A:$I,2,FALSE),0)),NA())</f>
        <v/>
      </c>
      <c r="N294" s="58" t="e">
        <f>IF($F$2,IF($L294="","",IFERROR(VLOOKUP($L294,day_data!$A:$I,3,FALSE),0)),NA())</f>
        <v>#N/A</v>
      </c>
      <c r="O294" s="11" t="e">
        <f>IF($F$3,IF($L294="","",IFERROR(VLOOKUP($L294,day_data!$A:$I,4,FALSE),0)),NA())</f>
        <v>#N/A</v>
      </c>
      <c r="P294" s="58" t="e">
        <f>IF($F$4,IF($L294="","",IFERROR(VLOOKUP($L294,day_data!$A:$I,5,FALSE),0)),NA())</f>
        <v>#N/A</v>
      </c>
      <c r="Q294" s="59" t="e">
        <f>IF($F$8,IF($L294="","",IFERROR(VLOOKUP($L294,day_data!$A:$I,6,FALSE),0)),NA())</f>
        <v>#N/A</v>
      </c>
      <c r="R294" s="11" t="e">
        <f>IF($F$6,IF($L294="","",IFERROR(VLOOKUP($L294,day_data!$A:$I,7,FALSE),0)),NA())</f>
        <v>#N/A</v>
      </c>
      <c r="S294" s="58" t="str">
        <f>IF($F$5,IF($L294="","",IFERROR(VLOOKUP($L294,day_data!$A:$I,8,FALSE),0)),NA())</f>
        <v/>
      </c>
      <c r="T294" s="60" t="e">
        <f>IF($F$7,IF($L294="","",IFERROR(VLOOKUP($L294,day_data!$A:$I,9,FALSE),0)),NA())</f>
        <v>#N/A</v>
      </c>
    </row>
    <row r="295" spans="12:20">
      <c r="L295" s="57" t="str">
        <f t="shared" si="4"/>
        <v/>
      </c>
      <c r="M295" s="11" t="str">
        <f>IF($F$1,IF($L295="","",IFERROR(VLOOKUP($L295,day_data!$A:$I,2,FALSE),0)),NA())</f>
        <v/>
      </c>
      <c r="N295" s="58" t="e">
        <f>IF($F$2,IF($L295="","",IFERROR(VLOOKUP($L295,day_data!$A:$I,3,FALSE),0)),NA())</f>
        <v>#N/A</v>
      </c>
      <c r="O295" s="11" t="e">
        <f>IF($F$3,IF($L295="","",IFERROR(VLOOKUP($L295,day_data!$A:$I,4,FALSE),0)),NA())</f>
        <v>#N/A</v>
      </c>
      <c r="P295" s="58" t="e">
        <f>IF($F$4,IF($L295="","",IFERROR(VLOOKUP($L295,day_data!$A:$I,5,FALSE),0)),NA())</f>
        <v>#N/A</v>
      </c>
      <c r="Q295" s="59" t="e">
        <f>IF($F$8,IF($L295="","",IFERROR(VLOOKUP($L295,day_data!$A:$I,6,FALSE),0)),NA())</f>
        <v>#N/A</v>
      </c>
      <c r="R295" s="11" t="e">
        <f>IF($F$6,IF($L295="","",IFERROR(VLOOKUP($L295,day_data!$A:$I,7,FALSE),0)),NA())</f>
        <v>#N/A</v>
      </c>
      <c r="S295" s="58" t="str">
        <f>IF($F$5,IF($L295="","",IFERROR(VLOOKUP($L295,day_data!$A:$I,8,FALSE),0)),NA())</f>
        <v/>
      </c>
      <c r="T295" s="60" t="e">
        <f>IF($F$7,IF($L295="","",IFERROR(VLOOKUP($L295,day_data!$A:$I,9,FALSE),0)),NA())</f>
        <v>#N/A</v>
      </c>
    </row>
    <row r="296" spans="12:20">
      <c r="L296" s="57" t="str">
        <f t="shared" si="4"/>
        <v/>
      </c>
      <c r="M296" s="11" t="str">
        <f>IF($F$1,IF($L296="","",IFERROR(VLOOKUP($L296,day_data!$A:$I,2,FALSE),0)),NA())</f>
        <v/>
      </c>
      <c r="N296" s="58" t="e">
        <f>IF($F$2,IF($L296="","",IFERROR(VLOOKUP($L296,day_data!$A:$I,3,FALSE),0)),NA())</f>
        <v>#N/A</v>
      </c>
      <c r="O296" s="11" t="e">
        <f>IF($F$3,IF($L296="","",IFERROR(VLOOKUP($L296,day_data!$A:$I,4,FALSE),0)),NA())</f>
        <v>#N/A</v>
      </c>
      <c r="P296" s="58" t="e">
        <f>IF($F$4,IF($L296="","",IFERROR(VLOOKUP($L296,day_data!$A:$I,5,FALSE),0)),NA())</f>
        <v>#N/A</v>
      </c>
      <c r="Q296" s="59" t="e">
        <f>IF($F$8,IF($L296="","",IFERROR(VLOOKUP($L296,day_data!$A:$I,6,FALSE),0)),NA())</f>
        <v>#N/A</v>
      </c>
      <c r="R296" s="11" t="e">
        <f>IF($F$6,IF($L296="","",IFERROR(VLOOKUP($L296,day_data!$A:$I,7,FALSE),0)),NA())</f>
        <v>#N/A</v>
      </c>
      <c r="S296" s="58" t="str">
        <f>IF($F$5,IF($L296="","",IFERROR(VLOOKUP($L296,day_data!$A:$I,8,FALSE),0)),NA())</f>
        <v/>
      </c>
      <c r="T296" s="60" t="e">
        <f>IF($F$7,IF($L296="","",IFERROR(VLOOKUP($L296,day_data!$A:$I,9,FALSE),0)),NA())</f>
        <v>#N/A</v>
      </c>
    </row>
    <row r="297" spans="12:20">
      <c r="L297" s="57" t="str">
        <f t="shared" si="4"/>
        <v/>
      </c>
      <c r="M297" s="11" t="str">
        <f>IF($F$1,IF($L297="","",IFERROR(VLOOKUP($L297,day_data!$A:$I,2,FALSE),0)),NA())</f>
        <v/>
      </c>
      <c r="N297" s="58" t="e">
        <f>IF($F$2,IF($L297="","",IFERROR(VLOOKUP($L297,day_data!$A:$I,3,FALSE),0)),NA())</f>
        <v>#N/A</v>
      </c>
      <c r="O297" s="11" t="e">
        <f>IF($F$3,IF($L297="","",IFERROR(VLOOKUP($L297,day_data!$A:$I,4,FALSE),0)),NA())</f>
        <v>#N/A</v>
      </c>
      <c r="P297" s="58" t="e">
        <f>IF($F$4,IF($L297="","",IFERROR(VLOOKUP($L297,day_data!$A:$I,5,FALSE),0)),NA())</f>
        <v>#N/A</v>
      </c>
      <c r="Q297" s="59" t="e">
        <f>IF($F$8,IF($L297="","",IFERROR(VLOOKUP($L297,day_data!$A:$I,6,FALSE),0)),NA())</f>
        <v>#N/A</v>
      </c>
      <c r="R297" s="11" t="e">
        <f>IF($F$6,IF($L297="","",IFERROR(VLOOKUP($L297,day_data!$A:$I,7,FALSE),0)),NA())</f>
        <v>#N/A</v>
      </c>
      <c r="S297" s="58" t="str">
        <f>IF($F$5,IF($L297="","",IFERROR(VLOOKUP($L297,day_data!$A:$I,8,FALSE),0)),NA())</f>
        <v/>
      </c>
      <c r="T297" s="60" t="e">
        <f>IF($F$7,IF($L297="","",IFERROR(VLOOKUP($L297,day_data!$A:$I,9,FALSE),0)),NA())</f>
        <v>#N/A</v>
      </c>
    </row>
    <row r="298" spans="12:20">
      <c r="L298" s="57" t="str">
        <f t="shared" si="4"/>
        <v/>
      </c>
      <c r="M298" s="11" t="str">
        <f>IF($F$1,IF($L298="","",IFERROR(VLOOKUP($L298,day_data!$A:$I,2,FALSE),0)),NA())</f>
        <v/>
      </c>
      <c r="N298" s="58" t="e">
        <f>IF($F$2,IF($L298="","",IFERROR(VLOOKUP($L298,day_data!$A:$I,3,FALSE),0)),NA())</f>
        <v>#N/A</v>
      </c>
      <c r="O298" s="11" t="e">
        <f>IF($F$3,IF($L298="","",IFERROR(VLOOKUP($L298,day_data!$A:$I,4,FALSE),0)),NA())</f>
        <v>#N/A</v>
      </c>
      <c r="P298" s="58" t="e">
        <f>IF($F$4,IF($L298="","",IFERROR(VLOOKUP($L298,day_data!$A:$I,5,FALSE),0)),NA())</f>
        <v>#N/A</v>
      </c>
      <c r="Q298" s="59" t="e">
        <f>IF($F$8,IF($L298="","",IFERROR(VLOOKUP($L298,day_data!$A:$I,6,FALSE),0)),NA())</f>
        <v>#N/A</v>
      </c>
      <c r="R298" s="11" t="e">
        <f>IF($F$6,IF($L298="","",IFERROR(VLOOKUP($L298,day_data!$A:$I,7,FALSE),0)),NA())</f>
        <v>#N/A</v>
      </c>
      <c r="S298" s="58" t="str">
        <f>IF($F$5,IF($L298="","",IFERROR(VLOOKUP($L298,day_data!$A:$I,8,FALSE),0)),NA())</f>
        <v/>
      </c>
      <c r="T298" s="60" t="e">
        <f>IF($F$7,IF($L298="","",IFERROR(VLOOKUP($L298,day_data!$A:$I,9,FALSE),0)),NA())</f>
        <v>#N/A</v>
      </c>
    </row>
    <row r="299" spans="12:20">
      <c r="L299" s="57" t="str">
        <f t="shared" si="4"/>
        <v/>
      </c>
      <c r="M299" s="11" t="str">
        <f>IF($F$1,IF($L299="","",IFERROR(VLOOKUP($L299,day_data!$A:$I,2,FALSE),0)),NA())</f>
        <v/>
      </c>
      <c r="N299" s="58" t="e">
        <f>IF($F$2,IF($L299="","",IFERROR(VLOOKUP($L299,day_data!$A:$I,3,FALSE),0)),NA())</f>
        <v>#N/A</v>
      </c>
      <c r="O299" s="11" t="e">
        <f>IF($F$3,IF($L299="","",IFERROR(VLOOKUP($L299,day_data!$A:$I,4,FALSE),0)),NA())</f>
        <v>#N/A</v>
      </c>
      <c r="P299" s="58" t="e">
        <f>IF($F$4,IF($L299="","",IFERROR(VLOOKUP($L299,day_data!$A:$I,5,FALSE),0)),NA())</f>
        <v>#N/A</v>
      </c>
      <c r="Q299" s="59" t="e">
        <f>IF($F$8,IF($L299="","",IFERROR(VLOOKUP($L299,day_data!$A:$I,6,FALSE),0)),NA())</f>
        <v>#N/A</v>
      </c>
      <c r="R299" s="11" t="e">
        <f>IF($F$6,IF($L299="","",IFERROR(VLOOKUP($L299,day_data!$A:$I,7,FALSE),0)),NA())</f>
        <v>#N/A</v>
      </c>
      <c r="S299" s="58" t="str">
        <f>IF($F$5,IF($L299="","",IFERROR(VLOOKUP($L299,day_data!$A:$I,8,FALSE),0)),NA())</f>
        <v/>
      </c>
      <c r="T299" s="60" t="e">
        <f>IF($F$7,IF($L299="","",IFERROR(VLOOKUP($L299,day_data!$A:$I,9,FALSE),0)),NA())</f>
        <v>#N/A</v>
      </c>
    </row>
    <row r="300" spans="12:20">
      <c r="L300" s="57" t="str">
        <f t="shared" si="4"/>
        <v/>
      </c>
      <c r="M300" s="11" t="str">
        <f>IF($F$1,IF($L300="","",IFERROR(VLOOKUP($L300,day_data!$A:$I,2,FALSE),0)),NA())</f>
        <v/>
      </c>
      <c r="N300" s="58" t="e">
        <f>IF($F$2,IF($L300="","",IFERROR(VLOOKUP($L300,day_data!$A:$I,3,FALSE),0)),NA())</f>
        <v>#N/A</v>
      </c>
      <c r="O300" s="11" t="e">
        <f>IF($F$3,IF($L300="","",IFERROR(VLOOKUP($L300,day_data!$A:$I,4,FALSE),0)),NA())</f>
        <v>#N/A</v>
      </c>
      <c r="P300" s="58" t="e">
        <f>IF($F$4,IF($L300="","",IFERROR(VLOOKUP($L300,day_data!$A:$I,5,FALSE),0)),NA())</f>
        <v>#N/A</v>
      </c>
      <c r="Q300" s="59" t="e">
        <f>IF($F$8,IF($L300="","",IFERROR(VLOOKUP($L300,day_data!$A:$I,6,FALSE),0)),NA())</f>
        <v>#N/A</v>
      </c>
      <c r="R300" s="11" t="e">
        <f>IF($F$6,IF($L300="","",IFERROR(VLOOKUP($L300,day_data!$A:$I,7,FALSE),0)),NA())</f>
        <v>#N/A</v>
      </c>
      <c r="S300" s="58" t="str">
        <f>IF($F$5,IF($L300="","",IFERROR(VLOOKUP($L300,day_data!$A:$I,8,FALSE),0)),NA())</f>
        <v/>
      </c>
      <c r="T300" s="60" t="e">
        <f>IF($F$7,IF($L300="","",IFERROR(VLOOKUP($L300,day_data!$A:$I,9,FALSE),0)),NA())</f>
        <v>#N/A</v>
      </c>
    </row>
    <row r="301" spans="12:20">
      <c r="L301" s="57" t="str">
        <f t="shared" si="4"/>
        <v/>
      </c>
      <c r="M301" s="11" t="str">
        <f>IF($F$1,IF($L301="","",IFERROR(VLOOKUP($L301,day_data!$A:$I,2,FALSE),0)),NA())</f>
        <v/>
      </c>
      <c r="N301" s="58" t="e">
        <f>IF($F$2,IF($L301="","",IFERROR(VLOOKUP($L301,day_data!$A:$I,3,FALSE),0)),NA())</f>
        <v>#N/A</v>
      </c>
      <c r="O301" s="11" t="e">
        <f>IF($F$3,IF($L301="","",IFERROR(VLOOKUP($L301,day_data!$A:$I,4,FALSE),0)),NA())</f>
        <v>#N/A</v>
      </c>
      <c r="P301" s="58" t="e">
        <f>IF($F$4,IF($L301="","",IFERROR(VLOOKUP($L301,day_data!$A:$I,5,FALSE),0)),NA())</f>
        <v>#N/A</v>
      </c>
      <c r="Q301" s="59" t="e">
        <f>IF($F$8,IF($L301="","",IFERROR(VLOOKUP($L301,day_data!$A:$I,6,FALSE),0)),NA())</f>
        <v>#N/A</v>
      </c>
      <c r="R301" s="11" t="e">
        <f>IF($F$6,IF($L301="","",IFERROR(VLOOKUP($L301,day_data!$A:$I,7,FALSE),0)),NA())</f>
        <v>#N/A</v>
      </c>
      <c r="S301" s="58" t="str">
        <f>IF($F$5,IF($L301="","",IFERROR(VLOOKUP($L301,day_data!$A:$I,8,FALSE),0)),NA())</f>
        <v/>
      </c>
      <c r="T301" s="60" t="e">
        <f>IF($F$7,IF($L301="","",IFERROR(VLOOKUP($L301,day_data!$A:$I,9,FALSE),0)),NA())</f>
        <v>#N/A</v>
      </c>
    </row>
    <row r="302" spans="12:20">
      <c r="L302" s="57" t="str">
        <f t="shared" si="4"/>
        <v/>
      </c>
      <c r="M302" s="11" t="str">
        <f>IF($F$1,IF($L302="","",IFERROR(VLOOKUP($L302,day_data!$A:$I,2,FALSE),0)),NA())</f>
        <v/>
      </c>
      <c r="N302" s="58" t="e">
        <f>IF($F$2,IF($L302="","",IFERROR(VLOOKUP($L302,day_data!$A:$I,3,FALSE),0)),NA())</f>
        <v>#N/A</v>
      </c>
      <c r="O302" s="11" t="e">
        <f>IF($F$3,IF($L302="","",IFERROR(VLOOKUP($L302,day_data!$A:$I,4,FALSE),0)),NA())</f>
        <v>#N/A</v>
      </c>
      <c r="P302" s="58" t="e">
        <f>IF($F$4,IF($L302="","",IFERROR(VLOOKUP($L302,day_data!$A:$I,5,FALSE),0)),NA())</f>
        <v>#N/A</v>
      </c>
      <c r="Q302" s="59" t="e">
        <f>IF($F$8,IF($L302="","",IFERROR(VLOOKUP($L302,day_data!$A:$I,6,FALSE),0)),NA())</f>
        <v>#N/A</v>
      </c>
      <c r="R302" s="11" t="e">
        <f>IF($F$6,IF($L302="","",IFERROR(VLOOKUP($L302,day_data!$A:$I,7,FALSE),0)),NA())</f>
        <v>#N/A</v>
      </c>
      <c r="S302" s="58" t="str">
        <f>IF($F$5,IF($L302="","",IFERROR(VLOOKUP($L302,day_data!$A:$I,8,FALSE),0)),NA())</f>
        <v/>
      </c>
      <c r="T302" s="60" t="e">
        <f>IF($F$7,IF($L302="","",IFERROR(VLOOKUP($L302,day_data!$A:$I,9,FALSE),0)),NA())</f>
        <v>#N/A</v>
      </c>
    </row>
    <row r="303" spans="12:20">
      <c r="L303" s="57" t="str">
        <f t="shared" si="4"/>
        <v/>
      </c>
      <c r="M303" s="11" t="str">
        <f>IF($F$1,IF($L303="","",IFERROR(VLOOKUP($L303,day_data!$A:$I,2,FALSE),0)),NA())</f>
        <v/>
      </c>
      <c r="N303" s="58" t="e">
        <f>IF($F$2,IF($L303="","",IFERROR(VLOOKUP($L303,day_data!$A:$I,3,FALSE),0)),NA())</f>
        <v>#N/A</v>
      </c>
      <c r="O303" s="11" t="e">
        <f>IF($F$3,IF($L303="","",IFERROR(VLOOKUP($L303,day_data!$A:$I,4,FALSE),0)),NA())</f>
        <v>#N/A</v>
      </c>
      <c r="P303" s="58" t="e">
        <f>IF($F$4,IF($L303="","",IFERROR(VLOOKUP($L303,day_data!$A:$I,5,FALSE),0)),NA())</f>
        <v>#N/A</v>
      </c>
      <c r="Q303" s="59" t="e">
        <f>IF($F$8,IF($L303="","",IFERROR(VLOOKUP($L303,day_data!$A:$I,6,FALSE),0)),NA())</f>
        <v>#N/A</v>
      </c>
      <c r="R303" s="11" t="e">
        <f>IF($F$6,IF($L303="","",IFERROR(VLOOKUP($L303,day_data!$A:$I,7,FALSE),0)),NA())</f>
        <v>#N/A</v>
      </c>
      <c r="S303" s="58" t="str">
        <f>IF($F$5,IF($L303="","",IFERROR(VLOOKUP($L303,day_data!$A:$I,8,FALSE),0)),NA())</f>
        <v/>
      </c>
      <c r="T303" s="60" t="e">
        <f>IF($F$7,IF($L303="","",IFERROR(VLOOKUP($L303,day_data!$A:$I,9,FALSE),0)),NA())</f>
        <v>#N/A</v>
      </c>
    </row>
    <row r="304" spans="12:20">
      <c r="L304" s="57" t="str">
        <f t="shared" si="4"/>
        <v/>
      </c>
      <c r="M304" s="11" t="str">
        <f>IF($F$1,IF($L304="","",IFERROR(VLOOKUP($L304,day_data!$A:$I,2,FALSE),0)),NA())</f>
        <v/>
      </c>
      <c r="N304" s="58" t="e">
        <f>IF($F$2,IF($L304="","",IFERROR(VLOOKUP($L304,day_data!$A:$I,3,FALSE),0)),NA())</f>
        <v>#N/A</v>
      </c>
      <c r="O304" s="11" t="e">
        <f>IF($F$3,IF($L304="","",IFERROR(VLOOKUP($L304,day_data!$A:$I,4,FALSE),0)),NA())</f>
        <v>#N/A</v>
      </c>
      <c r="P304" s="58" t="e">
        <f>IF($F$4,IF($L304="","",IFERROR(VLOOKUP($L304,day_data!$A:$I,5,FALSE),0)),NA())</f>
        <v>#N/A</v>
      </c>
      <c r="Q304" s="59" t="e">
        <f>IF($F$8,IF($L304="","",IFERROR(VLOOKUP($L304,day_data!$A:$I,6,FALSE),0)),NA())</f>
        <v>#N/A</v>
      </c>
      <c r="R304" s="11" t="e">
        <f>IF($F$6,IF($L304="","",IFERROR(VLOOKUP($L304,day_data!$A:$I,7,FALSE),0)),NA())</f>
        <v>#N/A</v>
      </c>
      <c r="S304" s="58" t="str">
        <f>IF($F$5,IF($L304="","",IFERROR(VLOOKUP($L304,day_data!$A:$I,8,FALSE),0)),NA())</f>
        <v/>
      </c>
      <c r="T304" s="60" t="e">
        <f>IF($F$7,IF($L304="","",IFERROR(VLOOKUP($L304,day_data!$A:$I,9,FALSE),0)),NA())</f>
        <v>#N/A</v>
      </c>
    </row>
    <row r="305" spans="12:20">
      <c r="L305" s="57" t="str">
        <f t="shared" si="4"/>
        <v/>
      </c>
      <c r="M305" s="11" t="str">
        <f>IF($F$1,IF($L305="","",IFERROR(VLOOKUP($L305,day_data!$A:$I,2,FALSE),0)),NA())</f>
        <v/>
      </c>
      <c r="N305" s="58" t="e">
        <f>IF($F$2,IF($L305="","",IFERROR(VLOOKUP($L305,day_data!$A:$I,3,FALSE),0)),NA())</f>
        <v>#N/A</v>
      </c>
      <c r="O305" s="11" t="e">
        <f>IF($F$3,IF($L305="","",IFERROR(VLOOKUP($L305,day_data!$A:$I,4,FALSE),0)),NA())</f>
        <v>#N/A</v>
      </c>
      <c r="P305" s="58" t="e">
        <f>IF($F$4,IF($L305="","",IFERROR(VLOOKUP($L305,day_data!$A:$I,5,FALSE),0)),NA())</f>
        <v>#N/A</v>
      </c>
      <c r="Q305" s="59" t="e">
        <f>IF($F$8,IF($L305="","",IFERROR(VLOOKUP($L305,day_data!$A:$I,6,FALSE),0)),NA())</f>
        <v>#N/A</v>
      </c>
      <c r="R305" s="11" t="e">
        <f>IF($F$6,IF($L305="","",IFERROR(VLOOKUP($L305,day_data!$A:$I,7,FALSE),0)),NA())</f>
        <v>#N/A</v>
      </c>
      <c r="S305" s="58" t="str">
        <f>IF($F$5,IF($L305="","",IFERROR(VLOOKUP($L305,day_data!$A:$I,8,FALSE),0)),NA())</f>
        <v/>
      </c>
      <c r="T305" s="60" t="e">
        <f>IF($F$7,IF($L305="","",IFERROR(VLOOKUP($L305,day_data!$A:$I,9,FALSE),0)),NA())</f>
        <v>#N/A</v>
      </c>
    </row>
    <row r="306" spans="12:20">
      <c r="L306" s="57" t="str">
        <f t="shared" si="4"/>
        <v/>
      </c>
      <c r="M306" s="11" t="str">
        <f>IF($F$1,IF($L306="","",IFERROR(VLOOKUP($L306,day_data!$A:$I,2,FALSE),0)),NA())</f>
        <v/>
      </c>
      <c r="N306" s="58" t="e">
        <f>IF($F$2,IF($L306="","",IFERROR(VLOOKUP($L306,day_data!$A:$I,3,FALSE),0)),NA())</f>
        <v>#N/A</v>
      </c>
      <c r="O306" s="11" t="e">
        <f>IF($F$3,IF($L306="","",IFERROR(VLOOKUP($L306,day_data!$A:$I,4,FALSE),0)),NA())</f>
        <v>#N/A</v>
      </c>
      <c r="P306" s="58" t="e">
        <f>IF($F$4,IF($L306="","",IFERROR(VLOOKUP($L306,day_data!$A:$I,5,FALSE),0)),NA())</f>
        <v>#N/A</v>
      </c>
      <c r="Q306" s="59" t="e">
        <f>IF($F$8,IF($L306="","",IFERROR(VLOOKUP($L306,day_data!$A:$I,6,FALSE),0)),NA())</f>
        <v>#N/A</v>
      </c>
      <c r="R306" s="11" t="e">
        <f>IF($F$6,IF($L306="","",IFERROR(VLOOKUP($L306,day_data!$A:$I,7,FALSE),0)),NA())</f>
        <v>#N/A</v>
      </c>
      <c r="S306" s="58" t="str">
        <f>IF($F$5,IF($L306="","",IFERROR(VLOOKUP($L306,day_data!$A:$I,8,FALSE),0)),NA())</f>
        <v/>
      </c>
      <c r="T306" s="60" t="e">
        <f>IF($F$7,IF($L306="","",IFERROR(VLOOKUP($L306,day_data!$A:$I,9,FALSE),0)),NA())</f>
        <v>#N/A</v>
      </c>
    </row>
    <row r="307" spans="12:20">
      <c r="L307" s="57" t="str">
        <f t="shared" si="4"/>
        <v/>
      </c>
      <c r="M307" s="11" t="str">
        <f>IF($F$1,IF($L307="","",IFERROR(VLOOKUP($L307,day_data!$A:$I,2,FALSE),0)),NA())</f>
        <v/>
      </c>
      <c r="N307" s="58" t="e">
        <f>IF($F$2,IF($L307="","",IFERROR(VLOOKUP($L307,day_data!$A:$I,3,FALSE),0)),NA())</f>
        <v>#N/A</v>
      </c>
      <c r="O307" s="11" t="e">
        <f>IF($F$3,IF($L307="","",IFERROR(VLOOKUP($L307,day_data!$A:$I,4,FALSE),0)),NA())</f>
        <v>#N/A</v>
      </c>
      <c r="P307" s="58" t="e">
        <f>IF($F$4,IF($L307="","",IFERROR(VLOOKUP($L307,day_data!$A:$I,5,FALSE),0)),NA())</f>
        <v>#N/A</v>
      </c>
      <c r="Q307" s="59" t="e">
        <f>IF($F$8,IF($L307="","",IFERROR(VLOOKUP($L307,day_data!$A:$I,6,FALSE),0)),NA())</f>
        <v>#N/A</v>
      </c>
      <c r="R307" s="11" t="e">
        <f>IF($F$6,IF($L307="","",IFERROR(VLOOKUP($L307,day_data!$A:$I,7,FALSE),0)),NA())</f>
        <v>#N/A</v>
      </c>
      <c r="S307" s="58" t="str">
        <f>IF($F$5,IF($L307="","",IFERROR(VLOOKUP($L307,day_data!$A:$I,8,FALSE),0)),NA())</f>
        <v/>
      </c>
      <c r="T307" s="60" t="e">
        <f>IF($F$7,IF($L307="","",IFERROR(VLOOKUP($L307,day_data!$A:$I,9,FALSE),0)),NA())</f>
        <v>#N/A</v>
      </c>
    </row>
    <row r="308" spans="12:20">
      <c r="L308" s="57" t="str">
        <f t="shared" si="4"/>
        <v/>
      </c>
      <c r="M308" s="11" t="str">
        <f>IF($F$1,IF($L308="","",IFERROR(VLOOKUP($L308,day_data!$A:$I,2,FALSE),0)),NA())</f>
        <v/>
      </c>
      <c r="N308" s="58" t="e">
        <f>IF($F$2,IF($L308="","",IFERROR(VLOOKUP($L308,day_data!$A:$I,3,FALSE),0)),NA())</f>
        <v>#N/A</v>
      </c>
      <c r="O308" s="11" t="e">
        <f>IF($F$3,IF($L308="","",IFERROR(VLOOKUP($L308,day_data!$A:$I,4,FALSE),0)),NA())</f>
        <v>#N/A</v>
      </c>
      <c r="P308" s="58" t="e">
        <f>IF($F$4,IF($L308="","",IFERROR(VLOOKUP($L308,day_data!$A:$I,5,FALSE),0)),NA())</f>
        <v>#N/A</v>
      </c>
      <c r="Q308" s="59" t="e">
        <f>IF($F$8,IF($L308="","",IFERROR(VLOOKUP($L308,day_data!$A:$I,6,FALSE),0)),NA())</f>
        <v>#N/A</v>
      </c>
      <c r="R308" s="11" t="e">
        <f>IF($F$6,IF($L308="","",IFERROR(VLOOKUP($L308,day_data!$A:$I,7,FALSE),0)),NA())</f>
        <v>#N/A</v>
      </c>
      <c r="S308" s="58" t="str">
        <f>IF($F$5,IF($L308="","",IFERROR(VLOOKUP($L308,day_data!$A:$I,8,FALSE),0)),NA())</f>
        <v/>
      </c>
      <c r="T308" s="60" t="e">
        <f>IF($F$7,IF($L308="","",IFERROR(VLOOKUP($L308,day_data!$A:$I,9,FALSE),0)),NA())</f>
        <v>#N/A</v>
      </c>
    </row>
    <row r="309" spans="12:20">
      <c r="L309" s="57" t="str">
        <f t="shared" si="4"/>
        <v/>
      </c>
      <c r="M309" s="11" t="str">
        <f>IF($F$1,IF($L309="","",IFERROR(VLOOKUP($L309,day_data!$A:$I,2,FALSE),0)),NA())</f>
        <v/>
      </c>
      <c r="N309" s="58" t="e">
        <f>IF($F$2,IF($L309="","",IFERROR(VLOOKUP($L309,day_data!$A:$I,3,FALSE),0)),NA())</f>
        <v>#N/A</v>
      </c>
      <c r="O309" s="11" t="e">
        <f>IF($F$3,IF($L309="","",IFERROR(VLOOKUP($L309,day_data!$A:$I,4,FALSE),0)),NA())</f>
        <v>#N/A</v>
      </c>
      <c r="P309" s="58" t="e">
        <f>IF($F$4,IF($L309="","",IFERROR(VLOOKUP($L309,day_data!$A:$I,5,FALSE),0)),NA())</f>
        <v>#N/A</v>
      </c>
      <c r="Q309" s="59" t="e">
        <f>IF($F$8,IF($L309="","",IFERROR(VLOOKUP($L309,day_data!$A:$I,6,FALSE),0)),NA())</f>
        <v>#N/A</v>
      </c>
      <c r="R309" s="11" t="e">
        <f>IF($F$6,IF($L309="","",IFERROR(VLOOKUP($L309,day_data!$A:$I,7,FALSE),0)),NA())</f>
        <v>#N/A</v>
      </c>
      <c r="S309" s="58" t="str">
        <f>IF($F$5,IF($L309="","",IFERROR(VLOOKUP($L309,day_data!$A:$I,8,FALSE),0)),NA())</f>
        <v/>
      </c>
      <c r="T309" s="60" t="e">
        <f>IF($F$7,IF($L309="","",IFERROR(VLOOKUP($L309,day_data!$A:$I,9,FALSE),0)),NA())</f>
        <v>#N/A</v>
      </c>
    </row>
    <row r="310" spans="12:20">
      <c r="L310" s="57" t="str">
        <f t="shared" si="4"/>
        <v/>
      </c>
      <c r="M310" s="11" t="str">
        <f>IF($F$1,IF($L310="","",IFERROR(VLOOKUP($L310,day_data!$A:$I,2,FALSE),0)),NA())</f>
        <v/>
      </c>
      <c r="N310" s="58" t="e">
        <f>IF($F$2,IF($L310="","",IFERROR(VLOOKUP($L310,day_data!$A:$I,3,FALSE),0)),NA())</f>
        <v>#N/A</v>
      </c>
      <c r="O310" s="11" t="e">
        <f>IF($F$3,IF($L310="","",IFERROR(VLOOKUP($L310,day_data!$A:$I,4,FALSE),0)),NA())</f>
        <v>#N/A</v>
      </c>
      <c r="P310" s="58" t="e">
        <f>IF($F$4,IF($L310="","",IFERROR(VLOOKUP($L310,day_data!$A:$I,5,FALSE),0)),NA())</f>
        <v>#N/A</v>
      </c>
      <c r="Q310" s="59" t="e">
        <f>IF($F$8,IF($L310="","",IFERROR(VLOOKUP($L310,day_data!$A:$I,6,FALSE),0)),NA())</f>
        <v>#N/A</v>
      </c>
      <c r="R310" s="11" t="e">
        <f>IF($F$6,IF($L310="","",IFERROR(VLOOKUP($L310,day_data!$A:$I,7,FALSE),0)),NA())</f>
        <v>#N/A</v>
      </c>
      <c r="S310" s="58" t="str">
        <f>IF($F$5,IF($L310="","",IFERROR(VLOOKUP($L310,day_data!$A:$I,8,FALSE),0)),NA())</f>
        <v/>
      </c>
      <c r="T310" s="60" t="e">
        <f>IF($F$7,IF($L310="","",IFERROR(VLOOKUP($L310,day_data!$A:$I,9,FALSE),0)),NA())</f>
        <v>#N/A</v>
      </c>
    </row>
    <row r="311" spans="12:20">
      <c r="L311" s="57" t="str">
        <f t="shared" si="4"/>
        <v/>
      </c>
      <c r="M311" s="11" t="str">
        <f>IF($F$1,IF($L311="","",IFERROR(VLOOKUP($L311,day_data!$A:$I,2,FALSE),0)),NA())</f>
        <v/>
      </c>
      <c r="N311" s="58" t="e">
        <f>IF($F$2,IF($L311="","",IFERROR(VLOOKUP($L311,day_data!$A:$I,3,FALSE),0)),NA())</f>
        <v>#N/A</v>
      </c>
      <c r="O311" s="11" t="e">
        <f>IF($F$3,IF($L311="","",IFERROR(VLOOKUP($L311,day_data!$A:$I,4,FALSE),0)),NA())</f>
        <v>#N/A</v>
      </c>
      <c r="P311" s="58" t="e">
        <f>IF($F$4,IF($L311="","",IFERROR(VLOOKUP($L311,day_data!$A:$I,5,FALSE),0)),NA())</f>
        <v>#N/A</v>
      </c>
      <c r="Q311" s="59" t="e">
        <f>IF($F$8,IF($L311="","",IFERROR(VLOOKUP($L311,day_data!$A:$I,6,FALSE),0)),NA())</f>
        <v>#N/A</v>
      </c>
      <c r="R311" s="11" t="e">
        <f>IF($F$6,IF($L311="","",IFERROR(VLOOKUP($L311,day_data!$A:$I,7,FALSE),0)),NA())</f>
        <v>#N/A</v>
      </c>
      <c r="S311" s="58" t="str">
        <f>IF($F$5,IF($L311="","",IFERROR(VLOOKUP($L311,day_data!$A:$I,8,FALSE),0)),NA())</f>
        <v/>
      </c>
      <c r="T311" s="60" t="e">
        <f>IF($F$7,IF($L311="","",IFERROR(VLOOKUP($L311,day_data!$A:$I,9,FALSE),0)),NA())</f>
        <v>#N/A</v>
      </c>
    </row>
    <row r="312" spans="12:20">
      <c r="L312" s="57" t="str">
        <f t="shared" si="4"/>
        <v/>
      </c>
      <c r="M312" s="11" t="str">
        <f>IF($F$1,IF($L312="","",IFERROR(VLOOKUP($L312,day_data!$A:$I,2,FALSE),0)),NA())</f>
        <v/>
      </c>
      <c r="N312" s="58" t="e">
        <f>IF($F$2,IF($L312="","",IFERROR(VLOOKUP($L312,day_data!$A:$I,3,FALSE),0)),NA())</f>
        <v>#N/A</v>
      </c>
      <c r="O312" s="11" t="e">
        <f>IF($F$3,IF($L312="","",IFERROR(VLOOKUP($L312,day_data!$A:$I,4,FALSE),0)),NA())</f>
        <v>#N/A</v>
      </c>
      <c r="P312" s="58" t="e">
        <f>IF($F$4,IF($L312="","",IFERROR(VLOOKUP($L312,day_data!$A:$I,5,FALSE),0)),NA())</f>
        <v>#N/A</v>
      </c>
      <c r="Q312" s="59" t="e">
        <f>IF($F$8,IF($L312="","",IFERROR(VLOOKUP($L312,day_data!$A:$I,6,FALSE),0)),NA())</f>
        <v>#N/A</v>
      </c>
      <c r="R312" s="11" t="e">
        <f>IF($F$6,IF($L312="","",IFERROR(VLOOKUP($L312,day_data!$A:$I,7,FALSE),0)),NA())</f>
        <v>#N/A</v>
      </c>
      <c r="S312" s="58" t="str">
        <f>IF($F$5,IF($L312="","",IFERROR(VLOOKUP($L312,day_data!$A:$I,8,FALSE),0)),NA())</f>
        <v/>
      </c>
      <c r="T312" s="60" t="e">
        <f>IF($F$7,IF($L312="","",IFERROR(VLOOKUP($L312,day_data!$A:$I,9,FALSE),0)),NA())</f>
        <v>#N/A</v>
      </c>
    </row>
    <row r="313" spans="12:20">
      <c r="L313" s="57" t="str">
        <f t="shared" si="4"/>
        <v/>
      </c>
      <c r="M313" s="11" t="str">
        <f>IF($F$1,IF($L313="","",IFERROR(VLOOKUP($L313,day_data!$A:$I,2,FALSE),0)),NA())</f>
        <v/>
      </c>
      <c r="N313" s="58" t="e">
        <f>IF($F$2,IF($L313="","",IFERROR(VLOOKUP($L313,day_data!$A:$I,3,FALSE),0)),NA())</f>
        <v>#N/A</v>
      </c>
      <c r="O313" s="11" t="e">
        <f>IF($F$3,IF($L313="","",IFERROR(VLOOKUP($L313,day_data!$A:$I,4,FALSE),0)),NA())</f>
        <v>#N/A</v>
      </c>
      <c r="P313" s="58" t="e">
        <f>IF($F$4,IF($L313="","",IFERROR(VLOOKUP($L313,day_data!$A:$I,5,FALSE),0)),NA())</f>
        <v>#N/A</v>
      </c>
      <c r="Q313" s="59" t="e">
        <f>IF($F$8,IF($L313="","",IFERROR(VLOOKUP($L313,day_data!$A:$I,6,FALSE),0)),NA())</f>
        <v>#N/A</v>
      </c>
      <c r="R313" s="11" t="e">
        <f>IF($F$6,IF($L313="","",IFERROR(VLOOKUP($L313,day_data!$A:$I,7,FALSE),0)),NA())</f>
        <v>#N/A</v>
      </c>
      <c r="S313" s="58" t="str">
        <f>IF($F$5,IF($L313="","",IFERROR(VLOOKUP($L313,day_data!$A:$I,8,FALSE),0)),NA())</f>
        <v/>
      </c>
      <c r="T313" s="60" t="e">
        <f>IF($F$7,IF($L313="","",IFERROR(VLOOKUP($L313,day_data!$A:$I,9,FALSE),0)),NA())</f>
        <v>#N/A</v>
      </c>
    </row>
    <row r="314" spans="12:20">
      <c r="L314" s="57" t="str">
        <f t="shared" si="4"/>
        <v/>
      </c>
      <c r="M314" s="11" t="str">
        <f>IF($F$1,IF($L314="","",IFERROR(VLOOKUP($L314,day_data!$A:$I,2,FALSE),0)),NA())</f>
        <v/>
      </c>
      <c r="N314" s="58" t="e">
        <f>IF($F$2,IF($L314="","",IFERROR(VLOOKUP($L314,day_data!$A:$I,3,FALSE),0)),NA())</f>
        <v>#N/A</v>
      </c>
      <c r="O314" s="11" t="e">
        <f>IF($F$3,IF($L314="","",IFERROR(VLOOKUP($L314,day_data!$A:$I,4,FALSE),0)),NA())</f>
        <v>#N/A</v>
      </c>
      <c r="P314" s="58" t="e">
        <f>IF($F$4,IF($L314="","",IFERROR(VLOOKUP($L314,day_data!$A:$I,5,FALSE),0)),NA())</f>
        <v>#N/A</v>
      </c>
      <c r="Q314" s="59" t="e">
        <f>IF($F$8,IF($L314="","",IFERROR(VLOOKUP($L314,day_data!$A:$I,6,FALSE),0)),NA())</f>
        <v>#N/A</v>
      </c>
      <c r="R314" s="11" t="e">
        <f>IF($F$6,IF($L314="","",IFERROR(VLOOKUP($L314,day_data!$A:$I,7,FALSE),0)),NA())</f>
        <v>#N/A</v>
      </c>
      <c r="S314" s="58" t="str">
        <f>IF($F$5,IF($L314="","",IFERROR(VLOOKUP($L314,day_data!$A:$I,8,FALSE),0)),NA())</f>
        <v/>
      </c>
      <c r="T314" s="60" t="e">
        <f>IF($F$7,IF($L314="","",IFERROR(VLOOKUP($L314,day_data!$A:$I,9,FALSE),0)),NA())</f>
        <v>#N/A</v>
      </c>
    </row>
    <row r="315" spans="12:20">
      <c r="L315" s="57" t="str">
        <f t="shared" si="4"/>
        <v/>
      </c>
      <c r="M315" s="11" t="str">
        <f>IF($F$1,IF($L315="","",IFERROR(VLOOKUP($L315,day_data!$A:$I,2,FALSE),0)),NA())</f>
        <v/>
      </c>
      <c r="N315" s="58" t="e">
        <f>IF($F$2,IF($L315="","",IFERROR(VLOOKUP($L315,day_data!$A:$I,3,FALSE),0)),NA())</f>
        <v>#N/A</v>
      </c>
      <c r="O315" s="11" t="e">
        <f>IF($F$3,IF($L315="","",IFERROR(VLOOKUP($L315,day_data!$A:$I,4,FALSE),0)),NA())</f>
        <v>#N/A</v>
      </c>
      <c r="P315" s="58" t="e">
        <f>IF($F$4,IF($L315="","",IFERROR(VLOOKUP($L315,day_data!$A:$I,5,FALSE),0)),NA())</f>
        <v>#N/A</v>
      </c>
      <c r="Q315" s="59" t="e">
        <f>IF($F$8,IF($L315="","",IFERROR(VLOOKUP($L315,day_data!$A:$I,6,FALSE),0)),NA())</f>
        <v>#N/A</v>
      </c>
      <c r="R315" s="11" t="e">
        <f>IF($F$6,IF($L315="","",IFERROR(VLOOKUP($L315,day_data!$A:$I,7,FALSE),0)),NA())</f>
        <v>#N/A</v>
      </c>
      <c r="S315" s="58" t="str">
        <f>IF($F$5,IF($L315="","",IFERROR(VLOOKUP($L315,day_data!$A:$I,8,FALSE),0)),NA())</f>
        <v/>
      </c>
      <c r="T315" s="60" t="e">
        <f>IF($F$7,IF($L315="","",IFERROR(VLOOKUP($L315,day_data!$A:$I,9,FALSE),0)),NA())</f>
        <v>#N/A</v>
      </c>
    </row>
    <row r="316" spans="12:20">
      <c r="L316" s="57" t="str">
        <f t="shared" si="4"/>
        <v/>
      </c>
      <c r="M316" s="11" t="str">
        <f>IF($F$1,IF($L316="","",IFERROR(VLOOKUP($L316,day_data!$A:$I,2,FALSE),0)),NA())</f>
        <v/>
      </c>
      <c r="N316" s="58" t="e">
        <f>IF($F$2,IF($L316="","",IFERROR(VLOOKUP($L316,day_data!$A:$I,3,FALSE),0)),NA())</f>
        <v>#N/A</v>
      </c>
      <c r="O316" s="11" t="e">
        <f>IF($F$3,IF($L316="","",IFERROR(VLOOKUP($L316,day_data!$A:$I,4,FALSE),0)),NA())</f>
        <v>#N/A</v>
      </c>
      <c r="P316" s="58" t="e">
        <f>IF($F$4,IF($L316="","",IFERROR(VLOOKUP($L316,day_data!$A:$I,5,FALSE),0)),NA())</f>
        <v>#N/A</v>
      </c>
      <c r="Q316" s="59" t="e">
        <f>IF($F$8,IF($L316="","",IFERROR(VLOOKUP($L316,day_data!$A:$I,6,FALSE),0)),NA())</f>
        <v>#N/A</v>
      </c>
      <c r="R316" s="11" t="e">
        <f>IF($F$6,IF($L316="","",IFERROR(VLOOKUP($L316,day_data!$A:$I,7,FALSE),0)),NA())</f>
        <v>#N/A</v>
      </c>
      <c r="S316" s="58" t="str">
        <f>IF($F$5,IF($L316="","",IFERROR(VLOOKUP($L316,day_data!$A:$I,8,FALSE),0)),NA())</f>
        <v/>
      </c>
      <c r="T316" s="60" t="e">
        <f>IF($F$7,IF($L316="","",IFERROR(VLOOKUP($L316,day_data!$A:$I,9,FALSE),0)),NA())</f>
        <v>#N/A</v>
      </c>
    </row>
    <row r="317" spans="12:20">
      <c r="L317" s="57" t="str">
        <f t="shared" si="4"/>
        <v/>
      </c>
      <c r="M317" s="11" t="str">
        <f>IF($F$1,IF($L317="","",IFERROR(VLOOKUP($L317,day_data!$A:$I,2,FALSE),0)),NA())</f>
        <v/>
      </c>
      <c r="N317" s="58" t="e">
        <f>IF($F$2,IF($L317="","",IFERROR(VLOOKUP($L317,day_data!$A:$I,3,FALSE),0)),NA())</f>
        <v>#N/A</v>
      </c>
      <c r="O317" s="11" t="e">
        <f>IF($F$3,IF($L317="","",IFERROR(VLOOKUP($L317,day_data!$A:$I,4,FALSE),0)),NA())</f>
        <v>#N/A</v>
      </c>
      <c r="P317" s="58" t="e">
        <f>IF($F$4,IF($L317="","",IFERROR(VLOOKUP($L317,day_data!$A:$I,5,FALSE),0)),NA())</f>
        <v>#N/A</v>
      </c>
      <c r="Q317" s="59" t="e">
        <f>IF($F$8,IF($L317="","",IFERROR(VLOOKUP($L317,day_data!$A:$I,6,FALSE),0)),NA())</f>
        <v>#N/A</v>
      </c>
      <c r="R317" s="11" t="e">
        <f>IF($F$6,IF($L317="","",IFERROR(VLOOKUP($L317,day_data!$A:$I,7,FALSE),0)),NA())</f>
        <v>#N/A</v>
      </c>
      <c r="S317" s="58" t="str">
        <f>IF($F$5,IF($L317="","",IFERROR(VLOOKUP($L317,day_data!$A:$I,8,FALSE),0)),NA())</f>
        <v/>
      </c>
      <c r="T317" s="60" t="e">
        <f>IF($F$7,IF($L317="","",IFERROR(VLOOKUP($L317,day_data!$A:$I,9,FALSE),0)),NA())</f>
        <v>#N/A</v>
      </c>
    </row>
    <row r="318" spans="12:20">
      <c r="L318" s="57" t="str">
        <f t="shared" si="4"/>
        <v/>
      </c>
      <c r="M318" s="11" t="str">
        <f>IF($F$1,IF($L318="","",IFERROR(VLOOKUP($L318,day_data!$A:$I,2,FALSE),0)),NA())</f>
        <v/>
      </c>
      <c r="N318" s="58" t="e">
        <f>IF($F$2,IF($L318="","",IFERROR(VLOOKUP($L318,day_data!$A:$I,3,FALSE),0)),NA())</f>
        <v>#N/A</v>
      </c>
      <c r="O318" s="11" t="e">
        <f>IF($F$3,IF($L318="","",IFERROR(VLOOKUP($L318,day_data!$A:$I,4,FALSE),0)),NA())</f>
        <v>#N/A</v>
      </c>
      <c r="P318" s="58" t="e">
        <f>IF($F$4,IF($L318="","",IFERROR(VLOOKUP($L318,day_data!$A:$I,5,FALSE),0)),NA())</f>
        <v>#N/A</v>
      </c>
      <c r="Q318" s="59" t="e">
        <f>IF($F$8,IF($L318="","",IFERROR(VLOOKUP($L318,day_data!$A:$I,6,FALSE),0)),NA())</f>
        <v>#N/A</v>
      </c>
      <c r="R318" s="11" t="e">
        <f>IF($F$6,IF($L318="","",IFERROR(VLOOKUP($L318,day_data!$A:$I,7,FALSE),0)),NA())</f>
        <v>#N/A</v>
      </c>
      <c r="S318" s="58" t="str">
        <f>IF($F$5,IF($L318="","",IFERROR(VLOOKUP($L318,day_data!$A:$I,8,FALSE),0)),NA())</f>
        <v/>
      </c>
      <c r="T318" s="60" t="e">
        <f>IF($F$7,IF($L318="","",IFERROR(VLOOKUP($L318,day_data!$A:$I,9,FALSE),0)),NA())</f>
        <v>#N/A</v>
      </c>
    </row>
    <row r="319" spans="12:20">
      <c r="L319" s="57" t="str">
        <f t="shared" si="4"/>
        <v/>
      </c>
      <c r="M319" s="11" t="str">
        <f>IF($F$1,IF($L319="","",IFERROR(VLOOKUP($L319,day_data!$A:$I,2,FALSE),0)),NA())</f>
        <v/>
      </c>
      <c r="N319" s="58" t="e">
        <f>IF($F$2,IF($L319="","",IFERROR(VLOOKUP($L319,day_data!$A:$I,3,FALSE),0)),NA())</f>
        <v>#N/A</v>
      </c>
      <c r="O319" s="11" t="e">
        <f>IF($F$3,IF($L319="","",IFERROR(VLOOKUP($L319,day_data!$A:$I,4,FALSE),0)),NA())</f>
        <v>#N/A</v>
      </c>
      <c r="P319" s="58" t="e">
        <f>IF($F$4,IF($L319="","",IFERROR(VLOOKUP($L319,day_data!$A:$I,5,FALSE),0)),NA())</f>
        <v>#N/A</v>
      </c>
      <c r="Q319" s="59" t="e">
        <f>IF($F$8,IF($L319="","",IFERROR(VLOOKUP($L319,day_data!$A:$I,6,FALSE),0)),NA())</f>
        <v>#N/A</v>
      </c>
      <c r="R319" s="11" t="e">
        <f>IF($F$6,IF($L319="","",IFERROR(VLOOKUP($L319,day_data!$A:$I,7,FALSE),0)),NA())</f>
        <v>#N/A</v>
      </c>
      <c r="S319" s="58" t="str">
        <f>IF($F$5,IF($L319="","",IFERROR(VLOOKUP($L319,day_data!$A:$I,8,FALSE),0)),NA())</f>
        <v/>
      </c>
      <c r="T319" s="60" t="e">
        <f>IF($F$7,IF($L319="","",IFERROR(VLOOKUP($L319,day_data!$A:$I,9,FALSE),0)),NA())</f>
        <v>#N/A</v>
      </c>
    </row>
    <row r="320" spans="12:20">
      <c r="L320" s="57" t="str">
        <f t="shared" si="4"/>
        <v/>
      </c>
      <c r="M320" s="11" t="str">
        <f>IF($F$1,IF($L320="","",IFERROR(VLOOKUP($L320,day_data!$A:$I,2,FALSE),0)),NA())</f>
        <v/>
      </c>
      <c r="N320" s="58" t="e">
        <f>IF($F$2,IF($L320="","",IFERROR(VLOOKUP($L320,day_data!$A:$I,3,FALSE),0)),NA())</f>
        <v>#N/A</v>
      </c>
      <c r="O320" s="11" t="e">
        <f>IF($F$3,IF($L320="","",IFERROR(VLOOKUP($L320,day_data!$A:$I,4,FALSE),0)),NA())</f>
        <v>#N/A</v>
      </c>
      <c r="P320" s="58" t="e">
        <f>IF($F$4,IF($L320="","",IFERROR(VLOOKUP($L320,day_data!$A:$I,5,FALSE),0)),NA())</f>
        <v>#N/A</v>
      </c>
      <c r="Q320" s="59" t="e">
        <f>IF($F$8,IF($L320="","",IFERROR(VLOOKUP($L320,day_data!$A:$I,6,FALSE),0)),NA())</f>
        <v>#N/A</v>
      </c>
      <c r="R320" s="11" t="e">
        <f>IF($F$6,IF($L320="","",IFERROR(VLOOKUP($L320,day_data!$A:$I,7,FALSE),0)),NA())</f>
        <v>#N/A</v>
      </c>
      <c r="S320" s="58" t="str">
        <f>IF($F$5,IF($L320="","",IFERROR(VLOOKUP($L320,day_data!$A:$I,8,FALSE),0)),NA())</f>
        <v/>
      </c>
      <c r="T320" s="60" t="e">
        <f>IF($F$7,IF($L320="","",IFERROR(VLOOKUP($L320,day_data!$A:$I,9,FALSE),0)),NA())</f>
        <v>#N/A</v>
      </c>
    </row>
    <row r="321" spans="12:20">
      <c r="L321" s="57" t="str">
        <f t="shared" si="4"/>
        <v/>
      </c>
      <c r="M321" s="11" t="str">
        <f>IF($F$1,IF($L321="","",IFERROR(VLOOKUP($L321,day_data!$A:$I,2,FALSE),0)),NA())</f>
        <v/>
      </c>
      <c r="N321" s="58" t="e">
        <f>IF($F$2,IF($L321="","",IFERROR(VLOOKUP($L321,day_data!$A:$I,3,FALSE),0)),NA())</f>
        <v>#N/A</v>
      </c>
      <c r="O321" s="11" t="e">
        <f>IF($F$3,IF($L321="","",IFERROR(VLOOKUP($L321,day_data!$A:$I,4,FALSE),0)),NA())</f>
        <v>#N/A</v>
      </c>
      <c r="P321" s="58" t="e">
        <f>IF($F$4,IF($L321="","",IFERROR(VLOOKUP($L321,day_data!$A:$I,5,FALSE),0)),NA())</f>
        <v>#N/A</v>
      </c>
      <c r="Q321" s="59" t="e">
        <f>IF($F$8,IF($L321="","",IFERROR(VLOOKUP($L321,day_data!$A:$I,6,FALSE),0)),NA())</f>
        <v>#N/A</v>
      </c>
      <c r="R321" s="11" t="e">
        <f>IF($F$6,IF($L321="","",IFERROR(VLOOKUP($L321,day_data!$A:$I,7,FALSE),0)),NA())</f>
        <v>#N/A</v>
      </c>
      <c r="S321" s="58" t="str">
        <f>IF($F$5,IF($L321="","",IFERROR(VLOOKUP($L321,day_data!$A:$I,8,FALSE),0)),NA())</f>
        <v/>
      </c>
      <c r="T321" s="60" t="e">
        <f>IF($F$7,IF($L321="","",IFERROR(VLOOKUP($L321,day_data!$A:$I,9,FALSE),0)),NA())</f>
        <v>#N/A</v>
      </c>
    </row>
    <row r="322" spans="12:20">
      <c r="L322" s="57" t="str">
        <f t="shared" si="4"/>
        <v/>
      </c>
      <c r="M322" s="11" t="str">
        <f>IF($F$1,IF($L322="","",IFERROR(VLOOKUP($L322,day_data!$A:$I,2,FALSE),0)),NA())</f>
        <v/>
      </c>
      <c r="N322" s="58" t="e">
        <f>IF($F$2,IF($L322="","",IFERROR(VLOOKUP($L322,day_data!$A:$I,3,FALSE),0)),NA())</f>
        <v>#N/A</v>
      </c>
      <c r="O322" s="11" t="e">
        <f>IF($F$3,IF($L322="","",IFERROR(VLOOKUP($L322,day_data!$A:$I,4,FALSE),0)),NA())</f>
        <v>#N/A</v>
      </c>
      <c r="P322" s="58" t="e">
        <f>IF($F$4,IF($L322="","",IFERROR(VLOOKUP($L322,day_data!$A:$I,5,FALSE),0)),NA())</f>
        <v>#N/A</v>
      </c>
      <c r="Q322" s="59" t="e">
        <f>IF($F$8,IF($L322="","",IFERROR(VLOOKUP($L322,day_data!$A:$I,6,FALSE),0)),NA())</f>
        <v>#N/A</v>
      </c>
      <c r="R322" s="11" t="e">
        <f>IF($F$6,IF($L322="","",IFERROR(VLOOKUP($L322,day_data!$A:$I,7,FALSE),0)),NA())</f>
        <v>#N/A</v>
      </c>
      <c r="S322" s="58" t="str">
        <f>IF($F$5,IF($L322="","",IFERROR(VLOOKUP($L322,day_data!$A:$I,8,FALSE),0)),NA())</f>
        <v/>
      </c>
      <c r="T322" s="60" t="e">
        <f>IF($F$7,IF($L322="","",IFERROR(VLOOKUP($L322,day_data!$A:$I,9,FALSE),0)),NA())</f>
        <v>#N/A</v>
      </c>
    </row>
    <row r="323" spans="12:20">
      <c r="L323" s="57" t="str">
        <f t="shared" si="4"/>
        <v/>
      </c>
      <c r="M323" s="11" t="str">
        <f>IF($F$1,IF($L323="","",IFERROR(VLOOKUP($L323,day_data!$A:$I,2,FALSE),0)),NA())</f>
        <v/>
      </c>
      <c r="N323" s="58" t="e">
        <f>IF($F$2,IF($L323="","",IFERROR(VLOOKUP($L323,day_data!$A:$I,3,FALSE),0)),NA())</f>
        <v>#N/A</v>
      </c>
      <c r="O323" s="11" t="e">
        <f>IF($F$3,IF($L323="","",IFERROR(VLOOKUP($L323,day_data!$A:$I,4,FALSE),0)),NA())</f>
        <v>#N/A</v>
      </c>
      <c r="P323" s="58" t="e">
        <f>IF($F$4,IF($L323="","",IFERROR(VLOOKUP($L323,day_data!$A:$I,5,FALSE),0)),NA())</f>
        <v>#N/A</v>
      </c>
      <c r="Q323" s="59" t="e">
        <f>IF($F$8,IF($L323="","",IFERROR(VLOOKUP($L323,day_data!$A:$I,6,FALSE),0)),NA())</f>
        <v>#N/A</v>
      </c>
      <c r="R323" s="11" t="e">
        <f>IF($F$6,IF($L323="","",IFERROR(VLOOKUP($L323,day_data!$A:$I,7,FALSE),0)),NA())</f>
        <v>#N/A</v>
      </c>
      <c r="S323" s="58" t="str">
        <f>IF($F$5,IF($L323="","",IFERROR(VLOOKUP($L323,day_data!$A:$I,8,FALSE),0)),NA())</f>
        <v/>
      </c>
      <c r="T323" s="60" t="e">
        <f>IF($F$7,IF($L323="","",IFERROR(VLOOKUP($L323,day_data!$A:$I,9,FALSE),0)),NA())</f>
        <v>#N/A</v>
      </c>
    </row>
    <row r="324" spans="12:20">
      <c r="L324" s="57" t="str">
        <f t="shared" ref="L324:L387" si="5">IF(ROW(L324)-1&gt;$C$1,"",L323+1)</f>
        <v/>
      </c>
      <c r="M324" s="11" t="str">
        <f>IF($F$1,IF($L324="","",IFERROR(VLOOKUP($L324,day_data!$A:$I,2,FALSE),0)),NA())</f>
        <v/>
      </c>
      <c r="N324" s="58" t="e">
        <f>IF($F$2,IF($L324="","",IFERROR(VLOOKUP($L324,day_data!$A:$I,3,FALSE),0)),NA())</f>
        <v>#N/A</v>
      </c>
      <c r="O324" s="11" t="e">
        <f>IF($F$3,IF($L324="","",IFERROR(VLOOKUP($L324,day_data!$A:$I,4,FALSE),0)),NA())</f>
        <v>#N/A</v>
      </c>
      <c r="P324" s="58" t="e">
        <f>IF($F$4,IF($L324="","",IFERROR(VLOOKUP($L324,day_data!$A:$I,5,FALSE),0)),NA())</f>
        <v>#N/A</v>
      </c>
      <c r="Q324" s="59" t="e">
        <f>IF($F$8,IF($L324="","",IFERROR(VLOOKUP($L324,day_data!$A:$I,6,FALSE),0)),NA())</f>
        <v>#N/A</v>
      </c>
      <c r="R324" s="11" t="e">
        <f>IF($F$6,IF($L324="","",IFERROR(VLOOKUP($L324,day_data!$A:$I,7,FALSE),0)),NA())</f>
        <v>#N/A</v>
      </c>
      <c r="S324" s="58" t="str">
        <f>IF($F$5,IF($L324="","",IFERROR(VLOOKUP($L324,day_data!$A:$I,8,FALSE),0)),NA())</f>
        <v/>
      </c>
      <c r="T324" s="60" t="e">
        <f>IF($F$7,IF($L324="","",IFERROR(VLOOKUP($L324,day_data!$A:$I,9,FALSE),0)),NA())</f>
        <v>#N/A</v>
      </c>
    </row>
    <row r="325" spans="12:20">
      <c r="L325" s="57" t="str">
        <f t="shared" si="5"/>
        <v/>
      </c>
      <c r="M325" s="11" t="str">
        <f>IF($F$1,IF($L325="","",IFERROR(VLOOKUP($L325,day_data!$A:$I,2,FALSE),0)),NA())</f>
        <v/>
      </c>
      <c r="N325" s="58" t="e">
        <f>IF($F$2,IF($L325="","",IFERROR(VLOOKUP($L325,day_data!$A:$I,3,FALSE),0)),NA())</f>
        <v>#N/A</v>
      </c>
      <c r="O325" s="11" t="e">
        <f>IF($F$3,IF($L325="","",IFERROR(VLOOKUP($L325,day_data!$A:$I,4,FALSE),0)),NA())</f>
        <v>#N/A</v>
      </c>
      <c r="P325" s="58" t="e">
        <f>IF($F$4,IF($L325="","",IFERROR(VLOOKUP($L325,day_data!$A:$I,5,FALSE),0)),NA())</f>
        <v>#N/A</v>
      </c>
      <c r="Q325" s="59" t="e">
        <f>IF($F$8,IF($L325="","",IFERROR(VLOOKUP($L325,day_data!$A:$I,6,FALSE),0)),NA())</f>
        <v>#N/A</v>
      </c>
      <c r="R325" s="11" t="e">
        <f>IF($F$6,IF($L325="","",IFERROR(VLOOKUP($L325,day_data!$A:$I,7,FALSE),0)),NA())</f>
        <v>#N/A</v>
      </c>
      <c r="S325" s="58" t="str">
        <f>IF($F$5,IF($L325="","",IFERROR(VLOOKUP($L325,day_data!$A:$I,8,FALSE),0)),NA())</f>
        <v/>
      </c>
      <c r="T325" s="60" t="e">
        <f>IF($F$7,IF($L325="","",IFERROR(VLOOKUP($L325,day_data!$A:$I,9,FALSE),0)),NA())</f>
        <v>#N/A</v>
      </c>
    </row>
    <row r="326" spans="12:20">
      <c r="L326" s="57" t="str">
        <f t="shared" si="5"/>
        <v/>
      </c>
      <c r="M326" s="11" t="str">
        <f>IF($F$1,IF($L326="","",IFERROR(VLOOKUP($L326,day_data!$A:$I,2,FALSE),0)),NA())</f>
        <v/>
      </c>
      <c r="N326" s="58" t="e">
        <f>IF($F$2,IF($L326="","",IFERROR(VLOOKUP($L326,day_data!$A:$I,3,FALSE),0)),NA())</f>
        <v>#N/A</v>
      </c>
      <c r="O326" s="11" t="e">
        <f>IF($F$3,IF($L326="","",IFERROR(VLOOKUP($L326,day_data!$A:$I,4,FALSE),0)),NA())</f>
        <v>#N/A</v>
      </c>
      <c r="P326" s="58" t="e">
        <f>IF($F$4,IF($L326="","",IFERROR(VLOOKUP($L326,day_data!$A:$I,5,FALSE),0)),NA())</f>
        <v>#N/A</v>
      </c>
      <c r="Q326" s="59" t="e">
        <f>IF($F$8,IF($L326="","",IFERROR(VLOOKUP($L326,day_data!$A:$I,6,FALSE),0)),NA())</f>
        <v>#N/A</v>
      </c>
      <c r="R326" s="11" t="e">
        <f>IF($F$6,IF($L326="","",IFERROR(VLOOKUP($L326,day_data!$A:$I,7,FALSE),0)),NA())</f>
        <v>#N/A</v>
      </c>
      <c r="S326" s="58" t="str">
        <f>IF($F$5,IF($L326="","",IFERROR(VLOOKUP($L326,day_data!$A:$I,8,FALSE),0)),NA())</f>
        <v/>
      </c>
      <c r="T326" s="60" t="e">
        <f>IF($F$7,IF($L326="","",IFERROR(VLOOKUP($L326,day_data!$A:$I,9,FALSE),0)),NA())</f>
        <v>#N/A</v>
      </c>
    </row>
    <row r="327" spans="12:20">
      <c r="L327" s="57" t="str">
        <f t="shared" si="5"/>
        <v/>
      </c>
      <c r="M327" s="11" t="str">
        <f>IF($F$1,IF($L327="","",IFERROR(VLOOKUP($L327,day_data!$A:$I,2,FALSE),0)),NA())</f>
        <v/>
      </c>
      <c r="N327" s="58" t="e">
        <f>IF($F$2,IF($L327="","",IFERROR(VLOOKUP($L327,day_data!$A:$I,3,FALSE),0)),NA())</f>
        <v>#N/A</v>
      </c>
      <c r="O327" s="11" t="e">
        <f>IF($F$3,IF($L327="","",IFERROR(VLOOKUP($L327,day_data!$A:$I,4,FALSE),0)),NA())</f>
        <v>#N/A</v>
      </c>
      <c r="P327" s="58" t="e">
        <f>IF($F$4,IF($L327="","",IFERROR(VLOOKUP($L327,day_data!$A:$I,5,FALSE),0)),NA())</f>
        <v>#N/A</v>
      </c>
      <c r="Q327" s="59" t="e">
        <f>IF($F$8,IF($L327="","",IFERROR(VLOOKUP($L327,day_data!$A:$I,6,FALSE),0)),NA())</f>
        <v>#N/A</v>
      </c>
      <c r="R327" s="11" t="e">
        <f>IF($F$6,IF($L327="","",IFERROR(VLOOKUP($L327,day_data!$A:$I,7,FALSE),0)),NA())</f>
        <v>#N/A</v>
      </c>
      <c r="S327" s="58" t="str">
        <f>IF($F$5,IF($L327="","",IFERROR(VLOOKUP($L327,day_data!$A:$I,8,FALSE),0)),NA())</f>
        <v/>
      </c>
      <c r="T327" s="60" t="e">
        <f>IF($F$7,IF($L327="","",IFERROR(VLOOKUP($L327,day_data!$A:$I,9,FALSE),0)),NA())</f>
        <v>#N/A</v>
      </c>
    </row>
    <row r="328" spans="12:20">
      <c r="L328" s="57" t="str">
        <f t="shared" si="5"/>
        <v/>
      </c>
      <c r="M328" s="11" t="str">
        <f>IF($F$1,IF($L328="","",IFERROR(VLOOKUP($L328,day_data!$A:$I,2,FALSE),0)),NA())</f>
        <v/>
      </c>
      <c r="N328" s="58" t="e">
        <f>IF($F$2,IF($L328="","",IFERROR(VLOOKUP($L328,day_data!$A:$I,3,FALSE),0)),NA())</f>
        <v>#N/A</v>
      </c>
      <c r="O328" s="11" t="e">
        <f>IF($F$3,IF($L328="","",IFERROR(VLOOKUP($L328,day_data!$A:$I,4,FALSE),0)),NA())</f>
        <v>#N/A</v>
      </c>
      <c r="P328" s="58" t="e">
        <f>IF($F$4,IF($L328="","",IFERROR(VLOOKUP($L328,day_data!$A:$I,5,FALSE),0)),NA())</f>
        <v>#N/A</v>
      </c>
      <c r="Q328" s="59" t="e">
        <f>IF($F$8,IF($L328="","",IFERROR(VLOOKUP($L328,day_data!$A:$I,6,FALSE),0)),NA())</f>
        <v>#N/A</v>
      </c>
      <c r="R328" s="11" t="e">
        <f>IF($F$6,IF($L328="","",IFERROR(VLOOKUP($L328,day_data!$A:$I,7,FALSE),0)),NA())</f>
        <v>#N/A</v>
      </c>
      <c r="S328" s="58" t="str">
        <f>IF($F$5,IF($L328="","",IFERROR(VLOOKUP($L328,day_data!$A:$I,8,FALSE),0)),NA())</f>
        <v/>
      </c>
      <c r="T328" s="60" t="e">
        <f>IF($F$7,IF($L328="","",IFERROR(VLOOKUP($L328,day_data!$A:$I,9,FALSE),0)),NA())</f>
        <v>#N/A</v>
      </c>
    </row>
    <row r="329" spans="12:20">
      <c r="L329" s="57" t="str">
        <f t="shared" si="5"/>
        <v/>
      </c>
      <c r="M329" s="11" t="str">
        <f>IF($F$1,IF($L329="","",IFERROR(VLOOKUP($L329,day_data!$A:$I,2,FALSE),0)),NA())</f>
        <v/>
      </c>
      <c r="N329" s="58" t="e">
        <f>IF($F$2,IF($L329="","",IFERROR(VLOOKUP($L329,day_data!$A:$I,3,FALSE),0)),NA())</f>
        <v>#N/A</v>
      </c>
      <c r="O329" s="11" t="e">
        <f>IF($F$3,IF($L329="","",IFERROR(VLOOKUP($L329,day_data!$A:$I,4,FALSE),0)),NA())</f>
        <v>#N/A</v>
      </c>
      <c r="P329" s="58" t="e">
        <f>IF($F$4,IF($L329="","",IFERROR(VLOOKUP($L329,day_data!$A:$I,5,FALSE),0)),NA())</f>
        <v>#N/A</v>
      </c>
      <c r="Q329" s="59" t="e">
        <f>IF($F$8,IF($L329="","",IFERROR(VLOOKUP($L329,day_data!$A:$I,6,FALSE),0)),NA())</f>
        <v>#N/A</v>
      </c>
      <c r="R329" s="11" t="e">
        <f>IF($F$6,IF($L329="","",IFERROR(VLOOKUP($L329,day_data!$A:$I,7,FALSE),0)),NA())</f>
        <v>#N/A</v>
      </c>
      <c r="S329" s="58" t="str">
        <f>IF($F$5,IF($L329="","",IFERROR(VLOOKUP($L329,day_data!$A:$I,8,FALSE),0)),NA())</f>
        <v/>
      </c>
      <c r="T329" s="60" t="e">
        <f>IF($F$7,IF($L329="","",IFERROR(VLOOKUP($L329,day_data!$A:$I,9,FALSE),0)),NA())</f>
        <v>#N/A</v>
      </c>
    </row>
    <row r="330" spans="12:20">
      <c r="L330" s="57" t="str">
        <f t="shared" si="5"/>
        <v/>
      </c>
      <c r="M330" s="11" t="str">
        <f>IF($F$1,IF($L330="","",IFERROR(VLOOKUP($L330,day_data!$A:$I,2,FALSE),0)),NA())</f>
        <v/>
      </c>
      <c r="N330" s="58" t="e">
        <f>IF($F$2,IF($L330="","",IFERROR(VLOOKUP($L330,day_data!$A:$I,3,FALSE),0)),NA())</f>
        <v>#N/A</v>
      </c>
      <c r="O330" s="11" t="e">
        <f>IF($F$3,IF($L330="","",IFERROR(VLOOKUP($L330,day_data!$A:$I,4,FALSE),0)),NA())</f>
        <v>#N/A</v>
      </c>
      <c r="P330" s="58" t="e">
        <f>IF($F$4,IF($L330="","",IFERROR(VLOOKUP($L330,day_data!$A:$I,5,FALSE),0)),NA())</f>
        <v>#N/A</v>
      </c>
      <c r="Q330" s="59" t="e">
        <f>IF($F$8,IF($L330="","",IFERROR(VLOOKUP($L330,day_data!$A:$I,6,FALSE),0)),NA())</f>
        <v>#N/A</v>
      </c>
      <c r="R330" s="11" t="e">
        <f>IF($F$6,IF($L330="","",IFERROR(VLOOKUP($L330,day_data!$A:$I,7,FALSE),0)),NA())</f>
        <v>#N/A</v>
      </c>
      <c r="S330" s="58" t="str">
        <f>IF($F$5,IF($L330="","",IFERROR(VLOOKUP($L330,day_data!$A:$I,8,FALSE),0)),NA())</f>
        <v/>
      </c>
      <c r="T330" s="60" t="e">
        <f>IF($F$7,IF($L330="","",IFERROR(VLOOKUP($L330,day_data!$A:$I,9,FALSE),0)),NA())</f>
        <v>#N/A</v>
      </c>
    </row>
    <row r="331" spans="12:20">
      <c r="L331" s="57" t="str">
        <f t="shared" si="5"/>
        <v/>
      </c>
      <c r="M331" s="11" t="str">
        <f>IF($F$1,IF($L331="","",IFERROR(VLOOKUP($L331,day_data!$A:$I,2,FALSE),0)),NA())</f>
        <v/>
      </c>
      <c r="N331" s="58" t="e">
        <f>IF($F$2,IF($L331="","",IFERROR(VLOOKUP($L331,day_data!$A:$I,3,FALSE),0)),NA())</f>
        <v>#N/A</v>
      </c>
      <c r="O331" s="11" t="e">
        <f>IF($F$3,IF($L331="","",IFERROR(VLOOKUP($L331,day_data!$A:$I,4,FALSE),0)),NA())</f>
        <v>#N/A</v>
      </c>
      <c r="P331" s="58" t="e">
        <f>IF($F$4,IF($L331="","",IFERROR(VLOOKUP($L331,day_data!$A:$I,5,FALSE),0)),NA())</f>
        <v>#N/A</v>
      </c>
      <c r="Q331" s="59" t="e">
        <f>IF($F$8,IF($L331="","",IFERROR(VLOOKUP($L331,day_data!$A:$I,6,FALSE),0)),NA())</f>
        <v>#N/A</v>
      </c>
      <c r="R331" s="11" t="e">
        <f>IF($F$6,IF($L331="","",IFERROR(VLOOKUP($L331,day_data!$A:$I,7,FALSE),0)),NA())</f>
        <v>#N/A</v>
      </c>
      <c r="S331" s="58" t="str">
        <f>IF($F$5,IF($L331="","",IFERROR(VLOOKUP($L331,day_data!$A:$I,8,FALSE),0)),NA())</f>
        <v/>
      </c>
      <c r="T331" s="60" t="e">
        <f>IF($F$7,IF($L331="","",IFERROR(VLOOKUP($L331,day_data!$A:$I,9,FALSE),0)),NA())</f>
        <v>#N/A</v>
      </c>
    </row>
    <row r="332" spans="12:20">
      <c r="L332" s="57" t="str">
        <f t="shared" si="5"/>
        <v/>
      </c>
      <c r="M332" s="11" t="str">
        <f>IF($F$1,IF($L332="","",IFERROR(VLOOKUP($L332,day_data!$A:$I,2,FALSE),0)),NA())</f>
        <v/>
      </c>
      <c r="N332" s="58" t="e">
        <f>IF($F$2,IF($L332="","",IFERROR(VLOOKUP($L332,day_data!$A:$I,3,FALSE),0)),NA())</f>
        <v>#N/A</v>
      </c>
      <c r="O332" s="11" t="e">
        <f>IF($F$3,IF($L332="","",IFERROR(VLOOKUP($L332,day_data!$A:$I,4,FALSE),0)),NA())</f>
        <v>#N/A</v>
      </c>
      <c r="P332" s="58" t="e">
        <f>IF($F$4,IF($L332="","",IFERROR(VLOOKUP($L332,day_data!$A:$I,5,FALSE),0)),NA())</f>
        <v>#N/A</v>
      </c>
      <c r="Q332" s="59" t="e">
        <f>IF($F$8,IF($L332="","",IFERROR(VLOOKUP($L332,day_data!$A:$I,6,FALSE),0)),NA())</f>
        <v>#N/A</v>
      </c>
      <c r="R332" s="11" t="e">
        <f>IF($F$6,IF($L332="","",IFERROR(VLOOKUP($L332,day_data!$A:$I,7,FALSE),0)),NA())</f>
        <v>#N/A</v>
      </c>
      <c r="S332" s="58" t="str">
        <f>IF($F$5,IF($L332="","",IFERROR(VLOOKUP($L332,day_data!$A:$I,8,FALSE),0)),NA())</f>
        <v/>
      </c>
      <c r="T332" s="60" t="e">
        <f>IF($F$7,IF($L332="","",IFERROR(VLOOKUP($L332,day_data!$A:$I,9,FALSE),0)),NA())</f>
        <v>#N/A</v>
      </c>
    </row>
    <row r="333" spans="12:20">
      <c r="L333" s="57" t="str">
        <f t="shared" si="5"/>
        <v/>
      </c>
      <c r="M333" s="11" t="str">
        <f>IF($F$1,IF($L333="","",IFERROR(VLOOKUP($L333,day_data!$A:$I,2,FALSE),0)),NA())</f>
        <v/>
      </c>
      <c r="N333" s="58" t="e">
        <f>IF($F$2,IF($L333="","",IFERROR(VLOOKUP($L333,day_data!$A:$I,3,FALSE),0)),NA())</f>
        <v>#N/A</v>
      </c>
      <c r="O333" s="11" t="e">
        <f>IF($F$3,IF($L333="","",IFERROR(VLOOKUP($L333,day_data!$A:$I,4,FALSE),0)),NA())</f>
        <v>#N/A</v>
      </c>
      <c r="P333" s="58" t="e">
        <f>IF($F$4,IF($L333="","",IFERROR(VLOOKUP($L333,day_data!$A:$I,5,FALSE),0)),NA())</f>
        <v>#N/A</v>
      </c>
      <c r="Q333" s="59" t="e">
        <f>IF($F$8,IF($L333="","",IFERROR(VLOOKUP($L333,day_data!$A:$I,6,FALSE),0)),NA())</f>
        <v>#N/A</v>
      </c>
      <c r="R333" s="11" t="e">
        <f>IF($F$6,IF($L333="","",IFERROR(VLOOKUP($L333,day_data!$A:$I,7,FALSE),0)),NA())</f>
        <v>#N/A</v>
      </c>
      <c r="S333" s="58" t="str">
        <f>IF($F$5,IF($L333="","",IFERROR(VLOOKUP($L333,day_data!$A:$I,8,FALSE),0)),NA())</f>
        <v/>
      </c>
      <c r="T333" s="60" t="e">
        <f>IF($F$7,IF($L333="","",IFERROR(VLOOKUP($L333,day_data!$A:$I,9,FALSE),0)),NA())</f>
        <v>#N/A</v>
      </c>
    </row>
    <row r="334" spans="12:20">
      <c r="L334" s="57" t="str">
        <f t="shared" si="5"/>
        <v/>
      </c>
      <c r="M334" s="11" t="str">
        <f>IF($F$1,IF($L334="","",IFERROR(VLOOKUP($L334,day_data!$A:$I,2,FALSE),0)),NA())</f>
        <v/>
      </c>
      <c r="N334" s="58" t="e">
        <f>IF($F$2,IF($L334="","",IFERROR(VLOOKUP($L334,day_data!$A:$I,3,FALSE),0)),NA())</f>
        <v>#N/A</v>
      </c>
      <c r="O334" s="11" t="e">
        <f>IF($F$3,IF($L334="","",IFERROR(VLOOKUP($L334,day_data!$A:$I,4,FALSE),0)),NA())</f>
        <v>#N/A</v>
      </c>
      <c r="P334" s="58" t="e">
        <f>IF($F$4,IF($L334="","",IFERROR(VLOOKUP($L334,day_data!$A:$I,5,FALSE),0)),NA())</f>
        <v>#N/A</v>
      </c>
      <c r="Q334" s="59" t="e">
        <f>IF($F$8,IF($L334="","",IFERROR(VLOOKUP($L334,day_data!$A:$I,6,FALSE),0)),NA())</f>
        <v>#N/A</v>
      </c>
      <c r="R334" s="11" t="e">
        <f>IF($F$6,IF($L334="","",IFERROR(VLOOKUP($L334,day_data!$A:$I,7,FALSE),0)),NA())</f>
        <v>#N/A</v>
      </c>
      <c r="S334" s="58" t="str">
        <f>IF($F$5,IF($L334="","",IFERROR(VLOOKUP($L334,day_data!$A:$I,8,FALSE),0)),NA())</f>
        <v/>
      </c>
      <c r="T334" s="60" t="e">
        <f>IF($F$7,IF($L334="","",IFERROR(VLOOKUP($L334,day_data!$A:$I,9,FALSE),0)),NA())</f>
        <v>#N/A</v>
      </c>
    </row>
    <row r="335" spans="12:20">
      <c r="L335" s="57" t="str">
        <f t="shared" si="5"/>
        <v/>
      </c>
      <c r="M335" s="11" t="str">
        <f>IF($F$1,IF($L335="","",IFERROR(VLOOKUP($L335,day_data!$A:$I,2,FALSE),0)),NA())</f>
        <v/>
      </c>
      <c r="N335" s="58" t="e">
        <f>IF($F$2,IF($L335="","",IFERROR(VLOOKUP($L335,day_data!$A:$I,3,FALSE),0)),NA())</f>
        <v>#N/A</v>
      </c>
      <c r="O335" s="11" t="e">
        <f>IF($F$3,IF($L335="","",IFERROR(VLOOKUP($L335,day_data!$A:$I,4,FALSE),0)),NA())</f>
        <v>#N/A</v>
      </c>
      <c r="P335" s="58" t="e">
        <f>IF($F$4,IF($L335="","",IFERROR(VLOOKUP($L335,day_data!$A:$I,5,FALSE),0)),NA())</f>
        <v>#N/A</v>
      </c>
      <c r="Q335" s="59" t="e">
        <f>IF($F$8,IF($L335="","",IFERROR(VLOOKUP($L335,day_data!$A:$I,6,FALSE),0)),NA())</f>
        <v>#N/A</v>
      </c>
      <c r="R335" s="11" t="e">
        <f>IF($F$6,IF($L335="","",IFERROR(VLOOKUP($L335,day_data!$A:$I,7,FALSE),0)),NA())</f>
        <v>#N/A</v>
      </c>
      <c r="S335" s="58" t="str">
        <f>IF($F$5,IF($L335="","",IFERROR(VLOOKUP($L335,day_data!$A:$I,8,FALSE),0)),NA())</f>
        <v/>
      </c>
      <c r="T335" s="60" t="e">
        <f>IF($F$7,IF($L335="","",IFERROR(VLOOKUP($L335,day_data!$A:$I,9,FALSE),0)),NA())</f>
        <v>#N/A</v>
      </c>
    </row>
    <row r="336" spans="12:20">
      <c r="L336" s="57" t="str">
        <f t="shared" si="5"/>
        <v/>
      </c>
      <c r="M336" s="11" t="str">
        <f>IF($F$1,IF($L336="","",IFERROR(VLOOKUP($L336,day_data!$A:$I,2,FALSE),0)),NA())</f>
        <v/>
      </c>
      <c r="N336" s="58" t="e">
        <f>IF($F$2,IF($L336="","",IFERROR(VLOOKUP($L336,day_data!$A:$I,3,FALSE),0)),NA())</f>
        <v>#N/A</v>
      </c>
      <c r="O336" s="11" t="e">
        <f>IF($F$3,IF($L336="","",IFERROR(VLOOKUP($L336,day_data!$A:$I,4,FALSE),0)),NA())</f>
        <v>#N/A</v>
      </c>
      <c r="P336" s="58" t="e">
        <f>IF($F$4,IF($L336="","",IFERROR(VLOOKUP($L336,day_data!$A:$I,5,FALSE),0)),NA())</f>
        <v>#N/A</v>
      </c>
      <c r="Q336" s="59" t="e">
        <f>IF($F$8,IF($L336="","",IFERROR(VLOOKUP($L336,day_data!$A:$I,6,FALSE),0)),NA())</f>
        <v>#N/A</v>
      </c>
      <c r="R336" s="11" t="e">
        <f>IF($F$6,IF($L336="","",IFERROR(VLOOKUP($L336,day_data!$A:$I,7,FALSE),0)),NA())</f>
        <v>#N/A</v>
      </c>
      <c r="S336" s="58" t="str">
        <f>IF($F$5,IF($L336="","",IFERROR(VLOOKUP($L336,day_data!$A:$I,8,FALSE),0)),NA())</f>
        <v/>
      </c>
      <c r="T336" s="60" t="e">
        <f>IF($F$7,IF($L336="","",IFERROR(VLOOKUP($L336,day_data!$A:$I,9,FALSE),0)),NA())</f>
        <v>#N/A</v>
      </c>
    </row>
    <row r="337" spans="12:20">
      <c r="L337" s="57" t="str">
        <f t="shared" si="5"/>
        <v/>
      </c>
      <c r="M337" s="11" t="str">
        <f>IF($F$1,IF($L337="","",IFERROR(VLOOKUP($L337,day_data!$A:$I,2,FALSE),0)),NA())</f>
        <v/>
      </c>
      <c r="N337" s="58" t="e">
        <f>IF($F$2,IF($L337="","",IFERROR(VLOOKUP($L337,day_data!$A:$I,3,FALSE),0)),NA())</f>
        <v>#N/A</v>
      </c>
      <c r="O337" s="11" t="e">
        <f>IF($F$3,IF($L337="","",IFERROR(VLOOKUP($L337,day_data!$A:$I,4,FALSE),0)),NA())</f>
        <v>#N/A</v>
      </c>
      <c r="P337" s="58" t="e">
        <f>IF($F$4,IF($L337="","",IFERROR(VLOOKUP($L337,day_data!$A:$I,5,FALSE),0)),NA())</f>
        <v>#N/A</v>
      </c>
      <c r="Q337" s="59" t="e">
        <f>IF($F$8,IF($L337="","",IFERROR(VLOOKUP($L337,day_data!$A:$I,6,FALSE),0)),NA())</f>
        <v>#N/A</v>
      </c>
      <c r="R337" s="11" t="e">
        <f>IF($F$6,IF($L337="","",IFERROR(VLOOKUP($L337,day_data!$A:$I,7,FALSE),0)),NA())</f>
        <v>#N/A</v>
      </c>
      <c r="S337" s="58" t="str">
        <f>IF($F$5,IF($L337="","",IFERROR(VLOOKUP($L337,day_data!$A:$I,8,FALSE),0)),NA())</f>
        <v/>
      </c>
      <c r="T337" s="60" t="e">
        <f>IF($F$7,IF($L337="","",IFERROR(VLOOKUP($L337,day_data!$A:$I,9,FALSE),0)),NA())</f>
        <v>#N/A</v>
      </c>
    </row>
    <row r="338" spans="12:20">
      <c r="L338" s="57" t="str">
        <f t="shared" si="5"/>
        <v/>
      </c>
      <c r="M338" s="11" t="str">
        <f>IF($F$1,IF($L338="","",IFERROR(VLOOKUP($L338,day_data!$A:$I,2,FALSE),0)),NA())</f>
        <v/>
      </c>
      <c r="N338" s="58" t="e">
        <f>IF($F$2,IF($L338="","",IFERROR(VLOOKUP($L338,day_data!$A:$I,3,FALSE),0)),NA())</f>
        <v>#N/A</v>
      </c>
      <c r="O338" s="11" t="e">
        <f>IF($F$3,IF($L338="","",IFERROR(VLOOKUP($L338,day_data!$A:$I,4,FALSE),0)),NA())</f>
        <v>#N/A</v>
      </c>
      <c r="P338" s="58" t="e">
        <f>IF($F$4,IF($L338="","",IFERROR(VLOOKUP($L338,day_data!$A:$I,5,FALSE),0)),NA())</f>
        <v>#N/A</v>
      </c>
      <c r="Q338" s="59" t="e">
        <f>IF($F$8,IF($L338="","",IFERROR(VLOOKUP($L338,day_data!$A:$I,6,FALSE),0)),NA())</f>
        <v>#N/A</v>
      </c>
      <c r="R338" s="11" t="e">
        <f>IF($F$6,IF($L338="","",IFERROR(VLOOKUP($L338,day_data!$A:$I,7,FALSE),0)),NA())</f>
        <v>#N/A</v>
      </c>
      <c r="S338" s="58" t="str">
        <f>IF($F$5,IF($L338="","",IFERROR(VLOOKUP($L338,day_data!$A:$I,8,FALSE),0)),NA())</f>
        <v/>
      </c>
      <c r="T338" s="60" t="e">
        <f>IF($F$7,IF($L338="","",IFERROR(VLOOKUP($L338,day_data!$A:$I,9,FALSE),0)),NA())</f>
        <v>#N/A</v>
      </c>
    </row>
    <row r="339" spans="12:20">
      <c r="L339" s="57" t="str">
        <f t="shared" si="5"/>
        <v/>
      </c>
      <c r="M339" s="11" t="str">
        <f>IF($F$1,IF($L339="","",IFERROR(VLOOKUP($L339,day_data!$A:$I,2,FALSE),0)),NA())</f>
        <v/>
      </c>
      <c r="N339" s="58" t="e">
        <f>IF($F$2,IF($L339="","",IFERROR(VLOOKUP($L339,day_data!$A:$I,3,FALSE),0)),NA())</f>
        <v>#N/A</v>
      </c>
      <c r="O339" s="11" t="e">
        <f>IF($F$3,IF($L339="","",IFERROR(VLOOKUP($L339,day_data!$A:$I,4,FALSE),0)),NA())</f>
        <v>#N/A</v>
      </c>
      <c r="P339" s="58" t="e">
        <f>IF($F$4,IF($L339="","",IFERROR(VLOOKUP($L339,day_data!$A:$I,5,FALSE),0)),NA())</f>
        <v>#N/A</v>
      </c>
      <c r="Q339" s="59" t="e">
        <f>IF($F$8,IF($L339="","",IFERROR(VLOOKUP($L339,day_data!$A:$I,6,FALSE),0)),NA())</f>
        <v>#N/A</v>
      </c>
      <c r="R339" s="11" t="e">
        <f>IF($F$6,IF($L339="","",IFERROR(VLOOKUP($L339,day_data!$A:$I,7,FALSE),0)),NA())</f>
        <v>#N/A</v>
      </c>
      <c r="S339" s="58" t="str">
        <f>IF($F$5,IF($L339="","",IFERROR(VLOOKUP($L339,day_data!$A:$I,8,FALSE),0)),NA())</f>
        <v/>
      </c>
      <c r="T339" s="60" t="e">
        <f>IF($F$7,IF($L339="","",IFERROR(VLOOKUP($L339,day_data!$A:$I,9,FALSE),0)),NA())</f>
        <v>#N/A</v>
      </c>
    </row>
    <row r="340" spans="12:20">
      <c r="L340" s="57" t="str">
        <f t="shared" si="5"/>
        <v/>
      </c>
      <c r="M340" s="11" t="str">
        <f>IF($F$1,IF($L340="","",IFERROR(VLOOKUP($L340,day_data!$A:$I,2,FALSE),0)),NA())</f>
        <v/>
      </c>
      <c r="N340" s="58" t="e">
        <f>IF($F$2,IF($L340="","",IFERROR(VLOOKUP($L340,day_data!$A:$I,3,FALSE),0)),NA())</f>
        <v>#N/A</v>
      </c>
      <c r="O340" s="11" t="e">
        <f>IF($F$3,IF($L340="","",IFERROR(VLOOKUP($L340,day_data!$A:$I,4,FALSE),0)),NA())</f>
        <v>#N/A</v>
      </c>
      <c r="P340" s="58" t="e">
        <f>IF($F$4,IF($L340="","",IFERROR(VLOOKUP($L340,day_data!$A:$I,5,FALSE),0)),NA())</f>
        <v>#N/A</v>
      </c>
      <c r="Q340" s="59" t="e">
        <f>IF($F$8,IF($L340="","",IFERROR(VLOOKUP($L340,day_data!$A:$I,6,FALSE),0)),NA())</f>
        <v>#N/A</v>
      </c>
      <c r="R340" s="11" t="e">
        <f>IF($F$6,IF($L340="","",IFERROR(VLOOKUP($L340,day_data!$A:$I,7,FALSE),0)),NA())</f>
        <v>#N/A</v>
      </c>
      <c r="S340" s="58" t="str">
        <f>IF($F$5,IF($L340="","",IFERROR(VLOOKUP($L340,day_data!$A:$I,8,FALSE),0)),NA())</f>
        <v/>
      </c>
      <c r="T340" s="60" t="e">
        <f>IF($F$7,IF($L340="","",IFERROR(VLOOKUP($L340,day_data!$A:$I,9,FALSE),0)),NA())</f>
        <v>#N/A</v>
      </c>
    </row>
    <row r="341" spans="12:20">
      <c r="L341" s="57" t="str">
        <f t="shared" si="5"/>
        <v/>
      </c>
      <c r="M341" s="11" t="str">
        <f>IF($F$1,IF($L341="","",IFERROR(VLOOKUP($L341,day_data!$A:$I,2,FALSE),0)),NA())</f>
        <v/>
      </c>
      <c r="N341" s="58" t="e">
        <f>IF($F$2,IF($L341="","",IFERROR(VLOOKUP($L341,day_data!$A:$I,3,FALSE),0)),NA())</f>
        <v>#N/A</v>
      </c>
      <c r="O341" s="11" t="e">
        <f>IF($F$3,IF($L341="","",IFERROR(VLOOKUP($L341,day_data!$A:$I,4,FALSE),0)),NA())</f>
        <v>#N/A</v>
      </c>
      <c r="P341" s="58" t="e">
        <f>IF($F$4,IF($L341="","",IFERROR(VLOOKUP($L341,day_data!$A:$I,5,FALSE),0)),NA())</f>
        <v>#N/A</v>
      </c>
      <c r="Q341" s="59" t="e">
        <f>IF($F$8,IF($L341="","",IFERROR(VLOOKUP($L341,day_data!$A:$I,6,FALSE),0)),NA())</f>
        <v>#N/A</v>
      </c>
      <c r="R341" s="11" t="e">
        <f>IF($F$6,IF($L341="","",IFERROR(VLOOKUP($L341,day_data!$A:$I,7,FALSE),0)),NA())</f>
        <v>#N/A</v>
      </c>
      <c r="S341" s="58" t="str">
        <f>IF($F$5,IF($L341="","",IFERROR(VLOOKUP($L341,day_data!$A:$I,8,FALSE),0)),NA())</f>
        <v/>
      </c>
      <c r="T341" s="60" t="e">
        <f>IF($F$7,IF($L341="","",IFERROR(VLOOKUP($L341,day_data!$A:$I,9,FALSE),0)),NA())</f>
        <v>#N/A</v>
      </c>
    </row>
    <row r="342" spans="12:20">
      <c r="L342" s="57" t="str">
        <f t="shared" si="5"/>
        <v/>
      </c>
      <c r="M342" s="11" t="str">
        <f>IF($F$1,IF($L342="","",IFERROR(VLOOKUP($L342,day_data!$A:$I,2,FALSE),0)),NA())</f>
        <v/>
      </c>
      <c r="N342" s="58" t="e">
        <f>IF($F$2,IF($L342="","",IFERROR(VLOOKUP($L342,day_data!$A:$I,3,FALSE),0)),NA())</f>
        <v>#N/A</v>
      </c>
      <c r="O342" s="11" t="e">
        <f>IF($F$3,IF($L342="","",IFERROR(VLOOKUP($L342,day_data!$A:$I,4,FALSE),0)),NA())</f>
        <v>#N/A</v>
      </c>
      <c r="P342" s="58" t="e">
        <f>IF($F$4,IF($L342="","",IFERROR(VLOOKUP($L342,day_data!$A:$I,5,FALSE),0)),NA())</f>
        <v>#N/A</v>
      </c>
      <c r="Q342" s="59" t="e">
        <f>IF($F$8,IF($L342="","",IFERROR(VLOOKUP($L342,day_data!$A:$I,6,FALSE),0)),NA())</f>
        <v>#N/A</v>
      </c>
      <c r="R342" s="11" t="e">
        <f>IF($F$6,IF($L342="","",IFERROR(VLOOKUP($L342,day_data!$A:$I,7,FALSE),0)),NA())</f>
        <v>#N/A</v>
      </c>
      <c r="S342" s="58" t="str">
        <f>IF($F$5,IF($L342="","",IFERROR(VLOOKUP($L342,day_data!$A:$I,8,FALSE),0)),NA())</f>
        <v/>
      </c>
      <c r="T342" s="60" t="e">
        <f>IF($F$7,IF($L342="","",IFERROR(VLOOKUP($L342,day_data!$A:$I,9,FALSE),0)),NA())</f>
        <v>#N/A</v>
      </c>
    </row>
    <row r="343" spans="12:20">
      <c r="L343" s="57" t="str">
        <f t="shared" si="5"/>
        <v/>
      </c>
      <c r="M343" s="11" t="str">
        <f>IF($F$1,IF($L343="","",IFERROR(VLOOKUP($L343,day_data!$A:$I,2,FALSE),0)),NA())</f>
        <v/>
      </c>
      <c r="N343" s="58" t="e">
        <f>IF($F$2,IF($L343="","",IFERROR(VLOOKUP($L343,day_data!$A:$I,3,FALSE),0)),NA())</f>
        <v>#N/A</v>
      </c>
      <c r="O343" s="11" t="e">
        <f>IF($F$3,IF($L343="","",IFERROR(VLOOKUP($L343,day_data!$A:$I,4,FALSE),0)),NA())</f>
        <v>#N/A</v>
      </c>
      <c r="P343" s="58" t="e">
        <f>IF($F$4,IF($L343="","",IFERROR(VLOOKUP($L343,day_data!$A:$I,5,FALSE),0)),NA())</f>
        <v>#N/A</v>
      </c>
      <c r="Q343" s="59" t="e">
        <f>IF($F$8,IF($L343="","",IFERROR(VLOOKUP($L343,day_data!$A:$I,6,FALSE),0)),NA())</f>
        <v>#N/A</v>
      </c>
      <c r="R343" s="11" t="e">
        <f>IF($F$6,IF($L343="","",IFERROR(VLOOKUP($L343,day_data!$A:$I,7,FALSE),0)),NA())</f>
        <v>#N/A</v>
      </c>
      <c r="S343" s="58" t="str">
        <f>IF($F$5,IF($L343="","",IFERROR(VLOOKUP($L343,day_data!$A:$I,8,FALSE),0)),NA())</f>
        <v/>
      </c>
      <c r="T343" s="60" t="e">
        <f>IF($F$7,IF($L343="","",IFERROR(VLOOKUP($L343,day_data!$A:$I,9,FALSE),0)),NA())</f>
        <v>#N/A</v>
      </c>
    </row>
    <row r="344" spans="12:20">
      <c r="L344" s="57" t="str">
        <f t="shared" si="5"/>
        <v/>
      </c>
      <c r="M344" s="11" t="str">
        <f>IF($F$1,IF($L344="","",IFERROR(VLOOKUP($L344,day_data!$A:$I,2,FALSE),0)),NA())</f>
        <v/>
      </c>
      <c r="N344" s="58" t="e">
        <f>IF($F$2,IF($L344="","",IFERROR(VLOOKUP($L344,day_data!$A:$I,3,FALSE),0)),NA())</f>
        <v>#N/A</v>
      </c>
      <c r="O344" s="11" t="e">
        <f>IF($F$3,IF($L344="","",IFERROR(VLOOKUP($L344,day_data!$A:$I,4,FALSE),0)),NA())</f>
        <v>#N/A</v>
      </c>
      <c r="P344" s="58" t="e">
        <f>IF($F$4,IF($L344="","",IFERROR(VLOOKUP($L344,day_data!$A:$I,5,FALSE),0)),NA())</f>
        <v>#N/A</v>
      </c>
      <c r="Q344" s="59" t="e">
        <f>IF($F$8,IF($L344="","",IFERROR(VLOOKUP($L344,day_data!$A:$I,6,FALSE),0)),NA())</f>
        <v>#N/A</v>
      </c>
      <c r="R344" s="11" t="e">
        <f>IF($F$6,IF($L344="","",IFERROR(VLOOKUP($L344,day_data!$A:$I,7,FALSE),0)),NA())</f>
        <v>#N/A</v>
      </c>
      <c r="S344" s="58" t="str">
        <f>IF($F$5,IF($L344="","",IFERROR(VLOOKUP($L344,day_data!$A:$I,8,FALSE),0)),NA())</f>
        <v/>
      </c>
      <c r="T344" s="60" t="e">
        <f>IF($F$7,IF($L344="","",IFERROR(VLOOKUP($L344,day_data!$A:$I,9,FALSE),0)),NA())</f>
        <v>#N/A</v>
      </c>
    </row>
    <row r="345" spans="12:20">
      <c r="L345" s="57" t="str">
        <f t="shared" si="5"/>
        <v/>
      </c>
      <c r="M345" s="11" t="str">
        <f>IF($F$1,IF($L345="","",IFERROR(VLOOKUP($L345,day_data!$A:$I,2,FALSE),0)),NA())</f>
        <v/>
      </c>
      <c r="N345" s="58" t="e">
        <f>IF($F$2,IF($L345="","",IFERROR(VLOOKUP($L345,day_data!$A:$I,3,FALSE),0)),NA())</f>
        <v>#N/A</v>
      </c>
      <c r="O345" s="11" t="e">
        <f>IF($F$3,IF($L345="","",IFERROR(VLOOKUP($L345,day_data!$A:$I,4,FALSE),0)),NA())</f>
        <v>#N/A</v>
      </c>
      <c r="P345" s="58" t="e">
        <f>IF($F$4,IF($L345="","",IFERROR(VLOOKUP($L345,day_data!$A:$I,5,FALSE),0)),NA())</f>
        <v>#N/A</v>
      </c>
      <c r="Q345" s="59" t="e">
        <f>IF($F$8,IF($L345="","",IFERROR(VLOOKUP($L345,day_data!$A:$I,6,FALSE),0)),NA())</f>
        <v>#N/A</v>
      </c>
      <c r="R345" s="11" t="e">
        <f>IF($F$6,IF($L345="","",IFERROR(VLOOKUP($L345,day_data!$A:$I,7,FALSE),0)),NA())</f>
        <v>#N/A</v>
      </c>
      <c r="S345" s="58" t="str">
        <f>IF($F$5,IF($L345="","",IFERROR(VLOOKUP($L345,day_data!$A:$I,8,FALSE),0)),NA())</f>
        <v/>
      </c>
      <c r="T345" s="60" t="e">
        <f>IF($F$7,IF($L345="","",IFERROR(VLOOKUP($L345,day_data!$A:$I,9,FALSE),0)),NA())</f>
        <v>#N/A</v>
      </c>
    </row>
    <row r="346" spans="12:20">
      <c r="L346" s="57" t="str">
        <f t="shared" si="5"/>
        <v/>
      </c>
      <c r="M346" s="11" t="str">
        <f>IF($F$1,IF($L346="","",IFERROR(VLOOKUP($L346,day_data!$A:$I,2,FALSE),0)),NA())</f>
        <v/>
      </c>
      <c r="N346" s="58" t="e">
        <f>IF($F$2,IF($L346="","",IFERROR(VLOOKUP($L346,day_data!$A:$I,3,FALSE),0)),NA())</f>
        <v>#N/A</v>
      </c>
      <c r="O346" s="11" t="e">
        <f>IF($F$3,IF($L346="","",IFERROR(VLOOKUP($L346,day_data!$A:$I,4,FALSE),0)),NA())</f>
        <v>#N/A</v>
      </c>
      <c r="P346" s="58" t="e">
        <f>IF($F$4,IF($L346="","",IFERROR(VLOOKUP($L346,day_data!$A:$I,5,FALSE),0)),NA())</f>
        <v>#N/A</v>
      </c>
      <c r="Q346" s="59" t="e">
        <f>IF($F$8,IF($L346="","",IFERROR(VLOOKUP($L346,day_data!$A:$I,6,FALSE),0)),NA())</f>
        <v>#N/A</v>
      </c>
      <c r="R346" s="11" t="e">
        <f>IF($F$6,IF($L346="","",IFERROR(VLOOKUP($L346,day_data!$A:$I,7,FALSE),0)),NA())</f>
        <v>#N/A</v>
      </c>
      <c r="S346" s="58" t="str">
        <f>IF($F$5,IF($L346="","",IFERROR(VLOOKUP($L346,day_data!$A:$I,8,FALSE),0)),NA())</f>
        <v/>
      </c>
      <c r="T346" s="60" t="e">
        <f>IF($F$7,IF($L346="","",IFERROR(VLOOKUP($L346,day_data!$A:$I,9,FALSE),0)),NA())</f>
        <v>#N/A</v>
      </c>
    </row>
    <row r="347" spans="12:20">
      <c r="L347" s="57" t="str">
        <f t="shared" si="5"/>
        <v/>
      </c>
      <c r="M347" s="11" t="str">
        <f>IF($F$1,IF($L347="","",IFERROR(VLOOKUP($L347,day_data!$A:$I,2,FALSE),0)),NA())</f>
        <v/>
      </c>
      <c r="N347" s="58" t="e">
        <f>IF($F$2,IF($L347="","",IFERROR(VLOOKUP($L347,day_data!$A:$I,3,FALSE),0)),NA())</f>
        <v>#N/A</v>
      </c>
      <c r="O347" s="11" t="e">
        <f>IF($F$3,IF($L347="","",IFERROR(VLOOKUP($L347,day_data!$A:$I,4,FALSE),0)),NA())</f>
        <v>#N/A</v>
      </c>
      <c r="P347" s="58" t="e">
        <f>IF($F$4,IF($L347="","",IFERROR(VLOOKUP($L347,day_data!$A:$I,5,FALSE),0)),NA())</f>
        <v>#N/A</v>
      </c>
      <c r="Q347" s="59" t="e">
        <f>IF($F$8,IF($L347="","",IFERROR(VLOOKUP($L347,day_data!$A:$I,6,FALSE),0)),NA())</f>
        <v>#N/A</v>
      </c>
      <c r="R347" s="11" t="e">
        <f>IF($F$6,IF($L347="","",IFERROR(VLOOKUP($L347,day_data!$A:$I,7,FALSE),0)),NA())</f>
        <v>#N/A</v>
      </c>
      <c r="S347" s="58" t="str">
        <f>IF($F$5,IF($L347="","",IFERROR(VLOOKUP($L347,day_data!$A:$I,8,FALSE),0)),NA())</f>
        <v/>
      </c>
      <c r="T347" s="60" t="e">
        <f>IF($F$7,IF($L347="","",IFERROR(VLOOKUP($L347,day_data!$A:$I,9,FALSE),0)),NA())</f>
        <v>#N/A</v>
      </c>
    </row>
    <row r="348" spans="12:20">
      <c r="L348" s="57" t="str">
        <f t="shared" si="5"/>
        <v/>
      </c>
      <c r="M348" s="11" t="str">
        <f>IF($F$1,IF($L348="","",IFERROR(VLOOKUP($L348,day_data!$A:$I,2,FALSE),0)),NA())</f>
        <v/>
      </c>
      <c r="N348" s="58" t="e">
        <f>IF($F$2,IF($L348="","",IFERROR(VLOOKUP($L348,day_data!$A:$I,3,FALSE),0)),NA())</f>
        <v>#N/A</v>
      </c>
      <c r="O348" s="11" t="e">
        <f>IF($F$3,IF($L348="","",IFERROR(VLOOKUP($L348,day_data!$A:$I,4,FALSE),0)),NA())</f>
        <v>#N/A</v>
      </c>
      <c r="P348" s="58" t="e">
        <f>IF($F$4,IF($L348="","",IFERROR(VLOOKUP($L348,day_data!$A:$I,5,FALSE),0)),NA())</f>
        <v>#N/A</v>
      </c>
      <c r="Q348" s="59" t="e">
        <f>IF($F$8,IF($L348="","",IFERROR(VLOOKUP($L348,day_data!$A:$I,6,FALSE),0)),NA())</f>
        <v>#N/A</v>
      </c>
      <c r="R348" s="11" t="e">
        <f>IF($F$6,IF($L348="","",IFERROR(VLOOKUP($L348,day_data!$A:$I,7,FALSE),0)),NA())</f>
        <v>#N/A</v>
      </c>
      <c r="S348" s="58" t="str">
        <f>IF($F$5,IF($L348="","",IFERROR(VLOOKUP($L348,day_data!$A:$I,8,FALSE),0)),NA())</f>
        <v/>
      </c>
      <c r="T348" s="60" t="e">
        <f>IF($F$7,IF($L348="","",IFERROR(VLOOKUP($L348,day_data!$A:$I,9,FALSE),0)),NA())</f>
        <v>#N/A</v>
      </c>
    </row>
    <row r="349" spans="12:20">
      <c r="L349" s="57" t="str">
        <f t="shared" si="5"/>
        <v/>
      </c>
      <c r="M349" s="11" t="str">
        <f>IF($F$1,IF($L349="","",IFERROR(VLOOKUP($L349,day_data!$A:$I,2,FALSE),0)),NA())</f>
        <v/>
      </c>
      <c r="N349" s="58" t="e">
        <f>IF($F$2,IF($L349="","",IFERROR(VLOOKUP($L349,day_data!$A:$I,3,FALSE),0)),NA())</f>
        <v>#N/A</v>
      </c>
      <c r="O349" s="11" t="e">
        <f>IF($F$3,IF($L349="","",IFERROR(VLOOKUP($L349,day_data!$A:$I,4,FALSE),0)),NA())</f>
        <v>#N/A</v>
      </c>
      <c r="P349" s="58" t="e">
        <f>IF($F$4,IF($L349="","",IFERROR(VLOOKUP($L349,day_data!$A:$I,5,FALSE),0)),NA())</f>
        <v>#N/A</v>
      </c>
      <c r="Q349" s="59" t="e">
        <f>IF($F$8,IF($L349="","",IFERROR(VLOOKUP($L349,day_data!$A:$I,6,FALSE),0)),NA())</f>
        <v>#N/A</v>
      </c>
      <c r="R349" s="11" t="e">
        <f>IF($F$6,IF($L349="","",IFERROR(VLOOKUP($L349,day_data!$A:$I,7,FALSE),0)),NA())</f>
        <v>#N/A</v>
      </c>
      <c r="S349" s="58" t="str">
        <f>IF($F$5,IF($L349="","",IFERROR(VLOOKUP($L349,day_data!$A:$I,8,FALSE),0)),NA())</f>
        <v/>
      </c>
      <c r="T349" s="60" t="e">
        <f>IF($F$7,IF($L349="","",IFERROR(VLOOKUP($L349,day_data!$A:$I,9,FALSE),0)),NA())</f>
        <v>#N/A</v>
      </c>
    </row>
    <row r="350" spans="12:20">
      <c r="L350" s="57" t="str">
        <f t="shared" si="5"/>
        <v/>
      </c>
      <c r="M350" s="11" t="str">
        <f>IF($F$1,IF($L350="","",IFERROR(VLOOKUP($L350,day_data!$A:$I,2,FALSE),0)),NA())</f>
        <v/>
      </c>
      <c r="N350" s="58" t="e">
        <f>IF($F$2,IF($L350="","",IFERROR(VLOOKUP($L350,day_data!$A:$I,3,FALSE),0)),NA())</f>
        <v>#N/A</v>
      </c>
      <c r="O350" s="11" t="e">
        <f>IF($F$3,IF($L350="","",IFERROR(VLOOKUP($L350,day_data!$A:$I,4,FALSE),0)),NA())</f>
        <v>#N/A</v>
      </c>
      <c r="P350" s="58" t="e">
        <f>IF($F$4,IF($L350="","",IFERROR(VLOOKUP($L350,day_data!$A:$I,5,FALSE),0)),NA())</f>
        <v>#N/A</v>
      </c>
      <c r="Q350" s="59" t="e">
        <f>IF($F$8,IF($L350="","",IFERROR(VLOOKUP($L350,day_data!$A:$I,6,FALSE),0)),NA())</f>
        <v>#N/A</v>
      </c>
      <c r="R350" s="11" t="e">
        <f>IF($F$6,IF($L350="","",IFERROR(VLOOKUP($L350,day_data!$A:$I,7,FALSE),0)),NA())</f>
        <v>#N/A</v>
      </c>
      <c r="S350" s="58" t="str">
        <f>IF($F$5,IF($L350="","",IFERROR(VLOOKUP($L350,day_data!$A:$I,8,FALSE),0)),NA())</f>
        <v/>
      </c>
      <c r="T350" s="60" t="e">
        <f>IF($F$7,IF($L350="","",IFERROR(VLOOKUP($L350,day_data!$A:$I,9,FALSE),0)),NA())</f>
        <v>#N/A</v>
      </c>
    </row>
    <row r="351" spans="12:20">
      <c r="L351" s="57" t="str">
        <f t="shared" si="5"/>
        <v/>
      </c>
      <c r="M351" s="11" t="str">
        <f>IF($F$1,IF($L351="","",IFERROR(VLOOKUP($L351,day_data!$A:$I,2,FALSE),0)),NA())</f>
        <v/>
      </c>
      <c r="N351" s="58" t="e">
        <f>IF($F$2,IF($L351="","",IFERROR(VLOOKUP($L351,day_data!$A:$I,3,FALSE),0)),NA())</f>
        <v>#N/A</v>
      </c>
      <c r="O351" s="11" t="e">
        <f>IF($F$3,IF($L351="","",IFERROR(VLOOKUP($L351,day_data!$A:$I,4,FALSE),0)),NA())</f>
        <v>#N/A</v>
      </c>
      <c r="P351" s="58" t="e">
        <f>IF($F$4,IF($L351="","",IFERROR(VLOOKUP($L351,day_data!$A:$I,5,FALSE),0)),NA())</f>
        <v>#N/A</v>
      </c>
      <c r="Q351" s="59" t="e">
        <f>IF($F$8,IF($L351="","",IFERROR(VLOOKUP($L351,day_data!$A:$I,6,FALSE),0)),NA())</f>
        <v>#N/A</v>
      </c>
      <c r="R351" s="11" t="e">
        <f>IF($F$6,IF($L351="","",IFERROR(VLOOKUP($L351,day_data!$A:$I,7,FALSE),0)),NA())</f>
        <v>#N/A</v>
      </c>
      <c r="S351" s="58" t="str">
        <f>IF($F$5,IF($L351="","",IFERROR(VLOOKUP($L351,day_data!$A:$I,8,FALSE),0)),NA())</f>
        <v/>
      </c>
      <c r="T351" s="60" t="e">
        <f>IF($F$7,IF($L351="","",IFERROR(VLOOKUP($L351,day_data!$A:$I,9,FALSE),0)),NA())</f>
        <v>#N/A</v>
      </c>
    </row>
    <row r="352" spans="12:20">
      <c r="L352" s="57" t="str">
        <f t="shared" si="5"/>
        <v/>
      </c>
      <c r="M352" s="11" t="str">
        <f>IF($F$1,IF($L352="","",IFERROR(VLOOKUP($L352,day_data!$A:$I,2,FALSE),0)),NA())</f>
        <v/>
      </c>
      <c r="N352" s="58" t="e">
        <f>IF($F$2,IF($L352="","",IFERROR(VLOOKUP($L352,day_data!$A:$I,3,FALSE),0)),NA())</f>
        <v>#N/A</v>
      </c>
      <c r="O352" s="11" t="e">
        <f>IF($F$3,IF($L352="","",IFERROR(VLOOKUP($L352,day_data!$A:$I,4,FALSE),0)),NA())</f>
        <v>#N/A</v>
      </c>
      <c r="P352" s="58" t="e">
        <f>IF($F$4,IF($L352="","",IFERROR(VLOOKUP($L352,day_data!$A:$I,5,FALSE),0)),NA())</f>
        <v>#N/A</v>
      </c>
      <c r="Q352" s="59" t="e">
        <f>IF($F$8,IF($L352="","",IFERROR(VLOOKUP($L352,day_data!$A:$I,6,FALSE),0)),NA())</f>
        <v>#N/A</v>
      </c>
      <c r="R352" s="11" t="e">
        <f>IF($F$6,IF($L352="","",IFERROR(VLOOKUP($L352,day_data!$A:$I,7,FALSE),0)),NA())</f>
        <v>#N/A</v>
      </c>
      <c r="S352" s="58" t="str">
        <f>IF($F$5,IF($L352="","",IFERROR(VLOOKUP($L352,day_data!$A:$I,8,FALSE),0)),NA())</f>
        <v/>
      </c>
      <c r="T352" s="60" t="e">
        <f>IF($F$7,IF($L352="","",IFERROR(VLOOKUP($L352,day_data!$A:$I,9,FALSE),0)),NA())</f>
        <v>#N/A</v>
      </c>
    </row>
    <row r="353" spans="12:20">
      <c r="L353" s="57" t="str">
        <f t="shared" si="5"/>
        <v/>
      </c>
      <c r="M353" s="11" t="str">
        <f>IF($F$1,IF($L353="","",IFERROR(VLOOKUP($L353,day_data!$A:$I,2,FALSE),0)),NA())</f>
        <v/>
      </c>
      <c r="N353" s="58" t="e">
        <f>IF($F$2,IF($L353="","",IFERROR(VLOOKUP($L353,day_data!$A:$I,3,FALSE),0)),NA())</f>
        <v>#N/A</v>
      </c>
      <c r="O353" s="11" t="e">
        <f>IF($F$3,IF($L353="","",IFERROR(VLOOKUP($L353,day_data!$A:$I,4,FALSE),0)),NA())</f>
        <v>#N/A</v>
      </c>
      <c r="P353" s="58" t="e">
        <f>IF($F$4,IF($L353="","",IFERROR(VLOOKUP($L353,day_data!$A:$I,5,FALSE),0)),NA())</f>
        <v>#N/A</v>
      </c>
      <c r="Q353" s="59" t="e">
        <f>IF($F$8,IF($L353="","",IFERROR(VLOOKUP($L353,day_data!$A:$I,6,FALSE),0)),NA())</f>
        <v>#N/A</v>
      </c>
      <c r="R353" s="11" t="e">
        <f>IF($F$6,IF($L353="","",IFERROR(VLOOKUP($L353,day_data!$A:$I,7,FALSE),0)),NA())</f>
        <v>#N/A</v>
      </c>
      <c r="S353" s="58" t="str">
        <f>IF($F$5,IF($L353="","",IFERROR(VLOOKUP($L353,day_data!$A:$I,8,FALSE),0)),NA())</f>
        <v/>
      </c>
      <c r="T353" s="60" t="e">
        <f>IF($F$7,IF($L353="","",IFERROR(VLOOKUP($L353,day_data!$A:$I,9,FALSE),0)),NA())</f>
        <v>#N/A</v>
      </c>
    </row>
    <row r="354" spans="12:20">
      <c r="L354" s="57" t="str">
        <f t="shared" si="5"/>
        <v/>
      </c>
      <c r="M354" s="11" t="str">
        <f>IF($F$1,IF($L354="","",IFERROR(VLOOKUP($L354,day_data!$A:$I,2,FALSE),0)),NA())</f>
        <v/>
      </c>
      <c r="N354" s="58" t="e">
        <f>IF($F$2,IF($L354="","",IFERROR(VLOOKUP($L354,day_data!$A:$I,3,FALSE),0)),NA())</f>
        <v>#N/A</v>
      </c>
      <c r="O354" s="11" t="e">
        <f>IF($F$3,IF($L354="","",IFERROR(VLOOKUP($L354,day_data!$A:$I,4,FALSE),0)),NA())</f>
        <v>#N/A</v>
      </c>
      <c r="P354" s="58" t="e">
        <f>IF($F$4,IF($L354="","",IFERROR(VLOOKUP($L354,day_data!$A:$I,5,FALSE),0)),NA())</f>
        <v>#N/A</v>
      </c>
      <c r="Q354" s="59" t="e">
        <f>IF($F$8,IF($L354="","",IFERROR(VLOOKUP($L354,day_data!$A:$I,6,FALSE),0)),NA())</f>
        <v>#N/A</v>
      </c>
      <c r="R354" s="11" t="e">
        <f>IF($F$6,IF($L354="","",IFERROR(VLOOKUP($L354,day_data!$A:$I,7,FALSE),0)),NA())</f>
        <v>#N/A</v>
      </c>
      <c r="S354" s="58" t="str">
        <f>IF($F$5,IF($L354="","",IFERROR(VLOOKUP($L354,day_data!$A:$I,8,FALSE),0)),NA())</f>
        <v/>
      </c>
      <c r="T354" s="60" t="e">
        <f>IF($F$7,IF($L354="","",IFERROR(VLOOKUP($L354,day_data!$A:$I,9,FALSE),0)),NA())</f>
        <v>#N/A</v>
      </c>
    </row>
    <row r="355" spans="12:20">
      <c r="L355" s="57" t="str">
        <f t="shared" si="5"/>
        <v/>
      </c>
      <c r="M355" s="11" t="str">
        <f>IF($F$1,IF($L355="","",IFERROR(VLOOKUP($L355,day_data!$A:$I,2,FALSE),0)),NA())</f>
        <v/>
      </c>
      <c r="N355" s="58" t="e">
        <f>IF($F$2,IF($L355="","",IFERROR(VLOOKUP($L355,day_data!$A:$I,3,FALSE),0)),NA())</f>
        <v>#N/A</v>
      </c>
      <c r="O355" s="11" t="e">
        <f>IF($F$3,IF($L355="","",IFERROR(VLOOKUP($L355,day_data!$A:$I,4,FALSE),0)),NA())</f>
        <v>#N/A</v>
      </c>
      <c r="P355" s="58" t="e">
        <f>IF($F$4,IF($L355="","",IFERROR(VLOOKUP($L355,day_data!$A:$I,5,FALSE),0)),NA())</f>
        <v>#N/A</v>
      </c>
      <c r="Q355" s="59" t="e">
        <f>IF($F$8,IF($L355="","",IFERROR(VLOOKUP($L355,day_data!$A:$I,6,FALSE),0)),NA())</f>
        <v>#N/A</v>
      </c>
      <c r="R355" s="11" t="e">
        <f>IF($F$6,IF($L355="","",IFERROR(VLOOKUP($L355,day_data!$A:$I,7,FALSE),0)),NA())</f>
        <v>#N/A</v>
      </c>
      <c r="S355" s="58" t="str">
        <f>IF($F$5,IF($L355="","",IFERROR(VLOOKUP($L355,day_data!$A:$I,8,FALSE),0)),NA())</f>
        <v/>
      </c>
      <c r="T355" s="60" t="e">
        <f>IF($F$7,IF($L355="","",IFERROR(VLOOKUP($L355,day_data!$A:$I,9,FALSE),0)),NA())</f>
        <v>#N/A</v>
      </c>
    </row>
    <row r="356" spans="12:20">
      <c r="L356" s="57" t="str">
        <f t="shared" si="5"/>
        <v/>
      </c>
      <c r="M356" s="11" t="str">
        <f>IF($F$1,IF($L356="","",IFERROR(VLOOKUP($L356,day_data!$A:$I,2,FALSE),0)),NA())</f>
        <v/>
      </c>
      <c r="N356" s="58" t="e">
        <f>IF($F$2,IF($L356="","",IFERROR(VLOOKUP($L356,day_data!$A:$I,3,FALSE),0)),NA())</f>
        <v>#N/A</v>
      </c>
      <c r="O356" s="11" t="e">
        <f>IF($F$3,IF($L356="","",IFERROR(VLOOKUP($L356,day_data!$A:$I,4,FALSE),0)),NA())</f>
        <v>#N/A</v>
      </c>
      <c r="P356" s="58" t="e">
        <f>IF($F$4,IF($L356="","",IFERROR(VLOOKUP($L356,day_data!$A:$I,5,FALSE),0)),NA())</f>
        <v>#N/A</v>
      </c>
      <c r="Q356" s="59" t="e">
        <f>IF($F$8,IF($L356="","",IFERROR(VLOOKUP($L356,day_data!$A:$I,6,FALSE),0)),NA())</f>
        <v>#N/A</v>
      </c>
      <c r="R356" s="11" t="e">
        <f>IF($F$6,IF($L356="","",IFERROR(VLOOKUP($L356,day_data!$A:$I,7,FALSE),0)),NA())</f>
        <v>#N/A</v>
      </c>
      <c r="S356" s="58" t="str">
        <f>IF($F$5,IF($L356="","",IFERROR(VLOOKUP($L356,day_data!$A:$I,8,FALSE),0)),NA())</f>
        <v/>
      </c>
      <c r="T356" s="60" t="e">
        <f>IF($F$7,IF($L356="","",IFERROR(VLOOKUP($L356,day_data!$A:$I,9,FALSE),0)),NA())</f>
        <v>#N/A</v>
      </c>
    </row>
    <row r="357" spans="12:20">
      <c r="L357" s="57" t="str">
        <f t="shared" si="5"/>
        <v/>
      </c>
      <c r="M357" s="11" t="str">
        <f>IF($F$1,IF($L357="","",IFERROR(VLOOKUP($L357,day_data!$A:$I,2,FALSE),0)),NA())</f>
        <v/>
      </c>
      <c r="N357" s="58" t="e">
        <f>IF($F$2,IF($L357="","",IFERROR(VLOOKUP($L357,day_data!$A:$I,3,FALSE),0)),NA())</f>
        <v>#N/A</v>
      </c>
      <c r="O357" s="11" t="e">
        <f>IF($F$3,IF($L357="","",IFERROR(VLOOKUP($L357,day_data!$A:$I,4,FALSE),0)),NA())</f>
        <v>#N/A</v>
      </c>
      <c r="P357" s="58" t="e">
        <f>IF($F$4,IF($L357="","",IFERROR(VLOOKUP($L357,day_data!$A:$I,5,FALSE),0)),NA())</f>
        <v>#N/A</v>
      </c>
      <c r="Q357" s="59" t="e">
        <f>IF($F$8,IF($L357="","",IFERROR(VLOOKUP($L357,day_data!$A:$I,6,FALSE),0)),NA())</f>
        <v>#N/A</v>
      </c>
      <c r="R357" s="11" t="e">
        <f>IF($F$6,IF($L357="","",IFERROR(VLOOKUP($L357,day_data!$A:$I,7,FALSE),0)),NA())</f>
        <v>#N/A</v>
      </c>
      <c r="S357" s="58" t="str">
        <f>IF($F$5,IF($L357="","",IFERROR(VLOOKUP($L357,day_data!$A:$I,8,FALSE),0)),NA())</f>
        <v/>
      </c>
      <c r="T357" s="60" t="e">
        <f>IF($F$7,IF($L357="","",IFERROR(VLOOKUP($L357,day_data!$A:$I,9,FALSE),0)),NA())</f>
        <v>#N/A</v>
      </c>
    </row>
    <row r="358" spans="12:20">
      <c r="L358" s="57" t="str">
        <f t="shared" si="5"/>
        <v/>
      </c>
      <c r="M358" s="11" t="str">
        <f>IF($F$1,IF($L358="","",IFERROR(VLOOKUP($L358,day_data!$A:$I,2,FALSE),0)),NA())</f>
        <v/>
      </c>
      <c r="N358" s="58" t="e">
        <f>IF($F$2,IF($L358="","",IFERROR(VLOOKUP($L358,day_data!$A:$I,3,FALSE),0)),NA())</f>
        <v>#N/A</v>
      </c>
      <c r="O358" s="11" t="e">
        <f>IF($F$3,IF($L358="","",IFERROR(VLOOKUP($L358,day_data!$A:$I,4,FALSE),0)),NA())</f>
        <v>#N/A</v>
      </c>
      <c r="P358" s="58" t="e">
        <f>IF($F$4,IF($L358="","",IFERROR(VLOOKUP($L358,day_data!$A:$I,5,FALSE),0)),NA())</f>
        <v>#N/A</v>
      </c>
      <c r="Q358" s="59" t="e">
        <f>IF($F$8,IF($L358="","",IFERROR(VLOOKUP($L358,day_data!$A:$I,6,FALSE),0)),NA())</f>
        <v>#N/A</v>
      </c>
      <c r="R358" s="11" t="e">
        <f>IF($F$6,IF($L358="","",IFERROR(VLOOKUP($L358,day_data!$A:$I,7,FALSE),0)),NA())</f>
        <v>#N/A</v>
      </c>
      <c r="S358" s="58" t="str">
        <f>IF($F$5,IF($L358="","",IFERROR(VLOOKUP($L358,day_data!$A:$I,8,FALSE),0)),NA())</f>
        <v/>
      </c>
      <c r="T358" s="60" t="e">
        <f>IF($F$7,IF($L358="","",IFERROR(VLOOKUP($L358,day_data!$A:$I,9,FALSE),0)),NA())</f>
        <v>#N/A</v>
      </c>
    </row>
    <row r="359" spans="12:20">
      <c r="L359" s="57" t="str">
        <f t="shared" si="5"/>
        <v/>
      </c>
      <c r="M359" s="11" t="str">
        <f>IF($F$1,IF($L359="","",IFERROR(VLOOKUP($L359,day_data!$A:$I,2,FALSE),0)),NA())</f>
        <v/>
      </c>
      <c r="N359" s="58" t="e">
        <f>IF($F$2,IF($L359="","",IFERROR(VLOOKUP($L359,day_data!$A:$I,3,FALSE),0)),NA())</f>
        <v>#N/A</v>
      </c>
      <c r="O359" s="11" t="e">
        <f>IF($F$3,IF($L359="","",IFERROR(VLOOKUP($L359,day_data!$A:$I,4,FALSE),0)),NA())</f>
        <v>#N/A</v>
      </c>
      <c r="P359" s="58" t="e">
        <f>IF($F$4,IF($L359="","",IFERROR(VLOOKUP($L359,day_data!$A:$I,5,FALSE),0)),NA())</f>
        <v>#N/A</v>
      </c>
      <c r="Q359" s="59" t="e">
        <f>IF($F$8,IF($L359="","",IFERROR(VLOOKUP($L359,day_data!$A:$I,6,FALSE),0)),NA())</f>
        <v>#N/A</v>
      </c>
      <c r="R359" s="11" t="e">
        <f>IF($F$6,IF($L359="","",IFERROR(VLOOKUP($L359,day_data!$A:$I,7,FALSE),0)),NA())</f>
        <v>#N/A</v>
      </c>
      <c r="S359" s="58" t="str">
        <f>IF($F$5,IF($L359="","",IFERROR(VLOOKUP($L359,day_data!$A:$I,8,FALSE),0)),NA())</f>
        <v/>
      </c>
      <c r="T359" s="60" t="e">
        <f>IF($F$7,IF($L359="","",IFERROR(VLOOKUP($L359,day_data!$A:$I,9,FALSE),0)),NA())</f>
        <v>#N/A</v>
      </c>
    </row>
    <row r="360" spans="12:20">
      <c r="L360" s="57" t="str">
        <f t="shared" si="5"/>
        <v/>
      </c>
      <c r="M360" s="11" t="str">
        <f>IF($F$1,IF($L360="","",IFERROR(VLOOKUP($L360,day_data!$A:$I,2,FALSE),0)),NA())</f>
        <v/>
      </c>
      <c r="N360" s="58" t="e">
        <f>IF($F$2,IF($L360="","",IFERROR(VLOOKUP($L360,day_data!$A:$I,3,FALSE),0)),NA())</f>
        <v>#N/A</v>
      </c>
      <c r="O360" s="11" t="e">
        <f>IF($F$3,IF($L360="","",IFERROR(VLOOKUP($L360,day_data!$A:$I,4,FALSE),0)),NA())</f>
        <v>#N/A</v>
      </c>
      <c r="P360" s="58" t="e">
        <f>IF($F$4,IF($L360="","",IFERROR(VLOOKUP($L360,day_data!$A:$I,5,FALSE),0)),NA())</f>
        <v>#N/A</v>
      </c>
      <c r="Q360" s="59" t="e">
        <f>IF($F$8,IF($L360="","",IFERROR(VLOOKUP($L360,day_data!$A:$I,6,FALSE),0)),NA())</f>
        <v>#N/A</v>
      </c>
      <c r="R360" s="11" t="e">
        <f>IF($F$6,IF($L360="","",IFERROR(VLOOKUP($L360,day_data!$A:$I,7,FALSE),0)),NA())</f>
        <v>#N/A</v>
      </c>
      <c r="S360" s="58" t="str">
        <f>IF($F$5,IF($L360="","",IFERROR(VLOOKUP($L360,day_data!$A:$I,8,FALSE),0)),NA())</f>
        <v/>
      </c>
      <c r="T360" s="60" t="e">
        <f>IF($F$7,IF($L360="","",IFERROR(VLOOKUP($L360,day_data!$A:$I,9,FALSE),0)),NA())</f>
        <v>#N/A</v>
      </c>
    </row>
    <row r="361" spans="12:20">
      <c r="L361" s="57" t="str">
        <f t="shared" si="5"/>
        <v/>
      </c>
      <c r="M361" s="11" t="str">
        <f>IF($F$1,IF($L361="","",IFERROR(VLOOKUP($L361,day_data!$A:$I,2,FALSE),0)),NA())</f>
        <v/>
      </c>
      <c r="N361" s="58" t="e">
        <f>IF($F$2,IF($L361="","",IFERROR(VLOOKUP($L361,day_data!$A:$I,3,FALSE),0)),NA())</f>
        <v>#N/A</v>
      </c>
      <c r="O361" s="11" t="e">
        <f>IF($F$3,IF($L361="","",IFERROR(VLOOKUP($L361,day_data!$A:$I,4,FALSE),0)),NA())</f>
        <v>#N/A</v>
      </c>
      <c r="P361" s="58" t="e">
        <f>IF($F$4,IF($L361="","",IFERROR(VLOOKUP($L361,day_data!$A:$I,5,FALSE),0)),NA())</f>
        <v>#N/A</v>
      </c>
      <c r="Q361" s="59" t="e">
        <f>IF($F$8,IF($L361="","",IFERROR(VLOOKUP($L361,day_data!$A:$I,6,FALSE),0)),NA())</f>
        <v>#N/A</v>
      </c>
      <c r="R361" s="11" t="e">
        <f>IF($F$6,IF($L361="","",IFERROR(VLOOKUP($L361,day_data!$A:$I,7,FALSE),0)),NA())</f>
        <v>#N/A</v>
      </c>
      <c r="S361" s="58" t="str">
        <f>IF($F$5,IF($L361="","",IFERROR(VLOOKUP($L361,day_data!$A:$I,8,FALSE),0)),NA())</f>
        <v/>
      </c>
      <c r="T361" s="60" t="e">
        <f>IF($F$7,IF($L361="","",IFERROR(VLOOKUP($L361,day_data!$A:$I,9,FALSE),0)),NA())</f>
        <v>#N/A</v>
      </c>
    </row>
    <row r="362" spans="12:20">
      <c r="L362" s="57" t="str">
        <f t="shared" si="5"/>
        <v/>
      </c>
      <c r="M362" s="11" t="str">
        <f>IF($F$1,IF($L362="","",IFERROR(VLOOKUP($L362,day_data!$A:$I,2,FALSE),0)),NA())</f>
        <v/>
      </c>
      <c r="N362" s="58" t="e">
        <f>IF($F$2,IF($L362="","",IFERROR(VLOOKUP($L362,day_data!$A:$I,3,FALSE),0)),NA())</f>
        <v>#N/A</v>
      </c>
      <c r="O362" s="11" t="e">
        <f>IF($F$3,IF($L362="","",IFERROR(VLOOKUP($L362,day_data!$A:$I,4,FALSE),0)),NA())</f>
        <v>#N/A</v>
      </c>
      <c r="P362" s="58" t="e">
        <f>IF($F$4,IF($L362="","",IFERROR(VLOOKUP($L362,day_data!$A:$I,5,FALSE),0)),NA())</f>
        <v>#N/A</v>
      </c>
      <c r="Q362" s="59" t="e">
        <f>IF($F$8,IF($L362="","",IFERROR(VLOOKUP($L362,day_data!$A:$I,6,FALSE),0)),NA())</f>
        <v>#N/A</v>
      </c>
      <c r="R362" s="11" t="e">
        <f>IF($F$6,IF($L362="","",IFERROR(VLOOKUP($L362,day_data!$A:$I,7,FALSE),0)),NA())</f>
        <v>#N/A</v>
      </c>
      <c r="S362" s="58" t="str">
        <f>IF($F$5,IF($L362="","",IFERROR(VLOOKUP($L362,day_data!$A:$I,8,FALSE),0)),NA())</f>
        <v/>
      </c>
      <c r="T362" s="60" t="e">
        <f>IF($F$7,IF($L362="","",IFERROR(VLOOKUP($L362,day_data!$A:$I,9,FALSE),0)),NA())</f>
        <v>#N/A</v>
      </c>
    </row>
    <row r="363" spans="12:20">
      <c r="L363" s="57" t="str">
        <f t="shared" si="5"/>
        <v/>
      </c>
      <c r="M363" s="11" t="str">
        <f>IF($F$1,IF($L363="","",IFERROR(VLOOKUP($L363,day_data!$A:$I,2,FALSE),0)),NA())</f>
        <v/>
      </c>
      <c r="N363" s="58" t="e">
        <f>IF($F$2,IF($L363="","",IFERROR(VLOOKUP($L363,day_data!$A:$I,3,FALSE),0)),NA())</f>
        <v>#N/A</v>
      </c>
      <c r="O363" s="11" t="e">
        <f>IF($F$3,IF($L363="","",IFERROR(VLOOKUP($L363,day_data!$A:$I,4,FALSE),0)),NA())</f>
        <v>#N/A</v>
      </c>
      <c r="P363" s="58" t="e">
        <f>IF($F$4,IF($L363="","",IFERROR(VLOOKUP($L363,day_data!$A:$I,5,FALSE),0)),NA())</f>
        <v>#N/A</v>
      </c>
      <c r="Q363" s="59" t="e">
        <f>IF($F$8,IF($L363="","",IFERROR(VLOOKUP($L363,day_data!$A:$I,6,FALSE),0)),NA())</f>
        <v>#N/A</v>
      </c>
      <c r="R363" s="11" t="e">
        <f>IF($F$6,IF($L363="","",IFERROR(VLOOKUP($L363,day_data!$A:$I,7,FALSE),0)),NA())</f>
        <v>#N/A</v>
      </c>
      <c r="S363" s="58" t="str">
        <f>IF($F$5,IF($L363="","",IFERROR(VLOOKUP($L363,day_data!$A:$I,8,FALSE),0)),NA())</f>
        <v/>
      </c>
      <c r="T363" s="60" t="e">
        <f>IF($F$7,IF($L363="","",IFERROR(VLOOKUP($L363,day_data!$A:$I,9,FALSE),0)),NA())</f>
        <v>#N/A</v>
      </c>
    </row>
    <row r="364" spans="12:20">
      <c r="L364" s="57" t="str">
        <f t="shared" si="5"/>
        <v/>
      </c>
      <c r="M364" s="11" t="str">
        <f>IF($F$1,IF($L364="","",IFERROR(VLOOKUP($L364,day_data!$A:$I,2,FALSE),0)),NA())</f>
        <v/>
      </c>
      <c r="N364" s="58" t="e">
        <f>IF($F$2,IF($L364="","",IFERROR(VLOOKUP($L364,day_data!$A:$I,3,FALSE),0)),NA())</f>
        <v>#N/A</v>
      </c>
      <c r="O364" s="11" t="e">
        <f>IF($F$3,IF($L364="","",IFERROR(VLOOKUP($L364,day_data!$A:$I,4,FALSE),0)),NA())</f>
        <v>#N/A</v>
      </c>
      <c r="P364" s="58" t="e">
        <f>IF($F$4,IF($L364="","",IFERROR(VLOOKUP($L364,day_data!$A:$I,5,FALSE),0)),NA())</f>
        <v>#N/A</v>
      </c>
      <c r="Q364" s="59" t="e">
        <f>IF($F$8,IF($L364="","",IFERROR(VLOOKUP($L364,day_data!$A:$I,6,FALSE),0)),NA())</f>
        <v>#N/A</v>
      </c>
      <c r="R364" s="11" t="e">
        <f>IF($F$6,IF($L364="","",IFERROR(VLOOKUP($L364,day_data!$A:$I,7,FALSE),0)),NA())</f>
        <v>#N/A</v>
      </c>
      <c r="S364" s="58" t="str">
        <f>IF($F$5,IF($L364="","",IFERROR(VLOOKUP($L364,day_data!$A:$I,8,FALSE),0)),NA())</f>
        <v/>
      </c>
      <c r="T364" s="60" t="e">
        <f>IF($F$7,IF($L364="","",IFERROR(VLOOKUP($L364,day_data!$A:$I,9,FALSE),0)),NA())</f>
        <v>#N/A</v>
      </c>
    </row>
    <row r="365" spans="12:20">
      <c r="L365" s="57" t="str">
        <f t="shared" si="5"/>
        <v/>
      </c>
      <c r="M365" s="11" t="str">
        <f>IF($F$1,IF($L365="","",IFERROR(VLOOKUP($L365,day_data!$A:$I,2,FALSE),0)),NA())</f>
        <v/>
      </c>
      <c r="N365" s="58" t="e">
        <f>IF($F$2,IF($L365="","",IFERROR(VLOOKUP($L365,day_data!$A:$I,3,FALSE),0)),NA())</f>
        <v>#N/A</v>
      </c>
      <c r="O365" s="11" t="e">
        <f>IF($F$3,IF($L365="","",IFERROR(VLOOKUP($L365,day_data!$A:$I,4,FALSE),0)),NA())</f>
        <v>#N/A</v>
      </c>
      <c r="P365" s="58" t="e">
        <f>IF($F$4,IF($L365="","",IFERROR(VLOOKUP($L365,day_data!$A:$I,5,FALSE),0)),NA())</f>
        <v>#N/A</v>
      </c>
      <c r="Q365" s="59" t="e">
        <f>IF($F$8,IF($L365="","",IFERROR(VLOOKUP($L365,day_data!$A:$I,6,FALSE),0)),NA())</f>
        <v>#N/A</v>
      </c>
      <c r="R365" s="11" t="e">
        <f>IF($F$6,IF($L365="","",IFERROR(VLOOKUP($L365,day_data!$A:$I,7,FALSE),0)),NA())</f>
        <v>#N/A</v>
      </c>
      <c r="S365" s="58" t="str">
        <f>IF($F$5,IF($L365="","",IFERROR(VLOOKUP($L365,day_data!$A:$I,8,FALSE),0)),NA())</f>
        <v/>
      </c>
      <c r="T365" s="60" t="e">
        <f>IF($F$7,IF($L365="","",IFERROR(VLOOKUP($L365,day_data!$A:$I,9,FALSE),0)),NA())</f>
        <v>#N/A</v>
      </c>
    </row>
    <row r="366" spans="12:20">
      <c r="L366" s="57" t="str">
        <f t="shared" si="5"/>
        <v/>
      </c>
      <c r="M366" s="11" t="str">
        <f>IF($F$1,IF($L366="","",IFERROR(VLOOKUP($L366,day_data!$A:$I,2,FALSE),0)),NA())</f>
        <v/>
      </c>
      <c r="N366" s="58" t="e">
        <f>IF($F$2,IF($L366="","",IFERROR(VLOOKUP($L366,day_data!$A:$I,3,FALSE),0)),NA())</f>
        <v>#N/A</v>
      </c>
      <c r="O366" s="11" t="e">
        <f>IF($F$3,IF($L366="","",IFERROR(VLOOKUP($L366,day_data!$A:$I,4,FALSE),0)),NA())</f>
        <v>#N/A</v>
      </c>
      <c r="P366" s="58" t="e">
        <f>IF($F$4,IF($L366="","",IFERROR(VLOOKUP($L366,day_data!$A:$I,5,FALSE),0)),NA())</f>
        <v>#N/A</v>
      </c>
      <c r="Q366" s="59" t="e">
        <f>IF($F$8,IF($L366="","",IFERROR(VLOOKUP($L366,day_data!$A:$I,6,FALSE),0)),NA())</f>
        <v>#N/A</v>
      </c>
      <c r="R366" s="11" t="e">
        <f>IF($F$6,IF($L366="","",IFERROR(VLOOKUP($L366,day_data!$A:$I,7,FALSE),0)),NA())</f>
        <v>#N/A</v>
      </c>
      <c r="S366" s="58" t="str">
        <f>IF($F$5,IF($L366="","",IFERROR(VLOOKUP($L366,day_data!$A:$I,8,FALSE),0)),NA())</f>
        <v/>
      </c>
      <c r="T366" s="60" t="e">
        <f>IF($F$7,IF($L366="","",IFERROR(VLOOKUP($L366,day_data!$A:$I,9,FALSE),0)),NA())</f>
        <v>#N/A</v>
      </c>
    </row>
    <row r="367" spans="12:20">
      <c r="L367" s="57" t="str">
        <f t="shared" si="5"/>
        <v/>
      </c>
      <c r="M367" s="11" t="str">
        <f>IF($F$1,IF($L367="","",IFERROR(VLOOKUP($L367,day_data!$A:$I,2,FALSE),0)),NA())</f>
        <v/>
      </c>
      <c r="N367" s="58" t="e">
        <f>IF($F$2,IF($L367="","",IFERROR(VLOOKUP($L367,day_data!$A:$I,3,FALSE),0)),NA())</f>
        <v>#N/A</v>
      </c>
      <c r="O367" s="11" t="e">
        <f>IF($F$3,IF($L367="","",IFERROR(VLOOKUP($L367,day_data!$A:$I,4,FALSE),0)),NA())</f>
        <v>#N/A</v>
      </c>
      <c r="P367" s="58" t="e">
        <f>IF($F$4,IF($L367="","",IFERROR(VLOOKUP($L367,day_data!$A:$I,5,FALSE),0)),NA())</f>
        <v>#N/A</v>
      </c>
      <c r="Q367" s="59" t="e">
        <f>IF($F$8,IF($L367="","",IFERROR(VLOOKUP($L367,day_data!$A:$I,6,FALSE),0)),NA())</f>
        <v>#N/A</v>
      </c>
      <c r="R367" s="11" t="e">
        <f>IF($F$6,IF($L367="","",IFERROR(VLOOKUP($L367,day_data!$A:$I,7,FALSE),0)),NA())</f>
        <v>#N/A</v>
      </c>
      <c r="S367" s="58" t="str">
        <f>IF($F$5,IF($L367="","",IFERROR(VLOOKUP($L367,day_data!$A:$I,8,FALSE),0)),NA())</f>
        <v/>
      </c>
      <c r="T367" s="60" t="e">
        <f>IF($F$7,IF($L367="","",IFERROR(VLOOKUP($L367,day_data!$A:$I,9,FALSE),0)),NA())</f>
        <v>#N/A</v>
      </c>
    </row>
    <row r="368" spans="12:20">
      <c r="L368" s="57" t="str">
        <f t="shared" si="5"/>
        <v/>
      </c>
      <c r="M368" s="11" t="str">
        <f>IF($F$1,IF($L368="","",IFERROR(VLOOKUP($L368,day_data!$A:$I,2,FALSE),0)),NA())</f>
        <v/>
      </c>
      <c r="N368" s="58" t="e">
        <f>IF($F$2,IF($L368="","",IFERROR(VLOOKUP($L368,day_data!$A:$I,3,FALSE),0)),NA())</f>
        <v>#N/A</v>
      </c>
      <c r="O368" s="11" t="e">
        <f>IF($F$3,IF($L368="","",IFERROR(VLOOKUP($L368,day_data!$A:$I,4,FALSE),0)),NA())</f>
        <v>#N/A</v>
      </c>
      <c r="P368" s="58" t="e">
        <f>IF($F$4,IF($L368="","",IFERROR(VLOOKUP($L368,day_data!$A:$I,5,FALSE),0)),NA())</f>
        <v>#N/A</v>
      </c>
      <c r="Q368" s="59" t="e">
        <f>IF($F$8,IF($L368="","",IFERROR(VLOOKUP($L368,day_data!$A:$I,6,FALSE),0)),NA())</f>
        <v>#N/A</v>
      </c>
      <c r="R368" s="11" t="e">
        <f>IF($F$6,IF($L368="","",IFERROR(VLOOKUP($L368,day_data!$A:$I,7,FALSE),0)),NA())</f>
        <v>#N/A</v>
      </c>
      <c r="S368" s="58" t="str">
        <f>IF($F$5,IF($L368="","",IFERROR(VLOOKUP($L368,day_data!$A:$I,8,FALSE),0)),NA())</f>
        <v/>
      </c>
      <c r="T368" s="60" t="e">
        <f>IF($F$7,IF($L368="","",IFERROR(VLOOKUP($L368,day_data!$A:$I,9,FALSE),0)),NA())</f>
        <v>#N/A</v>
      </c>
    </row>
    <row r="369" spans="12:20">
      <c r="L369" s="57" t="str">
        <f t="shared" si="5"/>
        <v/>
      </c>
      <c r="M369" s="11" t="str">
        <f>IF($F$1,IF($L369="","",IFERROR(VLOOKUP($L369,day_data!$A:$I,2,FALSE),0)),NA())</f>
        <v/>
      </c>
      <c r="N369" s="58" t="e">
        <f>IF($F$2,IF($L369="","",IFERROR(VLOOKUP($L369,day_data!$A:$I,3,FALSE),0)),NA())</f>
        <v>#N/A</v>
      </c>
      <c r="O369" s="11" t="e">
        <f>IF($F$3,IF($L369="","",IFERROR(VLOOKUP($L369,day_data!$A:$I,4,FALSE),0)),NA())</f>
        <v>#N/A</v>
      </c>
      <c r="P369" s="58" t="e">
        <f>IF($F$4,IF($L369="","",IFERROR(VLOOKUP($L369,day_data!$A:$I,5,FALSE),0)),NA())</f>
        <v>#N/A</v>
      </c>
      <c r="Q369" s="59" t="e">
        <f>IF($F$8,IF($L369="","",IFERROR(VLOOKUP($L369,day_data!$A:$I,6,FALSE),0)),NA())</f>
        <v>#N/A</v>
      </c>
      <c r="R369" s="11" t="e">
        <f>IF($F$6,IF($L369="","",IFERROR(VLOOKUP($L369,day_data!$A:$I,7,FALSE),0)),NA())</f>
        <v>#N/A</v>
      </c>
      <c r="S369" s="58" t="str">
        <f>IF($F$5,IF($L369="","",IFERROR(VLOOKUP($L369,day_data!$A:$I,8,FALSE),0)),NA())</f>
        <v/>
      </c>
      <c r="T369" s="60" t="e">
        <f>IF($F$7,IF($L369="","",IFERROR(VLOOKUP($L369,day_data!$A:$I,9,FALSE),0)),NA())</f>
        <v>#N/A</v>
      </c>
    </row>
    <row r="370" spans="12:20">
      <c r="L370" s="57" t="str">
        <f t="shared" si="5"/>
        <v/>
      </c>
      <c r="M370" s="11" t="str">
        <f>IF($F$1,IF($L370="","",IFERROR(VLOOKUP($L370,day_data!$A:$I,2,FALSE),0)),NA())</f>
        <v/>
      </c>
      <c r="N370" s="58" t="e">
        <f>IF($F$2,IF($L370="","",IFERROR(VLOOKUP($L370,day_data!$A:$I,3,FALSE),0)),NA())</f>
        <v>#N/A</v>
      </c>
      <c r="O370" s="11" t="e">
        <f>IF($F$3,IF($L370="","",IFERROR(VLOOKUP($L370,day_data!$A:$I,4,FALSE),0)),NA())</f>
        <v>#N/A</v>
      </c>
      <c r="P370" s="58" t="e">
        <f>IF($F$4,IF($L370="","",IFERROR(VLOOKUP($L370,day_data!$A:$I,5,FALSE),0)),NA())</f>
        <v>#N/A</v>
      </c>
      <c r="Q370" s="59" t="e">
        <f>IF($F$8,IF($L370="","",IFERROR(VLOOKUP($L370,day_data!$A:$I,6,FALSE),0)),NA())</f>
        <v>#N/A</v>
      </c>
      <c r="R370" s="11" t="e">
        <f>IF($F$6,IF($L370="","",IFERROR(VLOOKUP($L370,day_data!$A:$I,7,FALSE),0)),NA())</f>
        <v>#N/A</v>
      </c>
      <c r="S370" s="58" t="str">
        <f>IF($F$5,IF($L370="","",IFERROR(VLOOKUP($L370,day_data!$A:$I,8,FALSE),0)),NA())</f>
        <v/>
      </c>
      <c r="T370" s="60" t="e">
        <f>IF($F$7,IF($L370="","",IFERROR(VLOOKUP($L370,day_data!$A:$I,9,FALSE),0)),NA())</f>
        <v>#N/A</v>
      </c>
    </row>
    <row r="371" spans="12:20">
      <c r="L371" s="57" t="str">
        <f t="shared" si="5"/>
        <v/>
      </c>
      <c r="M371" s="11" t="str">
        <f>IF($F$1,IF($L371="","",IFERROR(VLOOKUP($L371,day_data!$A:$I,2,FALSE),0)),NA())</f>
        <v/>
      </c>
      <c r="N371" s="58" t="e">
        <f>IF($F$2,IF($L371="","",IFERROR(VLOOKUP($L371,day_data!$A:$I,3,FALSE),0)),NA())</f>
        <v>#N/A</v>
      </c>
      <c r="O371" s="11" t="e">
        <f>IF($F$3,IF($L371="","",IFERROR(VLOOKUP($L371,day_data!$A:$I,4,FALSE),0)),NA())</f>
        <v>#N/A</v>
      </c>
      <c r="P371" s="58" t="e">
        <f>IF($F$4,IF($L371="","",IFERROR(VLOOKUP($L371,day_data!$A:$I,5,FALSE),0)),NA())</f>
        <v>#N/A</v>
      </c>
      <c r="Q371" s="59" t="e">
        <f>IF($F$8,IF($L371="","",IFERROR(VLOOKUP($L371,day_data!$A:$I,6,FALSE),0)),NA())</f>
        <v>#N/A</v>
      </c>
      <c r="R371" s="11" t="e">
        <f>IF($F$6,IF($L371="","",IFERROR(VLOOKUP($L371,day_data!$A:$I,7,FALSE),0)),NA())</f>
        <v>#N/A</v>
      </c>
      <c r="S371" s="58" t="str">
        <f>IF($F$5,IF($L371="","",IFERROR(VLOOKUP($L371,day_data!$A:$I,8,FALSE),0)),NA())</f>
        <v/>
      </c>
      <c r="T371" s="60" t="e">
        <f>IF($F$7,IF($L371="","",IFERROR(VLOOKUP($L371,day_data!$A:$I,9,FALSE),0)),NA())</f>
        <v>#N/A</v>
      </c>
    </row>
    <row r="372" spans="12:20">
      <c r="L372" s="57" t="str">
        <f t="shared" si="5"/>
        <v/>
      </c>
      <c r="M372" s="11" t="str">
        <f>IF($F$1,IF($L372="","",IFERROR(VLOOKUP($L372,day_data!$A:$I,2,FALSE),0)),NA())</f>
        <v/>
      </c>
      <c r="N372" s="58" t="e">
        <f>IF($F$2,IF($L372="","",IFERROR(VLOOKUP($L372,day_data!$A:$I,3,FALSE),0)),NA())</f>
        <v>#N/A</v>
      </c>
      <c r="O372" s="11" t="e">
        <f>IF($F$3,IF($L372="","",IFERROR(VLOOKUP($L372,day_data!$A:$I,4,FALSE),0)),NA())</f>
        <v>#N/A</v>
      </c>
      <c r="P372" s="58" t="e">
        <f>IF($F$4,IF($L372="","",IFERROR(VLOOKUP($L372,day_data!$A:$I,5,FALSE),0)),NA())</f>
        <v>#N/A</v>
      </c>
      <c r="Q372" s="59" t="e">
        <f>IF($F$8,IF($L372="","",IFERROR(VLOOKUP($L372,day_data!$A:$I,6,FALSE),0)),NA())</f>
        <v>#N/A</v>
      </c>
      <c r="R372" s="11" t="e">
        <f>IF($F$6,IF($L372="","",IFERROR(VLOOKUP($L372,day_data!$A:$I,7,FALSE),0)),NA())</f>
        <v>#N/A</v>
      </c>
      <c r="S372" s="58" t="str">
        <f>IF($F$5,IF($L372="","",IFERROR(VLOOKUP($L372,day_data!$A:$I,8,FALSE),0)),NA())</f>
        <v/>
      </c>
      <c r="T372" s="60" t="e">
        <f>IF($F$7,IF($L372="","",IFERROR(VLOOKUP($L372,day_data!$A:$I,9,FALSE),0)),NA())</f>
        <v>#N/A</v>
      </c>
    </row>
    <row r="373" spans="12:20">
      <c r="L373" s="57" t="str">
        <f t="shared" si="5"/>
        <v/>
      </c>
      <c r="M373" s="11" t="str">
        <f>IF($F$1,IF($L373="","",IFERROR(VLOOKUP($L373,day_data!$A:$I,2,FALSE),0)),NA())</f>
        <v/>
      </c>
      <c r="N373" s="58" t="e">
        <f>IF($F$2,IF($L373="","",IFERROR(VLOOKUP($L373,day_data!$A:$I,3,FALSE),0)),NA())</f>
        <v>#N/A</v>
      </c>
      <c r="O373" s="11" t="e">
        <f>IF($F$3,IF($L373="","",IFERROR(VLOOKUP($L373,day_data!$A:$I,4,FALSE),0)),NA())</f>
        <v>#N/A</v>
      </c>
      <c r="P373" s="58" t="e">
        <f>IF($F$4,IF($L373="","",IFERROR(VLOOKUP($L373,day_data!$A:$I,5,FALSE),0)),NA())</f>
        <v>#N/A</v>
      </c>
      <c r="Q373" s="59" t="e">
        <f>IF($F$8,IF($L373="","",IFERROR(VLOOKUP($L373,day_data!$A:$I,6,FALSE),0)),NA())</f>
        <v>#N/A</v>
      </c>
      <c r="R373" s="11" t="e">
        <f>IF($F$6,IF($L373="","",IFERROR(VLOOKUP($L373,day_data!$A:$I,7,FALSE),0)),NA())</f>
        <v>#N/A</v>
      </c>
      <c r="S373" s="58" t="str">
        <f>IF($F$5,IF($L373="","",IFERROR(VLOOKUP($L373,day_data!$A:$I,8,FALSE),0)),NA())</f>
        <v/>
      </c>
      <c r="T373" s="60" t="e">
        <f>IF($F$7,IF($L373="","",IFERROR(VLOOKUP($L373,day_data!$A:$I,9,FALSE),0)),NA())</f>
        <v>#N/A</v>
      </c>
    </row>
    <row r="374" spans="12:20">
      <c r="L374" s="57" t="str">
        <f t="shared" si="5"/>
        <v/>
      </c>
      <c r="M374" s="11" t="str">
        <f>IF($F$1,IF($L374="","",IFERROR(VLOOKUP($L374,day_data!$A:$I,2,FALSE),0)),NA())</f>
        <v/>
      </c>
      <c r="N374" s="58" t="e">
        <f>IF($F$2,IF($L374="","",IFERROR(VLOOKUP($L374,day_data!$A:$I,3,FALSE),0)),NA())</f>
        <v>#N/A</v>
      </c>
      <c r="O374" s="11" t="e">
        <f>IF($F$3,IF($L374="","",IFERROR(VLOOKUP($L374,day_data!$A:$I,4,FALSE),0)),NA())</f>
        <v>#N/A</v>
      </c>
      <c r="P374" s="58" t="e">
        <f>IF($F$4,IF($L374="","",IFERROR(VLOOKUP($L374,day_data!$A:$I,5,FALSE),0)),NA())</f>
        <v>#N/A</v>
      </c>
      <c r="Q374" s="59" t="e">
        <f>IF($F$8,IF($L374="","",IFERROR(VLOOKUP($L374,day_data!$A:$I,6,FALSE),0)),NA())</f>
        <v>#N/A</v>
      </c>
      <c r="R374" s="11" t="e">
        <f>IF($F$6,IF($L374="","",IFERROR(VLOOKUP($L374,day_data!$A:$I,7,FALSE),0)),NA())</f>
        <v>#N/A</v>
      </c>
      <c r="S374" s="58" t="str">
        <f>IF($F$5,IF($L374="","",IFERROR(VLOOKUP($L374,day_data!$A:$I,8,FALSE),0)),NA())</f>
        <v/>
      </c>
      <c r="T374" s="60" t="e">
        <f>IF($F$7,IF($L374="","",IFERROR(VLOOKUP($L374,day_data!$A:$I,9,FALSE),0)),NA())</f>
        <v>#N/A</v>
      </c>
    </row>
    <row r="375" spans="12:20">
      <c r="L375" s="57" t="str">
        <f t="shared" si="5"/>
        <v/>
      </c>
      <c r="M375" s="11" t="str">
        <f>IF($F$1,IF($L375="","",IFERROR(VLOOKUP($L375,day_data!$A:$I,2,FALSE),0)),NA())</f>
        <v/>
      </c>
      <c r="N375" s="58" t="e">
        <f>IF($F$2,IF($L375="","",IFERROR(VLOOKUP($L375,day_data!$A:$I,3,FALSE),0)),NA())</f>
        <v>#N/A</v>
      </c>
      <c r="O375" s="11" t="e">
        <f>IF($F$3,IF($L375="","",IFERROR(VLOOKUP($L375,day_data!$A:$I,4,FALSE),0)),NA())</f>
        <v>#N/A</v>
      </c>
      <c r="P375" s="58" t="e">
        <f>IF($F$4,IF($L375="","",IFERROR(VLOOKUP($L375,day_data!$A:$I,5,FALSE),0)),NA())</f>
        <v>#N/A</v>
      </c>
      <c r="Q375" s="59" t="e">
        <f>IF($F$8,IF($L375="","",IFERROR(VLOOKUP($L375,day_data!$A:$I,6,FALSE),0)),NA())</f>
        <v>#N/A</v>
      </c>
      <c r="R375" s="11" t="e">
        <f>IF($F$6,IF($L375="","",IFERROR(VLOOKUP($L375,day_data!$A:$I,7,FALSE),0)),NA())</f>
        <v>#N/A</v>
      </c>
      <c r="S375" s="58" t="str">
        <f>IF($F$5,IF($L375="","",IFERROR(VLOOKUP($L375,day_data!$A:$I,8,FALSE),0)),NA())</f>
        <v/>
      </c>
      <c r="T375" s="60" t="e">
        <f>IF($F$7,IF($L375="","",IFERROR(VLOOKUP($L375,day_data!$A:$I,9,FALSE),0)),NA())</f>
        <v>#N/A</v>
      </c>
    </row>
    <row r="376" spans="12:20">
      <c r="L376" s="57" t="str">
        <f t="shared" si="5"/>
        <v/>
      </c>
      <c r="M376" s="11" t="str">
        <f>IF($F$1,IF($L376="","",IFERROR(VLOOKUP($L376,day_data!$A:$I,2,FALSE),0)),NA())</f>
        <v/>
      </c>
      <c r="N376" s="58" t="e">
        <f>IF($F$2,IF($L376="","",IFERROR(VLOOKUP($L376,day_data!$A:$I,3,FALSE),0)),NA())</f>
        <v>#N/A</v>
      </c>
      <c r="O376" s="11" t="e">
        <f>IF($F$3,IF($L376="","",IFERROR(VLOOKUP($L376,day_data!$A:$I,4,FALSE),0)),NA())</f>
        <v>#N/A</v>
      </c>
      <c r="P376" s="58" t="e">
        <f>IF($F$4,IF($L376="","",IFERROR(VLOOKUP($L376,day_data!$A:$I,5,FALSE),0)),NA())</f>
        <v>#N/A</v>
      </c>
      <c r="Q376" s="59" t="e">
        <f>IF($F$8,IF($L376="","",IFERROR(VLOOKUP($L376,day_data!$A:$I,6,FALSE),0)),NA())</f>
        <v>#N/A</v>
      </c>
      <c r="R376" s="11" t="e">
        <f>IF($F$6,IF($L376="","",IFERROR(VLOOKUP($L376,day_data!$A:$I,7,FALSE),0)),NA())</f>
        <v>#N/A</v>
      </c>
      <c r="S376" s="58" t="str">
        <f>IF($F$5,IF($L376="","",IFERROR(VLOOKUP($L376,day_data!$A:$I,8,FALSE),0)),NA())</f>
        <v/>
      </c>
      <c r="T376" s="60" t="e">
        <f>IF($F$7,IF($L376="","",IFERROR(VLOOKUP($L376,day_data!$A:$I,9,FALSE),0)),NA())</f>
        <v>#N/A</v>
      </c>
    </row>
    <row r="377" spans="12:20">
      <c r="L377" s="57" t="str">
        <f t="shared" si="5"/>
        <v/>
      </c>
      <c r="M377" s="11" t="str">
        <f>IF($F$1,IF($L377="","",IFERROR(VLOOKUP($L377,day_data!$A:$I,2,FALSE),0)),NA())</f>
        <v/>
      </c>
      <c r="N377" s="58" t="e">
        <f>IF($F$2,IF($L377="","",IFERROR(VLOOKUP($L377,day_data!$A:$I,3,FALSE),0)),NA())</f>
        <v>#N/A</v>
      </c>
      <c r="O377" s="11" t="e">
        <f>IF($F$3,IF($L377="","",IFERROR(VLOOKUP($L377,day_data!$A:$I,4,FALSE),0)),NA())</f>
        <v>#N/A</v>
      </c>
      <c r="P377" s="58" t="e">
        <f>IF($F$4,IF($L377="","",IFERROR(VLOOKUP($L377,day_data!$A:$I,5,FALSE),0)),NA())</f>
        <v>#N/A</v>
      </c>
      <c r="Q377" s="59" t="e">
        <f>IF($F$8,IF($L377="","",IFERROR(VLOOKUP($L377,day_data!$A:$I,6,FALSE),0)),NA())</f>
        <v>#N/A</v>
      </c>
      <c r="R377" s="11" t="e">
        <f>IF($F$6,IF($L377="","",IFERROR(VLOOKUP($L377,day_data!$A:$I,7,FALSE),0)),NA())</f>
        <v>#N/A</v>
      </c>
      <c r="S377" s="58" t="str">
        <f>IF($F$5,IF($L377="","",IFERROR(VLOOKUP($L377,day_data!$A:$I,8,FALSE),0)),NA())</f>
        <v/>
      </c>
      <c r="T377" s="60" t="e">
        <f>IF($F$7,IF($L377="","",IFERROR(VLOOKUP($L377,day_data!$A:$I,9,FALSE),0)),NA())</f>
        <v>#N/A</v>
      </c>
    </row>
    <row r="378" spans="12:20">
      <c r="L378" s="57" t="str">
        <f t="shared" si="5"/>
        <v/>
      </c>
      <c r="M378" s="11" t="str">
        <f>IF($F$1,IF($L378="","",IFERROR(VLOOKUP($L378,day_data!$A:$I,2,FALSE),0)),NA())</f>
        <v/>
      </c>
      <c r="N378" s="58" t="e">
        <f>IF($F$2,IF($L378="","",IFERROR(VLOOKUP($L378,day_data!$A:$I,3,FALSE),0)),NA())</f>
        <v>#N/A</v>
      </c>
      <c r="O378" s="11" t="e">
        <f>IF($F$3,IF($L378="","",IFERROR(VLOOKUP($L378,day_data!$A:$I,4,FALSE),0)),NA())</f>
        <v>#N/A</v>
      </c>
      <c r="P378" s="58" t="e">
        <f>IF($F$4,IF($L378="","",IFERROR(VLOOKUP($L378,day_data!$A:$I,5,FALSE),0)),NA())</f>
        <v>#N/A</v>
      </c>
      <c r="Q378" s="59" t="e">
        <f>IF($F$8,IF($L378="","",IFERROR(VLOOKUP($L378,day_data!$A:$I,6,FALSE),0)),NA())</f>
        <v>#N/A</v>
      </c>
      <c r="R378" s="11" t="e">
        <f>IF($F$6,IF($L378="","",IFERROR(VLOOKUP($L378,day_data!$A:$I,7,FALSE),0)),NA())</f>
        <v>#N/A</v>
      </c>
      <c r="S378" s="58" t="str">
        <f>IF($F$5,IF($L378="","",IFERROR(VLOOKUP($L378,day_data!$A:$I,8,FALSE),0)),NA())</f>
        <v/>
      </c>
      <c r="T378" s="60" t="e">
        <f>IF($F$7,IF($L378="","",IFERROR(VLOOKUP($L378,day_data!$A:$I,9,FALSE),0)),NA())</f>
        <v>#N/A</v>
      </c>
    </row>
    <row r="379" spans="12:20">
      <c r="L379" s="57" t="str">
        <f t="shared" si="5"/>
        <v/>
      </c>
      <c r="M379" s="11" t="str">
        <f>IF($F$1,IF($L379="","",IFERROR(VLOOKUP($L379,day_data!$A:$I,2,FALSE),0)),NA())</f>
        <v/>
      </c>
      <c r="N379" s="58" t="e">
        <f>IF($F$2,IF($L379="","",IFERROR(VLOOKUP($L379,day_data!$A:$I,3,FALSE),0)),NA())</f>
        <v>#N/A</v>
      </c>
      <c r="O379" s="11" t="e">
        <f>IF($F$3,IF($L379="","",IFERROR(VLOOKUP($L379,day_data!$A:$I,4,FALSE),0)),NA())</f>
        <v>#N/A</v>
      </c>
      <c r="P379" s="58" t="e">
        <f>IF($F$4,IF($L379="","",IFERROR(VLOOKUP($L379,day_data!$A:$I,5,FALSE),0)),NA())</f>
        <v>#N/A</v>
      </c>
      <c r="Q379" s="59" t="e">
        <f>IF($F$8,IF($L379="","",IFERROR(VLOOKUP($L379,day_data!$A:$I,6,FALSE),0)),NA())</f>
        <v>#N/A</v>
      </c>
      <c r="R379" s="11" t="e">
        <f>IF($F$6,IF($L379="","",IFERROR(VLOOKUP($L379,day_data!$A:$I,7,FALSE),0)),NA())</f>
        <v>#N/A</v>
      </c>
      <c r="S379" s="58" t="str">
        <f>IF($F$5,IF($L379="","",IFERROR(VLOOKUP($L379,day_data!$A:$I,8,FALSE),0)),NA())</f>
        <v/>
      </c>
      <c r="T379" s="60" t="e">
        <f>IF($F$7,IF($L379="","",IFERROR(VLOOKUP($L379,day_data!$A:$I,9,FALSE),0)),NA())</f>
        <v>#N/A</v>
      </c>
    </row>
    <row r="380" spans="12:20">
      <c r="L380" s="57" t="str">
        <f t="shared" si="5"/>
        <v/>
      </c>
      <c r="M380" s="11" t="str">
        <f>IF($F$1,IF($L380="","",IFERROR(VLOOKUP($L380,day_data!$A:$I,2,FALSE),0)),NA())</f>
        <v/>
      </c>
      <c r="N380" s="58" t="e">
        <f>IF($F$2,IF($L380="","",IFERROR(VLOOKUP($L380,day_data!$A:$I,3,FALSE),0)),NA())</f>
        <v>#N/A</v>
      </c>
      <c r="O380" s="11" t="e">
        <f>IF($F$3,IF($L380="","",IFERROR(VLOOKUP($L380,day_data!$A:$I,4,FALSE),0)),NA())</f>
        <v>#N/A</v>
      </c>
      <c r="P380" s="58" t="e">
        <f>IF($F$4,IF($L380="","",IFERROR(VLOOKUP($L380,day_data!$A:$I,5,FALSE),0)),NA())</f>
        <v>#N/A</v>
      </c>
      <c r="Q380" s="59" t="e">
        <f>IF($F$8,IF($L380="","",IFERROR(VLOOKUP($L380,day_data!$A:$I,6,FALSE),0)),NA())</f>
        <v>#N/A</v>
      </c>
      <c r="R380" s="11" t="e">
        <f>IF($F$6,IF($L380="","",IFERROR(VLOOKUP($L380,day_data!$A:$I,7,FALSE),0)),NA())</f>
        <v>#N/A</v>
      </c>
      <c r="S380" s="58" t="str">
        <f>IF($F$5,IF($L380="","",IFERROR(VLOOKUP($L380,day_data!$A:$I,8,FALSE),0)),NA())</f>
        <v/>
      </c>
      <c r="T380" s="60" t="e">
        <f>IF($F$7,IF($L380="","",IFERROR(VLOOKUP($L380,day_data!$A:$I,9,FALSE),0)),NA())</f>
        <v>#N/A</v>
      </c>
    </row>
    <row r="381" spans="12:20">
      <c r="L381" s="57" t="str">
        <f t="shared" si="5"/>
        <v/>
      </c>
      <c r="M381" s="11" t="str">
        <f>IF($F$1,IF($L381="","",IFERROR(VLOOKUP($L381,day_data!$A:$I,2,FALSE),0)),NA())</f>
        <v/>
      </c>
      <c r="N381" s="58" t="e">
        <f>IF($F$2,IF($L381="","",IFERROR(VLOOKUP($L381,day_data!$A:$I,3,FALSE),0)),NA())</f>
        <v>#N/A</v>
      </c>
      <c r="O381" s="11" t="e">
        <f>IF($F$3,IF($L381="","",IFERROR(VLOOKUP($L381,day_data!$A:$I,4,FALSE),0)),NA())</f>
        <v>#N/A</v>
      </c>
      <c r="P381" s="58" t="e">
        <f>IF($F$4,IF($L381="","",IFERROR(VLOOKUP($L381,day_data!$A:$I,5,FALSE),0)),NA())</f>
        <v>#N/A</v>
      </c>
      <c r="Q381" s="59" t="e">
        <f>IF($F$8,IF($L381="","",IFERROR(VLOOKUP($L381,day_data!$A:$I,6,FALSE),0)),NA())</f>
        <v>#N/A</v>
      </c>
      <c r="R381" s="11" t="e">
        <f>IF($F$6,IF($L381="","",IFERROR(VLOOKUP($L381,day_data!$A:$I,7,FALSE),0)),NA())</f>
        <v>#N/A</v>
      </c>
      <c r="S381" s="58" t="str">
        <f>IF($F$5,IF($L381="","",IFERROR(VLOOKUP($L381,day_data!$A:$I,8,FALSE),0)),NA())</f>
        <v/>
      </c>
      <c r="T381" s="60" t="e">
        <f>IF($F$7,IF($L381="","",IFERROR(VLOOKUP($L381,day_data!$A:$I,9,FALSE),0)),NA())</f>
        <v>#N/A</v>
      </c>
    </row>
    <row r="382" spans="12:20">
      <c r="L382" s="57" t="str">
        <f t="shared" si="5"/>
        <v/>
      </c>
      <c r="M382" s="11" t="str">
        <f>IF($F$1,IF($L382="","",IFERROR(VLOOKUP($L382,day_data!$A:$I,2,FALSE),0)),NA())</f>
        <v/>
      </c>
      <c r="N382" s="58" t="e">
        <f>IF($F$2,IF($L382="","",IFERROR(VLOOKUP($L382,day_data!$A:$I,3,FALSE),0)),NA())</f>
        <v>#N/A</v>
      </c>
      <c r="O382" s="11" t="e">
        <f>IF($F$3,IF($L382="","",IFERROR(VLOOKUP($L382,day_data!$A:$I,4,FALSE),0)),NA())</f>
        <v>#N/A</v>
      </c>
      <c r="P382" s="58" t="e">
        <f>IF($F$4,IF($L382="","",IFERROR(VLOOKUP($L382,day_data!$A:$I,5,FALSE),0)),NA())</f>
        <v>#N/A</v>
      </c>
      <c r="Q382" s="59" t="e">
        <f>IF($F$8,IF($L382="","",IFERROR(VLOOKUP($L382,day_data!$A:$I,6,FALSE),0)),NA())</f>
        <v>#N/A</v>
      </c>
      <c r="R382" s="11" t="e">
        <f>IF($F$6,IF($L382="","",IFERROR(VLOOKUP($L382,day_data!$A:$I,7,FALSE),0)),NA())</f>
        <v>#N/A</v>
      </c>
      <c r="S382" s="58" t="str">
        <f>IF($F$5,IF($L382="","",IFERROR(VLOOKUP($L382,day_data!$A:$I,8,FALSE),0)),NA())</f>
        <v/>
      </c>
      <c r="T382" s="60" t="e">
        <f>IF($F$7,IF($L382="","",IFERROR(VLOOKUP($L382,day_data!$A:$I,9,FALSE),0)),NA())</f>
        <v>#N/A</v>
      </c>
    </row>
    <row r="383" spans="12:20">
      <c r="L383" s="57" t="str">
        <f t="shared" si="5"/>
        <v/>
      </c>
      <c r="M383" s="11" t="str">
        <f>IF($F$1,IF($L383="","",IFERROR(VLOOKUP($L383,day_data!$A:$I,2,FALSE),0)),NA())</f>
        <v/>
      </c>
      <c r="N383" s="58" t="e">
        <f>IF($F$2,IF($L383="","",IFERROR(VLOOKUP($L383,day_data!$A:$I,3,FALSE),0)),NA())</f>
        <v>#N/A</v>
      </c>
      <c r="O383" s="11" t="e">
        <f>IF($F$3,IF($L383="","",IFERROR(VLOOKUP($L383,day_data!$A:$I,4,FALSE),0)),NA())</f>
        <v>#N/A</v>
      </c>
      <c r="P383" s="58" t="e">
        <f>IF($F$4,IF($L383="","",IFERROR(VLOOKUP($L383,day_data!$A:$I,5,FALSE),0)),NA())</f>
        <v>#N/A</v>
      </c>
      <c r="Q383" s="59" t="e">
        <f>IF($F$8,IF($L383="","",IFERROR(VLOOKUP($L383,day_data!$A:$I,6,FALSE),0)),NA())</f>
        <v>#N/A</v>
      </c>
      <c r="R383" s="11" t="e">
        <f>IF($F$6,IF($L383="","",IFERROR(VLOOKUP($L383,day_data!$A:$I,7,FALSE),0)),NA())</f>
        <v>#N/A</v>
      </c>
      <c r="S383" s="58" t="str">
        <f>IF($F$5,IF($L383="","",IFERROR(VLOOKUP($L383,day_data!$A:$I,8,FALSE),0)),NA())</f>
        <v/>
      </c>
      <c r="T383" s="60" t="e">
        <f>IF($F$7,IF($L383="","",IFERROR(VLOOKUP($L383,day_data!$A:$I,9,FALSE),0)),NA())</f>
        <v>#N/A</v>
      </c>
    </row>
    <row r="384" spans="12:20">
      <c r="L384" s="57" t="str">
        <f t="shared" si="5"/>
        <v/>
      </c>
      <c r="M384" s="11" t="str">
        <f>IF($F$1,IF($L384="","",IFERROR(VLOOKUP($L384,day_data!$A:$I,2,FALSE),0)),NA())</f>
        <v/>
      </c>
      <c r="N384" s="58" t="e">
        <f>IF($F$2,IF($L384="","",IFERROR(VLOOKUP($L384,day_data!$A:$I,3,FALSE),0)),NA())</f>
        <v>#N/A</v>
      </c>
      <c r="O384" s="11" t="e">
        <f>IF($F$3,IF($L384="","",IFERROR(VLOOKUP($L384,day_data!$A:$I,4,FALSE),0)),NA())</f>
        <v>#N/A</v>
      </c>
      <c r="P384" s="58" t="e">
        <f>IF($F$4,IF($L384="","",IFERROR(VLOOKUP($L384,day_data!$A:$I,5,FALSE),0)),NA())</f>
        <v>#N/A</v>
      </c>
      <c r="Q384" s="59" t="e">
        <f>IF($F$8,IF($L384="","",IFERROR(VLOOKUP($L384,day_data!$A:$I,6,FALSE),0)),NA())</f>
        <v>#N/A</v>
      </c>
      <c r="R384" s="11" t="e">
        <f>IF($F$6,IF($L384="","",IFERROR(VLOOKUP($L384,day_data!$A:$I,7,FALSE),0)),NA())</f>
        <v>#N/A</v>
      </c>
      <c r="S384" s="58" t="str">
        <f>IF($F$5,IF($L384="","",IFERROR(VLOOKUP($L384,day_data!$A:$I,8,FALSE),0)),NA())</f>
        <v/>
      </c>
      <c r="T384" s="60" t="e">
        <f>IF($F$7,IF($L384="","",IFERROR(VLOOKUP($L384,day_data!$A:$I,9,FALSE),0)),NA())</f>
        <v>#N/A</v>
      </c>
    </row>
    <row r="385" spans="12:20">
      <c r="L385" s="57" t="str">
        <f t="shared" si="5"/>
        <v/>
      </c>
      <c r="M385" s="11" t="str">
        <f>IF($F$1,IF($L385="","",IFERROR(VLOOKUP($L385,day_data!$A:$I,2,FALSE),0)),NA())</f>
        <v/>
      </c>
      <c r="N385" s="58" t="e">
        <f>IF($F$2,IF($L385="","",IFERROR(VLOOKUP($L385,day_data!$A:$I,3,FALSE),0)),NA())</f>
        <v>#N/A</v>
      </c>
      <c r="O385" s="11" t="e">
        <f>IF($F$3,IF($L385="","",IFERROR(VLOOKUP($L385,day_data!$A:$I,4,FALSE),0)),NA())</f>
        <v>#N/A</v>
      </c>
      <c r="P385" s="58" t="e">
        <f>IF($F$4,IF($L385="","",IFERROR(VLOOKUP($L385,day_data!$A:$I,5,FALSE),0)),NA())</f>
        <v>#N/A</v>
      </c>
      <c r="Q385" s="59" t="e">
        <f>IF($F$8,IF($L385="","",IFERROR(VLOOKUP($L385,day_data!$A:$I,6,FALSE),0)),NA())</f>
        <v>#N/A</v>
      </c>
      <c r="R385" s="11" t="e">
        <f>IF($F$6,IF($L385="","",IFERROR(VLOOKUP($L385,day_data!$A:$I,7,FALSE),0)),NA())</f>
        <v>#N/A</v>
      </c>
      <c r="S385" s="58" t="str">
        <f>IF($F$5,IF($L385="","",IFERROR(VLOOKUP($L385,day_data!$A:$I,8,FALSE),0)),NA())</f>
        <v/>
      </c>
      <c r="T385" s="60" t="e">
        <f>IF($F$7,IF($L385="","",IFERROR(VLOOKUP($L385,day_data!$A:$I,9,FALSE),0)),NA())</f>
        <v>#N/A</v>
      </c>
    </row>
    <row r="386" spans="12:20">
      <c r="L386" s="57" t="str">
        <f t="shared" si="5"/>
        <v/>
      </c>
      <c r="M386" s="11" t="str">
        <f>IF($F$1,IF($L386="","",IFERROR(VLOOKUP($L386,day_data!$A:$I,2,FALSE),0)),NA())</f>
        <v/>
      </c>
      <c r="N386" s="58" t="e">
        <f>IF($F$2,IF($L386="","",IFERROR(VLOOKUP($L386,day_data!$A:$I,3,FALSE),0)),NA())</f>
        <v>#N/A</v>
      </c>
      <c r="O386" s="11" t="e">
        <f>IF($F$3,IF($L386="","",IFERROR(VLOOKUP($L386,day_data!$A:$I,4,FALSE),0)),NA())</f>
        <v>#N/A</v>
      </c>
      <c r="P386" s="58" t="e">
        <f>IF($F$4,IF($L386="","",IFERROR(VLOOKUP($L386,day_data!$A:$I,5,FALSE),0)),NA())</f>
        <v>#N/A</v>
      </c>
      <c r="Q386" s="59" t="e">
        <f>IF($F$8,IF($L386="","",IFERROR(VLOOKUP($L386,day_data!$A:$I,6,FALSE),0)),NA())</f>
        <v>#N/A</v>
      </c>
      <c r="R386" s="11" t="e">
        <f>IF($F$6,IF($L386="","",IFERROR(VLOOKUP($L386,day_data!$A:$I,7,FALSE),0)),NA())</f>
        <v>#N/A</v>
      </c>
      <c r="S386" s="58" t="str">
        <f>IF($F$5,IF($L386="","",IFERROR(VLOOKUP($L386,day_data!$A:$I,8,FALSE),0)),NA())</f>
        <v/>
      </c>
      <c r="T386" s="60" t="e">
        <f>IF($F$7,IF($L386="","",IFERROR(VLOOKUP($L386,day_data!$A:$I,9,FALSE),0)),NA())</f>
        <v>#N/A</v>
      </c>
    </row>
    <row r="387" spans="12:20">
      <c r="L387" s="57" t="str">
        <f t="shared" si="5"/>
        <v/>
      </c>
      <c r="M387" s="11" t="str">
        <f>IF($F$1,IF($L387="","",IFERROR(VLOOKUP($L387,day_data!$A:$I,2,FALSE),0)),NA())</f>
        <v/>
      </c>
      <c r="N387" s="58" t="e">
        <f>IF($F$2,IF($L387="","",IFERROR(VLOOKUP($L387,day_data!$A:$I,3,FALSE),0)),NA())</f>
        <v>#N/A</v>
      </c>
      <c r="O387" s="11" t="e">
        <f>IF($F$3,IF($L387="","",IFERROR(VLOOKUP($L387,day_data!$A:$I,4,FALSE),0)),NA())</f>
        <v>#N/A</v>
      </c>
      <c r="P387" s="58" t="e">
        <f>IF($F$4,IF($L387="","",IFERROR(VLOOKUP($L387,day_data!$A:$I,5,FALSE),0)),NA())</f>
        <v>#N/A</v>
      </c>
      <c r="Q387" s="59" t="e">
        <f>IF($F$8,IF($L387="","",IFERROR(VLOOKUP($L387,day_data!$A:$I,6,FALSE),0)),NA())</f>
        <v>#N/A</v>
      </c>
      <c r="R387" s="11" t="e">
        <f>IF($F$6,IF($L387="","",IFERROR(VLOOKUP($L387,day_data!$A:$I,7,FALSE),0)),NA())</f>
        <v>#N/A</v>
      </c>
      <c r="S387" s="58" t="str">
        <f>IF($F$5,IF($L387="","",IFERROR(VLOOKUP($L387,day_data!$A:$I,8,FALSE),0)),NA())</f>
        <v/>
      </c>
      <c r="T387" s="60" t="e">
        <f>IF($F$7,IF($L387="","",IFERROR(VLOOKUP($L387,day_data!$A:$I,9,FALSE),0)),NA())</f>
        <v>#N/A</v>
      </c>
    </row>
    <row r="388" spans="12:20">
      <c r="L388" s="57" t="str">
        <f t="shared" ref="L388:L451" si="6">IF(ROW(L388)-1&gt;$C$1,"",L387+1)</f>
        <v/>
      </c>
      <c r="M388" s="11" t="str">
        <f>IF($F$1,IF($L388="","",IFERROR(VLOOKUP($L388,day_data!$A:$I,2,FALSE),0)),NA())</f>
        <v/>
      </c>
      <c r="N388" s="58" t="e">
        <f>IF($F$2,IF($L388="","",IFERROR(VLOOKUP($L388,day_data!$A:$I,3,FALSE),0)),NA())</f>
        <v>#N/A</v>
      </c>
      <c r="O388" s="11" t="e">
        <f>IF($F$3,IF($L388="","",IFERROR(VLOOKUP($L388,day_data!$A:$I,4,FALSE),0)),NA())</f>
        <v>#N/A</v>
      </c>
      <c r="P388" s="58" t="e">
        <f>IF($F$4,IF($L388="","",IFERROR(VLOOKUP($L388,day_data!$A:$I,5,FALSE),0)),NA())</f>
        <v>#N/A</v>
      </c>
      <c r="Q388" s="59" t="e">
        <f>IF($F$8,IF($L388="","",IFERROR(VLOOKUP($L388,day_data!$A:$I,6,FALSE),0)),NA())</f>
        <v>#N/A</v>
      </c>
      <c r="R388" s="11" t="e">
        <f>IF($F$6,IF($L388="","",IFERROR(VLOOKUP($L388,day_data!$A:$I,7,FALSE),0)),NA())</f>
        <v>#N/A</v>
      </c>
      <c r="S388" s="58" t="str">
        <f>IF($F$5,IF($L388="","",IFERROR(VLOOKUP($L388,day_data!$A:$I,8,FALSE),0)),NA())</f>
        <v/>
      </c>
      <c r="T388" s="60" t="e">
        <f>IF($F$7,IF($L388="","",IFERROR(VLOOKUP($L388,day_data!$A:$I,9,FALSE),0)),NA())</f>
        <v>#N/A</v>
      </c>
    </row>
    <row r="389" spans="12:20">
      <c r="L389" s="57" t="str">
        <f t="shared" si="6"/>
        <v/>
      </c>
      <c r="M389" s="11" t="str">
        <f>IF($F$1,IF($L389="","",IFERROR(VLOOKUP($L389,day_data!$A:$I,2,FALSE),0)),NA())</f>
        <v/>
      </c>
      <c r="N389" s="58" t="e">
        <f>IF($F$2,IF($L389="","",IFERROR(VLOOKUP($L389,day_data!$A:$I,3,FALSE),0)),NA())</f>
        <v>#N/A</v>
      </c>
      <c r="O389" s="11" t="e">
        <f>IF($F$3,IF($L389="","",IFERROR(VLOOKUP($L389,day_data!$A:$I,4,FALSE),0)),NA())</f>
        <v>#N/A</v>
      </c>
      <c r="P389" s="58" t="e">
        <f>IF($F$4,IF($L389="","",IFERROR(VLOOKUP($L389,day_data!$A:$I,5,FALSE),0)),NA())</f>
        <v>#N/A</v>
      </c>
      <c r="Q389" s="59" t="e">
        <f>IF($F$8,IF($L389="","",IFERROR(VLOOKUP($L389,day_data!$A:$I,6,FALSE),0)),NA())</f>
        <v>#N/A</v>
      </c>
      <c r="R389" s="11" t="e">
        <f>IF($F$6,IF($L389="","",IFERROR(VLOOKUP($L389,day_data!$A:$I,7,FALSE),0)),NA())</f>
        <v>#N/A</v>
      </c>
      <c r="S389" s="58" t="str">
        <f>IF($F$5,IF($L389="","",IFERROR(VLOOKUP($L389,day_data!$A:$I,8,FALSE),0)),NA())</f>
        <v/>
      </c>
      <c r="T389" s="60" t="e">
        <f>IF($F$7,IF($L389="","",IFERROR(VLOOKUP($L389,day_data!$A:$I,9,FALSE),0)),NA())</f>
        <v>#N/A</v>
      </c>
    </row>
    <row r="390" spans="12:20">
      <c r="L390" s="57" t="str">
        <f t="shared" si="6"/>
        <v/>
      </c>
      <c r="M390" s="11" t="str">
        <f>IF($F$1,IF($L390="","",IFERROR(VLOOKUP($L390,day_data!$A:$I,2,FALSE),0)),NA())</f>
        <v/>
      </c>
      <c r="N390" s="58" t="e">
        <f>IF($F$2,IF($L390="","",IFERROR(VLOOKUP($L390,day_data!$A:$I,3,FALSE),0)),NA())</f>
        <v>#N/A</v>
      </c>
      <c r="O390" s="11" t="e">
        <f>IF($F$3,IF($L390="","",IFERROR(VLOOKUP($L390,day_data!$A:$I,4,FALSE),0)),NA())</f>
        <v>#N/A</v>
      </c>
      <c r="P390" s="58" t="e">
        <f>IF($F$4,IF($L390="","",IFERROR(VLOOKUP($L390,day_data!$A:$I,5,FALSE),0)),NA())</f>
        <v>#N/A</v>
      </c>
      <c r="Q390" s="59" t="e">
        <f>IF($F$8,IF($L390="","",IFERROR(VLOOKUP($L390,day_data!$A:$I,6,FALSE),0)),NA())</f>
        <v>#N/A</v>
      </c>
      <c r="R390" s="11" t="e">
        <f>IF($F$6,IF($L390="","",IFERROR(VLOOKUP($L390,day_data!$A:$I,7,FALSE),0)),NA())</f>
        <v>#N/A</v>
      </c>
      <c r="S390" s="58" t="str">
        <f>IF($F$5,IF($L390="","",IFERROR(VLOOKUP($L390,day_data!$A:$I,8,FALSE),0)),NA())</f>
        <v/>
      </c>
      <c r="T390" s="60" t="e">
        <f>IF($F$7,IF($L390="","",IFERROR(VLOOKUP($L390,day_data!$A:$I,9,FALSE),0)),NA())</f>
        <v>#N/A</v>
      </c>
    </row>
    <row r="391" spans="12:20">
      <c r="L391" s="57" t="str">
        <f t="shared" si="6"/>
        <v/>
      </c>
      <c r="M391" s="11" t="str">
        <f>IF($F$1,IF($L391="","",IFERROR(VLOOKUP($L391,day_data!$A:$I,2,FALSE),0)),NA())</f>
        <v/>
      </c>
      <c r="N391" s="58" t="e">
        <f>IF($F$2,IF($L391="","",IFERROR(VLOOKUP($L391,day_data!$A:$I,3,FALSE),0)),NA())</f>
        <v>#N/A</v>
      </c>
      <c r="O391" s="11" t="e">
        <f>IF($F$3,IF($L391="","",IFERROR(VLOOKUP($L391,day_data!$A:$I,4,FALSE),0)),NA())</f>
        <v>#N/A</v>
      </c>
      <c r="P391" s="58" t="e">
        <f>IF($F$4,IF($L391="","",IFERROR(VLOOKUP($L391,day_data!$A:$I,5,FALSE),0)),NA())</f>
        <v>#N/A</v>
      </c>
      <c r="Q391" s="59" t="e">
        <f>IF($F$8,IF($L391="","",IFERROR(VLOOKUP($L391,day_data!$A:$I,6,FALSE),0)),NA())</f>
        <v>#N/A</v>
      </c>
      <c r="R391" s="11" t="e">
        <f>IF($F$6,IF($L391="","",IFERROR(VLOOKUP($L391,day_data!$A:$I,7,FALSE),0)),NA())</f>
        <v>#N/A</v>
      </c>
      <c r="S391" s="58" t="str">
        <f>IF($F$5,IF($L391="","",IFERROR(VLOOKUP($L391,day_data!$A:$I,8,FALSE),0)),NA())</f>
        <v/>
      </c>
      <c r="T391" s="60" t="e">
        <f>IF($F$7,IF($L391="","",IFERROR(VLOOKUP($L391,day_data!$A:$I,9,FALSE),0)),NA())</f>
        <v>#N/A</v>
      </c>
    </row>
    <row r="392" spans="12:20">
      <c r="L392" s="57" t="str">
        <f t="shared" si="6"/>
        <v/>
      </c>
      <c r="M392" s="11" t="str">
        <f>IF($F$1,IF($L392="","",IFERROR(VLOOKUP($L392,day_data!$A:$I,2,FALSE),0)),NA())</f>
        <v/>
      </c>
      <c r="N392" s="58" t="e">
        <f>IF($F$2,IF($L392="","",IFERROR(VLOOKUP($L392,day_data!$A:$I,3,FALSE),0)),NA())</f>
        <v>#N/A</v>
      </c>
      <c r="O392" s="11" t="e">
        <f>IF($F$3,IF($L392="","",IFERROR(VLOOKUP($L392,day_data!$A:$I,4,FALSE),0)),NA())</f>
        <v>#N/A</v>
      </c>
      <c r="P392" s="58" t="e">
        <f>IF($F$4,IF($L392="","",IFERROR(VLOOKUP($L392,day_data!$A:$I,5,FALSE),0)),NA())</f>
        <v>#N/A</v>
      </c>
      <c r="Q392" s="59" t="e">
        <f>IF($F$8,IF($L392="","",IFERROR(VLOOKUP($L392,day_data!$A:$I,6,FALSE),0)),NA())</f>
        <v>#N/A</v>
      </c>
      <c r="R392" s="11" t="e">
        <f>IF($F$6,IF($L392="","",IFERROR(VLOOKUP($L392,day_data!$A:$I,7,FALSE),0)),NA())</f>
        <v>#N/A</v>
      </c>
      <c r="S392" s="58" t="str">
        <f>IF($F$5,IF($L392="","",IFERROR(VLOOKUP($L392,day_data!$A:$I,8,FALSE),0)),NA())</f>
        <v/>
      </c>
      <c r="T392" s="60" t="e">
        <f>IF($F$7,IF($L392="","",IFERROR(VLOOKUP($L392,day_data!$A:$I,9,FALSE),0)),NA())</f>
        <v>#N/A</v>
      </c>
    </row>
    <row r="393" spans="12:20">
      <c r="L393" s="57" t="str">
        <f t="shared" si="6"/>
        <v/>
      </c>
      <c r="M393" s="11" t="str">
        <f>IF($F$1,IF($L393="","",IFERROR(VLOOKUP($L393,day_data!$A:$I,2,FALSE),0)),NA())</f>
        <v/>
      </c>
      <c r="N393" s="58" t="e">
        <f>IF($F$2,IF($L393="","",IFERROR(VLOOKUP($L393,day_data!$A:$I,3,FALSE),0)),NA())</f>
        <v>#N/A</v>
      </c>
      <c r="O393" s="11" t="e">
        <f>IF($F$3,IF($L393="","",IFERROR(VLOOKUP($L393,day_data!$A:$I,4,FALSE),0)),NA())</f>
        <v>#N/A</v>
      </c>
      <c r="P393" s="58" t="e">
        <f>IF($F$4,IF($L393="","",IFERROR(VLOOKUP($L393,day_data!$A:$I,5,FALSE),0)),NA())</f>
        <v>#N/A</v>
      </c>
      <c r="Q393" s="59" t="e">
        <f>IF($F$8,IF($L393="","",IFERROR(VLOOKUP($L393,day_data!$A:$I,6,FALSE),0)),NA())</f>
        <v>#N/A</v>
      </c>
      <c r="R393" s="11" t="e">
        <f>IF($F$6,IF($L393="","",IFERROR(VLOOKUP($L393,day_data!$A:$I,7,FALSE),0)),NA())</f>
        <v>#N/A</v>
      </c>
      <c r="S393" s="58" t="str">
        <f>IF($F$5,IF($L393="","",IFERROR(VLOOKUP($L393,day_data!$A:$I,8,FALSE),0)),NA())</f>
        <v/>
      </c>
      <c r="T393" s="60" t="e">
        <f>IF($F$7,IF($L393="","",IFERROR(VLOOKUP($L393,day_data!$A:$I,9,FALSE),0)),NA())</f>
        <v>#N/A</v>
      </c>
    </row>
    <row r="394" spans="12:20">
      <c r="L394" s="57" t="str">
        <f t="shared" si="6"/>
        <v/>
      </c>
      <c r="M394" s="11" t="str">
        <f>IF($F$1,IF($L394="","",IFERROR(VLOOKUP($L394,day_data!$A:$I,2,FALSE),0)),NA())</f>
        <v/>
      </c>
      <c r="N394" s="58" t="e">
        <f>IF($F$2,IF($L394="","",IFERROR(VLOOKUP($L394,day_data!$A:$I,3,FALSE),0)),NA())</f>
        <v>#N/A</v>
      </c>
      <c r="O394" s="11" t="e">
        <f>IF($F$3,IF($L394="","",IFERROR(VLOOKUP($L394,day_data!$A:$I,4,FALSE),0)),NA())</f>
        <v>#N/A</v>
      </c>
      <c r="P394" s="58" t="e">
        <f>IF($F$4,IF($L394="","",IFERROR(VLOOKUP($L394,day_data!$A:$I,5,FALSE),0)),NA())</f>
        <v>#N/A</v>
      </c>
      <c r="Q394" s="59" t="e">
        <f>IF($F$8,IF($L394="","",IFERROR(VLOOKUP($L394,day_data!$A:$I,6,FALSE),0)),NA())</f>
        <v>#N/A</v>
      </c>
      <c r="R394" s="11" t="e">
        <f>IF($F$6,IF($L394="","",IFERROR(VLOOKUP($L394,day_data!$A:$I,7,FALSE),0)),NA())</f>
        <v>#N/A</v>
      </c>
      <c r="S394" s="58" t="str">
        <f>IF($F$5,IF($L394="","",IFERROR(VLOOKUP($L394,day_data!$A:$I,8,FALSE),0)),NA())</f>
        <v/>
      </c>
      <c r="T394" s="60" t="e">
        <f>IF($F$7,IF($L394="","",IFERROR(VLOOKUP($L394,day_data!$A:$I,9,FALSE),0)),NA())</f>
        <v>#N/A</v>
      </c>
    </row>
    <row r="395" spans="12:20">
      <c r="L395" s="57" t="str">
        <f t="shared" si="6"/>
        <v/>
      </c>
      <c r="M395" s="11" t="str">
        <f>IF($F$1,IF($L395="","",IFERROR(VLOOKUP($L395,day_data!$A:$I,2,FALSE),0)),NA())</f>
        <v/>
      </c>
      <c r="N395" s="58" t="e">
        <f>IF($F$2,IF($L395="","",IFERROR(VLOOKUP($L395,day_data!$A:$I,3,FALSE),0)),NA())</f>
        <v>#N/A</v>
      </c>
      <c r="O395" s="11" t="e">
        <f>IF($F$3,IF($L395="","",IFERROR(VLOOKUP($L395,day_data!$A:$I,4,FALSE),0)),NA())</f>
        <v>#N/A</v>
      </c>
      <c r="P395" s="58" t="e">
        <f>IF($F$4,IF($L395="","",IFERROR(VLOOKUP($L395,day_data!$A:$I,5,FALSE),0)),NA())</f>
        <v>#N/A</v>
      </c>
      <c r="Q395" s="59" t="e">
        <f>IF($F$8,IF($L395="","",IFERROR(VLOOKUP($L395,day_data!$A:$I,6,FALSE),0)),NA())</f>
        <v>#N/A</v>
      </c>
      <c r="R395" s="11" t="e">
        <f>IF($F$6,IF($L395="","",IFERROR(VLOOKUP($L395,day_data!$A:$I,7,FALSE),0)),NA())</f>
        <v>#N/A</v>
      </c>
      <c r="S395" s="58" t="str">
        <f>IF($F$5,IF($L395="","",IFERROR(VLOOKUP($L395,day_data!$A:$I,8,FALSE),0)),NA())</f>
        <v/>
      </c>
      <c r="T395" s="60" t="e">
        <f>IF($F$7,IF($L395="","",IFERROR(VLOOKUP($L395,day_data!$A:$I,9,FALSE),0)),NA())</f>
        <v>#N/A</v>
      </c>
    </row>
    <row r="396" spans="12:20">
      <c r="L396" s="57" t="str">
        <f t="shared" si="6"/>
        <v/>
      </c>
      <c r="M396" s="11" t="str">
        <f>IF($F$1,IF($L396="","",IFERROR(VLOOKUP($L396,day_data!$A:$I,2,FALSE),0)),NA())</f>
        <v/>
      </c>
      <c r="N396" s="58" t="e">
        <f>IF($F$2,IF($L396="","",IFERROR(VLOOKUP($L396,day_data!$A:$I,3,FALSE),0)),NA())</f>
        <v>#N/A</v>
      </c>
      <c r="O396" s="11" t="e">
        <f>IF($F$3,IF($L396="","",IFERROR(VLOOKUP($L396,day_data!$A:$I,4,FALSE),0)),NA())</f>
        <v>#N/A</v>
      </c>
      <c r="P396" s="58" t="e">
        <f>IF($F$4,IF($L396="","",IFERROR(VLOOKUP($L396,day_data!$A:$I,5,FALSE),0)),NA())</f>
        <v>#N/A</v>
      </c>
      <c r="Q396" s="59" t="e">
        <f>IF($F$8,IF($L396="","",IFERROR(VLOOKUP($L396,day_data!$A:$I,6,FALSE),0)),NA())</f>
        <v>#N/A</v>
      </c>
      <c r="R396" s="11" t="e">
        <f>IF($F$6,IF($L396="","",IFERROR(VLOOKUP($L396,day_data!$A:$I,7,FALSE),0)),NA())</f>
        <v>#N/A</v>
      </c>
      <c r="S396" s="58" t="str">
        <f>IF($F$5,IF($L396="","",IFERROR(VLOOKUP($L396,day_data!$A:$I,8,FALSE),0)),NA())</f>
        <v/>
      </c>
      <c r="T396" s="60" t="e">
        <f>IF($F$7,IF($L396="","",IFERROR(VLOOKUP($L396,day_data!$A:$I,9,FALSE),0)),NA())</f>
        <v>#N/A</v>
      </c>
    </row>
    <row r="397" spans="12:20">
      <c r="L397" s="57" t="str">
        <f t="shared" si="6"/>
        <v/>
      </c>
      <c r="M397" s="11" t="str">
        <f>IF($F$1,IF($L397="","",IFERROR(VLOOKUP($L397,day_data!$A:$I,2,FALSE),0)),NA())</f>
        <v/>
      </c>
      <c r="N397" s="58" t="e">
        <f>IF($F$2,IF($L397="","",IFERROR(VLOOKUP($L397,day_data!$A:$I,3,FALSE),0)),NA())</f>
        <v>#N/A</v>
      </c>
      <c r="O397" s="11" t="e">
        <f>IF($F$3,IF($L397="","",IFERROR(VLOOKUP($L397,day_data!$A:$I,4,FALSE),0)),NA())</f>
        <v>#N/A</v>
      </c>
      <c r="P397" s="58" t="e">
        <f>IF($F$4,IF($L397="","",IFERROR(VLOOKUP($L397,day_data!$A:$I,5,FALSE),0)),NA())</f>
        <v>#N/A</v>
      </c>
      <c r="Q397" s="59" t="e">
        <f>IF($F$8,IF($L397="","",IFERROR(VLOOKUP($L397,day_data!$A:$I,6,FALSE),0)),NA())</f>
        <v>#N/A</v>
      </c>
      <c r="R397" s="11" t="e">
        <f>IF($F$6,IF($L397="","",IFERROR(VLOOKUP($L397,day_data!$A:$I,7,FALSE),0)),NA())</f>
        <v>#N/A</v>
      </c>
      <c r="S397" s="58" t="str">
        <f>IF($F$5,IF($L397="","",IFERROR(VLOOKUP($L397,day_data!$A:$I,8,FALSE),0)),NA())</f>
        <v/>
      </c>
      <c r="T397" s="60" t="e">
        <f>IF($F$7,IF($L397="","",IFERROR(VLOOKUP($L397,day_data!$A:$I,9,FALSE),0)),NA())</f>
        <v>#N/A</v>
      </c>
    </row>
    <row r="398" spans="12:20">
      <c r="L398" s="57" t="str">
        <f t="shared" si="6"/>
        <v/>
      </c>
      <c r="M398" s="11" t="str">
        <f>IF($F$1,IF($L398="","",IFERROR(VLOOKUP($L398,day_data!$A:$I,2,FALSE),0)),NA())</f>
        <v/>
      </c>
      <c r="N398" s="58" t="e">
        <f>IF($F$2,IF($L398="","",IFERROR(VLOOKUP($L398,day_data!$A:$I,3,FALSE),0)),NA())</f>
        <v>#N/A</v>
      </c>
      <c r="O398" s="11" t="e">
        <f>IF($F$3,IF($L398="","",IFERROR(VLOOKUP($L398,day_data!$A:$I,4,FALSE),0)),NA())</f>
        <v>#N/A</v>
      </c>
      <c r="P398" s="58" t="e">
        <f>IF($F$4,IF($L398="","",IFERROR(VLOOKUP($L398,day_data!$A:$I,5,FALSE),0)),NA())</f>
        <v>#N/A</v>
      </c>
      <c r="Q398" s="59" t="e">
        <f>IF($F$8,IF($L398="","",IFERROR(VLOOKUP($L398,day_data!$A:$I,6,FALSE),0)),NA())</f>
        <v>#N/A</v>
      </c>
      <c r="R398" s="11" t="e">
        <f>IF($F$6,IF($L398="","",IFERROR(VLOOKUP($L398,day_data!$A:$I,7,FALSE),0)),NA())</f>
        <v>#N/A</v>
      </c>
      <c r="S398" s="58" t="str">
        <f>IF($F$5,IF($L398="","",IFERROR(VLOOKUP($L398,day_data!$A:$I,8,FALSE),0)),NA())</f>
        <v/>
      </c>
      <c r="T398" s="60" t="e">
        <f>IF($F$7,IF($L398="","",IFERROR(VLOOKUP($L398,day_data!$A:$I,9,FALSE),0)),NA())</f>
        <v>#N/A</v>
      </c>
    </row>
    <row r="399" spans="12:20">
      <c r="L399" s="57" t="str">
        <f t="shared" si="6"/>
        <v/>
      </c>
      <c r="M399" s="11" t="str">
        <f>IF($F$1,IF($L399="","",IFERROR(VLOOKUP($L399,day_data!$A:$I,2,FALSE),0)),NA())</f>
        <v/>
      </c>
      <c r="N399" s="58" t="e">
        <f>IF($F$2,IF($L399="","",IFERROR(VLOOKUP($L399,day_data!$A:$I,3,FALSE),0)),NA())</f>
        <v>#N/A</v>
      </c>
      <c r="O399" s="11" t="e">
        <f>IF($F$3,IF($L399="","",IFERROR(VLOOKUP($L399,day_data!$A:$I,4,FALSE),0)),NA())</f>
        <v>#N/A</v>
      </c>
      <c r="P399" s="58" t="e">
        <f>IF($F$4,IF($L399="","",IFERROR(VLOOKUP($L399,day_data!$A:$I,5,FALSE),0)),NA())</f>
        <v>#N/A</v>
      </c>
      <c r="Q399" s="59" t="e">
        <f>IF($F$8,IF($L399="","",IFERROR(VLOOKUP($L399,day_data!$A:$I,6,FALSE),0)),NA())</f>
        <v>#N/A</v>
      </c>
      <c r="R399" s="11" t="e">
        <f>IF($F$6,IF($L399="","",IFERROR(VLOOKUP($L399,day_data!$A:$I,7,FALSE),0)),NA())</f>
        <v>#N/A</v>
      </c>
      <c r="S399" s="58" t="str">
        <f>IF($F$5,IF($L399="","",IFERROR(VLOOKUP($L399,day_data!$A:$I,8,FALSE),0)),NA())</f>
        <v/>
      </c>
      <c r="T399" s="60" t="e">
        <f>IF($F$7,IF($L399="","",IFERROR(VLOOKUP($L399,day_data!$A:$I,9,FALSE),0)),NA())</f>
        <v>#N/A</v>
      </c>
    </row>
    <row r="400" spans="12:20">
      <c r="L400" s="57" t="str">
        <f t="shared" si="6"/>
        <v/>
      </c>
      <c r="M400" s="11" t="str">
        <f>IF($F$1,IF($L400="","",IFERROR(VLOOKUP($L400,day_data!$A:$I,2,FALSE),0)),NA())</f>
        <v/>
      </c>
      <c r="N400" s="58" t="e">
        <f>IF($F$2,IF($L400="","",IFERROR(VLOOKUP($L400,day_data!$A:$I,3,FALSE),0)),NA())</f>
        <v>#N/A</v>
      </c>
      <c r="O400" s="11" t="e">
        <f>IF($F$3,IF($L400="","",IFERROR(VLOOKUP($L400,day_data!$A:$I,4,FALSE),0)),NA())</f>
        <v>#N/A</v>
      </c>
      <c r="P400" s="58" t="e">
        <f>IF($F$4,IF($L400="","",IFERROR(VLOOKUP($L400,day_data!$A:$I,5,FALSE),0)),NA())</f>
        <v>#N/A</v>
      </c>
      <c r="Q400" s="59" t="e">
        <f>IF($F$8,IF($L400="","",IFERROR(VLOOKUP($L400,day_data!$A:$I,6,FALSE),0)),NA())</f>
        <v>#N/A</v>
      </c>
      <c r="R400" s="11" t="e">
        <f>IF($F$6,IF($L400="","",IFERROR(VLOOKUP($L400,day_data!$A:$I,7,FALSE),0)),NA())</f>
        <v>#N/A</v>
      </c>
      <c r="S400" s="58" t="str">
        <f>IF($F$5,IF($L400="","",IFERROR(VLOOKUP($L400,day_data!$A:$I,8,FALSE),0)),NA())</f>
        <v/>
      </c>
      <c r="T400" s="60" t="e">
        <f>IF($F$7,IF($L400="","",IFERROR(VLOOKUP($L400,day_data!$A:$I,9,FALSE),0)),NA())</f>
        <v>#N/A</v>
      </c>
    </row>
    <row r="401" spans="12:20">
      <c r="L401" s="57" t="str">
        <f t="shared" si="6"/>
        <v/>
      </c>
      <c r="M401" s="11" t="str">
        <f>IF($F$1,IF($L401="","",IFERROR(VLOOKUP($L401,day_data!$A:$I,2,FALSE),0)),NA())</f>
        <v/>
      </c>
      <c r="N401" s="58" t="e">
        <f>IF($F$2,IF($L401="","",IFERROR(VLOOKUP($L401,day_data!$A:$I,3,FALSE),0)),NA())</f>
        <v>#N/A</v>
      </c>
      <c r="O401" s="11" t="e">
        <f>IF($F$3,IF($L401="","",IFERROR(VLOOKUP($L401,day_data!$A:$I,4,FALSE),0)),NA())</f>
        <v>#N/A</v>
      </c>
      <c r="P401" s="58" t="e">
        <f>IF($F$4,IF($L401="","",IFERROR(VLOOKUP($L401,day_data!$A:$I,5,FALSE),0)),NA())</f>
        <v>#N/A</v>
      </c>
      <c r="Q401" s="59" t="e">
        <f>IF($F$8,IF($L401="","",IFERROR(VLOOKUP($L401,day_data!$A:$I,6,FALSE),0)),NA())</f>
        <v>#N/A</v>
      </c>
      <c r="R401" s="11" t="e">
        <f>IF($F$6,IF($L401="","",IFERROR(VLOOKUP($L401,day_data!$A:$I,7,FALSE),0)),NA())</f>
        <v>#N/A</v>
      </c>
      <c r="S401" s="58" t="str">
        <f>IF($F$5,IF($L401="","",IFERROR(VLOOKUP($L401,day_data!$A:$I,8,FALSE),0)),NA())</f>
        <v/>
      </c>
      <c r="T401" s="60" t="e">
        <f>IF($F$7,IF($L401="","",IFERROR(VLOOKUP($L401,day_data!$A:$I,9,FALSE),0)),NA())</f>
        <v>#N/A</v>
      </c>
    </row>
    <row r="402" spans="12:20">
      <c r="L402" s="57" t="str">
        <f t="shared" si="6"/>
        <v/>
      </c>
      <c r="M402" s="11" t="str">
        <f>IF($F$1,IF($L402="","",IFERROR(VLOOKUP($L402,day_data!$A:$I,2,FALSE),0)),NA())</f>
        <v/>
      </c>
      <c r="N402" s="58" t="e">
        <f>IF($F$2,IF($L402="","",IFERROR(VLOOKUP($L402,day_data!$A:$I,3,FALSE),0)),NA())</f>
        <v>#N/A</v>
      </c>
      <c r="O402" s="11" t="e">
        <f>IF($F$3,IF($L402="","",IFERROR(VLOOKUP($L402,day_data!$A:$I,4,FALSE),0)),NA())</f>
        <v>#N/A</v>
      </c>
      <c r="P402" s="58" t="e">
        <f>IF($F$4,IF($L402="","",IFERROR(VLOOKUP($L402,day_data!$A:$I,5,FALSE),0)),NA())</f>
        <v>#N/A</v>
      </c>
      <c r="Q402" s="59" t="e">
        <f>IF($F$8,IF($L402="","",IFERROR(VLOOKUP($L402,day_data!$A:$I,6,FALSE),0)),NA())</f>
        <v>#N/A</v>
      </c>
      <c r="R402" s="11" t="e">
        <f>IF($F$6,IF($L402="","",IFERROR(VLOOKUP($L402,day_data!$A:$I,7,FALSE),0)),NA())</f>
        <v>#N/A</v>
      </c>
      <c r="S402" s="58" t="str">
        <f>IF($F$5,IF($L402="","",IFERROR(VLOOKUP($L402,day_data!$A:$I,8,FALSE),0)),NA())</f>
        <v/>
      </c>
      <c r="T402" s="60" t="e">
        <f>IF($F$7,IF($L402="","",IFERROR(VLOOKUP($L402,day_data!$A:$I,9,FALSE),0)),NA())</f>
        <v>#N/A</v>
      </c>
    </row>
    <row r="403" spans="12:20">
      <c r="L403" s="57" t="str">
        <f t="shared" si="6"/>
        <v/>
      </c>
      <c r="M403" s="11" t="str">
        <f>IF($F$1,IF($L403="","",IFERROR(VLOOKUP($L403,day_data!$A:$I,2,FALSE),0)),NA())</f>
        <v/>
      </c>
      <c r="N403" s="58" t="e">
        <f>IF($F$2,IF($L403="","",IFERROR(VLOOKUP($L403,day_data!$A:$I,3,FALSE),0)),NA())</f>
        <v>#N/A</v>
      </c>
      <c r="O403" s="11" t="e">
        <f>IF($F$3,IF($L403="","",IFERROR(VLOOKUP($L403,day_data!$A:$I,4,FALSE),0)),NA())</f>
        <v>#N/A</v>
      </c>
      <c r="P403" s="58" t="e">
        <f>IF($F$4,IF($L403="","",IFERROR(VLOOKUP($L403,day_data!$A:$I,5,FALSE),0)),NA())</f>
        <v>#N/A</v>
      </c>
      <c r="Q403" s="59" t="e">
        <f>IF($F$8,IF($L403="","",IFERROR(VLOOKUP($L403,day_data!$A:$I,6,FALSE),0)),NA())</f>
        <v>#N/A</v>
      </c>
      <c r="R403" s="11" t="e">
        <f>IF($F$6,IF($L403="","",IFERROR(VLOOKUP($L403,day_data!$A:$I,7,FALSE),0)),NA())</f>
        <v>#N/A</v>
      </c>
      <c r="S403" s="58" t="str">
        <f>IF($F$5,IF($L403="","",IFERROR(VLOOKUP($L403,day_data!$A:$I,8,FALSE),0)),NA())</f>
        <v/>
      </c>
      <c r="T403" s="60" t="e">
        <f>IF($F$7,IF($L403="","",IFERROR(VLOOKUP($L403,day_data!$A:$I,9,FALSE),0)),NA())</f>
        <v>#N/A</v>
      </c>
    </row>
    <row r="404" spans="12:20">
      <c r="L404" s="57" t="str">
        <f t="shared" si="6"/>
        <v/>
      </c>
      <c r="M404" s="11" t="str">
        <f>IF($F$1,IF($L404="","",IFERROR(VLOOKUP($L404,day_data!$A:$I,2,FALSE),0)),NA())</f>
        <v/>
      </c>
      <c r="N404" s="58" t="e">
        <f>IF($F$2,IF($L404="","",IFERROR(VLOOKUP($L404,day_data!$A:$I,3,FALSE),0)),NA())</f>
        <v>#N/A</v>
      </c>
      <c r="O404" s="11" t="e">
        <f>IF($F$3,IF($L404="","",IFERROR(VLOOKUP($L404,day_data!$A:$I,4,FALSE),0)),NA())</f>
        <v>#N/A</v>
      </c>
      <c r="P404" s="58" t="e">
        <f>IF($F$4,IF($L404="","",IFERROR(VLOOKUP($L404,day_data!$A:$I,5,FALSE),0)),NA())</f>
        <v>#N/A</v>
      </c>
      <c r="Q404" s="59" t="e">
        <f>IF($F$8,IF($L404="","",IFERROR(VLOOKUP($L404,day_data!$A:$I,6,FALSE),0)),NA())</f>
        <v>#N/A</v>
      </c>
      <c r="R404" s="11" t="e">
        <f>IF($F$6,IF($L404="","",IFERROR(VLOOKUP($L404,day_data!$A:$I,7,FALSE),0)),NA())</f>
        <v>#N/A</v>
      </c>
      <c r="S404" s="58" t="str">
        <f>IF($F$5,IF($L404="","",IFERROR(VLOOKUP($L404,day_data!$A:$I,8,FALSE),0)),NA())</f>
        <v/>
      </c>
      <c r="T404" s="60" t="e">
        <f>IF($F$7,IF($L404="","",IFERROR(VLOOKUP($L404,day_data!$A:$I,9,FALSE),0)),NA())</f>
        <v>#N/A</v>
      </c>
    </row>
    <row r="405" spans="12:20">
      <c r="L405" s="57" t="str">
        <f t="shared" si="6"/>
        <v/>
      </c>
      <c r="M405" s="11" t="str">
        <f>IF($F$1,IF($L405="","",IFERROR(VLOOKUP($L405,day_data!$A:$I,2,FALSE),0)),NA())</f>
        <v/>
      </c>
      <c r="N405" s="58" t="e">
        <f>IF($F$2,IF($L405="","",IFERROR(VLOOKUP($L405,day_data!$A:$I,3,FALSE),0)),NA())</f>
        <v>#N/A</v>
      </c>
      <c r="O405" s="11" t="e">
        <f>IF($F$3,IF($L405="","",IFERROR(VLOOKUP($L405,day_data!$A:$I,4,FALSE),0)),NA())</f>
        <v>#N/A</v>
      </c>
      <c r="P405" s="58" t="e">
        <f>IF($F$4,IF($L405="","",IFERROR(VLOOKUP($L405,day_data!$A:$I,5,FALSE),0)),NA())</f>
        <v>#N/A</v>
      </c>
      <c r="Q405" s="59" t="e">
        <f>IF($F$8,IF($L405="","",IFERROR(VLOOKUP($L405,day_data!$A:$I,6,FALSE),0)),NA())</f>
        <v>#N/A</v>
      </c>
      <c r="R405" s="11" t="e">
        <f>IF($F$6,IF($L405="","",IFERROR(VLOOKUP($L405,day_data!$A:$I,7,FALSE),0)),NA())</f>
        <v>#N/A</v>
      </c>
      <c r="S405" s="58" t="str">
        <f>IF($F$5,IF($L405="","",IFERROR(VLOOKUP($L405,day_data!$A:$I,8,FALSE),0)),NA())</f>
        <v/>
      </c>
      <c r="T405" s="60" t="e">
        <f>IF($F$7,IF($L405="","",IFERROR(VLOOKUP($L405,day_data!$A:$I,9,FALSE),0)),NA())</f>
        <v>#N/A</v>
      </c>
    </row>
    <row r="406" spans="12:20">
      <c r="L406" s="57" t="str">
        <f t="shared" si="6"/>
        <v/>
      </c>
      <c r="M406" s="11" t="str">
        <f>IF($F$1,IF($L406="","",IFERROR(VLOOKUP($L406,day_data!$A:$I,2,FALSE),0)),NA())</f>
        <v/>
      </c>
      <c r="N406" s="58" t="e">
        <f>IF($F$2,IF($L406="","",IFERROR(VLOOKUP($L406,day_data!$A:$I,3,FALSE),0)),NA())</f>
        <v>#N/A</v>
      </c>
      <c r="O406" s="11" t="e">
        <f>IF($F$3,IF($L406="","",IFERROR(VLOOKUP($L406,day_data!$A:$I,4,FALSE),0)),NA())</f>
        <v>#N/A</v>
      </c>
      <c r="P406" s="58" t="e">
        <f>IF($F$4,IF($L406="","",IFERROR(VLOOKUP($L406,day_data!$A:$I,5,FALSE),0)),NA())</f>
        <v>#N/A</v>
      </c>
      <c r="Q406" s="59" t="e">
        <f>IF($F$8,IF($L406="","",IFERROR(VLOOKUP($L406,day_data!$A:$I,6,FALSE),0)),NA())</f>
        <v>#N/A</v>
      </c>
      <c r="R406" s="11" t="e">
        <f>IF($F$6,IF($L406="","",IFERROR(VLOOKUP($L406,day_data!$A:$I,7,FALSE),0)),NA())</f>
        <v>#N/A</v>
      </c>
      <c r="S406" s="58" t="str">
        <f>IF($F$5,IF($L406="","",IFERROR(VLOOKUP($L406,day_data!$A:$I,8,FALSE),0)),NA())</f>
        <v/>
      </c>
      <c r="T406" s="60" t="e">
        <f>IF($F$7,IF($L406="","",IFERROR(VLOOKUP($L406,day_data!$A:$I,9,FALSE),0)),NA())</f>
        <v>#N/A</v>
      </c>
    </row>
    <row r="407" spans="12:20">
      <c r="L407" s="57" t="str">
        <f t="shared" si="6"/>
        <v/>
      </c>
      <c r="M407" s="11" t="str">
        <f>IF($F$1,IF($L407="","",IFERROR(VLOOKUP($L407,day_data!$A:$I,2,FALSE),0)),NA())</f>
        <v/>
      </c>
      <c r="N407" s="58" t="e">
        <f>IF($F$2,IF($L407="","",IFERROR(VLOOKUP($L407,day_data!$A:$I,3,FALSE),0)),NA())</f>
        <v>#N/A</v>
      </c>
      <c r="O407" s="11" t="e">
        <f>IF($F$3,IF($L407="","",IFERROR(VLOOKUP($L407,day_data!$A:$I,4,FALSE),0)),NA())</f>
        <v>#N/A</v>
      </c>
      <c r="P407" s="58" t="e">
        <f>IF($F$4,IF($L407="","",IFERROR(VLOOKUP($L407,day_data!$A:$I,5,FALSE),0)),NA())</f>
        <v>#N/A</v>
      </c>
      <c r="Q407" s="59" t="e">
        <f>IF($F$8,IF($L407="","",IFERROR(VLOOKUP($L407,day_data!$A:$I,6,FALSE),0)),NA())</f>
        <v>#N/A</v>
      </c>
      <c r="R407" s="11" t="e">
        <f>IF($F$6,IF($L407="","",IFERROR(VLOOKUP($L407,day_data!$A:$I,7,FALSE),0)),NA())</f>
        <v>#N/A</v>
      </c>
      <c r="S407" s="58" t="str">
        <f>IF($F$5,IF($L407="","",IFERROR(VLOOKUP($L407,day_data!$A:$I,8,FALSE),0)),NA())</f>
        <v/>
      </c>
      <c r="T407" s="60" t="e">
        <f>IF($F$7,IF($L407="","",IFERROR(VLOOKUP($L407,day_data!$A:$I,9,FALSE),0)),NA())</f>
        <v>#N/A</v>
      </c>
    </row>
    <row r="408" spans="12:20">
      <c r="L408" s="57" t="str">
        <f t="shared" si="6"/>
        <v/>
      </c>
      <c r="M408" s="11" t="str">
        <f>IF($F$1,IF($L408="","",IFERROR(VLOOKUP($L408,day_data!$A:$I,2,FALSE),0)),NA())</f>
        <v/>
      </c>
      <c r="N408" s="58" t="e">
        <f>IF($F$2,IF($L408="","",IFERROR(VLOOKUP($L408,day_data!$A:$I,3,FALSE),0)),NA())</f>
        <v>#N/A</v>
      </c>
      <c r="O408" s="11" t="e">
        <f>IF($F$3,IF($L408="","",IFERROR(VLOOKUP($L408,day_data!$A:$I,4,FALSE),0)),NA())</f>
        <v>#N/A</v>
      </c>
      <c r="P408" s="58" t="e">
        <f>IF($F$4,IF($L408="","",IFERROR(VLOOKUP($L408,day_data!$A:$I,5,FALSE),0)),NA())</f>
        <v>#N/A</v>
      </c>
      <c r="Q408" s="59" t="e">
        <f>IF($F$8,IF($L408="","",IFERROR(VLOOKUP($L408,day_data!$A:$I,6,FALSE),0)),NA())</f>
        <v>#N/A</v>
      </c>
      <c r="R408" s="11" t="e">
        <f>IF($F$6,IF($L408="","",IFERROR(VLOOKUP($L408,day_data!$A:$I,7,FALSE),0)),NA())</f>
        <v>#N/A</v>
      </c>
      <c r="S408" s="58" t="str">
        <f>IF($F$5,IF($L408="","",IFERROR(VLOOKUP($L408,day_data!$A:$I,8,FALSE),0)),NA())</f>
        <v/>
      </c>
      <c r="T408" s="60" t="e">
        <f>IF($F$7,IF($L408="","",IFERROR(VLOOKUP($L408,day_data!$A:$I,9,FALSE),0)),NA())</f>
        <v>#N/A</v>
      </c>
    </row>
    <row r="409" spans="12:20">
      <c r="L409" s="57" t="str">
        <f t="shared" si="6"/>
        <v/>
      </c>
      <c r="M409" s="11" t="str">
        <f>IF($F$1,IF($L409="","",IFERROR(VLOOKUP($L409,day_data!$A:$I,2,FALSE),0)),NA())</f>
        <v/>
      </c>
      <c r="N409" s="58" t="e">
        <f>IF($F$2,IF($L409="","",IFERROR(VLOOKUP($L409,day_data!$A:$I,3,FALSE),0)),NA())</f>
        <v>#N/A</v>
      </c>
      <c r="O409" s="11" t="e">
        <f>IF($F$3,IF($L409="","",IFERROR(VLOOKUP($L409,day_data!$A:$I,4,FALSE),0)),NA())</f>
        <v>#N/A</v>
      </c>
      <c r="P409" s="58" t="e">
        <f>IF($F$4,IF($L409="","",IFERROR(VLOOKUP($L409,day_data!$A:$I,5,FALSE),0)),NA())</f>
        <v>#N/A</v>
      </c>
      <c r="Q409" s="59" t="e">
        <f>IF($F$8,IF($L409="","",IFERROR(VLOOKUP($L409,day_data!$A:$I,6,FALSE),0)),NA())</f>
        <v>#N/A</v>
      </c>
      <c r="R409" s="11" t="e">
        <f>IF($F$6,IF($L409="","",IFERROR(VLOOKUP($L409,day_data!$A:$I,7,FALSE),0)),NA())</f>
        <v>#N/A</v>
      </c>
      <c r="S409" s="58" t="str">
        <f>IF($F$5,IF($L409="","",IFERROR(VLOOKUP($L409,day_data!$A:$I,8,FALSE),0)),NA())</f>
        <v/>
      </c>
      <c r="T409" s="60" t="e">
        <f>IF($F$7,IF($L409="","",IFERROR(VLOOKUP($L409,day_data!$A:$I,9,FALSE),0)),NA())</f>
        <v>#N/A</v>
      </c>
    </row>
    <row r="410" spans="12:20">
      <c r="L410" s="57" t="str">
        <f t="shared" si="6"/>
        <v/>
      </c>
      <c r="M410" s="11" t="str">
        <f>IF($F$1,IF($L410="","",IFERROR(VLOOKUP($L410,day_data!$A:$I,2,FALSE),0)),NA())</f>
        <v/>
      </c>
      <c r="N410" s="58" t="e">
        <f>IF($F$2,IF($L410="","",IFERROR(VLOOKUP($L410,day_data!$A:$I,3,FALSE),0)),NA())</f>
        <v>#N/A</v>
      </c>
      <c r="O410" s="11" t="e">
        <f>IF($F$3,IF($L410="","",IFERROR(VLOOKUP($L410,day_data!$A:$I,4,FALSE),0)),NA())</f>
        <v>#N/A</v>
      </c>
      <c r="P410" s="58" t="e">
        <f>IF($F$4,IF($L410="","",IFERROR(VLOOKUP($L410,day_data!$A:$I,5,FALSE),0)),NA())</f>
        <v>#N/A</v>
      </c>
      <c r="Q410" s="59" t="e">
        <f>IF($F$8,IF($L410="","",IFERROR(VLOOKUP($L410,day_data!$A:$I,6,FALSE),0)),NA())</f>
        <v>#N/A</v>
      </c>
      <c r="R410" s="11" t="e">
        <f>IF($F$6,IF($L410="","",IFERROR(VLOOKUP($L410,day_data!$A:$I,7,FALSE),0)),NA())</f>
        <v>#N/A</v>
      </c>
      <c r="S410" s="58" t="str">
        <f>IF($F$5,IF($L410="","",IFERROR(VLOOKUP($L410,day_data!$A:$I,8,FALSE),0)),NA())</f>
        <v/>
      </c>
      <c r="T410" s="60" t="e">
        <f>IF($F$7,IF($L410="","",IFERROR(VLOOKUP($L410,day_data!$A:$I,9,FALSE),0)),NA())</f>
        <v>#N/A</v>
      </c>
    </row>
    <row r="411" spans="12:20">
      <c r="L411" s="57" t="str">
        <f t="shared" si="6"/>
        <v/>
      </c>
      <c r="M411" s="11" t="str">
        <f>IF($F$1,IF($L411="","",IFERROR(VLOOKUP($L411,day_data!$A:$I,2,FALSE),0)),NA())</f>
        <v/>
      </c>
      <c r="N411" s="58" t="e">
        <f>IF($F$2,IF($L411="","",IFERROR(VLOOKUP($L411,day_data!$A:$I,3,FALSE),0)),NA())</f>
        <v>#N/A</v>
      </c>
      <c r="O411" s="11" t="e">
        <f>IF($F$3,IF($L411="","",IFERROR(VLOOKUP($L411,day_data!$A:$I,4,FALSE),0)),NA())</f>
        <v>#N/A</v>
      </c>
      <c r="P411" s="58" t="e">
        <f>IF($F$4,IF($L411="","",IFERROR(VLOOKUP($L411,day_data!$A:$I,5,FALSE),0)),NA())</f>
        <v>#N/A</v>
      </c>
      <c r="Q411" s="59" t="e">
        <f>IF($F$8,IF($L411="","",IFERROR(VLOOKUP($L411,day_data!$A:$I,6,FALSE),0)),NA())</f>
        <v>#N/A</v>
      </c>
      <c r="R411" s="11" t="e">
        <f>IF($F$6,IF($L411="","",IFERROR(VLOOKUP($L411,day_data!$A:$I,7,FALSE),0)),NA())</f>
        <v>#N/A</v>
      </c>
      <c r="S411" s="58" t="str">
        <f>IF($F$5,IF($L411="","",IFERROR(VLOOKUP($L411,day_data!$A:$I,8,FALSE),0)),NA())</f>
        <v/>
      </c>
      <c r="T411" s="60" t="e">
        <f>IF($F$7,IF($L411="","",IFERROR(VLOOKUP($L411,day_data!$A:$I,9,FALSE),0)),NA())</f>
        <v>#N/A</v>
      </c>
    </row>
    <row r="412" spans="12:20">
      <c r="L412" s="57" t="str">
        <f t="shared" si="6"/>
        <v/>
      </c>
      <c r="M412" s="11" t="str">
        <f>IF($F$1,IF($L412="","",IFERROR(VLOOKUP($L412,day_data!$A:$I,2,FALSE),0)),NA())</f>
        <v/>
      </c>
      <c r="N412" s="58" t="e">
        <f>IF($F$2,IF($L412="","",IFERROR(VLOOKUP($L412,day_data!$A:$I,3,FALSE),0)),NA())</f>
        <v>#N/A</v>
      </c>
      <c r="O412" s="11" t="e">
        <f>IF($F$3,IF($L412="","",IFERROR(VLOOKUP($L412,day_data!$A:$I,4,FALSE),0)),NA())</f>
        <v>#N/A</v>
      </c>
      <c r="P412" s="58" t="e">
        <f>IF($F$4,IF($L412="","",IFERROR(VLOOKUP($L412,day_data!$A:$I,5,FALSE),0)),NA())</f>
        <v>#N/A</v>
      </c>
      <c r="Q412" s="59" t="e">
        <f>IF($F$8,IF($L412="","",IFERROR(VLOOKUP($L412,day_data!$A:$I,6,FALSE),0)),NA())</f>
        <v>#N/A</v>
      </c>
      <c r="R412" s="11" t="e">
        <f>IF($F$6,IF($L412="","",IFERROR(VLOOKUP($L412,day_data!$A:$I,7,FALSE),0)),NA())</f>
        <v>#N/A</v>
      </c>
      <c r="S412" s="58" t="str">
        <f>IF($F$5,IF($L412="","",IFERROR(VLOOKUP($L412,day_data!$A:$I,8,FALSE),0)),NA())</f>
        <v/>
      </c>
      <c r="T412" s="60" t="e">
        <f>IF($F$7,IF($L412="","",IFERROR(VLOOKUP($L412,day_data!$A:$I,9,FALSE),0)),NA())</f>
        <v>#N/A</v>
      </c>
    </row>
    <row r="413" spans="12:20">
      <c r="L413" s="57" t="str">
        <f t="shared" si="6"/>
        <v/>
      </c>
      <c r="M413" s="11" t="str">
        <f>IF($F$1,IF($L413="","",IFERROR(VLOOKUP($L413,day_data!$A:$I,2,FALSE),0)),NA())</f>
        <v/>
      </c>
      <c r="N413" s="58" t="e">
        <f>IF($F$2,IF($L413="","",IFERROR(VLOOKUP($L413,day_data!$A:$I,3,FALSE),0)),NA())</f>
        <v>#N/A</v>
      </c>
      <c r="O413" s="11" t="e">
        <f>IF($F$3,IF($L413="","",IFERROR(VLOOKUP($L413,day_data!$A:$I,4,FALSE),0)),NA())</f>
        <v>#N/A</v>
      </c>
      <c r="P413" s="58" t="e">
        <f>IF($F$4,IF($L413="","",IFERROR(VLOOKUP($L413,day_data!$A:$I,5,FALSE),0)),NA())</f>
        <v>#N/A</v>
      </c>
      <c r="Q413" s="59" t="e">
        <f>IF($F$8,IF($L413="","",IFERROR(VLOOKUP($L413,day_data!$A:$I,6,FALSE),0)),NA())</f>
        <v>#N/A</v>
      </c>
      <c r="R413" s="11" t="e">
        <f>IF($F$6,IF($L413="","",IFERROR(VLOOKUP($L413,day_data!$A:$I,7,FALSE),0)),NA())</f>
        <v>#N/A</v>
      </c>
      <c r="S413" s="58" t="str">
        <f>IF($F$5,IF($L413="","",IFERROR(VLOOKUP($L413,day_data!$A:$I,8,FALSE),0)),NA())</f>
        <v/>
      </c>
      <c r="T413" s="60" t="e">
        <f>IF($F$7,IF($L413="","",IFERROR(VLOOKUP($L413,day_data!$A:$I,9,FALSE),0)),NA())</f>
        <v>#N/A</v>
      </c>
    </row>
    <row r="414" spans="12:20">
      <c r="L414" s="57" t="str">
        <f t="shared" si="6"/>
        <v/>
      </c>
      <c r="M414" s="11" t="str">
        <f>IF($F$1,IF($L414="","",IFERROR(VLOOKUP($L414,day_data!$A:$I,2,FALSE),0)),NA())</f>
        <v/>
      </c>
      <c r="N414" s="58" t="e">
        <f>IF($F$2,IF($L414="","",IFERROR(VLOOKUP($L414,day_data!$A:$I,3,FALSE),0)),NA())</f>
        <v>#N/A</v>
      </c>
      <c r="O414" s="11" t="e">
        <f>IF($F$3,IF($L414="","",IFERROR(VLOOKUP($L414,day_data!$A:$I,4,FALSE),0)),NA())</f>
        <v>#N/A</v>
      </c>
      <c r="P414" s="58" t="e">
        <f>IF($F$4,IF($L414="","",IFERROR(VLOOKUP($L414,day_data!$A:$I,5,FALSE),0)),NA())</f>
        <v>#N/A</v>
      </c>
      <c r="Q414" s="59" t="e">
        <f>IF($F$8,IF($L414="","",IFERROR(VLOOKUP($L414,day_data!$A:$I,6,FALSE),0)),NA())</f>
        <v>#N/A</v>
      </c>
      <c r="R414" s="11" t="e">
        <f>IF($F$6,IF($L414="","",IFERROR(VLOOKUP($L414,day_data!$A:$I,7,FALSE),0)),NA())</f>
        <v>#N/A</v>
      </c>
      <c r="S414" s="58" t="str">
        <f>IF($F$5,IF($L414="","",IFERROR(VLOOKUP($L414,day_data!$A:$I,8,FALSE),0)),NA())</f>
        <v/>
      </c>
      <c r="T414" s="60" t="e">
        <f>IF($F$7,IF($L414="","",IFERROR(VLOOKUP($L414,day_data!$A:$I,9,FALSE),0)),NA())</f>
        <v>#N/A</v>
      </c>
    </row>
    <row r="415" spans="12:20">
      <c r="L415" s="57" t="str">
        <f t="shared" si="6"/>
        <v/>
      </c>
      <c r="M415" s="11" t="str">
        <f>IF($F$1,IF($L415="","",IFERROR(VLOOKUP($L415,day_data!$A:$I,2,FALSE),0)),NA())</f>
        <v/>
      </c>
      <c r="N415" s="58" t="e">
        <f>IF($F$2,IF($L415="","",IFERROR(VLOOKUP($L415,day_data!$A:$I,3,FALSE),0)),NA())</f>
        <v>#N/A</v>
      </c>
      <c r="O415" s="11" t="e">
        <f>IF($F$3,IF($L415="","",IFERROR(VLOOKUP($L415,day_data!$A:$I,4,FALSE),0)),NA())</f>
        <v>#N/A</v>
      </c>
      <c r="P415" s="58" t="e">
        <f>IF($F$4,IF($L415="","",IFERROR(VLOOKUP($L415,day_data!$A:$I,5,FALSE),0)),NA())</f>
        <v>#N/A</v>
      </c>
      <c r="Q415" s="59" t="e">
        <f>IF($F$8,IF($L415="","",IFERROR(VLOOKUP($L415,day_data!$A:$I,6,FALSE),0)),NA())</f>
        <v>#N/A</v>
      </c>
      <c r="R415" s="11" t="e">
        <f>IF($F$6,IF($L415="","",IFERROR(VLOOKUP($L415,day_data!$A:$I,7,FALSE),0)),NA())</f>
        <v>#N/A</v>
      </c>
      <c r="S415" s="58" t="str">
        <f>IF($F$5,IF($L415="","",IFERROR(VLOOKUP($L415,day_data!$A:$I,8,FALSE),0)),NA())</f>
        <v/>
      </c>
      <c r="T415" s="60" t="e">
        <f>IF($F$7,IF($L415="","",IFERROR(VLOOKUP($L415,day_data!$A:$I,9,FALSE),0)),NA())</f>
        <v>#N/A</v>
      </c>
    </row>
    <row r="416" spans="12:20">
      <c r="L416" s="57" t="str">
        <f t="shared" si="6"/>
        <v/>
      </c>
      <c r="M416" s="11" t="str">
        <f>IF($F$1,IF($L416="","",IFERROR(VLOOKUP($L416,day_data!$A:$I,2,FALSE),0)),NA())</f>
        <v/>
      </c>
      <c r="N416" s="58" t="e">
        <f>IF($F$2,IF($L416="","",IFERROR(VLOOKUP($L416,day_data!$A:$I,3,FALSE),0)),NA())</f>
        <v>#N/A</v>
      </c>
      <c r="O416" s="11" t="e">
        <f>IF($F$3,IF($L416="","",IFERROR(VLOOKUP($L416,day_data!$A:$I,4,FALSE),0)),NA())</f>
        <v>#N/A</v>
      </c>
      <c r="P416" s="58" t="e">
        <f>IF($F$4,IF($L416="","",IFERROR(VLOOKUP($L416,day_data!$A:$I,5,FALSE),0)),NA())</f>
        <v>#N/A</v>
      </c>
      <c r="Q416" s="59" t="e">
        <f>IF($F$8,IF($L416="","",IFERROR(VLOOKUP($L416,day_data!$A:$I,6,FALSE),0)),NA())</f>
        <v>#N/A</v>
      </c>
      <c r="R416" s="11" t="e">
        <f>IF($F$6,IF($L416="","",IFERROR(VLOOKUP($L416,day_data!$A:$I,7,FALSE),0)),NA())</f>
        <v>#N/A</v>
      </c>
      <c r="S416" s="58" t="str">
        <f>IF($F$5,IF($L416="","",IFERROR(VLOOKUP($L416,day_data!$A:$I,8,FALSE),0)),NA())</f>
        <v/>
      </c>
      <c r="T416" s="60" t="e">
        <f>IF($F$7,IF($L416="","",IFERROR(VLOOKUP($L416,day_data!$A:$I,9,FALSE),0)),NA())</f>
        <v>#N/A</v>
      </c>
    </row>
    <row r="417" spans="12:20">
      <c r="L417" s="57" t="str">
        <f t="shared" si="6"/>
        <v/>
      </c>
      <c r="M417" s="11" t="str">
        <f>IF($F$1,IF($L417="","",IFERROR(VLOOKUP($L417,day_data!$A:$I,2,FALSE),0)),NA())</f>
        <v/>
      </c>
      <c r="N417" s="58" t="e">
        <f>IF($F$2,IF($L417="","",IFERROR(VLOOKUP($L417,day_data!$A:$I,3,FALSE),0)),NA())</f>
        <v>#N/A</v>
      </c>
      <c r="O417" s="11" t="e">
        <f>IF($F$3,IF($L417="","",IFERROR(VLOOKUP($L417,day_data!$A:$I,4,FALSE),0)),NA())</f>
        <v>#N/A</v>
      </c>
      <c r="P417" s="58" t="e">
        <f>IF($F$4,IF($L417="","",IFERROR(VLOOKUP($L417,day_data!$A:$I,5,FALSE),0)),NA())</f>
        <v>#N/A</v>
      </c>
      <c r="Q417" s="59" t="e">
        <f>IF($F$8,IF($L417="","",IFERROR(VLOOKUP($L417,day_data!$A:$I,6,FALSE),0)),NA())</f>
        <v>#N/A</v>
      </c>
      <c r="R417" s="11" t="e">
        <f>IF($F$6,IF($L417="","",IFERROR(VLOOKUP($L417,day_data!$A:$I,7,FALSE),0)),NA())</f>
        <v>#N/A</v>
      </c>
      <c r="S417" s="58" t="str">
        <f>IF($F$5,IF($L417="","",IFERROR(VLOOKUP($L417,day_data!$A:$I,8,FALSE),0)),NA())</f>
        <v/>
      </c>
      <c r="T417" s="60" t="e">
        <f>IF($F$7,IF($L417="","",IFERROR(VLOOKUP($L417,day_data!$A:$I,9,FALSE),0)),NA())</f>
        <v>#N/A</v>
      </c>
    </row>
    <row r="418" spans="12:20">
      <c r="L418" s="57" t="str">
        <f t="shared" si="6"/>
        <v/>
      </c>
      <c r="M418" s="11" t="str">
        <f>IF($F$1,IF($L418="","",IFERROR(VLOOKUP($L418,day_data!$A:$I,2,FALSE),0)),NA())</f>
        <v/>
      </c>
      <c r="N418" s="58" t="e">
        <f>IF($F$2,IF($L418="","",IFERROR(VLOOKUP($L418,day_data!$A:$I,3,FALSE),0)),NA())</f>
        <v>#N/A</v>
      </c>
      <c r="O418" s="11" t="e">
        <f>IF($F$3,IF($L418="","",IFERROR(VLOOKUP($L418,day_data!$A:$I,4,FALSE),0)),NA())</f>
        <v>#N/A</v>
      </c>
      <c r="P418" s="58" t="e">
        <f>IF($F$4,IF($L418="","",IFERROR(VLOOKUP($L418,day_data!$A:$I,5,FALSE),0)),NA())</f>
        <v>#N/A</v>
      </c>
      <c r="Q418" s="59" t="e">
        <f>IF($F$8,IF($L418="","",IFERROR(VLOOKUP($L418,day_data!$A:$I,6,FALSE),0)),NA())</f>
        <v>#N/A</v>
      </c>
      <c r="R418" s="11" t="e">
        <f>IF($F$6,IF($L418="","",IFERROR(VLOOKUP($L418,day_data!$A:$I,7,FALSE),0)),NA())</f>
        <v>#N/A</v>
      </c>
      <c r="S418" s="58" t="str">
        <f>IF($F$5,IF($L418="","",IFERROR(VLOOKUP($L418,day_data!$A:$I,8,FALSE),0)),NA())</f>
        <v/>
      </c>
      <c r="T418" s="60" t="e">
        <f>IF($F$7,IF($L418="","",IFERROR(VLOOKUP($L418,day_data!$A:$I,9,FALSE),0)),NA())</f>
        <v>#N/A</v>
      </c>
    </row>
    <row r="419" spans="12:20">
      <c r="L419" s="57" t="str">
        <f t="shared" si="6"/>
        <v/>
      </c>
      <c r="M419" s="11" t="str">
        <f>IF($F$1,IF($L419="","",IFERROR(VLOOKUP($L419,day_data!$A:$I,2,FALSE),0)),NA())</f>
        <v/>
      </c>
      <c r="N419" s="58" t="e">
        <f>IF($F$2,IF($L419="","",IFERROR(VLOOKUP($L419,day_data!$A:$I,3,FALSE),0)),NA())</f>
        <v>#N/A</v>
      </c>
      <c r="O419" s="11" t="e">
        <f>IF($F$3,IF($L419="","",IFERROR(VLOOKUP($L419,day_data!$A:$I,4,FALSE),0)),NA())</f>
        <v>#N/A</v>
      </c>
      <c r="P419" s="58" t="e">
        <f>IF($F$4,IF($L419="","",IFERROR(VLOOKUP($L419,day_data!$A:$I,5,FALSE),0)),NA())</f>
        <v>#N/A</v>
      </c>
      <c r="Q419" s="59" t="e">
        <f>IF($F$8,IF($L419="","",IFERROR(VLOOKUP($L419,day_data!$A:$I,6,FALSE),0)),NA())</f>
        <v>#N/A</v>
      </c>
      <c r="R419" s="11" t="e">
        <f>IF($F$6,IF($L419="","",IFERROR(VLOOKUP($L419,day_data!$A:$I,7,FALSE),0)),NA())</f>
        <v>#N/A</v>
      </c>
      <c r="S419" s="58" t="str">
        <f>IF($F$5,IF($L419="","",IFERROR(VLOOKUP($L419,day_data!$A:$I,8,FALSE),0)),NA())</f>
        <v/>
      </c>
      <c r="T419" s="60" t="e">
        <f>IF($F$7,IF($L419="","",IFERROR(VLOOKUP($L419,day_data!$A:$I,9,FALSE),0)),NA())</f>
        <v>#N/A</v>
      </c>
    </row>
    <row r="420" spans="12:20">
      <c r="L420" s="57" t="str">
        <f t="shared" si="6"/>
        <v/>
      </c>
      <c r="M420" s="11" t="str">
        <f>IF($F$1,IF($L420="","",IFERROR(VLOOKUP($L420,day_data!$A:$I,2,FALSE),0)),NA())</f>
        <v/>
      </c>
      <c r="N420" s="58" t="e">
        <f>IF($F$2,IF($L420="","",IFERROR(VLOOKUP($L420,day_data!$A:$I,3,FALSE),0)),NA())</f>
        <v>#N/A</v>
      </c>
      <c r="O420" s="11" t="e">
        <f>IF($F$3,IF($L420="","",IFERROR(VLOOKUP($L420,day_data!$A:$I,4,FALSE),0)),NA())</f>
        <v>#N/A</v>
      </c>
      <c r="P420" s="58" t="e">
        <f>IF($F$4,IF($L420="","",IFERROR(VLOOKUP($L420,day_data!$A:$I,5,FALSE),0)),NA())</f>
        <v>#N/A</v>
      </c>
      <c r="Q420" s="59" t="e">
        <f>IF($F$8,IF($L420="","",IFERROR(VLOOKUP($L420,day_data!$A:$I,6,FALSE),0)),NA())</f>
        <v>#N/A</v>
      </c>
      <c r="R420" s="11" t="e">
        <f>IF($F$6,IF($L420="","",IFERROR(VLOOKUP($L420,day_data!$A:$I,7,FALSE),0)),NA())</f>
        <v>#N/A</v>
      </c>
      <c r="S420" s="58" t="str">
        <f>IF($F$5,IF($L420="","",IFERROR(VLOOKUP($L420,day_data!$A:$I,8,FALSE),0)),NA())</f>
        <v/>
      </c>
      <c r="T420" s="60" t="e">
        <f>IF($F$7,IF($L420="","",IFERROR(VLOOKUP($L420,day_data!$A:$I,9,FALSE),0)),NA())</f>
        <v>#N/A</v>
      </c>
    </row>
    <row r="421" spans="12:20">
      <c r="L421" s="57" t="str">
        <f t="shared" si="6"/>
        <v/>
      </c>
      <c r="M421" s="11" t="str">
        <f>IF($F$1,IF($L421="","",IFERROR(VLOOKUP($L421,day_data!$A:$I,2,FALSE),0)),NA())</f>
        <v/>
      </c>
      <c r="N421" s="58" t="e">
        <f>IF($F$2,IF($L421="","",IFERROR(VLOOKUP($L421,day_data!$A:$I,3,FALSE),0)),NA())</f>
        <v>#N/A</v>
      </c>
      <c r="O421" s="11" t="e">
        <f>IF($F$3,IF($L421="","",IFERROR(VLOOKUP($L421,day_data!$A:$I,4,FALSE),0)),NA())</f>
        <v>#N/A</v>
      </c>
      <c r="P421" s="58" t="e">
        <f>IF($F$4,IF($L421="","",IFERROR(VLOOKUP($L421,day_data!$A:$I,5,FALSE),0)),NA())</f>
        <v>#N/A</v>
      </c>
      <c r="Q421" s="59" t="e">
        <f>IF($F$8,IF($L421="","",IFERROR(VLOOKUP($L421,day_data!$A:$I,6,FALSE),0)),NA())</f>
        <v>#N/A</v>
      </c>
      <c r="R421" s="11" t="e">
        <f>IF($F$6,IF($L421="","",IFERROR(VLOOKUP($L421,day_data!$A:$I,7,FALSE),0)),NA())</f>
        <v>#N/A</v>
      </c>
      <c r="S421" s="58" t="str">
        <f>IF($F$5,IF($L421="","",IFERROR(VLOOKUP($L421,day_data!$A:$I,8,FALSE),0)),NA())</f>
        <v/>
      </c>
      <c r="T421" s="60" t="e">
        <f>IF($F$7,IF($L421="","",IFERROR(VLOOKUP($L421,day_data!$A:$I,9,FALSE),0)),NA())</f>
        <v>#N/A</v>
      </c>
    </row>
    <row r="422" spans="12:20">
      <c r="L422" s="57" t="str">
        <f t="shared" si="6"/>
        <v/>
      </c>
      <c r="M422" s="11" t="str">
        <f>IF($F$1,IF($L422="","",IFERROR(VLOOKUP($L422,day_data!$A:$I,2,FALSE),0)),NA())</f>
        <v/>
      </c>
      <c r="N422" s="58" t="e">
        <f>IF($F$2,IF($L422="","",IFERROR(VLOOKUP($L422,day_data!$A:$I,3,FALSE),0)),NA())</f>
        <v>#N/A</v>
      </c>
      <c r="O422" s="11" t="e">
        <f>IF($F$3,IF($L422="","",IFERROR(VLOOKUP($L422,day_data!$A:$I,4,FALSE),0)),NA())</f>
        <v>#N/A</v>
      </c>
      <c r="P422" s="58" t="e">
        <f>IF($F$4,IF($L422="","",IFERROR(VLOOKUP($L422,day_data!$A:$I,5,FALSE),0)),NA())</f>
        <v>#N/A</v>
      </c>
      <c r="Q422" s="59" t="e">
        <f>IF($F$8,IF($L422="","",IFERROR(VLOOKUP($L422,day_data!$A:$I,6,FALSE),0)),NA())</f>
        <v>#N/A</v>
      </c>
      <c r="R422" s="11" t="e">
        <f>IF($F$6,IF($L422="","",IFERROR(VLOOKUP($L422,day_data!$A:$I,7,FALSE),0)),NA())</f>
        <v>#N/A</v>
      </c>
      <c r="S422" s="58" t="str">
        <f>IF($F$5,IF($L422="","",IFERROR(VLOOKUP($L422,day_data!$A:$I,8,FALSE),0)),NA())</f>
        <v/>
      </c>
      <c r="T422" s="60" t="e">
        <f>IF($F$7,IF($L422="","",IFERROR(VLOOKUP($L422,day_data!$A:$I,9,FALSE),0)),NA())</f>
        <v>#N/A</v>
      </c>
    </row>
    <row r="423" spans="12:20">
      <c r="L423" s="57" t="str">
        <f t="shared" si="6"/>
        <v/>
      </c>
      <c r="M423" s="11" t="str">
        <f>IF($F$1,IF($L423="","",IFERROR(VLOOKUP($L423,day_data!$A:$I,2,FALSE),0)),NA())</f>
        <v/>
      </c>
      <c r="N423" s="58" t="e">
        <f>IF($F$2,IF($L423="","",IFERROR(VLOOKUP($L423,day_data!$A:$I,3,FALSE),0)),NA())</f>
        <v>#N/A</v>
      </c>
      <c r="O423" s="11" t="e">
        <f>IF($F$3,IF($L423="","",IFERROR(VLOOKUP($L423,day_data!$A:$I,4,FALSE),0)),NA())</f>
        <v>#N/A</v>
      </c>
      <c r="P423" s="58" t="e">
        <f>IF($F$4,IF($L423="","",IFERROR(VLOOKUP($L423,day_data!$A:$I,5,FALSE),0)),NA())</f>
        <v>#N/A</v>
      </c>
      <c r="Q423" s="59" t="e">
        <f>IF($F$8,IF($L423="","",IFERROR(VLOOKUP($L423,day_data!$A:$I,6,FALSE),0)),NA())</f>
        <v>#N/A</v>
      </c>
      <c r="R423" s="11" t="e">
        <f>IF($F$6,IF($L423="","",IFERROR(VLOOKUP($L423,day_data!$A:$I,7,FALSE),0)),NA())</f>
        <v>#N/A</v>
      </c>
      <c r="S423" s="58" t="str">
        <f>IF($F$5,IF($L423="","",IFERROR(VLOOKUP($L423,day_data!$A:$I,8,FALSE),0)),NA())</f>
        <v/>
      </c>
      <c r="T423" s="60" t="e">
        <f>IF($F$7,IF($L423="","",IFERROR(VLOOKUP($L423,day_data!$A:$I,9,FALSE),0)),NA())</f>
        <v>#N/A</v>
      </c>
    </row>
    <row r="424" spans="12:20">
      <c r="L424" s="57" t="str">
        <f t="shared" si="6"/>
        <v/>
      </c>
      <c r="M424" s="11" t="str">
        <f>IF($F$1,IF($L424="","",IFERROR(VLOOKUP($L424,day_data!$A:$I,2,FALSE),0)),NA())</f>
        <v/>
      </c>
      <c r="N424" s="58" t="e">
        <f>IF($F$2,IF($L424="","",IFERROR(VLOOKUP($L424,day_data!$A:$I,3,FALSE),0)),NA())</f>
        <v>#N/A</v>
      </c>
      <c r="O424" s="11" t="e">
        <f>IF($F$3,IF($L424="","",IFERROR(VLOOKUP($L424,day_data!$A:$I,4,FALSE),0)),NA())</f>
        <v>#N/A</v>
      </c>
      <c r="P424" s="58" t="e">
        <f>IF($F$4,IF($L424="","",IFERROR(VLOOKUP($L424,day_data!$A:$I,5,FALSE),0)),NA())</f>
        <v>#N/A</v>
      </c>
      <c r="Q424" s="59" t="e">
        <f>IF($F$8,IF($L424="","",IFERROR(VLOOKUP($L424,day_data!$A:$I,6,FALSE),0)),NA())</f>
        <v>#N/A</v>
      </c>
      <c r="R424" s="11" t="e">
        <f>IF($F$6,IF($L424="","",IFERROR(VLOOKUP($L424,day_data!$A:$I,7,FALSE),0)),NA())</f>
        <v>#N/A</v>
      </c>
      <c r="S424" s="58" t="str">
        <f>IF($F$5,IF($L424="","",IFERROR(VLOOKUP($L424,day_data!$A:$I,8,FALSE),0)),NA())</f>
        <v/>
      </c>
      <c r="T424" s="60" t="e">
        <f>IF($F$7,IF($L424="","",IFERROR(VLOOKUP($L424,day_data!$A:$I,9,FALSE),0)),NA())</f>
        <v>#N/A</v>
      </c>
    </row>
    <row r="425" spans="12:20">
      <c r="L425" s="57" t="str">
        <f t="shared" si="6"/>
        <v/>
      </c>
      <c r="M425" s="11" t="str">
        <f>IF($F$1,IF($L425="","",IFERROR(VLOOKUP($L425,day_data!$A:$I,2,FALSE),0)),NA())</f>
        <v/>
      </c>
      <c r="N425" s="58" t="e">
        <f>IF($F$2,IF($L425="","",IFERROR(VLOOKUP($L425,day_data!$A:$I,3,FALSE),0)),NA())</f>
        <v>#N/A</v>
      </c>
      <c r="O425" s="11" t="e">
        <f>IF($F$3,IF($L425="","",IFERROR(VLOOKUP($L425,day_data!$A:$I,4,FALSE),0)),NA())</f>
        <v>#N/A</v>
      </c>
      <c r="P425" s="58" t="e">
        <f>IF($F$4,IF($L425="","",IFERROR(VLOOKUP($L425,day_data!$A:$I,5,FALSE),0)),NA())</f>
        <v>#N/A</v>
      </c>
      <c r="Q425" s="59" t="e">
        <f>IF($F$8,IF($L425="","",IFERROR(VLOOKUP($L425,day_data!$A:$I,6,FALSE),0)),NA())</f>
        <v>#N/A</v>
      </c>
      <c r="R425" s="11" t="e">
        <f>IF($F$6,IF($L425="","",IFERROR(VLOOKUP($L425,day_data!$A:$I,7,FALSE),0)),NA())</f>
        <v>#N/A</v>
      </c>
      <c r="S425" s="58" t="str">
        <f>IF($F$5,IF($L425="","",IFERROR(VLOOKUP($L425,day_data!$A:$I,8,FALSE),0)),NA())</f>
        <v/>
      </c>
      <c r="T425" s="60" t="e">
        <f>IF($F$7,IF($L425="","",IFERROR(VLOOKUP($L425,day_data!$A:$I,9,FALSE),0)),NA())</f>
        <v>#N/A</v>
      </c>
    </row>
    <row r="426" spans="12:20">
      <c r="L426" s="57" t="str">
        <f t="shared" si="6"/>
        <v/>
      </c>
      <c r="M426" s="11" t="str">
        <f>IF($F$1,IF($L426="","",IFERROR(VLOOKUP($L426,day_data!$A:$I,2,FALSE),0)),NA())</f>
        <v/>
      </c>
      <c r="N426" s="58" t="e">
        <f>IF($F$2,IF($L426="","",IFERROR(VLOOKUP($L426,day_data!$A:$I,3,FALSE),0)),NA())</f>
        <v>#N/A</v>
      </c>
      <c r="O426" s="11" t="e">
        <f>IF($F$3,IF($L426="","",IFERROR(VLOOKUP($L426,day_data!$A:$I,4,FALSE),0)),NA())</f>
        <v>#N/A</v>
      </c>
      <c r="P426" s="58" t="e">
        <f>IF($F$4,IF($L426="","",IFERROR(VLOOKUP($L426,day_data!$A:$I,5,FALSE),0)),NA())</f>
        <v>#N/A</v>
      </c>
      <c r="Q426" s="59" t="e">
        <f>IF($F$8,IF($L426="","",IFERROR(VLOOKUP($L426,day_data!$A:$I,6,FALSE),0)),NA())</f>
        <v>#N/A</v>
      </c>
      <c r="R426" s="11" t="e">
        <f>IF($F$6,IF($L426="","",IFERROR(VLOOKUP($L426,day_data!$A:$I,7,FALSE),0)),NA())</f>
        <v>#N/A</v>
      </c>
      <c r="S426" s="58" t="str">
        <f>IF($F$5,IF($L426="","",IFERROR(VLOOKUP($L426,day_data!$A:$I,8,FALSE),0)),NA())</f>
        <v/>
      </c>
      <c r="T426" s="60" t="e">
        <f>IF($F$7,IF($L426="","",IFERROR(VLOOKUP($L426,day_data!$A:$I,9,FALSE),0)),NA())</f>
        <v>#N/A</v>
      </c>
    </row>
    <row r="427" spans="12:20">
      <c r="L427" s="57" t="str">
        <f t="shared" si="6"/>
        <v/>
      </c>
      <c r="M427" s="11" t="str">
        <f>IF($F$1,IF($L427="","",IFERROR(VLOOKUP($L427,day_data!$A:$I,2,FALSE),0)),NA())</f>
        <v/>
      </c>
      <c r="N427" s="58" t="e">
        <f>IF($F$2,IF($L427="","",IFERROR(VLOOKUP($L427,day_data!$A:$I,3,FALSE),0)),NA())</f>
        <v>#N/A</v>
      </c>
      <c r="O427" s="11" t="e">
        <f>IF($F$3,IF($L427="","",IFERROR(VLOOKUP($L427,day_data!$A:$I,4,FALSE),0)),NA())</f>
        <v>#N/A</v>
      </c>
      <c r="P427" s="58" t="e">
        <f>IF($F$4,IF($L427="","",IFERROR(VLOOKUP($L427,day_data!$A:$I,5,FALSE),0)),NA())</f>
        <v>#N/A</v>
      </c>
      <c r="Q427" s="59" t="e">
        <f>IF($F$8,IF($L427="","",IFERROR(VLOOKUP($L427,day_data!$A:$I,6,FALSE),0)),NA())</f>
        <v>#N/A</v>
      </c>
      <c r="R427" s="11" t="e">
        <f>IF($F$6,IF($L427="","",IFERROR(VLOOKUP($L427,day_data!$A:$I,7,FALSE),0)),NA())</f>
        <v>#N/A</v>
      </c>
      <c r="S427" s="58" t="str">
        <f>IF($F$5,IF($L427="","",IFERROR(VLOOKUP($L427,day_data!$A:$I,8,FALSE),0)),NA())</f>
        <v/>
      </c>
      <c r="T427" s="60" t="e">
        <f>IF($F$7,IF($L427="","",IFERROR(VLOOKUP($L427,day_data!$A:$I,9,FALSE),0)),NA())</f>
        <v>#N/A</v>
      </c>
    </row>
    <row r="428" spans="12:20">
      <c r="L428" s="57" t="str">
        <f t="shared" si="6"/>
        <v/>
      </c>
      <c r="M428" s="11" t="str">
        <f>IF($F$1,IF($L428="","",IFERROR(VLOOKUP($L428,day_data!$A:$I,2,FALSE),0)),NA())</f>
        <v/>
      </c>
      <c r="N428" s="58" t="e">
        <f>IF($F$2,IF($L428="","",IFERROR(VLOOKUP($L428,day_data!$A:$I,3,FALSE),0)),NA())</f>
        <v>#N/A</v>
      </c>
      <c r="O428" s="11" t="e">
        <f>IF($F$3,IF($L428="","",IFERROR(VLOOKUP($L428,day_data!$A:$I,4,FALSE),0)),NA())</f>
        <v>#N/A</v>
      </c>
      <c r="P428" s="58" t="e">
        <f>IF($F$4,IF($L428="","",IFERROR(VLOOKUP($L428,day_data!$A:$I,5,FALSE),0)),NA())</f>
        <v>#N/A</v>
      </c>
      <c r="Q428" s="59" t="e">
        <f>IF($F$8,IF($L428="","",IFERROR(VLOOKUP($L428,day_data!$A:$I,6,FALSE),0)),NA())</f>
        <v>#N/A</v>
      </c>
      <c r="R428" s="11" t="e">
        <f>IF($F$6,IF($L428="","",IFERROR(VLOOKUP($L428,day_data!$A:$I,7,FALSE),0)),NA())</f>
        <v>#N/A</v>
      </c>
      <c r="S428" s="58" t="str">
        <f>IF($F$5,IF($L428="","",IFERROR(VLOOKUP($L428,day_data!$A:$I,8,FALSE),0)),NA())</f>
        <v/>
      </c>
      <c r="T428" s="60" t="e">
        <f>IF($F$7,IF($L428="","",IFERROR(VLOOKUP($L428,day_data!$A:$I,9,FALSE),0)),NA())</f>
        <v>#N/A</v>
      </c>
    </row>
    <row r="429" spans="12:20">
      <c r="L429" s="57" t="str">
        <f t="shared" si="6"/>
        <v/>
      </c>
      <c r="M429" s="11" t="str">
        <f>IF($F$1,IF($L429="","",IFERROR(VLOOKUP($L429,day_data!$A:$I,2,FALSE),0)),NA())</f>
        <v/>
      </c>
      <c r="N429" s="58" t="e">
        <f>IF($F$2,IF($L429="","",IFERROR(VLOOKUP($L429,day_data!$A:$I,3,FALSE),0)),NA())</f>
        <v>#N/A</v>
      </c>
      <c r="O429" s="11" t="e">
        <f>IF($F$3,IF($L429="","",IFERROR(VLOOKUP($L429,day_data!$A:$I,4,FALSE),0)),NA())</f>
        <v>#N/A</v>
      </c>
      <c r="P429" s="58" t="e">
        <f>IF($F$4,IF($L429="","",IFERROR(VLOOKUP($L429,day_data!$A:$I,5,FALSE),0)),NA())</f>
        <v>#N/A</v>
      </c>
      <c r="Q429" s="59" t="e">
        <f>IF($F$8,IF($L429="","",IFERROR(VLOOKUP($L429,day_data!$A:$I,6,FALSE),0)),NA())</f>
        <v>#N/A</v>
      </c>
      <c r="R429" s="11" t="e">
        <f>IF($F$6,IF($L429="","",IFERROR(VLOOKUP($L429,day_data!$A:$I,7,FALSE),0)),NA())</f>
        <v>#N/A</v>
      </c>
      <c r="S429" s="58" t="str">
        <f>IF($F$5,IF($L429="","",IFERROR(VLOOKUP($L429,day_data!$A:$I,8,FALSE),0)),NA())</f>
        <v/>
      </c>
      <c r="T429" s="60" t="e">
        <f>IF($F$7,IF($L429="","",IFERROR(VLOOKUP($L429,day_data!$A:$I,9,FALSE),0)),NA())</f>
        <v>#N/A</v>
      </c>
    </row>
    <row r="430" spans="12:20">
      <c r="L430" s="57" t="str">
        <f t="shared" si="6"/>
        <v/>
      </c>
      <c r="M430" s="11" t="str">
        <f>IF($F$1,IF($L430="","",IFERROR(VLOOKUP($L430,day_data!$A:$I,2,FALSE),0)),NA())</f>
        <v/>
      </c>
      <c r="N430" s="58" t="e">
        <f>IF($F$2,IF($L430="","",IFERROR(VLOOKUP($L430,day_data!$A:$I,3,FALSE),0)),NA())</f>
        <v>#N/A</v>
      </c>
      <c r="O430" s="11" t="e">
        <f>IF($F$3,IF($L430="","",IFERROR(VLOOKUP($L430,day_data!$A:$I,4,FALSE),0)),NA())</f>
        <v>#N/A</v>
      </c>
      <c r="P430" s="58" t="e">
        <f>IF($F$4,IF($L430="","",IFERROR(VLOOKUP($L430,day_data!$A:$I,5,FALSE),0)),NA())</f>
        <v>#N/A</v>
      </c>
      <c r="Q430" s="59" t="e">
        <f>IF($F$8,IF($L430="","",IFERROR(VLOOKUP($L430,day_data!$A:$I,6,FALSE),0)),NA())</f>
        <v>#N/A</v>
      </c>
      <c r="R430" s="11" t="e">
        <f>IF($F$6,IF($L430="","",IFERROR(VLOOKUP($L430,day_data!$A:$I,7,FALSE),0)),NA())</f>
        <v>#N/A</v>
      </c>
      <c r="S430" s="58" t="str">
        <f>IF($F$5,IF($L430="","",IFERROR(VLOOKUP($L430,day_data!$A:$I,8,FALSE),0)),NA())</f>
        <v/>
      </c>
      <c r="T430" s="60" t="e">
        <f>IF($F$7,IF($L430="","",IFERROR(VLOOKUP($L430,day_data!$A:$I,9,FALSE),0)),NA())</f>
        <v>#N/A</v>
      </c>
    </row>
    <row r="431" spans="12:20">
      <c r="L431" s="57" t="str">
        <f t="shared" si="6"/>
        <v/>
      </c>
      <c r="M431" s="11" t="str">
        <f>IF($F$1,IF($L431="","",IFERROR(VLOOKUP($L431,day_data!$A:$I,2,FALSE),0)),NA())</f>
        <v/>
      </c>
      <c r="N431" s="58" t="e">
        <f>IF($F$2,IF($L431="","",IFERROR(VLOOKUP($L431,day_data!$A:$I,3,FALSE),0)),NA())</f>
        <v>#N/A</v>
      </c>
      <c r="O431" s="11" t="e">
        <f>IF($F$3,IF($L431="","",IFERROR(VLOOKUP($L431,day_data!$A:$I,4,FALSE),0)),NA())</f>
        <v>#N/A</v>
      </c>
      <c r="P431" s="58" t="e">
        <f>IF($F$4,IF($L431="","",IFERROR(VLOOKUP($L431,day_data!$A:$I,5,FALSE),0)),NA())</f>
        <v>#N/A</v>
      </c>
      <c r="Q431" s="59" t="e">
        <f>IF($F$8,IF($L431="","",IFERROR(VLOOKUP($L431,day_data!$A:$I,6,FALSE),0)),NA())</f>
        <v>#N/A</v>
      </c>
      <c r="R431" s="11" t="e">
        <f>IF($F$6,IF($L431="","",IFERROR(VLOOKUP($L431,day_data!$A:$I,7,FALSE),0)),NA())</f>
        <v>#N/A</v>
      </c>
      <c r="S431" s="58" t="str">
        <f>IF($F$5,IF($L431="","",IFERROR(VLOOKUP($L431,day_data!$A:$I,8,FALSE),0)),NA())</f>
        <v/>
      </c>
      <c r="T431" s="60" t="e">
        <f>IF($F$7,IF($L431="","",IFERROR(VLOOKUP($L431,day_data!$A:$I,9,FALSE),0)),NA())</f>
        <v>#N/A</v>
      </c>
    </row>
    <row r="432" spans="12:20">
      <c r="L432" s="57" t="str">
        <f t="shared" si="6"/>
        <v/>
      </c>
      <c r="M432" s="11" t="str">
        <f>IF($F$1,IF($L432="","",IFERROR(VLOOKUP($L432,day_data!$A:$I,2,FALSE),0)),NA())</f>
        <v/>
      </c>
      <c r="N432" s="58" t="e">
        <f>IF($F$2,IF($L432="","",IFERROR(VLOOKUP($L432,day_data!$A:$I,3,FALSE),0)),NA())</f>
        <v>#N/A</v>
      </c>
      <c r="O432" s="11" t="e">
        <f>IF($F$3,IF($L432="","",IFERROR(VLOOKUP($L432,day_data!$A:$I,4,FALSE),0)),NA())</f>
        <v>#N/A</v>
      </c>
      <c r="P432" s="58" t="e">
        <f>IF($F$4,IF($L432="","",IFERROR(VLOOKUP($L432,day_data!$A:$I,5,FALSE),0)),NA())</f>
        <v>#N/A</v>
      </c>
      <c r="Q432" s="59" t="e">
        <f>IF($F$8,IF($L432="","",IFERROR(VLOOKUP($L432,day_data!$A:$I,6,FALSE),0)),NA())</f>
        <v>#N/A</v>
      </c>
      <c r="R432" s="11" t="e">
        <f>IF($F$6,IF($L432="","",IFERROR(VLOOKUP($L432,day_data!$A:$I,7,FALSE),0)),NA())</f>
        <v>#N/A</v>
      </c>
      <c r="S432" s="58" t="str">
        <f>IF($F$5,IF($L432="","",IFERROR(VLOOKUP($L432,day_data!$A:$I,8,FALSE),0)),NA())</f>
        <v/>
      </c>
      <c r="T432" s="60" t="e">
        <f>IF($F$7,IF($L432="","",IFERROR(VLOOKUP($L432,day_data!$A:$I,9,FALSE),0)),NA())</f>
        <v>#N/A</v>
      </c>
    </row>
    <row r="433" spans="12:20">
      <c r="L433" s="57" t="str">
        <f t="shared" si="6"/>
        <v/>
      </c>
      <c r="M433" s="11" t="str">
        <f>IF($F$1,IF($L433="","",IFERROR(VLOOKUP($L433,day_data!$A:$I,2,FALSE),0)),NA())</f>
        <v/>
      </c>
      <c r="N433" s="58" t="e">
        <f>IF($F$2,IF($L433="","",IFERROR(VLOOKUP($L433,day_data!$A:$I,3,FALSE),0)),NA())</f>
        <v>#N/A</v>
      </c>
      <c r="O433" s="11" t="e">
        <f>IF($F$3,IF($L433="","",IFERROR(VLOOKUP($L433,day_data!$A:$I,4,FALSE),0)),NA())</f>
        <v>#N/A</v>
      </c>
      <c r="P433" s="58" t="e">
        <f>IF($F$4,IF($L433="","",IFERROR(VLOOKUP($L433,day_data!$A:$I,5,FALSE),0)),NA())</f>
        <v>#N/A</v>
      </c>
      <c r="Q433" s="59" t="e">
        <f>IF($F$8,IF($L433="","",IFERROR(VLOOKUP($L433,day_data!$A:$I,6,FALSE),0)),NA())</f>
        <v>#N/A</v>
      </c>
      <c r="R433" s="11" t="e">
        <f>IF($F$6,IF($L433="","",IFERROR(VLOOKUP($L433,day_data!$A:$I,7,FALSE),0)),NA())</f>
        <v>#N/A</v>
      </c>
      <c r="S433" s="58" t="str">
        <f>IF($F$5,IF($L433="","",IFERROR(VLOOKUP($L433,day_data!$A:$I,8,FALSE),0)),NA())</f>
        <v/>
      </c>
      <c r="T433" s="60" t="e">
        <f>IF($F$7,IF($L433="","",IFERROR(VLOOKUP($L433,day_data!$A:$I,9,FALSE),0)),NA())</f>
        <v>#N/A</v>
      </c>
    </row>
    <row r="434" spans="12:20">
      <c r="L434" s="57" t="str">
        <f t="shared" si="6"/>
        <v/>
      </c>
      <c r="M434" s="11" t="str">
        <f>IF($F$1,IF($L434="","",IFERROR(VLOOKUP($L434,day_data!$A:$I,2,FALSE),0)),NA())</f>
        <v/>
      </c>
      <c r="N434" s="58" t="e">
        <f>IF($F$2,IF($L434="","",IFERROR(VLOOKUP($L434,day_data!$A:$I,3,FALSE),0)),NA())</f>
        <v>#N/A</v>
      </c>
      <c r="O434" s="11" t="e">
        <f>IF($F$3,IF($L434="","",IFERROR(VLOOKUP($L434,day_data!$A:$I,4,FALSE),0)),NA())</f>
        <v>#N/A</v>
      </c>
      <c r="P434" s="58" t="e">
        <f>IF($F$4,IF($L434="","",IFERROR(VLOOKUP($L434,day_data!$A:$I,5,FALSE),0)),NA())</f>
        <v>#N/A</v>
      </c>
      <c r="Q434" s="59" t="e">
        <f>IF($F$8,IF($L434="","",IFERROR(VLOOKUP($L434,day_data!$A:$I,6,FALSE),0)),NA())</f>
        <v>#N/A</v>
      </c>
      <c r="R434" s="11" t="e">
        <f>IF($F$6,IF($L434="","",IFERROR(VLOOKUP($L434,day_data!$A:$I,7,FALSE),0)),NA())</f>
        <v>#N/A</v>
      </c>
      <c r="S434" s="58" t="str">
        <f>IF($F$5,IF($L434="","",IFERROR(VLOOKUP($L434,day_data!$A:$I,8,FALSE),0)),NA())</f>
        <v/>
      </c>
      <c r="T434" s="60" t="e">
        <f>IF($F$7,IF($L434="","",IFERROR(VLOOKUP($L434,day_data!$A:$I,9,FALSE),0)),NA())</f>
        <v>#N/A</v>
      </c>
    </row>
    <row r="435" spans="12:20">
      <c r="L435" s="57" t="str">
        <f t="shared" si="6"/>
        <v/>
      </c>
      <c r="M435" s="11" t="str">
        <f>IF($F$1,IF($L435="","",IFERROR(VLOOKUP($L435,day_data!$A:$I,2,FALSE),0)),NA())</f>
        <v/>
      </c>
      <c r="N435" s="58" t="e">
        <f>IF($F$2,IF($L435="","",IFERROR(VLOOKUP($L435,day_data!$A:$I,3,FALSE),0)),NA())</f>
        <v>#N/A</v>
      </c>
      <c r="O435" s="11" t="e">
        <f>IF($F$3,IF($L435="","",IFERROR(VLOOKUP($L435,day_data!$A:$I,4,FALSE),0)),NA())</f>
        <v>#N/A</v>
      </c>
      <c r="P435" s="58" t="e">
        <f>IF($F$4,IF($L435="","",IFERROR(VLOOKUP($L435,day_data!$A:$I,5,FALSE),0)),NA())</f>
        <v>#N/A</v>
      </c>
      <c r="Q435" s="59" t="e">
        <f>IF($F$8,IF($L435="","",IFERROR(VLOOKUP($L435,day_data!$A:$I,6,FALSE),0)),NA())</f>
        <v>#N/A</v>
      </c>
      <c r="R435" s="11" t="e">
        <f>IF($F$6,IF($L435="","",IFERROR(VLOOKUP($L435,day_data!$A:$I,7,FALSE),0)),NA())</f>
        <v>#N/A</v>
      </c>
      <c r="S435" s="58" t="str">
        <f>IF($F$5,IF($L435="","",IFERROR(VLOOKUP($L435,day_data!$A:$I,8,FALSE),0)),NA())</f>
        <v/>
      </c>
      <c r="T435" s="60" t="e">
        <f>IF($F$7,IF($L435="","",IFERROR(VLOOKUP($L435,day_data!$A:$I,9,FALSE),0)),NA())</f>
        <v>#N/A</v>
      </c>
    </row>
    <row r="436" spans="12:20">
      <c r="L436" s="57" t="str">
        <f t="shared" si="6"/>
        <v/>
      </c>
      <c r="M436" s="11" t="str">
        <f>IF($F$1,IF($L436="","",IFERROR(VLOOKUP($L436,day_data!$A:$I,2,FALSE),0)),NA())</f>
        <v/>
      </c>
      <c r="N436" s="58" t="e">
        <f>IF($F$2,IF($L436="","",IFERROR(VLOOKUP($L436,day_data!$A:$I,3,FALSE),0)),NA())</f>
        <v>#N/A</v>
      </c>
      <c r="O436" s="11" t="e">
        <f>IF($F$3,IF($L436="","",IFERROR(VLOOKUP($L436,day_data!$A:$I,4,FALSE),0)),NA())</f>
        <v>#N/A</v>
      </c>
      <c r="P436" s="58" t="e">
        <f>IF($F$4,IF($L436="","",IFERROR(VLOOKUP($L436,day_data!$A:$I,5,FALSE),0)),NA())</f>
        <v>#N/A</v>
      </c>
      <c r="Q436" s="59" t="e">
        <f>IF($F$8,IF($L436="","",IFERROR(VLOOKUP($L436,day_data!$A:$I,6,FALSE),0)),NA())</f>
        <v>#N/A</v>
      </c>
      <c r="R436" s="11" t="e">
        <f>IF($F$6,IF($L436="","",IFERROR(VLOOKUP($L436,day_data!$A:$I,7,FALSE),0)),NA())</f>
        <v>#N/A</v>
      </c>
      <c r="S436" s="58" t="str">
        <f>IF($F$5,IF($L436="","",IFERROR(VLOOKUP($L436,day_data!$A:$I,8,FALSE),0)),NA())</f>
        <v/>
      </c>
      <c r="T436" s="60" t="e">
        <f>IF($F$7,IF($L436="","",IFERROR(VLOOKUP($L436,day_data!$A:$I,9,FALSE),0)),NA())</f>
        <v>#N/A</v>
      </c>
    </row>
    <row r="437" spans="12:20">
      <c r="L437" s="57" t="str">
        <f t="shared" si="6"/>
        <v/>
      </c>
      <c r="M437" s="11" t="str">
        <f>IF($F$1,IF($L437="","",IFERROR(VLOOKUP($L437,day_data!$A:$I,2,FALSE),0)),NA())</f>
        <v/>
      </c>
      <c r="N437" s="58" t="e">
        <f>IF($F$2,IF($L437="","",IFERROR(VLOOKUP($L437,day_data!$A:$I,3,FALSE),0)),NA())</f>
        <v>#N/A</v>
      </c>
      <c r="O437" s="11" t="e">
        <f>IF($F$3,IF($L437="","",IFERROR(VLOOKUP($L437,day_data!$A:$I,4,FALSE),0)),NA())</f>
        <v>#N/A</v>
      </c>
      <c r="P437" s="58" t="e">
        <f>IF($F$4,IF($L437="","",IFERROR(VLOOKUP($L437,day_data!$A:$I,5,FALSE),0)),NA())</f>
        <v>#N/A</v>
      </c>
      <c r="Q437" s="59" t="e">
        <f>IF($F$8,IF($L437="","",IFERROR(VLOOKUP($L437,day_data!$A:$I,6,FALSE),0)),NA())</f>
        <v>#N/A</v>
      </c>
      <c r="R437" s="11" t="e">
        <f>IF($F$6,IF($L437="","",IFERROR(VLOOKUP($L437,day_data!$A:$I,7,FALSE),0)),NA())</f>
        <v>#N/A</v>
      </c>
      <c r="S437" s="58" t="str">
        <f>IF($F$5,IF($L437="","",IFERROR(VLOOKUP($L437,day_data!$A:$I,8,FALSE),0)),NA())</f>
        <v/>
      </c>
      <c r="T437" s="60" t="e">
        <f>IF($F$7,IF($L437="","",IFERROR(VLOOKUP($L437,day_data!$A:$I,9,FALSE),0)),NA())</f>
        <v>#N/A</v>
      </c>
    </row>
    <row r="438" spans="12:20">
      <c r="L438" s="57" t="str">
        <f t="shared" si="6"/>
        <v/>
      </c>
      <c r="M438" s="11" t="str">
        <f>IF($F$1,IF($L438="","",IFERROR(VLOOKUP($L438,day_data!$A:$I,2,FALSE),0)),NA())</f>
        <v/>
      </c>
      <c r="N438" s="58" t="e">
        <f>IF($F$2,IF($L438="","",IFERROR(VLOOKUP($L438,day_data!$A:$I,3,FALSE),0)),NA())</f>
        <v>#N/A</v>
      </c>
      <c r="O438" s="11" t="e">
        <f>IF($F$3,IF($L438="","",IFERROR(VLOOKUP($L438,day_data!$A:$I,4,FALSE),0)),NA())</f>
        <v>#N/A</v>
      </c>
      <c r="P438" s="58" t="e">
        <f>IF($F$4,IF($L438="","",IFERROR(VLOOKUP($L438,day_data!$A:$I,5,FALSE),0)),NA())</f>
        <v>#N/A</v>
      </c>
      <c r="Q438" s="59" t="e">
        <f>IF($F$8,IF($L438="","",IFERROR(VLOOKUP($L438,day_data!$A:$I,6,FALSE),0)),NA())</f>
        <v>#N/A</v>
      </c>
      <c r="R438" s="11" t="e">
        <f>IF($F$6,IF($L438="","",IFERROR(VLOOKUP($L438,day_data!$A:$I,7,FALSE),0)),NA())</f>
        <v>#N/A</v>
      </c>
      <c r="S438" s="58" t="str">
        <f>IF($F$5,IF($L438="","",IFERROR(VLOOKUP($L438,day_data!$A:$I,8,FALSE),0)),NA())</f>
        <v/>
      </c>
      <c r="T438" s="60" t="e">
        <f>IF($F$7,IF($L438="","",IFERROR(VLOOKUP($L438,day_data!$A:$I,9,FALSE),0)),NA())</f>
        <v>#N/A</v>
      </c>
    </row>
    <row r="439" spans="12:20">
      <c r="L439" s="57" t="str">
        <f t="shared" si="6"/>
        <v/>
      </c>
      <c r="M439" s="11" t="str">
        <f>IF($F$1,IF($L439="","",IFERROR(VLOOKUP($L439,day_data!$A:$I,2,FALSE),0)),NA())</f>
        <v/>
      </c>
      <c r="N439" s="58" t="e">
        <f>IF($F$2,IF($L439="","",IFERROR(VLOOKUP($L439,day_data!$A:$I,3,FALSE),0)),NA())</f>
        <v>#N/A</v>
      </c>
      <c r="O439" s="11" t="e">
        <f>IF($F$3,IF($L439="","",IFERROR(VLOOKUP($L439,day_data!$A:$I,4,FALSE),0)),NA())</f>
        <v>#N/A</v>
      </c>
      <c r="P439" s="58" t="e">
        <f>IF($F$4,IF($L439="","",IFERROR(VLOOKUP($L439,day_data!$A:$I,5,FALSE),0)),NA())</f>
        <v>#N/A</v>
      </c>
      <c r="Q439" s="59" t="e">
        <f>IF($F$8,IF($L439="","",IFERROR(VLOOKUP($L439,day_data!$A:$I,6,FALSE),0)),NA())</f>
        <v>#N/A</v>
      </c>
      <c r="R439" s="11" t="e">
        <f>IF($F$6,IF($L439="","",IFERROR(VLOOKUP($L439,day_data!$A:$I,7,FALSE),0)),NA())</f>
        <v>#N/A</v>
      </c>
      <c r="S439" s="58" t="str">
        <f>IF($F$5,IF($L439="","",IFERROR(VLOOKUP($L439,day_data!$A:$I,8,FALSE),0)),NA())</f>
        <v/>
      </c>
      <c r="T439" s="60" t="e">
        <f>IF($F$7,IF($L439="","",IFERROR(VLOOKUP($L439,day_data!$A:$I,9,FALSE),0)),NA())</f>
        <v>#N/A</v>
      </c>
    </row>
    <row r="440" spans="12:20">
      <c r="L440" s="57" t="str">
        <f t="shared" si="6"/>
        <v/>
      </c>
      <c r="M440" s="11" t="str">
        <f>IF($F$1,IF($L440="","",IFERROR(VLOOKUP($L440,day_data!$A:$I,2,FALSE),0)),NA())</f>
        <v/>
      </c>
      <c r="N440" s="58" t="e">
        <f>IF($F$2,IF($L440="","",IFERROR(VLOOKUP($L440,day_data!$A:$I,3,FALSE),0)),NA())</f>
        <v>#N/A</v>
      </c>
      <c r="O440" s="11" t="e">
        <f>IF($F$3,IF($L440="","",IFERROR(VLOOKUP($L440,day_data!$A:$I,4,FALSE),0)),NA())</f>
        <v>#N/A</v>
      </c>
      <c r="P440" s="58" t="e">
        <f>IF($F$4,IF($L440="","",IFERROR(VLOOKUP($L440,day_data!$A:$I,5,FALSE),0)),NA())</f>
        <v>#N/A</v>
      </c>
      <c r="Q440" s="59" t="e">
        <f>IF($F$8,IF($L440="","",IFERROR(VLOOKUP($L440,day_data!$A:$I,6,FALSE),0)),NA())</f>
        <v>#N/A</v>
      </c>
      <c r="R440" s="11" t="e">
        <f>IF($F$6,IF($L440="","",IFERROR(VLOOKUP($L440,day_data!$A:$I,7,FALSE),0)),NA())</f>
        <v>#N/A</v>
      </c>
      <c r="S440" s="58" t="str">
        <f>IF($F$5,IF($L440="","",IFERROR(VLOOKUP($L440,day_data!$A:$I,8,FALSE),0)),NA())</f>
        <v/>
      </c>
      <c r="T440" s="60" t="e">
        <f>IF($F$7,IF($L440="","",IFERROR(VLOOKUP($L440,day_data!$A:$I,9,FALSE),0)),NA())</f>
        <v>#N/A</v>
      </c>
    </row>
    <row r="441" spans="12:20">
      <c r="L441" s="57" t="str">
        <f t="shared" si="6"/>
        <v/>
      </c>
      <c r="M441" s="11" t="str">
        <f>IF($F$1,IF($L441="","",IFERROR(VLOOKUP($L441,day_data!$A:$I,2,FALSE),0)),NA())</f>
        <v/>
      </c>
      <c r="N441" s="58" t="e">
        <f>IF($F$2,IF($L441="","",IFERROR(VLOOKUP($L441,day_data!$A:$I,3,FALSE),0)),NA())</f>
        <v>#N/A</v>
      </c>
      <c r="O441" s="11" t="e">
        <f>IF($F$3,IF($L441="","",IFERROR(VLOOKUP($L441,day_data!$A:$I,4,FALSE),0)),NA())</f>
        <v>#N/A</v>
      </c>
      <c r="P441" s="58" t="e">
        <f>IF($F$4,IF($L441="","",IFERROR(VLOOKUP($L441,day_data!$A:$I,5,FALSE),0)),NA())</f>
        <v>#N/A</v>
      </c>
      <c r="Q441" s="59" t="e">
        <f>IF($F$8,IF($L441="","",IFERROR(VLOOKUP($L441,day_data!$A:$I,6,FALSE),0)),NA())</f>
        <v>#N/A</v>
      </c>
      <c r="R441" s="11" t="e">
        <f>IF($F$6,IF($L441="","",IFERROR(VLOOKUP($L441,day_data!$A:$I,7,FALSE),0)),NA())</f>
        <v>#N/A</v>
      </c>
      <c r="S441" s="58" t="str">
        <f>IF($F$5,IF($L441="","",IFERROR(VLOOKUP($L441,day_data!$A:$I,8,FALSE),0)),NA())</f>
        <v/>
      </c>
      <c r="T441" s="60" t="e">
        <f>IF($F$7,IF($L441="","",IFERROR(VLOOKUP($L441,day_data!$A:$I,9,FALSE),0)),NA())</f>
        <v>#N/A</v>
      </c>
    </row>
    <row r="442" spans="12:20">
      <c r="L442" s="57" t="str">
        <f t="shared" si="6"/>
        <v/>
      </c>
      <c r="M442" s="11" t="str">
        <f>IF($F$1,IF($L442="","",IFERROR(VLOOKUP($L442,day_data!$A:$I,2,FALSE),0)),NA())</f>
        <v/>
      </c>
      <c r="N442" s="58" t="e">
        <f>IF($F$2,IF($L442="","",IFERROR(VLOOKUP($L442,day_data!$A:$I,3,FALSE),0)),NA())</f>
        <v>#N/A</v>
      </c>
      <c r="O442" s="11" t="e">
        <f>IF($F$3,IF($L442="","",IFERROR(VLOOKUP($L442,day_data!$A:$I,4,FALSE),0)),NA())</f>
        <v>#N/A</v>
      </c>
      <c r="P442" s="58" t="e">
        <f>IF($F$4,IF($L442="","",IFERROR(VLOOKUP($L442,day_data!$A:$I,5,FALSE),0)),NA())</f>
        <v>#N/A</v>
      </c>
      <c r="Q442" s="59" t="e">
        <f>IF($F$8,IF($L442="","",IFERROR(VLOOKUP($L442,day_data!$A:$I,6,FALSE),0)),NA())</f>
        <v>#N/A</v>
      </c>
      <c r="R442" s="11" t="e">
        <f>IF($F$6,IF($L442="","",IFERROR(VLOOKUP($L442,day_data!$A:$I,7,FALSE),0)),NA())</f>
        <v>#N/A</v>
      </c>
      <c r="S442" s="58" t="str">
        <f>IF($F$5,IF($L442="","",IFERROR(VLOOKUP($L442,day_data!$A:$I,8,FALSE),0)),NA())</f>
        <v/>
      </c>
      <c r="T442" s="60" t="e">
        <f>IF($F$7,IF($L442="","",IFERROR(VLOOKUP($L442,day_data!$A:$I,9,FALSE),0)),NA())</f>
        <v>#N/A</v>
      </c>
    </row>
    <row r="443" spans="12:20">
      <c r="L443" s="57" t="str">
        <f t="shared" si="6"/>
        <v/>
      </c>
      <c r="M443" s="11" t="str">
        <f>IF($F$1,IF($L443="","",IFERROR(VLOOKUP($L443,day_data!$A:$I,2,FALSE),0)),NA())</f>
        <v/>
      </c>
      <c r="N443" s="58" t="e">
        <f>IF($F$2,IF($L443="","",IFERROR(VLOOKUP($L443,day_data!$A:$I,3,FALSE),0)),NA())</f>
        <v>#N/A</v>
      </c>
      <c r="O443" s="11" t="e">
        <f>IF($F$3,IF($L443="","",IFERROR(VLOOKUP($L443,day_data!$A:$I,4,FALSE),0)),NA())</f>
        <v>#N/A</v>
      </c>
      <c r="P443" s="58" t="e">
        <f>IF($F$4,IF($L443="","",IFERROR(VLOOKUP($L443,day_data!$A:$I,5,FALSE),0)),NA())</f>
        <v>#N/A</v>
      </c>
      <c r="Q443" s="59" t="e">
        <f>IF($F$8,IF($L443="","",IFERROR(VLOOKUP($L443,day_data!$A:$I,6,FALSE),0)),NA())</f>
        <v>#N/A</v>
      </c>
      <c r="R443" s="11" t="e">
        <f>IF($F$6,IF($L443="","",IFERROR(VLOOKUP($L443,day_data!$A:$I,7,FALSE),0)),NA())</f>
        <v>#N/A</v>
      </c>
      <c r="S443" s="58" t="str">
        <f>IF($F$5,IF($L443="","",IFERROR(VLOOKUP($L443,day_data!$A:$I,8,FALSE),0)),NA())</f>
        <v/>
      </c>
      <c r="T443" s="60" t="e">
        <f>IF($F$7,IF($L443="","",IFERROR(VLOOKUP($L443,day_data!$A:$I,9,FALSE),0)),NA())</f>
        <v>#N/A</v>
      </c>
    </row>
    <row r="444" spans="12:20">
      <c r="L444" s="57" t="str">
        <f t="shared" si="6"/>
        <v/>
      </c>
      <c r="M444" s="11" t="str">
        <f>IF($F$1,IF($L444="","",IFERROR(VLOOKUP($L444,day_data!$A:$I,2,FALSE),0)),NA())</f>
        <v/>
      </c>
      <c r="N444" s="58" t="e">
        <f>IF($F$2,IF($L444="","",IFERROR(VLOOKUP($L444,day_data!$A:$I,3,FALSE),0)),NA())</f>
        <v>#N/A</v>
      </c>
      <c r="O444" s="11" t="e">
        <f>IF($F$3,IF($L444="","",IFERROR(VLOOKUP($L444,day_data!$A:$I,4,FALSE),0)),NA())</f>
        <v>#N/A</v>
      </c>
      <c r="P444" s="58" t="e">
        <f>IF($F$4,IF($L444="","",IFERROR(VLOOKUP($L444,day_data!$A:$I,5,FALSE),0)),NA())</f>
        <v>#N/A</v>
      </c>
      <c r="Q444" s="59" t="e">
        <f>IF($F$8,IF($L444="","",IFERROR(VLOOKUP($L444,day_data!$A:$I,6,FALSE),0)),NA())</f>
        <v>#N/A</v>
      </c>
      <c r="R444" s="11" t="e">
        <f>IF($F$6,IF($L444="","",IFERROR(VLOOKUP($L444,day_data!$A:$I,7,FALSE),0)),NA())</f>
        <v>#N/A</v>
      </c>
      <c r="S444" s="58" t="str">
        <f>IF($F$5,IF($L444="","",IFERROR(VLOOKUP($L444,day_data!$A:$I,8,FALSE),0)),NA())</f>
        <v/>
      </c>
      <c r="T444" s="60" t="e">
        <f>IF($F$7,IF($L444="","",IFERROR(VLOOKUP($L444,day_data!$A:$I,9,FALSE),0)),NA())</f>
        <v>#N/A</v>
      </c>
    </row>
    <row r="445" spans="12:20">
      <c r="L445" s="57" t="str">
        <f t="shared" si="6"/>
        <v/>
      </c>
      <c r="M445" s="11" t="str">
        <f>IF($F$1,IF($L445="","",IFERROR(VLOOKUP($L445,day_data!$A:$I,2,FALSE),0)),NA())</f>
        <v/>
      </c>
      <c r="N445" s="58" t="e">
        <f>IF($F$2,IF($L445="","",IFERROR(VLOOKUP($L445,day_data!$A:$I,3,FALSE),0)),NA())</f>
        <v>#N/A</v>
      </c>
      <c r="O445" s="11" t="e">
        <f>IF($F$3,IF($L445="","",IFERROR(VLOOKUP($L445,day_data!$A:$I,4,FALSE),0)),NA())</f>
        <v>#N/A</v>
      </c>
      <c r="P445" s="58" t="e">
        <f>IF($F$4,IF($L445="","",IFERROR(VLOOKUP($L445,day_data!$A:$I,5,FALSE),0)),NA())</f>
        <v>#N/A</v>
      </c>
      <c r="Q445" s="59" t="e">
        <f>IF($F$8,IF($L445="","",IFERROR(VLOOKUP($L445,day_data!$A:$I,6,FALSE),0)),NA())</f>
        <v>#N/A</v>
      </c>
      <c r="R445" s="11" t="e">
        <f>IF($F$6,IF($L445="","",IFERROR(VLOOKUP($L445,day_data!$A:$I,7,FALSE),0)),NA())</f>
        <v>#N/A</v>
      </c>
      <c r="S445" s="58" t="str">
        <f>IF($F$5,IF($L445="","",IFERROR(VLOOKUP($L445,day_data!$A:$I,8,FALSE),0)),NA())</f>
        <v/>
      </c>
      <c r="T445" s="60" t="e">
        <f>IF($F$7,IF($L445="","",IFERROR(VLOOKUP($L445,day_data!$A:$I,9,FALSE),0)),NA())</f>
        <v>#N/A</v>
      </c>
    </row>
    <row r="446" spans="12:20">
      <c r="L446" s="57" t="str">
        <f t="shared" si="6"/>
        <v/>
      </c>
      <c r="M446" s="11" t="str">
        <f>IF($F$1,IF($L446="","",IFERROR(VLOOKUP($L446,day_data!$A:$I,2,FALSE),0)),NA())</f>
        <v/>
      </c>
      <c r="N446" s="58" t="e">
        <f>IF($F$2,IF($L446="","",IFERROR(VLOOKUP($L446,day_data!$A:$I,3,FALSE),0)),NA())</f>
        <v>#N/A</v>
      </c>
      <c r="O446" s="11" t="e">
        <f>IF($F$3,IF($L446="","",IFERROR(VLOOKUP($L446,day_data!$A:$I,4,FALSE),0)),NA())</f>
        <v>#N/A</v>
      </c>
      <c r="P446" s="58" t="e">
        <f>IF($F$4,IF($L446="","",IFERROR(VLOOKUP($L446,day_data!$A:$I,5,FALSE),0)),NA())</f>
        <v>#N/A</v>
      </c>
      <c r="Q446" s="59" t="e">
        <f>IF($F$8,IF($L446="","",IFERROR(VLOOKUP($L446,day_data!$A:$I,6,FALSE),0)),NA())</f>
        <v>#N/A</v>
      </c>
      <c r="R446" s="11" t="e">
        <f>IF($F$6,IF($L446="","",IFERROR(VLOOKUP($L446,day_data!$A:$I,7,FALSE),0)),NA())</f>
        <v>#N/A</v>
      </c>
      <c r="S446" s="58" t="str">
        <f>IF($F$5,IF($L446="","",IFERROR(VLOOKUP($L446,day_data!$A:$I,8,FALSE),0)),NA())</f>
        <v/>
      </c>
      <c r="T446" s="60" t="e">
        <f>IF($F$7,IF($L446="","",IFERROR(VLOOKUP($L446,day_data!$A:$I,9,FALSE),0)),NA())</f>
        <v>#N/A</v>
      </c>
    </row>
    <row r="447" spans="12:20">
      <c r="L447" s="57" t="str">
        <f t="shared" si="6"/>
        <v/>
      </c>
      <c r="M447" s="11" t="str">
        <f>IF($F$1,IF($L447="","",IFERROR(VLOOKUP($L447,day_data!$A:$I,2,FALSE),0)),NA())</f>
        <v/>
      </c>
      <c r="N447" s="58" t="e">
        <f>IF($F$2,IF($L447="","",IFERROR(VLOOKUP($L447,day_data!$A:$I,3,FALSE),0)),NA())</f>
        <v>#N/A</v>
      </c>
      <c r="O447" s="11" t="e">
        <f>IF($F$3,IF($L447="","",IFERROR(VLOOKUP($L447,day_data!$A:$I,4,FALSE),0)),NA())</f>
        <v>#N/A</v>
      </c>
      <c r="P447" s="58" t="e">
        <f>IF($F$4,IF($L447="","",IFERROR(VLOOKUP($L447,day_data!$A:$I,5,FALSE),0)),NA())</f>
        <v>#N/A</v>
      </c>
      <c r="Q447" s="59" t="e">
        <f>IF($F$8,IF($L447="","",IFERROR(VLOOKUP($L447,day_data!$A:$I,6,FALSE),0)),NA())</f>
        <v>#N/A</v>
      </c>
      <c r="R447" s="11" t="e">
        <f>IF($F$6,IF($L447="","",IFERROR(VLOOKUP($L447,day_data!$A:$I,7,FALSE),0)),NA())</f>
        <v>#N/A</v>
      </c>
      <c r="S447" s="58" t="str">
        <f>IF($F$5,IF($L447="","",IFERROR(VLOOKUP($L447,day_data!$A:$I,8,FALSE),0)),NA())</f>
        <v/>
      </c>
      <c r="T447" s="60" t="e">
        <f>IF($F$7,IF($L447="","",IFERROR(VLOOKUP($L447,day_data!$A:$I,9,FALSE),0)),NA())</f>
        <v>#N/A</v>
      </c>
    </row>
    <row r="448" spans="12:20">
      <c r="L448" s="57" t="str">
        <f t="shared" si="6"/>
        <v/>
      </c>
      <c r="M448" s="11" t="str">
        <f>IF($F$1,IF($L448="","",IFERROR(VLOOKUP($L448,day_data!$A:$I,2,FALSE),0)),NA())</f>
        <v/>
      </c>
      <c r="N448" s="58" t="e">
        <f>IF($F$2,IF($L448="","",IFERROR(VLOOKUP($L448,day_data!$A:$I,3,FALSE),0)),NA())</f>
        <v>#N/A</v>
      </c>
      <c r="O448" s="11" t="e">
        <f>IF($F$3,IF($L448="","",IFERROR(VLOOKUP($L448,day_data!$A:$I,4,FALSE),0)),NA())</f>
        <v>#N/A</v>
      </c>
      <c r="P448" s="58" t="e">
        <f>IF($F$4,IF($L448="","",IFERROR(VLOOKUP($L448,day_data!$A:$I,5,FALSE),0)),NA())</f>
        <v>#N/A</v>
      </c>
      <c r="Q448" s="59" t="e">
        <f>IF($F$8,IF($L448="","",IFERROR(VLOOKUP($L448,day_data!$A:$I,6,FALSE),0)),NA())</f>
        <v>#N/A</v>
      </c>
      <c r="R448" s="11" t="e">
        <f>IF($F$6,IF($L448="","",IFERROR(VLOOKUP($L448,day_data!$A:$I,7,FALSE),0)),NA())</f>
        <v>#N/A</v>
      </c>
      <c r="S448" s="58" t="str">
        <f>IF($F$5,IF($L448="","",IFERROR(VLOOKUP($L448,day_data!$A:$I,8,FALSE),0)),NA())</f>
        <v/>
      </c>
      <c r="T448" s="60" t="e">
        <f>IF($F$7,IF($L448="","",IFERROR(VLOOKUP($L448,day_data!$A:$I,9,FALSE),0)),NA())</f>
        <v>#N/A</v>
      </c>
    </row>
    <row r="449" spans="12:20">
      <c r="L449" s="57" t="str">
        <f t="shared" si="6"/>
        <v/>
      </c>
      <c r="M449" s="11" t="str">
        <f>IF($F$1,IF($L449="","",IFERROR(VLOOKUP($L449,day_data!$A:$I,2,FALSE),0)),NA())</f>
        <v/>
      </c>
      <c r="N449" s="58" t="e">
        <f>IF($F$2,IF($L449="","",IFERROR(VLOOKUP($L449,day_data!$A:$I,3,FALSE),0)),NA())</f>
        <v>#N/A</v>
      </c>
      <c r="O449" s="11" t="e">
        <f>IF($F$3,IF($L449="","",IFERROR(VLOOKUP($L449,day_data!$A:$I,4,FALSE),0)),NA())</f>
        <v>#N/A</v>
      </c>
      <c r="P449" s="58" t="e">
        <f>IF($F$4,IF($L449="","",IFERROR(VLOOKUP($L449,day_data!$A:$I,5,FALSE),0)),NA())</f>
        <v>#N/A</v>
      </c>
      <c r="Q449" s="59" t="e">
        <f>IF($F$8,IF($L449="","",IFERROR(VLOOKUP($L449,day_data!$A:$I,6,FALSE),0)),NA())</f>
        <v>#N/A</v>
      </c>
      <c r="R449" s="11" t="e">
        <f>IF($F$6,IF($L449="","",IFERROR(VLOOKUP($L449,day_data!$A:$I,7,FALSE),0)),NA())</f>
        <v>#N/A</v>
      </c>
      <c r="S449" s="58" t="str">
        <f>IF($F$5,IF($L449="","",IFERROR(VLOOKUP($L449,day_data!$A:$I,8,FALSE),0)),NA())</f>
        <v/>
      </c>
      <c r="T449" s="60" t="e">
        <f>IF($F$7,IF($L449="","",IFERROR(VLOOKUP($L449,day_data!$A:$I,9,FALSE),0)),NA())</f>
        <v>#N/A</v>
      </c>
    </row>
    <row r="450" spans="12:20">
      <c r="L450" s="57" t="str">
        <f t="shared" si="6"/>
        <v/>
      </c>
      <c r="M450" s="11" t="str">
        <f>IF($F$1,IF($L450="","",IFERROR(VLOOKUP($L450,day_data!$A:$I,2,FALSE),0)),NA())</f>
        <v/>
      </c>
      <c r="N450" s="58" t="e">
        <f>IF($F$2,IF($L450="","",IFERROR(VLOOKUP($L450,day_data!$A:$I,3,FALSE),0)),NA())</f>
        <v>#N/A</v>
      </c>
      <c r="O450" s="11" t="e">
        <f>IF($F$3,IF($L450="","",IFERROR(VLOOKUP($L450,day_data!$A:$I,4,FALSE),0)),NA())</f>
        <v>#N/A</v>
      </c>
      <c r="P450" s="58" t="e">
        <f>IF($F$4,IF($L450="","",IFERROR(VLOOKUP($L450,day_data!$A:$I,5,FALSE),0)),NA())</f>
        <v>#N/A</v>
      </c>
      <c r="Q450" s="59" t="e">
        <f>IF($F$8,IF($L450="","",IFERROR(VLOOKUP($L450,day_data!$A:$I,6,FALSE),0)),NA())</f>
        <v>#N/A</v>
      </c>
      <c r="R450" s="11" t="e">
        <f>IF($F$6,IF($L450="","",IFERROR(VLOOKUP($L450,day_data!$A:$I,7,FALSE),0)),NA())</f>
        <v>#N/A</v>
      </c>
      <c r="S450" s="58" t="str">
        <f>IF($F$5,IF($L450="","",IFERROR(VLOOKUP($L450,day_data!$A:$I,8,FALSE),0)),NA())</f>
        <v/>
      </c>
      <c r="T450" s="60" t="e">
        <f>IF($F$7,IF($L450="","",IFERROR(VLOOKUP($L450,day_data!$A:$I,9,FALSE),0)),NA())</f>
        <v>#N/A</v>
      </c>
    </row>
    <row r="451" spans="12:20">
      <c r="L451" s="57" t="str">
        <f t="shared" si="6"/>
        <v/>
      </c>
      <c r="M451" s="11" t="str">
        <f>IF($F$1,IF($L451="","",IFERROR(VLOOKUP($L451,day_data!$A:$I,2,FALSE),0)),NA())</f>
        <v/>
      </c>
      <c r="N451" s="58" t="e">
        <f>IF($F$2,IF($L451="","",IFERROR(VLOOKUP($L451,day_data!$A:$I,3,FALSE),0)),NA())</f>
        <v>#N/A</v>
      </c>
      <c r="O451" s="11" t="e">
        <f>IF($F$3,IF($L451="","",IFERROR(VLOOKUP($L451,day_data!$A:$I,4,FALSE),0)),NA())</f>
        <v>#N/A</v>
      </c>
      <c r="P451" s="58" t="e">
        <f>IF($F$4,IF($L451="","",IFERROR(VLOOKUP($L451,day_data!$A:$I,5,FALSE),0)),NA())</f>
        <v>#N/A</v>
      </c>
      <c r="Q451" s="59" t="e">
        <f>IF($F$8,IF($L451="","",IFERROR(VLOOKUP($L451,day_data!$A:$I,6,FALSE),0)),NA())</f>
        <v>#N/A</v>
      </c>
      <c r="R451" s="11" t="e">
        <f>IF($F$6,IF($L451="","",IFERROR(VLOOKUP($L451,day_data!$A:$I,7,FALSE),0)),NA())</f>
        <v>#N/A</v>
      </c>
      <c r="S451" s="58" t="str">
        <f>IF($F$5,IF($L451="","",IFERROR(VLOOKUP($L451,day_data!$A:$I,8,FALSE),0)),NA())</f>
        <v/>
      </c>
      <c r="T451" s="60" t="e">
        <f>IF($F$7,IF($L451="","",IFERROR(VLOOKUP($L451,day_data!$A:$I,9,FALSE),0)),NA())</f>
        <v>#N/A</v>
      </c>
    </row>
    <row r="452" spans="12:20">
      <c r="L452" s="57" t="str">
        <f t="shared" ref="L452:L515" si="7">IF(ROW(L452)-1&gt;$C$1,"",L451+1)</f>
        <v/>
      </c>
      <c r="M452" s="11" t="str">
        <f>IF($F$1,IF($L452="","",IFERROR(VLOOKUP($L452,day_data!$A:$I,2,FALSE),0)),NA())</f>
        <v/>
      </c>
      <c r="N452" s="58" t="e">
        <f>IF($F$2,IF($L452="","",IFERROR(VLOOKUP($L452,day_data!$A:$I,3,FALSE),0)),NA())</f>
        <v>#N/A</v>
      </c>
      <c r="O452" s="11" t="e">
        <f>IF($F$3,IF($L452="","",IFERROR(VLOOKUP($L452,day_data!$A:$I,4,FALSE),0)),NA())</f>
        <v>#N/A</v>
      </c>
      <c r="P452" s="58" t="e">
        <f>IF($F$4,IF($L452="","",IFERROR(VLOOKUP($L452,day_data!$A:$I,5,FALSE),0)),NA())</f>
        <v>#N/A</v>
      </c>
      <c r="Q452" s="59" t="e">
        <f>IF($F$8,IF($L452="","",IFERROR(VLOOKUP($L452,day_data!$A:$I,6,FALSE),0)),NA())</f>
        <v>#N/A</v>
      </c>
      <c r="R452" s="11" t="e">
        <f>IF($F$6,IF($L452="","",IFERROR(VLOOKUP($L452,day_data!$A:$I,7,FALSE),0)),NA())</f>
        <v>#N/A</v>
      </c>
      <c r="S452" s="58" t="str">
        <f>IF($F$5,IF($L452="","",IFERROR(VLOOKUP($L452,day_data!$A:$I,8,FALSE),0)),NA())</f>
        <v/>
      </c>
      <c r="T452" s="60" t="e">
        <f>IF($F$7,IF($L452="","",IFERROR(VLOOKUP($L452,day_data!$A:$I,9,FALSE),0)),NA())</f>
        <v>#N/A</v>
      </c>
    </row>
    <row r="453" spans="12:20">
      <c r="L453" s="57" t="str">
        <f t="shared" si="7"/>
        <v/>
      </c>
      <c r="M453" s="11" t="str">
        <f>IF($F$1,IF($L453="","",IFERROR(VLOOKUP($L453,day_data!$A:$I,2,FALSE),0)),NA())</f>
        <v/>
      </c>
      <c r="N453" s="58" t="e">
        <f>IF($F$2,IF($L453="","",IFERROR(VLOOKUP($L453,day_data!$A:$I,3,FALSE),0)),NA())</f>
        <v>#N/A</v>
      </c>
      <c r="O453" s="11" t="e">
        <f>IF($F$3,IF($L453="","",IFERROR(VLOOKUP($L453,day_data!$A:$I,4,FALSE),0)),NA())</f>
        <v>#N/A</v>
      </c>
      <c r="P453" s="58" t="e">
        <f>IF($F$4,IF($L453="","",IFERROR(VLOOKUP($L453,day_data!$A:$I,5,FALSE),0)),NA())</f>
        <v>#N/A</v>
      </c>
      <c r="Q453" s="59" t="e">
        <f>IF($F$8,IF($L453="","",IFERROR(VLOOKUP($L453,day_data!$A:$I,6,FALSE),0)),NA())</f>
        <v>#N/A</v>
      </c>
      <c r="R453" s="11" t="e">
        <f>IF($F$6,IF($L453="","",IFERROR(VLOOKUP($L453,day_data!$A:$I,7,FALSE),0)),NA())</f>
        <v>#N/A</v>
      </c>
      <c r="S453" s="58" t="str">
        <f>IF($F$5,IF($L453="","",IFERROR(VLOOKUP($L453,day_data!$A:$I,8,FALSE),0)),NA())</f>
        <v/>
      </c>
      <c r="T453" s="60" t="e">
        <f>IF($F$7,IF($L453="","",IFERROR(VLOOKUP($L453,day_data!$A:$I,9,FALSE),0)),NA())</f>
        <v>#N/A</v>
      </c>
    </row>
    <row r="454" spans="12:20">
      <c r="L454" s="57" t="str">
        <f t="shared" si="7"/>
        <v/>
      </c>
      <c r="M454" s="11" t="str">
        <f>IF($F$1,IF($L454="","",IFERROR(VLOOKUP($L454,day_data!$A:$I,2,FALSE),0)),NA())</f>
        <v/>
      </c>
      <c r="N454" s="58" t="e">
        <f>IF($F$2,IF($L454="","",IFERROR(VLOOKUP($L454,day_data!$A:$I,3,FALSE),0)),NA())</f>
        <v>#N/A</v>
      </c>
      <c r="O454" s="11" t="e">
        <f>IF($F$3,IF($L454="","",IFERROR(VLOOKUP($L454,day_data!$A:$I,4,FALSE),0)),NA())</f>
        <v>#N/A</v>
      </c>
      <c r="P454" s="58" t="e">
        <f>IF($F$4,IF($L454="","",IFERROR(VLOOKUP($L454,day_data!$A:$I,5,FALSE),0)),NA())</f>
        <v>#N/A</v>
      </c>
      <c r="Q454" s="59" t="e">
        <f>IF($F$8,IF($L454="","",IFERROR(VLOOKUP($L454,day_data!$A:$I,6,FALSE),0)),NA())</f>
        <v>#N/A</v>
      </c>
      <c r="R454" s="11" t="e">
        <f>IF($F$6,IF($L454="","",IFERROR(VLOOKUP($L454,day_data!$A:$I,7,FALSE),0)),NA())</f>
        <v>#N/A</v>
      </c>
      <c r="S454" s="58" t="str">
        <f>IF($F$5,IF($L454="","",IFERROR(VLOOKUP($L454,day_data!$A:$I,8,FALSE),0)),NA())</f>
        <v/>
      </c>
      <c r="T454" s="60" t="e">
        <f>IF($F$7,IF($L454="","",IFERROR(VLOOKUP($L454,day_data!$A:$I,9,FALSE),0)),NA())</f>
        <v>#N/A</v>
      </c>
    </row>
    <row r="455" spans="12:20">
      <c r="L455" s="57" t="str">
        <f t="shared" si="7"/>
        <v/>
      </c>
      <c r="M455" s="11" t="str">
        <f>IF($F$1,IF($L455="","",IFERROR(VLOOKUP($L455,day_data!$A:$I,2,FALSE),0)),NA())</f>
        <v/>
      </c>
      <c r="N455" s="58" t="e">
        <f>IF($F$2,IF($L455="","",IFERROR(VLOOKUP($L455,day_data!$A:$I,3,FALSE),0)),NA())</f>
        <v>#N/A</v>
      </c>
      <c r="O455" s="11" t="e">
        <f>IF($F$3,IF($L455="","",IFERROR(VLOOKUP($L455,day_data!$A:$I,4,FALSE),0)),NA())</f>
        <v>#N/A</v>
      </c>
      <c r="P455" s="58" t="e">
        <f>IF($F$4,IF($L455="","",IFERROR(VLOOKUP($L455,day_data!$A:$I,5,FALSE),0)),NA())</f>
        <v>#N/A</v>
      </c>
      <c r="Q455" s="59" t="e">
        <f>IF($F$8,IF($L455="","",IFERROR(VLOOKUP($L455,day_data!$A:$I,6,FALSE),0)),NA())</f>
        <v>#N/A</v>
      </c>
      <c r="R455" s="11" t="e">
        <f>IF($F$6,IF($L455="","",IFERROR(VLOOKUP($L455,day_data!$A:$I,7,FALSE),0)),NA())</f>
        <v>#N/A</v>
      </c>
      <c r="S455" s="58" t="str">
        <f>IF($F$5,IF($L455="","",IFERROR(VLOOKUP($L455,day_data!$A:$I,8,FALSE),0)),NA())</f>
        <v/>
      </c>
      <c r="T455" s="60" t="e">
        <f>IF($F$7,IF($L455="","",IFERROR(VLOOKUP($L455,day_data!$A:$I,9,FALSE),0)),NA())</f>
        <v>#N/A</v>
      </c>
    </row>
    <row r="456" spans="12:20">
      <c r="L456" s="57" t="str">
        <f t="shared" si="7"/>
        <v/>
      </c>
      <c r="M456" s="11" t="str">
        <f>IF($F$1,IF($L456="","",IFERROR(VLOOKUP($L456,day_data!$A:$I,2,FALSE),0)),NA())</f>
        <v/>
      </c>
      <c r="N456" s="58" t="e">
        <f>IF($F$2,IF($L456="","",IFERROR(VLOOKUP($L456,day_data!$A:$I,3,FALSE),0)),NA())</f>
        <v>#N/A</v>
      </c>
      <c r="O456" s="11" t="e">
        <f>IF($F$3,IF($L456="","",IFERROR(VLOOKUP($L456,day_data!$A:$I,4,FALSE),0)),NA())</f>
        <v>#N/A</v>
      </c>
      <c r="P456" s="58" t="e">
        <f>IF($F$4,IF($L456="","",IFERROR(VLOOKUP($L456,day_data!$A:$I,5,FALSE),0)),NA())</f>
        <v>#N/A</v>
      </c>
      <c r="Q456" s="59" t="e">
        <f>IF($F$8,IF($L456="","",IFERROR(VLOOKUP($L456,day_data!$A:$I,6,FALSE),0)),NA())</f>
        <v>#N/A</v>
      </c>
      <c r="R456" s="11" t="e">
        <f>IF($F$6,IF($L456="","",IFERROR(VLOOKUP($L456,day_data!$A:$I,7,FALSE),0)),NA())</f>
        <v>#N/A</v>
      </c>
      <c r="S456" s="58" t="str">
        <f>IF($F$5,IF($L456="","",IFERROR(VLOOKUP($L456,day_data!$A:$I,8,FALSE),0)),NA())</f>
        <v/>
      </c>
      <c r="T456" s="60" t="e">
        <f>IF($F$7,IF($L456="","",IFERROR(VLOOKUP($L456,day_data!$A:$I,9,FALSE),0)),NA())</f>
        <v>#N/A</v>
      </c>
    </row>
    <row r="457" spans="12:20">
      <c r="L457" s="57" t="str">
        <f t="shared" si="7"/>
        <v/>
      </c>
      <c r="M457" s="11" t="str">
        <f>IF($F$1,IF($L457="","",IFERROR(VLOOKUP($L457,day_data!$A:$I,2,FALSE),0)),NA())</f>
        <v/>
      </c>
      <c r="N457" s="58" t="e">
        <f>IF($F$2,IF($L457="","",IFERROR(VLOOKUP($L457,day_data!$A:$I,3,FALSE),0)),NA())</f>
        <v>#N/A</v>
      </c>
      <c r="O457" s="11" t="e">
        <f>IF($F$3,IF($L457="","",IFERROR(VLOOKUP($L457,day_data!$A:$I,4,FALSE),0)),NA())</f>
        <v>#N/A</v>
      </c>
      <c r="P457" s="58" t="e">
        <f>IF($F$4,IF($L457="","",IFERROR(VLOOKUP($L457,day_data!$A:$I,5,FALSE),0)),NA())</f>
        <v>#N/A</v>
      </c>
      <c r="Q457" s="59" t="e">
        <f>IF($F$8,IF($L457="","",IFERROR(VLOOKUP($L457,day_data!$A:$I,6,FALSE),0)),NA())</f>
        <v>#N/A</v>
      </c>
      <c r="R457" s="11" t="e">
        <f>IF($F$6,IF($L457="","",IFERROR(VLOOKUP($L457,day_data!$A:$I,7,FALSE),0)),NA())</f>
        <v>#N/A</v>
      </c>
      <c r="S457" s="58" t="str">
        <f>IF($F$5,IF($L457="","",IFERROR(VLOOKUP($L457,day_data!$A:$I,8,FALSE),0)),NA())</f>
        <v/>
      </c>
      <c r="T457" s="60" t="e">
        <f>IF($F$7,IF($L457="","",IFERROR(VLOOKUP($L457,day_data!$A:$I,9,FALSE),0)),NA())</f>
        <v>#N/A</v>
      </c>
    </row>
    <row r="458" spans="12:20">
      <c r="L458" s="57" t="str">
        <f t="shared" si="7"/>
        <v/>
      </c>
      <c r="M458" s="11" t="str">
        <f>IF($F$1,IF($L458="","",IFERROR(VLOOKUP($L458,day_data!$A:$I,2,FALSE),0)),NA())</f>
        <v/>
      </c>
      <c r="N458" s="58" t="e">
        <f>IF($F$2,IF($L458="","",IFERROR(VLOOKUP($L458,day_data!$A:$I,3,FALSE),0)),NA())</f>
        <v>#N/A</v>
      </c>
      <c r="O458" s="11" t="e">
        <f>IF($F$3,IF($L458="","",IFERROR(VLOOKUP($L458,day_data!$A:$I,4,FALSE),0)),NA())</f>
        <v>#N/A</v>
      </c>
      <c r="P458" s="58" t="e">
        <f>IF($F$4,IF($L458="","",IFERROR(VLOOKUP($L458,day_data!$A:$I,5,FALSE),0)),NA())</f>
        <v>#N/A</v>
      </c>
      <c r="Q458" s="59" t="e">
        <f>IF($F$8,IF($L458="","",IFERROR(VLOOKUP($L458,day_data!$A:$I,6,FALSE),0)),NA())</f>
        <v>#N/A</v>
      </c>
      <c r="R458" s="11" t="e">
        <f>IF($F$6,IF($L458="","",IFERROR(VLOOKUP($L458,day_data!$A:$I,7,FALSE),0)),NA())</f>
        <v>#N/A</v>
      </c>
      <c r="S458" s="58" t="str">
        <f>IF($F$5,IF($L458="","",IFERROR(VLOOKUP($L458,day_data!$A:$I,8,FALSE),0)),NA())</f>
        <v/>
      </c>
      <c r="T458" s="60" t="e">
        <f>IF($F$7,IF($L458="","",IFERROR(VLOOKUP($L458,day_data!$A:$I,9,FALSE),0)),NA())</f>
        <v>#N/A</v>
      </c>
    </row>
    <row r="459" spans="12:20">
      <c r="L459" s="57" t="str">
        <f t="shared" si="7"/>
        <v/>
      </c>
      <c r="M459" s="11" t="str">
        <f>IF($F$1,IF($L459="","",IFERROR(VLOOKUP($L459,day_data!$A:$I,2,FALSE),0)),NA())</f>
        <v/>
      </c>
      <c r="N459" s="58" t="e">
        <f>IF($F$2,IF($L459="","",IFERROR(VLOOKUP($L459,day_data!$A:$I,3,FALSE),0)),NA())</f>
        <v>#N/A</v>
      </c>
      <c r="O459" s="11" t="e">
        <f>IF($F$3,IF($L459="","",IFERROR(VLOOKUP($L459,day_data!$A:$I,4,FALSE),0)),NA())</f>
        <v>#N/A</v>
      </c>
      <c r="P459" s="58" t="e">
        <f>IF($F$4,IF($L459="","",IFERROR(VLOOKUP($L459,day_data!$A:$I,5,FALSE),0)),NA())</f>
        <v>#N/A</v>
      </c>
      <c r="Q459" s="59" t="e">
        <f>IF($F$8,IF($L459="","",IFERROR(VLOOKUP($L459,day_data!$A:$I,6,FALSE),0)),NA())</f>
        <v>#N/A</v>
      </c>
      <c r="R459" s="11" t="e">
        <f>IF($F$6,IF($L459="","",IFERROR(VLOOKUP($L459,day_data!$A:$I,7,FALSE),0)),NA())</f>
        <v>#N/A</v>
      </c>
      <c r="S459" s="58" t="str">
        <f>IF($F$5,IF($L459="","",IFERROR(VLOOKUP($L459,day_data!$A:$I,8,FALSE),0)),NA())</f>
        <v/>
      </c>
      <c r="T459" s="60" t="e">
        <f>IF($F$7,IF($L459="","",IFERROR(VLOOKUP($L459,day_data!$A:$I,9,FALSE),0)),NA())</f>
        <v>#N/A</v>
      </c>
    </row>
    <row r="460" spans="12:20">
      <c r="L460" s="57" t="str">
        <f t="shared" si="7"/>
        <v/>
      </c>
      <c r="M460" s="11" t="str">
        <f>IF($F$1,IF($L460="","",IFERROR(VLOOKUP($L460,day_data!$A:$I,2,FALSE),0)),NA())</f>
        <v/>
      </c>
      <c r="N460" s="58" t="e">
        <f>IF($F$2,IF($L460="","",IFERROR(VLOOKUP($L460,day_data!$A:$I,3,FALSE),0)),NA())</f>
        <v>#N/A</v>
      </c>
      <c r="O460" s="11" t="e">
        <f>IF($F$3,IF($L460="","",IFERROR(VLOOKUP($L460,day_data!$A:$I,4,FALSE),0)),NA())</f>
        <v>#N/A</v>
      </c>
      <c r="P460" s="58" t="e">
        <f>IF($F$4,IF($L460="","",IFERROR(VLOOKUP($L460,day_data!$A:$I,5,FALSE),0)),NA())</f>
        <v>#N/A</v>
      </c>
      <c r="Q460" s="59" t="e">
        <f>IF($F$8,IF($L460="","",IFERROR(VLOOKUP($L460,day_data!$A:$I,6,FALSE),0)),NA())</f>
        <v>#N/A</v>
      </c>
      <c r="R460" s="11" t="e">
        <f>IF($F$6,IF($L460="","",IFERROR(VLOOKUP($L460,day_data!$A:$I,7,FALSE),0)),NA())</f>
        <v>#N/A</v>
      </c>
      <c r="S460" s="58" t="str">
        <f>IF($F$5,IF($L460="","",IFERROR(VLOOKUP($L460,day_data!$A:$I,8,FALSE),0)),NA())</f>
        <v/>
      </c>
      <c r="T460" s="60" t="e">
        <f>IF($F$7,IF($L460="","",IFERROR(VLOOKUP($L460,day_data!$A:$I,9,FALSE),0)),NA())</f>
        <v>#N/A</v>
      </c>
    </row>
    <row r="461" spans="12:20">
      <c r="L461" s="57" t="str">
        <f t="shared" si="7"/>
        <v/>
      </c>
      <c r="M461" s="11" t="str">
        <f>IF($F$1,IF($L461="","",IFERROR(VLOOKUP($L461,day_data!$A:$I,2,FALSE),0)),NA())</f>
        <v/>
      </c>
      <c r="N461" s="58" t="e">
        <f>IF($F$2,IF($L461="","",IFERROR(VLOOKUP($L461,day_data!$A:$I,3,FALSE),0)),NA())</f>
        <v>#N/A</v>
      </c>
      <c r="O461" s="11" t="e">
        <f>IF($F$3,IF($L461="","",IFERROR(VLOOKUP($L461,day_data!$A:$I,4,FALSE),0)),NA())</f>
        <v>#N/A</v>
      </c>
      <c r="P461" s="58" t="e">
        <f>IF($F$4,IF($L461="","",IFERROR(VLOOKUP($L461,day_data!$A:$I,5,FALSE),0)),NA())</f>
        <v>#N/A</v>
      </c>
      <c r="Q461" s="59" t="e">
        <f>IF($F$8,IF($L461="","",IFERROR(VLOOKUP($L461,day_data!$A:$I,6,FALSE),0)),NA())</f>
        <v>#N/A</v>
      </c>
      <c r="R461" s="11" t="e">
        <f>IF($F$6,IF($L461="","",IFERROR(VLOOKUP($L461,day_data!$A:$I,7,FALSE),0)),NA())</f>
        <v>#N/A</v>
      </c>
      <c r="S461" s="58" t="str">
        <f>IF($F$5,IF($L461="","",IFERROR(VLOOKUP($L461,day_data!$A:$I,8,FALSE),0)),NA())</f>
        <v/>
      </c>
      <c r="T461" s="60" t="e">
        <f>IF($F$7,IF($L461="","",IFERROR(VLOOKUP($L461,day_data!$A:$I,9,FALSE),0)),NA())</f>
        <v>#N/A</v>
      </c>
    </row>
    <row r="462" spans="12:20">
      <c r="L462" s="57" t="str">
        <f t="shared" si="7"/>
        <v/>
      </c>
      <c r="M462" s="11" t="str">
        <f>IF($F$1,IF($L462="","",IFERROR(VLOOKUP($L462,day_data!$A:$I,2,FALSE),0)),NA())</f>
        <v/>
      </c>
      <c r="N462" s="58" t="e">
        <f>IF($F$2,IF($L462="","",IFERROR(VLOOKUP($L462,day_data!$A:$I,3,FALSE),0)),NA())</f>
        <v>#N/A</v>
      </c>
      <c r="O462" s="11" t="e">
        <f>IF($F$3,IF($L462="","",IFERROR(VLOOKUP($L462,day_data!$A:$I,4,FALSE),0)),NA())</f>
        <v>#N/A</v>
      </c>
      <c r="P462" s="58" t="e">
        <f>IF($F$4,IF($L462="","",IFERROR(VLOOKUP($L462,day_data!$A:$I,5,FALSE),0)),NA())</f>
        <v>#N/A</v>
      </c>
      <c r="Q462" s="59" t="e">
        <f>IF($F$8,IF($L462="","",IFERROR(VLOOKUP($L462,day_data!$A:$I,6,FALSE),0)),NA())</f>
        <v>#N/A</v>
      </c>
      <c r="R462" s="11" t="e">
        <f>IF($F$6,IF($L462="","",IFERROR(VLOOKUP($L462,day_data!$A:$I,7,FALSE),0)),NA())</f>
        <v>#N/A</v>
      </c>
      <c r="S462" s="58" t="str">
        <f>IF($F$5,IF($L462="","",IFERROR(VLOOKUP($L462,day_data!$A:$I,8,FALSE),0)),NA())</f>
        <v/>
      </c>
      <c r="T462" s="60" t="e">
        <f>IF($F$7,IF($L462="","",IFERROR(VLOOKUP($L462,day_data!$A:$I,9,FALSE),0)),NA())</f>
        <v>#N/A</v>
      </c>
    </row>
    <row r="463" spans="12:20">
      <c r="L463" s="57" t="str">
        <f t="shared" si="7"/>
        <v/>
      </c>
      <c r="M463" s="11" t="str">
        <f>IF($F$1,IF($L463="","",IFERROR(VLOOKUP($L463,day_data!$A:$I,2,FALSE),0)),NA())</f>
        <v/>
      </c>
      <c r="N463" s="58" t="e">
        <f>IF($F$2,IF($L463="","",IFERROR(VLOOKUP($L463,day_data!$A:$I,3,FALSE),0)),NA())</f>
        <v>#N/A</v>
      </c>
      <c r="O463" s="11" t="e">
        <f>IF($F$3,IF($L463="","",IFERROR(VLOOKUP($L463,day_data!$A:$I,4,FALSE),0)),NA())</f>
        <v>#N/A</v>
      </c>
      <c r="P463" s="58" t="e">
        <f>IF($F$4,IF($L463="","",IFERROR(VLOOKUP($L463,day_data!$A:$I,5,FALSE),0)),NA())</f>
        <v>#N/A</v>
      </c>
      <c r="Q463" s="59" t="e">
        <f>IF($F$8,IF($L463="","",IFERROR(VLOOKUP($L463,day_data!$A:$I,6,FALSE),0)),NA())</f>
        <v>#N/A</v>
      </c>
      <c r="R463" s="11" t="e">
        <f>IF($F$6,IF($L463="","",IFERROR(VLOOKUP($L463,day_data!$A:$I,7,FALSE),0)),NA())</f>
        <v>#N/A</v>
      </c>
      <c r="S463" s="58" t="str">
        <f>IF($F$5,IF($L463="","",IFERROR(VLOOKUP($L463,day_data!$A:$I,8,FALSE),0)),NA())</f>
        <v/>
      </c>
      <c r="T463" s="60" t="e">
        <f>IF($F$7,IF($L463="","",IFERROR(VLOOKUP($L463,day_data!$A:$I,9,FALSE),0)),NA())</f>
        <v>#N/A</v>
      </c>
    </row>
    <row r="464" spans="12:20">
      <c r="L464" s="57" t="str">
        <f t="shared" si="7"/>
        <v/>
      </c>
      <c r="M464" s="11" t="str">
        <f>IF($F$1,IF($L464="","",IFERROR(VLOOKUP($L464,day_data!$A:$I,2,FALSE),0)),NA())</f>
        <v/>
      </c>
      <c r="N464" s="58" t="e">
        <f>IF($F$2,IF($L464="","",IFERROR(VLOOKUP($L464,day_data!$A:$I,3,FALSE),0)),NA())</f>
        <v>#N/A</v>
      </c>
      <c r="O464" s="11" t="e">
        <f>IF($F$3,IF($L464="","",IFERROR(VLOOKUP($L464,day_data!$A:$I,4,FALSE),0)),NA())</f>
        <v>#N/A</v>
      </c>
      <c r="P464" s="58" t="e">
        <f>IF($F$4,IF($L464="","",IFERROR(VLOOKUP($L464,day_data!$A:$I,5,FALSE),0)),NA())</f>
        <v>#N/A</v>
      </c>
      <c r="Q464" s="59" t="e">
        <f>IF($F$8,IF($L464="","",IFERROR(VLOOKUP($L464,day_data!$A:$I,6,FALSE),0)),NA())</f>
        <v>#N/A</v>
      </c>
      <c r="R464" s="11" t="e">
        <f>IF($F$6,IF($L464="","",IFERROR(VLOOKUP($L464,day_data!$A:$I,7,FALSE),0)),NA())</f>
        <v>#N/A</v>
      </c>
      <c r="S464" s="58" t="str">
        <f>IF($F$5,IF($L464="","",IFERROR(VLOOKUP($L464,day_data!$A:$I,8,FALSE),0)),NA())</f>
        <v/>
      </c>
      <c r="T464" s="60" t="e">
        <f>IF($F$7,IF($L464="","",IFERROR(VLOOKUP($L464,day_data!$A:$I,9,FALSE),0)),NA())</f>
        <v>#N/A</v>
      </c>
    </row>
    <row r="465" spans="12:20">
      <c r="L465" s="57" t="str">
        <f t="shared" si="7"/>
        <v/>
      </c>
      <c r="M465" s="11" t="str">
        <f>IF($F$1,IF($L465="","",IFERROR(VLOOKUP($L465,day_data!$A:$I,2,FALSE),0)),NA())</f>
        <v/>
      </c>
      <c r="N465" s="58" t="e">
        <f>IF($F$2,IF($L465="","",IFERROR(VLOOKUP($L465,day_data!$A:$I,3,FALSE),0)),NA())</f>
        <v>#N/A</v>
      </c>
      <c r="O465" s="11" t="e">
        <f>IF($F$3,IF($L465="","",IFERROR(VLOOKUP($L465,day_data!$A:$I,4,FALSE),0)),NA())</f>
        <v>#N/A</v>
      </c>
      <c r="P465" s="58" t="e">
        <f>IF($F$4,IF($L465="","",IFERROR(VLOOKUP($L465,day_data!$A:$I,5,FALSE),0)),NA())</f>
        <v>#N/A</v>
      </c>
      <c r="Q465" s="59" t="e">
        <f>IF($F$8,IF($L465="","",IFERROR(VLOOKUP($L465,day_data!$A:$I,6,FALSE),0)),NA())</f>
        <v>#N/A</v>
      </c>
      <c r="R465" s="11" t="e">
        <f>IF($F$6,IF($L465="","",IFERROR(VLOOKUP($L465,day_data!$A:$I,7,FALSE),0)),NA())</f>
        <v>#N/A</v>
      </c>
      <c r="S465" s="58" t="str">
        <f>IF($F$5,IF($L465="","",IFERROR(VLOOKUP($L465,day_data!$A:$I,8,FALSE),0)),NA())</f>
        <v/>
      </c>
      <c r="T465" s="60" t="e">
        <f>IF($F$7,IF($L465="","",IFERROR(VLOOKUP($L465,day_data!$A:$I,9,FALSE),0)),NA())</f>
        <v>#N/A</v>
      </c>
    </row>
    <row r="466" spans="12:20">
      <c r="L466" s="57" t="str">
        <f t="shared" si="7"/>
        <v/>
      </c>
      <c r="M466" s="11" t="str">
        <f>IF($F$1,IF($L466="","",IFERROR(VLOOKUP($L466,day_data!$A:$I,2,FALSE),0)),NA())</f>
        <v/>
      </c>
      <c r="N466" s="58" t="e">
        <f>IF($F$2,IF($L466="","",IFERROR(VLOOKUP($L466,day_data!$A:$I,3,FALSE),0)),NA())</f>
        <v>#N/A</v>
      </c>
      <c r="O466" s="11" t="e">
        <f>IF($F$3,IF($L466="","",IFERROR(VLOOKUP($L466,day_data!$A:$I,4,FALSE),0)),NA())</f>
        <v>#N/A</v>
      </c>
      <c r="P466" s="58" t="e">
        <f>IF($F$4,IF($L466="","",IFERROR(VLOOKUP($L466,day_data!$A:$I,5,FALSE),0)),NA())</f>
        <v>#N/A</v>
      </c>
      <c r="Q466" s="59" t="e">
        <f>IF($F$8,IF($L466="","",IFERROR(VLOOKUP($L466,day_data!$A:$I,6,FALSE),0)),NA())</f>
        <v>#N/A</v>
      </c>
      <c r="R466" s="11" t="e">
        <f>IF($F$6,IF($L466="","",IFERROR(VLOOKUP($L466,day_data!$A:$I,7,FALSE),0)),NA())</f>
        <v>#N/A</v>
      </c>
      <c r="S466" s="58" t="str">
        <f>IF($F$5,IF($L466="","",IFERROR(VLOOKUP($L466,day_data!$A:$I,8,FALSE),0)),NA())</f>
        <v/>
      </c>
      <c r="T466" s="60" t="e">
        <f>IF($F$7,IF($L466="","",IFERROR(VLOOKUP($L466,day_data!$A:$I,9,FALSE),0)),NA())</f>
        <v>#N/A</v>
      </c>
    </row>
    <row r="467" spans="12:20">
      <c r="L467" s="57" t="str">
        <f t="shared" si="7"/>
        <v/>
      </c>
      <c r="M467" s="11" t="str">
        <f>IF($F$1,IF($L467="","",IFERROR(VLOOKUP($L467,day_data!$A:$I,2,FALSE),0)),NA())</f>
        <v/>
      </c>
      <c r="N467" s="58" t="e">
        <f>IF($F$2,IF($L467="","",IFERROR(VLOOKUP($L467,day_data!$A:$I,3,FALSE),0)),NA())</f>
        <v>#N/A</v>
      </c>
      <c r="O467" s="11" t="e">
        <f>IF($F$3,IF($L467="","",IFERROR(VLOOKUP($L467,day_data!$A:$I,4,FALSE),0)),NA())</f>
        <v>#N/A</v>
      </c>
      <c r="P467" s="58" t="e">
        <f>IF($F$4,IF($L467="","",IFERROR(VLOOKUP($L467,day_data!$A:$I,5,FALSE),0)),NA())</f>
        <v>#N/A</v>
      </c>
      <c r="Q467" s="59" t="e">
        <f>IF($F$8,IF($L467="","",IFERROR(VLOOKUP($L467,day_data!$A:$I,6,FALSE),0)),NA())</f>
        <v>#N/A</v>
      </c>
      <c r="R467" s="11" t="e">
        <f>IF($F$6,IF($L467="","",IFERROR(VLOOKUP($L467,day_data!$A:$I,7,FALSE),0)),NA())</f>
        <v>#N/A</v>
      </c>
      <c r="S467" s="58" t="str">
        <f>IF($F$5,IF($L467="","",IFERROR(VLOOKUP($L467,day_data!$A:$I,8,FALSE),0)),NA())</f>
        <v/>
      </c>
      <c r="T467" s="60" t="e">
        <f>IF($F$7,IF($L467="","",IFERROR(VLOOKUP($L467,day_data!$A:$I,9,FALSE),0)),NA())</f>
        <v>#N/A</v>
      </c>
    </row>
    <row r="468" spans="12:20">
      <c r="L468" s="57" t="str">
        <f t="shared" si="7"/>
        <v/>
      </c>
      <c r="M468" s="11" t="str">
        <f>IF($F$1,IF($L468="","",IFERROR(VLOOKUP($L468,day_data!$A:$I,2,FALSE),0)),NA())</f>
        <v/>
      </c>
      <c r="N468" s="58" t="e">
        <f>IF($F$2,IF($L468="","",IFERROR(VLOOKUP($L468,day_data!$A:$I,3,FALSE),0)),NA())</f>
        <v>#N/A</v>
      </c>
      <c r="O468" s="11" t="e">
        <f>IF($F$3,IF($L468="","",IFERROR(VLOOKUP($L468,day_data!$A:$I,4,FALSE),0)),NA())</f>
        <v>#N/A</v>
      </c>
      <c r="P468" s="58" t="e">
        <f>IF($F$4,IF($L468="","",IFERROR(VLOOKUP($L468,day_data!$A:$I,5,FALSE),0)),NA())</f>
        <v>#N/A</v>
      </c>
      <c r="Q468" s="59" t="e">
        <f>IF($F$8,IF($L468="","",IFERROR(VLOOKUP($L468,day_data!$A:$I,6,FALSE),0)),NA())</f>
        <v>#N/A</v>
      </c>
      <c r="R468" s="11" t="e">
        <f>IF($F$6,IF($L468="","",IFERROR(VLOOKUP($L468,day_data!$A:$I,7,FALSE),0)),NA())</f>
        <v>#N/A</v>
      </c>
      <c r="S468" s="58" t="str">
        <f>IF($F$5,IF($L468="","",IFERROR(VLOOKUP($L468,day_data!$A:$I,8,FALSE),0)),NA())</f>
        <v/>
      </c>
      <c r="T468" s="60" t="e">
        <f>IF($F$7,IF($L468="","",IFERROR(VLOOKUP($L468,day_data!$A:$I,9,FALSE),0)),NA())</f>
        <v>#N/A</v>
      </c>
    </row>
    <row r="469" spans="12:20">
      <c r="L469" s="57" t="str">
        <f t="shared" si="7"/>
        <v/>
      </c>
      <c r="M469" s="11" t="str">
        <f>IF($F$1,IF($L469="","",IFERROR(VLOOKUP($L469,day_data!$A:$I,2,FALSE),0)),NA())</f>
        <v/>
      </c>
      <c r="N469" s="58" t="e">
        <f>IF($F$2,IF($L469="","",IFERROR(VLOOKUP($L469,day_data!$A:$I,3,FALSE),0)),NA())</f>
        <v>#N/A</v>
      </c>
      <c r="O469" s="11" t="e">
        <f>IF($F$3,IF($L469="","",IFERROR(VLOOKUP($L469,day_data!$A:$I,4,FALSE),0)),NA())</f>
        <v>#N/A</v>
      </c>
      <c r="P469" s="58" t="e">
        <f>IF($F$4,IF($L469="","",IFERROR(VLOOKUP($L469,day_data!$A:$I,5,FALSE),0)),NA())</f>
        <v>#N/A</v>
      </c>
      <c r="Q469" s="59" t="e">
        <f>IF($F$8,IF($L469="","",IFERROR(VLOOKUP($L469,day_data!$A:$I,6,FALSE),0)),NA())</f>
        <v>#N/A</v>
      </c>
      <c r="R469" s="11" t="e">
        <f>IF($F$6,IF($L469="","",IFERROR(VLOOKUP($L469,day_data!$A:$I,7,FALSE),0)),NA())</f>
        <v>#N/A</v>
      </c>
      <c r="S469" s="58" t="str">
        <f>IF($F$5,IF($L469="","",IFERROR(VLOOKUP($L469,day_data!$A:$I,8,FALSE),0)),NA())</f>
        <v/>
      </c>
      <c r="T469" s="60" t="e">
        <f>IF($F$7,IF($L469="","",IFERROR(VLOOKUP($L469,day_data!$A:$I,9,FALSE),0)),NA())</f>
        <v>#N/A</v>
      </c>
    </row>
    <row r="470" spans="12:20">
      <c r="L470" s="57" t="str">
        <f t="shared" si="7"/>
        <v/>
      </c>
      <c r="M470" s="11" t="str">
        <f>IF($F$1,IF($L470="","",IFERROR(VLOOKUP($L470,day_data!$A:$I,2,FALSE),0)),NA())</f>
        <v/>
      </c>
      <c r="N470" s="58" t="e">
        <f>IF($F$2,IF($L470="","",IFERROR(VLOOKUP($L470,day_data!$A:$I,3,FALSE),0)),NA())</f>
        <v>#N/A</v>
      </c>
      <c r="O470" s="11" t="e">
        <f>IF($F$3,IF($L470="","",IFERROR(VLOOKUP($L470,day_data!$A:$I,4,FALSE),0)),NA())</f>
        <v>#N/A</v>
      </c>
      <c r="P470" s="58" t="e">
        <f>IF($F$4,IF($L470="","",IFERROR(VLOOKUP($L470,day_data!$A:$I,5,FALSE),0)),NA())</f>
        <v>#N/A</v>
      </c>
      <c r="Q470" s="59" t="e">
        <f>IF($F$8,IF($L470="","",IFERROR(VLOOKUP($L470,day_data!$A:$I,6,FALSE),0)),NA())</f>
        <v>#N/A</v>
      </c>
      <c r="R470" s="11" t="e">
        <f>IF($F$6,IF($L470="","",IFERROR(VLOOKUP($L470,day_data!$A:$I,7,FALSE),0)),NA())</f>
        <v>#N/A</v>
      </c>
      <c r="S470" s="58" t="str">
        <f>IF($F$5,IF($L470="","",IFERROR(VLOOKUP($L470,day_data!$A:$I,8,FALSE),0)),NA())</f>
        <v/>
      </c>
      <c r="T470" s="60" t="e">
        <f>IF($F$7,IF($L470="","",IFERROR(VLOOKUP($L470,day_data!$A:$I,9,FALSE),0)),NA())</f>
        <v>#N/A</v>
      </c>
    </row>
    <row r="471" spans="12:20">
      <c r="L471" s="57" t="str">
        <f t="shared" si="7"/>
        <v/>
      </c>
      <c r="M471" s="11" t="str">
        <f>IF($F$1,IF($L471="","",IFERROR(VLOOKUP($L471,day_data!$A:$I,2,FALSE),0)),NA())</f>
        <v/>
      </c>
      <c r="N471" s="58" t="e">
        <f>IF($F$2,IF($L471="","",IFERROR(VLOOKUP($L471,day_data!$A:$I,3,FALSE),0)),NA())</f>
        <v>#N/A</v>
      </c>
      <c r="O471" s="11" t="e">
        <f>IF($F$3,IF($L471="","",IFERROR(VLOOKUP($L471,day_data!$A:$I,4,FALSE),0)),NA())</f>
        <v>#N/A</v>
      </c>
      <c r="P471" s="58" t="e">
        <f>IF($F$4,IF($L471="","",IFERROR(VLOOKUP($L471,day_data!$A:$I,5,FALSE),0)),NA())</f>
        <v>#N/A</v>
      </c>
      <c r="Q471" s="59" t="e">
        <f>IF($F$8,IF($L471="","",IFERROR(VLOOKUP($L471,day_data!$A:$I,6,FALSE),0)),NA())</f>
        <v>#N/A</v>
      </c>
      <c r="R471" s="11" t="e">
        <f>IF($F$6,IF($L471="","",IFERROR(VLOOKUP($L471,day_data!$A:$I,7,FALSE),0)),NA())</f>
        <v>#N/A</v>
      </c>
      <c r="S471" s="58" t="str">
        <f>IF($F$5,IF($L471="","",IFERROR(VLOOKUP($L471,day_data!$A:$I,8,FALSE),0)),NA())</f>
        <v/>
      </c>
      <c r="T471" s="60" t="e">
        <f>IF($F$7,IF($L471="","",IFERROR(VLOOKUP($L471,day_data!$A:$I,9,FALSE),0)),NA())</f>
        <v>#N/A</v>
      </c>
    </row>
    <row r="472" spans="12:20">
      <c r="L472" s="57" t="str">
        <f t="shared" si="7"/>
        <v/>
      </c>
      <c r="M472" s="11" t="str">
        <f>IF($F$1,IF($L472="","",IFERROR(VLOOKUP($L472,day_data!$A:$I,2,FALSE),0)),NA())</f>
        <v/>
      </c>
      <c r="N472" s="58" t="e">
        <f>IF($F$2,IF($L472="","",IFERROR(VLOOKUP($L472,day_data!$A:$I,3,FALSE),0)),NA())</f>
        <v>#N/A</v>
      </c>
      <c r="O472" s="11" t="e">
        <f>IF($F$3,IF($L472="","",IFERROR(VLOOKUP($L472,day_data!$A:$I,4,FALSE),0)),NA())</f>
        <v>#N/A</v>
      </c>
      <c r="P472" s="58" t="e">
        <f>IF($F$4,IF($L472="","",IFERROR(VLOOKUP($L472,day_data!$A:$I,5,FALSE),0)),NA())</f>
        <v>#N/A</v>
      </c>
      <c r="Q472" s="59" t="e">
        <f>IF($F$8,IF($L472="","",IFERROR(VLOOKUP($L472,day_data!$A:$I,6,FALSE),0)),NA())</f>
        <v>#N/A</v>
      </c>
      <c r="R472" s="11" t="e">
        <f>IF($F$6,IF($L472="","",IFERROR(VLOOKUP($L472,day_data!$A:$I,7,FALSE),0)),NA())</f>
        <v>#N/A</v>
      </c>
      <c r="S472" s="58" t="str">
        <f>IF($F$5,IF($L472="","",IFERROR(VLOOKUP($L472,day_data!$A:$I,8,FALSE),0)),NA())</f>
        <v/>
      </c>
      <c r="T472" s="60" t="e">
        <f>IF($F$7,IF($L472="","",IFERROR(VLOOKUP($L472,day_data!$A:$I,9,FALSE),0)),NA())</f>
        <v>#N/A</v>
      </c>
    </row>
    <row r="473" spans="12:20">
      <c r="L473" s="57" t="str">
        <f t="shared" si="7"/>
        <v/>
      </c>
      <c r="M473" s="11" t="str">
        <f>IF($F$1,IF($L473="","",IFERROR(VLOOKUP($L473,day_data!$A:$I,2,FALSE),0)),NA())</f>
        <v/>
      </c>
      <c r="N473" s="58" t="e">
        <f>IF($F$2,IF($L473="","",IFERROR(VLOOKUP($L473,day_data!$A:$I,3,FALSE),0)),NA())</f>
        <v>#N/A</v>
      </c>
      <c r="O473" s="11" t="e">
        <f>IF($F$3,IF($L473="","",IFERROR(VLOOKUP($L473,day_data!$A:$I,4,FALSE),0)),NA())</f>
        <v>#N/A</v>
      </c>
      <c r="P473" s="58" t="e">
        <f>IF($F$4,IF($L473="","",IFERROR(VLOOKUP($L473,day_data!$A:$I,5,FALSE),0)),NA())</f>
        <v>#N/A</v>
      </c>
      <c r="Q473" s="59" t="e">
        <f>IF($F$8,IF($L473="","",IFERROR(VLOOKUP($L473,day_data!$A:$I,6,FALSE),0)),NA())</f>
        <v>#N/A</v>
      </c>
      <c r="R473" s="11" t="e">
        <f>IF($F$6,IF($L473="","",IFERROR(VLOOKUP($L473,day_data!$A:$I,7,FALSE),0)),NA())</f>
        <v>#N/A</v>
      </c>
      <c r="S473" s="58" t="str">
        <f>IF($F$5,IF($L473="","",IFERROR(VLOOKUP($L473,day_data!$A:$I,8,FALSE),0)),NA())</f>
        <v/>
      </c>
      <c r="T473" s="60" t="e">
        <f>IF($F$7,IF($L473="","",IFERROR(VLOOKUP($L473,day_data!$A:$I,9,FALSE),0)),NA())</f>
        <v>#N/A</v>
      </c>
    </row>
    <row r="474" spans="12:20">
      <c r="L474" s="57" t="str">
        <f t="shared" si="7"/>
        <v/>
      </c>
      <c r="M474" s="11" t="str">
        <f>IF($F$1,IF($L474="","",IFERROR(VLOOKUP($L474,day_data!$A:$I,2,FALSE),0)),NA())</f>
        <v/>
      </c>
      <c r="N474" s="58" t="e">
        <f>IF($F$2,IF($L474="","",IFERROR(VLOOKUP($L474,day_data!$A:$I,3,FALSE),0)),NA())</f>
        <v>#N/A</v>
      </c>
      <c r="O474" s="11" t="e">
        <f>IF($F$3,IF($L474="","",IFERROR(VLOOKUP($L474,day_data!$A:$I,4,FALSE),0)),NA())</f>
        <v>#N/A</v>
      </c>
      <c r="P474" s="58" t="e">
        <f>IF($F$4,IF($L474="","",IFERROR(VLOOKUP($L474,day_data!$A:$I,5,FALSE),0)),NA())</f>
        <v>#N/A</v>
      </c>
      <c r="Q474" s="59" t="e">
        <f>IF($F$8,IF($L474="","",IFERROR(VLOOKUP($L474,day_data!$A:$I,6,FALSE),0)),NA())</f>
        <v>#N/A</v>
      </c>
      <c r="R474" s="11" t="e">
        <f>IF($F$6,IF($L474="","",IFERROR(VLOOKUP($L474,day_data!$A:$I,7,FALSE),0)),NA())</f>
        <v>#N/A</v>
      </c>
      <c r="S474" s="58" t="str">
        <f>IF($F$5,IF($L474="","",IFERROR(VLOOKUP($L474,day_data!$A:$I,8,FALSE),0)),NA())</f>
        <v/>
      </c>
      <c r="T474" s="60" t="e">
        <f>IF($F$7,IF($L474="","",IFERROR(VLOOKUP($L474,day_data!$A:$I,9,FALSE),0)),NA())</f>
        <v>#N/A</v>
      </c>
    </row>
    <row r="475" spans="12:20">
      <c r="L475" s="57" t="str">
        <f t="shared" si="7"/>
        <v/>
      </c>
      <c r="M475" s="11" t="str">
        <f>IF($F$1,IF($L475="","",IFERROR(VLOOKUP($L475,day_data!$A:$I,2,FALSE),0)),NA())</f>
        <v/>
      </c>
      <c r="N475" s="58" t="e">
        <f>IF($F$2,IF($L475="","",IFERROR(VLOOKUP($L475,day_data!$A:$I,3,FALSE),0)),NA())</f>
        <v>#N/A</v>
      </c>
      <c r="O475" s="11" t="e">
        <f>IF($F$3,IF($L475="","",IFERROR(VLOOKUP($L475,day_data!$A:$I,4,FALSE),0)),NA())</f>
        <v>#N/A</v>
      </c>
      <c r="P475" s="58" t="e">
        <f>IF($F$4,IF($L475="","",IFERROR(VLOOKUP($L475,day_data!$A:$I,5,FALSE),0)),NA())</f>
        <v>#N/A</v>
      </c>
      <c r="Q475" s="59" t="e">
        <f>IF($F$8,IF($L475="","",IFERROR(VLOOKUP($L475,day_data!$A:$I,6,FALSE),0)),NA())</f>
        <v>#N/A</v>
      </c>
      <c r="R475" s="11" t="e">
        <f>IF($F$6,IF($L475="","",IFERROR(VLOOKUP($L475,day_data!$A:$I,7,FALSE),0)),NA())</f>
        <v>#N/A</v>
      </c>
      <c r="S475" s="58" t="str">
        <f>IF($F$5,IF($L475="","",IFERROR(VLOOKUP($L475,day_data!$A:$I,8,FALSE),0)),NA())</f>
        <v/>
      </c>
      <c r="T475" s="60" t="e">
        <f>IF($F$7,IF($L475="","",IFERROR(VLOOKUP($L475,day_data!$A:$I,9,FALSE),0)),NA())</f>
        <v>#N/A</v>
      </c>
    </row>
    <row r="476" spans="12:20">
      <c r="L476" s="57" t="str">
        <f t="shared" si="7"/>
        <v/>
      </c>
      <c r="M476" s="11" t="str">
        <f>IF($F$1,IF($L476="","",IFERROR(VLOOKUP($L476,day_data!$A:$I,2,FALSE),0)),NA())</f>
        <v/>
      </c>
      <c r="N476" s="58" t="e">
        <f>IF($F$2,IF($L476="","",IFERROR(VLOOKUP($L476,day_data!$A:$I,3,FALSE),0)),NA())</f>
        <v>#N/A</v>
      </c>
      <c r="O476" s="11" t="e">
        <f>IF($F$3,IF($L476="","",IFERROR(VLOOKUP($L476,day_data!$A:$I,4,FALSE),0)),NA())</f>
        <v>#N/A</v>
      </c>
      <c r="P476" s="58" t="e">
        <f>IF($F$4,IF($L476="","",IFERROR(VLOOKUP($L476,day_data!$A:$I,5,FALSE),0)),NA())</f>
        <v>#N/A</v>
      </c>
      <c r="Q476" s="59" t="e">
        <f>IF($F$8,IF($L476="","",IFERROR(VLOOKUP($L476,day_data!$A:$I,6,FALSE),0)),NA())</f>
        <v>#N/A</v>
      </c>
      <c r="R476" s="11" t="e">
        <f>IF($F$6,IF($L476="","",IFERROR(VLOOKUP($L476,day_data!$A:$I,7,FALSE),0)),NA())</f>
        <v>#N/A</v>
      </c>
      <c r="S476" s="58" t="str">
        <f>IF($F$5,IF($L476="","",IFERROR(VLOOKUP($L476,day_data!$A:$I,8,FALSE),0)),NA())</f>
        <v/>
      </c>
      <c r="T476" s="60" t="e">
        <f>IF($F$7,IF($L476="","",IFERROR(VLOOKUP($L476,day_data!$A:$I,9,FALSE),0)),NA())</f>
        <v>#N/A</v>
      </c>
    </row>
    <row r="477" spans="12:20">
      <c r="L477" s="57" t="str">
        <f t="shared" si="7"/>
        <v/>
      </c>
      <c r="M477" s="11" t="str">
        <f>IF($F$1,IF($L477="","",IFERROR(VLOOKUP($L477,day_data!$A:$I,2,FALSE),0)),NA())</f>
        <v/>
      </c>
      <c r="N477" s="58" t="e">
        <f>IF($F$2,IF($L477="","",IFERROR(VLOOKUP($L477,day_data!$A:$I,3,FALSE),0)),NA())</f>
        <v>#N/A</v>
      </c>
      <c r="O477" s="11" t="e">
        <f>IF($F$3,IF($L477="","",IFERROR(VLOOKUP($L477,day_data!$A:$I,4,FALSE),0)),NA())</f>
        <v>#N/A</v>
      </c>
      <c r="P477" s="58" t="e">
        <f>IF($F$4,IF($L477="","",IFERROR(VLOOKUP($L477,day_data!$A:$I,5,FALSE),0)),NA())</f>
        <v>#N/A</v>
      </c>
      <c r="Q477" s="59" t="e">
        <f>IF($F$8,IF($L477="","",IFERROR(VLOOKUP($L477,day_data!$A:$I,6,FALSE),0)),NA())</f>
        <v>#N/A</v>
      </c>
      <c r="R477" s="11" t="e">
        <f>IF($F$6,IF($L477="","",IFERROR(VLOOKUP($L477,day_data!$A:$I,7,FALSE),0)),NA())</f>
        <v>#N/A</v>
      </c>
      <c r="S477" s="58" t="str">
        <f>IF($F$5,IF($L477="","",IFERROR(VLOOKUP($L477,day_data!$A:$I,8,FALSE),0)),NA())</f>
        <v/>
      </c>
      <c r="T477" s="60" t="e">
        <f>IF($F$7,IF($L477="","",IFERROR(VLOOKUP($L477,day_data!$A:$I,9,FALSE),0)),NA())</f>
        <v>#N/A</v>
      </c>
    </row>
    <row r="478" spans="12:20">
      <c r="L478" s="57" t="str">
        <f t="shared" si="7"/>
        <v/>
      </c>
      <c r="M478" s="11" t="str">
        <f>IF($F$1,IF($L478="","",IFERROR(VLOOKUP($L478,day_data!$A:$I,2,FALSE),0)),NA())</f>
        <v/>
      </c>
      <c r="N478" s="58" t="e">
        <f>IF($F$2,IF($L478="","",IFERROR(VLOOKUP($L478,day_data!$A:$I,3,FALSE),0)),NA())</f>
        <v>#N/A</v>
      </c>
      <c r="O478" s="11" t="e">
        <f>IF($F$3,IF($L478="","",IFERROR(VLOOKUP($L478,day_data!$A:$I,4,FALSE),0)),NA())</f>
        <v>#N/A</v>
      </c>
      <c r="P478" s="58" t="e">
        <f>IF($F$4,IF($L478="","",IFERROR(VLOOKUP($L478,day_data!$A:$I,5,FALSE),0)),NA())</f>
        <v>#N/A</v>
      </c>
      <c r="Q478" s="59" t="e">
        <f>IF($F$8,IF($L478="","",IFERROR(VLOOKUP($L478,day_data!$A:$I,6,FALSE),0)),NA())</f>
        <v>#N/A</v>
      </c>
      <c r="R478" s="11" t="e">
        <f>IF($F$6,IF($L478="","",IFERROR(VLOOKUP($L478,day_data!$A:$I,7,FALSE),0)),NA())</f>
        <v>#N/A</v>
      </c>
      <c r="S478" s="58" t="str">
        <f>IF($F$5,IF($L478="","",IFERROR(VLOOKUP($L478,day_data!$A:$I,8,FALSE),0)),NA())</f>
        <v/>
      </c>
      <c r="T478" s="60" t="e">
        <f>IF($F$7,IF($L478="","",IFERROR(VLOOKUP($L478,day_data!$A:$I,9,FALSE),0)),NA())</f>
        <v>#N/A</v>
      </c>
    </row>
    <row r="479" spans="12:20">
      <c r="L479" s="57" t="str">
        <f t="shared" si="7"/>
        <v/>
      </c>
      <c r="M479" s="11" t="str">
        <f>IF($F$1,IF($L479="","",IFERROR(VLOOKUP($L479,day_data!$A:$I,2,FALSE),0)),NA())</f>
        <v/>
      </c>
      <c r="N479" s="58" t="e">
        <f>IF($F$2,IF($L479="","",IFERROR(VLOOKUP($L479,day_data!$A:$I,3,FALSE),0)),NA())</f>
        <v>#N/A</v>
      </c>
      <c r="O479" s="11" t="e">
        <f>IF($F$3,IF($L479="","",IFERROR(VLOOKUP($L479,day_data!$A:$I,4,FALSE),0)),NA())</f>
        <v>#N/A</v>
      </c>
      <c r="P479" s="58" t="e">
        <f>IF($F$4,IF($L479="","",IFERROR(VLOOKUP($L479,day_data!$A:$I,5,FALSE),0)),NA())</f>
        <v>#N/A</v>
      </c>
      <c r="Q479" s="59" t="e">
        <f>IF($F$8,IF($L479="","",IFERROR(VLOOKUP($L479,day_data!$A:$I,6,FALSE),0)),NA())</f>
        <v>#N/A</v>
      </c>
      <c r="R479" s="11" t="e">
        <f>IF($F$6,IF($L479="","",IFERROR(VLOOKUP($L479,day_data!$A:$I,7,FALSE),0)),NA())</f>
        <v>#N/A</v>
      </c>
      <c r="S479" s="58" t="str">
        <f>IF($F$5,IF($L479="","",IFERROR(VLOOKUP($L479,day_data!$A:$I,8,FALSE),0)),NA())</f>
        <v/>
      </c>
      <c r="T479" s="60" t="e">
        <f>IF($F$7,IF($L479="","",IFERROR(VLOOKUP($L479,day_data!$A:$I,9,FALSE),0)),NA())</f>
        <v>#N/A</v>
      </c>
    </row>
    <row r="480" spans="12:20">
      <c r="L480" s="57" t="str">
        <f t="shared" si="7"/>
        <v/>
      </c>
      <c r="M480" s="11" t="str">
        <f>IF($F$1,IF($L480="","",IFERROR(VLOOKUP($L480,day_data!$A:$I,2,FALSE),0)),NA())</f>
        <v/>
      </c>
      <c r="N480" s="58" t="e">
        <f>IF($F$2,IF($L480="","",IFERROR(VLOOKUP($L480,day_data!$A:$I,3,FALSE),0)),NA())</f>
        <v>#N/A</v>
      </c>
      <c r="O480" s="11" t="e">
        <f>IF($F$3,IF($L480="","",IFERROR(VLOOKUP($L480,day_data!$A:$I,4,FALSE),0)),NA())</f>
        <v>#N/A</v>
      </c>
      <c r="P480" s="58" t="e">
        <f>IF($F$4,IF($L480="","",IFERROR(VLOOKUP($L480,day_data!$A:$I,5,FALSE),0)),NA())</f>
        <v>#N/A</v>
      </c>
      <c r="Q480" s="59" t="e">
        <f>IF($F$8,IF($L480="","",IFERROR(VLOOKUP($L480,day_data!$A:$I,6,FALSE),0)),NA())</f>
        <v>#N/A</v>
      </c>
      <c r="R480" s="11" t="e">
        <f>IF($F$6,IF($L480="","",IFERROR(VLOOKUP($L480,day_data!$A:$I,7,FALSE),0)),NA())</f>
        <v>#N/A</v>
      </c>
      <c r="S480" s="58" t="str">
        <f>IF($F$5,IF($L480="","",IFERROR(VLOOKUP($L480,day_data!$A:$I,8,FALSE),0)),NA())</f>
        <v/>
      </c>
      <c r="T480" s="60" t="e">
        <f>IF($F$7,IF($L480="","",IFERROR(VLOOKUP($L480,day_data!$A:$I,9,FALSE),0)),NA())</f>
        <v>#N/A</v>
      </c>
    </row>
    <row r="481" spans="12:20">
      <c r="L481" s="57" t="str">
        <f t="shared" si="7"/>
        <v/>
      </c>
      <c r="M481" s="11" t="str">
        <f>IF($F$1,IF($L481="","",IFERROR(VLOOKUP($L481,day_data!$A:$I,2,FALSE),0)),NA())</f>
        <v/>
      </c>
      <c r="N481" s="58" t="e">
        <f>IF($F$2,IF($L481="","",IFERROR(VLOOKUP($L481,day_data!$A:$I,3,FALSE),0)),NA())</f>
        <v>#N/A</v>
      </c>
      <c r="O481" s="11" t="e">
        <f>IF($F$3,IF($L481="","",IFERROR(VLOOKUP($L481,day_data!$A:$I,4,FALSE),0)),NA())</f>
        <v>#N/A</v>
      </c>
      <c r="P481" s="58" t="e">
        <f>IF($F$4,IF($L481="","",IFERROR(VLOOKUP($L481,day_data!$A:$I,5,FALSE),0)),NA())</f>
        <v>#N/A</v>
      </c>
      <c r="Q481" s="59" t="e">
        <f>IF($F$8,IF($L481="","",IFERROR(VLOOKUP($L481,day_data!$A:$I,6,FALSE),0)),NA())</f>
        <v>#N/A</v>
      </c>
      <c r="R481" s="11" t="e">
        <f>IF($F$6,IF($L481="","",IFERROR(VLOOKUP($L481,day_data!$A:$I,7,FALSE),0)),NA())</f>
        <v>#N/A</v>
      </c>
      <c r="S481" s="58" t="str">
        <f>IF($F$5,IF($L481="","",IFERROR(VLOOKUP($L481,day_data!$A:$I,8,FALSE),0)),NA())</f>
        <v/>
      </c>
      <c r="T481" s="60" t="e">
        <f>IF($F$7,IF($L481="","",IFERROR(VLOOKUP($L481,day_data!$A:$I,9,FALSE),0)),NA())</f>
        <v>#N/A</v>
      </c>
    </row>
    <row r="482" spans="12:20">
      <c r="L482" s="57" t="str">
        <f t="shared" si="7"/>
        <v/>
      </c>
      <c r="M482" s="11" t="str">
        <f>IF($F$1,IF($L482="","",IFERROR(VLOOKUP($L482,day_data!$A:$I,2,FALSE),0)),NA())</f>
        <v/>
      </c>
      <c r="N482" s="58" t="e">
        <f>IF($F$2,IF($L482="","",IFERROR(VLOOKUP($L482,day_data!$A:$I,3,FALSE),0)),NA())</f>
        <v>#N/A</v>
      </c>
      <c r="O482" s="11" t="e">
        <f>IF($F$3,IF($L482="","",IFERROR(VLOOKUP($L482,day_data!$A:$I,4,FALSE),0)),NA())</f>
        <v>#N/A</v>
      </c>
      <c r="P482" s="58" t="e">
        <f>IF($F$4,IF($L482="","",IFERROR(VLOOKUP($L482,day_data!$A:$I,5,FALSE),0)),NA())</f>
        <v>#N/A</v>
      </c>
      <c r="Q482" s="59" t="e">
        <f>IF($F$8,IF($L482="","",IFERROR(VLOOKUP($L482,day_data!$A:$I,6,FALSE),0)),NA())</f>
        <v>#N/A</v>
      </c>
      <c r="R482" s="11" t="e">
        <f>IF($F$6,IF($L482="","",IFERROR(VLOOKUP($L482,day_data!$A:$I,7,FALSE),0)),NA())</f>
        <v>#N/A</v>
      </c>
      <c r="S482" s="58" t="str">
        <f>IF($F$5,IF($L482="","",IFERROR(VLOOKUP($L482,day_data!$A:$I,8,FALSE),0)),NA())</f>
        <v/>
      </c>
      <c r="T482" s="60" t="e">
        <f>IF($F$7,IF($L482="","",IFERROR(VLOOKUP($L482,day_data!$A:$I,9,FALSE),0)),NA())</f>
        <v>#N/A</v>
      </c>
    </row>
    <row r="483" spans="12:20">
      <c r="L483" s="57" t="str">
        <f t="shared" si="7"/>
        <v/>
      </c>
      <c r="M483" s="11" t="str">
        <f>IF($F$1,IF($L483="","",IFERROR(VLOOKUP($L483,day_data!$A:$I,2,FALSE),0)),NA())</f>
        <v/>
      </c>
      <c r="N483" s="58" t="e">
        <f>IF($F$2,IF($L483="","",IFERROR(VLOOKUP($L483,day_data!$A:$I,3,FALSE),0)),NA())</f>
        <v>#N/A</v>
      </c>
      <c r="O483" s="11" t="e">
        <f>IF($F$3,IF($L483="","",IFERROR(VLOOKUP($L483,day_data!$A:$I,4,FALSE),0)),NA())</f>
        <v>#N/A</v>
      </c>
      <c r="P483" s="58" t="e">
        <f>IF($F$4,IF($L483="","",IFERROR(VLOOKUP($L483,day_data!$A:$I,5,FALSE),0)),NA())</f>
        <v>#N/A</v>
      </c>
      <c r="Q483" s="59" t="e">
        <f>IF($F$8,IF($L483="","",IFERROR(VLOOKUP($L483,day_data!$A:$I,6,FALSE),0)),NA())</f>
        <v>#N/A</v>
      </c>
      <c r="R483" s="11" t="e">
        <f>IF($F$6,IF($L483="","",IFERROR(VLOOKUP($L483,day_data!$A:$I,7,FALSE),0)),NA())</f>
        <v>#N/A</v>
      </c>
      <c r="S483" s="58" t="str">
        <f>IF($F$5,IF($L483="","",IFERROR(VLOOKUP($L483,day_data!$A:$I,8,FALSE),0)),NA())</f>
        <v/>
      </c>
      <c r="T483" s="60" t="e">
        <f>IF($F$7,IF($L483="","",IFERROR(VLOOKUP($L483,day_data!$A:$I,9,FALSE),0)),NA())</f>
        <v>#N/A</v>
      </c>
    </row>
    <row r="484" spans="12:20">
      <c r="L484" s="57" t="str">
        <f t="shared" si="7"/>
        <v/>
      </c>
      <c r="M484" s="11" t="str">
        <f>IF($F$1,IF($L484="","",IFERROR(VLOOKUP($L484,day_data!$A:$I,2,FALSE),0)),NA())</f>
        <v/>
      </c>
      <c r="N484" s="58" t="e">
        <f>IF($F$2,IF($L484="","",IFERROR(VLOOKUP($L484,day_data!$A:$I,3,FALSE),0)),NA())</f>
        <v>#N/A</v>
      </c>
      <c r="O484" s="11" t="e">
        <f>IF($F$3,IF($L484="","",IFERROR(VLOOKUP($L484,day_data!$A:$I,4,FALSE),0)),NA())</f>
        <v>#N/A</v>
      </c>
      <c r="P484" s="58" t="e">
        <f>IF($F$4,IF($L484="","",IFERROR(VLOOKUP($L484,day_data!$A:$I,5,FALSE),0)),NA())</f>
        <v>#N/A</v>
      </c>
      <c r="Q484" s="59" t="e">
        <f>IF($F$8,IF($L484="","",IFERROR(VLOOKUP($L484,day_data!$A:$I,6,FALSE),0)),NA())</f>
        <v>#N/A</v>
      </c>
      <c r="R484" s="11" t="e">
        <f>IF($F$6,IF($L484="","",IFERROR(VLOOKUP($L484,day_data!$A:$I,7,FALSE),0)),NA())</f>
        <v>#N/A</v>
      </c>
      <c r="S484" s="58" t="str">
        <f>IF($F$5,IF($L484="","",IFERROR(VLOOKUP($L484,day_data!$A:$I,8,FALSE),0)),NA())</f>
        <v/>
      </c>
      <c r="T484" s="60" t="e">
        <f>IF($F$7,IF($L484="","",IFERROR(VLOOKUP($L484,day_data!$A:$I,9,FALSE),0)),NA())</f>
        <v>#N/A</v>
      </c>
    </row>
    <row r="485" spans="12:20">
      <c r="L485" s="57" t="str">
        <f t="shared" si="7"/>
        <v/>
      </c>
      <c r="M485" s="11" t="str">
        <f>IF($F$1,IF($L485="","",IFERROR(VLOOKUP($L485,day_data!$A:$I,2,FALSE),0)),NA())</f>
        <v/>
      </c>
      <c r="N485" s="58" t="e">
        <f>IF($F$2,IF($L485="","",IFERROR(VLOOKUP($L485,day_data!$A:$I,3,FALSE),0)),NA())</f>
        <v>#N/A</v>
      </c>
      <c r="O485" s="11" t="e">
        <f>IF($F$3,IF($L485="","",IFERROR(VLOOKUP($L485,day_data!$A:$I,4,FALSE),0)),NA())</f>
        <v>#N/A</v>
      </c>
      <c r="P485" s="58" t="e">
        <f>IF($F$4,IF($L485="","",IFERROR(VLOOKUP($L485,day_data!$A:$I,5,FALSE),0)),NA())</f>
        <v>#N/A</v>
      </c>
      <c r="Q485" s="59" t="e">
        <f>IF($F$8,IF($L485="","",IFERROR(VLOOKUP($L485,day_data!$A:$I,6,FALSE),0)),NA())</f>
        <v>#N/A</v>
      </c>
      <c r="R485" s="11" t="e">
        <f>IF($F$6,IF($L485="","",IFERROR(VLOOKUP($L485,day_data!$A:$I,7,FALSE),0)),NA())</f>
        <v>#N/A</v>
      </c>
      <c r="S485" s="58" t="str">
        <f>IF($F$5,IF($L485="","",IFERROR(VLOOKUP($L485,day_data!$A:$I,8,FALSE),0)),NA())</f>
        <v/>
      </c>
      <c r="T485" s="60" t="e">
        <f>IF($F$7,IF($L485="","",IFERROR(VLOOKUP($L485,day_data!$A:$I,9,FALSE),0)),NA())</f>
        <v>#N/A</v>
      </c>
    </row>
    <row r="486" spans="12:20">
      <c r="L486" s="57" t="str">
        <f t="shared" si="7"/>
        <v/>
      </c>
      <c r="M486" s="11" t="str">
        <f>IF($F$1,IF($L486="","",IFERROR(VLOOKUP($L486,day_data!$A:$I,2,FALSE),0)),NA())</f>
        <v/>
      </c>
      <c r="N486" s="58" t="e">
        <f>IF($F$2,IF($L486="","",IFERROR(VLOOKUP($L486,day_data!$A:$I,3,FALSE),0)),NA())</f>
        <v>#N/A</v>
      </c>
      <c r="O486" s="11" t="e">
        <f>IF($F$3,IF($L486="","",IFERROR(VLOOKUP($L486,day_data!$A:$I,4,FALSE),0)),NA())</f>
        <v>#N/A</v>
      </c>
      <c r="P486" s="58" t="e">
        <f>IF($F$4,IF($L486="","",IFERROR(VLOOKUP($L486,day_data!$A:$I,5,FALSE),0)),NA())</f>
        <v>#N/A</v>
      </c>
      <c r="Q486" s="59" t="e">
        <f>IF($F$8,IF($L486="","",IFERROR(VLOOKUP($L486,day_data!$A:$I,6,FALSE),0)),NA())</f>
        <v>#N/A</v>
      </c>
      <c r="R486" s="11" t="e">
        <f>IF($F$6,IF($L486="","",IFERROR(VLOOKUP($L486,day_data!$A:$I,7,FALSE),0)),NA())</f>
        <v>#N/A</v>
      </c>
      <c r="S486" s="58" t="str">
        <f>IF($F$5,IF($L486="","",IFERROR(VLOOKUP($L486,day_data!$A:$I,8,FALSE),0)),NA())</f>
        <v/>
      </c>
      <c r="T486" s="60" t="e">
        <f>IF($F$7,IF($L486="","",IFERROR(VLOOKUP($L486,day_data!$A:$I,9,FALSE),0)),NA())</f>
        <v>#N/A</v>
      </c>
    </row>
    <row r="487" spans="12:20">
      <c r="L487" s="57" t="str">
        <f t="shared" si="7"/>
        <v/>
      </c>
      <c r="M487" s="11" t="str">
        <f>IF($F$1,IF($L487="","",IFERROR(VLOOKUP($L487,day_data!$A:$I,2,FALSE),0)),NA())</f>
        <v/>
      </c>
      <c r="N487" s="58" t="e">
        <f>IF($F$2,IF($L487="","",IFERROR(VLOOKUP($L487,day_data!$A:$I,3,FALSE),0)),NA())</f>
        <v>#N/A</v>
      </c>
      <c r="O487" s="11" t="e">
        <f>IF($F$3,IF($L487="","",IFERROR(VLOOKUP($L487,day_data!$A:$I,4,FALSE),0)),NA())</f>
        <v>#N/A</v>
      </c>
      <c r="P487" s="58" t="e">
        <f>IF($F$4,IF($L487="","",IFERROR(VLOOKUP($L487,day_data!$A:$I,5,FALSE),0)),NA())</f>
        <v>#N/A</v>
      </c>
      <c r="Q487" s="59" t="e">
        <f>IF($F$8,IF($L487="","",IFERROR(VLOOKUP($L487,day_data!$A:$I,6,FALSE),0)),NA())</f>
        <v>#N/A</v>
      </c>
      <c r="R487" s="11" t="e">
        <f>IF($F$6,IF($L487="","",IFERROR(VLOOKUP($L487,day_data!$A:$I,7,FALSE),0)),NA())</f>
        <v>#N/A</v>
      </c>
      <c r="S487" s="58" t="str">
        <f>IF($F$5,IF($L487="","",IFERROR(VLOOKUP($L487,day_data!$A:$I,8,FALSE),0)),NA())</f>
        <v/>
      </c>
      <c r="T487" s="60" t="e">
        <f>IF($F$7,IF($L487="","",IFERROR(VLOOKUP($L487,day_data!$A:$I,9,FALSE),0)),NA())</f>
        <v>#N/A</v>
      </c>
    </row>
    <row r="488" spans="12:20">
      <c r="L488" s="57" t="str">
        <f t="shared" si="7"/>
        <v/>
      </c>
      <c r="M488" s="11" t="str">
        <f>IF($F$1,IF($L488="","",IFERROR(VLOOKUP($L488,day_data!$A:$I,2,FALSE),0)),NA())</f>
        <v/>
      </c>
      <c r="N488" s="58" t="e">
        <f>IF($F$2,IF($L488="","",IFERROR(VLOOKUP($L488,day_data!$A:$I,3,FALSE),0)),NA())</f>
        <v>#N/A</v>
      </c>
      <c r="O488" s="11" t="e">
        <f>IF($F$3,IF($L488="","",IFERROR(VLOOKUP($L488,day_data!$A:$I,4,FALSE),0)),NA())</f>
        <v>#N/A</v>
      </c>
      <c r="P488" s="58" t="e">
        <f>IF($F$4,IF($L488="","",IFERROR(VLOOKUP($L488,day_data!$A:$I,5,FALSE),0)),NA())</f>
        <v>#N/A</v>
      </c>
      <c r="Q488" s="59" t="e">
        <f>IF($F$8,IF($L488="","",IFERROR(VLOOKUP($L488,day_data!$A:$I,6,FALSE),0)),NA())</f>
        <v>#N/A</v>
      </c>
      <c r="R488" s="11" t="e">
        <f>IF($F$6,IF($L488="","",IFERROR(VLOOKUP($L488,day_data!$A:$I,7,FALSE),0)),NA())</f>
        <v>#N/A</v>
      </c>
      <c r="S488" s="58" t="str">
        <f>IF($F$5,IF($L488="","",IFERROR(VLOOKUP($L488,day_data!$A:$I,8,FALSE),0)),NA())</f>
        <v/>
      </c>
      <c r="T488" s="60" t="e">
        <f>IF($F$7,IF($L488="","",IFERROR(VLOOKUP($L488,day_data!$A:$I,9,FALSE),0)),NA())</f>
        <v>#N/A</v>
      </c>
    </row>
    <row r="489" spans="12:20">
      <c r="L489" s="57" t="str">
        <f t="shared" si="7"/>
        <v/>
      </c>
      <c r="M489" s="11" t="str">
        <f>IF($F$1,IF($L489="","",IFERROR(VLOOKUP($L489,day_data!$A:$I,2,FALSE),0)),NA())</f>
        <v/>
      </c>
      <c r="N489" s="58" t="e">
        <f>IF($F$2,IF($L489="","",IFERROR(VLOOKUP($L489,day_data!$A:$I,3,FALSE),0)),NA())</f>
        <v>#N/A</v>
      </c>
      <c r="O489" s="11" t="e">
        <f>IF($F$3,IF($L489="","",IFERROR(VLOOKUP($L489,day_data!$A:$I,4,FALSE),0)),NA())</f>
        <v>#N/A</v>
      </c>
      <c r="P489" s="58" t="e">
        <f>IF($F$4,IF($L489="","",IFERROR(VLOOKUP($L489,day_data!$A:$I,5,FALSE),0)),NA())</f>
        <v>#N/A</v>
      </c>
      <c r="Q489" s="59" t="e">
        <f>IF($F$8,IF($L489="","",IFERROR(VLOOKUP($L489,day_data!$A:$I,6,FALSE),0)),NA())</f>
        <v>#N/A</v>
      </c>
      <c r="R489" s="11" t="e">
        <f>IF($F$6,IF($L489="","",IFERROR(VLOOKUP($L489,day_data!$A:$I,7,FALSE),0)),NA())</f>
        <v>#N/A</v>
      </c>
      <c r="S489" s="58" t="str">
        <f>IF($F$5,IF($L489="","",IFERROR(VLOOKUP($L489,day_data!$A:$I,8,FALSE),0)),NA())</f>
        <v/>
      </c>
      <c r="T489" s="60" t="e">
        <f>IF($F$7,IF($L489="","",IFERROR(VLOOKUP($L489,day_data!$A:$I,9,FALSE),0)),NA())</f>
        <v>#N/A</v>
      </c>
    </row>
    <row r="490" spans="12:20">
      <c r="L490" s="57" t="str">
        <f t="shared" si="7"/>
        <v/>
      </c>
      <c r="M490" s="11" t="str">
        <f>IF($F$1,IF($L490="","",IFERROR(VLOOKUP($L490,day_data!$A:$I,2,FALSE),0)),NA())</f>
        <v/>
      </c>
      <c r="N490" s="58" t="e">
        <f>IF($F$2,IF($L490="","",IFERROR(VLOOKUP($L490,day_data!$A:$I,3,FALSE),0)),NA())</f>
        <v>#N/A</v>
      </c>
      <c r="O490" s="11" t="e">
        <f>IF($F$3,IF($L490="","",IFERROR(VLOOKUP($L490,day_data!$A:$I,4,FALSE),0)),NA())</f>
        <v>#N/A</v>
      </c>
      <c r="P490" s="58" t="e">
        <f>IF($F$4,IF($L490="","",IFERROR(VLOOKUP($L490,day_data!$A:$I,5,FALSE),0)),NA())</f>
        <v>#N/A</v>
      </c>
      <c r="Q490" s="59" t="e">
        <f>IF($F$8,IF($L490="","",IFERROR(VLOOKUP($L490,day_data!$A:$I,6,FALSE),0)),NA())</f>
        <v>#N/A</v>
      </c>
      <c r="R490" s="11" t="e">
        <f>IF($F$6,IF($L490="","",IFERROR(VLOOKUP($L490,day_data!$A:$I,7,FALSE),0)),NA())</f>
        <v>#N/A</v>
      </c>
      <c r="S490" s="58" t="str">
        <f>IF($F$5,IF($L490="","",IFERROR(VLOOKUP($L490,day_data!$A:$I,8,FALSE),0)),NA())</f>
        <v/>
      </c>
      <c r="T490" s="60" t="e">
        <f>IF($F$7,IF($L490="","",IFERROR(VLOOKUP($L490,day_data!$A:$I,9,FALSE),0)),NA())</f>
        <v>#N/A</v>
      </c>
    </row>
    <row r="491" spans="12:20">
      <c r="L491" s="57" t="str">
        <f t="shared" si="7"/>
        <v/>
      </c>
      <c r="M491" s="11" t="str">
        <f>IF($F$1,IF($L491="","",IFERROR(VLOOKUP($L491,day_data!$A:$I,2,FALSE),0)),NA())</f>
        <v/>
      </c>
      <c r="N491" s="58" t="e">
        <f>IF($F$2,IF($L491="","",IFERROR(VLOOKUP($L491,day_data!$A:$I,3,FALSE),0)),NA())</f>
        <v>#N/A</v>
      </c>
      <c r="O491" s="11" t="e">
        <f>IF($F$3,IF($L491="","",IFERROR(VLOOKUP($L491,day_data!$A:$I,4,FALSE),0)),NA())</f>
        <v>#N/A</v>
      </c>
      <c r="P491" s="58" t="e">
        <f>IF($F$4,IF($L491="","",IFERROR(VLOOKUP($L491,day_data!$A:$I,5,FALSE),0)),NA())</f>
        <v>#N/A</v>
      </c>
      <c r="Q491" s="59" t="e">
        <f>IF($F$8,IF($L491="","",IFERROR(VLOOKUP($L491,day_data!$A:$I,6,FALSE),0)),NA())</f>
        <v>#N/A</v>
      </c>
      <c r="R491" s="11" t="e">
        <f>IF($F$6,IF($L491="","",IFERROR(VLOOKUP($L491,day_data!$A:$I,7,FALSE),0)),NA())</f>
        <v>#N/A</v>
      </c>
      <c r="S491" s="58" t="str">
        <f>IF($F$5,IF($L491="","",IFERROR(VLOOKUP($L491,day_data!$A:$I,8,FALSE),0)),NA())</f>
        <v/>
      </c>
      <c r="T491" s="60" t="e">
        <f>IF($F$7,IF($L491="","",IFERROR(VLOOKUP($L491,day_data!$A:$I,9,FALSE),0)),NA())</f>
        <v>#N/A</v>
      </c>
    </row>
    <row r="492" spans="12:20">
      <c r="L492" s="57" t="str">
        <f t="shared" si="7"/>
        <v/>
      </c>
      <c r="M492" s="11" t="str">
        <f>IF($F$1,IF($L492="","",IFERROR(VLOOKUP($L492,day_data!$A:$I,2,FALSE),0)),NA())</f>
        <v/>
      </c>
      <c r="N492" s="58" t="e">
        <f>IF($F$2,IF($L492="","",IFERROR(VLOOKUP($L492,day_data!$A:$I,3,FALSE),0)),NA())</f>
        <v>#N/A</v>
      </c>
      <c r="O492" s="11" t="e">
        <f>IF($F$3,IF($L492="","",IFERROR(VLOOKUP($L492,day_data!$A:$I,4,FALSE),0)),NA())</f>
        <v>#N/A</v>
      </c>
      <c r="P492" s="58" t="e">
        <f>IF($F$4,IF($L492="","",IFERROR(VLOOKUP($L492,day_data!$A:$I,5,FALSE),0)),NA())</f>
        <v>#N/A</v>
      </c>
      <c r="Q492" s="59" t="e">
        <f>IF($F$8,IF($L492="","",IFERROR(VLOOKUP($L492,day_data!$A:$I,6,FALSE),0)),NA())</f>
        <v>#N/A</v>
      </c>
      <c r="R492" s="11" t="e">
        <f>IF($F$6,IF($L492="","",IFERROR(VLOOKUP($L492,day_data!$A:$I,7,FALSE),0)),NA())</f>
        <v>#N/A</v>
      </c>
      <c r="S492" s="58" t="str">
        <f>IF($F$5,IF($L492="","",IFERROR(VLOOKUP($L492,day_data!$A:$I,8,FALSE),0)),NA())</f>
        <v/>
      </c>
      <c r="T492" s="60" t="e">
        <f>IF($F$7,IF($L492="","",IFERROR(VLOOKUP($L492,day_data!$A:$I,9,FALSE),0)),NA())</f>
        <v>#N/A</v>
      </c>
    </row>
    <row r="493" spans="12:20">
      <c r="L493" s="57" t="str">
        <f t="shared" si="7"/>
        <v/>
      </c>
      <c r="M493" s="11" t="str">
        <f>IF($F$1,IF($L493="","",IFERROR(VLOOKUP($L493,day_data!$A:$I,2,FALSE),0)),NA())</f>
        <v/>
      </c>
      <c r="N493" s="58" t="e">
        <f>IF($F$2,IF($L493="","",IFERROR(VLOOKUP($L493,day_data!$A:$I,3,FALSE),0)),NA())</f>
        <v>#N/A</v>
      </c>
      <c r="O493" s="11" t="e">
        <f>IF($F$3,IF($L493="","",IFERROR(VLOOKUP($L493,day_data!$A:$I,4,FALSE),0)),NA())</f>
        <v>#N/A</v>
      </c>
      <c r="P493" s="58" t="e">
        <f>IF($F$4,IF($L493="","",IFERROR(VLOOKUP($L493,day_data!$A:$I,5,FALSE),0)),NA())</f>
        <v>#N/A</v>
      </c>
      <c r="Q493" s="59" t="e">
        <f>IF($F$8,IF($L493="","",IFERROR(VLOOKUP($L493,day_data!$A:$I,6,FALSE),0)),NA())</f>
        <v>#N/A</v>
      </c>
      <c r="R493" s="11" t="e">
        <f>IF($F$6,IF($L493="","",IFERROR(VLOOKUP($L493,day_data!$A:$I,7,FALSE),0)),NA())</f>
        <v>#N/A</v>
      </c>
      <c r="S493" s="58" t="str">
        <f>IF($F$5,IF($L493="","",IFERROR(VLOOKUP($L493,day_data!$A:$I,8,FALSE),0)),NA())</f>
        <v/>
      </c>
      <c r="T493" s="60" t="e">
        <f>IF($F$7,IF($L493="","",IFERROR(VLOOKUP($L493,day_data!$A:$I,9,FALSE),0)),NA())</f>
        <v>#N/A</v>
      </c>
    </row>
    <row r="494" spans="12:20">
      <c r="L494" s="57" t="str">
        <f t="shared" si="7"/>
        <v/>
      </c>
      <c r="M494" s="11" t="str">
        <f>IF($F$1,IF($L494="","",IFERROR(VLOOKUP($L494,day_data!$A:$I,2,FALSE),0)),NA())</f>
        <v/>
      </c>
      <c r="N494" s="58" t="e">
        <f>IF($F$2,IF($L494="","",IFERROR(VLOOKUP($L494,day_data!$A:$I,3,FALSE),0)),NA())</f>
        <v>#N/A</v>
      </c>
      <c r="O494" s="11" t="e">
        <f>IF($F$3,IF($L494="","",IFERROR(VLOOKUP($L494,day_data!$A:$I,4,FALSE),0)),NA())</f>
        <v>#N/A</v>
      </c>
      <c r="P494" s="58" t="e">
        <f>IF($F$4,IF($L494="","",IFERROR(VLOOKUP($L494,day_data!$A:$I,5,FALSE),0)),NA())</f>
        <v>#N/A</v>
      </c>
      <c r="Q494" s="59" t="e">
        <f>IF($F$8,IF($L494="","",IFERROR(VLOOKUP($L494,day_data!$A:$I,6,FALSE),0)),NA())</f>
        <v>#N/A</v>
      </c>
      <c r="R494" s="11" t="e">
        <f>IF($F$6,IF($L494="","",IFERROR(VLOOKUP($L494,day_data!$A:$I,7,FALSE),0)),NA())</f>
        <v>#N/A</v>
      </c>
      <c r="S494" s="58" t="str">
        <f>IF($F$5,IF($L494="","",IFERROR(VLOOKUP($L494,day_data!$A:$I,8,FALSE),0)),NA())</f>
        <v/>
      </c>
      <c r="T494" s="60" t="e">
        <f>IF($F$7,IF($L494="","",IFERROR(VLOOKUP($L494,day_data!$A:$I,9,FALSE),0)),NA())</f>
        <v>#N/A</v>
      </c>
    </row>
    <row r="495" spans="12:20">
      <c r="L495" s="57" t="str">
        <f t="shared" si="7"/>
        <v/>
      </c>
      <c r="M495" s="11" t="str">
        <f>IF($F$1,IF($L495="","",IFERROR(VLOOKUP($L495,day_data!$A:$I,2,FALSE),0)),NA())</f>
        <v/>
      </c>
      <c r="N495" s="58" t="e">
        <f>IF($F$2,IF($L495="","",IFERROR(VLOOKUP($L495,day_data!$A:$I,3,FALSE),0)),NA())</f>
        <v>#N/A</v>
      </c>
      <c r="O495" s="11" t="e">
        <f>IF($F$3,IF($L495="","",IFERROR(VLOOKUP($L495,day_data!$A:$I,4,FALSE),0)),NA())</f>
        <v>#N/A</v>
      </c>
      <c r="P495" s="58" t="e">
        <f>IF($F$4,IF($L495="","",IFERROR(VLOOKUP($L495,day_data!$A:$I,5,FALSE),0)),NA())</f>
        <v>#N/A</v>
      </c>
      <c r="Q495" s="59" t="e">
        <f>IF($F$8,IF($L495="","",IFERROR(VLOOKUP($L495,day_data!$A:$I,6,FALSE),0)),NA())</f>
        <v>#N/A</v>
      </c>
      <c r="R495" s="11" t="e">
        <f>IF($F$6,IF($L495="","",IFERROR(VLOOKUP($L495,day_data!$A:$I,7,FALSE),0)),NA())</f>
        <v>#N/A</v>
      </c>
      <c r="S495" s="58" t="str">
        <f>IF($F$5,IF($L495="","",IFERROR(VLOOKUP($L495,day_data!$A:$I,8,FALSE),0)),NA())</f>
        <v/>
      </c>
      <c r="T495" s="60" t="e">
        <f>IF($F$7,IF($L495="","",IFERROR(VLOOKUP($L495,day_data!$A:$I,9,FALSE),0)),NA())</f>
        <v>#N/A</v>
      </c>
    </row>
    <row r="496" spans="12:20">
      <c r="L496" s="57" t="str">
        <f t="shared" si="7"/>
        <v/>
      </c>
      <c r="M496" s="11" t="str">
        <f>IF($F$1,IF($L496="","",IFERROR(VLOOKUP($L496,day_data!$A:$I,2,FALSE),0)),NA())</f>
        <v/>
      </c>
      <c r="N496" s="58" t="e">
        <f>IF($F$2,IF($L496="","",IFERROR(VLOOKUP($L496,day_data!$A:$I,3,FALSE),0)),NA())</f>
        <v>#N/A</v>
      </c>
      <c r="O496" s="11" t="e">
        <f>IF($F$3,IF($L496="","",IFERROR(VLOOKUP($L496,day_data!$A:$I,4,FALSE),0)),NA())</f>
        <v>#N/A</v>
      </c>
      <c r="P496" s="58" t="e">
        <f>IF($F$4,IF($L496="","",IFERROR(VLOOKUP($L496,day_data!$A:$I,5,FALSE),0)),NA())</f>
        <v>#N/A</v>
      </c>
      <c r="Q496" s="59" t="e">
        <f>IF($F$8,IF($L496="","",IFERROR(VLOOKUP($L496,day_data!$A:$I,6,FALSE),0)),NA())</f>
        <v>#N/A</v>
      </c>
      <c r="R496" s="11" t="e">
        <f>IF($F$6,IF($L496="","",IFERROR(VLOOKUP($L496,day_data!$A:$I,7,FALSE),0)),NA())</f>
        <v>#N/A</v>
      </c>
      <c r="S496" s="58" t="str">
        <f>IF($F$5,IF($L496="","",IFERROR(VLOOKUP($L496,day_data!$A:$I,8,FALSE),0)),NA())</f>
        <v/>
      </c>
      <c r="T496" s="60" t="e">
        <f>IF($F$7,IF($L496="","",IFERROR(VLOOKUP($L496,day_data!$A:$I,9,FALSE),0)),NA())</f>
        <v>#N/A</v>
      </c>
    </row>
    <row r="497" spans="12:20">
      <c r="L497" s="57" t="str">
        <f t="shared" si="7"/>
        <v/>
      </c>
      <c r="M497" s="11" t="str">
        <f>IF($F$1,IF($L497="","",IFERROR(VLOOKUP($L497,day_data!$A:$I,2,FALSE),0)),NA())</f>
        <v/>
      </c>
      <c r="N497" s="58" t="e">
        <f>IF($F$2,IF($L497="","",IFERROR(VLOOKUP($L497,day_data!$A:$I,3,FALSE),0)),NA())</f>
        <v>#N/A</v>
      </c>
      <c r="O497" s="11" t="e">
        <f>IF($F$3,IF($L497="","",IFERROR(VLOOKUP($L497,day_data!$A:$I,4,FALSE),0)),NA())</f>
        <v>#N/A</v>
      </c>
      <c r="P497" s="58" t="e">
        <f>IF($F$4,IF($L497="","",IFERROR(VLOOKUP($L497,day_data!$A:$I,5,FALSE),0)),NA())</f>
        <v>#N/A</v>
      </c>
      <c r="Q497" s="59" t="e">
        <f>IF($F$8,IF($L497="","",IFERROR(VLOOKUP($L497,day_data!$A:$I,6,FALSE),0)),NA())</f>
        <v>#N/A</v>
      </c>
      <c r="R497" s="11" t="e">
        <f>IF($F$6,IF($L497="","",IFERROR(VLOOKUP($L497,day_data!$A:$I,7,FALSE),0)),NA())</f>
        <v>#N/A</v>
      </c>
      <c r="S497" s="58" t="str">
        <f>IF($F$5,IF($L497="","",IFERROR(VLOOKUP($L497,day_data!$A:$I,8,FALSE),0)),NA())</f>
        <v/>
      </c>
      <c r="T497" s="60" t="e">
        <f>IF($F$7,IF($L497="","",IFERROR(VLOOKUP($L497,day_data!$A:$I,9,FALSE),0)),NA())</f>
        <v>#N/A</v>
      </c>
    </row>
    <row r="498" spans="12:20">
      <c r="L498" s="57" t="str">
        <f t="shared" si="7"/>
        <v/>
      </c>
      <c r="M498" s="11" t="str">
        <f>IF($F$1,IF($L498="","",IFERROR(VLOOKUP($L498,day_data!$A:$I,2,FALSE),0)),NA())</f>
        <v/>
      </c>
      <c r="N498" s="58" t="e">
        <f>IF($F$2,IF($L498="","",IFERROR(VLOOKUP($L498,day_data!$A:$I,3,FALSE),0)),NA())</f>
        <v>#N/A</v>
      </c>
      <c r="O498" s="11" t="e">
        <f>IF($F$3,IF($L498="","",IFERROR(VLOOKUP($L498,day_data!$A:$I,4,FALSE),0)),NA())</f>
        <v>#N/A</v>
      </c>
      <c r="P498" s="58" t="e">
        <f>IF($F$4,IF($L498="","",IFERROR(VLOOKUP($L498,day_data!$A:$I,5,FALSE),0)),NA())</f>
        <v>#N/A</v>
      </c>
      <c r="Q498" s="59" t="e">
        <f>IF($F$8,IF($L498="","",IFERROR(VLOOKUP($L498,day_data!$A:$I,6,FALSE),0)),NA())</f>
        <v>#N/A</v>
      </c>
      <c r="R498" s="11" t="e">
        <f>IF($F$6,IF($L498="","",IFERROR(VLOOKUP($L498,day_data!$A:$I,7,FALSE),0)),NA())</f>
        <v>#N/A</v>
      </c>
      <c r="S498" s="58" t="str">
        <f>IF($F$5,IF($L498="","",IFERROR(VLOOKUP($L498,day_data!$A:$I,8,FALSE),0)),NA())</f>
        <v/>
      </c>
      <c r="T498" s="60" t="e">
        <f>IF($F$7,IF($L498="","",IFERROR(VLOOKUP($L498,day_data!$A:$I,9,FALSE),0)),NA())</f>
        <v>#N/A</v>
      </c>
    </row>
    <row r="499" spans="12:20">
      <c r="L499" s="57" t="str">
        <f t="shared" si="7"/>
        <v/>
      </c>
      <c r="M499" s="11" t="str">
        <f>IF($F$1,IF($L499="","",IFERROR(VLOOKUP($L499,day_data!$A:$I,2,FALSE),0)),NA())</f>
        <v/>
      </c>
      <c r="N499" s="58" t="e">
        <f>IF($F$2,IF($L499="","",IFERROR(VLOOKUP($L499,day_data!$A:$I,3,FALSE),0)),NA())</f>
        <v>#N/A</v>
      </c>
      <c r="O499" s="11" t="e">
        <f>IF($F$3,IF($L499="","",IFERROR(VLOOKUP($L499,day_data!$A:$I,4,FALSE),0)),NA())</f>
        <v>#N/A</v>
      </c>
      <c r="P499" s="58" t="e">
        <f>IF($F$4,IF($L499="","",IFERROR(VLOOKUP($L499,day_data!$A:$I,5,FALSE),0)),NA())</f>
        <v>#N/A</v>
      </c>
      <c r="Q499" s="59" t="e">
        <f>IF($F$8,IF($L499="","",IFERROR(VLOOKUP($L499,day_data!$A:$I,6,FALSE),0)),NA())</f>
        <v>#N/A</v>
      </c>
      <c r="R499" s="11" t="e">
        <f>IF($F$6,IF($L499="","",IFERROR(VLOOKUP($L499,day_data!$A:$I,7,FALSE),0)),NA())</f>
        <v>#N/A</v>
      </c>
      <c r="S499" s="58" t="str">
        <f>IF($F$5,IF($L499="","",IFERROR(VLOOKUP($L499,day_data!$A:$I,8,FALSE),0)),NA())</f>
        <v/>
      </c>
      <c r="T499" s="60" t="e">
        <f>IF($F$7,IF($L499="","",IFERROR(VLOOKUP($L499,day_data!$A:$I,9,FALSE),0)),NA())</f>
        <v>#N/A</v>
      </c>
    </row>
    <row r="500" spans="12:20">
      <c r="L500" s="57" t="str">
        <f t="shared" si="7"/>
        <v/>
      </c>
      <c r="M500" s="11" t="str">
        <f>IF($F$1,IF($L500="","",IFERROR(VLOOKUP($L500,day_data!$A:$I,2,FALSE),0)),NA())</f>
        <v/>
      </c>
      <c r="N500" s="58" t="e">
        <f>IF($F$2,IF($L500="","",IFERROR(VLOOKUP($L500,day_data!$A:$I,3,FALSE),0)),NA())</f>
        <v>#N/A</v>
      </c>
      <c r="O500" s="11" t="e">
        <f>IF($F$3,IF($L500="","",IFERROR(VLOOKUP($L500,day_data!$A:$I,4,FALSE),0)),NA())</f>
        <v>#N/A</v>
      </c>
      <c r="P500" s="58" t="e">
        <f>IF($F$4,IF($L500="","",IFERROR(VLOOKUP($L500,day_data!$A:$I,5,FALSE),0)),NA())</f>
        <v>#N/A</v>
      </c>
      <c r="Q500" s="59" t="e">
        <f>IF($F$8,IF($L500="","",IFERROR(VLOOKUP($L500,day_data!$A:$I,6,FALSE),0)),NA())</f>
        <v>#N/A</v>
      </c>
      <c r="R500" s="11" t="e">
        <f>IF($F$6,IF($L500="","",IFERROR(VLOOKUP($L500,day_data!$A:$I,7,FALSE),0)),NA())</f>
        <v>#N/A</v>
      </c>
      <c r="S500" s="58" t="str">
        <f>IF($F$5,IF($L500="","",IFERROR(VLOOKUP($L500,day_data!$A:$I,8,FALSE),0)),NA())</f>
        <v/>
      </c>
      <c r="T500" s="60" t="e">
        <f>IF($F$7,IF($L500="","",IFERROR(VLOOKUP($L500,day_data!$A:$I,9,FALSE),0)),NA())</f>
        <v>#N/A</v>
      </c>
    </row>
    <row r="501" spans="12:20">
      <c r="L501" s="57" t="str">
        <f t="shared" si="7"/>
        <v/>
      </c>
      <c r="M501" s="11" t="str">
        <f>IF($F$1,IF($L501="","",IFERROR(VLOOKUP($L501,day_data!$A:$I,2,FALSE),0)),NA())</f>
        <v/>
      </c>
      <c r="N501" s="58" t="e">
        <f>IF($F$2,IF($L501="","",IFERROR(VLOOKUP($L501,day_data!$A:$I,3,FALSE),0)),NA())</f>
        <v>#N/A</v>
      </c>
      <c r="O501" s="11" t="e">
        <f>IF($F$3,IF($L501="","",IFERROR(VLOOKUP($L501,day_data!$A:$I,4,FALSE),0)),NA())</f>
        <v>#N/A</v>
      </c>
      <c r="P501" s="58" t="e">
        <f>IF($F$4,IF($L501="","",IFERROR(VLOOKUP($L501,day_data!$A:$I,5,FALSE),0)),NA())</f>
        <v>#N/A</v>
      </c>
      <c r="Q501" s="59" t="e">
        <f>IF($F$8,IF($L501="","",IFERROR(VLOOKUP($L501,day_data!$A:$I,6,FALSE),0)),NA())</f>
        <v>#N/A</v>
      </c>
      <c r="R501" s="11" t="e">
        <f>IF($F$6,IF($L501="","",IFERROR(VLOOKUP($L501,day_data!$A:$I,7,FALSE),0)),NA())</f>
        <v>#N/A</v>
      </c>
      <c r="S501" s="58" t="str">
        <f>IF($F$5,IF($L501="","",IFERROR(VLOOKUP($L501,day_data!$A:$I,8,FALSE),0)),NA())</f>
        <v/>
      </c>
      <c r="T501" s="60" t="e">
        <f>IF($F$7,IF($L501="","",IFERROR(VLOOKUP($L501,day_data!$A:$I,9,FALSE),0)),NA())</f>
        <v>#N/A</v>
      </c>
    </row>
    <row r="502" spans="12:20">
      <c r="L502" s="57" t="str">
        <f t="shared" si="7"/>
        <v/>
      </c>
      <c r="M502" s="11" t="str">
        <f>IF($F$1,IF($L502="","",IFERROR(VLOOKUP($L502,day_data!$A:$I,2,FALSE),0)),NA())</f>
        <v/>
      </c>
      <c r="N502" s="58" t="e">
        <f>IF($F$2,IF($L502="","",IFERROR(VLOOKUP($L502,day_data!$A:$I,3,FALSE),0)),NA())</f>
        <v>#N/A</v>
      </c>
      <c r="O502" s="11" t="e">
        <f>IF($F$3,IF($L502="","",IFERROR(VLOOKUP($L502,day_data!$A:$I,4,FALSE),0)),NA())</f>
        <v>#N/A</v>
      </c>
      <c r="P502" s="58" t="e">
        <f>IF($F$4,IF($L502="","",IFERROR(VLOOKUP($L502,day_data!$A:$I,5,FALSE),0)),NA())</f>
        <v>#N/A</v>
      </c>
      <c r="Q502" s="59" t="e">
        <f>IF($F$8,IF($L502="","",IFERROR(VLOOKUP($L502,day_data!$A:$I,6,FALSE),0)),NA())</f>
        <v>#N/A</v>
      </c>
      <c r="R502" s="11" t="e">
        <f>IF($F$6,IF($L502="","",IFERROR(VLOOKUP($L502,day_data!$A:$I,7,FALSE),0)),NA())</f>
        <v>#N/A</v>
      </c>
      <c r="S502" s="58" t="str">
        <f>IF($F$5,IF($L502="","",IFERROR(VLOOKUP($L502,day_data!$A:$I,8,FALSE),0)),NA())</f>
        <v/>
      </c>
      <c r="T502" s="60" t="e">
        <f>IF($F$7,IF($L502="","",IFERROR(VLOOKUP($L502,day_data!$A:$I,9,FALSE),0)),NA())</f>
        <v>#N/A</v>
      </c>
    </row>
    <row r="503" spans="12:20">
      <c r="L503" s="57" t="str">
        <f t="shared" si="7"/>
        <v/>
      </c>
      <c r="M503" s="11" t="str">
        <f>IF($F$1,IF($L503="","",IFERROR(VLOOKUP($L503,day_data!$A:$I,2,FALSE),0)),NA())</f>
        <v/>
      </c>
      <c r="N503" s="58" t="e">
        <f>IF($F$2,IF($L503="","",IFERROR(VLOOKUP($L503,day_data!$A:$I,3,FALSE),0)),NA())</f>
        <v>#N/A</v>
      </c>
      <c r="O503" s="11" t="e">
        <f>IF($F$3,IF($L503="","",IFERROR(VLOOKUP($L503,day_data!$A:$I,4,FALSE),0)),NA())</f>
        <v>#N/A</v>
      </c>
      <c r="P503" s="58" t="e">
        <f>IF($F$4,IF($L503="","",IFERROR(VLOOKUP($L503,day_data!$A:$I,5,FALSE),0)),NA())</f>
        <v>#N/A</v>
      </c>
      <c r="Q503" s="59" t="e">
        <f>IF($F$8,IF($L503="","",IFERROR(VLOOKUP($L503,day_data!$A:$I,6,FALSE),0)),NA())</f>
        <v>#N/A</v>
      </c>
      <c r="R503" s="11" t="e">
        <f>IF($F$6,IF($L503="","",IFERROR(VLOOKUP($L503,day_data!$A:$I,7,FALSE),0)),NA())</f>
        <v>#N/A</v>
      </c>
      <c r="S503" s="58" t="str">
        <f>IF($F$5,IF($L503="","",IFERROR(VLOOKUP($L503,day_data!$A:$I,8,FALSE),0)),NA())</f>
        <v/>
      </c>
      <c r="T503" s="60" t="e">
        <f>IF($F$7,IF($L503="","",IFERROR(VLOOKUP($L503,day_data!$A:$I,9,FALSE),0)),NA())</f>
        <v>#N/A</v>
      </c>
    </row>
    <row r="504" spans="12:20">
      <c r="L504" s="57" t="str">
        <f t="shared" si="7"/>
        <v/>
      </c>
      <c r="M504" s="11" t="str">
        <f>IF($F$1,IF($L504="","",IFERROR(VLOOKUP($L504,day_data!$A:$I,2,FALSE),0)),NA())</f>
        <v/>
      </c>
      <c r="N504" s="58" t="e">
        <f>IF($F$2,IF($L504="","",IFERROR(VLOOKUP($L504,day_data!$A:$I,3,FALSE),0)),NA())</f>
        <v>#N/A</v>
      </c>
      <c r="O504" s="11" t="e">
        <f>IF($F$3,IF($L504="","",IFERROR(VLOOKUP($L504,day_data!$A:$I,4,FALSE),0)),NA())</f>
        <v>#N/A</v>
      </c>
      <c r="P504" s="58" t="e">
        <f>IF($F$4,IF($L504="","",IFERROR(VLOOKUP($L504,day_data!$A:$I,5,FALSE),0)),NA())</f>
        <v>#N/A</v>
      </c>
      <c r="Q504" s="59" t="e">
        <f>IF($F$8,IF($L504="","",IFERROR(VLOOKUP($L504,day_data!$A:$I,6,FALSE),0)),NA())</f>
        <v>#N/A</v>
      </c>
      <c r="R504" s="11" t="e">
        <f>IF($F$6,IF($L504="","",IFERROR(VLOOKUP($L504,day_data!$A:$I,7,FALSE),0)),NA())</f>
        <v>#N/A</v>
      </c>
      <c r="S504" s="58" t="str">
        <f>IF($F$5,IF($L504="","",IFERROR(VLOOKUP($L504,day_data!$A:$I,8,FALSE),0)),NA())</f>
        <v/>
      </c>
      <c r="T504" s="60" t="e">
        <f>IF($F$7,IF($L504="","",IFERROR(VLOOKUP($L504,day_data!$A:$I,9,FALSE),0)),NA())</f>
        <v>#N/A</v>
      </c>
    </row>
    <row r="505" spans="12:20">
      <c r="L505" s="57" t="str">
        <f t="shared" si="7"/>
        <v/>
      </c>
      <c r="M505" s="11" t="str">
        <f>IF($F$1,IF($L505="","",IFERROR(VLOOKUP($L505,day_data!$A:$I,2,FALSE),0)),NA())</f>
        <v/>
      </c>
      <c r="N505" s="58" t="e">
        <f>IF($F$2,IF($L505="","",IFERROR(VLOOKUP($L505,day_data!$A:$I,3,FALSE),0)),NA())</f>
        <v>#N/A</v>
      </c>
      <c r="O505" s="11" t="e">
        <f>IF($F$3,IF($L505="","",IFERROR(VLOOKUP($L505,day_data!$A:$I,4,FALSE),0)),NA())</f>
        <v>#N/A</v>
      </c>
      <c r="P505" s="58" t="e">
        <f>IF($F$4,IF($L505="","",IFERROR(VLOOKUP($L505,day_data!$A:$I,5,FALSE),0)),NA())</f>
        <v>#N/A</v>
      </c>
      <c r="Q505" s="59" t="e">
        <f>IF($F$8,IF($L505="","",IFERROR(VLOOKUP($L505,day_data!$A:$I,6,FALSE),0)),NA())</f>
        <v>#N/A</v>
      </c>
      <c r="R505" s="11" t="e">
        <f>IF($F$6,IF($L505="","",IFERROR(VLOOKUP($L505,day_data!$A:$I,7,FALSE),0)),NA())</f>
        <v>#N/A</v>
      </c>
      <c r="S505" s="58" t="str">
        <f>IF($F$5,IF($L505="","",IFERROR(VLOOKUP($L505,day_data!$A:$I,8,FALSE),0)),NA())</f>
        <v/>
      </c>
      <c r="T505" s="60" t="e">
        <f>IF($F$7,IF($L505="","",IFERROR(VLOOKUP($L505,day_data!$A:$I,9,FALSE),0)),NA())</f>
        <v>#N/A</v>
      </c>
    </row>
    <row r="506" spans="12:20">
      <c r="L506" s="57" t="str">
        <f t="shared" si="7"/>
        <v/>
      </c>
      <c r="M506" s="11" t="str">
        <f>IF($F$1,IF($L506="","",IFERROR(VLOOKUP($L506,day_data!$A:$I,2,FALSE),0)),NA())</f>
        <v/>
      </c>
      <c r="N506" s="58" t="e">
        <f>IF($F$2,IF($L506="","",IFERROR(VLOOKUP($L506,day_data!$A:$I,3,FALSE),0)),NA())</f>
        <v>#N/A</v>
      </c>
      <c r="O506" s="11" t="e">
        <f>IF($F$3,IF($L506="","",IFERROR(VLOOKUP($L506,day_data!$A:$I,4,FALSE),0)),NA())</f>
        <v>#N/A</v>
      </c>
      <c r="P506" s="58" t="e">
        <f>IF($F$4,IF($L506="","",IFERROR(VLOOKUP($L506,day_data!$A:$I,5,FALSE),0)),NA())</f>
        <v>#N/A</v>
      </c>
      <c r="Q506" s="59" t="e">
        <f>IF($F$8,IF($L506="","",IFERROR(VLOOKUP($L506,day_data!$A:$I,6,FALSE),0)),NA())</f>
        <v>#N/A</v>
      </c>
      <c r="R506" s="11" t="e">
        <f>IF($F$6,IF($L506="","",IFERROR(VLOOKUP($L506,day_data!$A:$I,7,FALSE),0)),NA())</f>
        <v>#N/A</v>
      </c>
      <c r="S506" s="58" t="str">
        <f>IF($F$5,IF($L506="","",IFERROR(VLOOKUP($L506,day_data!$A:$I,8,FALSE),0)),NA())</f>
        <v/>
      </c>
      <c r="T506" s="60" t="e">
        <f>IF($F$7,IF($L506="","",IFERROR(VLOOKUP($L506,day_data!$A:$I,9,FALSE),0)),NA())</f>
        <v>#N/A</v>
      </c>
    </row>
    <row r="507" spans="12:20">
      <c r="L507" s="57" t="str">
        <f t="shared" si="7"/>
        <v/>
      </c>
      <c r="M507" s="11" t="str">
        <f>IF($F$1,IF($L507="","",IFERROR(VLOOKUP($L507,day_data!$A:$I,2,FALSE),0)),NA())</f>
        <v/>
      </c>
      <c r="N507" s="58" t="e">
        <f>IF($F$2,IF($L507="","",IFERROR(VLOOKUP($L507,day_data!$A:$I,3,FALSE),0)),NA())</f>
        <v>#N/A</v>
      </c>
      <c r="O507" s="11" t="e">
        <f>IF($F$3,IF($L507="","",IFERROR(VLOOKUP($L507,day_data!$A:$I,4,FALSE),0)),NA())</f>
        <v>#N/A</v>
      </c>
      <c r="P507" s="58" t="e">
        <f>IF($F$4,IF($L507="","",IFERROR(VLOOKUP($L507,day_data!$A:$I,5,FALSE),0)),NA())</f>
        <v>#N/A</v>
      </c>
      <c r="Q507" s="59" t="e">
        <f>IF($F$8,IF($L507="","",IFERROR(VLOOKUP($L507,day_data!$A:$I,6,FALSE),0)),NA())</f>
        <v>#N/A</v>
      </c>
      <c r="R507" s="11" t="e">
        <f>IF($F$6,IF($L507="","",IFERROR(VLOOKUP($L507,day_data!$A:$I,7,FALSE),0)),NA())</f>
        <v>#N/A</v>
      </c>
      <c r="S507" s="58" t="str">
        <f>IF($F$5,IF($L507="","",IFERROR(VLOOKUP($L507,day_data!$A:$I,8,FALSE),0)),NA())</f>
        <v/>
      </c>
      <c r="T507" s="60" t="e">
        <f>IF($F$7,IF($L507="","",IFERROR(VLOOKUP($L507,day_data!$A:$I,9,FALSE),0)),NA())</f>
        <v>#N/A</v>
      </c>
    </row>
    <row r="508" spans="12:20">
      <c r="L508" s="57" t="str">
        <f t="shared" si="7"/>
        <v/>
      </c>
      <c r="M508" s="11" t="str">
        <f>IF($F$1,IF($L508="","",IFERROR(VLOOKUP($L508,day_data!$A:$I,2,FALSE),0)),NA())</f>
        <v/>
      </c>
      <c r="N508" s="58" t="e">
        <f>IF($F$2,IF($L508="","",IFERROR(VLOOKUP($L508,day_data!$A:$I,3,FALSE),0)),NA())</f>
        <v>#N/A</v>
      </c>
      <c r="O508" s="11" t="e">
        <f>IF($F$3,IF($L508="","",IFERROR(VLOOKUP($L508,day_data!$A:$I,4,FALSE),0)),NA())</f>
        <v>#N/A</v>
      </c>
      <c r="P508" s="58" t="e">
        <f>IF($F$4,IF($L508="","",IFERROR(VLOOKUP($L508,day_data!$A:$I,5,FALSE),0)),NA())</f>
        <v>#N/A</v>
      </c>
      <c r="Q508" s="59" t="e">
        <f>IF($F$8,IF($L508="","",IFERROR(VLOOKUP($L508,day_data!$A:$I,6,FALSE),0)),NA())</f>
        <v>#N/A</v>
      </c>
      <c r="R508" s="11" t="e">
        <f>IF($F$6,IF($L508="","",IFERROR(VLOOKUP($L508,day_data!$A:$I,7,FALSE),0)),NA())</f>
        <v>#N/A</v>
      </c>
      <c r="S508" s="58" t="str">
        <f>IF($F$5,IF($L508="","",IFERROR(VLOOKUP($L508,day_data!$A:$I,8,FALSE),0)),NA())</f>
        <v/>
      </c>
      <c r="T508" s="60" t="e">
        <f>IF($F$7,IF($L508="","",IFERROR(VLOOKUP($L508,day_data!$A:$I,9,FALSE),0)),NA())</f>
        <v>#N/A</v>
      </c>
    </row>
    <row r="509" spans="12:20">
      <c r="L509" s="57" t="str">
        <f t="shared" si="7"/>
        <v/>
      </c>
      <c r="M509" s="11" t="str">
        <f>IF($F$1,IF($L509="","",IFERROR(VLOOKUP($L509,day_data!$A:$I,2,FALSE),0)),NA())</f>
        <v/>
      </c>
      <c r="N509" s="58" t="e">
        <f>IF($F$2,IF($L509="","",IFERROR(VLOOKUP($L509,day_data!$A:$I,3,FALSE),0)),NA())</f>
        <v>#N/A</v>
      </c>
      <c r="O509" s="11" t="e">
        <f>IF($F$3,IF($L509="","",IFERROR(VLOOKUP($L509,day_data!$A:$I,4,FALSE),0)),NA())</f>
        <v>#N/A</v>
      </c>
      <c r="P509" s="58" t="e">
        <f>IF($F$4,IF($L509="","",IFERROR(VLOOKUP($L509,day_data!$A:$I,5,FALSE),0)),NA())</f>
        <v>#N/A</v>
      </c>
      <c r="Q509" s="59" t="e">
        <f>IF($F$8,IF($L509="","",IFERROR(VLOOKUP($L509,day_data!$A:$I,6,FALSE),0)),NA())</f>
        <v>#N/A</v>
      </c>
      <c r="R509" s="11" t="e">
        <f>IF($F$6,IF($L509="","",IFERROR(VLOOKUP($L509,day_data!$A:$I,7,FALSE),0)),NA())</f>
        <v>#N/A</v>
      </c>
      <c r="S509" s="58" t="str">
        <f>IF($F$5,IF($L509="","",IFERROR(VLOOKUP($L509,day_data!$A:$I,8,FALSE),0)),NA())</f>
        <v/>
      </c>
      <c r="T509" s="60" t="e">
        <f>IF($F$7,IF($L509="","",IFERROR(VLOOKUP($L509,day_data!$A:$I,9,FALSE),0)),NA())</f>
        <v>#N/A</v>
      </c>
    </row>
    <row r="510" spans="12:20">
      <c r="L510" s="57" t="str">
        <f t="shared" si="7"/>
        <v/>
      </c>
      <c r="M510" s="11" t="str">
        <f>IF($F$1,IF($L510="","",IFERROR(VLOOKUP($L510,day_data!$A:$I,2,FALSE),0)),NA())</f>
        <v/>
      </c>
      <c r="N510" s="58" t="e">
        <f>IF($F$2,IF($L510="","",IFERROR(VLOOKUP($L510,day_data!$A:$I,3,FALSE),0)),NA())</f>
        <v>#N/A</v>
      </c>
      <c r="O510" s="11" t="e">
        <f>IF($F$3,IF($L510="","",IFERROR(VLOOKUP($L510,day_data!$A:$I,4,FALSE),0)),NA())</f>
        <v>#N/A</v>
      </c>
      <c r="P510" s="58" t="e">
        <f>IF($F$4,IF($L510="","",IFERROR(VLOOKUP($L510,day_data!$A:$I,5,FALSE),0)),NA())</f>
        <v>#N/A</v>
      </c>
      <c r="Q510" s="59" t="e">
        <f>IF($F$8,IF($L510="","",IFERROR(VLOOKUP($L510,day_data!$A:$I,6,FALSE),0)),NA())</f>
        <v>#N/A</v>
      </c>
      <c r="R510" s="11" t="e">
        <f>IF($F$6,IF($L510="","",IFERROR(VLOOKUP($L510,day_data!$A:$I,7,FALSE),0)),NA())</f>
        <v>#N/A</v>
      </c>
      <c r="S510" s="58" t="str">
        <f>IF($F$5,IF($L510="","",IFERROR(VLOOKUP($L510,day_data!$A:$I,8,FALSE),0)),NA())</f>
        <v/>
      </c>
      <c r="T510" s="60" t="e">
        <f>IF($F$7,IF($L510="","",IFERROR(VLOOKUP($L510,day_data!$A:$I,9,FALSE),0)),NA())</f>
        <v>#N/A</v>
      </c>
    </row>
    <row r="511" spans="12:20">
      <c r="L511" s="57" t="str">
        <f t="shared" si="7"/>
        <v/>
      </c>
      <c r="M511" s="11" t="str">
        <f>IF($F$1,IF($L511="","",IFERROR(VLOOKUP($L511,day_data!$A:$I,2,FALSE),0)),NA())</f>
        <v/>
      </c>
      <c r="N511" s="58" t="e">
        <f>IF($F$2,IF($L511="","",IFERROR(VLOOKUP($L511,day_data!$A:$I,3,FALSE),0)),NA())</f>
        <v>#N/A</v>
      </c>
      <c r="O511" s="11" t="e">
        <f>IF($F$3,IF($L511="","",IFERROR(VLOOKUP($L511,day_data!$A:$I,4,FALSE),0)),NA())</f>
        <v>#N/A</v>
      </c>
      <c r="P511" s="58" t="e">
        <f>IF($F$4,IF($L511="","",IFERROR(VLOOKUP($L511,day_data!$A:$I,5,FALSE),0)),NA())</f>
        <v>#N/A</v>
      </c>
      <c r="Q511" s="59" t="e">
        <f>IF($F$8,IF($L511="","",IFERROR(VLOOKUP($L511,day_data!$A:$I,6,FALSE),0)),NA())</f>
        <v>#N/A</v>
      </c>
      <c r="R511" s="11" t="e">
        <f>IF($F$6,IF($L511="","",IFERROR(VLOOKUP($L511,day_data!$A:$I,7,FALSE),0)),NA())</f>
        <v>#N/A</v>
      </c>
      <c r="S511" s="58" t="str">
        <f>IF($F$5,IF($L511="","",IFERROR(VLOOKUP($L511,day_data!$A:$I,8,FALSE),0)),NA())</f>
        <v/>
      </c>
      <c r="T511" s="60" t="e">
        <f>IF($F$7,IF($L511="","",IFERROR(VLOOKUP($L511,day_data!$A:$I,9,FALSE),0)),NA())</f>
        <v>#N/A</v>
      </c>
    </row>
    <row r="512" spans="12:20">
      <c r="L512" s="57" t="str">
        <f t="shared" si="7"/>
        <v/>
      </c>
      <c r="M512" s="11" t="str">
        <f>IF($F$1,IF($L512="","",IFERROR(VLOOKUP($L512,day_data!$A:$I,2,FALSE),0)),NA())</f>
        <v/>
      </c>
      <c r="N512" s="58" t="e">
        <f>IF($F$2,IF($L512="","",IFERROR(VLOOKUP($L512,day_data!$A:$I,3,FALSE),0)),NA())</f>
        <v>#N/A</v>
      </c>
      <c r="O512" s="11" t="e">
        <f>IF($F$3,IF($L512="","",IFERROR(VLOOKUP($L512,day_data!$A:$I,4,FALSE),0)),NA())</f>
        <v>#N/A</v>
      </c>
      <c r="P512" s="58" t="e">
        <f>IF($F$4,IF($L512="","",IFERROR(VLOOKUP($L512,day_data!$A:$I,5,FALSE),0)),NA())</f>
        <v>#N/A</v>
      </c>
      <c r="Q512" s="59" t="e">
        <f>IF($F$8,IF($L512="","",IFERROR(VLOOKUP($L512,day_data!$A:$I,6,FALSE),0)),NA())</f>
        <v>#N/A</v>
      </c>
      <c r="R512" s="11" t="e">
        <f>IF($F$6,IF($L512="","",IFERROR(VLOOKUP($L512,day_data!$A:$I,7,FALSE),0)),NA())</f>
        <v>#N/A</v>
      </c>
      <c r="S512" s="58" t="str">
        <f>IF($F$5,IF($L512="","",IFERROR(VLOOKUP($L512,day_data!$A:$I,8,FALSE),0)),NA())</f>
        <v/>
      </c>
      <c r="T512" s="60" t="e">
        <f>IF($F$7,IF($L512="","",IFERROR(VLOOKUP($L512,day_data!$A:$I,9,FALSE),0)),NA())</f>
        <v>#N/A</v>
      </c>
    </row>
    <row r="513" spans="12:20">
      <c r="L513" s="57" t="str">
        <f t="shared" si="7"/>
        <v/>
      </c>
      <c r="M513" s="11" t="str">
        <f>IF($F$1,IF($L513="","",IFERROR(VLOOKUP($L513,day_data!$A:$I,2,FALSE),0)),NA())</f>
        <v/>
      </c>
      <c r="N513" s="58" t="e">
        <f>IF($F$2,IF($L513="","",IFERROR(VLOOKUP($L513,day_data!$A:$I,3,FALSE),0)),NA())</f>
        <v>#N/A</v>
      </c>
      <c r="O513" s="11" t="e">
        <f>IF($F$3,IF($L513="","",IFERROR(VLOOKUP($L513,day_data!$A:$I,4,FALSE),0)),NA())</f>
        <v>#N/A</v>
      </c>
      <c r="P513" s="58" t="e">
        <f>IF($F$4,IF($L513="","",IFERROR(VLOOKUP($L513,day_data!$A:$I,5,FALSE),0)),NA())</f>
        <v>#N/A</v>
      </c>
      <c r="Q513" s="59" t="e">
        <f>IF($F$8,IF($L513="","",IFERROR(VLOOKUP($L513,day_data!$A:$I,6,FALSE),0)),NA())</f>
        <v>#N/A</v>
      </c>
      <c r="R513" s="11" t="e">
        <f>IF($F$6,IF($L513="","",IFERROR(VLOOKUP($L513,day_data!$A:$I,7,FALSE),0)),NA())</f>
        <v>#N/A</v>
      </c>
      <c r="S513" s="58" t="str">
        <f>IF($F$5,IF($L513="","",IFERROR(VLOOKUP($L513,day_data!$A:$I,8,FALSE),0)),NA())</f>
        <v/>
      </c>
      <c r="T513" s="60" t="e">
        <f>IF($F$7,IF($L513="","",IFERROR(VLOOKUP($L513,day_data!$A:$I,9,FALSE),0)),NA())</f>
        <v>#N/A</v>
      </c>
    </row>
    <row r="514" spans="12:20">
      <c r="L514" s="57" t="str">
        <f t="shared" si="7"/>
        <v/>
      </c>
      <c r="M514" s="11" t="str">
        <f>IF($F$1,IF($L514="","",IFERROR(VLOOKUP($L514,day_data!$A:$I,2,FALSE),0)),NA())</f>
        <v/>
      </c>
      <c r="N514" s="58" t="e">
        <f>IF($F$2,IF($L514="","",IFERROR(VLOOKUP($L514,day_data!$A:$I,3,FALSE),0)),NA())</f>
        <v>#N/A</v>
      </c>
      <c r="O514" s="11" t="e">
        <f>IF($F$3,IF($L514="","",IFERROR(VLOOKUP($L514,day_data!$A:$I,4,FALSE),0)),NA())</f>
        <v>#N/A</v>
      </c>
      <c r="P514" s="58" t="e">
        <f>IF($F$4,IF($L514="","",IFERROR(VLOOKUP($L514,day_data!$A:$I,5,FALSE),0)),NA())</f>
        <v>#N/A</v>
      </c>
      <c r="Q514" s="59" t="e">
        <f>IF($F$8,IF($L514="","",IFERROR(VLOOKUP($L514,day_data!$A:$I,6,FALSE),0)),NA())</f>
        <v>#N/A</v>
      </c>
      <c r="R514" s="11" t="e">
        <f>IF($F$6,IF($L514="","",IFERROR(VLOOKUP($L514,day_data!$A:$I,7,FALSE),0)),NA())</f>
        <v>#N/A</v>
      </c>
      <c r="S514" s="58" t="str">
        <f>IF($F$5,IF($L514="","",IFERROR(VLOOKUP($L514,day_data!$A:$I,8,FALSE),0)),NA())</f>
        <v/>
      </c>
      <c r="T514" s="60" t="e">
        <f>IF($F$7,IF($L514="","",IFERROR(VLOOKUP($L514,day_data!$A:$I,9,FALSE),0)),NA())</f>
        <v>#N/A</v>
      </c>
    </row>
    <row r="515" spans="12:20">
      <c r="L515" s="57" t="str">
        <f t="shared" si="7"/>
        <v/>
      </c>
      <c r="M515" s="11" t="str">
        <f>IF($F$1,IF($L515="","",IFERROR(VLOOKUP($L515,day_data!$A:$I,2,FALSE),0)),NA())</f>
        <v/>
      </c>
      <c r="N515" s="58" t="e">
        <f>IF($F$2,IF($L515="","",IFERROR(VLOOKUP($L515,day_data!$A:$I,3,FALSE),0)),NA())</f>
        <v>#N/A</v>
      </c>
      <c r="O515" s="11" t="e">
        <f>IF($F$3,IF($L515="","",IFERROR(VLOOKUP($L515,day_data!$A:$I,4,FALSE),0)),NA())</f>
        <v>#N/A</v>
      </c>
      <c r="P515" s="58" t="e">
        <f>IF($F$4,IF($L515="","",IFERROR(VLOOKUP($L515,day_data!$A:$I,5,FALSE),0)),NA())</f>
        <v>#N/A</v>
      </c>
      <c r="Q515" s="59" t="e">
        <f>IF($F$8,IF($L515="","",IFERROR(VLOOKUP($L515,day_data!$A:$I,6,FALSE),0)),NA())</f>
        <v>#N/A</v>
      </c>
      <c r="R515" s="11" t="e">
        <f>IF($F$6,IF($L515="","",IFERROR(VLOOKUP($L515,day_data!$A:$I,7,FALSE),0)),NA())</f>
        <v>#N/A</v>
      </c>
      <c r="S515" s="58" t="str">
        <f>IF($F$5,IF($L515="","",IFERROR(VLOOKUP($L515,day_data!$A:$I,8,FALSE),0)),NA())</f>
        <v/>
      </c>
      <c r="T515" s="60" t="e">
        <f>IF($F$7,IF($L515="","",IFERROR(VLOOKUP($L515,day_data!$A:$I,9,FALSE),0)),NA())</f>
        <v>#N/A</v>
      </c>
    </row>
    <row r="516" spans="12:20">
      <c r="L516" s="57" t="str">
        <f t="shared" ref="L516:L579" si="8">IF(ROW(L516)-1&gt;$C$1,"",L515+1)</f>
        <v/>
      </c>
      <c r="M516" s="11" t="str">
        <f>IF($F$1,IF($L516="","",IFERROR(VLOOKUP($L516,day_data!$A:$I,2,FALSE),0)),NA())</f>
        <v/>
      </c>
      <c r="N516" s="58" t="e">
        <f>IF($F$2,IF($L516="","",IFERROR(VLOOKUP($L516,day_data!$A:$I,3,FALSE),0)),NA())</f>
        <v>#N/A</v>
      </c>
      <c r="O516" s="11" t="e">
        <f>IF($F$3,IF($L516="","",IFERROR(VLOOKUP($L516,day_data!$A:$I,4,FALSE),0)),NA())</f>
        <v>#N/A</v>
      </c>
      <c r="P516" s="58" t="e">
        <f>IF($F$4,IF($L516="","",IFERROR(VLOOKUP($L516,day_data!$A:$I,5,FALSE),0)),NA())</f>
        <v>#N/A</v>
      </c>
      <c r="Q516" s="59" t="e">
        <f>IF($F$8,IF($L516="","",IFERROR(VLOOKUP($L516,day_data!$A:$I,6,FALSE),0)),NA())</f>
        <v>#N/A</v>
      </c>
      <c r="R516" s="11" t="e">
        <f>IF($F$6,IF($L516="","",IFERROR(VLOOKUP($L516,day_data!$A:$I,7,FALSE),0)),NA())</f>
        <v>#N/A</v>
      </c>
      <c r="S516" s="58" t="str">
        <f>IF($F$5,IF($L516="","",IFERROR(VLOOKUP($L516,day_data!$A:$I,8,FALSE),0)),NA())</f>
        <v/>
      </c>
      <c r="T516" s="60" t="e">
        <f>IF($F$7,IF($L516="","",IFERROR(VLOOKUP($L516,day_data!$A:$I,9,FALSE),0)),NA())</f>
        <v>#N/A</v>
      </c>
    </row>
    <row r="517" spans="12:20">
      <c r="L517" s="57" t="str">
        <f t="shared" si="8"/>
        <v/>
      </c>
      <c r="M517" s="11" t="str">
        <f>IF($F$1,IF($L517="","",IFERROR(VLOOKUP($L517,day_data!$A:$I,2,FALSE),0)),NA())</f>
        <v/>
      </c>
      <c r="N517" s="58" t="e">
        <f>IF($F$2,IF($L517="","",IFERROR(VLOOKUP($L517,day_data!$A:$I,3,FALSE),0)),NA())</f>
        <v>#N/A</v>
      </c>
      <c r="O517" s="11" t="e">
        <f>IF($F$3,IF($L517="","",IFERROR(VLOOKUP($L517,day_data!$A:$I,4,FALSE),0)),NA())</f>
        <v>#N/A</v>
      </c>
      <c r="P517" s="58" t="e">
        <f>IF($F$4,IF($L517="","",IFERROR(VLOOKUP($L517,day_data!$A:$I,5,FALSE),0)),NA())</f>
        <v>#N/A</v>
      </c>
      <c r="Q517" s="59" t="e">
        <f>IF($F$8,IF($L517="","",IFERROR(VLOOKUP($L517,day_data!$A:$I,6,FALSE),0)),NA())</f>
        <v>#N/A</v>
      </c>
      <c r="R517" s="11" t="e">
        <f>IF($F$6,IF($L517="","",IFERROR(VLOOKUP($L517,day_data!$A:$I,7,FALSE),0)),NA())</f>
        <v>#N/A</v>
      </c>
      <c r="S517" s="58" t="str">
        <f>IF($F$5,IF($L517="","",IFERROR(VLOOKUP($L517,day_data!$A:$I,8,FALSE),0)),NA())</f>
        <v/>
      </c>
      <c r="T517" s="60" t="e">
        <f>IF($F$7,IF($L517="","",IFERROR(VLOOKUP($L517,day_data!$A:$I,9,FALSE),0)),NA())</f>
        <v>#N/A</v>
      </c>
    </row>
    <row r="518" spans="12:20">
      <c r="L518" s="57" t="str">
        <f t="shared" si="8"/>
        <v/>
      </c>
      <c r="M518" s="11" t="str">
        <f>IF($F$1,IF($L518="","",IFERROR(VLOOKUP($L518,day_data!$A:$I,2,FALSE),0)),NA())</f>
        <v/>
      </c>
      <c r="N518" s="58" t="e">
        <f>IF($F$2,IF($L518="","",IFERROR(VLOOKUP($L518,day_data!$A:$I,3,FALSE),0)),NA())</f>
        <v>#N/A</v>
      </c>
      <c r="O518" s="11" t="e">
        <f>IF($F$3,IF($L518="","",IFERROR(VLOOKUP($L518,day_data!$A:$I,4,FALSE),0)),NA())</f>
        <v>#N/A</v>
      </c>
      <c r="P518" s="58" t="e">
        <f>IF($F$4,IF($L518="","",IFERROR(VLOOKUP($L518,day_data!$A:$I,5,FALSE),0)),NA())</f>
        <v>#N/A</v>
      </c>
      <c r="Q518" s="59" t="e">
        <f>IF($F$8,IF($L518="","",IFERROR(VLOOKUP($L518,day_data!$A:$I,6,FALSE),0)),NA())</f>
        <v>#N/A</v>
      </c>
      <c r="R518" s="11" t="e">
        <f>IF($F$6,IF($L518="","",IFERROR(VLOOKUP($L518,day_data!$A:$I,7,FALSE),0)),NA())</f>
        <v>#N/A</v>
      </c>
      <c r="S518" s="58" t="str">
        <f>IF($F$5,IF($L518="","",IFERROR(VLOOKUP($L518,day_data!$A:$I,8,FALSE),0)),NA())</f>
        <v/>
      </c>
      <c r="T518" s="60" t="e">
        <f>IF($F$7,IF($L518="","",IFERROR(VLOOKUP($L518,day_data!$A:$I,9,FALSE),0)),NA())</f>
        <v>#N/A</v>
      </c>
    </row>
    <row r="519" spans="12:20">
      <c r="L519" s="57" t="str">
        <f t="shared" si="8"/>
        <v/>
      </c>
      <c r="M519" s="11" t="str">
        <f>IF($F$1,IF($L519="","",IFERROR(VLOOKUP($L519,day_data!$A:$I,2,FALSE),0)),NA())</f>
        <v/>
      </c>
      <c r="N519" s="58" t="e">
        <f>IF($F$2,IF($L519="","",IFERROR(VLOOKUP($L519,day_data!$A:$I,3,FALSE),0)),NA())</f>
        <v>#N/A</v>
      </c>
      <c r="O519" s="11" t="e">
        <f>IF($F$3,IF($L519="","",IFERROR(VLOOKUP($L519,day_data!$A:$I,4,FALSE),0)),NA())</f>
        <v>#N/A</v>
      </c>
      <c r="P519" s="58" t="e">
        <f>IF($F$4,IF($L519="","",IFERROR(VLOOKUP($L519,day_data!$A:$I,5,FALSE),0)),NA())</f>
        <v>#N/A</v>
      </c>
      <c r="Q519" s="59" t="e">
        <f>IF($F$8,IF($L519="","",IFERROR(VLOOKUP($L519,day_data!$A:$I,6,FALSE),0)),NA())</f>
        <v>#N/A</v>
      </c>
      <c r="R519" s="11" t="e">
        <f>IF($F$6,IF($L519="","",IFERROR(VLOOKUP($L519,day_data!$A:$I,7,FALSE),0)),NA())</f>
        <v>#N/A</v>
      </c>
      <c r="S519" s="58" t="str">
        <f>IF($F$5,IF($L519="","",IFERROR(VLOOKUP($L519,day_data!$A:$I,8,FALSE),0)),NA())</f>
        <v/>
      </c>
      <c r="T519" s="60" t="e">
        <f>IF($F$7,IF($L519="","",IFERROR(VLOOKUP($L519,day_data!$A:$I,9,FALSE),0)),NA())</f>
        <v>#N/A</v>
      </c>
    </row>
    <row r="520" spans="12:20">
      <c r="L520" s="57" t="str">
        <f t="shared" si="8"/>
        <v/>
      </c>
      <c r="M520" s="11" t="str">
        <f>IF($F$1,IF($L520="","",IFERROR(VLOOKUP($L520,day_data!$A:$I,2,FALSE),0)),NA())</f>
        <v/>
      </c>
      <c r="N520" s="58" t="e">
        <f>IF($F$2,IF($L520="","",IFERROR(VLOOKUP($L520,day_data!$A:$I,3,FALSE),0)),NA())</f>
        <v>#N/A</v>
      </c>
      <c r="O520" s="11" t="e">
        <f>IF($F$3,IF($L520="","",IFERROR(VLOOKUP($L520,day_data!$A:$I,4,FALSE),0)),NA())</f>
        <v>#N/A</v>
      </c>
      <c r="P520" s="58" t="e">
        <f>IF($F$4,IF($L520="","",IFERROR(VLOOKUP($L520,day_data!$A:$I,5,FALSE),0)),NA())</f>
        <v>#N/A</v>
      </c>
      <c r="Q520" s="59" t="e">
        <f>IF($F$8,IF($L520="","",IFERROR(VLOOKUP($L520,day_data!$A:$I,6,FALSE),0)),NA())</f>
        <v>#N/A</v>
      </c>
      <c r="R520" s="11" t="e">
        <f>IF($F$6,IF($L520="","",IFERROR(VLOOKUP($L520,day_data!$A:$I,7,FALSE),0)),NA())</f>
        <v>#N/A</v>
      </c>
      <c r="S520" s="58" t="str">
        <f>IF($F$5,IF($L520="","",IFERROR(VLOOKUP($L520,day_data!$A:$I,8,FALSE),0)),NA())</f>
        <v/>
      </c>
      <c r="T520" s="60" t="e">
        <f>IF($F$7,IF($L520="","",IFERROR(VLOOKUP($L520,day_data!$A:$I,9,FALSE),0)),NA())</f>
        <v>#N/A</v>
      </c>
    </row>
    <row r="521" spans="12:20">
      <c r="L521" s="57" t="str">
        <f t="shared" si="8"/>
        <v/>
      </c>
      <c r="M521" s="11" t="str">
        <f>IF($F$1,IF($L521="","",IFERROR(VLOOKUP($L521,day_data!$A:$I,2,FALSE),0)),NA())</f>
        <v/>
      </c>
      <c r="N521" s="58" t="e">
        <f>IF($F$2,IF($L521="","",IFERROR(VLOOKUP($L521,day_data!$A:$I,3,FALSE),0)),NA())</f>
        <v>#N/A</v>
      </c>
      <c r="O521" s="11" t="e">
        <f>IF($F$3,IF($L521="","",IFERROR(VLOOKUP($L521,day_data!$A:$I,4,FALSE),0)),NA())</f>
        <v>#N/A</v>
      </c>
      <c r="P521" s="58" t="e">
        <f>IF($F$4,IF($L521="","",IFERROR(VLOOKUP($L521,day_data!$A:$I,5,FALSE),0)),NA())</f>
        <v>#N/A</v>
      </c>
      <c r="Q521" s="59" t="e">
        <f>IF($F$8,IF($L521="","",IFERROR(VLOOKUP($L521,day_data!$A:$I,6,FALSE),0)),NA())</f>
        <v>#N/A</v>
      </c>
      <c r="R521" s="11" t="e">
        <f>IF($F$6,IF($L521="","",IFERROR(VLOOKUP($L521,day_data!$A:$I,7,FALSE),0)),NA())</f>
        <v>#N/A</v>
      </c>
      <c r="S521" s="58" t="str">
        <f>IF($F$5,IF($L521="","",IFERROR(VLOOKUP($L521,day_data!$A:$I,8,FALSE),0)),NA())</f>
        <v/>
      </c>
      <c r="T521" s="60" t="e">
        <f>IF($F$7,IF($L521="","",IFERROR(VLOOKUP($L521,day_data!$A:$I,9,FALSE),0)),NA())</f>
        <v>#N/A</v>
      </c>
    </row>
    <row r="522" spans="12:20">
      <c r="L522" s="57" t="str">
        <f t="shared" si="8"/>
        <v/>
      </c>
      <c r="M522" s="11" t="str">
        <f>IF($F$1,IF($L522="","",IFERROR(VLOOKUP($L522,day_data!$A:$I,2,FALSE),0)),NA())</f>
        <v/>
      </c>
      <c r="N522" s="58" t="e">
        <f>IF($F$2,IF($L522="","",IFERROR(VLOOKUP($L522,day_data!$A:$I,3,FALSE),0)),NA())</f>
        <v>#N/A</v>
      </c>
      <c r="O522" s="11" t="e">
        <f>IF($F$3,IF($L522="","",IFERROR(VLOOKUP($L522,day_data!$A:$I,4,FALSE),0)),NA())</f>
        <v>#N/A</v>
      </c>
      <c r="P522" s="58" t="e">
        <f>IF($F$4,IF($L522="","",IFERROR(VLOOKUP($L522,day_data!$A:$I,5,FALSE),0)),NA())</f>
        <v>#N/A</v>
      </c>
      <c r="Q522" s="59" t="e">
        <f>IF($F$8,IF($L522="","",IFERROR(VLOOKUP($L522,day_data!$A:$I,6,FALSE),0)),NA())</f>
        <v>#N/A</v>
      </c>
      <c r="R522" s="11" t="e">
        <f>IF($F$6,IF($L522="","",IFERROR(VLOOKUP($L522,day_data!$A:$I,7,FALSE),0)),NA())</f>
        <v>#N/A</v>
      </c>
      <c r="S522" s="58" t="str">
        <f>IF($F$5,IF($L522="","",IFERROR(VLOOKUP($L522,day_data!$A:$I,8,FALSE),0)),NA())</f>
        <v/>
      </c>
      <c r="T522" s="60" t="e">
        <f>IF($F$7,IF($L522="","",IFERROR(VLOOKUP($L522,day_data!$A:$I,9,FALSE),0)),NA())</f>
        <v>#N/A</v>
      </c>
    </row>
    <row r="523" spans="12:20">
      <c r="L523" s="57" t="str">
        <f t="shared" si="8"/>
        <v/>
      </c>
      <c r="M523" s="11" t="str">
        <f>IF($F$1,IF($L523="","",IFERROR(VLOOKUP($L523,day_data!$A:$I,2,FALSE),0)),NA())</f>
        <v/>
      </c>
      <c r="N523" s="58" t="e">
        <f>IF($F$2,IF($L523="","",IFERROR(VLOOKUP($L523,day_data!$A:$I,3,FALSE),0)),NA())</f>
        <v>#N/A</v>
      </c>
      <c r="O523" s="11" t="e">
        <f>IF($F$3,IF($L523="","",IFERROR(VLOOKUP($L523,day_data!$A:$I,4,FALSE),0)),NA())</f>
        <v>#N/A</v>
      </c>
      <c r="P523" s="58" t="e">
        <f>IF($F$4,IF($L523="","",IFERROR(VLOOKUP($L523,day_data!$A:$I,5,FALSE),0)),NA())</f>
        <v>#N/A</v>
      </c>
      <c r="Q523" s="59" t="e">
        <f>IF($F$8,IF($L523="","",IFERROR(VLOOKUP($L523,day_data!$A:$I,6,FALSE),0)),NA())</f>
        <v>#N/A</v>
      </c>
      <c r="R523" s="11" t="e">
        <f>IF($F$6,IF($L523="","",IFERROR(VLOOKUP($L523,day_data!$A:$I,7,FALSE),0)),NA())</f>
        <v>#N/A</v>
      </c>
      <c r="S523" s="58" t="str">
        <f>IF($F$5,IF($L523="","",IFERROR(VLOOKUP($L523,day_data!$A:$I,8,FALSE),0)),NA())</f>
        <v/>
      </c>
      <c r="T523" s="60" t="e">
        <f>IF($F$7,IF($L523="","",IFERROR(VLOOKUP($L523,day_data!$A:$I,9,FALSE),0)),NA())</f>
        <v>#N/A</v>
      </c>
    </row>
    <row r="524" spans="12:20">
      <c r="L524" s="57" t="str">
        <f t="shared" si="8"/>
        <v/>
      </c>
      <c r="M524" s="11" t="str">
        <f>IF($F$1,IF($L524="","",IFERROR(VLOOKUP($L524,day_data!$A:$I,2,FALSE),0)),NA())</f>
        <v/>
      </c>
      <c r="N524" s="58" t="e">
        <f>IF($F$2,IF($L524="","",IFERROR(VLOOKUP($L524,day_data!$A:$I,3,FALSE),0)),NA())</f>
        <v>#N/A</v>
      </c>
      <c r="O524" s="11" t="e">
        <f>IF($F$3,IF($L524="","",IFERROR(VLOOKUP($L524,day_data!$A:$I,4,FALSE),0)),NA())</f>
        <v>#N/A</v>
      </c>
      <c r="P524" s="58" t="e">
        <f>IF($F$4,IF($L524="","",IFERROR(VLOOKUP($L524,day_data!$A:$I,5,FALSE),0)),NA())</f>
        <v>#N/A</v>
      </c>
      <c r="Q524" s="59" t="e">
        <f>IF($F$8,IF($L524="","",IFERROR(VLOOKUP($L524,day_data!$A:$I,6,FALSE),0)),NA())</f>
        <v>#N/A</v>
      </c>
      <c r="R524" s="11" t="e">
        <f>IF($F$6,IF($L524="","",IFERROR(VLOOKUP($L524,day_data!$A:$I,7,FALSE),0)),NA())</f>
        <v>#N/A</v>
      </c>
      <c r="S524" s="58" t="str">
        <f>IF($F$5,IF($L524="","",IFERROR(VLOOKUP($L524,day_data!$A:$I,8,FALSE),0)),NA())</f>
        <v/>
      </c>
      <c r="T524" s="60" t="e">
        <f>IF($F$7,IF($L524="","",IFERROR(VLOOKUP($L524,day_data!$A:$I,9,FALSE),0)),NA())</f>
        <v>#N/A</v>
      </c>
    </row>
    <row r="525" spans="12:20">
      <c r="L525" s="57" t="str">
        <f t="shared" si="8"/>
        <v/>
      </c>
      <c r="M525" s="11" t="str">
        <f>IF($F$1,IF($L525="","",IFERROR(VLOOKUP($L525,day_data!$A:$I,2,FALSE),0)),NA())</f>
        <v/>
      </c>
      <c r="N525" s="58" t="e">
        <f>IF($F$2,IF($L525="","",IFERROR(VLOOKUP($L525,day_data!$A:$I,3,FALSE),0)),NA())</f>
        <v>#N/A</v>
      </c>
      <c r="O525" s="11" t="e">
        <f>IF($F$3,IF($L525="","",IFERROR(VLOOKUP($L525,day_data!$A:$I,4,FALSE),0)),NA())</f>
        <v>#N/A</v>
      </c>
      <c r="P525" s="58" t="e">
        <f>IF($F$4,IF($L525="","",IFERROR(VLOOKUP($L525,day_data!$A:$I,5,FALSE),0)),NA())</f>
        <v>#N/A</v>
      </c>
      <c r="Q525" s="59" t="e">
        <f>IF($F$8,IF($L525="","",IFERROR(VLOOKUP($L525,day_data!$A:$I,6,FALSE),0)),NA())</f>
        <v>#N/A</v>
      </c>
      <c r="R525" s="11" t="e">
        <f>IF($F$6,IF($L525="","",IFERROR(VLOOKUP($L525,day_data!$A:$I,7,FALSE),0)),NA())</f>
        <v>#N/A</v>
      </c>
      <c r="S525" s="58" t="str">
        <f>IF($F$5,IF($L525="","",IFERROR(VLOOKUP($L525,day_data!$A:$I,8,FALSE),0)),NA())</f>
        <v/>
      </c>
      <c r="T525" s="60" t="e">
        <f>IF($F$7,IF($L525="","",IFERROR(VLOOKUP($L525,day_data!$A:$I,9,FALSE),0)),NA())</f>
        <v>#N/A</v>
      </c>
    </row>
    <row r="526" spans="12:20">
      <c r="L526" s="57" t="str">
        <f t="shared" si="8"/>
        <v/>
      </c>
      <c r="M526" s="11" t="str">
        <f>IF($F$1,IF($L526="","",IFERROR(VLOOKUP($L526,day_data!$A:$I,2,FALSE),0)),NA())</f>
        <v/>
      </c>
      <c r="N526" s="58" t="e">
        <f>IF($F$2,IF($L526="","",IFERROR(VLOOKUP($L526,day_data!$A:$I,3,FALSE),0)),NA())</f>
        <v>#N/A</v>
      </c>
      <c r="O526" s="11" t="e">
        <f>IF($F$3,IF($L526="","",IFERROR(VLOOKUP($L526,day_data!$A:$I,4,FALSE),0)),NA())</f>
        <v>#N/A</v>
      </c>
      <c r="P526" s="58" t="e">
        <f>IF($F$4,IF($L526="","",IFERROR(VLOOKUP($L526,day_data!$A:$I,5,FALSE),0)),NA())</f>
        <v>#N/A</v>
      </c>
      <c r="Q526" s="59" t="e">
        <f>IF($F$8,IF($L526="","",IFERROR(VLOOKUP($L526,day_data!$A:$I,6,FALSE),0)),NA())</f>
        <v>#N/A</v>
      </c>
      <c r="R526" s="11" t="e">
        <f>IF($F$6,IF($L526="","",IFERROR(VLOOKUP($L526,day_data!$A:$I,7,FALSE),0)),NA())</f>
        <v>#N/A</v>
      </c>
      <c r="S526" s="58" t="str">
        <f>IF($F$5,IF($L526="","",IFERROR(VLOOKUP($L526,day_data!$A:$I,8,FALSE),0)),NA())</f>
        <v/>
      </c>
      <c r="T526" s="60" t="e">
        <f>IF($F$7,IF($L526="","",IFERROR(VLOOKUP($L526,day_data!$A:$I,9,FALSE),0)),NA())</f>
        <v>#N/A</v>
      </c>
    </row>
    <row r="527" spans="12:20">
      <c r="L527" s="57" t="str">
        <f t="shared" si="8"/>
        <v/>
      </c>
      <c r="M527" s="11" t="str">
        <f>IF($F$1,IF($L527="","",IFERROR(VLOOKUP($L527,day_data!$A:$I,2,FALSE),0)),NA())</f>
        <v/>
      </c>
      <c r="N527" s="58" t="e">
        <f>IF($F$2,IF($L527="","",IFERROR(VLOOKUP($L527,day_data!$A:$I,3,FALSE),0)),NA())</f>
        <v>#N/A</v>
      </c>
      <c r="O527" s="11" t="e">
        <f>IF($F$3,IF($L527="","",IFERROR(VLOOKUP($L527,day_data!$A:$I,4,FALSE),0)),NA())</f>
        <v>#N/A</v>
      </c>
      <c r="P527" s="58" t="e">
        <f>IF($F$4,IF($L527="","",IFERROR(VLOOKUP($L527,day_data!$A:$I,5,FALSE),0)),NA())</f>
        <v>#N/A</v>
      </c>
      <c r="Q527" s="59" t="e">
        <f>IF($F$8,IF($L527="","",IFERROR(VLOOKUP($L527,day_data!$A:$I,6,FALSE),0)),NA())</f>
        <v>#N/A</v>
      </c>
      <c r="R527" s="11" t="e">
        <f>IF($F$6,IF($L527="","",IFERROR(VLOOKUP($L527,day_data!$A:$I,7,FALSE),0)),NA())</f>
        <v>#N/A</v>
      </c>
      <c r="S527" s="58" t="str">
        <f>IF($F$5,IF($L527="","",IFERROR(VLOOKUP($L527,day_data!$A:$I,8,FALSE),0)),NA())</f>
        <v/>
      </c>
      <c r="T527" s="60" t="e">
        <f>IF($F$7,IF($L527="","",IFERROR(VLOOKUP($L527,day_data!$A:$I,9,FALSE),0)),NA())</f>
        <v>#N/A</v>
      </c>
    </row>
    <row r="528" spans="12:20">
      <c r="L528" s="57" t="str">
        <f t="shared" si="8"/>
        <v/>
      </c>
      <c r="M528" s="11" t="str">
        <f>IF($F$1,IF($L528="","",IFERROR(VLOOKUP($L528,day_data!$A:$I,2,FALSE),0)),NA())</f>
        <v/>
      </c>
      <c r="N528" s="58" t="e">
        <f>IF($F$2,IF($L528="","",IFERROR(VLOOKUP($L528,day_data!$A:$I,3,FALSE),0)),NA())</f>
        <v>#N/A</v>
      </c>
      <c r="O528" s="11" t="e">
        <f>IF($F$3,IF($L528="","",IFERROR(VLOOKUP($L528,day_data!$A:$I,4,FALSE),0)),NA())</f>
        <v>#N/A</v>
      </c>
      <c r="P528" s="58" t="e">
        <f>IF($F$4,IF($L528="","",IFERROR(VLOOKUP($L528,day_data!$A:$I,5,FALSE),0)),NA())</f>
        <v>#N/A</v>
      </c>
      <c r="Q528" s="59" t="e">
        <f>IF($F$8,IF($L528="","",IFERROR(VLOOKUP($L528,day_data!$A:$I,6,FALSE),0)),NA())</f>
        <v>#N/A</v>
      </c>
      <c r="R528" s="11" t="e">
        <f>IF($F$6,IF($L528="","",IFERROR(VLOOKUP($L528,day_data!$A:$I,7,FALSE),0)),NA())</f>
        <v>#N/A</v>
      </c>
      <c r="S528" s="58" t="str">
        <f>IF($F$5,IF($L528="","",IFERROR(VLOOKUP($L528,day_data!$A:$I,8,FALSE),0)),NA())</f>
        <v/>
      </c>
      <c r="T528" s="60" t="e">
        <f>IF($F$7,IF($L528="","",IFERROR(VLOOKUP($L528,day_data!$A:$I,9,FALSE),0)),NA())</f>
        <v>#N/A</v>
      </c>
    </row>
    <row r="529" spans="12:20">
      <c r="L529" s="57" t="str">
        <f t="shared" si="8"/>
        <v/>
      </c>
      <c r="M529" s="11" t="str">
        <f>IF($F$1,IF($L529="","",IFERROR(VLOOKUP($L529,day_data!$A:$I,2,FALSE),0)),NA())</f>
        <v/>
      </c>
      <c r="N529" s="58" t="e">
        <f>IF($F$2,IF($L529="","",IFERROR(VLOOKUP($L529,day_data!$A:$I,3,FALSE),0)),NA())</f>
        <v>#N/A</v>
      </c>
      <c r="O529" s="11" t="e">
        <f>IF($F$3,IF($L529="","",IFERROR(VLOOKUP($L529,day_data!$A:$I,4,FALSE),0)),NA())</f>
        <v>#N/A</v>
      </c>
      <c r="P529" s="58" t="e">
        <f>IF($F$4,IF($L529="","",IFERROR(VLOOKUP($L529,day_data!$A:$I,5,FALSE),0)),NA())</f>
        <v>#N/A</v>
      </c>
      <c r="Q529" s="59" t="e">
        <f>IF($F$8,IF($L529="","",IFERROR(VLOOKUP($L529,day_data!$A:$I,6,FALSE),0)),NA())</f>
        <v>#N/A</v>
      </c>
      <c r="R529" s="11" t="e">
        <f>IF($F$6,IF($L529="","",IFERROR(VLOOKUP($L529,day_data!$A:$I,7,FALSE),0)),NA())</f>
        <v>#N/A</v>
      </c>
      <c r="S529" s="58" t="str">
        <f>IF($F$5,IF($L529="","",IFERROR(VLOOKUP($L529,day_data!$A:$I,8,FALSE),0)),NA())</f>
        <v/>
      </c>
      <c r="T529" s="60" t="e">
        <f>IF($F$7,IF($L529="","",IFERROR(VLOOKUP($L529,day_data!$A:$I,9,FALSE),0)),NA())</f>
        <v>#N/A</v>
      </c>
    </row>
    <row r="530" spans="12:20">
      <c r="L530" s="57" t="str">
        <f t="shared" si="8"/>
        <v/>
      </c>
      <c r="M530" s="11" t="str">
        <f>IF($F$1,IF($L530="","",IFERROR(VLOOKUP($L530,day_data!$A:$I,2,FALSE),0)),NA())</f>
        <v/>
      </c>
      <c r="N530" s="58" t="e">
        <f>IF($F$2,IF($L530="","",IFERROR(VLOOKUP($L530,day_data!$A:$I,3,FALSE),0)),NA())</f>
        <v>#N/A</v>
      </c>
      <c r="O530" s="11" t="e">
        <f>IF($F$3,IF($L530="","",IFERROR(VLOOKUP($L530,day_data!$A:$I,4,FALSE),0)),NA())</f>
        <v>#N/A</v>
      </c>
      <c r="P530" s="58" t="e">
        <f>IF($F$4,IF($L530="","",IFERROR(VLOOKUP($L530,day_data!$A:$I,5,FALSE),0)),NA())</f>
        <v>#N/A</v>
      </c>
      <c r="Q530" s="59" t="e">
        <f>IF($F$8,IF($L530="","",IFERROR(VLOOKUP($L530,day_data!$A:$I,6,FALSE),0)),NA())</f>
        <v>#N/A</v>
      </c>
      <c r="R530" s="11" t="e">
        <f>IF($F$6,IF($L530="","",IFERROR(VLOOKUP($L530,day_data!$A:$I,7,FALSE),0)),NA())</f>
        <v>#N/A</v>
      </c>
      <c r="S530" s="58" t="str">
        <f>IF($F$5,IF($L530="","",IFERROR(VLOOKUP($L530,day_data!$A:$I,8,FALSE),0)),NA())</f>
        <v/>
      </c>
      <c r="T530" s="60" t="e">
        <f>IF($F$7,IF($L530="","",IFERROR(VLOOKUP($L530,day_data!$A:$I,9,FALSE),0)),NA())</f>
        <v>#N/A</v>
      </c>
    </row>
    <row r="531" spans="12:20">
      <c r="L531" s="57" t="str">
        <f t="shared" si="8"/>
        <v/>
      </c>
      <c r="M531" s="11" t="str">
        <f>IF($F$1,IF($L531="","",IFERROR(VLOOKUP($L531,day_data!$A:$I,2,FALSE),0)),NA())</f>
        <v/>
      </c>
      <c r="N531" s="58" t="e">
        <f>IF($F$2,IF($L531="","",IFERROR(VLOOKUP($L531,day_data!$A:$I,3,FALSE),0)),NA())</f>
        <v>#N/A</v>
      </c>
      <c r="O531" s="11" t="e">
        <f>IF($F$3,IF($L531="","",IFERROR(VLOOKUP($L531,day_data!$A:$I,4,FALSE),0)),NA())</f>
        <v>#N/A</v>
      </c>
      <c r="P531" s="58" t="e">
        <f>IF($F$4,IF($L531="","",IFERROR(VLOOKUP($L531,day_data!$A:$I,5,FALSE),0)),NA())</f>
        <v>#N/A</v>
      </c>
      <c r="Q531" s="59" t="e">
        <f>IF($F$8,IF($L531="","",IFERROR(VLOOKUP($L531,day_data!$A:$I,6,FALSE),0)),NA())</f>
        <v>#N/A</v>
      </c>
      <c r="R531" s="11" t="e">
        <f>IF($F$6,IF($L531="","",IFERROR(VLOOKUP($L531,day_data!$A:$I,7,FALSE),0)),NA())</f>
        <v>#N/A</v>
      </c>
      <c r="S531" s="58" t="str">
        <f>IF($F$5,IF($L531="","",IFERROR(VLOOKUP($L531,day_data!$A:$I,8,FALSE),0)),NA())</f>
        <v/>
      </c>
      <c r="T531" s="60" t="e">
        <f>IF($F$7,IF($L531="","",IFERROR(VLOOKUP($L531,day_data!$A:$I,9,FALSE),0)),NA())</f>
        <v>#N/A</v>
      </c>
    </row>
    <row r="532" spans="12:20">
      <c r="L532" s="57" t="str">
        <f t="shared" si="8"/>
        <v/>
      </c>
      <c r="M532" s="11" t="str">
        <f>IF($F$1,IF($L532="","",IFERROR(VLOOKUP($L532,day_data!$A:$I,2,FALSE),0)),NA())</f>
        <v/>
      </c>
      <c r="N532" s="58" t="e">
        <f>IF($F$2,IF($L532="","",IFERROR(VLOOKUP($L532,day_data!$A:$I,3,FALSE),0)),NA())</f>
        <v>#N/A</v>
      </c>
      <c r="O532" s="11" t="e">
        <f>IF($F$3,IF($L532="","",IFERROR(VLOOKUP($L532,day_data!$A:$I,4,FALSE),0)),NA())</f>
        <v>#N/A</v>
      </c>
      <c r="P532" s="58" t="e">
        <f>IF($F$4,IF($L532="","",IFERROR(VLOOKUP($L532,day_data!$A:$I,5,FALSE),0)),NA())</f>
        <v>#N/A</v>
      </c>
      <c r="Q532" s="59" t="e">
        <f>IF($F$8,IF($L532="","",IFERROR(VLOOKUP($L532,day_data!$A:$I,6,FALSE),0)),NA())</f>
        <v>#N/A</v>
      </c>
      <c r="R532" s="11" t="e">
        <f>IF($F$6,IF($L532="","",IFERROR(VLOOKUP($L532,day_data!$A:$I,7,FALSE),0)),NA())</f>
        <v>#N/A</v>
      </c>
      <c r="S532" s="58" t="str">
        <f>IF($F$5,IF($L532="","",IFERROR(VLOOKUP($L532,day_data!$A:$I,8,FALSE),0)),NA())</f>
        <v/>
      </c>
      <c r="T532" s="60" t="e">
        <f>IF($F$7,IF($L532="","",IFERROR(VLOOKUP($L532,day_data!$A:$I,9,FALSE),0)),NA())</f>
        <v>#N/A</v>
      </c>
    </row>
    <row r="533" spans="12:20">
      <c r="L533" s="57" t="str">
        <f t="shared" si="8"/>
        <v/>
      </c>
      <c r="M533" s="11" t="str">
        <f>IF($F$1,IF($L533="","",IFERROR(VLOOKUP($L533,day_data!$A:$I,2,FALSE),0)),NA())</f>
        <v/>
      </c>
      <c r="N533" s="58" t="e">
        <f>IF($F$2,IF($L533="","",IFERROR(VLOOKUP($L533,day_data!$A:$I,3,FALSE),0)),NA())</f>
        <v>#N/A</v>
      </c>
      <c r="O533" s="11" t="e">
        <f>IF($F$3,IF($L533="","",IFERROR(VLOOKUP($L533,day_data!$A:$I,4,FALSE),0)),NA())</f>
        <v>#N/A</v>
      </c>
      <c r="P533" s="58" t="e">
        <f>IF($F$4,IF($L533="","",IFERROR(VLOOKUP($L533,day_data!$A:$I,5,FALSE),0)),NA())</f>
        <v>#N/A</v>
      </c>
      <c r="Q533" s="59" t="e">
        <f>IF($F$8,IF($L533="","",IFERROR(VLOOKUP($L533,day_data!$A:$I,6,FALSE),0)),NA())</f>
        <v>#N/A</v>
      </c>
      <c r="R533" s="11" t="e">
        <f>IF($F$6,IF($L533="","",IFERROR(VLOOKUP($L533,day_data!$A:$I,7,FALSE),0)),NA())</f>
        <v>#N/A</v>
      </c>
      <c r="S533" s="58" t="str">
        <f>IF($F$5,IF($L533="","",IFERROR(VLOOKUP($L533,day_data!$A:$I,8,FALSE),0)),NA())</f>
        <v/>
      </c>
      <c r="T533" s="60" t="e">
        <f>IF($F$7,IF($L533="","",IFERROR(VLOOKUP($L533,day_data!$A:$I,9,FALSE),0)),NA())</f>
        <v>#N/A</v>
      </c>
    </row>
    <row r="534" spans="12:20">
      <c r="L534" s="57" t="str">
        <f t="shared" si="8"/>
        <v/>
      </c>
      <c r="M534" s="11" t="str">
        <f>IF($F$1,IF($L534="","",IFERROR(VLOOKUP($L534,day_data!$A:$I,2,FALSE),0)),NA())</f>
        <v/>
      </c>
      <c r="N534" s="58" t="e">
        <f>IF($F$2,IF($L534="","",IFERROR(VLOOKUP($L534,day_data!$A:$I,3,FALSE),0)),NA())</f>
        <v>#N/A</v>
      </c>
      <c r="O534" s="11" t="e">
        <f>IF($F$3,IF($L534="","",IFERROR(VLOOKUP($L534,day_data!$A:$I,4,FALSE),0)),NA())</f>
        <v>#N/A</v>
      </c>
      <c r="P534" s="58" t="e">
        <f>IF($F$4,IF($L534="","",IFERROR(VLOOKUP($L534,day_data!$A:$I,5,FALSE),0)),NA())</f>
        <v>#N/A</v>
      </c>
      <c r="Q534" s="59" t="e">
        <f>IF($F$8,IF($L534="","",IFERROR(VLOOKUP($L534,day_data!$A:$I,6,FALSE),0)),NA())</f>
        <v>#N/A</v>
      </c>
      <c r="R534" s="11" t="e">
        <f>IF($F$6,IF($L534="","",IFERROR(VLOOKUP($L534,day_data!$A:$I,7,FALSE),0)),NA())</f>
        <v>#N/A</v>
      </c>
      <c r="S534" s="58" t="str">
        <f>IF($F$5,IF($L534="","",IFERROR(VLOOKUP($L534,day_data!$A:$I,8,FALSE),0)),NA())</f>
        <v/>
      </c>
      <c r="T534" s="60" t="e">
        <f>IF($F$7,IF($L534="","",IFERROR(VLOOKUP($L534,day_data!$A:$I,9,FALSE),0)),NA())</f>
        <v>#N/A</v>
      </c>
    </row>
    <row r="535" spans="12:20">
      <c r="L535" s="57" t="str">
        <f t="shared" si="8"/>
        <v/>
      </c>
      <c r="M535" s="11" t="str">
        <f>IF($F$1,IF($L535="","",IFERROR(VLOOKUP($L535,day_data!$A:$I,2,FALSE),0)),NA())</f>
        <v/>
      </c>
      <c r="N535" s="58" t="e">
        <f>IF($F$2,IF($L535="","",IFERROR(VLOOKUP($L535,day_data!$A:$I,3,FALSE),0)),NA())</f>
        <v>#N/A</v>
      </c>
      <c r="O535" s="11" t="e">
        <f>IF($F$3,IF($L535="","",IFERROR(VLOOKUP($L535,day_data!$A:$I,4,FALSE),0)),NA())</f>
        <v>#N/A</v>
      </c>
      <c r="P535" s="58" t="e">
        <f>IF($F$4,IF($L535="","",IFERROR(VLOOKUP($L535,day_data!$A:$I,5,FALSE),0)),NA())</f>
        <v>#N/A</v>
      </c>
      <c r="Q535" s="59" t="e">
        <f>IF($F$8,IF($L535="","",IFERROR(VLOOKUP($L535,day_data!$A:$I,6,FALSE),0)),NA())</f>
        <v>#N/A</v>
      </c>
      <c r="R535" s="11" t="e">
        <f>IF($F$6,IF($L535="","",IFERROR(VLOOKUP($L535,day_data!$A:$I,7,FALSE),0)),NA())</f>
        <v>#N/A</v>
      </c>
      <c r="S535" s="58" t="str">
        <f>IF($F$5,IF($L535="","",IFERROR(VLOOKUP($L535,day_data!$A:$I,8,FALSE),0)),NA())</f>
        <v/>
      </c>
      <c r="T535" s="60" t="e">
        <f>IF($F$7,IF($L535="","",IFERROR(VLOOKUP($L535,day_data!$A:$I,9,FALSE),0)),NA())</f>
        <v>#N/A</v>
      </c>
    </row>
    <row r="536" spans="12:20">
      <c r="L536" s="57" t="str">
        <f t="shared" si="8"/>
        <v/>
      </c>
      <c r="M536" s="11" t="str">
        <f>IF($F$1,IF($L536="","",IFERROR(VLOOKUP($L536,day_data!$A:$I,2,FALSE),0)),NA())</f>
        <v/>
      </c>
      <c r="N536" s="58" t="e">
        <f>IF($F$2,IF($L536="","",IFERROR(VLOOKUP($L536,day_data!$A:$I,3,FALSE),0)),NA())</f>
        <v>#N/A</v>
      </c>
      <c r="O536" s="11" t="e">
        <f>IF($F$3,IF($L536="","",IFERROR(VLOOKUP($L536,day_data!$A:$I,4,FALSE),0)),NA())</f>
        <v>#N/A</v>
      </c>
      <c r="P536" s="58" t="e">
        <f>IF($F$4,IF($L536="","",IFERROR(VLOOKUP($L536,day_data!$A:$I,5,FALSE),0)),NA())</f>
        <v>#N/A</v>
      </c>
      <c r="Q536" s="59" t="e">
        <f>IF($F$8,IF($L536="","",IFERROR(VLOOKUP($L536,day_data!$A:$I,6,FALSE),0)),NA())</f>
        <v>#N/A</v>
      </c>
      <c r="R536" s="11" t="e">
        <f>IF($F$6,IF($L536="","",IFERROR(VLOOKUP($L536,day_data!$A:$I,7,FALSE),0)),NA())</f>
        <v>#N/A</v>
      </c>
      <c r="S536" s="58" t="str">
        <f>IF($F$5,IF($L536="","",IFERROR(VLOOKUP($L536,day_data!$A:$I,8,FALSE),0)),NA())</f>
        <v/>
      </c>
      <c r="T536" s="60" t="e">
        <f>IF($F$7,IF($L536="","",IFERROR(VLOOKUP($L536,day_data!$A:$I,9,FALSE),0)),NA())</f>
        <v>#N/A</v>
      </c>
    </row>
    <row r="537" spans="12:20">
      <c r="L537" s="57" t="str">
        <f t="shared" si="8"/>
        <v/>
      </c>
      <c r="M537" s="11" t="str">
        <f>IF($F$1,IF($L537="","",IFERROR(VLOOKUP($L537,day_data!$A:$I,2,FALSE),0)),NA())</f>
        <v/>
      </c>
      <c r="N537" s="58" t="e">
        <f>IF($F$2,IF($L537="","",IFERROR(VLOOKUP($L537,day_data!$A:$I,3,FALSE),0)),NA())</f>
        <v>#N/A</v>
      </c>
      <c r="O537" s="11" t="e">
        <f>IF($F$3,IF($L537="","",IFERROR(VLOOKUP($L537,day_data!$A:$I,4,FALSE),0)),NA())</f>
        <v>#N/A</v>
      </c>
      <c r="P537" s="58" t="e">
        <f>IF($F$4,IF($L537="","",IFERROR(VLOOKUP($L537,day_data!$A:$I,5,FALSE),0)),NA())</f>
        <v>#N/A</v>
      </c>
      <c r="Q537" s="59" t="e">
        <f>IF($F$8,IF($L537="","",IFERROR(VLOOKUP($L537,day_data!$A:$I,6,FALSE),0)),NA())</f>
        <v>#N/A</v>
      </c>
      <c r="R537" s="11" t="e">
        <f>IF($F$6,IF($L537="","",IFERROR(VLOOKUP($L537,day_data!$A:$I,7,FALSE),0)),NA())</f>
        <v>#N/A</v>
      </c>
      <c r="S537" s="58" t="str">
        <f>IF($F$5,IF($L537="","",IFERROR(VLOOKUP($L537,day_data!$A:$I,8,FALSE),0)),NA())</f>
        <v/>
      </c>
      <c r="T537" s="60" t="e">
        <f>IF($F$7,IF($L537="","",IFERROR(VLOOKUP($L537,day_data!$A:$I,9,FALSE),0)),NA())</f>
        <v>#N/A</v>
      </c>
    </row>
    <row r="538" spans="12:20">
      <c r="L538" s="57" t="str">
        <f t="shared" si="8"/>
        <v/>
      </c>
      <c r="M538" s="11" t="str">
        <f>IF($F$1,IF($L538="","",IFERROR(VLOOKUP($L538,day_data!$A:$I,2,FALSE),0)),NA())</f>
        <v/>
      </c>
      <c r="N538" s="58" t="e">
        <f>IF($F$2,IF($L538="","",IFERROR(VLOOKUP($L538,day_data!$A:$I,3,FALSE),0)),NA())</f>
        <v>#N/A</v>
      </c>
      <c r="O538" s="11" t="e">
        <f>IF($F$3,IF($L538="","",IFERROR(VLOOKUP($L538,day_data!$A:$I,4,FALSE),0)),NA())</f>
        <v>#N/A</v>
      </c>
      <c r="P538" s="58" t="e">
        <f>IF($F$4,IF($L538="","",IFERROR(VLOOKUP($L538,day_data!$A:$I,5,FALSE),0)),NA())</f>
        <v>#N/A</v>
      </c>
      <c r="Q538" s="59" t="e">
        <f>IF($F$8,IF($L538="","",IFERROR(VLOOKUP($L538,day_data!$A:$I,6,FALSE),0)),NA())</f>
        <v>#N/A</v>
      </c>
      <c r="R538" s="11" t="e">
        <f>IF($F$6,IF($L538="","",IFERROR(VLOOKUP($L538,day_data!$A:$I,7,FALSE),0)),NA())</f>
        <v>#N/A</v>
      </c>
      <c r="S538" s="58" t="str">
        <f>IF($F$5,IF($L538="","",IFERROR(VLOOKUP($L538,day_data!$A:$I,8,FALSE),0)),NA())</f>
        <v/>
      </c>
      <c r="T538" s="60" t="e">
        <f>IF($F$7,IF($L538="","",IFERROR(VLOOKUP($L538,day_data!$A:$I,9,FALSE),0)),NA())</f>
        <v>#N/A</v>
      </c>
    </row>
    <row r="539" spans="12:20">
      <c r="L539" s="57" t="str">
        <f t="shared" si="8"/>
        <v/>
      </c>
      <c r="M539" s="11" t="str">
        <f>IF($F$1,IF($L539="","",IFERROR(VLOOKUP($L539,day_data!$A:$I,2,FALSE),0)),NA())</f>
        <v/>
      </c>
      <c r="N539" s="58" t="e">
        <f>IF($F$2,IF($L539="","",IFERROR(VLOOKUP($L539,day_data!$A:$I,3,FALSE),0)),NA())</f>
        <v>#N/A</v>
      </c>
      <c r="O539" s="11" t="e">
        <f>IF($F$3,IF($L539="","",IFERROR(VLOOKUP($L539,day_data!$A:$I,4,FALSE),0)),NA())</f>
        <v>#N/A</v>
      </c>
      <c r="P539" s="58" t="e">
        <f>IF($F$4,IF($L539="","",IFERROR(VLOOKUP($L539,day_data!$A:$I,5,FALSE),0)),NA())</f>
        <v>#N/A</v>
      </c>
      <c r="Q539" s="59" t="e">
        <f>IF($F$8,IF($L539="","",IFERROR(VLOOKUP($L539,day_data!$A:$I,6,FALSE),0)),NA())</f>
        <v>#N/A</v>
      </c>
      <c r="R539" s="11" t="e">
        <f>IF($F$6,IF($L539="","",IFERROR(VLOOKUP($L539,day_data!$A:$I,7,FALSE),0)),NA())</f>
        <v>#N/A</v>
      </c>
      <c r="S539" s="58" t="str">
        <f>IF($F$5,IF($L539="","",IFERROR(VLOOKUP($L539,day_data!$A:$I,8,FALSE),0)),NA())</f>
        <v/>
      </c>
      <c r="T539" s="60" t="e">
        <f>IF($F$7,IF($L539="","",IFERROR(VLOOKUP($L539,day_data!$A:$I,9,FALSE),0)),NA())</f>
        <v>#N/A</v>
      </c>
    </row>
    <row r="540" spans="12:20">
      <c r="L540" s="57" t="str">
        <f t="shared" si="8"/>
        <v/>
      </c>
      <c r="M540" s="11" t="str">
        <f>IF($F$1,IF($L540="","",IFERROR(VLOOKUP($L540,day_data!$A:$I,2,FALSE),0)),NA())</f>
        <v/>
      </c>
      <c r="N540" s="58" t="e">
        <f>IF($F$2,IF($L540="","",IFERROR(VLOOKUP($L540,day_data!$A:$I,3,FALSE),0)),NA())</f>
        <v>#N/A</v>
      </c>
      <c r="O540" s="11" t="e">
        <f>IF($F$3,IF($L540="","",IFERROR(VLOOKUP($L540,day_data!$A:$I,4,FALSE),0)),NA())</f>
        <v>#N/A</v>
      </c>
      <c r="P540" s="58" t="e">
        <f>IF($F$4,IF($L540="","",IFERROR(VLOOKUP($L540,day_data!$A:$I,5,FALSE),0)),NA())</f>
        <v>#N/A</v>
      </c>
      <c r="Q540" s="59" t="e">
        <f>IF($F$8,IF($L540="","",IFERROR(VLOOKUP($L540,day_data!$A:$I,6,FALSE),0)),NA())</f>
        <v>#N/A</v>
      </c>
      <c r="R540" s="11" t="e">
        <f>IF($F$6,IF($L540="","",IFERROR(VLOOKUP($L540,day_data!$A:$I,7,FALSE),0)),NA())</f>
        <v>#N/A</v>
      </c>
      <c r="S540" s="58" t="str">
        <f>IF($F$5,IF($L540="","",IFERROR(VLOOKUP($L540,day_data!$A:$I,8,FALSE),0)),NA())</f>
        <v/>
      </c>
      <c r="T540" s="60" t="e">
        <f>IF($F$7,IF($L540="","",IFERROR(VLOOKUP($L540,day_data!$A:$I,9,FALSE),0)),NA())</f>
        <v>#N/A</v>
      </c>
    </row>
    <row r="541" spans="12:20">
      <c r="L541" s="57" t="str">
        <f t="shared" si="8"/>
        <v/>
      </c>
      <c r="M541" s="11" t="str">
        <f>IF($F$1,IF($L541="","",IFERROR(VLOOKUP($L541,day_data!$A:$I,2,FALSE),0)),NA())</f>
        <v/>
      </c>
      <c r="N541" s="58" t="e">
        <f>IF($F$2,IF($L541="","",IFERROR(VLOOKUP($L541,day_data!$A:$I,3,FALSE),0)),NA())</f>
        <v>#N/A</v>
      </c>
      <c r="O541" s="11" t="e">
        <f>IF($F$3,IF($L541="","",IFERROR(VLOOKUP($L541,day_data!$A:$I,4,FALSE),0)),NA())</f>
        <v>#N/A</v>
      </c>
      <c r="P541" s="58" t="e">
        <f>IF($F$4,IF($L541="","",IFERROR(VLOOKUP($L541,day_data!$A:$I,5,FALSE),0)),NA())</f>
        <v>#N/A</v>
      </c>
      <c r="Q541" s="59" t="e">
        <f>IF($F$8,IF($L541="","",IFERROR(VLOOKUP($L541,day_data!$A:$I,6,FALSE),0)),NA())</f>
        <v>#N/A</v>
      </c>
      <c r="R541" s="11" t="e">
        <f>IF($F$6,IF($L541="","",IFERROR(VLOOKUP($L541,day_data!$A:$I,7,FALSE),0)),NA())</f>
        <v>#N/A</v>
      </c>
      <c r="S541" s="58" t="str">
        <f>IF($F$5,IF($L541="","",IFERROR(VLOOKUP($L541,day_data!$A:$I,8,FALSE),0)),NA())</f>
        <v/>
      </c>
      <c r="T541" s="60" t="e">
        <f>IF($F$7,IF($L541="","",IFERROR(VLOOKUP($L541,day_data!$A:$I,9,FALSE),0)),NA())</f>
        <v>#N/A</v>
      </c>
    </row>
    <row r="542" spans="12:20">
      <c r="L542" s="57" t="str">
        <f t="shared" si="8"/>
        <v/>
      </c>
      <c r="M542" s="11" t="str">
        <f>IF($F$1,IF($L542="","",IFERROR(VLOOKUP($L542,day_data!$A:$I,2,FALSE),0)),NA())</f>
        <v/>
      </c>
      <c r="N542" s="58" t="e">
        <f>IF($F$2,IF($L542="","",IFERROR(VLOOKUP($L542,day_data!$A:$I,3,FALSE),0)),NA())</f>
        <v>#N/A</v>
      </c>
      <c r="O542" s="11" t="e">
        <f>IF($F$3,IF($L542="","",IFERROR(VLOOKUP($L542,day_data!$A:$I,4,FALSE),0)),NA())</f>
        <v>#N/A</v>
      </c>
      <c r="P542" s="58" t="e">
        <f>IF($F$4,IF($L542="","",IFERROR(VLOOKUP($L542,day_data!$A:$I,5,FALSE),0)),NA())</f>
        <v>#N/A</v>
      </c>
      <c r="Q542" s="59" t="e">
        <f>IF($F$8,IF($L542="","",IFERROR(VLOOKUP($L542,day_data!$A:$I,6,FALSE),0)),NA())</f>
        <v>#N/A</v>
      </c>
      <c r="R542" s="11" t="e">
        <f>IF($F$6,IF($L542="","",IFERROR(VLOOKUP($L542,day_data!$A:$I,7,FALSE),0)),NA())</f>
        <v>#N/A</v>
      </c>
      <c r="S542" s="58" t="str">
        <f>IF($F$5,IF($L542="","",IFERROR(VLOOKUP($L542,day_data!$A:$I,8,FALSE),0)),NA())</f>
        <v/>
      </c>
      <c r="T542" s="60" t="e">
        <f>IF($F$7,IF($L542="","",IFERROR(VLOOKUP($L542,day_data!$A:$I,9,FALSE),0)),NA())</f>
        <v>#N/A</v>
      </c>
    </row>
    <row r="543" spans="12:20">
      <c r="L543" s="57" t="str">
        <f t="shared" si="8"/>
        <v/>
      </c>
      <c r="M543" s="11" t="str">
        <f>IF($F$1,IF($L543="","",IFERROR(VLOOKUP($L543,day_data!$A:$I,2,FALSE),0)),NA())</f>
        <v/>
      </c>
      <c r="N543" s="58" t="e">
        <f>IF($F$2,IF($L543="","",IFERROR(VLOOKUP($L543,day_data!$A:$I,3,FALSE),0)),NA())</f>
        <v>#N/A</v>
      </c>
      <c r="O543" s="11" t="e">
        <f>IF($F$3,IF($L543="","",IFERROR(VLOOKUP($L543,day_data!$A:$I,4,FALSE),0)),NA())</f>
        <v>#N/A</v>
      </c>
      <c r="P543" s="58" t="e">
        <f>IF($F$4,IF($L543="","",IFERROR(VLOOKUP($L543,day_data!$A:$I,5,FALSE),0)),NA())</f>
        <v>#N/A</v>
      </c>
      <c r="Q543" s="59" t="e">
        <f>IF($F$8,IF($L543="","",IFERROR(VLOOKUP($L543,day_data!$A:$I,6,FALSE),0)),NA())</f>
        <v>#N/A</v>
      </c>
      <c r="R543" s="11" t="e">
        <f>IF($F$6,IF($L543="","",IFERROR(VLOOKUP($L543,day_data!$A:$I,7,FALSE),0)),NA())</f>
        <v>#N/A</v>
      </c>
      <c r="S543" s="58" t="str">
        <f>IF($F$5,IF($L543="","",IFERROR(VLOOKUP($L543,day_data!$A:$I,8,FALSE),0)),NA())</f>
        <v/>
      </c>
      <c r="T543" s="60" t="e">
        <f>IF($F$7,IF($L543="","",IFERROR(VLOOKUP($L543,day_data!$A:$I,9,FALSE),0)),NA())</f>
        <v>#N/A</v>
      </c>
    </row>
    <row r="544" spans="12:20">
      <c r="L544" s="57" t="str">
        <f t="shared" si="8"/>
        <v/>
      </c>
      <c r="M544" s="11" t="str">
        <f>IF($F$1,IF($L544="","",IFERROR(VLOOKUP($L544,day_data!$A:$I,2,FALSE),0)),NA())</f>
        <v/>
      </c>
      <c r="N544" s="58" t="e">
        <f>IF($F$2,IF($L544="","",IFERROR(VLOOKUP($L544,day_data!$A:$I,3,FALSE),0)),NA())</f>
        <v>#N/A</v>
      </c>
      <c r="O544" s="11" t="e">
        <f>IF($F$3,IF($L544="","",IFERROR(VLOOKUP($L544,day_data!$A:$I,4,FALSE),0)),NA())</f>
        <v>#N/A</v>
      </c>
      <c r="P544" s="58" t="e">
        <f>IF($F$4,IF($L544="","",IFERROR(VLOOKUP($L544,day_data!$A:$I,5,FALSE),0)),NA())</f>
        <v>#N/A</v>
      </c>
      <c r="Q544" s="59" t="e">
        <f>IF($F$8,IF($L544="","",IFERROR(VLOOKUP($L544,day_data!$A:$I,6,FALSE),0)),NA())</f>
        <v>#N/A</v>
      </c>
      <c r="R544" s="11" t="e">
        <f>IF($F$6,IF($L544="","",IFERROR(VLOOKUP($L544,day_data!$A:$I,7,FALSE),0)),NA())</f>
        <v>#N/A</v>
      </c>
      <c r="S544" s="58" t="str">
        <f>IF($F$5,IF($L544="","",IFERROR(VLOOKUP($L544,day_data!$A:$I,8,FALSE),0)),NA())</f>
        <v/>
      </c>
      <c r="T544" s="60" t="e">
        <f>IF($F$7,IF($L544="","",IFERROR(VLOOKUP($L544,day_data!$A:$I,9,FALSE),0)),NA())</f>
        <v>#N/A</v>
      </c>
    </row>
    <row r="545" spans="12:20">
      <c r="L545" s="57" t="str">
        <f t="shared" si="8"/>
        <v/>
      </c>
      <c r="M545" s="11" t="str">
        <f>IF($F$1,IF($L545="","",IFERROR(VLOOKUP($L545,day_data!$A:$I,2,FALSE),0)),NA())</f>
        <v/>
      </c>
      <c r="N545" s="58" t="e">
        <f>IF($F$2,IF($L545="","",IFERROR(VLOOKUP($L545,day_data!$A:$I,3,FALSE),0)),NA())</f>
        <v>#N/A</v>
      </c>
      <c r="O545" s="11" t="e">
        <f>IF($F$3,IF($L545="","",IFERROR(VLOOKUP($L545,day_data!$A:$I,4,FALSE),0)),NA())</f>
        <v>#N/A</v>
      </c>
      <c r="P545" s="58" t="e">
        <f>IF($F$4,IF($L545="","",IFERROR(VLOOKUP($L545,day_data!$A:$I,5,FALSE),0)),NA())</f>
        <v>#N/A</v>
      </c>
      <c r="Q545" s="59" t="e">
        <f>IF($F$8,IF($L545="","",IFERROR(VLOOKUP($L545,day_data!$A:$I,6,FALSE),0)),NA())</f>
        <v>#N/A</v>
      </c>
      <c r="R545" s="11" t="e">
        <f>IF($F$6,IF($L545="","",IFERROR(VLOOKUP($L545,day_data!$A:$I,7,FALSE),0)),NA())</f>
        <v>#N/A</v>
      </c>
      <c r="S545" s="58" t="str">
        <f>IF($F$5,IF($L545="","",IFERROR(VLOOKUP($L545,day_data!$A:$I,8,FALSE),0)),NA())</f>
        <v/>
      </c>
      <c r="T545" s="60" t="e">
        <f>IF($F$7,IF($L545="","",IFERROR(VLOOKUP($L545,day_data!$A:$I,9,FALSE),0)),NA())</f>
        <v>#N/A</v>
      </c>
    </row>
    <row r="546" spans="12:20">
      <c r="L546" s="57" t="str">
        <f t="shared" si="8"/>
        <v/>
      </c>
      <c r="M546" s="11" t="str">
        <f>IF($F$1,IF($L546="","",IFERROR(VLOOKUP($L546,day_data!$A:$I,2,FALSE),0)),NA())</f>
        <v/>
      </c>
      <c r="N546" s="58" t="e">
        <f>IF($F$2,IF($L546="","",IFERROR(VLOOKUP($L546,day_data!$A:$I,3,FALSE),0)),NA())</f>
        <v>#N/A</v>
      </c>
      <c r="O546" s="11" t="e">
        <f>IF($F$3,IF($L546="","",IFERROR(VLOOKUP($L546,day_data!$A:$I,4,FALSE),0)),NA())</f>
        <v>#N/A</v>
      </c>
      <c r="P546" s="58" t="e">
        <f>IF($F$4,IF($L546="","",IFERROR(VLOOKUP($L546,day_data!$A:$I,5,FALSE),0)),NA())</f>
        <v>#N/A</v>
      </c>
      <c r="Q546" s="59" t="e">
        <f>IF($F$8,IF($L546="","",IFERROR(VLOOKUP($L546,day_data!$A:$I,6,FALSE),0)),NA())</f>
        <v>#N/A</v>
      </c>
      <c r="R546" s="11" t="e">
        <f>IF($F$6,IF($L546="","",IFERROR(VLOOKUP($L546,day_data!$A:$I,7,FALSE),0)),NA())</f>
        <v>#N/A</v>
      </c>
      <c r="S546" s="58" t="str">
        <f>IF($F$5,IF($L546="","",IFERROR(VLOOKUP($L546,day_data!$A:$I,8,FALSE),0)),NA())</f>
        <v/>
      </c>
      <c r="T546" s="60" t="e">
        <f>IF($F$7,IF($L546="","",IFERROR(VLOOKUP($L546,day_data!$A:$I,9,FALSE),0)),NA())</f>
        <v>#N/A</v>
      </c>
    </row>
    <row r="547" spans="12:20">
      <c r="L547" s="57" t="str">
        <f t="shared" si="8"/>
        <v/>
      </c>
      <c r="M547" s="11" t="str">
        <f>IF($F$1,IF($L547="","",IFERROR(VLOOKUP($L547,day_data!$A:$I,2,FALSE),0)),NA())</f>
        <v/>
      </c>
      <c r="N547" s="58" t="e">
        <f>IF($F$2,IF($L547="","",IFERROR(VLOOKUP($L547,day_data!$A:$I,3,FALSE),0)),NA())</f>
        <v>#N/A</v>
      </c>
      <c r="O547" s="11" t="e">
        <f>IF($F$3,IF($L547="","",IFERROR(VLOOKUP($L547,day_data!$A:$I,4,FALSE),0)),NA())</f>
        <v>#N/A</v>
      </c>
      <c r="P547" s="58" t="e">
        <f>IF($F$4,IF($L547="","",IFERROR(VLOOKUP($L547,day_data!$A:$I,5,FALSE),0)),NA())</f>
        <v>#N/A</v>
      </c>
      <c r="Q547" s="59" t="e">
        <f>IF($F$8,IF($L547="","",IFERROR(VLOOKUP($L547,day_data!$A:$I,6,FALSE),0)),NA())</f>
        <v>#N/A</v>
      </c>
      <c r="R547" s="11" t="e">
        <f>IF($F$6,IF($L547="","",IFERROR(VLOOKUP($L547,day_data!$A:$I,7,FALSE),0)),NA())</f>
        <v>#N/A</v>
      </c>
      <c r="S547" s="58" t="str">
        <f>IF($F$5,IF($L547="","",IFERROR(VLOOKUP($L547,day_data!$A:$I,8,FALSE),0)),NA())</f>
        <v/>
      </c>
      <c r="T547" s="60" t="e">
        <f>IF($F$7,IF($L547="","",IFERROR(VLOOKUP($L547,day_data!$A:$I,9,FALSE),0)),NA())</f>
        <v>#N/A</v>
      </c>
    </row>
    <row r="548" spans="12:20">
      <c r="L548" s="57" t="str">
        <f t="shared" si="8"/>
        <v/>
      </c>
      <c r="M548" s="11" t="str">
        <f>IF($F$1,IF($L548="","",IFERROR(VLOOKUP($L548,day_data!$A:$I,2,FALSE),0)),NA())</f>
        <v/>
      </c>
      <c r="N548" s="58" t="e">
        <f>IF($F$2,IF($L548="","",IFERROR(VLOOKUP($L548,day_data!$A:$I,3,FALSE),0)),NA())</f>
        <v>#N/A</v>
      </c>
      <c r="O548" s="11" t="e">
        <f>IF($F$3,IF($L548="","",IFERROR(VLOOKUP($L548,day_data!$A:$I,4,FALSE),0)),NA())</f>
        <v>#N/A</v>
      </c>
      <c r="P548" s="58" t="e">
        <f>IF($F$4,IF($L548="","",IFERROR(VLOOKUP($L548,day_data!$A:$I,5,FALSE),0)),NA())</f>
        <v>#N/A</v>
      </c>
      <c r="Q548" s="59" t="e">
        <f>IF($F$8,IF($L548="","",IFERROR(VLOOKUP($L548,day_data!$A:$I,6,FALSE),0)),NA())</f>
        <v>#N/A</v>
      </c>
      <c r="R548" s="11" t="e">
        <f>IF($F$6,IF($L548="","",IFERROR(VLOOKUP($L548,day_data!$A:$I,7,FALSE),0)),NA())</f>
        <v>#N/A</v>
      </c>
      <c r="S548" s="58" t="str">
        <f>IF($F$5,IF($L548="","",IFERROR(VLOOKUP($L548,day_data!$A:$I,8,FALSE),0)),NA())</f>
        <v/>
      </c>
      <c r="T548" s="60" t="e">
        <f>IF($F$7,IF($L548="","",IFERROR(VLOOKUP($L548,day_data!$A:$I,9,FALSE),0)),NA())</f>
        <v>#N/A</v>
      </c>
    </row>
    <row r="549" spans="12:20">
      <c r="L549" s="57" t="str">
        <f t="shared" si="8"/>
        <v/>
      </c>
      <c r="M549" s="11" t="str">
        <f>IF($F$1,IF($L549="","",IFERROR(VLOOKUP($L549,day_data!$A:$I,2,FALSE),0)),NA())</f>
        <v/>
      </c>
      <c r="N549" s="58" t="e">
        <f>IF($F$2,IF($L549="","",IFERROR(VLOOKUP($L549,day_data!$A:$I,3,FALSE),0)),NA())</f>
        <v>#N/A</v>
      </c>
      <c r="O549" s="11" t="e">
        <f>IF($F$3,IF($L549="","",IFERROR(VLOOKUP($L549,day_data!$A:$I,4,FALSE),0)),NA())</f>
        <v>#N/A</v>
      </c>
      <c r="P549" s="58" t="e">
        <f>IF($F$4,IF($L549="","",IFERROR(VLOOKUP($L549,day_data!$A:$I,5,FALSE),0)),NA())</f>
        <v>#N/A</v>
      </c>
      <c r="Q549" s="59" t="e">
        <f>IF($F$8,IF($L549="","",IFERROR(VLOOKUP($L549,day_data!$A:$I,6,FALSE),0)),NA())</f>
        <v>#N/A</v>
      </c>
      <c r="R549" s="11" t="e">
        <f>IF($F$6,IF($L549="","",IFERROR(VLOOKUP($L549,day_data!$A:$I,7,FALSE),0)),NA())</f>
        <v>#N/A</v>
      </c>
      <c r="S549" s="58" t="str">
        <f>IF($F$5,IF($L549="","",IFERROR(VLOOKUP($L549,day_data!$A:$I,8,FALSE),0)),NA())</f>
        <v/>
      </c>
      <c r="T549" s="60" t="e">
        <f>IF($F$7,IF($L549="","",IFERROR(VLOOKUP($L549,day_data!$A:$I,9,FALSE),0)),NA())</f>
        <v>#N/A</v>
      </c>
    </row>
    <row r="550" spans="12:20">
      <c r="L550" s="57" t="str">
        <f t="shared" si="8"/>
        <v/>
      </c>
      <c r="M550" s="11" t="str">
        <f>IF($F$1,IF($L550="","",IFERROR(VLOOKUP($L550,day_data!$A:$I,2,FALSE),0)),NA())</f>
        <v/>
      </c>
      <c r="N550" s="58" t="e">
        <f>IF($F$2,IF($L550="","",IFERROR(VLOOKUP($L550,day_data!$A:$I,3,FALSE),0)),NA())</f>
        <v>#N/A</v>
      </c>
      <c r="O550" s="11" t="e">
        <f>IF($F$3,IF($L550="","",IFERROR(VLOOKUP($L550,day_data!$A:$I,4,FALSE),0)),NA())</f>
        <v>#N/A</v>
      </c>
      <c r="P550" s="58" t="e">
        <f>IF($F$4,IF($L550="","",IFERROR(VLOOKUP($L550,day_data!$A:$I,5,FALSE),0)),NA())</f>
        <v>#N/A</v>
      </c>
      <c r="Q550" s="59" t="e">
        <f>IF($F$8,IF($L550="","",IFERROR(VLOOKUP($L550,day_data!$A:$I,6,FALSE),0)),NA())</f>
        <v>#N/A</v>
      </c>
      <c r="R550" s="11" t="e">
        <f>IF($F$6,IF($L550="","",IFERROR(VLOOKUP($L550,day_data!$A:$I,7,FALSE),0)),NA())</f>
        <v>#N/A</v>
      </c>
      <c r="S550" s="58" t="str">
        <f>IF($F$5,IF($L550="","",IFERROR(VLOOKUP($L550,day_data!$A:$I,8,FALSE),0)),NA())</f>
        <v/>
      </c>
      <c r="T550" s="60" t="e">
        <f>IF($F$7,IF($L550="","",IFERROR(VLOOKUP($L550,day_data!$A:$I,9,FALSE),0)),NA())</f>
        <v>#N/A</v>
      </c>
    </row>
    <row r="551" spans="12:20">
      <c r="L551" s="57" t="str">
        <f t="shared" si="8"/>
        <v/>
      </c>
      <c r="M551" s="11" t="str">
        <f>IF($F$1,IF($L551="","",IFERROR(VLOOKUP($L551,day_data!$A:$I,2,FALSE),0)),NA())</f>
        <v/>
      </c>
      <c r="N551" s="58" t="e">
        <f>IF($F$2,IF($L551="","",IFERROR(VLOOKUP($L551,day_data!$A:$I,3,FALSE),0)),NA())</f>
        <v>#N/A</v>
      </c>
      <c r="O551" s="11" t="e">
        <f>IF($F$3,IF($L551="","",IFERROR(VLOOKUP($L551,day_data!$A:$I,4,FALSE),0)),NA())</f>
        <v>#N/A</v>
      </c>
      <c r="P551" s="58" t="e">
        <f>IF($F$4,IF($L551="","",IFERROR(VLOOKUP($L551,day_data!$A:$I,5,FALSE),0)),NA())</f>
        <v>#N/A</v>
      </c>
      <c r="Q551" s="59" t="e">
        <f>IF($F$8,IF($L551="","",IFERROR(VLOOKUP($L551,day_data!$A:$I,6,FALSE),0)),NA())</f>
        <v>#N/A</v>
      </c>
      <c r="R551" s="11" t="e">
        <f>IF($F$6,IF($L551="","",IFERROR(VLOOKUP($L551,day_data!$A:$I,7,FALSE),0)),NA())</f>
        <v>#N/A</v>
      </c>
      <c r="S551" s="58" t="str">
        <f>IF($F$5,IF($L551="","",IFERROR(VLOOKUP($L551,day_data!$A:$I,8,FALSE),0)),NA())</f>
        <v/>
      </c>
      <c r="T551" s="60" t="e">
        <f>IF($F$7,IF($L551="","",IFERROR(VLOOKUP($L551,day_data!$A:$I,9,FALSE),0)),NA())</f>
        <v>#N/A</v>
      </c>
    </row>
    <row r="552" spans="12:20">
      <c r="L552" s="57" t="str">
        <f t="shared" si="8"/>
        <v/>
      </c>
      <c r="M552" s="11" t="str">
        <f>IF($F$1,IF($L552="","",IFERROR(VLOOKUP($L552,day_data!$A:$I,2,FALSE),0)),NA())</f>
        <v/>
      </c>
      <c r="N552" s="58" t="e">
        <f>IF($F$2,IF($L552="","",IFERROR(VLOOKUP($L552,day_data!$A:$I,3,FALSE),0)),NA())</f>
        <v>#N/A</v>
      </c>
      <c r="O552" s="11" t="e">
        <f>IF($F$3,IF($L552="","",IFERROR(VLOOKUP($L552,day_data!$A:$I,4,FALSE),0)),NA())</f>
        <v>#N/A</v>
      </c>
      <c r="P552" s="58" t="e">
        <f>IF($F$4,IF($L552="","",IFERROR(VLOOKUP($L552,day_data!$A:$I,5,FALSE),0)),NA())</f>
        <v>#N/A</v>
      </c>
      <c r="Q552" s="59" t="e">
        <f>IF($F$8,IF($L552="","",IFERROR(VLOOKUP($L552,day_data!$A:$I,6,FALSE),0)),NA())</f>
        <v>#N/A</v>
      </c>
      <c r="R552" s="11" t="e">
        <f>IF($F$6,IF($L552="","",IFERROR(VLOOKUP($L552,day_data!$A:$I,7,FALSE),0)),NA())</f>
        <v>#N/A</v>
      </c>
      <c r="S552" s="58" t="str">
        <f>IF($F$5,IF($L552="","",IFERROR(VLOOKUP($L552,day_data!$A:$I,8,FALSE),0)),NA())</f>
        <v/>
      </c>
      <c r="T552" s="60" t="e">
        <f>IF($F$7,IF($L552="","",IFERROR(VLOOKUP($L552,day_data!$A:$I,9,FALSE),0)),NA())</f>
        <v>#N/A</v>
      </c>
    </row>
    <row r="553" spans="12:20">
      <c r="L553" s="57" t="str">
        <f t="shared" si="8"/>
        <v/>
      </c>
      <c r="M553" s="11" t="str">
        <f>IF($F$1,IF($L553="","",IFERROR(VLOOKUP($L553,day_data!$A:$I,2,FALSE),0)),NA())</f>
        <v/>
      </c>
      <c r="N553" s="58" t="e">
        <f>IF($F$2,IF($L553="","",IFERROR(VLOOKUP($L553,day_data!$A:$I,3,FALSE),0)),NA())</f>
        <v>#N/A</v>
      </c>
      <c r="O553" s="11" t="e">
        <f>IF($F$3,IF($L553="","",IFERROR(VLOOKUP($L553,day_data!$A:$I,4,FALSE),0)),NA())</f>
        <v>#N/A</v>
      </c>
      <c r="P553" s="58" t="e">
        <f>IF($F$4,IF($L553="","",IFERROR(VLOOKUP($L553,day_data!$A:$I,5,FALSE),0)),NA())</f>
        <v>#N/A</v>
      </c>
      <c r="Q553" s="59" t="e">
        <f>IF($F$8,IF($L553="","",IFERROR(VLOOKUP($L553,day_data!$A:$I,6,FALSE),0)),NA())</f>
        <v>#N/A</v>
      </c>
      <c r="R553" s="11" t="e">
        <f>IF($F$6,IF($L553="","",IFERROR(VLOOKUP($L553,day_data!$A:$I,7,FALSE),0)),NA())</f>
        <v>#N/A</v>
      </c>
      <c r="S553" s="58" t="str">
        <f>IF($F$5,IF($L553="","",IFERROR(VLOOKUP($L553,day_data!$A:$I,8,FALSE),0)),NA())</f>
        <v/>
      </c>
      <c r="T553" s="60" t="e">
        <f>IF($F$7,IF($L553="","",IFERROR(VLOOKUP($L553,day_data!$A:$I,9,FALSE),0)),NA())</f>
        <v>#N/A</v>
      </c>
    </row>
    <row r="554" spans="12:20">
      <c r="L554" s="57" t="str">
        <f t="shared" si="8"/>
        <v/>
      </c>
      <c r="M554" s="11" t="str">
        <f>IF($F$1,IF($L554="","",IFERROR(VLOOKUP($L554,day_data!$A:$I,2,FALSE),0)),NA())</f>
        <v/>
      </c>
      <c r="N554" s="58" t="e">
        <f>IF($F$2,IF($L554="","",IFERROR(VLOOKUP($L554,day_data!$A:$I,3,FALSE),0)),NA())</f>
        <v>#N/A</v>
      </c>
      <c r="O554" s="11" t="e">
        <f>IF($F$3,IF($L554="","",IFERROR(VLOOKUP($L554,day_data!$A:$I,4,FALSE),0)),NA())</f>
        <v>#N/A</v>
      </c>
      <c r="P554" s="58" t="e">
        <f>IF($F$4,IF($L554="","",IFERROR(VLOOKUP($L554,day_data!$A:$I,5,FALSE),0)),NA())</f>
        <v>#N/A</v>
      </c>
      <c r="Q554" s="59" t="e">
        <f>IF($F$8,IF($L554="","",IFERROR(VLOOKUP($L554,day_data!$A:$I,6,FALSE),0)),NA())</f>
        <v>#N/A</v>
      </c>
      <c r="R554" s="11" t="e">
        <f>IF($F$6,IF($L554="","",IFERROR(VLOOKUP($L554,day_data!$A:$I,7,FALSE),0)),NA())</f>
        <v>#N/A</v>
      </c>
      <c r="S554" s="58" t="str">
        <f>IF($F$5,IF($L554="","",IFERROR(VLOOKUP($L554,day_data!$A:$I,8,FALSE),0)),NA())</f>
        <v/>
      </c>
      <c r="T554" s="60" t="e">
        <f>IF($F$7,IF($L554="","",IFERROR(VLOOKUP($L554,day_data!$A:$I,9,FALSE),0)),NA())</f>
        <v>#N/A</v>
      </c>
    </row>
    <row r="555" spans="12:20">
      <c r="L555" s="57" t="str">
        <f t="shared" si="8"/>
        <v/>
      </c>
      <c r="M555" s="11" t="str">
        <f>IF($F$1,IF($L555="","",IFERROR(VLOOKUP($L555,day_data!$A:$I,2,FALSE),0)),NA())</f>
        <v/>
      </c>
      <c r="N555" s="58" t="e">
        <f>IF($F$2,IF($L555="","",IFERROR(VLOOKUP($L555,day_data!$A:$I,3,FALSE),0)),NA())</f>
        <v>#N/A</v>
      </c>
      <c r="O555" s="11" t="e">
        <f>IF($F$3,IF($L555="","",IFERROR(VLOOKUP($L555,day_data!$A:$I,4,FALSE),0)),NA())</f>
        <v>#N/A</v>
      </c>
      <c r="P555" s="58" t="e">
        <f>IF($F$4,IF($L555="","",IFERROR(VLOOKUP($L555,day_data!$A:$I,5,FALSE),0)),NA())</f>
        <v>#N/A</v>
      </c>
      <c r="Q555" s="59" t="e">
        <f>IF($F$8,IF($L555="","",IFERROR(VLOOKUP($L555,day_data!$A:$I,6,FALSE),0)),NA())</f>
        <v>#N/A</v>
      </c>
      <c r="R555" s="11" t="e">
        <f>IF($F$6,IF($L555="","",IFERROR(VLOOKUP($L555,day_data!$A:$I,7,FALSE),0)),NA())</f>
        <v>#N/A</v>
      </c>
      <c r="S555" s="58" t="str">
        <f>IF($F$5,IF($L555="","",IFERROR(VLOOKUP($L555,day_data!$A:$I,8,FALSE),0)),NA())</f>
        <v/>
      </c>
      <c r="T555" s="60" t="e">
        <f>IF($F$7,IF($L555="","",IFERROR(VLOOKUP($L555,day_data!$A:$I,9,FALSE),0)),NA())</f>
        <v>#N/A</v>
      </c>
    </row>
    <row r="556" spans="12:20">
      <c r="L556" s="57" t="str">
        <f t="shared" si="8"/>
        <v/>
      </c>
      <c r="M556" s="11" t="str">
        <f>IF($F$1,IF($L556="","",IFERROR(VLOOKUP($L556,day_data!$A:$I,2,FALSE),0)),NA())</f>
        <v/>
      </c>
      <c r="N556" s="58" t="e">
        <f>IF($F$2,IF($L556="","",IFERROR(VLOOKUP($L556,day_data!$A:$I,3,FALSE),0)),NA())</f>
        <v>#N/A</v>
      </c>
      <c r="O556" s="11" t="e">
        <f>IF($F$3,IF($L556="","",IFERROR(VLOOKUP($L556,day_data!$A:$I,4,FALSE),0)),NA())</f>
        <v>#N/A</v>
      </c>
      <c r="P556" s="58" t="e">
        <f>IF($F$4,IF($L556="","",IFERROR(VLOOKUP($L556,day_data!$A:$I,5,FALSE),0)),NA())</f>
        <v>#N/A</v>
      </c>
      <c r="Q556" s="59" t="e">
        <f>IF($F$8,IF($L556="","",IFERROR(VLOOKUP($L556,day_data!$A:$I,6,FALSE),0)),NA())</f>
        <v>#N/A</v>
      </c>
      <c r="R556" s="11" t="e">
        <f>IF($F$6,IF($L556="","",IFERROR(VLOOKUP($L556,day_data!$A:$I,7,FALSE),0)),NA())</f>
        <v>#N/A</v>
      </c>
      <c r="S556" s="58" t="str">
        <f>IF($F$5,IF($L556="","",IFERROR(VLOOKUP($L556,day_data!$A:$I,8,FALSE),0)),NA())</f>
        <v/>
      </c>
      <c r="T556" s="60" t="e">
        <f>IF($F$7,IF($L556="","",IFERROR(VLOOKUP($L556,day_data!$A:$I,9,FALSE),0)),NA())</f>
        <v>#N/A</v>
      </c>
    </row>
    <row r="557" spans="12:20">
      <c r="L557" s="57" t="str">
        <f t="shared" si="8"/>
        <v/>
      </c>
      <c r="M557" s="11" t="str">
        <f>IF($F$1,IF($L557="","",IFERROR(VLOOKUP($L557,day_data!$A:$I,2,FALSE),0)),NA())</f>
        <v/>
      </c>
      <c r="N557" s="58" t="e">
        <f>IF($F$2,IF($L557="","",IFERROR(VLOOKUP($L557,day_data!$A:$I,3,FALSE),0)),NA())</f>
        <v>#N/A</v>
      </c>
      <c r="O557" s="11" t="e">
        <f>IF($F$3,IF($L557="","",IFERROR(VLOOKUP($L557,day_data!$A:$I,4,FALSE),0)),NA())</f>
        <v>#N/A</v>
      </c>
      <c r="P557" s="58" t="e">
        <f>IF($F$4,IF($L557="","",IFERROR(VLOOKUP($L557,day_data!$A:$I,5,FALSE),0)),NA())</f>
        <v>#N/A</v>
      </c>
      <c r="Q557" s="59" t="e">
        <f>IF($F$8,IF($L557="","",IFERROR(VLOOKUP($L557,day_data!$A:$I,6,FALSE),0)),NA())</f>
        <v>#N/A</v>
      </c>
      <c r="R557" s="11" t="e">
        <f>IF($F$6,IF($L557="","",IFERROR(VLOOKUP($L557,day_data!$A:$I,7,FALSE),0)),NA())</f>
        <v>#N/A</v>
      </c>
      <c r="S557" s="58" t="str">
        <f>IF($F$5,IF($L557="","",IFERROR(VLOOKUP($L557,day_data!$A:$I,8,FALSE),0)),NA())</f>
        <v/>
      </c>
      <c r="T557" s="60" t="e">
        <f>IF($F$7,IF($L557="","",IFERROR(VLOOKUP($L557,day_data!$A:$I,9,FALSE),0)),NA())</f>
        <v>#N/A</v>
      </c>
    </row>
    <row r="558" spans="12:20">
      <c r="L558" s="57" t="str">
        <f t="shared" si="8"/>
        <v/>
      </c>
      <c r="M558" s="11" t="str">
        <f>IF($F$1,IF($L558="","",IFERROR(VLOOKUP($L558,day_data!$A:$I,2,FALSE),0)),NA())</f>
        <v/>
      </c>
      <c r="N558" s="58" t="e">
        <f>IF($F$2,IF($L558="","",IFERROR(VLOOKUP($L558,day_data!$A:$I,3,FALSE),0)),NA())</f>
        <v>#N/A</v>
      </c>
      <c r="O558" s="11" t="e">
        <f>IF($F$3,IF($L558="","",IFERROR(VLOOKUP($L558,day_data!$A:$I,4,FALSE),0)),NA())</f>
        <v>#N/A</v>
      </c>
      <c r="P558" s="58" t="e">
        <f>IF($F$4,IF($L558="","",IFERROR(VLOOKUP($L558,day_data!$A:$I,5,FALSE),0)),NA())</f>
        <v>#N/A</v>
      </c>
      <c r="Q558" s="59" t="e">
        <f>IF($F$8,IF($L558="","",IFERROR(VLOOKUP($L558,day_data!$A:$I,6,FALSE),0)),NA())</f>
        <v>#N/A</v>
      </c>
      <c r="R558" s="11" t="e">
        <f>IF($F$6,IF($L558="","",IFERROR(VLOOKUP($L558,day_data!$A:$I,7,FALSE),0)),NA())</f>
        <v>#N/A</v>
      </c>
      <c r="S558" s="58" t="str">
        <f>IF($F$5,IF($L558="","",IFERROR(VLOOKUP($L558,day_data!$A:$I,8,FALSE),0)),NA())</f>
        <v/>
      </c>
      <c r="T558" s="60" t="e">
        <f>IF($F$7,IF($L558="","",IFERROR(VLOOKUP($L558,day_data!$A:$I,9,FALSE),0)),NA())</f>
        <v>#N/A</v>
      </c>
    </row>
    <row r="559" spans="12:20">
      <c r="L559" s="57" t="str">
        <f t="shared" si="8"/>
        <v/>
      </c>
      <c r="M559" s="11" t="str">
        <f>IF($F$1,IF($L559="","",IFERROR(VLOOKUP($L559,day_data!$A:$I,2,FALSE),0)),NA())</f>
        <v/>
      </c>
      <c r="N559" s="58" t="e">
        <f>IF($F$2,IF($L559="","",IFERROR(VLOOKUP($L559,day_data!$A:$I,3,FALSE),0)),NA())</f>
        <v>#N/A</v>
      </c>
      <c r="O559" s="11" t="e">
        <f>IF($F$3,IF($L559="","",IFERROR(VLOOKUP($L559,day_data!$A:$I,4,FALSE),0)),NA())</f>
        <v>#N/A</v>
      </c>
      <c r="P559" s="58" t="e">
        <f>IF($F$4,IF($L559="","",IFERROR(VLOOKUP($L559,day_data!$A:$I,5,FALSE),0)),NA())</f>
        <v>#N/A</v>
      </c>
      <c r="Q559" s="59" t="e">
        <f>IF($F$8,IF($L559="","",IFERROR(VLOOKUP($L559,day_data!$A:$I,6,FALSE),0)),NA())</f>
        <v>#N/A</v>
      </c>
      <c r="R559" s="11" t="e">
        <f>IF($F$6,IF($L559="","",IFERROR(VLOOKUP($L559,day_data!$A:$I,7,FALSE),0)),NA())</f>
        <v>#N/A</v>
      </c>
      <c r="S559" s="58" t="str">
        <f>IF($F$5,IF($L559="","",IFERROR(VLOOKUP($L559,day_data!$A:$I,8,FALSE),0)),NA())</f>
        <v/>
      </c>
      <c r="T559" s="60" t="e">
        <f>IF($F$7,IF($L559="","",IFERROR(VLOOKUP($L559,day_data!$A:$I,9,FALSE),0)),NA())</f>
        <v>#N/A</v>
      </c>
    </row>
    <row r="560" spans="12:20">
      <c r="L560" s="57" t="str">
        <f t="shared" si="8"/>
        <v/>
      </c>
      <c r="M560" s="11" t="str">
        <f>IF($F$1,IF($L560="","",IFERROR(VLOOKUP($L560,day_data!$A:$I,2,FALSE),0)),NA())</f>
        <v/>
      </c>
      <c r="N560" s="58" t="e">
        <f>IF($F$2,IF($L560="","",IFERROR(VLOOKUP($L560,day_data!$A:$I,3,FALSE),0)),NA())</f>
        <v>#N/A</v>
      </c>
      <c r="O560" s="11" t="e">
        <f>IF($F$3,IF($L560="","",IFERROR(VLOOKUP($L560,day_data!$A:$I,4,FALSE),0)),NA())</f>
        <v>#N/A</v>
      </c>
      <c r="P560" s="58" t="e">
        <f>IF($F$4,IF($L560="","",IFERROR(VLOOKUP($L560,day_data!$A:$I,5,FALSE),0)),NA())</f>
        <v>#N/A</v>
      </c>
      <c r="Q560" s="59" t="e">
        <f>IF($F$8,IF($L560="","",IFERROR(VLOOKUP($L560,day_data!$A:$I,6,FALSE),0)),NA())</f>
        <v>#N/A</v>
      </c>
      <c r="R560" s="11" t="e">
        <f>IF($F$6,IF($L560="","",IFERROR(VLOOKUP($L560,day_data!$A:$I,7,FALSE),0)),NA())</f>
        <v>#N/A</v>
      </c>
      <c r="S560" s="58" t="str">
        <f>IF($F$5,IF($L560="","",IFERROR(VLOOKUP($L560,day_data!$A:$I,8,FALSE),0)),NA())</f>
        <v/>
      </c>
      <c r="T560" s="60" t="e">
        <f>IF($F$7,IF($L560="","",IFERROR(VLOOKUP($L560,day_data!$A:$I,9,FALSE),0)),NA())</f>
        <v>#N/A</v>
      </c>
    </row>
    <row r="561" spans="12:20">
      <c r="L561" s="57" t="str">
        <f t="shared" si="8"/>
        <v/>
      </c>
      <c r="M561" s="11" t="str">
        <f>IF($F$1,IF($L561="","",IFERROR(VLOOKUP($L561,day_data!$A:$I,2,FALSE),0)),NA())</f>
        <v/>
      </c>
      <c r="N561" s="58" t="e">
        <f>IF($F$2,IF($L561="","",IFERROR(VLOOKUP($L561,day_data!$A:$I,3,FALSE),0)),NA())</f>
        <v>#N/A</v>
      </c>
      <c r="O561" s="11" t="e">
        <f>IF($F$3,IF($L561="","",IFERROR(VLOOKUP($L561,day_data!$A:$I,4,FALSE),0)),NA())</f>
        <v>#N/A</v>
      </c>
      <c r="P561" s="58" t="e">
        <f>IF($F$4,IF($L561="","",IFERROR(VLOOKUP($L561,day_data!$A:$I,5,FALSE),0)),NA())</f>
        <v>#N/A</v>
      </c>
      <c r="Q561" s="59" t="e">
        <f>IF($F$8,IF($L561="","",IFERROR(VLOOKUP($L561,day_data!$A:$I,6,FALSE),0)),NA())</f>
        <v>#N/A</v>
      </c>
      <c r="R561" s="11" t="e">
        <f>IF($F$6,IF($L561="","",IFERROR(VLOOKUP($L561,day_data!$A:$I,7,FALSE),0)),NA())</f>
        <v>#N/A</v>
      </c>
      <c r="S561" s="58" t="str">
        <f>IF($F$5,IF($L561="","",IFERROR(VLOOKUP($L561,day_data!$A:$I,8,FALSE),0)),NA())</f>
        <v/>
      </c>
      <c r="T561" s="60" t="e">
        <f>IF($F$7,IF($L561="","",IFERROR(VLOOKUP($L561,day_data!$A:$I,9,FALSE),0)),NA())</f>
        <v>#N/A</v>
      </c>
    </row>
    <row r="562" spans="12:20">
      <c r="L562" s="57" t="str">
        <f t="shared" si="8"/>
        <v/>
      </c>
      <c r="M562" s="11" t="str">
        <f>IF($F$1,IF($L562="","",IFERROR(VLOOKUP($L562,day_data!$A:$I,2,FALSE),0)),NA())</f>
        <v/>
      </c>
      <c r="N562" s="58" t="e">
        <f>IF($F$2,IF($L562="","",IFERROR(VLOOKUP($L562,day_data!$A:$I,3,FALSE),0)),NA())</f>
        <v>#N/A</v>
      </c>
      <c r="O562" s="11" t="e">
        <f>IF($F$3,IF($L562="","",IFERROR(VLOOKUP($L562,day_data!$A:$I,4,FALSE),0)),NA())</f>
        <v>#N/A</v>
      </c>
      <c r="P562" s="58" t="e">
        <f>IF($F$4,IF($L562="","",IFERROR(VLOOKUP($L562,day_data!$A:$I,5,FALSE),0)),NA())</f>
        <v>#N/A</v>
      </c>
      <c r="Q562" s="59" t="e">
        <f>IF($F$8,IF($L562="","",IFERROR(VLOOKUP($L562,day_data!$A:$I,6,FALSE),0)),NA())</f>
        <v>#N/A</v>
      </c>
      <c r="R562" s="11" t="e">
        <f>IF($F$6,IF($L562="","",IFERROR(VLOOKUP($L562,day_data!$A:$I,7,FALSE),0)),NA())</f>
        <v>#N/A</v>
      </c>
      <c r="S562" s="58" t="str">
        <f>IF($F$5,IF($L562="","",IFERROR(VLOOKUP($L562,day_data!$A:$I,8,FALSE),0)),NA())</f>
        <v/>
      </c>
      <c r="T562" s="60" t="e">
        <f>IF($F$7,IF($L562="","",IFERROR(VLOOKUP($L562,day_data!$A:$I,9,FALSE),0)),NA())</f>
        <v>#N/A</v>
      </c>
    </row>
    <row r="563" spans="12:20">
      <c r="L563" s="57" t="str">
        <f t="shared" si="8"/>
        <v/>
      </c>
      <c r="M563" s="11" t="str">
        <f>IF($F$1,IF($L563="","",IFERROR(VLOOKUP($L563,day_data!$A:$I,2,FALSE),0)),NA())</f>
        <v/>
      </c>
      <c r="N563" s="58" t="e">
        <f>IF($F$2,IF($L563="","",IFERROR(VLOOKUP($L563,day_data!$A:$I,3,FALSE),0)),NA())</f>
        <v>#N/A</v>
      </c>
      <c r="O563" s="11" t="e">
        <f>IF($F$3,IF($L563="","",IFERROR(VLOOKUP($L563,day_data!$A:$I,4,FALSE),0)),NA())</f>
        <v>#N/A</v>
      </c>
      <c r="P563" s="58" t="e">
        <f>IF($F$4,IF($L563="","",IFERROR(VLOOKUP($L563,day_data!$A:$I,5,FALSE),0)),NA())</f>
        <v>#N/A</v>
      </c>
      <c r="Q563" s="59" t="e">
        <f>IF($F$8,IF($L563="","",IFERROR(VLOOKUP($L563,day_data!$A:$I,6,FALSE),0)),NA())</f>
        <v>#N/A</v>
      </c>
      <c r="R563" s="11" t="e">
        <f>IF($F$6,IF($L563="","",IFERROR(VLOOKUP($L563,day_data!$A:$I,7,FALSE),0)),NA())</f>
        <v>#N/A</v>
      </c>
      <c r="S563" s="58" t="str">
        <f>IF($F$5,IF($L563="","",IFERROR(VLOOKUP($L563,day_data!$A:$I,8,FALSE),0)),NA())</f>
        <v/>
      </c>
      <c r="T563" s="60" t="e">
        <f>IF($F$7,IF($L563="","",IFERROR(VLOOKUP($L563,day_data!$A:$I,9,FALSE),0)),NA())</f>
        <v>#N/A</v>
      </c>
    </row>
    <row r="564" spans="12:20">
      <c r="L564" s="57" t="str">
        <f t="shared" si="8"/>
        <v/>
      </c>
      <c r="M564" s="11" t="str">
        <f>IF($F$1,IF($L564="","",IFERROR(VLOOKUP($L564,day_data!$A:$I,2,FALSE),0)),NA())</f>
        <v/>
      </c>
      <c r="N564" s="58" t="e">
        <f>IF($F$2,IF($L564="","",IFERROR(VLOOKUP($L564,day_data!$A:$I,3,FALSE),0)),NA())</f>
        <v>#N/A</v>
      </c>
      <c r="O564" s="11" t="e">
        <f>IF($F$3,IF($L564="","",IFERROR(VLOOKUP($L564,day_data!$A:$I,4,FALSE),0)),NA())</f>
        <v>#N/A</v>
      </c>
      <c r="P564" s="58" t="e">
        <f>IF($F$4,IF($L564="","",IFERROR(VLOOKUP($L564,day_data!$A:$I,5,FALSE),0)),NA())</f>
        <v>#N/A</v>
      </c>
      <c r="Q564" s="59" t="e">
        <f>IF($F$8,IF($L564="","",IFERROR(VLOOKUP($L564,day_data!$A:$I,6,FALSE),0)),NA())</f>
        <v>#N/A</v>
      </c>
      <c r="R564" s="11" t="e">
        <f>IF($F$6,IF($L564="","",IFERROR(VLOOKUP($L564,day_data!$A:$I,7,FALSE),0)),NA())</f>
        <v>#N/A</v>
      </c>
      <c r="S564" s="58" t="str">
        <f>IF($F$5,IF($L564="","",IFERROR(VLOOKUP($L564,day_data!$A:$I,8,FALSE),0)),NA())</f>
        <v/>
      </c>
      <c r="T564" s="60" t="e">
        <f>IF($F$7,IF($L564="","",IFERROR(VLOOKUP($L564,day_data!$A:$I,9,FALSE),0)),NA())</f>
        <v>#N/A</v>
      </c>
    </row>
    <row r="565" spans="12:20">
      <c r="L565" s="57" t="str">
        <f t="shared" si="8"/>
        <v/>
      </c>
      <c r="M565" s="11" t="str">
        <f>IF($F$1,IF($L565="","",IFERROR(VLOOKUP($L565,day_data!$A:$I,2,FALSE),0)),NA())</f>
        <v/>
      </c>
      <c r="N565" s="58" t="e">
        <f>IF($F$2,IF($L565="","",IFERROR(VLOOKUP($L565,day_data!$A:$I,3,FALSE),0)),NA())</f>
        <v>#N/A</v>
      </c>
      <c r="O565" s="11" t="e">
        <f>IF($F$3,IF($L565="","",IFERROR(VLOOKUP($L565,day_data!$A:$I,4,FALSE),0)),NA())</f>
        <v>#N/A</v>
      </c>
      <c r="P565" s="58" t="e">
        <f>IF($F$4,IF($L565="","",IFERROR(VLOOKUP($L565,day_data!$A:$I,5,FALSE),0)),NA())</f>
        <v>#N/A</v>
      </c>
      <c r="Q565" s="59" t="e">
        <f>IF($F$8,IF($L565="","",IFERROR(VLOOKUP($L565,day_data!$A:$I,6,FALSE),0)),NA())</f>
        <v>#N/A</v>
      </c>
      <c r="R565" s="11" t="e">
        <f>IF($F$6,IF($L565="","",IFERROR(VLOOKUP($L565,day_data!$A:$I,7,FALSE),0)),NA())</f>
        <v>#N/A</v>
      </c>
      <c r="S565" s="58" t="str">
        <f>IF($F$5,IF($L565="","",IFERROR(VLOOKUP($L565,day_data!$A:$I,8,FALSE),0)),NA())</f>
        <v/>
      </c>
      <c r="T565" s="60" t="e">
        <f>IF($F$7,IF($L565="","",IFERROR(VLOOKUP($L565,day_data!$A:$I,9,FALSE),0)),NA())</f>
        <v>#N/A</v>
      </c>
    </row>
    <row r="566" spans="12:20">
      <c r="L566" s="57" t="str">
        <f t="shared" si="8"/>
        <v/>
      </c>
      <c r="M566" s="11" t="str">
        <f>IF($F$1,IF($L566="","",IFERROR(VLOOKUP($L566,day_data!$A:$I,2,FALSE),0)),NA())</f>
        <v/>
      </c>
      <c r="N566" s="58" t="e">
        <f>IF($F$2,IF($L566="","",IFERROR(VLOOKUP($L566,day_data!$A:$I,3,FALSE),0)),NA())</f>
        <v>#N/A</v>
      </c>
      <c r="O566" s="11" t="e">
        <f>IF($F$3,IF($L566="","",IFERROR(VLOOKUP($L566,day_data!$A:$I,4,FALSE),0)),NA())</f>
        <v>#N/A</v>
      </c>
      <c r="P566" s="58" t="e">
        <f>IF($F$4,IF($L566="","",IFERROR(VLOOKUP($L566,day_data!$A:$I,5,FALSE),0)),NA())</f>
        <v>#N/A</v>
      </c>
      <c r="Q566" s="59" t="e">
        <f>IF($F$8,IF($L566="","",IFERROR(VLOOKUP($L566,day_data!$A:$I,6,FALSE),0)),NA())</f>
        <v>#N/A</v>
      </c>
      <c r="R566" s="11" t="e">
        <f>IF($F$6,IF($L566="","",IFERROR(VLOOKUP($L566,day_data!$A:$I,7,FALSE),0)),NA())</f>
        <v>#N/A</v>
      </c>
      <c r="S566" s="58" t="str">
        <f>IF($F$5,IF($L566="","",IFERROR(VLOOKUP($L566,day_data!$A:$I,8,FALSE),0)),NA())</f>
        <v/>
      </c>
      <c r="T566" s="60" t="e">
        <f>IF($F$7,IF($L566="","",IFERROR(VLOOKUP($L566,day_data!$A:$I,9,FALSE),0)),NA())</f>
        <v>#N/A</v>
      </c>
    </row>
    <row r="567" spans="12:20">
      <c r="L567" s="57" t="str">
        <f t="shared" si="8"/>
        <v/>
      </c>
      <c r="M567" s="11" t="str">
        <f>IF($F$1,IF($L567="","",IFERROR(VLOOKUP($L567,day_data!$A:$I,2,FALSE),0)),NA())</f>
        <v/>
      </c>
      <c r="N567" s="58" t="e">
        <f>IF($F$2,IF($L567="","",IFERROR(VLOOKUP($L567,day_data!$A:$I,3,FALSE),0)),NA())</f>
        <v>#N/A</v>
      </c>
      <c r="O567" s="11" t="e">
        <f>IF($F$3,IF($L567="","",IFERROR(VLOOKUP($L567,day_data!$A:$I,4,FALSE),0)),NA())</f>
        <v>#N/A</v>
      </c>
      <c r="P567" s="58" t="e">
        <f>IF($F$4,IF($L567="","",IFERROR(VLOOKUP($L567,day_data!$A:$I,5,FALSE),0)),NA())</f>
        <v>#N/A</v>
      </c>
      <c r="Q567" s="59" t="e">
        <f>IF($F$8,IF($L567="","",IFERROR(VLOOKUP($L567,day_data!$A:$I,6,FALSE),0)),NA())</f>
        <v>#N/A</v>
      </c>
      <c r="R567" s="11" t="e">
        <f>IF($F$6,IF($L567="","",IFERROR(VLOOKUP($L567,day_data!$A:$I,7,FALSE),0)),NA())</f>
        <v>#N/A</v>
      </c>
      <c r="S567" s="58" t="str">
        <f>IF($F$5,IF($L567="","",IFERROR(VLOOKUP($L567,day_data!$A:$I,8,FALSE),0)),NA())</f>
        <v/>
      </c>
      <c r="T567" s="60" t="e">
        <f>IF($F$7,IF($L567="","",IFERROR(VLOOKUP($L567,day_data!$A:$I,9,FALSE),0)),NA())</f>
        <v>#N/A</v>
      </c>
    </row>
    <row r="568" spans="12:20">
      <c r="L568" s="57" t="str">
        <f t="shared" si="8"/>
        <v/>
      </c>
      <c r="M568" s="11" t="str">
        <f>IF($F$1,IF($L568="","",IFERROR(VLOOKUP($L568,day_data!$A:$I,2,FALSE),0)),NA())</f>
        <v/>
      </c>
      <c r="N568" s="58" t="e">
        <f>IF($F$2,IF($L568="","",IFERROR(VLOOKUP($L568,day_data!$A:$I,3,FALSE),0)),NA())</f>
        <v>#N/A</v>
      </c>
      <c r="O568" s="11" t="e">
        <f>IF($F$3,IF($L568="","",IFERROR(VLOOKUP($L568,day_data!$A:$I,4,FALSE),0)),NA())</f>
        <v>#N/A</v>
      </c>
      <c r="P568" s="58" t="e">
        <f>IF($F$4,IF($L568="","",IFERROR(VLOOKUP($L568,day_data!$A:$I,5,FALSE),0)),NA())</f>
        <v>#N/A</v>
      </c>
      <c r="Q568" s="59" t="e">
        <f>IF($F$8,IF($L568="","",IFERROR(VLOOKUP($L568,day_data!$A:$I,6,FALSE),0)),NA())</f>
        <v>#N/A</v>
      </c>
      <c r="R568" s="11" t="e">
        <f>IF($F$6,IF($L568="","",IFERROR(VLOOKUP($L568,day_data!$A:$I,7,FALSE),0)),NA())</f>
        <v>#N/A</v>
      </c>
      <c r="S568" s="58" t="str">
        <f>IF($F$5,IF($L568="","",IFERROR(VLOOKUP($L568,day_data!$A:$I,8,FALSE),0)),NA())</f>
        <v/>
      </c>
      <c r="T568" s="60" t="e">
        <f>IF($F$7,IF($L568="","",IFERROR(VLOOKUP($L568,day_data!$A:$I,9,FALSE),0)),NA())</f>
        <v>#N/A</v>
      </c>
    </row>
    <row r="569" spans="12:20">
      <c r="L569" s="57" t="str">
        <f t="shared" si="8"/>
        <v/>
      </c>
      <c r="M569" s="11" t="str">
        <f>IF($F$1,IF($L569="","",IFERROR(VLOOKUP($L569,day_data!$A:$I,2,FALSE),0)),NA())</f>
        <v/>
      </c>
      <c r="N569" s="58" t="e">
        <f>IF($F$2,IF($L569="","",IFERROR(VLOOKUP($L569,day_data!$A:$I,3,FALSE),0)),NA())</f>
        <v>#N/A</v>
      </c>
      <c r="O569" s="11" t="e">
        <f>IF($F$3,IF($L569="","",IFERROR(VLOOKUP($L569,day_data!$A:$I,4,FALSE),0)),NA())</f>
        <v>#N/A</v>
      </c>
      <c r="P569" s="58" t="e">
        <f>IF($F$4,IF($L569="","",IFERROR(VLOOKUP($L569,day_data!$A:$I,5,FALSE),0)),NA())</f>
        <v>#N/A</v>
      </c>
      <c r="Q569" s="59" t="e">
        <f>IF($F$8,IF($L569="","",IFERROR(VLOOKUP($L569,day_data!$A:$I,6,FALSE),0)),NA())</f>
        <v>#N/A</v>
      </c>
      <c r="R569" s="11" t="e">
        <f>IF($F$6,IF($L569="","",IFERROR(VLOOKUP($L569,day_data!$A:$I,7,FALSE),0)),NA())</f>
        <v>#N/A</v>
      </c>
      <c r="S569" s="58" t="str">
        <f>IF($F$5,IF($L569="","",IFERROR(VLOOKUP($L569,day_data!$A:$I,8,FALSE),0)),NA())</f>
        <v/>
      </c>
      <c r="T569" s="60" t="e">
        <f>IF($F$7,IF($L569="","",IFERROR(VLOOKUP($L569,day_data!$A:$I,9,FALSE),0)),NA())</f>
        <v>#N/A</v>
      </c>
    </row>
    <row r="570" spans="12:20">
      <c r="L570" s="57" t="str">
        <f t="shared" si="8"/>
        <v/>
      </c>
      <c r="M570" s="11" t="str">
        <f>IF($F$1,IF($L570="","",IFERROR(VLOOKUP($L570,day_data!$A:$I,2,FALSE),0)),NA())</f>
        <v/>
      </c>
      <c r="N570" s="58" t="e">
        <f>IF($F$2,IF($L570="","",IFERROR(VLOOKUP($L570,day_data!$A:$I,3,FALSE),0)),NA())</f>
        <v>#N/A</v>
      </c>
      <c r="O570" s="11" t="e">
        <f>IF($F$3,IF($L570="","",IFERROR(VLOOKUP($L570,day_data!$A:$I,4,FALSE),0)),NA())</f>
        <v>#N/A</v>
      </c>
      <c r="P570" s="58" t="e">
        <f>IF($F$4,IF($L570="","",IFERROR(VLOOKUP($L570,day_data!$A:$I,5,FALSE),0)),NA())</f>
        <v>#N/A</v>
      </c>
      <c r="Q570" s="59" t="e">
        <f>IF($F$8,IF($L570="","",IFERROR(VLOOKUP($L570,day_data!$A:$I,6,FALSE),0)),NA())</f>
        <v>#N/A</v>
      </c>
      <c r="R570" s="11" t="e">
        <f>IF($F$6,IF($L570="","",IFERROR(VLOOKUP($L570,day_data!$A:$I,7,FALSE),0)),NA())</f>
        <v>#N/A</v>
      </c>
      <c r="S570" s="58" t="str">
        <f>IF($F$5,IF($L570="","",IFERROR(VLOOKUP($L570,day_data!$A:$I,8,FALSE),0)),NA())</f>
        <v/>
      </c>
      <c r="T570" s="60" t="e">
        <f>IF($F$7,IF($L570="","",IFERROR(VLOOKUP($L570,day_data!$A:$I,9,FALSE),0)),NA())</f>
        <v>#N/A</v>
      </c>
    </row>
    <row r="571" spans="12:20">
      <c r="L571" s="57" t="str">
        <f t="shared" si="8"/>
        <v/>
      </c>
      <c r="M571" s="11" t="str">
        <f>IF($F$1,IF($L571="","",IFERROR(VLOOKUP($L571,day_data!$A:$I,2,FALSE),0)),NA())</f>
        <v/>
      </c>
      <c r="N571" s="58" t="e">
        <f>IF($F$2,IF($L571="","",IFERROR(VLOOKUP($L571,day_data!$A:$I,3,FALSE),0)),NA())</f>
        <v>#N/A</v>
      </c>
      <c r="O571" s="11" t="e">
        <f>IF($F$3,IF($L571="","",IFERROR(VLOOKUP($L571,day_data!$A:$I,4,FALSE),0)),NA())</f>
        <v>#N/A</v>
      </c>
      <c r="P571" s="58" t="e">
        <f>IF($F$4,IF($L571="","",IFERROR(VLOOKUP($L571,day_data!$A:$I,5,FALSE),0)),NA())</f>
        <v>#N/A</v>
      </c>
      <c r="Q571" s="59" t="e">
        <f>IF($F$8,IF($L571="","",IFERROR(VLOOKUP($L571,day_data!$A:$I,6,FALSE),0)),NA())</f>
        <v>#N/A</v>
      </c>
      <c r="R571" s="11" t="e">
        <f>IF($F$6,IF($L571="","",IFERROR(VLOOKUP($L571,day_data!$A:$I,7,FALSE),0)),NA())</f>
        <v>#N/A</v>
      </c>
      <c r="S571" s="58" t="str">
        <f>IF($F$5,IF($L571="","",IFERROR(VLOOKUP($L571,day_data!$A:$I,8,FALSE),0)),NA())</f>
        <v/>
      </c>
      <c r="T571" s="60" t="e">
        <f>IF($F$7,IF($L571="","",IFERROR(VLOOKUP($L571,day_data!$A:$I,9,FALSE),0)),NA())</f>
        <v>#N/A</v>
      </c>
    </row>
    <row r="572" spans="12:20">
      <c r="L572" s="57" t="str">
        <f t="shared" si="8"/>
        <v/>
      </c>
      <c r="M572" s="11" t="str">
        <f>IF($F$1,IF($L572="","",IFERROR(VLOOKUP($L572,day_data!$A:$I,2,FALSE),0)),NA())</f>
        <v/>
      </c>
      <c r="N572" s="58" t="e">
        <f>IF($F$2,IF($L572="","",IFERROR(VLOOKUP($L572,day_data!$A:$I,3,FALSE),0)),NA())</f>
        <v>#N/A</v>
      </c>
      <c r="O572" s="11" t="e">
        <f>IF($F$3,IF($L572="","",IFERROR(VLOOKUP($L572,day_data!$A:$I,4,FALSE),0)),NA())</f>
        <v>#N/A</v>
      </c>
      <c r="P572" s="58" t="e">
        <f>IF($F$4,IF($L572="","",IFERROR(VLOOKUP($L572,day_data!$A:$I,5,FALSE),0)),NA())</f>
        <v>#N/A</v>
      </c>
      <c r="Q572" s="59" t="e">
        <f>IF($F$8,IF($L572="","",IFERROR(VLOOKUP($L572,day_data!$A:$I,6,FALSE),0)),NA())</f>
        <v>#N/A</v>
      </c>
      <c r="R572" s="11" t="e">
        <f>IF($F$6,IF($L572="","",IFERROR(VLOOKUP($L572,day_data!$A:$I,7,FALSE),0)),NA())</f>
        <v>#N/A</v>
      </c>
      <c r="S572" s="58" t="str">
        <f>IF($F$5,IF($L572="","",IFERROR(VLOOKUP($L572,day_data!$A:$I,8,FALSE),0)),NA())</f>
        <v/>
      </c>
      <c r="T572" s="60" t="e">
        <f>IF($F$7,IF($L572="","",IFERROR(VLOOKUP($L572,day_data!$A:$I,9,FALSE),0)),NA())</f>
        <v>#N/A</v>
      </c>
    </row>
    <row r="573" spans="12:20">
      <c r="L573" s="57" t="str">
        <f t="shared" si="8"/>
        <v/>
      </c>
      <c r="M573" s="11" t="str">
        <f>IF($F$1,IF($L573="","",IFERROR(VLOOKUP($L573,day_data!$A:$I,2,FALSE),0)),NA())</f>
        <v/>
      </c>
      <c r="N573" s="58" t="e">
        <f>IF($F$2,IF($L573="","",IFERROR(VLOOKUP($L573,day_data!$A:$I,3,FALSE),0)),NA())</f>
        <v>#N/A</v>
      </c>
      <c r="O573" s="11" t="e">
        <f>IF($F$3,IF($L573="","",IFERROR(VLOOKUP($L573,day_data!$A:$I,4,FALSE),0)),NA())</f>
        <v>#N/A</v>
      </c>
      <c r="P573" s="58" t="e">
        <f>IF($F$4,IF($L573="","",IFERROR(VLOOKUP($L573,day_data!$A:$I,5,FALSE),0)),NA())</f>
        <v>#N/A</v>
      </c>
      <c r="Q573" s="59" t="e">
        <f>IF($F$8,IF($L573="","",IFERROR(VLOOKUP($L573,day_data!$A:$I,6,FALSE),0)),NA())</f>
        <v>#N/A</v>
      </c>
      <c r="R573" s="11" t="e">
        <f>IF($F$6,IF($L573="","",IFERROR(VLOOKUP($L573,day_data!$A:$I,7,FALSE),0)),NA())</f>
        <v>#N/A</v>
      </c>
      <c r="S573" s="58" t="str">
        <f>IF($F$5,IF($L573="","",IFERROR(VLOOKUP($L573,day_data!$A:$I,8,FALSE),0)),NA())</f>
        <v/>
      </c>
      <c r="T573" s="60" t="e">
        <f>IF($F$7,IF($L573="","",IFERROR(VLOOKUP($L573,day_data!$A:$I,9,FALSE),0)),NA())</f>
        <v>#N/A</v>
      </c>
    </row>
    <row r="574" spans="12:20">
      <c r="L574" s="57" t="str">
        <f t="shared" si="8"/>
        <v/>
      </c>
      <c r="M574" s="11" t="str">
        <f>IF($F$1,IF($L574="","",IFERROR(VLOOKUP($L574,day_data!$A:$I,2,FALSE),0)),NA())</f>
        <v/>
      </c>
      <c r="N574" s="58" t="e">
        <f>IF($F$2,IF($L574="","",IFERROR(VLOOKUP($L574,day_data!$A:$I,3,FALSE),0)),NA())</f>
        <v>#N/A</v>
      </c>
      <c r="O574" s="11" t="e">
        <f>IF($F$3,IF($L574="","",IFERROR(VLOOKUP($L574,day_data!$A:$I,4,FALSE),0)),NA())</f>
        <v>#N/A</v>
      </c>
      <c r="P574" s="58" t="e">
        <f>IF($F$4,IF($L574="","",IFERROR(VLOOKUP($L574,day_data!$A:$I,5,FALSE),0)),NA())</f>
        <v>#N/A</v>
      </c>
      <c r="Q574" s="59" t="e">
        <f>IF($F$8,IF($L574="","",IFERROR(VLOOKUP($L574,day_data!$A:$I,6,FALSE),0)),NA())</f>
        <v>#N/A</v>
      </c>
      <c r="R574" s="11" t="e">
        <f>IF($F$6,IF($L574="","",IFERROR(VLOOKUP($L574,day_data!$A:$I,7,FALSE),0)),NA())</f>
        <v>#N/A</v>
      </c>
      <c r="S574" s="58" t="str">
        <f>IF($F$5,IF($L574="","",IFERROR(VLOOKUP($L574,day_data!$A:$I,8,FALSE),0)),NA())</f>
        <v/>
      </c>
      <c r="T574" s="60" t="e">
        <f>IF($F$7,IF($L574="","",IFERROR(VLOOKUP($L574,day_data!$A:$I,9,FALSE),0)),NA())</f>
        <v>#N/A</v>
      </c>
    </row>
    <row r="575" spans="12:20">
      <c r="L575" s="57" t="str">
        <f t="shared" si="8"/>
        <v/>
      </c>
      <c r="M575" s="11" t="str">
        <f>IF($F$1,IF($L575="","",IFERROR(VLOOKUP($L575,day_data!$A:$I,2,FALSE),0)),NA())</f>
        <v/>
      </c>
      <c r="N575" s="58" t="e">
        <f>IF($F$2,IF($L575="","",IFERROR(VLOOKUP($L575,day_data!$A:$I,3,FALSE),0)),NA())</f>
        <v>#N/A</v>
      </c>
      <c r="O575" s="11" t="e">
        <f>IF($F$3,IF($L575="","",IFERROR(VLOOKUP($L575,day_data!$A:$I,4,FALSE),0)),NA())</f>
        <v>#N/A</v>
      </c>
      <c r="P575" s="58" t="e">
        <f>IF($F$4,IF($L575="","",IFERROR(VLOOKUP($L575,day_data!$A:$I,5,FALSE),0)),NA())</f>
        <v>#N/A</v>
      </c>
      <c r="Q575" s="59" t="e">
        <f>IF($F$8,IF($L575="","",IFERROR(VLOOKUP($L575,day_data!$A:$I,6,FALSE),0)),NA())</f>
        <v>#N/A</v>
      </c>
      <c r="R575" s="11" t="e">
        <f>IF($F$6,IF($L575="","",IFERROR(VLOOKUP($L575,day_data!$A:$I,7,FALSE),0)),NA())</f>
        <v>#N/A</v>
      </c>
      <c r="S575" s="58" t="str">
        <f>IF($F$5,IF($L575="","",IFERROR(VLOOKUP($L575,day_data!$A:$I,8,FALSE),0)),NA())</f>
        <v/>
      </c>
      <c r="T575" s="60" t="e">
        <f>IF($F$7,IF($L575="","",IFERROR(VLOOKUP($L575,day_data!$A:$I,9,FALSE),0)),NA())</f>
        <v>#N/A</v>
      </c>
    </row>
    <row r="576" spans="12:20">
      <c r="L576" s="57" t="str">
        <f t="shared" si="8"/>
        <v/>
      </c>
      <c r="M576" s="11" t="str">
        <f>IF($F$1,IF($L576="","",IFERROR(VLOOKUP($L576,day_data!$A:$I,2,FALSE),0)),NA())</f>
        <v/>
      </c>
      <c r="N576" s="58" t="e">
        <f>IF($F$2,IF($L576="","",IFERROR(VLOOKUP($L576,day_data!$A:$I,3,FALSE),0)),NA())</f>
        <v>#N/A</v>
      </c>
      <c r="O576" s="11" t="e">
        <f>IF($F$3,IF($L576="","",IFERROR(VLOOKUP($L576,day_data!$A:$I,4,FALSE),0)),NA())</f>
        <v>#N/A</v>
      </c>
      <c r="P576" s="58" t="e">
        <f>IF($F$4,IF($L576="","",IFERROR(VLOOKUP($L576,day_data!$A:$I,5,FALSE),0)),NA())</f>
        <v>#N/A</v>
      </c>
      <c r="Q576" s="59" t="e">
        <f>IF($F$8,IF($L576="","",IFERROR(VLOOKUP($L576,day_data!$A:$I,6,FALSE),0)),NA())</f>
        <v>#N/A</v>
      </c>
      <c r="R576" s="11" t="e">
        <f>IF($F$6,IF($L576="","",IFERROR(VLOOKUP($L576,day_data!$A:$I,7,FALSE),0)),NA())</f>
        <v>#N/A</v>
      </c>
      <c r="S576" s="58" t="str">
        <f>IF($F$5,IF($L576="","",IFERROR(VLOOKUP($L576,day_data!$A:$I,8,FALSE),0)),NA())</f>
        <v/>
      </c>
      <c r="T576" s="60" t="e">
        <f>IF($F$7,IF($L576="","",IFERROR(VLOOKUP($L576,day_data!$A:$I,9,FALSE),0)),NA())</f>
        <v>#N/A</v>
      </c>
    </row>
    <row r="577" spans="12:20">
      <c r="L577" s="57" t="str">
        <f t="shared" si="8"/>
        <v/>
      </c>
      <c r="M577" s="11" t="str">
        <f>IF($F$1,IF($L577="","",IFERROR(VLOOKUP($L577,day_data!$A:$I,2,FALSE),0)),NA())</f>
        <v/>
      </c>
      <c r="N577" s="58" t="e">
        <f>IF($F$2,IF($L577="","",IFERROR(VLOOKUP($L577,day_data!$A:$I,3,FALSE),0)),NA())</f>
        <v>#N/A</v>
      </c>
      <c r="O577" s="11" t="e">
        <f>IF($F$3,IF($L577="","",IFERROR(VLOOKUP($L577,day_data!$A:$I,4,FALSE),0)),NA())</f>
        <v>#N/A</v>
      </c>
      <c r="P577" s="58" t="e">
        <f>IF($F$4,IF($L577="","",IFERROR(VLOOKUP($L577,day_data!$A:$I,5,FALSE),0)),NA())</f>
        <v>#N/A</v>
      </c>
      <c r="Q577" s="59" t="e">
        <f>IF($F$8,IF($L577="","",IFERROR(VLOOKUP($L577,day_data!$A:$I,6,FALSE),0)),NA())</f>
        <v>#N/A</v>
      </c>
      <c r="R577" s="11" t="e">
        <f>IF($F$6,IF($L577="","",IFERROR(VLOOKUP($L577,day_data!$A:$I,7,FALSE),0)),NA())</f>
        <v>#N/A</v>
      </c>
      <c r="S577" s="58" t="str">
        <f>IF($F$5,IF($L577="","",IFERROR(VLOOKUP($L577,day_data!$A:$I,8,FALSE),0)),NA())</f>
        <v/>
      </c>
      <c r="T577" s="60" t="e">
        <f>IF($F$7,IF($L577="","",IFERROR(VLOOKUP($L577,day_data!$A:$I,9,FALSE),0)),NA())</f>
        <v>#N/A</v>
      </c>
    </row>
    <row r="578" spans="12:20">
      <c r="L578" s="57" t="str">
        <f t="shared" si="8"/>
        <v/>
      </c>
      <c r="M578" s="11" t="str">
        <f>IF($F$1,IF($L578="","",IFERROR(VLOOKUP($L578,day_data!$A:$I,2,FALSE),0)),NA())</f>
        <v/>
      </c>
      <c r="N578" s="58" t="e">
        <f>IF($F$2,IF($L578="","",IFERROR(VLOOKUP($L578,day_data!$A:$I,3,FALSE),0)),NA())</f>
        <v>#N/A</v>
      </c>
      <c r="O578" s="11" t="e">
        <f>IF($F$3,IF($L578="","",IFERROR(VLOOKUP($L578,day_data!$A:$I,4,FALSE),0)),NA())</f>
        <v>#N/A</v>
      </c>
      <c r="P578" s="58" t="e">
        <f>IF($F$4,IF($L578="","",IFERROR(VLOOKUP($L578,day_data!$A:$I,5,FALSE),0)),NA())</f>
        <v>#N/A</v>
      </c>
      <c r="Q578" s="59" t="e">
        <f>IF($F$8,IF($L578="","",IFERROR(VLOOKUP($L578,day_data!$A:$I,6,FALSE),0)),NA())</f>
        <v>#N/A</v>
      </c>
      <c r="R578" s="11" t="e">
        <f>IF($F$6,IF($L578="","",IFERROR(VLOOKUP($L578,day_data!$A:$I,7,FALSE),0)),NA())</f>
        <v>#N/A</v>
      </c>
      <c r="S578" s="58" t="str">
        <f>IF($F$5,IF($L578="","",IFERROR(VLOOKUP($L578,day_data!$A:$I,8,FALSE),0)),NA())</f>
        <v/>
      </c>
      <c r="T578" s="60" t="e">
        <f>IF($F$7,IF($L578="","",IFERROR(VLOOKUP($L578,day_data!$A:$I,9,FALSE),0)),NA())</f>
        <v>#N/A</v>
      </c>
    </row>
    <row r="579" spans="12:20">
      <c r="L579" s="57" t="str">
        <f t="shared" si="8"/>
        <v/>
      </c>
      <c r="M579" s="11" t="str">
        <f>IF($F$1,IF($L579="","",IFERROR(VLOOKUP($L579,day_data!$A:$I,2,FALSE),0)),NA())</f>
        <v/>
      </c>
      <c r="N579" s="58" t="e">
        <f>IF($F$2,IF($L579="","",IFERROR(VLOOKUP($L579,day_data!$A:$I,3,FALSE),0)),NA())</f>
        <v>#N/A</v>
      </c>
      <c r="O579" s="11" t="e">
        <f>IF($F$3,IF($L579="","",IFERROR(VLOOKUP($L579,day_data!$A:$I,4,FALSE),0)),NA())</f>
        <v>#N/A</v>
      </c>
      <c r="P579" s="58" t="e">
        <f>IF($F$4,IF($L579="","",IFERROR(VLOOKUP($L579,day_data!$A:$I,5,FALSE),0)),NA())</f>
        <v>#N/A</v>
      </c>
      <c r="Q579" s="59" t="e">
        <f>IF($F$8,IF($L579="","",IFERROR(VLOOKUP($L579,day_data!$A:$I,6,FALSE),0)),NA())</f>
        <v>#N/A</v>
      </c>
      <c r="R579" s="11" t="e">
        <f>IF($F$6,IF($L579="","",IFERROR(VLOOKUP($L579,day_data!$A:$I,7,FALSE),0)),NA())</f>
        <v>#N/A</v>
      </c>
      <c r="S579" s="58" t="str">
        <f>IF($F$5,IF($L579="","",IFERROR(VLOOKUP($L579,day_data!$A:$I,8,FALSE),0)),NA())</f>
        <v/>
      </c>
      <c r="T579" s="60" t="e">
        <f>IF($F$7,IF($L579="","",IFERROR(VLOOKUP($L579,day_data!$A:$I,9,FALSE),0)),NA())</f>
        <v>#N/A</v>
      </c>
    </row>
    <row r="580" spans="12:20">
      <c r="L580" s="57" t="str">
        <f t="shared" ref="L580:L643" si="9">IF(ROW(L580)-1&gt;$C$1,"",L579+1)</f>
        <v/>
      </c>
      <c r="M580" s="11" t="str">
        <f>IF($F$1,IF($L580="","",IFERROR(VLOOKUP($L580,day_data!$A:$I,2,FALSE),0)),NA())</f>
        <v/>
      </c>
      <c r="N580" s="58" t="e">
        <f>IF($F$2,IF($L580="","",IFERROR(VLOOKUP($L580,day_data!$A:$I,3,FALSE),0)),NA())</f>
        <v>#N/A</v>
      </c>
      <c r="O580" s="11" t="e">
        <f>IF($F$3,IF($L580="","",IFERROR(VLOOKUP($L580,day_data!$A:$I,4,FALSE),0)),NA())</f>
        <v>#N/A</v>
      </c>
      <c r="P580" s="58" t="e">
        <f>IF($F$4,IF($L580="","",IFERROR(VLOOKUP($L580,day_data!$A:$I,5,FALSE),0)),NA())</f>
        <v>#N/A</v>
      </c>
      <c r="Q580" s="59" t="e">
        <f>IF($F$8,IF($L580="","",IFERROR(VLOOKUP($L580,day_data!$A:$I,6,FALSE),0)),NA())</f>
        <v>#N/A</v>
      </c>
      <c r="R580" s="11" t="e">
        <f>IF($F$6,IF($L580="","",IFERROR(VLOOKUP($L580,day_data!$A:$I,7,FALSE),0)),NA())</f>
        <v>#N/A</v>
      </c>
      <c r="S580" s="58" t="str">
        <f>IF($F$5,IF($L580="","",IFERROR(VLOOKUP($L580,day_data!$A:$I,8,FALSE),0)),NA())</f>
        <v/>
      </c>
      <c r="T580" s="60" t="e">
        <f>IF($F$7,IF($L580="","",IFERROR(VLOOKUP($L580,day_data!$A:$I,9,FALSE),0)),NA())</f>
        <v>#N/A</v>
      </c>
    </row>
    <row r="581" spans="12:20">
      <c r="L581" s="57" t="str">
        <f t="shared" si="9"/>
        <v/>
      </c>
      <c r="M581" s="11" t="str">
        <f>IF($F$1,IF($L581="","",IFERROR(VLOOKUP($L581,day_data!$A:$I,2,FALSE),0)),NA())</f>
        <v/>
      </c>
      <c r="N581" s="58" t="e">
        <f>IF($F$2,IF($L581="","",IFERROR(VLOOKUP($L581,day_data!$A:$I,3,FALSE),0)),NA())</f>
        <v>#N/A</v>
      </c>
      <c r="O581" s="11" t="e">
        <f>IF($F$3,IF($L581="","",IFERROR(VLOOKUP($L581,day_data!$A:$I,4,FALSE),0)),NA())</f>
        <v>#N/A</v>
      </c>
      <c r="P581" s="58" t="e">
        <f>IF($F$4,IF($L581="","",IFERROR(VLOOKUP($L581,day_data!$A:$I,5,FALSE),0)),NA())</f>
        <v>#N/A</v>
      </c>
      <c r="Q581" s="59" t="e">
        <f>IF($F$8,IF($L581="","",IFERROR(VLOOKUP($L581,day_data!$A:$I,6,FALSE),0)),NA())</f>
        <v>#N/A</v>
      </c>
      <c r="R581" s="11" t="e">
        <f>IF($F$6,IF($L581="","",IFERROR(VLOOKUP($L581,day_data!$A:$I,7,FALSE),0)),NA())</f>
        <v>#N/A</v>
      </c>
      <c r="S581" s="58" t="str">
        <f>IF($F$5,IF($L581="","",IFERROR(VLOOKUP($L581,day_data!$A:$I,8,FALSE),0)),NA())</f>
        <v/>
      </c>
      <c r="T581" s="60" t="e">
        <f>IF($F$7,IF($L581="","",IFERROR(VLOOKUP($L581,day_data!$A:$I,9,FALSE),0)),NA())</f>
        <v>#N/A</v>
      </c>
    </row>
    <row r="582" spans="12:20">
      <c r="L582" s="57" t="str">
        <f t="shared" si="9"/>
        <v/>
      </c>
      <c r="M582" s="11" t="str">
        <f>IF($F$1,IF($L582="","",IFERROR(VLOOKUP($L582,day_data!$A:$I,2,FALSE),0)),NA())</f>
        <v/>
      </c>
      <c r="N582" s="58" t="e">
        <f>IF($F$2,IF($L582="","",IFERROR(VLOOKUP($L582,day_data!$A:$I,3,FALSE),0)),NA())</f>
        <v>#N/A</v>
      </c>
      <c r="O582" s="11" t="e">
        <f>IF($F$3,IF($L582="","",IFERROR(VLOOKUP($L582,day_data!$A:$I,4,FALSE),0)),NA())</f>
        <v>#N/A</v>
      </c>
      <c r="P582" s="58" t="e">
        <f>IF($F$4,IF($L582="","",IFERROR(VLOOKUP($L582,day_data!$A:$I,5,FALSE),0)),NA())</f>
        <v>#N/A</v>
      </c>
      <c r="Q582" s="59" t="e">
        <f>IF($F$8,IF($L582="","",IFERROR(VLOOKUP($L582,day_data!$A:$I,6,FALSE),0)),NA())</f>
        <v>#N/A</v>
      </c>
      <c r="R582" s="11" t="e">
        <f>IF($F$6,IF($L582="","",IFERROR(VLOOKUP($L582,day_data!$A:$I,7,FALSE),0)),NA())</f>
        <v>#N/A</v>
      </c>
      <c r="S582" s="58" t="str">
        <f>IF($F$5,IF($L582="","",IFERROR(VLOOKUP($L582,day_data!$A:$I,8,FALSE),0)),NA())</f>
        <v/>
      </c>
      <c r="T582" s="60" t="e">
        <f>IF($F$7,IF($L582="","",IFERROR(VLOOKUP($L582,day_data!$A:$I,9,FALSE),0)),NA())</f>
        <v>#N/A</v>
      </c>
    </row>
    <row r="583" spans="12:20">
      <c r="L583" s="57" t="str">
        <f t="shared" si="9"/>
        <v/>
      </c>
      <c r="M583" s="11" t="str">
        <f>IF($F$1,IF($L583="","",IFERROR(VLOOKUP($L583,day_data!$A:$I,2,FALSE),0)),NA())</f>
        <v/>
      </c>
      <c r="N583" s="58" t="e">
        <f>IF($F$2,IF($L583="","",IFERROR(VLOOKUP($L583,day_data!$A:$I,3,FALSE),0)),NA())</f>
        <v>#N/A</v>
      </c>
      <c r="O583" s="11" t="e">
        <f>IF($F$3,IF($L583="","",IFERROR(VLOOKUP($L583,day_data!$A:$I,4,FALSE),0)),NA())</f>
        <v>#N/A</v>
      </c>
      <c r="P583" s="58" t="e">
        <f>IF($F$4,IF($L583="","",IFERROR(VLOOKUP($L583,day_data!$A:$I,5,FALSE),0)),NA())</f>
        <v>#N/A</v>
      </c>
      <c r="Q583" s="59" t="e">
        <f>IF($F$8,IF($L583="","",IFERROR(VLOOKUP($L583,day_data!$A:$I,6,FALSE),0)),NA())</f>
        <v>#N/A</v>
      </c>
      <c r="R583" s="11" t="e">
        <f>IF($F$6,IF($L583="","",IFERROR(VLOOKUP($L583,day_data!$A:$I,7,FALSE),0)),NA())</f>
        <v>#N/A</v>
      </c>
      <c r="S583" s="58" t="str">
        <f>IF($F$5,IF($L583="","",IFERROR(VLOOKUP($L583,day_data!$A:$I,8,FALSE),0)),NA())</f>
        <v/>
      </c>
      <c r="T583" s="60" t="e">
        <f>IF($F$7,IF($L583="","",IFERROR(VLOOKUP($L583,day_data!$A:$I,9,FALSE),0)),NA())</f>
        <v>#N/A</v>
      </c>
    </row>
    <row r="584" spans="12:20">
      <c r="L584" s="57" t="str">
        <f t="shared" si="9"/>
        <v/>
      </c>
      <c r="M584" s="11" t="str">
        <f>IF($F$1,IF($L584="","",IFERROR(VLOOKUP($L584,day_data!$A:$I,2,FALSE),0)),NA())</f>
        <v/>
      </c>
      <c r="N584" s="58" t="e">
        <f>IF($F$2,IF($L584="","",IFERROR(VLOOKUP($L584,day_data!$A:$I,3,FALSE),0)),NA())</f>
        <v>#N/A</v>
      </c>
      <c r="O584" s="11" t="e">
        <f>IF($F$3,IF($L584="","",IFERROR(VLOOKUP($L584,day_data!$A:$I,4,FALSE),0)),NA())</f>
        <v>#N/A</v>
      </c>
      <c r="P584" s="58" t="e">
        <f>IF($F$4,IF($L584="","",IFERROR(VLOOKUP($L584,day_data!$A:$I,5,FALSE),0)),NA())</f>
        <v>#N/A</v>
      </c>
      <c r="Q584" s="59" t="e">
        <f>IF($F$8,IF($L584="","",IFERROR(VLOOKUP($L584,day_data!$A:$I,6,FALSE),0)),NA())</f>
        <v>#N/A</v>
      </c>
      <c r="R584" s="11" t="e">
        <f>IF($F$6,IF($L584="","",IFERROR(VLOOKUP($L584,day_data!$A:$I,7,FALSE),0)),NA())</f>
        <v>#N/A</v>
      </c>
      <c r="S584" s="58" t="str">
        <f>IF($F$5,IF($L584="","",IFERROR(VLOOKUP($L584,day_data!$A:$I,8,FALSE),0)),NA())</f>
        <v/>
      </c>
      <c r="T584" s="60" t="e">
        <f>IF($F$7,IF($L584="","",IFERROR(VLOOKUP($L584,day_data!$A:$I,9,FALSE),0)),NA())</f>
        <v>#N/A</v>
      </c>
    </row>
    <row r="585" spans="12:20">
      <c r="L585" s="57" t="str">
        <f t="shared" si="9"/>
        <v/>
      </c>
      <c r="M585" s="11" t="str">
        <f>IF($F$1,IF($L585="","",IFERROR(VLOOKUP($L585,day_data!$A:$I,2,FALSE),0)),NA())</f>
        <v/>
      </c>
      <c r="N585" s="58" t="e">
        <f>IF($F$2,IF($L585="","",IFERROR(VLOOKUP($L585,day_data!$A:$I,3,FALSE),0)),NA())</f>
        <v>#N/A</v>
      </c>
      <c r="O585" s="11" t="e">
        <f>IF($F$3,IF($L585="","",IFERROR(VLOOKUP($L585,day_data!$A:$I,4,FALSE),0)),NA())</f>
        <v>#N/A</v>
      </c>
      <c r="P585" s="58" t="e">
        <f>IF($F$4,IF($L585="","",IFERROR(VLOOKUP($L585,day_data!$A:$I,5,FALSE),0)),NA())</f>
        <v>#N/A</v>
      </c>
      <c r="Q585" s="59" t="e">
        <f>IF($F$8,IF($L585="","",IFERROR(VLOOKUP($L585,day_data!$A:$I,6,FALSE),0)),NA())</f>
        <v>#N/A</v>
      </c>
      <c r="R585" s="11" t="e">
        <f>IF($F$6,IF($L585="","",IFERROR(VLOOKUP($L585,day_data!$A:$I,7,FALSE),0)),NA())</f>
        <v>#N/A</v>
      </c>
      <c r="S585" s="58" t="str">
        <f>IF($F$5,IF($L585="","",IFERROR(VLOOKUP($L585,day_data!$A:$I,8,FALSE),0)),NA())</f>
        <v/>
      </c>
      <c r="T585" s="60" t="e">
        <f>IF($F$7,IF($L585="","",IFERROR(VLOOKUP($L585,day_data!$A:$I,9,FALSE),0)),NA())</f>
        <v>#N/A</v>
      </c>
    </row>
    <row r="586" spans="12:20">
      <c r="L586" s="57" t="str">
        <f t="shared" si="9"/>
        <v/>
      </c>
      <c r="M586" s="11" t="str">
        <f>IF($F$1,IF($L586="","",IFERROR(VLOOKUP($L586,day_data!$A:$I,2,FALSE),0)),NA())</f>
        <v/>
      </c>
      <c r="N586" s="58" t="e">
        <f>IF($F$2,IF($L586="","",IFERROR(VLOOKUP($L586,day_data!$A:$I,3,FALSE),0)),NA())</f>
        <v>#N/A</v>
      </c>
      <c r="O586" s="11" t="e">
        <f>IF($F$3,IF($L586="","",IFERROR(VLOOKUP($L586,day_data!$A:$I,4,FALSE),0)),NA())</f>
        <v>#N/A</v>
      </c>
      <c r="P586" s="58" t="e">
        <f>IF($F$4,IF($L586="","",IFERROR(VLOOKUP($L586,day_data!$A:$I,5,FALSE),0)),NA())</f>
        <v>#N/A</v>
      </c>
      <c r="Q586" s="59" t="e">
        <f>IF($F$8,IF($L586="","",IFERROR(VLOOKUP($L586,day_data!$A:$I,6,FALSE),0)),NA())</f>
        <v>#N/A</v>
      </c>
      <c r="R586" s="11" t="e">
        <f>IF($F$6,IF($L586="","",IFERROR(VLOOKUP($L586,day_data!$A:$I,7,FALSE),0)),NA())</f>
        <v>#N/A</v>
      </c>
      <c r="S586" s="58" t="str">
        <f>IF($F$5,IF($L586="","",IFERROR(VLOOKUP($L586,day_data!$A:$I,8,FALSE),0)),NA())</f>
        <v/>
      </c>
      <c r="T586" s="60" t="e">
        <f>IF($F$7,IF($L586="","",IFERROR(VLOOKUP($L586,day_data!$A:$I,9,FALSE),0)),NA())</f>
        <v>#N/A</v>
      </c>
    </row>
    <row r="587" spans="12:20">
      <c r="L587" s="57" t="str">
        <f t="shared" si="9"/>
        <v/>
      </c>
      <c r="M587" s="11" t="str">
        <f>IF($F$1,IF($L587="","",IFERROR(VLOOKUP($L587,day_data!$A:$I,2,FALSE),0)),NA())</f>
        <v/>
      </c>
      <c r="N587" s="58" t="e">
        <f>IF($F$2,IF($L587="","",IFERROR(VLOOKUP($L587,day_data!$A:$I,3,FALSE),0)),NA())</f>
        <v>#N/A</v>
      </c>
      <c r="O587" s="11" t="e">
        <f>IF($F$3,IF($L587="","",IFERROR(VLOOKUP($L587,day_data!$A:$I,4,FALSE),0)),NA())</f>
        <v>#N/A</v>
      </c>
      <c r="P587" s="58" t="e">
        <f>IF($F$4,IF($L587="","",IFERROR(VLOOKUP($L587,day_data!$A:$I,5,FALSE),0)),NA())</f>
        <v>#N/A</v>
      </c>
      <c r="Q587" s="59" t="e">
        <f>IF($F$8,IF($L587="","",IFERROR(VLOOKUP($L587,day_data!$A:$I,6,FALSE),0)),NA())</f>
        <v>#N/A</v>
      </c>
      <c r="R587" s="11" t="e">
        <f>IF($F$6,IF($L587="","",IFERROR(VLOOKUP($L587,day_data!$A:$I,7,FALSE),0)),NA())</f>
        <v>#N/A</v>
      </c>
      <c r="S587" s="58" t="str">
        <f>IF($F$5,IF($L587="","",IFERROR(VLOOKUP($L587,day_data!$A:$I,8,FALSE),0)),NA())</f>
        <v/>
      </c>
      <c r="T587" s="60" t="e">
        <f>IF($F$7,IF($L587="","",IFERROR(VLOOKUP($L587,day_data!$A:$I,9,FALSE),0)),NA())</f>
        <v>#N/A</v>
      </c>
    </row>
    <row r="588" spans="12:20">
      <c r="L588" s="57" t="str">
        <f t="shared" si="9"/>
        <v/>
      </c>
      <c r="M588" s="11" t="str">
        <f>IF($F$1,IF($L588="","",IFERROR(VLOOKUP($L588,day_data!$A:$I,2,FALSE),0)),NA())</f>
        <v/>
      </c>
      <c r="N588" s="58" t="e">
        <f>IF($F$2,IF($L588="","",IFERROR(VLOOKUP($L588,day_data!$A:$I,3,FALSE),0)),NA())</f>
        <v>#N/A</v>
      </c>
      <c r="O588" s="11" t="e">
        <f>IF($F$3,IF($L588="","",IFERROR(VLOOKUP($L588,day_data!$A:$I,4,FALSE),0)),NA())</f>
        <v>#N/A</v>
      </c>
      <c r="P588" s="58" t="e">
        <f>IF($F$4,IF($L588="","",IFERROR(VLOOKUP($L588,day_data!$A:$I,5,FALSE),0)),NA())</f>
        <v>#N/A</v>
      </c>
      <c r="Q588" s="59" t="e">
        <f>IF($F$8,IF($L588="","",IFERROR(VLOOKUP($L588,day_data!$A:$I,6,FALSE),0)),NA())</f>
        <v>#N/A</v>
      </c>
      <c r="R588" s="11" t="e">
        <f>IF($F$6,IF($L588="","",IFERROR(VLOOKUP($L588,day_data!$A:$I,7,FALSE),0)),NA())</f>
        <v>#N/A</v>
      </c>
      <c r="S588" s="58" t="str">
        <f>IF($F$5,IF($L588="","",IFERROR(VLOOKUP($L588,day_data!$A:$I,8,FALSE),0)),NA())</f>
        <v/>
      </c>
      <c r="T588" s="60" t="e">
        <f>IF($F$7,IF($L588="","",IFERROR(VLOOKUP($L588,day_data!$A:$I,9,FALSE),0)),NA())</f>
        <v>#N/A</v>
      </c>
    </row>
    <row r="589" spans="12:20">
      <c r="L589" s="57" t="str">
        <f t="shared" si="9"/>
        <v/>
      </c>
      <c r="M589" s="11" t="str">
        <f>IF($F$1,IF($L589="","",IFERROR(VLOOKUP($L589,day_data!$A:$I,2,FALSE),0)),NA())</f>
        <v/>
      </c>
      <c r="N589" s="58" t="e">
        <f>IF($F$2,IF($L589="","",IFERROR(VLOOKUP($L589,day_data!$A:$I,3,FALSE),0)),NA())</f>
        <v>#N/A</v>
      </c>
      <c r="O589" s="11" t="e">
        <f>IF($F$3,IF($L589="","",IFERROR(VLOOKUP($L589,day_data!$A:$I,4,FALSE),0)),NA())</f>
        <v>#N/A</v>
      </c>
      <c r="P589" s="58" t="e">
        <f>IF($F$4,IF($L589="","",IFERROR(VLOOKUP($L589,day_data!$A:$I,5,FALSE),0)),NA())</f>
        <v>#N/A</v>
      </c>
      <c r="Q589" s="59" t="e">
        <f>IF($F$8,IF($L589="","",IFERROR(VLOOKUP($L589,day_data!$A:$I,6,FALSE),0)),NA())</f>
        <v>#N/A</v>
      </c>
      <c r="R589" s="11" t="e">
        <f>IF($F$6,IF($L589="","",IFERROR(VLOOKUP($L589,day_data!$A:$I,7,FALSE),0)),NA())</f>
        <v>#N/A</v>
      </c>
      <c r="S589" s="58" t="str">
        <f>IF($F$5,IF($L589="","",IFERROR(VLOOKUP($L589,day_data!$A:$I,8,FALSE),0)),NA())</f>
        <v/>
      </c>
      <c r="T589" s="60" t="e">
        <f>IF($F$7,IF($L589="","",IFERROR(VLOOKUP($L589,day_data!$A:$I,9,FALSE),0)),NA())</f>
        <v>#N/A</v>
      </c>
    </row>
    <row r="590" spans="12:20">
      <c r="L590" s="57" t="str">
        <f t="shared" si="9"/>
        <v/>
      </c>
      <c r="M590" s="11" t="str">
        <f>IF($F$1,IF($L590="","",IFERROR(VLOOKUP($L590,day_data!$A:$I,2,FALSE),0)),NA())</f>
        <v/>
      </c>
      <c r="N590" s="58" t="e">
        <f>IF($F$2,IF($L590="","",IFERROR(VLOOKUP($L590,day_data!$A:$I,3,FALSE),0)),NA())</f>
        <v>#N/A</v>
      </c>
      <c r="O590" s="11" t="e">
        <f>IF($F$3,IF($L590="","",IFERROR(VLOOKUP($L590,day_data!$A:$I,4,FALSE),0)),NA())</f>
        <v>#N/A</v>
      </c>
      <c r="P590" s="58" t="e">
        <f>IF($F$4,IF($L590="","",IFERROR(VLOOKUP($L590,day_data!$A:$I,5,FALSE),0)),NA())</f>
        <v>#N/A</v>
      </c>
      <c r="Q590" s="59" t="e">
        <f>IF($F$8,IF($L590="","",IFERROR(VLOOKUP($L590,day_data!$A:$I,6,FALSE),0)),NA())</f>
        <v>#N/A</v>
      </c>
      <c r="R590" s="11" t="e">
        <f>IF($F$6,IF($L590="","",IFERROR(VLOOKUP($L590,day_data!$A:$I,7,FALSE),0)),NA())</f>
        <v>#N/A</v>
      </c>
      <c r="S590" s="58" t="str">
        <f>IF($F$5,IF($L590="","",IFERROR(VLOOKUP($L590,day_data!$A:$I,8,FALSE),0)),NA())</f>
        <v/>
      </c>
      <c r="T590" s="60" t="e">
        <f>IF($F$7,IF($L590="","",IFERROR(VLOOKUP($L590,day_data!$A:$I,9,FALSE),0)),NA())</f>
        <v>#N/A</v>
      </c>
    </row>
    <row r="591" spans="12:20">
      <c r="L591" s="57" t="str">
        <f t="shared" si="9"/>
        <v/>
      </c>
      <c r="M591" s="11" t="str">
        <f>IF($F$1,IF($L591="","",IFERROR(VLOOKUP($L591,day_data!$A:$I,2,FALSE),0)),NA())</f>
        <v/>
      </c>
      <c r="N591" s="58" t="e">
        <f>IF($F$2,IF($L591="","",IFERROR(VLOOKUP($L591,day_data!$A:$I,3,FALSE),0)),NA())</f>
        <v>#N/A</v>
      </c>
      <c r="O591" s="11" t="e">
        <f>IF($F$3,IF($L591="","",IFERROR(VLOOKUP($L591,day_data!$A:$I,4,FALSE),0)),NA())</f>
        <v>#N/A</v>
      </c>
      <c r="P591" s="58" t="e">
        <f>IF($F$4,IF($L591="","",IFERROR(VLOOKUP($L591,day_data!$A:$I,5,FALSE),0)),NA())</f>
        <v>#N/A</v>
      </c>
      <c r="Q591" s="59" t="e">
        <f>IF($F$8,IF($L591="","",IFERROR(VLOOKUP($L591,day_data!$A:$I,6,FALSE),0)),NA())</f>
        <v>#N/A</v>
      </c>
      <c r="R591" s="11" t="e">
        <f>IF($F$6,IF($L591="","",IFERROR(VLOOKUP($L591,day_data!$A:$I,7,FALSE),0)),NA())</f>
        <v>#N/A</v>
      </c>
      <c r="S591" s="58" t="str">
        <f>IF($F$5,IF($L591="","",IFERROR(VLOOKUP($L591,day_data!$A:$I,8,FALSE),0)),NA())</f>
        <v/>
      </c>
      <c r="T591" s="60" t="e">
        <f>IF($F$7,IF($L591="","",IFERROR(VLOOKUP($L591,day_data!$A:$I,9,FALSE),0)),NA())</f>
        <v>#N/A</v>
      </c>
    </row>
    <row r="592" spans="12:20">
      <c r="L592" s="57" t="str">
        <f t="shared" si="9"/>
        <v/>
      </c>
      <c r="M592" s="11" t="str">
        <f>IF($F$1,IF($L592="","",IFERROR(VLOOKUP($L592,day_data!$A:$I,2,FALSE),0)),NA())</f>
        <v/>
      </c>
      <c r="N592" s="58" t="e">
        <f>IF($F$2,IF($L592="","",IFERROR(VLOOKUP($L592,day_data!$A:$I,3,FALSE),0)),NA())</f>
        <v>#N/A</v>
      </c>
      <c r="O592" s="11" t="e">
        <f>IF($F$3,IF($L592="","",IFERROR(VLOOKUP($L592,day_data!$A:$I,4,FALSE),0)),NA())</f>
        <v>#N/A</v>
      </c>
      <c r="P592" s="58" t="e">
        <f>IF($F$4,IF($L592="","",IFERROR(VLOOKUP($L592,day_data!$A:$I,5,FALSE),0)),NA())</f>
        <v>#N/A</v>
      </c>
      <c r="Q592" s="59" t="e">
        <f>IF($F$8,IF($L592="","",IFERROR(VLOOKUP($L592,day_data!$A:$I,6,FALSE),0)),NA())</f>
        <v>#N/A</v>
      </c>
      <c r="R592" s="11" t="e">
        <f>IF($F$6,IF($L592="","",IFERROR(VLOOKUP($L592,day_data!$A:$I,7,FALSE),0)),NA())</f>
        <v>#N/A</v>
      </c>
      <c r="S592" s="58" t="str">
        <f>IF($F$5,IF($L592="","",IFERROR(VLOOKUP($L592,day_data!$A:$I,8,FALSE),0)),NA())</f>
        <v/>
      </c>
      <c r="T592" s="60" t="e">
        <f>IF($F$7,IF($L592="","",IFERROR(VLOOKUP($L592,day_data!$A:$I,9,FALSE),0)),NA())</f>
        <v>#N/A</v>
      </c>
    </row>
    <row r="593" spans="12:20">
      <c r="L593" s="57" t="str">
        <f t="shared" si="9"/>
        <v/>
      </c>
      <c r="M593" s="11" t="str">
        <f>IF($F$1,IF($L593="","",IFERROR(VLOOKUP($L593,day_data!$A:$I,2,FALSE),0)),NA())</f>
        <v/>
      </c>
      <c r="N593" s="58" t="e">
        <f>IF($F$2,IF($L593="","",IFERROR(VLOOKUP($L593,day_data!$A:$I,3,FALSE),0)),NA())</f>
        <v>#N/A</v>
      </c>
      <c r="O593" s="11" t="e">
        <f>IF($F$3,IF($L593="","",IFERROR(VLOOKUP($L593,day_data!$A:$I,4,FALSE),0)),NA())</f>
        <v>#N/A</v>
      </c>
      <c r="P593" s="58" t="e">
        <f>IF($F$4,IF($L593="","",IFERROR(VLOOKUP($L593,day_data!$A:$I,5,FALSE),0)),NA())</f>
        <v>#N/A</v>
      </c>
      <c r="Q593" s="59" t="e">
        <f>IF($F$8,IF($L593="","",IFERROR(VLOOKUP($L593,day_data!$A:$I,6,FALSE),0)),NA())</f>
        <v>#N/A</v>
      </c>
      <c r="R593" s="11" t="e">
        <f>IF($F$6,IF($L593="","",IFERROR(VLOOKUP($L593,day_data!$A:$I,7,FALSE),0)),NA())</f>
        <v>#N/A</v>
      </c>
      <c r="S593" s="58" t="str">
        <f>IF($F$5,IF($L593="","",IFERROR(VLOOKUP($L593,day_data!$A:$I,8,FALSE),0)),NA())</f>
        <v/>
      </c>
      <c r="T593" s="60" t="e">
        <f>IF($F$7,IF($L593="","",IFERROR(VLOOKUP($L593,day_data!$A:$I,9,FALSE),0)),NA())</f>
        <v>#N/A</v>
      </c>
    </row>
    <row r="594" spans="12:20">
      <c r="L594" s="57" t="str">
        <f t="shared" si="9"/>
        <v/>
      </c>
      <c r="M594" s="11" t="str">
        <f>IF($F$1,IF($L594="","",IFERROR(VLOOKUP($L594,day_data!$A:$I,2,FALSE),0)),NA())</f>
        <v/>
      </c>
      <c r="N594" s="58" t="e">
        <f>IF($F$2,IF($L594="","",IFERROR(VLOOKUP($L594,day_data!$A:$I,3,FALSE),0)),NA())</f>
        <v>#N/A</v>
      </c>
      <c r="O594" s="11" t="e">
        <f>IF($F$3,IF($L594="","",IFERROR(VLOOKUP($L594,day_data!$A:$I,4,FALSE),0)),NA())</f>
        <v>#N/A</v>
      </c>
      <c r="P594" s="58" t="e">
        <f>IF($F$4,IF($L594="","",IFERROR(VLOOKUP($L594,day_data!$A:$I,5,FALSE),0)),NA())</f>
        <v>#N/A</v>
      </c>
      <c r="Q594" s="59" t="e">
        <f>IF($F$8,IF($L594="","",IFERROR(VLOOKUP($L594,day_data!$A:$I,6,FALSE),0)),NA())</f>
        <v>#N/A</v>
      </c>
      <c r="R594" s="11" t="e">
        <f>IF($F$6,IF($L594="","",IFERROR(VLOOKUP($L594,day_data!$A:$I,7,FALSE),0)),NA())</f>
        <v>#N/A</v>
      </c>
      <c r="S594" s="58" t="str">
        <f>IF($F$5,IF($L594="","",IFERROR(VLOOKUP($L594,day_data!$A:$I,8,FALSE),0)),NA())</f>
        <v/>
      </c>
      <c r="T594" s="60" t="e">
        <f>IF($F$7,IF($L594="","",IFERROR(VLOOKUP($L594,day_data!$A:$I,9,FALSE),0)),NA())</f>
        <v>#N/A</v>
      </c>
    </row>
    <row r="595" spans="12:20">
      <c r="L595" s="57" t="str">
        <f t="shared" si="9"/>
        <v/>
      </c>
      <c r="M595" s="11" t="str">
        <f>IF($F$1,IF($L595="","",IFERROR(VLOOKUP($L595,day_data!$A:$I,2,FALSE),0)),NA())</f>
        <v/>
      </c>
      <c r="N595" s="58" t="e">
        <f>IF($F$2,IF($L595="","",IFERROR(VLOOKUP($L595,day_data!$A:$I,3,FALSE),0)),NA())</f>
        <v>#N/A</v>
      </c>
      <c r="O595" s="11" t="e">
        <f>IF($F$3,IF($L595="","",IFERROR(VLOOKUP($L595,day_data!$A:$I,4,FALSE),0)),NA())</f>
        <v>#N/A</v>
      </c>
      <c r="P595" s="58" t="e">
        <f>IF($F$4,IF($L595="","",IFERROR(VLOOKUP($L595,day_data!$A:$I,5,FALSE),0)),NA())</f>
        <v>#N/A</v>
      </c>
      <c r="Q595" s="59" t="e">
        <f>IF($F$8,IF($L595="","",IFERROR(VLOOKUP($L595,day_data!$A:$I,6,FALSE),0)),NA())</f>
        <v>#N/A</v>
      </c>
      <c r="R595" s="11" t="e">
        <f>IF($F$6,IF($L595="","",IFERROR(VLOOKUP($L595,day_data!$A:$I,7,FALSE),0)),NA())</f>
        <v>#N/A</v>
      </c>
      <c r="S595" s="58" t="str">
        <f>IF($F$5,IF($L595="","",IFERROR(VLOOKUP($L595,day_data!$A:$I,8,FALSE),0)),NA())</f>
        <v/>
      </c>
      <c r="T595" s="60" t="e">
        <f>IF($F$7,IF($L595="","",IFERROR(VLOOKUP($L595,day_data!$A:$I,9,FALSE),0)),NA())</f>
        <v>#N/A</v>
      </c>
    </row>
    <row r="596" spans="12:20">
      <c r="L596" s="57" t="str">
        <f t="shared" si="9"/>
        <v/>
      </c>
      <c r="M596" s="11" t="str">
        <f>IF($F$1,IF($L596="","",IFERROR(VLOOKUP($L596,day_data!$A:$I,2,FALSE),0)),NA())</f>
        <v/>
      </c>
      <c r="N596" s="58" t="e">
        <f>IF($F$2,IF($L596="","",IFERROR(VLOOKUP($L596,day_data!$A:$I,3,FALSE),0)),NA())</f>
        <v>#N/A</v>
      </c>
      <c r="O596" s="11" t="e">
        <f>IF($F$3,IF($L596="","",IFERROR(VLOOKUP($L596,day_data!$A:$I,4,FALSE),0)),NA())</f>
        <v>#N/A</v>
      </c>
      <c r="P596" s="58" t="e">
        <f>IF($F$4,IF($L596="","",IFERROR(VLOOKUP($L596,day_data!$A:$I,5,FALSE),0)),NA())</f>
        <v>#N/A</v>
      </c>
      <c r="Q596" s="59" t="e">
        <f>IF($F$8,IF($L596="","",IFERROR(VLOOKUP($L596,day_data!$A:$I,6,FALSE),0)),NA())</f>
        <v>#N/A</v>
      </c>
      <c r="R596" s="11" t="e">
        <f>IF($F$6,IF($L596="","",IFERROR(VLOOKUP($L596,day_data!$A:$I,7,FALSE),0)),NA())</f>
        <v>#N/A</v>
      </c>
      <c r="S596" s="58" t="str">
        <f>IF($F$5,IF($L596="","",IFERROR(VLOOKUP($L596,day_data!$A:$I,8,FALSE),0)),NA())</f>
        <v/>
      </c>
      <c r="T596" s="60" t="e">
        <f>IF($F$7,IF($L596="","",IFERROR(VLOOKUP($L596,day_data!$A:$I,9,FALSE),0)),NA())</f>
        <v>#N/A</v>
      </c>
    </row>
    <row r="597" spans="12:20">
      <c r="L597" s="57" t="str">
        <f t="shared" si="9"/>
        <v/>
      </c>
      <c r="M597" s="11" t="str">
        <f>IF($F$1,IF($L597="","",IFERROR(VLOOKUP($L597,day_data!$A:$I,2,FALSE),0)),NA())</f>
        <v/>
      </c>
      <c r="N597" s="58" t="e">
        <f>IF($F$2,IF($L597="","",IFERROR(VLOOKUP($L597,day_data!$A:$I,3,FALSE),0)),NA())</f>
        <v>#N/A</v>
      </c>
      <c r="O597" s="11" t="e">
        <f>IF($F$3,IF($L597="","",IFERROR(VLOOKUP($L597,day_data!$A:$I,4,FALSE),0)),NA())</f>
        <v>#N/A</v>
      </c>
      <c r="P597" s="58" t="e">
        <f>IF($F$4,IF($L597="","",IFERROR(VLOOKUP($L597,day_data!$A:$I,5,FALSE),0)),NA())</f>
        <v>#N/A</v>
      </c>
      <c r="Q597" s="59" t="e">
        <f>IF($F$8,IF($L597="","",IFERROR(VLOOKUP($L597,day_data!$A:$I,6,FALSE),0)),NA())</f>
        <v>#N/A</v>
      </c>
      <c r="R597" s="11" t="e">
        <f>IF($F$6,IF($L597="","",IFERROR(VLOOKUP($L597,day_data!$A:$I,7,FALSE),0)),NA())</f>
        <v>#N/A</v>
      </c>
      <c r="S597" s="58" t="str">
        <f>IF($F$5,IF($L597="","",IFERROR(VLOOKUP($L597,day_data!$A:$I,8,FALSE),0)),NA())</f>
        <v/>
      </c>
      <c r="T597" s="60" t="e">
        <f>IF($F$7,IF($L597="","",IFERROR(VLOOKUP($L597,day_data!$A:$I,9,FALSE),0)),NA())</f>
        <v>#N/A</v>
      </c>
    </row>
    <row r="598" spans="12:20">
      <c r="L598" s="57" t="str">
        <f t="shared" si="9"/>
        <v/>
      </c>
      <c r="M598" s="11" t="str">
        <f>IF($F$1,IF($L598="","",IFERROR(VLOOKUP($L598,day_data!$A:$I,2,FALSE),0)),NA())</f>
        <v/>
      </c>
      <c r="N598" s="58" t="e">
        <f>IF($F$2,IF($L598="","",IFERROR(VLOOKUP($L598,day_data!$A:$I,3,FALSE),0)),NA())</f>
        <v>#N/A</v>
      </c>
      <c r="O598" s="11" t="e">
        <f>IF($F$3,IF($L598="","",IFERROR(VLOOKUP($L598,day_data!$A:$I,4,FALSE),0)),NA())</f>
        <v>#N/A</v>
      </c>
      <c r="P598" s="58" t="e">
        <f>IF($F$4,IF($L598="","",IFERROR(VLOOKUP($L598,day_data!$A:$I,5,FALSE),0)),NA())</f>
        <v>#N/A</v>
      </c>
      <c r="Q598" s="59" t="e">
        <f>IF($F$8,IF($L598="","",IFERROR(VLOOKUP($L598,day_data!$A:$I,6,FALSE),0)),NA())</f>
        <v>#N/A</v>
      </c>
      <c r="R598" s="11" t="e">
        <f>IF($F$6,IF($L598="","",IFERROR(VLOOKUP($L598,day_data!$A:$I,7,FALSE),0)),NA())</f>
        <v>#N/A</v>
      </c>
      <c r="S598" s="58" t="str">
        <f>IF($F$5,IF($L598="","",IFERROR(VLOOKUP($L598,day_data!$A:$I,8,FALSE),0)),NA())</f>
        <v/>
      </c>
      <c r="T598" s="60" t="e">
        <f>IF($F$7,IF($L598="","",IFERROR(VLOOKUP($L598,day_data!$A:$I,9,FALSE),0)),NA())</f>
        <v>#N/A</v>
      </c>
    </row>
    <row r="599" spans="12:20">
      <c r="L599" s="57" t="str">
        <f t="shared" si="9"/>
        <v/>
      </c>
      <c r="M599" s="11" t="str">
        <f>IF($F$1,IF($L599="","",IFERROR(VLOOKUP($L599,day_data!$A:$I,2,FALSE),0)),NA())</f>
        <v/>
      </c>
      <c r="N599" s="58" t="e">
        <f>IF($F$2,IF($L599="","",IFERROR(VLOOKUP($L599,day_data!$A:$I,3,FALSE),0)),NA())</f>
        <v>#N/A</v>
      </c>
      <c r="O599" s="11" t="e">
        <f>IF($F$3,IF($L599="","",IFERROR(VLOOKUP($L599,day_data!$A:$I,4,FALSE),0)),NA())</f>
        <v>#N/A</v>
      </c>
      <c r="P599" s="58" t="e">
        <f>IF($F$4,IF($L599="","",IFERROR(VLOOKUP($L599,day_data!$A:$I,5,FALSE),0)),NA())</f>
        <v>#N/A</v>
      </c>
      <c r="Q599" s="59" t="e">
        <f>IF($F$8,IF($L599="","",IFERROR(VLOOKUP($L599,day_data!$A:$I,6,FALSE),0)),NA())</f>
        <v>#N/A</v>
      </c>
      <c r="R599" s="11" t="e">
        <f>IF($F$6,IF($L599="","",IFERROR(VLOOKUP($L599,day_data!$A:$I,7,FALSE),0)),NA())</f>
        <v>#N/A</v>
      </c>
      <c r="S599" s="58" t="str">
        <f>IF($F$5,IF($L599="","",IFERROR(VLOOKUP($L599,day_data!$A:$I,8,FALSE),0)),NA())</f>
        <v/>
      </c>
      <c r="T599" s="60" t="e">
        <f>IF($F$7,IF($L599="","",IFERROR(VLOOKUP($L599,day_data!$A:$I,9,FALSE),0)),NA())</f>
        <v>#N/A</v>
      </c>
    </row>
    <row r="600" spans="12:20">
      <c r="L600" s="57" t="str">
        <f t="shared" si="9"/>
        <v/>
      </c>
      <c r="M600" s="11" t="str">
        <f>IF($F$1,IF($L600="","",IFERROR(VLOOKUP($L600,day_data!$A:$I,2,FALSE),0)),NA())</f>
        <v/>
      </c>
      <c r="N600" s="58" t="e">
        <f>IF($F$2,IF($L600="","",IFERROR(VLOOKUP($L600,day_data!$A:$I,3,FALSE),0)),NA())</f>
        <v>#N/A</v>
      </c>
      <c r="O600" s="11" t="e">
        <f>IF($F$3,IF($L600="","",IFERROR(VLOOKUP($L600,day_data!$A:$I,4,FALSE),0)),NA())</f>
        <v>#N/A</v>
      </c>
      <c r="P600" s="58" t="e">
        <f>IF($F$4,IF($L600="","",IFERROR(VLOOKUP($L600,day_data!$A:$I,5,FALSE),0)),NA())</f>
        <v>#N/A</v>
      </c>
      <c r="Q600" s="59" t="e">
        <f>IF($F$8,IF($L600="","",IFERROR(VLOOKUP($L600,day_data!$A:$I,6,FALSE),0)),NA())</f>
        <v>#N/A</v>
      </c>
      <c r="R600" s="11" t="e">
        <f>IF($F$6,IF($L600="","",IFERROR(VLOOKUP($L600,day_data!$A:$I,7,FALSE),0)),NA())</f>
        <v>#N/A</v>
      </c>
      <c r="S600" s="58" t="str">
        <f>IF($F$5,IF($L600="","",IFERROR(VLOOKUP($L600,day_data!$A:$I,8,FALSE),0)),NA())</f>
        <v/>
      </c>
      <c r="T600" s="60" t="e">
        <f>IF($F$7,IF($L600="","",IFERROR(VLOOKUP($L600,day_data!$A:$I,9,FALSE),0)),NA())</f>
        <v>#N/A</v>
      </c>
    </row>
    <row r="601" spans="12:20">
      <c r="L601" s="57" t="str">
        <f t="shared" si="9"/>
        <v/>
      </c>
      <c r="M601" s="11" t="str">
        <f>IF($F$1,IF($L601="","",IFERROR(VLOOKUP($L601,day_data!$A:$I,2,FALSE),0)),NA())</f>
        <v/>
      </c>
      <c r="N601" s="58" t="e">
        <f>IF($F$2,IF($L601="","",IFERROR(VLOOKUP($L601,day_data!$A:$I,3,FALSE),0)),NA())</f>
        <v>#N/A</v>
      </c>
      <c r="O601" s="11" t="e">
        <f>IF($F$3,IF($L601="","",IFERROR(VLOOKUP($L601,day_data!$A:$I,4,FALSE),0)),NA())</f>
        <v>#N/A</v>
      </c>
      <c r="P601" s="58" t="e">
        <f>IF($F$4,IF($L601="","",IFERROR(VLOOKUP($L601,day_data!$A:$I,5,FALSE),0)),NA())</f>
        <v>#N/A</v>
      </c>
      <c r="Q601" s="59" t="e">
        <f>IF($F$8,IF($L601="","",IFERROR(VLOOKUP($L601,day_data!$A:$I,6,FALSE),0)),NA())</f>
        <v>#N/A</v>
      </c>
      <c r="R601" s="11" t="e">
        <f>IF($F$6,IF($L601="","",IFERROR(VLOOKUP($L601,day_data!$A:$I,7,FALSE),0)),NA())</f>
        <v>#N/A</v>
      </c>
      <c r="S601" s="58" t="str">
        <f>IF($F$5,IF($L601="","",IFERROR(VLOOKUP($L601,day_data!$A:$I,8,FALSE),0)),NA())</f>
        <v/>
      </c>
      <c r="T601" s="60" t="e">
        <f>IF($F$7,IF($L601="","",IFERROR(VLOOKUP($L601,day_data!$A:$I,9,FALSE),0)),NA())</f>
        <v>#N/A</v>
      </c>
    </row>
    <row r="602" spans="12:20">
      <c r="L602" s="57" t="str">
        <f t="shared" si="9"/>
        <v/>
      </c>
      <c r="M602" s="11" t="str">
        <f>IF($F$1,IF($L602="","",IFERROR(VLOOKUP($L602,day_data!$A:$I,2,FALSE),0)),NA())</f>
        <v/>
      </c>
      <c r="N602" s="58" t="e">
        <f>IF($F$2,IF($L602="","",IFERROR(VLOOKUP($L602,day_data!$A:$I,3,FALSE),0)),NA())</f>
        <v>#N/A</v>
      </c>
      <c r="O602" s="11" t="e">
        <f>IF($F$3,IF($L602="","",IFERROR(VLOOKUP($L602,day_data!$A:$I,4,FALSE),0)),NA())</f>
        <v>#N/A</v>
      </c>
      <c r="P602" s="58" t="e">
        <f>IF($F$4,IF($L602="","",IFERROR(VLOOKUP($L602,day_data!$A:$I,5,FALSE),0)),NA())</f>
        <v>#N/A</v>
      </c>
      <c r="Q602" s="59" t="e">
        <f>IF($F$8,IF($L602="","",IFERROR(VLOOKUP($L602,day_data!$A:$I,6,FALSE),0)),NA())</f>
        <v>#N/A</v>
      </c>
      <c r="R602" s="11" t="e">
        <f>IF($F$6,IF($L602="","",IFERROR(VLOOKUP($L602,day_data!$A:$I,7,FALSE),0)),NA())</f>
        <v>#N/A</v>
      </c>
      <c r="S602" s="58" t="str">
        <f>IF($F$5,IF($L602="","",IFERROR(VLOOKUP($L602,day_data!$A:$I,8,FALSE),0)),NA())</f>
        <v/>
      </c>
      <c r="T602" s="60" t="e">
        <f>IF($F$7,IF($L602="","",IFERROR(VLOOKUP($L602,day_data!$A:$I,9,FALSE),0)),NA())</f>
        <v>#N/A</v>
      </c>
    </row>
    <row r="603" spans="12:20">
      <c r="L603" s="57" t="str">
        <f t="shared" si="9"/>
        <v/>
      </c>
      <c r="M603" s="11" t="str">
        <f>IF($F$1,IF($L603="","",IFERROR(VLOOKUP($L603,day_data!$A:$I,2,FALSE),0)),NA())</f>
        <v/>
      </c>
      <c r="N603" s="58" t="e">
        <f>IF($F$2,IF($L603="","",IFERROR(VLOOKUP($L603,day_data!$A:$I,3,FALSE),0)),NA())</f>
        <v>#N/A</v>
      </c>
      <c r="O603" s="11" t="e">
        <f>IF($F$3,IF($L603="","",IFERROR(VLOOKUP($L603,day_data!$A:$I,4,FALSE),0)),NA())</f>
        <v>#N/A</v>
      </c>
      <c r="P603" s="58" t="e">
        <f>IF($F$4,IF($L603="","",IFERROR(VLOOKUP($L603,day_data!$A:$I,5,FALSE),0)),NA())</f>
        <v>#N/A</v>
      </c>
      <c r="Q603" s="59" t="e">
        <f>IF($F$8,IF($L603="","",IFERROR(VLOOKUP($L603,day_data!$A:$I,6,FALSE),0)),NA())</f>
        <v>#N/A</v>
      </c>
      <c r="R603" s="11" t="e">
        <f>IF($F$6,IF($L603="","",IFERROR(VLOOKUP($L603,day_data!$A:$I,7,FALSE),0)),NA())</f>
        <v>#N/A</v>
      </c>
      <c r="S603" s="58" t="str">
        <f>IF($F$5,IF($L603="","",IFERROR(VLOOKUP($L603,day_data!$A:$I,8,FALSE),0)),NA())</f>
        <v/>
      </c>
      <c r="T603" s="60" t="e">
        <f>IF($F$7,IF($L603="","",IFERROR(VLOOKUP($L603,day_data!$A:$I,9,FALSE),0)),NA())</f>
        <v>#N/A</v>
      </c>
    </row>
    <row r="604" spans="12:20">
      <c r="L604" s="57" t="str">
        <f t="shared" si="9"/>
        <v/>
      </c>
      <c r="M604" s="11" t="str">
        <f>IF($F$1,IF($L604="","",IFERROR(VLOOKUP($L604,day_data!$A:$I,2,FALSE),0)),NA())</f>
        <v/>
      </c>
      <c r="N604" s="58" t="e">
        <f>IF($F$2,IF($L604="","",IFERROR(VLOOKUP($L604,day_data!$A:$I,3,FALSE),0)),NA())</f>
        <v>#N/A</v>
      </c>
      <c r="O604" s="11" t="e">
        <f>IF($F$3,IF($L604="","",IFERROR(VLOOKUP($L604,day_data!$A:$I,4,FALSE),0)),NA())</f>
        <v>#N/A</v>
      </c>
      <c r="P604" s="58" t="e">
        <f>IF($F$4,IF($L604="","",IFERROR(VLOOKUP($L604,day_data!$A:$I,5,FALSE),0)),NA())</f>
        <v>#N/A</v>
      </c>
      <c r="Q604" s="59" t="e">
        <f>IF($F$8,IF($L604="","",IFERROR(VLOOKUP($L604,day_data!$A:$I,6,FALSE),0)),NA())</f>
        <v>#N/A</v>
      </c>
      <c r="R604" s="11" t="e">
        <f>IF($F$6,IF($L604="","",IFERROR(VLOOKUP($L604,day_data!$A:$I,7,FALSE),0)),NA())</f>
        <v>#N/A</v>
      </c>
      <c r="S604" s="58" t="str">
        <f>IF($F$5,IF($L604="","",IFERROR(VLOOKUP($L604,day_data!$A:$I,8,FALSE),0)),NA())</f>
        <v/>
      </c>
      <c r="T604" s="60" t="e">
        <f>IF($F$7,IF($L604="","",IFERROR(VLOOKUP($L604,day_data!$A:$I,9,FALSE),0)),NA())</f>
        <v>#N/A</v>
      </c>
    </row>
    <row r="605" spans="12:20">
      <c r="L605" s="57" t="str">
        <f t="shared" si="9"/>
        <v/>
      </c>
      <c r="M605" s="11" t="str">
        <f>IF($F$1,IF($L605="","",IFERROR(VLOOKUP($L605,day_data!$A:$I,2,FALSE),0)),NA())</f>
        <v/>
      </c>
      <c r="N605" s="58" t="e">
        <f>IF($F$2,IF($L605="","",IFERROR(VLOOKUP($L605,day_data!$A:$I,3,FALSE),0)),NA())</f>
        <v>#N/A</v>
      </c>
      <c r="O605" s="11" t="e">
        <f>IF($F$3,IF($L605="","",IFERROR(VLOOKUP($L605,day_data!$A:$I,4,FALSE),0)),NA())</f>
        <v>#N/A</v>
      </c>
      <c r="P605" s="58" t="e">
        <f>IF($F$4,IF($L605="","",IFERROR(VLOOKUP($L605,day_data!$A:$I,5,FALSE),0)),NA())</f>
        <v>#N/A</v>
      </c>
      <c r="Q605" s="59" t="e">
        <f>IF($F$8,IF($L605="","",IFERROR(VLOOKUP($L605,day_data!$A:$I,6,FALSE),0)),NA())</f>
        <v>#N/A</v>
      </c>
      <c r="R605" s="11" t="e">
        <f>IF($F$6,IF($L605="","",IFERROR(VLOOKUP($L605,day_data!$A:$I,7,FALSE),0)),NA())</f>
        <v>#N/A</v>
      </c>
      <c r="S605" s="58" t="str">
        <f>IF($F$5,IF($L605="","",IFERROR(VLOOKUP($L605,day_data!$A:$I,8,FALSE),0)),NA())</f>
        <v/>
      </c>
      <c r="T605" s="60" t="e">
        <f>IF($F$7,IF($L605="","",IFERROR(VLOOKUP($L605,day_data!$A:$I,9,FALSE),0)),NA())</f>
        <v>#N/A</v>
      </c>
    </row>
    <row r="606" spans="12:20">
      <c r="L606" s="57" t="str">
        <f t="shared" si="9"/>
        <v/>
      </c>
      <c r="M606" s="11" t="str">
        <f>IF($F$1,IF($L606="","",IFERROR(VLOOKUP($L606,day_data!$A:$I,2,FALSE),0)),NA())</f>
        <v/>
      </c>
      <c r="N606" s="58" t="e">
        <f>IF($F$2,IF($L606="","",IFERROR(VLOOKUP($L606,day_data!$A:$I,3,FALSE),0)),NA())</f>
        <v>#N/A</v>
      </c>
      <c r="O606" s="11" t="e">
        <f>IF($F$3,IF($L606="","",IFERROR(VLOOKUP($L606,day_data!$A:$I,4,FALSE),0)),NA())</f>
        <v>#N/A</v>
      </c>
      <c r="P606" s="58" t="e">
        <f>IF($F$4,IF($L606="","",IFERROR(VLOOKUP($L606,day_data!$A:$I,5,FALSE),0)),NA())</f>
        <v>#N/A</v>
      </c>
      <c r="Q606" s="59" t="e">
        <f>IF($F$8,IF($L606="","",IFERROR(VLOOKUP($L606,day_data!$A:$I,6,FALSE),0)),NA())</f>
        <v>#N/A</v>
      </c>
      <c r="R606" s="11" t="e">
        <f>IF($F$6,IF($L606="","",IFERROR(VLOOKUP($L606,day_data!$A:$I,7,FALSE),0)),NA())</f>
        <v>#N/A</v>
      </c>
      <c r="S606" s="58" t="str">
        <f>IF($F$5,IF($L606="","",IFERROR(VLOOKUP($L606,day_data!$A:$I,8,FALSE),0)),NA())</f>
        <v/>
      </c>
      <c r="T606" s="60" t="e">
        <f>IF($F$7,IF($L606="","",IFERROR(VLOOKUP($L606,day_data!$A:$I,9,FALSE),0)),NA())</f>
        <v>#N/A</v>
      </c>
    </row>
    <row r="607" spans="12:20">
      <c r="L607" s="57" t="str">
        <f t="shared" si="9"/>
        <v/>
      </c>
      <c r="M607" s="11" t="str">
        <f>IF($F$1,IF($L607="","",IFERROR(VLOOKUP($L607,day_data!$A:$I,2,FALSE),0)),NA())</f>
        <v/>
      </c>
      <c r="N607" s="58" t="e">
        <f>IF($F$2,IF($L607="","",IFERROR(VLOOKUP($L607,day_data!$A:$I,3,FALSE),0)),NA())</f>
        <v>#N/A</v>
      </c>
      <c r="O607" s="11" t="e">
        <f>IF($F$3,IF($L607="","",IFERROR(VLOOKUP($L607,day_data!$A:$I,4,FALSE),0)),NA())</f>
        <v>#N/A</v>
      </c>
      <c r="P607" s="58" t="e">
        <f>IF($F$4,IF($L607="","",IFERROR(VLOOKUP($L607,day_data!$A:$I,5,FALSE),0)),NA())</f>
        <v>#N/A</v>
      </c>
      <c r="Q607" s="59" t="e">
        <f>IF($F$8,IF($L607="","",IFERROR(VLOOKUP($L607,day_data!$A:$I,6,FALSE),0)),NA())</f>
        <v>#N/A</v>
      </c>
      <c r="R607" s="11" t="e">
        <f>IF($F$6,IF($L607="","",IFERROR(VLOOKUP($L607,day_data!$A:$I,7,FALSE),0)),NA())</f>
        <v>#N/A</v>
      </c>
      <c r="S607" s="58" t="str">
        <f>IF($F$5,IF($L607="","",IFERROR(VLOOKUP($L607,day_data!$A:$I,8,FALSE),0)),NA())</f>
        <v/>
      </c>
      <c r="T607" s="60" t="e">
        <f>IF($F$7,IF($L607="","",IFERROR(VLOOKUP($L607,day_data!$A:$I,9,FALSE),0)),NA())</f>
        <v>#N/A</v>
      </c>
    </row>
    <row r="608" spans="12:20">
      <c r="L608" s="57" t="str">
        <f t="shared" si="9"/>
        <v/>
      </c>
      <c r="M608" s="11" t="str">
        <f>IF($F$1,IF($L608="","",IFERROR(VLOOKUP($L608,day_data!$A:$I,2,FALSE),0)),NA())</f>
        <v/>
      </c>
      <c r="N608" s="58" t="e">
        <f>IF($F$2,IF($L608="","",IFERROR(VLOOKUP($L608,day_data!$A:$I,3,FALSE),0)),NA())</f>
        <v>#N/A</v>
      </c>
      <c r="O608" s="11" t="e">
        <f>IF($F$3,IF($L608="","",IFERROR(VLOOKUP($L608,day_data!$A:$I,4,FALSE),0)),NA())</f>
        <v>#N/A</v>
      </c>
      <c r="P608" s="58" t="e">
        <f>IF($F$4,IF($L608="","",IFERROR(VLOOKUP($L608,day_data!$A:$I,5,FALSE),0)),NA())</f>
        <v>#N/A</v>
      </c>
      <c r="Q608" s="59" t="e">
        <f>IF($F$8,IF($L608="","",IFERROR(VLOOKUP($L608,day_data!$A:$I,6,FALSE),0)),NA())</f>
        <v>#N/A</v>
      </c>
      <c r="R608" s="11" t="e">
        <f>IF($F$6,IF($L608="","",IFERROR(VLOOKUP($L608,day_data!$A:$I,7,FALSE),0)),NA())</f>
        <v>#N/A</v>
      </c>
      <c r="S608" s="58" t="str">
        <f>IF($F$5,IF($L608="","",IFERROR(VLOOKUP($L608,day_data!$A:$I,8,FALSE),0)),NA())</f>
        <v/>
      </c>
      <c r="T608" s="60" t="e">
        <f>IF($F$7,IF($L608="","",IFERROR(VLOOKUP($L608,day_data!$A:$I,9,FALSE),0)),NA())</f>
        <v>#N/A</v>
      </c>
    </row>
    <row r="609" spans="12:20">
      <c r="L609" s="57" t="str">
        <f t="shared" si="9"/>
        <v/>
      </c>
      <c r="M609" s="11" t="str">
        <f>IF($F$1,IF($L609="","",IFERROR(VLOOKUP($L609,day_data!$A:$I,2,FALSE),0)),NA())</f>
        <v/>
      </c>
      <c r="N609" s="58" t="e">
        <f>IF($F$2,IF($L609="","",IFERROR(VLOOKUP($L609,day_data!$A:$I,3,FALSE),0)),NA())</f>
        <v>#N/A</v>
      </c>
      <c r="O609" s="11" t="e">
        <f>IF($F$3,IF($L609="","",IFERROR(VLOOKUP($L609,day_data!$A:$I,4,FALSE),0)),NA())</f>
        <v>#N/A</v>
      </c>
      <c r="P609" s="58" t="e">
        <f>IF($F$4,IF($L609="","",IFERROR(VLOOKUP($L609,day_data!$A:$I,5,FALSE),0)),NA())</f>
        <v>#N/A</v>
      </c>
      <c r="Q609" s="59" t="e">
        <f>IF($F$8,IF($L609="","",IFERROR(VLOOKUP($L609,day_data!$A:$I,6,FALSE),0)),NA())</f>
        <v>#N/A</v>
      </c>
      <c r="R609" s="11" t="e">
        <f>IF($F$6,IF($L609="","",IFERROR(VLOOKUP($L609,day_data!$A:$I,7,FALSE),0)),NA())</f>
        <v>#N/A</v>
      </c>
      <c r="S609" s="58" t="str">
        <f>IF($F$5,IF($L609="","",IFERROR(VLOOKUP($L609,day_data!$A:$I,8,FALSE),0)),NA())</f>
        <v/>
      </c>
      <c r="T609" s="60" t="e">
        <f>IF($F$7,IF($L609="","",IFERROR(VLOOKUP($L609,day_data!$A:$I,9,FALSE),0)),NA())</f>
        <v>#N/A</v>
      </c>
    </row>
    <row r="610" spans="12:20">
      <c r="L610" s="57" t="str">
        <f t="shared" si="9"/>
        <v/>
      </c>
      <c r="M610" s="11" t="str">
        <f>IF($F$1,IF($L610="","",IFERROR(VLOOKUP($L610,day_data!$A:$I,2,FALSE),0)),NA())</f>
        <v/>
      </c>
      <c r="N610" s="58" t="e">
        <f>IF($F$2,IF($L610="","",IFERROR(VLOOKUP($L610,day_data!$A:$I,3,FALSE),0)),NA())</f>
        <v>#N/A</v>
      </c>
      <c r="O610" s="11" t="e">
        <f>IF($F$3,IF($L610="","",IFERROR(VLOOKUP($L610,day_data!$A:$I,4,FALSE),0)),NA())</f>
        <v>#N/A</v>
      </c>
      <c r="P610" s="58" t="e">
        <f>IF($F$4,IF($L610="","",IFERROR(VLOOKUP($L610,day_data!$A:$I,5,FALSE),0)),NA())</f>
        <v>#N/A</v>
      </c>
      <c r="Q610" s="59" t="e">
        <f>IF($F$8,IF($L610="","",IFERROR(VLOOKUP($L610,day_data!$A:$I,6,FALSE),0)),NA())</f>
        <v>#N/A</v>
      </c>
      <c r="R610" s="11" t="e">
        <f>IF($F$6,IF($L610="","",IFERROR(VLOOKUP($L610,day_data!$A:$I,7,FALSE),0)),NA())</f>
        <v>#N/A</v>
      </c>
      <c r="S610" s="58" t="str">
        <f>IF($F$5,IF($L610="","",IFERROR(VLOOKUP($L610,day_data!$A:$I,8,FALSE),0)),NA())</f>
        <v/>
      </c>
      <c r="T610" s="60" t="e">
        <f>IF($F$7,IF($L610="","",IFERROR(VLOOKUP($L610,day_data!$A:$I,9,FALSE),0)),NA())</f>
        <v>#N/A</v>
      </c>
    </row>
    <row r="611" spans="12:20">
      <c r="L611" s="57" t="str">
        <f t="shared" si="9"/>
        <v/>
      </c>
      <c r="M611" s="11" t="str">
        <f>IF($F$1,IF($L611="","",IFERROR(VLOOKUP($L611,day_data!$A:$I,2,FALSE),0)),NA())</f>
        <v/>
      </c>
      <c r="N611" s="58" t="e">
        <f>IF($F$2,IF($L611="","",IFERROR(VLOOKUP($L611,day_data!$A:$I,3,FALSE),0)),NA())</f>
        <v>#N/A</v>
      </c>
      <c r="O611" s="11" t="e">
        <f>IF($F$3,IF($L611="","",IFERROR(VLOOKUP($L611,day_data!$A:$I,4,FALSE),0)),NA())</f>
        <v>#N/A</v>
      </c>
      <c r="P611" s="58" t="e">
        <f>IF($F$4,IF($L611="","",IFERROR(VLOOKUP($L611,day_data!$A:$I,5,FALSE),0)),NA())</f>
        <v>#N/A</v>
      </c>
      <c r="Q611" s="59" t="e">
        <f>IF($F$8,IF($L611="","",IFERROR(VLOOKUP($L611,day_data!$A:$I,6,FALSE),0)),NA())</f>
        <v>#N/A</v>
      </c>
      <c r="R611" s="11" t="e">
        <f>IF($F$6,IF($L611="","",IFERROR(VLOOKUP($L611,day_data!$A:$I,7,FALSE),0)),NA())</f>
        <v>#N/A</v>
      </c>
      <c r="S611" s="58" t="str">
        <f>IF($F$5,IF($L611="","",IFERROR(VLOOKUP($L611,day_data!$A:$I,8,FALSE),0)),NA())</f>
        <v/>
      </c>
      <c r="T611" s="60" t="e">
        <f>IF($F$7,IF($L611="","",IFERROR(VLOOKUP($L611,day_data!$A:$I,9,FALSE),0)),NA())</f>
        <v>#N/A</v>
      </c>
    </row>
    <row r="612" spans="12:20">
      <c r="L612" s="57" t="str">
        <f t="shared" si="9"/>
        <v/>
      </c>
      <c r="M612" s="11" t="str">
        <f>IF($F$1,IF($L612="","",IFERROR(VLOOKUP($L612,day_data!$A:$I,2,FALSE),0)),NA())</f>
        <v/>
      </c>
      <c r="N612" s="58" t="e">
        <f>IF($F$2,IF($L612="","",IFERROR(VLOOKUP($L612,day_data!$A:$I,3,FALSE),0)),NA())</f>
        <v>#N/A</v>
      </c>
      <c r="O612" s="11" t="e">
        <f>IF($F$3,IF($L612="","",IFERROR(VLOOKUP($L612,day_data!$A:$I,4,FALSE),0)),NA())</f>
        <v>#N/A</v>
      </c>
      <c r="P612" s="58" t="e">
        <f>IF($F$4,IF($L612="","",IFERROR(VLOOKUP($L612,day_data!$A:$I,5,FALSE),0)),NA())</f>
        <v>#N/A</v>
      </c>
      <c r="Q612" s="59" t="e">
        <f>IF($F$8,IF($L612="","",IFERROR(VLOOKUP($L612,day_data!$A:$I,6,FALSE),0)),NA())</f>
        <v>#N/A</v>
      </c>
      <c r="R612" s="11" t="e">
        <f>IF($F$6,IF($L612="","",IFERROR(VLOOKUP($L612,day_data!$A:$I,7,FALSE),0)),NA())</f>
        <v>#N/A</v>
      </c>
      <c r="S612" s="58" t="str">
        <f>IF($F$5,IF($L612="","",IFERROR(VLOOKUP($L612,day_data!$A:$I,8,FALSE),0)),NA())</f>
        <v/>
      </c>
      <c r="T612" s="60" t="e">
        <f>IF($F$7,IF($L612="","",IFERROR(VLOOKUP($L612,day_data!$A:$I,9,FALSE),0)),NA())</f>
        <v>#N/A</v>
      </c>
    </row>
    <row r="613" spans="12:20">
      <c r="L613" s="57" t="str">
        <f t="shared" si="9"/>
        <v/>
      </c>
      <c r="M613" s="11" t="str">
        <f>IF($F$1,IF($L613="","",IFERROR(VLOOKUP($L613,day_data!$A:$I,2,FALSE),0)),NA())</f>
        <v/>
      </c>
      <c r="N613" s="58" t="e">
        <f>IF($F$2,IF($L613="","",IFERROR(VLOOKUP($L613,day_data!$A:$I,3,FALSE),0)),NA())</f>
        <v>#N/A</v>
      </c>
      <c r="O613" s="11" t="e">
        <f>IF($F$3,IF($L613="","",IFERROR(VLOOKUP($L613,day_data!$A:$I,4,FALSE),0)),NA())</f>
        <v>#N/A</v>
      </c>
      <c r="P613" s="58" t="e">
        <f>IF($F$4,IF($L613="","",IFERROR(VLOOKUP($L613,day_data!$A:$I,5,FALSE),0)),NA())</f>
        <v>#N/A</v>
      </c>
      <c r="Q613" s="59" t="e">
        <f>IF($F$8,IF($L613="","",IFERROR(VLOOKUP($L613,day_data!$A:$I,6,FALSE),0)),NA())</f>
        <v>#N/A</v>
      </c>
      <c r="R613" s="11" t="e">
        <f>IF($F$6,IF($L613="","",IFERROR(VLOOKUP($L613,day_data!$A:$I,7,FALSE),0)),NA())</f>
        <v>#N/A</v>
      </c>
      <c r="S613" s="58" t="str">
        <f>IF($F$5,IF($L613="","",IFERROR(VLOOKUP($L613,day_data!$A:$I,8,FALSE),0)),NA())</f>
        <v/>
      </c>
      <c r="T613" s="60" t="e">
        <f>IF($F$7,IF($L613="","",IFERROR(VLOOKUP($L613,day_data!$A:$I,9,FALSE),0)),NA())</f>
        <v>#N/A</v>
      </c>
    </row>
    <row r="614" spans="12:20">
      <c r="L614" s="57" t="str">
        <f t="shared" si="9"/>
        <v/>
      </c>
      <c r="M614" s="11" t="str">
        <f>IF($F$1,IF($L614="","",IFERROR(VLOOKUP($L614,day_data!$A:$I,2,FALSE),0)),NA())</f>
        <v/>
      </c>
      <c r="N614" s="58" t="e">
        <f>IF($F$2,IF($L614="","",IFERROR(VLOOKUP($L614,day_data!$A:$I,3,FALSE),0)),NA())</f>
        <v>#N/A</v>
      </c>
      <c r="O614" s="11" t="e">
        <f>IF($F$3,IF($L614="","",IFERROR(VLOOKUP($L614,day_data!$A:$I,4,FALSE),0)),NA())</f>
        <v>#N/A</v>
      </c>
      <c r="P614" s="58" t="e">
        <f>IF($F$4,IF($L614="","",IFERROR(VLOOKUP($L614,day_data!$A:$I,5,FALSE),0)),NA())</f>
        <v>#N/A</v>
      </c>
      <c r="Q614" s="59" t="e">
        <f>IF($F$8,IF($L614="","",IFERROR(VLOOKUP($L614,day_data!$A:$I,6,FALSE),0)),NA())</f>
        <v>#N/A</v>
      </c>
      <c r="R614" s="11" t="e">
        <f>IF($F$6,IF($L614="","",IFERROR(VLOOKUP($L614,day_data!$A:$I,7,FALSE),0)),NA())</f>
        <v>#N/A</v>
      </c>
      <c r="S614" s="58" t="str">
        <f>IF($F$5,IF($L614="","",IFERROR(VLOOKUP($L614,day_data!$A:$I,8,FALSE),0)),NA())</f>
        <v/>
      </c>
      <c r="T614" s="60" t="e">
        <f>IF($F$7,IF($L614="","",IFERROR(VLOOKUP($L614,day_data!$A:$I,9,FALSE),0)),NA())</f>
        <v>#N/A</v>
      </c>
    </row>
    <row r="615" spans="12:20">
      <c r="L615" s="57" t="str">
        <f t="shared" si="9"/>
        <v/>
      </c>
      <c r="M615" s="11" t="str">
        <f>IF($F$1,IF($L615="","",IFERROR(VLOOKUP($L615,day_data!$A:$I,2,FALSE),0)),NA())</f>
        <v/>
      </c>
      <c r="N615" s="58" t="e">
        <f>IF($F$2,IF($L615="","",IFERROR(VLOOKUP($L615,day_data!$A:$I,3,FALSE),0)),NA())</f>
        <v>#N/A</v>
      </c>
      <c r="O615" s="11" t="e">
        <f>IF($F$3,IF($L615="","",IFERROR(VLOOKUP($L615,day_data!$A:$I,4,FALSE),0)),NA())</f>
        <v>#N/A</v>
      </c>
      <c r="P615" s="58" t="e">
        <f>IF($F$4,IF($L615="","",IFERROR(VLOOKUP($L615,day_data!$A:$I,5,FALSE),0)),NA())</f>
        <v>#N/A</v>
      </c>
      <c r="Q615" s="59" t="e">
        <f>IF($F$8,IF($L615="","",IFERROR(VLOOKUP($L615,day_data!$A:$I,6,FALSE),0)),NA())</f>
        <v>#N/A</v>
      </c>
      <c r="R615" s="11" t="e">
        <f>IF($F$6,IF($L615="","",IFERROR(VLOOKUP($L615,day_data!$A:$I,7,FALSE),0)),NA())</f>
        <v>#N/A</v>
      </c>
      <c r="S615" s="58" t="str">
        <f>IF($F$5,IF($L615="","",IFERROR(VLOOKUP($L615,day_data!$A:$I,8,FALSE),0)),NA())</f>
        <v/>
      </c>
      <c r="T615" s="60" t="e">
        <f>IF($F$7,IF($L615="","",IFERROR(VLOOKUP($L615,day_data!$A:$I,9,FALSE),0)),NA())</f>
        <v>#N/A</v>
      </c>
    </row>
    <row r="616" spans="12:20">
      <c r="L616" s="57" t="str">
        <f t="shared" si="9"/>
        <v/>
      </c>
      <c r="M616" s="11" t="str">
        <f>IF($F$1,IF($L616="","",IFERROR(VLOOKUP($L616,day_data!$A:$I,2,FALSE),0)),NA())</f>
        <v/>
      </c>
      <c r="N616" s="58" t="e">
        <f>IF($F$2,IF($L616="","",IFERROR(VLOOKUP($L616,day_data!$A:$I,3,FALSE),0)),NA())</f>
        <v>#N/A</v>
      </c>
      <c r="O616" s="11" t="e">
        <f>IF($F$3,IF($L616="","",IFERROR(VLOOKUP($L616,day_data!$A:$I,4,FALSE),0)),NA())</f>
        <v>#N/A</v>
      </c>
      <c r="P616" s="58" t="e">
        <f>IF($F$4,IF($L616="","",IFERROR(VLOOKUP($L616,day_data!$A:$I,5,FALSE),0)),NA())</f>
        <v>#N/A</v>
      </c>
      <c r="Q616" s="59" t="e">
        <f>IF($F$8,IF($L616="","",IFERROR(VLOOKUP($L616,day_data!$A:$I,6,FALSE),0)),NA())</f>
        <v>#N/A</v>
      </c>
      <c r="R616" s="11" t="e">
        <f>IF($F$6,IF($L616="","",IFERROR(VLOOKUP($L616,day_data!$A:$I,7,FALSE),0)),NA())</f>
        <v>#N/A</v>
      </c>
      <c r="S616" s="58" t="str">
        <f>IF($F$5,IF($L616="","",IFERROR(VLOOKUP($L616,day_data!$A:$I,8,FALSE),0)),NA())</f>
        <v/>
      </c>
      <c r="T616" s="60" t="e">
        <f>IF($F$7,IF($L616="","",IFERROR(VLOOKUP($L616,day_data!$A:$I,9,FALSE),0)),NA())</f>
        <v>#N/A</v>
      </c>
    </row>
    <row r="617" spans="12:20">
      <c r="L617" s="57" t="str">
        <f t="shared" si="9"/>
        <v/>
      </c>
      <c r="M617" s="11" t="str">
        <f>IF($F$1,IF($L617="","",IFERROR(VLOOKUP($L617,day_data!$A:$I,2,FALSE),0)),NA())</f>
        <v/>
      </c>
      <c r="N617" s="58" t="e">
        <f>IF($F$2,IF($L617="","",IFERROR(VLOOKUP($L617,day_data!$A:$I,3,FALSE),0)),NA())</f>
        <v>#N/A</v>
      </c>
      <c r="O617" s="11" t="e">
        <f>IF($F$3,IF($L617="","",IFERROR(VLOOKUP($L617,day_data!$A:$I,4,FALSE),0)),NA())</f>
        <v>#N/A</v>
      </c>
      <c r="P617" s="58" t="e">
        <f>IF($F$4,IF($L617="","",IFERROR(VLOOKUP($L617,day_data!$A:$I,5,FALSE),0)),NA())</f>
        <v>#N/A</v>
      </c>
      <c r="Q617" s="59" t="e">
        <f>IF($F$8,IF($L617="","",IFERROR(VLOOKUP($L617,day_data!$A:$I,6,FALSE),0)),NA())</f>
        <v>#N/A</v>
      </c>
      <c r="R617" s="11" t="e">
        <f>IF($F$6,IF($L617="","",IFERROR(VLOOKUP($L617,day_data!$A:$I,7,FALSE),0)),NA())</f>
        <v>#N/A</v>
      </c>
      <c r="S617" s="58" t="str">
        <f>IF($F$5,IF($L617="","",IFERROR(VLOOKUP($L617,day_data!$A:$I,8,FALSE),0)),NA())</f>
        <v/>
      </c>
      <c r="T617" s="60" t="e">
        <f>IF($F$7,IF($L617="","",IFERROR(VLOOKUP($L617,day_data!$A:$I,9,FALSE),0)),NA())</f>
        <v>#N/A</v>
      </c>
    </row>
    <row r="618" spans="12:20">
      <c r="L618" s="57" t="str">
        <f t="shared" si="9"/>
        <v/>
      </c>
      <c r="M618" s="11" t="str">
        <f>IF($F$1,IF($L618="","",IFERROR(VLOOKUP($L618,day_data!$A:$I,2,FALSE),0)),NA())</f>
        <v/>
      </c>
      <c r="N618" s="58" t="e">
        <f>IF($F$2,IF($L618="","",IFERROR(VLOOKUP($L618,day_data!$A:$I,3,FALSE),0)),NA())</f>
        <v>#N/A</v>
      </c>
      <c r="O618" s="11" t="e">
        <f>IF($F$3,IF($L618="","",IFERROR(VLOOKUP($L618,day_data!$A:$I,4,FALSE),0)),NA())</f>
        <v>#N/A</v>
      </c>
      <c r="P618" s="58" t="e">
        <f>IF($F$4,IF($L618="","",IFERROR(VLOOKUP($L618,day_data!$A:$I,5,FALSE),0)),NA())</f>
        <v>#N/A</v>
      </c>
      <c r="Q618" s="59" t="e">
        <f>IF($F$8,IF($L618="","",IFERROR(VLOOKUP($L618,day_data!$A:$I,6,FALSE),0)),NA())</f>
        <v>#N/A</v>
      </c>
      <c r="R618" s="11" t="e">
        <f>IF($F$6,IF($L618="","",IFERROR(VLOOKUP($L618,day_data!$A:$I,7,FALSE),0)),NA())</f>
        <v>#N/A</v>
      </c>
      <c r="S618" s="58" t="str">
        <f>IF($F$5,IF($L618="","",IFERROR(VLOOKUP($L618,day_data!$A:$I,8,FALSE),0)),NA())</f>
        <v/>
      </c>
      <c r="T618" s="60" t="e">
        <f>IF($F$7,IF($L618="","",IFERROR(VLOOKUP($L618,day_data!$A:$I,9,FALSE),0)),NA())</f>
        <v>#N/A</v>
      </c>
    </row>
    <row r="619" spans="12:20">
      <c r="L619" s="57" t="str">
        <f t="shared" si="9"/>
        <v/>
      </c>
      <c r="M619" s="11" t="str">
        <f>IF($F$1,IF($L619="","",IFERROR(VLOOKUP($L619,day_data!$A:$I,2,FALSE),0)),NA())</f>
        <v/>
      </c>
      <c r="N619" s="58" t="e">
        <f>IF($F$2,IF($L619="","",IFERROR(VLOOKUP($L619,day_data!$A:$I,3,FALSE),0)),NA())</f>
        <v>#N/A</v>
      </c>
      <c r="O619" s="11" t="e">
        <f>IF($F$3,IF($L619="","",IFERROR(VLOOKUP($L619,day_data!$A:$I,4,FALSE),0)),NA())</f>
        <v>#N/A</v>
      </c>
      <c r="P619" s="58" t="e">
        <f>IF($F$4,IF($L619="","",IFERROR(VLOOKUP($L619,day_data!$A:$I,5,FALSE),0)),NA())</f>
        <v>#N/A</v>
      </c>
      <c r="Q619" s="59" t="e">
        <f>IF($F$8,IF($L619="","",IFERROR(VLOOKUP($L619,day_data!$A:$I,6,FALSE),0)),NA())</f>
        <v>#N/A</v>
      </c>
      <c r="R619" s="11" t="e">
        <f>IF($F$6,IF($L619="","",IFERROR(VLOOKUP($L619,day_data!$A:$I,7,FALSE),0)),NA())</f>
        <v>#N/A</v>
      </c>
      <c r="S619" s="58" t="str">
        <f>IF($F$5,IF($L619="","",IFERROR(VLOOKUP($L619,day_data!$A:$I,8,FALSE),0)),NA())</f>
        <v/>
      </c>
      <c r="T619" s="60" t="e">
        <f>IF($F$7,IF($L619="","",IFERROR(VLOOKUP($L619,day_data!$A:$I,9,FALSE),0)),NA())</f>
        <v>#N/A</v>
      </c>
    </row>
    <row r="620" spans="12:20">
      <c r="L620" s="57" t="str">
        <f t="shared" si="9"/>
        <v/>
      </c>
      <c r="M620" s="11" t="str">
        <f>IF($F$1,IF($L620="","",IFERROR(VLOOKUP($L620,day_data!$A:$I,2,FALSE),0)),NA())</f>
        <v/>
      </c>
      <c r="N620" s="58" t="e">
        <f>IF($F$2,IF($L620="","",IFERROR(VLOOKUP($L620,day_data!$A:$I,3,FALSE),0)),NA())</f>
        <v>#N/A</v>
      </c>
      <c r="O620" s="11" t="e">
        <f>IF($F$3,IF($L620="","",IFERROR(VLOOKUP($L620,day_data!$A:$I,4,FALSE),0)),NA())</f>
        <v>#N/A</v>
      </c>
      <c r="P620" s="58" t="e">
        <f>IF($F$4,IF($L620="","",IFERROR(VLOOKUP($L620,day_data!$A:$I,5,FALSE),0)),NA())</f>
        <v>#N/A</v>
      </c>
      <c r="Q620" s="59" t="e">
        <f>IF($F$8,IF($L620="","",IFERROR(VLOOKUP($L620,day_data!$A:$I,6,FALSE),0)),NA())</f>
        <v>#N/A</v>
      </c>
      <c r="R620" s="11" t="e">
        <f>IF($F$6,IF($L620="","",IFERROR(VLOOKUP($L620,day_data!$A:$I,7,FALSE),0)),NA())</f>
        <v>#N/A</v>
      </c>
      <c r="S620" s="58" t="str">
        <f>IF($F$5,IF($L620="","",IFERROR(VLOOKUP($L620,day_data!$A:$I,8,FALSE),0)),NA())</f>
        <v/>
      </c>
      <c r="T620" s="60" t="e">
        <f>IF($F$7,IF($L620="","",IFERROR(VLOOKUP($L620,day_data!$A:$I,9,FALSE),0)),NA())</f>
        <v>#N/A</v>
      </c>
    </row>
    <row r="621" spans="12:20">
      <c r="L621" s="57" t="str">
        <f t="shared" si="9"/>
        <v/>
      </c>
      <c r="M621" s="11" t="str">
        <f>IF($F$1,IF($L621="","",IFERROR(VLOOKUP($L621,day_data!$A:$I,2,FALSE),0)),NA())</f>
        <v/>
      </c>
      <c r="N621" s="58" t="e">
        <f>IF($F$2,IF($L621="","",IFERROR(VLOOKUP($L621,day_data!$A:$I,3,FALSE),0)),NA())</f>
        <v>#N/A</v>
      </c>
      <c r="O621" s="11" t="e">
        <f>IF($F$3,IF($L621="","",IFERROR(VLOOKUP($L621,day_data!$A:$I,4,FALSE),0)),NA())</f>
        <v>#N/A</v>
      </c>
      <c r="P621" s="58" t="e">
        <f>IF($F$4,IF($L621="","",IFERROR(VLOOKUP($L621,day_data!$A:$I,5,FALSE),0)),NA())</f>
        <v>#N/A</v>
      </c>
      <c r="Q621" s="59" t="e">
        <f>IF($F$8,IF($L621="","",IFERROR(VLOOKUP($L621,day_data!$A:$I,6,FALSE),0)),NA())</f>
        <v>#N/A</v>
      </c>
      <c r="R621" s="11" t="e">
        <f>IF($F$6,IF($L621="","",IFERROR(VLOOKUP($L621,day_data!$A:$I,7,FALSE),0)),NA())</f>
        <v>#N/A</v>
      </c>
      <c r="S621" s="58" t="str">
        <f>IF($F$5,IF($L621="","",IFERROR(VLOOKUP($L621,day_data!$A:$I,8,FALSE),0)),NA())</f>
        <v/>
      </c>
      <c r="T621" s="60" t="e">
        <f>IF($F$7,IF($L621="","",IFERROR(VLOOKUP($L621,day_data!$A:$I,9,FALSE),0)),NA())</f>
        <v>#N/A</v>
      </c>
    </row>
    <row r="622" spans="12:20">
      <c r="L622" s="57" t="str">
        <f t="shared" si="9"/>
        <v/>
      </c>
      <c r="M622" s="11" t="str">
        <f>IF($F$1,IF($L622="","",IFERROR(VLOOKUP($L622,day_data!$A:$I,2,FALSE),0)),NA())</f>
        <v/>
      </c>
      <c r="N622" s="58" t="e">
        <f>IF($F$2,IF($L622="","",IFERROR(VLOOKUP($L622,day_data!$A:$I,3,FALSE),0)),NA())</f>
        <v>#N/A</v>
      </c>
      <c r="O622" s="11" t="e">
        <f>IF($F$3,IF($L622="","",IFERROR(VLOOKUP($L622,day_data!$A:$I,4,FALSE),0)),NA())</f>
        <v>#N/A</v>
      </c>
      <c r="P622" s="58" t="e">
        <f>IF($F$4,IF($L622="","",IFERROR(VLOOKUP($L622,day_data!$A:$I,5,FALSE),0)),NA())</f>
        <v>#N/A</v>
      </c>
      <c r="Q622" s="59" t="e">
        <f>IF($F$8,IF($L622="","",IFERROR(VLOOKUP($L622,day_data!$A:$I,6,FALSE),0)),NA())</f>
        <v>#N/A</v>
      </c>
      <c r="R622" s="11" t="e">
        <f>IF($F$6,IF($L622="","",IFERROR(VLOOKUP($L622,day_data!$A:$I,7,FALSE),0)),NA())</f>
        <v>#N/A</v>
      </c>
      <c r="S622" s="58" t="str">
        <f>IF($F$5,IF($L622="","",IFERROR(VLOOKUP($L622,day_data!$A:$I,8,FALSE),0)),NA())</f>
        <v/>
      </c>
      <c r="T622" s="60" t="e">
        <f>IF($F$7,IF($L622="","",IFERROR(VLOOKUP($L622,day_data!$A:$I,9,FALSE),0)),NA())</f>
        <v>#N/A</v>
      </c>
    </row>
    <row r="623" spans="12:20">
      <c r="L623" s="57" t="str">
        <f t="shared" si="9"/>
        <v/>
      </c>
      <c r="M623" s="11" t="str">
        <f>IF($F$1,IF($L623="","",IFERROR(VLOOKUP($L623,day_data!$A:$I,2,FALSE),0)),NA())</f>
        <v/>
      </c>
      <c r="N623" s="58" t="e">
        <f>IF($F$2,IF($L623="","",IFERROR(VLOOKUP($L623,day_data!$A:$I,3,FALSE),0)),NA())</f>
        <v>#N/A</v>
      </c>
      <c r="O623" s="11" t="e">
        <f>IF($F$3,IF($L623="","",IFERROR(VLOOKUP($L623,day_data!$A:$I,4,FALSE),0)),NA())</f>
        <v>#N/A</v>
      </c>
      <c r="P623" s="58" t="e">
        <f>IF($F$4,IF($L623="","",IFERROR(VLOOKUP($L623,day_data!$A:$I,5,FALSE),0)),NA())</f>
        <v>#N/A</v>
      </c>
      <c r="Q623" s="59" t="e">
        <f>IF($F$8,IF($L623="","",IFERROR(VLOOKUP($L623,day_data!$A:$I,6,FALSE),0)),NA())</f>
        <v>#N/A</v>
      </c>
      <c r="R623" s="11" t="e">
        <f>IF($F$6,IF($L623="","",IFERROR(VLOOKUP($L623,day_data!$A:$I,7,FALSE),0)),NA())</f>
        <v>#N/A</v>
      </c>
      <c r="S623" s="58" t="str">
        <f>IF($F$5,IF($L623="","",IFERROR(VLOOKUP($L623,day_data!$A:$I,8,FALSE),0)),NA())</f>
        <v/>
      </c>
      <c r="T623" s="60" t="e">
        <f>IF($F$7,IF($L623="","",IFERROR(VLOOKUP($L623,day_data!$A:$I,9,FALSE),0)),NA())</f>
        <v>#N/A</v>
      </c>
    </row>
    <row r="624" spans="12:20">
      <c r="L624" s="57" t="str">
        <f t="shared" si="9"/>
        <v/>
      </c>
      <c r="M624" s="11" t="str">
        <f>IF($F$1,IF($L624="","",IFERROR(VLOOKUP($L624,day_data!$A:$I,2,FALSE),0)),NA())</f>
        <v/>
      </c>
      <c r="N624" s="58" t="e">
        <f>IF($F$2,IF($L624="","",IFERROR(VLOOKUP($L624,day_data!$A:$I,3,FALSE),0)),NA())</f>
        <v>#N/A</v>
      </c>
      <c r="O624" s="11" t="e">
        <f>IF($F$3,IF($L624="","",IFERROR(VLOOKUP($L624,day_data!$A:$I,4,FALSE),0)),NA())</f>
        <v>#N/A</v>
      </c>
      <c r="P624" s="58" t="e">
        <f>IF($F$4,IF($L624="","",IFERROR(VLOOKUP($L624,day_data!$A:$I,5,FALSE),0)),NA())</f>
        <v>#N/A</v>
      </c>
      <c r="Q624" s="59" t="e">
        <f>IF($F$8,IF($L624="","",IFERROR(VLOOKUP($L624,day_data!$A:$I,6,FALSE),0)),NA())</f>
        <v>#N/A</v>
      </c>
      <c r="R624" s="11" t="e">
        <f>IF($F$6,IF($L624="","",IFERROR(VLOOKUP($L624,day_data!$A:$I,7,FALSE),0)),NA())</f>
        <v>#N/A</v>
      </c>
      <c r="S624" s="58" t="str">
        <f>IF($F$5,IF($L624="","",IFERROR(VLOOKUP($L624,day_data!$A:$I,8,FALSE),0)),NA())</f>
        <v/>
      </c>
      <c r="T624" s="60" t="e">
        <f>IF($F$7,IF($L624="","",IFERROR(VLOOKUP($L624,day_data!$A:$I,9,FALSE),0)),NA())</f>
        <v>#N/A</v>
      </c>
    </row>
    <row r="625" spans="12:20">
      <c r="L625" s="57" t="str">
        <f t="shared" si="9"/>
        <v/>
      </c>
      <c r="M625" s="11" t="str">
        <f>IF($F$1,IF($L625="","",IFERROR(VLOOKUP($L625,day_data!$A:$I,2,FALSE),0)),NA())</f>
        <v/>
      </c>
      <c r="N625" s="58" t="e">
        <f>IF($F$2,IF($L625="","",IFERROR(VLOOKUP($L625,day_data!$A:$I,3,FALSE),0)),NA())</f>
        <v>#N/A</v>
      </c>
      <c r="O625" s="11" t="e">
        <f>IF($F$3,IF($L625="","",IFERROR(VLOOKUP($L625,day_data!$A:$I,4,FALSE),0)),NA())</f>
        <v>#N/A</v>
      </c>
      <c r="P625" s="58" t="e">
        <f>IF($F$4,IF($L625="","",IFERROR(VLOOKUP($L625,day_data!$A:$I,5,FALSE),0)),NA())</f>
        <v>#N/A</v>
      </c>
      <c r="Q625" s="59" t="e">
        <f>IF($F$8,IF($L625="","",IFERROR(VLOOKUP($L625,day_data!$A:$I,6,FALSE),0)),NA())</f>
        <v>#N/A</v>
      </c>
      <c r="R625" s="11" t="e">
        <f>IF($F$6,IF($L625="","",IFERROR(VLOOKUP($L625,day_data!$A:$I,7,FALSE),0)),NA())</f>
        <v>#N/A</v>
      </c>
      <c r="S625" s="58" t="str">
        <f>IF($F$5,IF($L625="","",IFERROR(VLOOKUP($L625,day_data!$A:$I,8,FALSE),0)),NA())</f>
        <v/>
      </c>
      <c r="T625" s="60" t="e">
        <f>IF($F$7,IF($L625="","",IFERROR(VLOOKUP($L625,day_data!$A:$I,9,FALSE),0)),NA())</f>
        <v>#N/A</v>
      </c>
    </row>
    <row r="626" spans="12:20">
      <c r="L626" s="57" t="str">
        <f t="shared" si="9"/>
        <v/>
      </c>
      <c r="M626" s="11" t="str">
        <f>IF($F$1,IF($L626="","",IFERROR(VLOOKUP($L626,day_data!$A:$I,2,FALSE),0)),NA())</f>
        <v/>
      </c>
      <c r="N626" s="58" t="e">
        <f>IF($F$2,IF($L626="","",IFERROR(VLOOKUP($L626,day_data!$A:$I,3,FALSE),0)),NA())</f>
        <v>#N/A</v>
      </c>
      <c r="O626" s="11" t="e">
        <f>IF($F$3,IF($L626="","",IFERROR(VLOOKUP($L626,day_data!$A:$I,4,FALSE),0)),NA())</f>
        <v>#N/A</v>
      </c>
      <c r="P626" s="58" t="e">
        <f>IF($F$4,IF($L626="","",IFERROR(VLOOKUP($L626,day_data!$A:$I,5,FALSE),0)),NA())</f>
        <v>#N/A</v>
      </c>
      <c r="Q626" s="59" t="e">
        <f>IF($F$8,IF($L626="","",IFERROR(VLOOKUP($L626,day_data!$A:$I,6,FALSE),0)),NA())</f>
        <v>#N/A</v>
      </c>
      <c r="R626" s="11" t="e">
        <f>IF($F$6,IF($L626="","",IFERROR(VLOOKUP($L626,day_data!$A:$I,7,FALSE),0)),NA())</f>
        <v>#N/A</v>
      </c>
      <c r="S626" s="58" t="str">
        <f>IF($F$5,IF($L626="","",IFERROR(VLOOKUP($L626,day_data!$A:$I,8,FALSE),0)),NA())</f>
        <v/>
      </c>
      <c r="T626" s="60" t="e">
        <f>IF($F$7,IF($L626="","",IFERROR(VLOOKUP($L626,day_data!$A:$I,9,FALSE),0)),NA())</f>
        <v>#N/A</v>
      </c>
    </row>
    <row r="627" spans="12:20">
      <c r="L627" s="57" t="str">
        <f t="shared" si="9"/>
        <v/>
      </c>
      <c r="M627" s="11" t="str">
        <f>IF($F$1,IF($L627="","",IFERROR(VLOOKUP($L627,day_data!$A:$I,2,FALSE),0)),NA())</f>
        <v/>
      </c>
      <c r="N627" s="58" t="e">
        <f>IF($F$2,IF($L627="","",IFERROR(VLOOKUP($L627,day_data!$A:$I,3,FALSE),0)),NA())</f>
        <v>#N/A</v>
      </c>
      <c r="O627" s="11" t="e">
        <f>IF($F$3,IF($L627="","",IFERROR(VLOOKUP($L627,day_data!$A:$I,4,FALSE),0)),NA())</f>
        <v>#N/A</v>
      </c>
      <c r="P627" s="58" t="e">
        <f>IF($F$4,IF($L627="","",IFERROR(VLOOKUP($L627,day_data!$A:$I,5,FALSE),0)),NA())</f>
        <v>#N/A</v>
      </c>
      <c r="Q627" s="59" t="e">
        <f>IF($F$8,IF($L627="","",IFERROR(VLOOKUP($L627,day_data!$A:$I,6,FALSE),0)),NA())</f>
        <v>#N/A</v>
      </c>
      <c r="R627" s="11" t="e">
        <f>IF($F$6,IF($L627="","",IFERROR(VLOOKUP($L627,day_data!$A:$I,7,FALSE),0)),NA())</f>
        <v>#N/A</v>
      </c>
      <c r="S627" s="58" t="str">
        <f>IF($F$5,IF($L627="","",IFERROR(VLOOKUP($L627,day_data!$A:$I,8,FALSE),0)),NA())</f>
        <v/>
      </c>
      <c r="T627" s="60" t="e">
        <f>IF($F$7,IF($L627="","",IFERROR(VLOOKUP($L627,day_data!$A:$I,9,FALSE),0)),NA())</f>
        <v>#N/A</v>
      </c>
    </row>
    <row r="628" spans="12:20">
      <c r="L628" s="57" t="str">
        <f t="shared" si="9"/>
        <v/>
      </c>
      <c r="M628" s="11" t="str">
        <f>IF($F$1,IF($L628="","",IFERROR(VLOOKUP($L628,day_data!$A:$I,2,FALSE),0)),NA())</f>
        <v/>
      </c>
      <c r="N628" s="58" t="e">
        <f>IF($F$2,IF($L628="","",IFERROR(VLOOKUP($L628,day_data!$A:$I,3,FALSE),0)),NA())</f>
        <v>#N/A</v>
      </c>
      <c r="O628" s="11" t="e">
        <f>IF($F$3,IF($L628="","",IFERROR(VLOOKUP($L628,day_data!$A:$I,4,FALSE),0)),NA())</f>
        <v>#N/A</v>
      </c>
      <c r="P628" s="58" t="e">
        <f>IF($F$4,IF($L628="","",IFERROR(VLOOKUP($L628,day_data!$A:$I,5,FALSE),0)),NA())</f>
        <v>#N/A</v>
      </c>
      <c r="Q628" s="59" t="e">
        <f>IF($F$8,IF($L628="","",IFERROR(VLOOKUP($L628,day_data!$A:$I,6,FALSE),0)),NA())</f>
        <v>#N/A</v>
      </c>
      <c r="R628" s="11" t="e">
        <f>IF($F$6,IF($L628="","",IFERROR(VLOOKUP($L628,day_data!$A:$I,7,FALSE),0)),NA())</f>
        <v>#N/A</v>
      </c>
      <c r="S628" s="58" t="str">
        <f>IF($F$5,IF($L628="","",IFERROR(VLOOKUP($L628,day_data!$A:$I,8,FALSE),0)),NA())</f>
        <v/>
      </c>
      <c r="T628" s="60" t="e">
        <f>IF($F$7,IF($L628="","",IFERROR(VLOOKUP($L628,day_data!$A:$I,9,FALSE),0)),NA())</f>
        <v>#N/A</v>
      </c>
    </row>
    <row r="629" spans="12:20">
      <c r="L629" s="57" t="str">
        <f t="shared" si="9"/>
        <v/>
      </c>
      <c r="M629" s="11" t="str">
        <f>IF($F$1,IF($L629="","",IFERROR(VLOOKUP($L629,day_data!$A:$I,2,FALSE),0)),NA())</f>
        <v/>
      </c>
      <c r="N629" s="58" t="e">
        <f>IF($F$2,IF($L629="","",IFERROR(VLOOKUP($L629,day_data!$A:$I,3,FALSE),0)),NA())</f>
        <v>#N/A</v>
      </c>
      <c r="O629" s="11" t="e">
        <f>IF($F$3,IF($L629="","",IFERROR(VLOOKUP($L629,day_data!$A:$I,4,FALSE),0)),NA())</f>
        <v>#N/A</v>
      </c>
      <c r="P629" s="58" t="e">
        <f>IF($F$4,IF($L629="","",IFERROR(VLOOKUP($L629,day_data!$A:$I,5,FALSE),0)),NA())</f>
        <v>#N/A</v>
      </c>
      <c r="Q629" s="59" t="e">
        <f>IF($F$8,IF($L629="","",IFERROR(VLOOKUP($L629,day_data!$A:$I,6,FALSE),0)),NA())</f>
        <v>#N/A</v>
      </c>
      <c r="R629" s="11" t="e">
        <f>IF($F$6,IF($L629="","",IFERROR(VLOOKUP($L629,day_data!$A:$I,7,FALSE),0)),NA())</f>
        <v>#N/A</v>
      </c>
      <c r="S629" s="58" t="str">
        <f>IF($F$5,IF($L629="","",IFERROR(VLOOKUP($L629,day_data!$A:$I,8,FALSE),0)),NA())</f>
        <v/>
      </c>
      <c r="T629" s="60" t="e">
        <f>IF($F$7,IF($L629="","",IFERROR(VLOOKUP($L629,day_data!$A:$I,9,FALSE),0)),NA())</f>
        <v>#N/A</v>
      </c>
    </row>
    <row r="630" spans="12:20">
      <c r="L630" s="57" t="str">
        <f t="shared" si="9"/>
        <v/>
      </c>
      <c r="M630" s="11" t="str">
        <f>IF($F$1,IF($L630="","",IFERROR(VLOOKUP($L630,day_data!$A:$I,2,FALSE),0)),NA())</f>
        <v/>
      </c>
      <c r="N630" s="58" t="e">
        <f>IF($F$2,IF($L630="","",IFERROR(VLOOKUP($L630,day_data!$A:$I,3,FALSE),0)),NA())</f>
        <v>#N/A</v>
      </c>
      <c r="O630" s="11" t="e">
        <f>IF($F$3,IF($L630="","",IFERROR(VLOOKUP($L630,day_data!$A:$I,4,FALSE),0)),NA())</f>
        <v>#N/A</v>
      </c>
      <c r="P630" s="58" t="e">
        <f>IF($F$4,IF($L630="","",IFERROR(VLOOKUP($L630,day_data!$A:$I,5,FALSE),0)),NA())</f>
        <v>#N/A</v>
      </c>
      <c r="Q630" s="59" t="e">
        <f>IF($F$8,IF($L630="","",IFERROR(VLOOKUP($L630,day_data!$A:$I,6,FALSE),0)),NA())</f>
        <v>#N/A</v>
      </c>
      <c r="R630" s="11" t="e">
        <f>IF($F$6,IF($L630="","",IFERROR(VLOOKUP($L630,day_data!$A:$I,7,FALSE),0)),NA())</f>
        <v>#N/A</v>
      </c>
      <c r="S630" s="58" t="str">
        <f>IF($F$5,IF($L630="","",IFERROR(VLOOKUP($L630,day_data!$A:$I,8,FALSE),0)),NA())</f>
        <v/>
      </c>
      <c r="T630" s="60" t="e">
        <f>IF($F$7,IF($L630="","",IFERROR(VLOOKUP($L630,day_data!$A:$I,9,FALSE),0)),NA())</f>
        <v>#N/A</v>
      </c>
    </row>
    <row r="631" spans="12:20">
      <c r="L631" s="57" t="str">
        <f t="shared" si="9"/>
        <v/>
      </c>
      <c r="M631" s="11" t="str">
        <f>IF($F$1,IF($L631="","",IFERROR(VLOOKUP($L631,day_data!$A:$I,2,FALSE),0)),NA())</f>
        <v/>
      </c>
      <c r="N631" s="58" t="e">
        <f>IF($F$2,IF($L631="","",IFERROR(VLOOKUP($L631,day_data!$A:$I,3,FALSE),0)),NA())</f>
        <v>#N/A</v>
      </c>
      <c r="O631" s="11" t="e">
        <f>IF($F$3,IF($L631="","",IFERROR(VLOOKUP($L631,day_data!$A:$I,4,FALSE),0)),NA())</f>
        <v>#N/A</v>
      </c>
      <c r="P631" s="58" t="e">
        <f>IF($F$4,IF($L631="","",IFERROR(VLOOKUP($L631,day_data!$A:$I,5,FALSE),0)),NA())</f>
        <v>#N/A</v>
      </c>
      <c r="Q631" s="59" t="e">
        <f>IF($F$8,IF($L631="","",IFERROR(VLOOKUP($L631,day_data!$A:$I,6,FALSE),0)),NA())</f>
        <v>#N/A</v>
      </c>
      <c r="R631" s="11" t="e">
        <f>IF($F$6,IF($L631="","",IFERROR(VLOOKUP($L631,day_data!$A:$I,7,FALSE),0)),NA())</f>
        <v>#N/A</v>
      </c>
      <c r="S631" s="58" t="str">
        <f>IF($F$5,IF($L631="","",IFERROR(VLOOKUP($L631,day_data!$A:$I,8,FALSE),0)),NA())</f>
        <v/>
      </c>
      <c r="T631" s="60" t="e">
        <f>IF($F$7,IF($L631="","",IFERROR(VLOOKUP($L631,day_data!$A:$I,9,FALSE),0)),NA())</f>
        <v>#N/A</v>
      </c>
    </row>
    <row r="632" spans="12:20">
      <c r="L632" s="57" t="str">
        <f t="shared" si="9"/>
        <v/>
      </c>
      <c r="M632" s="11" t="str">
        <f>IF($F$1,IF($L632="","",IFERROR(VLOOKUP($L632,day_data!$A:$I,2,FALSE),0)),NA())</f>
        <v/>
      </c>
      <c r="N632" s="58" t="e">
        <f>IF($F$2,IF($L632="","",IFERROR(VLOOKUP($L632,day_data!$A:$I,3,FALSE),0)),NA())</f>
        <v>#N/A</v>
      </c>
      <c r="O632" s="11" t="e">
        <f>IF($F$3,IF($L632="","",IFERROR(VLOOKUP($L632,day_data!$A:$I,4,FALSE),0)),NA())</f>
        <v>#N/A</v>
      </c>
      <c r="P632" s="58" t="e">
        <f>IF($F$4,IF($L632="","",IFERROR(VLOOKUP($L632,day_data!$A:$I,5,FALSE),0)),NA())</f>
        <v>#N/A</v>
      </c>
      <c r="Q632" s="59" t="e">
        <f>IF($F$8,IF($L632="","",IFERROR(VLOOKUP($L632,day_data!$A:$I,6,FALSE),0)),NA())</f>
        <v>#N/A</v>
      </c>
      <c r="R632" s="11" t="e">
        <f>IF($F$6,IF($L632="","",IFERROR(VLOOKUP($L632,day_data!$A:$I,7,FALSE),0)),NA())</f>
        <v>#N/A</v>
      </c>
      <c r="S632" s="58" t="str">
        <f>IF($F$5,IF($L632="","",IFERROR(VLOOKUP($L632,day_data!$A:$I,8,FALSE),0)),NA())</f>
        <v/>
      </c>
      <c r="T632" s="60" t="e">
        <f>IF($F$7,IF($L632="","",IFERROR(VLOOKUP($L632,day_data!$A:$I,9,FALSE),0)),NA())</f>
        <v>#N/A</v>
      </c>
    </row>
    <row r="633" spans="12:20">
      <c r="L633" s="57" t="str">
        <f t="shared" si="9"/>
        <v/>
      </c>
      <c r="M633" s="11" t="str">
        <f>IF($F$1,IF($L633="","",IFERROR(VLOOKUP($L633,day_data!$A:$I,2,FALSE),0)),NA())</f>
        <v/>
      </c>
      <c r="N633" s="58" t="e">
        <f>IF($F$2,IF($L633="","",IFERROR(VLOOKUP($L633,day_data!$A:$I,3,FALSE),0)),NA())</f>
        <v>#N/A</v>
      </c>
      <c r="O633" s="11" t="e">
        <f>IF($F$3,IF($L633="","",IFERROR(VLOOKUP($L633,day_data!$A:$I,4,FALSE),0)),NA())</f>
        <v>#N/A</v>
      </c>
      <c r="P633" s="58" t="e">
        <f>IF($F$4,IF($L633="","",IFERROR(VLOOKUP($L633,day_data!$A:$I,5,FALSE),0)),NA())</f>
        <v>#N/A</v>
      </c>
      <c r="Q633" s="59" t="e">
        <f>IF($F$8,IF($L633="","",IFERROR(VLOOKUP($L633,day_data!$A:$I,6,FALSE),0)),NA())</f>
        <v>#N/A</v>
      </c>
      <c r="R633" s="11" t="e">
        <f>IF($F$6,IF($L633="","",IFERROR(VLOOKUP($L633,day_data!$A:$I,7,FALSE),0)),NA())</f>
        <v>#N/A</v>
      </c>
      <c r="S633" s="58" t="str">
        <f>IF($F$5,IF($L633="","",IFERROR(VLOOKUP($L633,day_data!$A:$I,8,FALSE),0)),NA())</f>
        <v/>
      </c>
      <c r="T633" s="60" t="e">
        <f>IF($F$7,IF($L633="","",IFERROR(VLOOKUP($L633,day_data!$A:$I,9,FALSE),0)),NA())</f>
        <v>#N/A</v>
      </c>
    </row>
    <row r="634" spans="12:20">
      <c r="L634" s="57" t="str">
        <f t="shared" si="9"/>
        <v/>
      </c>
      <c r="M634" s="11" t="str">
        <f>IF($F$1,IF($L634="","",IFERROR(VLOOKUP($L634,day_data!$A:$I,2,FALSE),0)),NA())</f>
        <v/>
      </c>
      <c r="N634" s="58" t="e">
        <f>IF($F$2,IF($L634="","",IFERROR(VLOOKUP($L634,day_data!$A:$I,3,FALSE),0)),NA())</f>
        <v>#N/A</v>
      </c>
      <c r="O634" s="11" t="e">
        <f>IF($F$3,IF($L634="","",IFERROR(VLOOKUP($L634,day_data!$A:$I,4,FALSE),0)),NA())</f>
        <v>#N/A</v>
      </c>
      <c r="P634" s="58" t="e">
        <f>IF($F$4,IF($L634="","",IFERROR(VLOOKUP($L634,day_data!$A:$I,5,FALSE),0)),NA())</f>
        <v>#N/A</v>
      </c>
      <c r="Q634" s="59" t="e">
        <f>IF($F$8,IF($L634="","",IFERROR(VLOOKUP($L634,day_data!$A:$I,6,FALSE),0)),NA())</f>
        <v>#N/A</v>
      </c>
      <c r="R634" s="11" t="e">
        <f>IF($F$6,IF($L634="","",IFERROR(VLOOKUP($L634,day_data!$A:$I,7,FALSE),0)),NA())</f>
        <v>#N/A</v>
      </c>
      <c r="S634" s="58" t="str">
        <f>IF($F$5,IF($L634="","",IFERROR(VLOOKUP($L634,day_data!$A:$I,8,FALSE),0)),NA())</f>
        <v/>
      </c>
      <c r="T634" s="60" t="e">
        <f>IF($F$7,IF($L634="","",IFERROR(VLOOKUP($L634,day_data!$A:$I,9,FALSE),0)),NA())</f>
        <v>#N/A</v>
      </c>
    </row>
    <row r="635" spans="12:20">
      <c r="L635" s="57" t="str">
        <f t="shared" si="9"/>
        <v/>
      </c>
      <c r="M635" s="11" t="str">
        <f>IF($F$1,IF($L635="","",IFERROR(VLOOKUP($L635,day_data!$A:$I,2,FALSE),0)),NA())</f>
        <v/>
      </c>
      <c r="N635" s="58" t="e">
        <f>IF($F$2,IF($L635="","",IFERROR(VLOOKUP($L635,day_data!$A:$I,3,FALSE),0)),NA())</f>
        <v>#N/A</v>
      </c>
      <c r="O635" s="11" t="e">
        <f>IF($F$3,IF($L635="","",IFERROR(VLOOKUP($L635,day_data!$A:$I,4,FALSE),0)),NA())</f>
        <v>#N/A</v>
      </c>
      <c r="P635" s="58" t="e">
        <f>IF($F$4,IF($L635="","",IFERROR(VLOOKUP($L635,day_data!$A:$I,5,FALSE),0)),NA())</f>
        <v>#N/A</v>
      </c>
      <c r="Q635" s="59" t="e">
        <f>IF($F$8,IF($L635="","",IFERROR(VLOOKUP($L635,day_data!$A:$I,6,FALSE),0)),NA())</f>
        <v>#N/A</v>
      </c>
      <c r="R635" s="11" t="e">
        <f>IF($F$6,IF($L635="","",IFERROR(VLOOKUP($L635,day_data!$A:$I,7,FALSE),0)),NA())</f>
        <v>#N/A</v>
      </c>
      <c r="S635" s="58" t="str">
        <f>IF($F$5,IF($L635="","",IFERROR(VLOOKUP($L635,day_data!$A:$I,8,FALSE),0)),NA())</f>
        <v/>
      </c>
      <c r="T635" s="60" t="e">
        <f>IF($F$7,IF($L635="","",IFERROR(VLOOKUP($L635,day_data!$A:$I,9,FALSE),0)),NA())</f>
        <v>#N/A</v>
      </c>
    </row>
    <row r="636" spans="12:20">
      <c r="L636" s="57" t="str">
        <f t="shared" si="9"/>
        <v/>
      </c>
      <c r="M636" s="11" t="str">
        <f>IF($F$1,IF($L636="","",IFERROR(VLOOKUP($L636,day_data!$A:$I,2,FALSE),0)),NA())</f>
        <v/>
      </c>
      <c r="N636" s="58" t="e">
        <f>IF($F$2,IF($L636="","",IFERROR(VLOOKUP($L636,day_data!$A:$I,3,FALSE),0)),NA())</f>
        <v>#N/A</v>
      </c>
      <c r="O636" s="11" t="e">
        <f>IF($F$3,IF($L636="","",IFERROR(VLOOKUP($L636,day_data!$A:$I,4,FALSE),0)),NA())</f>
        <v>#N/A</v>
      </c>
      <c r="P636" s="58" t="e">
        <f>IF($F$4,IF($L636="","",IFERROR(VLOOKUP($L636,day_data!$A:$I,5,FALSE),0)),NA())</f>
        <v>#N/A</v>
      </c>
      <c r="Q636" s="59" t="e">
        <f>IF($F$8,IF($L636="","",IFERROR(VLOOKUP($L636,day_data!$A:$I,6,FALSE),0)),NA())</f>
        <v>#N/A</v>
      </c>
      <c r="R636" s="11" t="e">
        <f>IF($F$6,IF($L636="","",IFERROR(VLOOKUP($L636,day_data!$A:$I,7,FALSE),0)),NA())</f>
        <v>#N/A</v>
      </c>
      <c r="S636" s="58" t="str">
        <f>IF($F$5,IF($L636="","",IFERROR(VLOOKUP($L636,day_data!$A:$I,8,FALSE),0)),NA())</f>
        <v/>
      </c>
      <c r="T636" s="60" t="e">
        <f>IF($F$7,IF($L636="","",IFERROR(VLOOKUP($L636,day_data!$A:$I,9,FALSE),0)),NA())</f>
        <v>#N/A</v>
      </c>
    </row>
    <row r="637" spans="12:20">
      <c r="L637" s="57" t="str">
        <f t="shared" si="9"/>
        <v/>
      </c>
      <c r="M637" s="11" t="str">
        <f>IF($F$1,IF($L637="","",IFERROR(VLOOKUP($L637,day_data!$A:$I,2,FALSE),0)),NA())</f>
        <v/>
      </c>
      <c r="N637" s="58" t="e">
        <f>IF($F$2,IF($L637="","",IFERROR(VLOOKUP($L637,day_data!$A:$I,3,FALSE),0)),NA())</f>
        <v>#N/A</v>
      </c>
      <c r="O637" s="11" t="e">
        <f>IF($F$3,IF($L637="","",IFERROR(VLOOKUP($L637,day_data!$A:$I,4,FALSE),0)),NA())</f>
        <v>#N/A</v>
      </c>
      <c r="P637" s="58" t="e">
        <f>IF($F$4,IF($L637="","",IFERROR(VLOOKUP($L637,day_data!$A:$I,5,FALSE),0)),NA())</f>
        <v>#N/A</v>
      </c>
      <c r="Q637" s="59" t="e">
        <f>IF($F$8,IF($L637="","",IFERROR(VLOOKUP($L637,day_data!$A:$I,6,FALSE),0)),NA())</f>
        <v>#N/A</v>
      </c>
      <c r="R637" s="11" t="e">
        <f>IF($F$6,IF($L637="","",IFERROR(VLOOKUP($L637,day_data!$A:$I,7,FALSE),0)),NA())</f>
        <v>#N/A</v>
      </c>
      <c r="S637" s="58" t="str">
        <f>IF($F$5,IF($L637="","",IFERROR(VLOOKUP($L637,day_data!$A:$I,8,FALSE),0)),NA())</f>
        <v/>
      </c>
      <c r="T637" s="60" t="e">
        <f>IF($F$7,IF($L637="","",IFERROR(VLOOKUP($L637,day_data!$A:$I,9,FALSE),0)),NA())</f>
        <v>#N/A</v>
      </c>
    </row>
    <row r="638" spans="12:20">
      <c r="L638" s="57" t="str">
        <f t="shared" si="9"/>
        <v/>
      </c>
      <c r="M638" s="11" t="str">
        <f>IF($F$1,IF($L638="","",IFERROR(VLOOKUP($L638,day_data!$A:$I,2,FALSE),0)),NA())</f>
        <v/>
      </c>
      <c r="N638" s="58" t="e">
        <f>IF($F$2,IF($L638="","",IFERROR(VLOOKUP($L638,day_data!$A:$I,3,FALSE),0)),NA())</f>
        <v>#N/A</v>
      </c>
      <c r="O638" s="11" t="e">
        <f>IF($F$3,IF($L638="","",IFERROR(VLOOKUP($L638,day_data!$A:$I,4,FALSE),0)),NA())</f>
        <v>#N/A</v>
      </c>
      <c r="P638" s="58" t="e">
        <f>IF($F$4,IF($L638="","",IFERROR(VLOOKUP($L638,day_data!$A:$I,5,FALSE),0)),NA())</f>
        <v>#N/A</v>
      </c>
      <c r="Q638" s="59" t="e">
        <f>IF($F$8,IF($L638="","",IFERROR(VLOOKUP($L638,day_data!$A:$I,6,FALSE),0)),NA())</f>
        <v>#N/A</v>
      </c>
      <c r="R638" s="11" t="e">
        <f>IF($F$6,IF($L638="","",IFERROR(VLOOKUP($L638,day_data!$A:$I,7,FALSE),0)),NA())</f>
        <v>#N/A</v>
      </c>
      <c r="S638" s="58" t="str">
        <f>IF($F$5,IF($L638="","",IFERROR(VLOOKUP($L638,day_data!$A:$I,8,FALSE),0)),NA())</f>
        <v/>
      </c>
      <c r="T638" s="60" t="e">
        <f>IF($F$7,IF($L638="","",IFERROR(VLOOKUP($L638,day_data!$A:$I,9,FALSE),0)),NA())</f>
        <v>#N/A</v>
      </c>
    </row>
    <row r="639" spans="12:20">
      <c r="L639" s="57" t="str">
        <f t="shared" si="9"/>
        <v/>
      </c>
      <c r="M639" s="11" t="str">
        <f>IF($F$1,IF($L639="","",IFERROR(VLOOKUP($L639,day_data!$A:$I,2,FALSE),0)),NA())</f>
        <v/>
      </c>
      <c r="N639" s="58" t="e">
        <f>IF($F$2,IF($L639="","",IFERROR(VLOOKUP($L639,day_data!$A:$I,3,FALSE),0)),NA())</f>
        <v>#N/A</v>
      </c>
      <c r="O639" s="11" t="e">
        <f>IF($F$3,IF($L639="","",IFERROR(VLOOKUP($L639,day_data!$A:$I,4,FALSE),0)),NA())</f>
        <v>#N/A</v>
      </c>
      <c r="P639" s="58" t="e">
        <f>IF($F$4,IF($L639="","",IFERROR(VLOOKUP($L639,day_data!$A:$I,5,FALSE),0)),NA())</f>
        <v>#N/A</v>
      </c>
      <c r="Q639" s="59" t="e">
        <f>IF($F$8,IF($L639="","",IFERROR(VLOOKUP($L639,day_data!$A:$I,6,FALSE),0)),NA())</f>
        <v>#N/A</v>
      </c>
      <c r="R639" s="11" t="e">
        <f>IF($F$6,IF($L639="","",IFERROR(VLOOKUP($L639,day_data!$A:$I,7,FALSE),0)),NA())</f>
        <v>#N/A</v>
      </c>
      <c r="S639" s="58" t="str">
        <f>IF($F$5,IF($L639="","",IFERROR(VLOOKUP($L639,day_data!$A:$I,8,FALSE),0)),NA())</f>
        <v/>
      </c>
      <c r="T639" s="60" t="e">
        <f>IF($F$7,IF($L639="","",IFERROR(VLOOKUP($L639,day_data!$A:$I,9,FALSE),0)),NA())</f>
        <v>#N/A</v>
      </c>
    </row>
    <row r="640" spans="12:20">
      <c r="L640" s="57" t="str">
        <f t="shared" si="9"/>
        <v/>
      </c>
      <c r="M640" s="11" t="str">
        <f>IF($F$1,IF($L640="","",IFERROR(VLOOKUP($L640,day_data!$A:$I,2,FALSE),0)),NA())</f>
        <v/>
      </c>
      <c r="N640" s="58" t="e">
        <f>IF($F$2,IF($L640="","",IFERROR(VLOOKUP($L640,day_data!$A:$I,3,FALSE),0)),NA())</f>
        <v>#N/A</v>
      </c>
      <c r="O640" s="11" t="e">
        <f>IF($F$3,IF($L640="","",IFERROR(VLOOKUP($L640,day_data!$A:$I,4,FALSE),0)),NA())</f>
        <v>#N/A</v>
      </c>
      <c r="P640" s="58" t="e">
        <f>IF($F$4,IF($L640="","",IFERROR(VLOOKUP($L640,day_data!$A:$I,5,FALSE),0)),NA())</f>
        <v>#N/A</v>
      </c>
      <c r="Q640" s="59" t="e">
        <f>IF($F$8,IF($L640="","",IFERROR(VLOOKUP($L640,day_data!$A:$I,6,FALSE),0)),NA())</f>
        <v>#N/A</v>
      </c>
      <c r="R640" s="11" t="e">
        <f>IF($F$6,IF($L640="","",IFERROR(VLOOKUP($L640,day_data!$A:$I,7,FALSE),0)),NA())</f>
        <v>#N/A</v>
      </c>
      <c r="S640" s="58" t="str">
        <f>IF($F$5,IF($L640="","",IFERROR(VLOOKUP($L640,day_data!$A:$I,8,FALSE),0)),NA())</f>
        <v/>
      </c>
      <c r="T640" s="60" t="e">
        <f>IF($F$7,IF($L640="","",IFERROR(VLOOKUP($L640,day_data!$A:$I,9,FALSE),0)),NA())</f>
        <v>#N/A</v>
      </c>
    </row>
    <row r="641" spans="12:20">
      <c r="L641" s="57" t="str">
        <f t="shared" si="9"/>
        <v/>
      </c>
      <c r="M641" s="11" t="str">
        <f>IF($F$1,IF($L641="","",IFERROR(VLOOKUP($L641,day_data!$A:$I,2,FALSE),0)),NA())</f>
        <v/>
      </c>
      <c r="N641" s="58" t="e">
        <f>IF($F$2,IF($L641="","",IFERROR(VLOOKUP($L641,day_data!$A:$I,3,FALSE),0)),NA())</f>
        <v>#N/A</v>
      </c>
      <c r="O641" s="11" t="e">
        <f>IF($F$3,IF($L641="","",IFERROR(VLOOKUP($L641,day_data!$A:$I,4,FALSE),0)),NA())</f>
        <v>#N/A</v>
      </c>
      <c r="P641" s="58" t="e">
        <f>IF($F$4,IF($L641="","",IFERROR(VLOOKUP($L641,day_data!$A:$I,5,FALSE),0)),NA())</f>
        <v>#N/A</v>
      </c>
      <c r="Q641" s="59" t="e">
        <f>IF($F$8,IF($L641="","",IFERROR(VLOOKUP($L641,day_data!$A:$I,6,FALSE),0)),NA())</f>
        <v>#N/A</v>
      </c>
      <c r="R641" s="11" t="e">
        <f>IF($F$6,IF($L641="","",IFERROR(VLOOKUP($L641,day_data!$A:$I,7,FALSE),0)),NA())</f>
        <v>#N/A</v>
      </c>
      <c r="S641" s="58" t="str">
        <f>IF($F$5,IF($L641="","",IFERROR(VLOOKUP($L641,day_data!$A:$I,8,FALSE),0)),NA())</f>
        <v/>
      </c>
      <c r="T641" s="60" t="e">
        <f>IF($F$7,IF($L641="","",IFERROR(VLOOKUP($L641,day_data!$A:$I,9,FALSE),0)),NA())</f>
        <v>#N/A</v>
      </c>
    </row>
    <row r="642" spans="12:20">
      <c r="L642" s="57" t="str">
        <f t="shared" si="9"/>
        <v/>
      </c>
      <c r="M642" s="11" t="str">
        <f>IF($F$1,IF($L642="","",IFERROR(VLOOKUP($L642,day_data!$A:$I,2,FALSE),0)),NA())</f>
        <v/>
      </c>
      <c r="N642" s="58" t="e">
        <f>IF($F$2,IF($L642="","",IFERROR(VLOOKUP($L642,day_data!$A:$I,3,FALSE),0)),NA())</f>
        <v>#N/A</v>
      </c>
      <c r="O642" s="11" t="e">
        <f>IF($F$3,IF($L642="","",IFERROR(VLOOKUP($L642,day_data!$A:$I,4,FALSE),0)),NA())</f>
        <v>#N/A</v>
      </c>
      <c r="P642" s="58" t="e">
        <f>IF($F$4,IF($L642="","",IFERROR(VLOOKUP($L642,day_data!$A:$I,5,FALSE),0)),NA())</f>
        <v>#N/A</v>
      </c>
      <c r="Q642" s="59" t="e">
        <f>IF($F$8,IF($L642="","",IFERROR(VLOOKUP($L642,day_data!$A:$I,6,FALSE),0)),NA())</f>
        <v>#N/A</v>
      </c>
      <c r="R642" s="11" t="e">
        <f>IF($F$6,IF($L642="","",IFERROR(VLOOKUP($L642,day_data!$A:$I,7,FALSE),0)),NA())</f>
        <v>#N/A</v>
      </c>
      <c r="S642" s="58" t="str">
        <f>IF($F$5,IF($L642="","",IFERROR(VLOOKUP($L642,day_data!$A:$I,8,FALSE),0)),NA())</f>
        <v/>
      </c>
      <c r="T642" s="60" t="e">
        <f>IF($F$7,IF($L642="","",IFERROR(VLOOKUP($L642,day_data!$A:$I,9,FALSE),0)),NA())</f>
        <v>#N/A</v>
      </c>
    </row>
    <row r="643" spans="12:20">
      <c r="L643" s="57" t="str">
        <f t="shared" si="9"/>
        <v/>
      </c>
      <c r="M643" s="11" t="str">
        <f>IF($F$1,IF($L643="","",IFERROR(VLOOKUP($L643,day_data!$A:$I,2,FALSE),0)),NA())</f>
        <v/>
      </c>
      <c r="N643" s="58" t="e">
        <f>IF($F$2,IF($L643="","",IFERROR(VLOOKUP($L643,day_data!$A:$I,3,FALSE),0)),NA())</f>
        <v>#N/A</v>
      </c>
      <c r="O643" s="11" t="e">
        <f>IF($F$3,IF($L643="","",IFERROR(VLOOKUP($L643,day_data!$A:$I,4,FALSE),0)),NA())</f>
        <v>#N/A</v>
      </c>
      <c r="P643" s="58" t="e">
        <f>IF($F$4,IF($L643="","",IFERROR(VLOOKUP($L643,day_data!$A:$I,5,FALSE),0)),NA())</f>
        <v>#N/A</v>
      </c>
      <c r="Q643" s="59" t="e">
        <f>IF($F$8,IF($L643="","",IFERROR(VLOOKUP($L643,day_data!$A:$I,6,FALSE),0)),NA())</f>
        <v>#N/A</v>
      </c>
      <c r="R643" s="11" t="e">
        <f>IF($F$6,IF($L643="","",IFERROR(VLOOKUP($L643,day_data!$A:$I,7,FALSE),0)),NA())</f>
        <v>#N/A</v>
      </c>
      <c r="S643" s="58" t="str">
        <f>IF($F$5,IF($L643="","",IFERROR(VLOOKUP($L643,day_data!$A:$I,8,FALSE),0)),NA())</f>
        <v/>
      </c>
      <c r="T643" s="60" t="e">
        <f>IF($F$7,IF($L643="","",IFERROR(VLOOKUP($L643,day_data!$A:$I,9,FALSE),0)),NA())</f>
        <v>#N/A</v>
      </c>
    </row>
    <row r="644" spans="12:20">
      <c r="L644" s="57" t="str">
        <f t="shared" ref="L644:L707" si="10">IF(ROW(L644)-1&gt;$C$1,"",L643+1)</f>
        <v/>
      </c>
      <c r="M644" s="11" t="str">
        <f>IF($F$1,IF($L644="","",IFERROR(VLOOKUP($L644,day_data!$A:$I,2,FALSE),0)),NA())</f>
        <v/>
      </c>
      <c r="N644" s="58" t="e">
        <f>IF($F$2,IF($L644="","",IFERROR(VLOOKUP($L644,day_data!$A:$I,3,FALSE),0)),NA())</f>
        <v>#N/A</v>
      </c>
      <c r="O644" s="11" t="e">
        <f>IF($F$3,IF($L644="","",IFERROR(VLOOKUP($L644,day_data!$A:$I,4,FALSE),0)),NA())</f>
        <v>#N/A</v>
      </c>
      <c r="P644" s="58" t="e">
        <f>IF($F$4,IF($L644="","",IFERROR(VLOOKUP($L644,day_data!$A:$I,5,FALSE),0)),NA())</f>
        <v>#N/A</v>
      </c>
      <c r="Q644" s="59" t="e">
        <f>IF($F$8,IF($L644="","",IFERROR(VLOOKUP($L644,day_data!$A:$I,6,FALSE),0)),NA())</f>
        <v>#N/A</v>
      </c>
      <c r="R644" s="11" t="e">
        <f>IF($F$6,IF($L644="","",IFERROR(VLOOKUP($L644,day_data!$A:$I,7,FALSE),0)),NA())</f>
        <v>#N/A</v>
      </c>
      <c r="S644" s="58" t="str">
        <f>IF($F$5,IF($L644="","",IFERROR(VLOOKUP($L644,day_data!$A:$I,8,FALSE),0)),NA())</f>
        <v/>
      </c>
      <c r="T644" s="60" t="e">
        <f>IF($F$7,IF($L644="","",IFERROR(VLOOKUP($L644,day_data!$A:$I,9,FALSE),0)),NA())</f>
        <v>#N/A</v>
      </c>
    </row>
    <row r="645" spans="12:20">
      <c r="L645" s="57" t="str">
        <f t="shared" si="10"/>
        <v/>
      </c>
      <c r="M645" s="11" t="str">
        <f>IF($F$1,IF($L645="","",IFERROR(VLOOKUP($L645,day_data!$A:$I,2,FALSE),0)),NA())</f>
        <v/>
      </c>
      <c r="N645" s="58" t="e">
        <f>IF($F$2,IF($L645="","",IFERROR(VLOOKUP($L645,day_data!$A:$I,3,FALSE),0)),NA())</f>
        <v>#N/A</v>
      </c>
      <c r="O645" s="11" t="e">
        <f>IF($F$3,IF($L645="","",IFERROR(VLOOKUP($L645,day_data!$A:$I,4,FALSE),0)),NA())</f>
        <v>#N/A</v>
      </c>
      <c r="P645" s="58" t="e">
        <f>IF($F$4,IF($L645="","",IFERROR(VLOOKUP($L645,day_data!$A:$I,5,FALSE),0)),NA())</f>
        <v>#N/A</v>
      </c>
      <c r="Q645" s="59" t="e">
        <f>IF($F$8,IF($L645="","",IFERROR(VLOOKUP($L645,day_data!$A:$I,6,FALSE),0)),NA())</f>
        <v>#N/A</v>
      </c>
      <c r="R645" s="11" t="e">
        <f>IF($F$6,IF($L645="","",IFERROR(VLOOKUP($L645,day_data!$A:$I,7,FALSE),0)),NA())</f>
        <v>#N/A</v>
      </c>
      <c r="S645" s="58" t="str">
        <f>IF($F$5,IF($L645="","",IFERROR(VLOOKUP($L645,day_data!$A:$I,8,FALSE),0)),NA())</f>
        <v/>
      </c>
      <c r="T645" s="60" t="e">
        <f>IF($F$7,IF($L645="","",IFERROR(VLOOKUP($L645,day_data!$A:$I,9,FALSE),0)),NA())</f>
        <v>#N/A</v>
      </c>
    </row>
    <row r="646" spans="12:20">
      <c r="L646" s="57" t="str">
        <f t="shared" si="10"/>
        <v/>
      </c>
      <c r="M646" s="11" t="str">
        <f>IF($F$1,IF($L646="","",IFERROR(VLOOKUP($L646,day_data!$A:$I,2,FALSE),0)),NA())</f>
        <v/>
      </c>
      <c r="N646" s="58" t="e">
        <f>IF($F$2,IF($L646="","",IFERROR(VLOOKUP($L646,day_data!$A:$I,3,FALSE),0)),NA())</f>
        <v>#N/A</v>
      </c>
      <c r="O646" s="11" t="e">
        <f>IF($F$3,IF($L646="","",IFERROR(VLOOKUP($L646,day_data!$A:$I,4,FALSE),0)),NA())</f>
        <v>#N/A</v>
      </c>
      <c r="P646" s="58" t="e">
        <f>IF($F$4,IF($L646="","",IFERROR(VLOOKUP($L646,day_data!$A:$I,5,FALSE),0)),NA())</f>
        <v>#N/A</v>
      </c>
      <c r="Q646" s="59" t="e">
        <f>IF($F$8,IF($L646="","",IFERROR(VLOOKUP($L646,day_data!$A:$I,6,FALSE),0)),NA())</f>
        <v>#N/A</v>
      </c>
      <c r="R646" s="11" t="e">
        <f>IF($F$6,IF($L646="","",IFERROR(VLOOKUP($L646,day_data!$A:$I,7,FALSE),0)),NA())</f>
        <v>#N/A</v>
      </c>
      <c r="S646" s="58" t="str">
        <f>IF($F$5,IF($L646="","",IFERROR(VLOOKUP($L646,day_data!$A:$I,8,FALSE),0)),NA())</f>
        <v/>
      </c>
      <c r="T646" s="60" t="e">
        <f>IF($F$7,IF($L646="","",IFERROR(VLOOKUP($L646,day_data!$A:$I,9,FALSE),0)),NA())</f>
        <v>#N/A</v>
      </c>
    </row>
    <row r="647" spans="12:20">
      <c r="L647" s="57" t="str">
        <f t="shared" si="10"/>
        <v/>
      </c>
      <c r="M647" s="11" t="str">
        <f>IF($F$1,IF($L647="","",IFERROR(VLOOKUP($L647,day_data!$A:$I,2,FALSE),0)),NA())</f>
        <v/>
      </c>
      <c r="N647" s="58" t="e">
        <f>IF($F$2,IF($L647="","",IFERROR(VLOOKUP($L647,day_data!$A:$I,3,FALSE),0)),NA())</f>
        <v>#N/A</v>
      </c>
      <c r="O647" s="11" t="e">
        <f>IF($F$3,IF($L647="","",IFERROR(VLOOKUP($L647,day_data!$A:$I,4,FALSE),0)),NA())</f>
        <v>#N/A</v>
      </c>
      <c r="P647" s="58" t="e">
        <f>IF($F$4,IF($L647="","",IFERROR(VLOOKUP($L647,day_data!$A:$I,5,FALSE),0)),NA())</f>
        <v>#N/A</v>
      </c>
      <c r="Q647" s="59" t="e">
        <f>IF($F$8,IF($L647="","",IFERROR(VLOOKUP($L647,day_data!$A:$I,6,FALSE),0)),NA())</f>
        <v>#N/A</v>
      </c>
      <c r="R647" s="11" t="e">
        <f>IF($F$6,IF($L647="","",IFERROR(VLOOKUP($L647,day_data!$A:$I,7,FALSE),0)),NA())</f>
        <v>#N/A</v>
      </c>
      <c r="S647" s="58" t="str">
        <f>IF($F$5,IF($L647="","",IFERROR(VLOOKUP($L647,day_data!$A:$I,8,FALSE),0)),NA())</f>
        <v/>
      </c>
      <c r="T647" s="60" t="e">
        <f>IF($F$7,IF($L647="","",IFERROR(VLOOKUP($L647,day_data!$A:$I,9,FALSE),0)),NA())</f>
        <v>#N/A</v>
      </c>
    </row>
    <row r="648" spans="12:20">
      <c r="L648" s="57" t="str">
        <f t="shared" si="10"/>
        <v/>
      </c>
      <c r="M648" s="11" t="str">
        <f>IF($F$1,IF($L648="","",IFERROR(VLOOKUP($L648,day_data!$A:$I,2,FALSE),0)),NA())</f>
        <v/>
      </c>
      <c r="N648" s="58" t="e">
        <f>IF($F$2,IF($L648="","",IFERROR(VLOOKUP($L648,day_data!$A:$I,3,FALSE),0)),NA())</f>
        <v>#N/A</v>
      </c>
      <c r="O648" s="11" t="e">
        <f>IF($F$3,IF($L648="","",IFERROR(VLOOKUP($L648,day_data!$A:$I,4,FALSE),0)),NA())</f>
        <v>#N/A</v>
      </c>
      <c r="P648" s="58" t="e">
        <f>IF($F$4,IF($L648="","",IFERROR(VLOOKUP($L648,day_data!$A:$I,5,FALSE),0)),NA())</f>
        <v>#N/A</v>
      </c>
      <c r="Q648" s="59" t="e">
        <f>IF($F$8,IF($L648="","",IFERROR(VLOOKUP($L648,day_data!$A:$I,6,FALSE),0)),NA())</f>
        <v>#N/A</v>
      </c>
      <c r="R648" s="11" t="e">
        <f>IF($F$6,IF($L648="","",IFERROR(VLOOKUP($L648,day_data!$A:$I,7,FALSE),0)),NA())</f>
        <v>#N/A</v>
      </c>
      <c r="S648" s="58" t="str">
        <f>IF($F$5,IF($L648="","",IFERROR(VLOOKUP($L648,day_data!$A:$I,8,FALSE),0)),NA())</f>
        <v/>
      </c>
      <c r="T648" s="60" t="e">
        <f>IF($F$7,IF($L648="","",IFERROR(VLOOKUP($L648,day_data!$A:$I,9,FALSE),0)),NA())</f>
        <v>#N/A</v>
      </c>
    </row>
    <row r="649" spans="12:20">
      <c r="L649" s="57" t="str">
        <f t="shared" si="10"/>
        <v/>
      </c>
      <c r="M649" s="11" t="str">
        <f>IF($F$1,IF($L649="","",IFERROR(VLOOKUP($L649,day_data!$A:$I,2,FALSE),0)),NA())</f>
        <v/>
      </c>
      <c r="N649" s="58" t="e">
        <f>IF($F$2,IF($L649="","",IFERROR(VLOOKUP($L649,day_data!$A:$I,3,FALSE),0)),NA())</f>
        <v>#N/A</v>
      </c>
      <c r="O649" s="11" t="e">
        <f>IF($F$3,IF($L649="","",IFERROR(VLOOKUP($L649,day_data!$A:$I,4,FALSE),0)),NA())</f>
        <v>#N/A</v>
      </c>
      <c r="P649" s="58" t="e">
        <f>IF($F$4,IF($L649="","",IFERROR(VLOOKUP($L649,day_data!$A:$I,5,FALSE),0)),NA())</f>
        <v>#N/A</v>
      </c>
      <c r="Q649" s="59" t="e">
        <f>IF($F$8,IF($L649="","",IFERROR(VLOOKUP($L649,day_data!$A:$I,6,FALSE),0)),NA())</f>
        <v>#N/A</v>
      </c>
      <c r="R649" s="11" t="e">
        <f>IF($F$6,IF($L649="","",IFERROR(VLOOKUP($L649,day_data!$A:$I,7,FALSE),0)),NA())</f>
        <v>#N/A</v>
      </c>
      <c r="S649" s="58" t="str">
        <f>IF($F$5,IF($L649="","",IFERROR(VLOOKUP($L649,day_data!$A:$I,8,FALSE),0)),NA())</f>
        <v/>
      </c>
      <c r="T649" s="60" t="e">
        <f>IF($F$7,IF($L649="","",IFERROR(VLOOKUP($L649,day_data!$A:$I,9,FALSE),0)),NA())</f>
        <v>#N/A</v>
      </c>
    </row>
    <row r="650" spans="12:20">
      <c r="L650" s="57" t="str">
        <f t="shared" si="10"/>
        <v/>
      </c>
      <c r="M650" s="11" t="str">
        <f>IF($F$1,IF($L650="","",IFERROR(VLOOKUP($L650,day_data!$A:$I,2,FALSE),0)),NA())</f>
        <v/>
      </c>
      <c r="N650" s="58" t="e">
        <f>IF($F$2,IF($L650="","",IFERROR(VLOOKUP($L650,day_data!$A:$I,3,FALSE),0)),NA())</f>
        <v>#N/A</v>
      </c>
      <c r="O650" s="11" t="e">
        <f>IF($F$3,IF($L650="","",IFERROR(VLOOKUP($L650,day_data!$A:$I,4,FALSE),0)),NA())</f>
        <v>#N/A</v>
      </c>
      <c r="P650" s="58" t="e">
        <f>IF($F$4,IF($L650="","",IFERROR(VLOOKUP($L650,day_data!$A:$I,5,FALSE),0)),NA())</f>
        <v>#N/A</v>
      </c>
      <c r="Q650" s="59" t="e">
        <f>IF($F$8,IF($L650="","",IFERROR(VLOOKUP($L650,day_data!$A:$I,6,FALSE),0)),NA())</f>
        <v>#N/A</v>
      </c>
      <c r="R650" s="11" t="e">
        <f>IF($F$6,IF($L650="","",IFERROR(VLOOKUP($L650,day_data!$A:$I,7,FALSE),0)),NA())</f>
        <v>#N/A</v>
      </c>
      <c r="S650" s="58" t="str">
        <f>IF($F$5,IF($L650="","",IFERROR(VLOOKUP($L650,day_data!$A:$I,8,FALSE),0)),NA())</f>
        <v/>
      </c>
      <c r="T650" s="60" t="e">
        <f>IF($F$7,IF($L650="","",IFERROR(VLOOKUP($L650,day_data!$A:$I,9,FALSE),0)),NA())</f>
        <v>#N/A</v>
      </c>
    </row>
    <row r="651" spans="12:20">
      <c r="L651" s="57" t="str">
        <f t="shared" si="10"/>
        <v/>
      </c>
      <c r="M651" s="11" t="str">
        <f>IF($F$1,IF($L651="","",IFERROR(VLOOKUP($L651,day_data!$A:$I,2,FALSE),0)),NA())</f>
        <v/>
      </c>
      <c r="N651" s="58" t="e">
        <f>IF($F$2,IF($L651="","",IFERROR(VLOOKUP($L651,day_data!$A:$I,3,FALSE),0)),NA())</f>
        <v>#N/A</v>
      </c>
      <c r="O651" s="11" t="e">
        <f>IF($F$3,IF($L651="","",IFERROR(VLOOKUP($L651,day_data!$A:$I,4,FALSE),0)),NA())</f>
        <v>#N/A</v>
      </c>
      <c r="P651" s="58" t="e">
        <f>IF($F$4,IF($L651="","",IFERROR(VLOOKUP($L651,day_data!$A:$I,5,FALSE),0)),NA())</f>
        <v>#N/A</v>
      </c>
      <c r="Q651" s="59" t="e">
        <f>IF($F$8,IF($L651="","",IFERROR(VLOOKUP($L651,day_data!$A:$I,6,FALSE),0)),NA())</f>
        <v>#N/A</v>
      </c>
      <c r="R651" s="11" t="e">
        <f>IF($F$6,IF($L651="","",IFERROR(VLOOKUP($L651,day_data!$A:$I,7,FALSE),0)),NA())</f>
        <v>#N/A</v>
      </c>
      <c r="S651" s="58" t="str">
        <f>IF($F$5,IF($L651="","",IFERROR(VLOOKUP($L651,day_data!$A:$I,8,FALSE),0)),NA())</f>
        <v/>
      </c>
      <c r="T651" s="60" t="e">
        <f>IF($F$7,IF($L651="","",IFERROR(VLOOKUP($L651,day_data!$A:$I,9,FALSE),0)),NA())</f>
        <v>#N/A</v>
      </c>
    </row>
    <row r="652" spans="12:20">
      <c r="L652" s="57" t="str">
        <f t="shared" si="10"/>
        <v/>
      </c>
      <c r="M652" s="11" t="str">
        <f>IF($F$1,IF($L652="","",IFERROR(VLOOKUP($L652,day_data!$A:$I,2,FALSE),0)),NA())</f>
        <v/>
      </c>
      <c r="N652" s="58" t="e">
        <f>IF($F$2,IF($L652="","",IFERROR(VLOOKUP($L652,day_data!$A:$I,3,FALSE),0)),NA())</f>
        <v>#N/A</v>
      </c>
      <c r="O652" s="11" t="e">
        <f>IF($F$3,IF($L652="","",IFERROR(VLOOKUP($L652,day_data!$A:$I,4,FALSE),0)),NA())</f>
        <v>#N/A</v>
      </c>
      <c r="P652" s="58" t="e">
        <f>IF($F$4,IF($L652="","",IFERROR(VLOOKUP($L652,day_data!$A:$I,5,FALSE),0)),NA())</f>
        <v>#N/A</v>
      </c>
      <c r="Q652" s="59" t="e">
        <f>IF($F$8,IF($L652="","",IFERROR(VLOOKUP($L652,day_data!$A:$I,6,FALSE),0)),NA())</f>
        <v>#N/A</v>
      </c>
      <c r="R652" s="11" t="e">
        <f>IF($F$6,IF($L652="","",IFERROR(VLOOKUP($L652,day_data!$A:$I,7,FALSE),0)),NA())</f>
        <v>#N/A</v>
      </c>
      <c r="S652" s="58" t="str">
        <f>IF($F$5,IF($L652="","",IFERROR(VLOOKUP($L652,day_data!$A:$I,8,FALSE),0)),NA())</f>
        <v/>
      </c>
      <c r="T652" s="60" t="e">
        <f>IF($F$7,IF($L652="","",IFERROR(VLOOKUP($L652,day_data!$A:$I,9,FALSE),0)),NA())</f>
        <v>#N/A</v>
      </c>
    </row>
    <row r="653" spans="12:20">
      <c r="L653" s="57" t="str">
        <f t="shared" si="10"/>
        <v/>
      </c>
      <c r="M653" s="11" t="str">
        <f>IF($F$1,IF($L653="","",IFERROR(VLOOKUP($L653,day_data!$A:$I,2,FALSE),0)),NA())</f>
        <v/>
      </c>
      <c r="N653" s="58" t="e">
        <f>IF($F$2,IF($L653="","",IFERROR(VLOOKUP($L653,day_data!$A:$I,3,FALSE),0)),NA())</f>
        <v>#N/A</v>
      </c>
      <c r="O653" s="11" t="e">
        <f>IF($F$3,IF($L653="","",IFERROR(VLOOKUP($L653,day_data!$A:$I,4,FALSE),0)),NA())</f>
        <v>#N/A</v>
      </c>
      <c r="P653" s="58" t="e">
        <f>IF($F$4,IF($L653="","",IFERROR(VLOOKUP($L653,day_data!$A:$I,5,FALSE),0)),NA())</f>
        <v>#N/A</v>
      </c>
      <c r="Q653" s="59" t="e">
        <f>IF($F$8,IF($L653="","",IFERROR(VLOOKUP($L653,day_data!$A:$I,6,FALSE),0)),NA())</f>
        <v>#N/A</v>
      </c>
      <c r="R653" s="11" t="e">
        <f>IF($F$6,IF($L653="","",IFERROR(VLOOKUP($L653,day_data!$A:$I,7,FALSE),0)),NA())</f>
        <v>#N/A</v>
      </c>
      <c r="S653" s="58" t="str">
        <f>IF($F$5,IF($L653="","",IFERROR(VLOOKUP($L653,day_data!$A:$I,8,FALSE),0)),NA())</f>
        <v/>
      </c>
      <c r="T653" s="60" t="e">
        <f>IF($F$7,IF($L653="","",IFERROR(VLOOKUP($L653,day_data!$A:$I,9,FALSE),0)),NA())</f>
        <v>#N/A</v>
      </c>
    </row>
    <row r="654" spans="12:20">
      <c r="L654" s="57" t="str">
        <f t="shared" si="10"/>
        <v/>
      </c>
      <c r="M654" s="11" t="str">
        <f>IF($F$1,IF($L654="","",IFERROR(VLOOKUP($L654,day_data!$A:$I,2,FALSE),0)),NA())</f>
        <v/>
      </c>
      <c r="N654" s="58" t="e">
        <f>IF($F$2,IF($L654="","",IFERROR(VLOOKUP($L654,day_data!$A:$I,3,FALSE),0)),NA())</f>
        <v>#N/A</v>
      </c>
      <c r="O654" s="11" t="e">
        <f>IF($F$3,IF($L654="","",IFERROR(VLOOKUP($L654,day_data!$A:$I,4,FALSE),0)),NA())</f>
        <v>#N/A</v>
      </c>
      <c r="P654" s="58" t="e">
        <f>IF($F$4,IF($L654="","",IFERROR(VLOOKUP($L654,day_data!$A:$I,5,FALSE),0)),NA())</f>
        <v>#N/A</v>
      </c>
      <c r="Q654" s="59" t="e">
        <f>IF($F$8,IF($L654="","",IFERROR(VLOOKUP($L654,day_data!$A:$I,6,FALSE),0)),NA())</f>
        <v>#N/A</v>
      </c>
      <c r="R654" s="11" t="e">
        <f>IF($F$6,IF($L654="","",IFERROR(VLOOKUP($L654,day_data!$A:$I,7,FALSE),0)),NA())</f>
        <v>#N/A</v>
      </c>
      <c r="S654" s="58" t="str">
        <f>IF($F$5,IF($L654="","",IFERROR(VLOOKUP($L654,day_data!$A:$I,8,FALSE),0)),NA())</f>
        <v/>
      </c>
      <c r="T654" s="60" t="e">
        <f>IF($F$7,IF($L654="","",IFERROR(VLOOKUP($L654,day_data!$A:$I,9,FALSE),0)),NA())</f>
        <v>#N/A</v>
      </c>
    </row>
    <row r="655" spans="12:20">
      <c r="L655" s="57" t="str">
        <f t="shared" si="10"/>
        <v/>
      </c>
      <c r="M655" s="11" t="str">
        <f>IF($F$1,IF($L655="","",IFERROR(VLOOKUP($L655,day_data!$A:$I,2,FALSE),0)),NA())</f>
        <v/>
      </c>
      <c r="N655" s="58" t="e">
        <f>IF($F$2,IF($L655="","",IFERROR(VLOOKUP($L655,day_data!$A:$I,3,FALSE),0)),NA())</f>
        <v>#N/A</v>
      </c>
      <c r="O655" s="11" t="e">
        <f>IF($F$3,IF($L655="","",IFERROR(VLOOKUP($L655,day_data!$A:$I,4,FALSE),0)),NA())</f>
        <v>#N/A</v>
      </c>
      <c r="P655" s="58" t="e">
        <f>IF($F$4,IF($L655="","",IFERROR(VLOOKUP($L655,day_data!$A:$I,5,FALSE),0)),NA())</f>
        <v>#N/A</v>
      </c>
      <c r="Q655" s="59" t="e">
        <f>IF($F$8,IF($L655="","",IFERROR(VLOOKUP($L655,day_data!$A:$I,6,FALSE),0)),NA())</f>
        <v>#N/A</v>
      </c>
      <c r="R655" s="11" t="e">
        <f>IF($F$6,IF($L655="","",IFERROR(VLOOKUP($L655,day_data!$A:$I,7,FALSE),0)),NA())</f>
        <v>#N/A</v>
      </c>
      <c r="S655" s="58" t="str">
        <f>IF($F$5,IF($L655="","",IFERROR(VLOOKUP($L655,day_data!$A:$I,8,FALSE),0)),NA())</f>
        <v/>
      </c>
      <c r="T655" s="60" t="e">
        <f>IF($F$7,IF($L655="","",IFERROR(VLOOKUP($L655,day_data!$A:$I,9,FALSE),0)),NA())</f>
        <v>#N/A</v>
      </c>
    </row>
    <row r="656" spans="12:20">
      <c r="L656" s="57" t="str">
        <f t="shared" si="10"/>
        <v/>
      </c>
      <c r="M656" s="11" t="str">
        <f>IF($F$1,IF($L656="","",IFERROR(VLOOKUP($L656,day_data!$A:$I,2,FALSE),0)),NA())</f>
        <v/>
      </c>
      <c r="N656" s="58" t="e">
        <f>IF($F$2,IF($L656="","",IFERROR(VLOOKUP($L656,day_data!$A:$I,3,FALSE),0)),NA())</f>
        <v>#N/A</v>
      </c>
      <c r="O656" s="11" t="e">
        <f>IF($F$3,IF($L656="","",IFERROR(VLOOKUP($L656,day_data!$A:$I,4,FALSE),0)),NA())</f>
        <v>#N/A</v>
      </c>
      <c r="P656" s="58" t="e">
        <f>IF($F$4,IF($L656="","",IFERROR(VLOOKUP($L656,day_data!$A:$I,5,FALSE),0)),NA())</f>
        <v>#N/A</v>
      </c>
      <c r="Q656" s="59" t="e">
        <f>IF($F$8,IF($L656="","",IFERROR(VLOOKUP($L656,day_data!$A:$I,6,FALSE),0)),NA())</f>
        <v>#N/A</v>
      </c>
      <c r="R656" s="11" t="e">
        <f>IF($F$6,IF($L656="","",IFERROR(VLOOKUP($L656,day_data!$A:$I,7,FALSE),0)),NA())</f>
        <v>#N/A</v>
      </c>
      <c r="S656" s="58" t="str">
        <f>IF($F$5,IF($L656="","",IFERROR(VLOOKUP($L656,day_data!$A:$I,8,FALSE),0)),NA())</f>
        <v/>
      </c>
      <c r="T656" s="60" t="e">
        <f>IF($F$7,IF($L656="","",IFERROR(VLOOKUP($L656,day_data!$A:$I,9,FALSE),0)),NA())</f>
        <v>#N/A</v>
      </c>
    </row>
    <row r="657" spans="12:20">
      <c r="L657" s="57" t="str">
        <f t="shared" si="10"/>
        <v/>
      </c>
      <c r="M657" s="11" t="str">
        <f>IF($F$1,IF($L657="","",IFERROR(VLOOKUP($L657,day_data!$A:$I,2,FALSE),0)),NA())</f>
        <v/>
      </c>
      <c r="N657" s="58" t="e">
        <f>IF($F$2,IF($L657="","",IFERROR(VLOOKUP($L657,day_data!$A:$I,3,FALSE),0)),NA())</f>
        <v>#N/A</v>
      </c>
      <c r="O657" s="11" t="e">
        <f>IF($F$3,IF($L657="","",IFERROR(VLOOKUP($L657,day_data!$A:$I,4,FALSE),0)),NA())</f>
        <v>#N/A</v>
      </c>
      <c r="P657" s="58" t="e">
        <f>IF($F$4,IF($L657="","",IFERROR(VLOOKUP($L657,day_data!$A:$I,5,FALSE),0)),NA())</f>
        <v>#N/A</v>
      </c>
      <c r="Q657" s="59" t="e">
        <f>IF($F$8,IF($L657="","",IFERROR(VLOOKUP($L657,day_data!$A:$I,6,FALSE),0)),NA())</f>
        <v>#N/A</v>
      </c>
      <c r="R657" s="11" t="e">
        <f>IF($F$6,IF($L657="","",IFERROR(VLOOKUP($L657,day_data!$A:$I,7,FALSE),0)),NA())</f>
        <v>#N/A</v>
      </c>
      <c r="S657" s="58" t="str">
        <f>IF($F$5,IF($L657="","",IFERROR(VLOOKUP($L657,day_data!$A:$I,8,FALSE),0)),NA())</f>
        <v/>
      </c>
      <c r="T657" s="60" t="e">
        <f>IF($F$7,IF($L657="","",IFERROR(VLOOKUP($L657,day_data!$A:$I,9,FALSE),0)),NA())</f>
        <v>#N/A</v>
      </c>
    </row>
    <row r="658" spans="12:20">
      <c r="L658" s="57" t="str">
        <f t="shared" si="10"/>
        <v/>
      </c>
      <c r="M658" s="11" t="str">
        <f>IF($F$1,IF($L658="","",IFERROR(VLOOKUP($L658,day_data!$A:$I,2,FALSE),0)),NA())</f>
        <v/>
      </c>
      <c r="N658" s="58" t="e">
        <f>IF($F$2,IF($L658="","",IFERROR(VLOOKUP($L658,day_data!$A:$I,3,FALSE),0)),NA())</f>
        <v>#N/A</v>
      </c>
      <c r="O658" s="11" t="e">
        <f>IF($F$3,IF($L658="","",IFERROR(VLOOKUP($L658,day_data!$A:$I,4,FALSE),0)),NA())</f>
        <v>#N/A</v>
      </c>
      <c r="P658" s="58" t="e">
        <f>IF($F$4,IF($L658="","",IFERROR(VLOOKUP($L658,day_data!$A:$I,5,FALSE),0)),NA())</f>
        <v>#N/A</v>
      </c>
      <c r="Q658" s="59" t="e">
        <f>IF($F$8,IF($L658="","",IFERROR(VLOOKUP($L658,day_data!$A:$I,6,FALSE),0)),NA())</f>
        <v>#N/A</v>
      </c>
      <c r="R658" s="11" t="e">
        <f>IF($F$6,IF($L658="","",IFERROR(VLOOKUP($L658,day_data!$A:$I,7,FALSE),0)),NA())</f>
        <v>#N/A</v>
      </c>
      <c r="S658" s="58" t="str">
        <f>IF($F$5,IF($L658="","",IFERROR(VLOOKUP($L658,day_data!$A:$I,8,FALSE),0)),NA())</f>
        <v/>
      </c>
      <c r="T658" s="60" t="e">
        <f>IF($F$7,IF($L658="","",IFERROR(VLOOKUP($L658,day_data!$A:$I,9,FALSE),0)),NA())</f>
        <v>#N/A</v>
      </c>
    </row>
    <row r="659" spans="12:20">
      <c r="L659" s="57" t="str">
        <f t="shared" si="10"/>
        <v/>
      </c>
      <c r="M659" s="11" t="str">
        <f>IF($F$1,IF($L659="","",IFERROR(VLOOKUP($L659,day_data!$A:$I,2,FALSE),0)),NA())</f>
        <v/>
      </c>
      <c r="N659" s="58" t="e">
        <f>IF($F$2,IF($L659="","",IFERROR(VLOOKUP($L659,day_data!$A:$I,3,FALSE),0)),NA())</f>
        <v>#N/A</v>
      </c>
      <c r="O659" s="11" t="e">
        <f>IF($F$3,IF($L659="","",IFERROR(VLOOKUP($L659,day_data!$A:$I,4,FALSE),0)),NA())</f>
        <v>#N/A</v>
      </c>
      <c r="P659" s="58" t="e">
        <f>IF($F$4,IF($L659="","",IFERROR(VLOOKUP($L659,day_data!$A:$I,5,FALSE),0)),NA())</f>
        <v>#N/A</v>
      </c>
      <c r="Q659" s="59" t="e">
        <f>IF($F$8,IF($L659="","",IFERROR(VLOOKUP($L659,day_data!$A:$I,6,FALSE),0)),NA())</f>
        <v>#N/A</v>
      </c>
      <c r="R659" s="11" t="e">
        <f>IF($F$6,IF($L659="","",IFERROR(VLOOKUP($L659,day_data!$A:$I,7,FALSE),0)),NA())</f>
        <v>#N/A</v>
      </c>
      <c r="S659" s="58" t="str">
        <f>IF($F$5,IF($L659="","",IFERROR(VLOOKUP($L659,day_data!$A:$I,8,FALSE),0)),NA())</f>
        <v/>
      </c>
      <c r="T659" s="60" t="e">
        <f>IF($F$7,IF($L659="","",IFERROR(VLOOKUP($L659,day_data!$A:$I,9,FALSE),0)),NA())</f>
        <v>#N/A</v>
      </c>
    </row>
    <row r="660" spans="12:20">
      <c r="L660" s="57" t="str">
        <f t="shared" si="10"/>
        <v/>
      </c>
      <c r="M660" s="11" t="str">
        <f>IF($F$1,IF($L660="","",IFERROR(VLOOKUP($L660,day_data!$A:$I,2,FALSE),0)),NA())</f>
        <v/>
      </c>
      <c r="N660" s="58" t="e">
        <f>IF($F$2,IF($L660="","",IFERROR(VLOOKUP($L660,day_data!$A:$I,3,FALSE),0)),NA())</f>
        <v>#N/A</v>
      </c>
      <c r="O660" s="11" t="e">
        <f>IF($F$3,IF($L660="","",IFERROR(VLOOKUP($L660,day_data!$A:$I,4,FALSE),0)),NA())</f>
        <v>#N/A</v>
      </c>
      <c r="P660" s="58" t="e">
        <f>IF($F$4,IF($L660="","",IFERROR(VLOOKUP($L660,day_data!$A:$I,5,FALSE),0)),NA())</f>
        <v>#N/A</v>
      </c>
      <c r="Q660" s="59" t="e">
        <f>IF($F$8,IF($L660="","",IFERROR(VLOOKUP($L660,day_data!$A:$I,6,FALSE),0)),NA())</f>
        <v>#N/A</v>
      </c>
      <c r="R660" s="11" t="e">
        <f>IF($F$6,IF($L660="","",IFERROR(VLOOKUP($L660,day_data!$A:$I,7,FALSE),0)),NA())</f>
        <v>#N/A</v>
      </c>
      <c r="S660" s="58" t="str">
        <f>IF($F$5,IF($L660="","",IFERROR(VLOOKUP($L660,day_data!$A:$I,8,FALSE),0)),NA())</f>
        <v/>
      </c>
      <c r="T660" s="60" t="e">
        <f>IF($F$7,IF($L660="","",IFERROR(VLOOKUP($L660,day_data!$A:$I,9,FALSE),0)),NA())</f>
        <v>#N/A</v>
      </c>
    </row>
    <row r="661" spans="12:20">
      <c r="L661" s="57" t="str">
        <f t="shared" si="10"/>
        <v/>
      </c>
      <c r="M661" s="11" t="str">
        <f>IF($F$1,IF($L661="","",IFERROR(VLOOKUP($L661,day_data!$A:$I,2,FALSE),0)),NA())</f>
        <v/>
      </c>
      <c r="N661" s="58" t="e">
        <f>IF($F$2,IF($L661="","",IFERROR(VLOOKUP($L661,day_data!$A:$I,3,FALSE),0)),NA())</f>
        <v>#N/A</v>
      </c>
      <c r="O661" s="11" t="e">
        <f>IF($F$3,IF($L661="","",IFERROR(VLOOKUP($L661,day_data!$A:$I,4,FALSE),0)),NA())</f>
        <v>#N/A</v>
      </c>
      <c r="P661" s="58" t="e">
        <f>IF($F$4,IF($L661="","",IFERROR(VLOOKUP($L661,day_data!$A:$I,5,FALSE),0)),NA())</f>
        <v>#N/A</v>
      </c>
      <c r="Q661" s="59" t="e">
        <f>IF($F$8,IF($L661="","",IFERROR(VLOOKUP($L661,day_data!$A:$I,6,FALSE),0)),NA())</f>
        <v>#N/A</v>
      </c>
      <c r="R661" s="11" t="e">
        <f>IF($F$6,IF($L661="","",IFERROR(VLOOKUP($L661,day_data!$A:$I,7,FALSE),0)),NA())</f>
        <v>#N/A</v>
      </c>
      <c r="S661" s="58" t="str">
        <f>IF($F$5,IF($L661="","",IFERROR(VLOOKUP($L661,day_data!$A:$I,8,FALSE),0)),NA())</f>
        <v/>
      </c>
      <c r="T661" s="60" t="e">
        <f>IF($F$7,IF($L661="","",IFERROR(VLOOKUP($L661,day_data!$A:$I,9,FALSE),0)),NA())</f>
        <v>#N/A</v>
      </c>
    </row>
    <row r="662" spans="12:20">
      <c r="L662" s="57" t="str">
        <f t="shared" si="10"/>
        <v/>
      </c>
      <c r="M662" s="11" t="str">
        <f>IF($F$1,IF($L662="","",IFERROR(VLOOKUP($L662,day_data!$A:$I,2,FALSE),0)),NA())</f>
        <v/>
      </c>
      <c r="N662" s="58" t="e">
        <f>IF($F$2,IF($L662="","",IFERROR(VLOOKUP($L662,day_data!$A:$I,3,FALSE),0)),NA())</f>
        <v>#N/A</v>
      </c>
      <c r="O662" s="11" t="e">
        <f>IF($F$3,IF($L662="","",IFERROR(VLOOKUP($L662,day_data!$A:$I,4,FALSE),0)),NA())</f>
        <v>#N/A</v>
      </c>
      <c r="P662" s="58" t="e">
        <f>IF($F$4,IF($L662="","",IFERROR(VLOOKUP($L662,day_data!$A:$I,5,FALSE),0)),NA())</f>
        <v>#N/A</v>
      </c>
      <c r="Q662" s="59" t="e">
        <f>IF($F$8,IF($L662="","",IFERROR(VLOOKUP($L662,day_data!$A:$I,6,FALSE),0)),NA())</f>
        <v>#N/A</v>
      </c>
      <c r="R662" s="11" t="e">
        <f>IF($F$6,IF($L662="","",IFERROR(VLOOKUP($L662,day_data!$A:$I,7,FALSE),0)),NA())</f>
        <v>#N/A</v>
      </c>
      <c r="S662" s="58" t="str">
        <f>IF($F$5,IF($L662="","",IFERROR(VLOOKUP($L662,day_data!$A:$I,8,FALSE),0)),NA())</f>
        <v/>
      </c>
      <c r="T662" s="60" t="e">
        <f>IF($F$7,IF($L662="","",IFERROR(VLOOKUP($L662,day_data!$A:$I,9,FALSE),0)),NA())</f>
        <v>#N/A</v>
      </c>
    </row>
    <row r="663" spans="12:20">
      <c r="L663" s="57" t="str">
        <f t="shared" si="10"/>
        <v/>
      </c>
      <c r="M663" s="11" t="str">
        <f>IF($F$1,IF($L663="","",IFERROR(VLOOKUP($L663,day_data!$A:$I,2,FALSE),0)),NA())</f>
        <v/>
      </c>
      <c r="N663" s="58" t="e">
        <f>IF($F$2,IF($L663="","",IFERROR(VLOOKUP($L663,day_data!$A:$I,3,FALSE),0)),NA())</f>
        <v>#N/A</v>
      </c>
      <c r="O663" s="11" t="e">
        <f>IF($F$3,IF($L663="","",IFERROR(VLOOKUP($L663,day_data!$A:$I,4,FALSE),0)),NA())</f>
        <v>#N/A</v>
      </c>
      <c r="P663" s="58" t="e">
        <f>IF($F$4,IF($L663="","",IFERROR(VLOOKUP($L663,day_data!$A:$I,5,FALSE),0)),NA())</f>
        <v>#N/A</v>
      </c>
      <c r="Q663" s="59" t="e">
        <f>IF($F$8,IF($L663="","",IFERROR(VLOOKUP($L663,day_data!$A:$I,6,FALSE),0)),NA())</f>
        <v>#N/A</v>
      </c>
      <c r="R663" s="11" t="e">
        <f>IF($F$6,IF($L663="","",IFERROR(VLOOKUP($L663,day_data!$A:$I,7,FALSE),0)),NA())</f>
        <v>#N/A</v>
      </c>
      <c r="S663" s="58" t="str">
        <f>IF($F$5,IF($L663="","",IFERROR(VLOOKUP($L663,day_data!$A:$I,8,FALSE),0)),NA())</f>
        <v/>
      </c>
      <c r="T663" s="60" t="e">
        <f>IF($F$7,IF($L663="","",IFERROR(VLOOKUP($L663,day_data!$A:$I,9,FALSE),0)),NA())</f>
        <v>#N/A</v>
      </c>
    </row>
    <row r="664" spans="12:20">
      <c r="L664" s="57" t="str">
        <f t="shared" si="10"/>
        <v/>
      </c>
      <c r="M664" s="11" t="str">
        <f>IF($F$1,IF($L664="","",IFERROR(VLOOKUP($L664,day_data!$A:$I,2,FALSE),0)),NA())</f>
        <v/>
      </c>
      <c r="N664" s="58" t="e">
        <f>IF($F$2,IF($L664="","",IFERROR(VLOOKUP($L664,day_data!$A:$I,3,FALSE),0)),NA())</f>
        <v>#N/A</v>
      </c>
      <c r="O664" s="11" t="e">
        <f>IF($F$3,IF($L664="","",IFERROR(VLOOKUP($L664,day_data!$A:$I,4,FALSE),0)),NA())</f>
        <v>#N/A</v>
      </c>
      <c r="P664" s="58" t="e">
        <f>IF($F$4,IF($L664="","",IFERROR(VLOOKUP($L664,day_data!$A:$I,5,FALSE),0)),NA())</f>
        <v>#N/A</v>
      </c>
      <c r="Q664" s="59" t="e">
        <f>IF($F$8,IF($L664="","",IFERROR(VLOOKUP($L664,day_data!$A:$I,6,FALSE),0)),NA())</f>
        <v>#N/A</v>
      </c>
      <c r="R664" s="11" t="e">
        <f>IF($F$6,IF($L664="","",IFERROR(VLOOKUP($L664,day_data!$A:$I,7,FALSE),0)),NA())</f>
        <v>#N/A</v>
      </c>
      <c r="S664" s="58" t="str">
        <f>IF($F$5,IF($L664="","",IFERROR(VLOOKUP($L664,day_data!$A:$I,8,FALSE),0)),NA())</f>
        <v/>
      </c>
      <c r="T664" s="60" t="e">
        <f>IF($F$7,IF($L664="","",IFERROR(VLOOKUP($L664,day_data!$A:$I,9,FALSE),0)),NA())</f>
        <v>#N/A</v>
      </c>
    </row>
    <row r="665" spans="12:20">
      <c r="L665" s="57" t="str">
        <f t="shared" si="10"/>
        <v/>
      </c>
      <c r="M665" s="11" t="str">
        <f>IF($F$1,IF($L665="","",IFERROR(VLOOKUP($L665,day_data!$A:$I,2,FALSE),0)),NA())</f>
        <v/>
      </c>
      <c r="N665" s="58" t="e">
        <f>IF($F$2,IF($L665="","",IFERROR(VLOOKUP($L665,day_data!$A:$I,3,FALSE),0)),NA())</f>
        <v>#N/A</v>
      </c>
      <c r="O665" s="11" t="e">
        <f>IF($F$3,IF($L665="","",IFERROR(VLOOKUP($L665,day_data!$A:$I,4,FALSE),0)),NA())</f>
        <v>#N/A</v>
      </c>
      <c r="P665" s="58" t="e">
        <f>IF($F$4,IF($L665="","",IFERROR(VLOOKUP($L665,day_data!$A:$I,5,FALSE),0)),NA())</f>
        <v>#N/A</v>
      </c>
      <c r="Q665" s="59" t="e">
        <f>IF($F$8,IF($L665="","",IFERROR(VLOOKUP($L665,day_data!$A:$I,6,FALSE),0)),NA())</f>
        <v>#N/A</v>
      </c>
      <c r="R665" s="11" t="e">
        <f>IF($F$6,IF($L665="","",IFERROR(VLOOKUP($L665,day_data!$A:$I,7,FALSE),0)),NA())</f>
        <v>#N/A</v>
      </c>
      <c r="S665" s="58" t="str">
        <f>IF($F$5,IF($L665="","",IFERROR(VLOOKUP($L665,day_data!$A:$I,8,FALSE),0)),NA())</f>
        <v/>
      </c>
      <c r="T665" s="60" t="e">
        <f>IF($F$7,IF($L665="","",IFERROR(VLOOKUP($L665,day_data!$A:$I,9,FALSE),0)),NA())</f>
        <v>#N/A</v>
      </c>
    </row>
    <row r="666" spans="12:20">
      <c r="L666" s="57" t="str">
        <f t="shared" si="10"/>
        <v/>
      </c>
      <c r="M666" s="11" t="str">
        <f>IF($F$1,IF($L666="","",IFERROR(VLOOKUP($L666,day_data!$A:$I,2,FALSE),0)),NA())</f>
        <v/>
      </c>
      <c r="N666" s="58" t="e">
        <f>IF($F$2,IF($L666="","",IFERROR(VLOOKUP($L666,day_data!$A:$I,3,FALSE),0)),NA())</f>
        <v>#N/A</v>
      </c>
      <c r="O666" s="11" t="e">
        <f>IF($F$3,IF($L666="","",IFERROR(VLOOKUP($L666,day_data!$A:$I,4,FALSE),0)),NA())</f>
        <v>#N/A</v>
      </c>
      <c r="P666" s="58" t="e">
        <f>IF($F$4,IF($L666="","",IFERROR(VLOOKUP($L666,day_data!$A:$I,5,FALSE),0)),NA())</f>
        <v>#N/A</v>
      </c>
      <c r="Q666" s="59" t="e">
        <f>IF($F$8,IF($L666="","",IFERROR(VLOOKUP($L666,day_data!$A:$I,6,FALSE),0)),NA())</f>
        <v>#N/A</v>
      </c>
      <c r="R666" s="11" t="e">
        <f>IF($F$6,IF($L666="","",IFERROR(VLOOKUP($L666,day_data!$A:$I,7,FALSE),0)),NA())</f>
        <v>#N/A</v>
      </c>
      <c r="S666" s="58" t="str">
        <f>IF($F$5,IF($L666="","",IFERROR(VLOOKUP($L666,day_data!$A:$I,8,FALSE),0)),NA())</f>
        <v/>
      </c>
      <c r="T666" s="60" t="e">
        <f>IF($F$7,IF($L666="","",IFERROR(VLOOKUP($L666,day_data!$A:$I,9,FALSE),0)),NA())</f>
        <v>#N/A</v>
      </c>
    </row>
    <row r="667" spans="12:20">
      <c r="L667" s="57" t="str">
        <f t="shared" si="10"/>
        <v/>
      </c>
      <c r="M667" s="11" t="str">
        <f>IF($F$1,IF($L667="","",IFERROR(VLOOKUP($L667,day_data!$A:$I,2,FALSE),0)),NA())</f>
        <v/>
      </c>
      <c r="N667" s="58" t="e">
        <f>IF($F$2,IF($L667="","",IFERROR(VLOOKUP($L667,day_data!$A:$I,3,FALSE),0)),NA())</f>
        <v>#N/A</v>
      </c>
      <c r="O667" s="11" t="e">
        <f>IF($F$3,IF($L667="","",IFERROR(VLOOKUP($L667,day_data!$A:$I,4,FALSE),0)),NA())</f>
        <v>#N/A</v>
      </c>
      <c r="P667" s="58" t="e">
        <f>IF($F$4,IF($L667="","",IFERROR(VLOOKUP($L667,day_data!$A:$I,5,FALSE),0)),NA())</f>
        <v>#N/A</v>
      </c>
      <c r="Q667" s="59" t="e">
        <f>IF($F$8,IF($L667="","",IFERROR(VLOOKUP($L667,day_data!$A:$I,6,FALSE),0)),NA())</f>
        <v>#N/A</v>
      </c>
      <c r="R667" s="11" t="e">
        <f>IF($F$6,IF($L667="","",IFERROR(VLOOKUP($L667,day_data!$A:$I,7,FALSE),0)),NA())</f>
        <v>#N/A</v>
      </c>
      <c r="S667" s="58" t="str">
        <f>IF($F$5,IF($L667="","",IFERROR(VLOOKUP($L667,day_data!$A:$I,8,FALSE),0)),NA())</f>
        <v/>
      </c>
      <c r="T667" s="60" t="e">
        <f>IF($F$7,IF($L667="","",IFERROR(VLOOKUP($L667,day_data!$A:$I,9,FALSE),0)),NA())</f>
        <v>#N/A</v>
      </c>
    </row>
    <row r="668" spans="12:20">
      <c r="L668" s="57" t="str">
        <f t="shared" si="10"/>
        <v/>
      </c>
      <c r="M668" s="11" t="str">
        <f>IF($F$1,IF($L668="","",IFERROR(VLOOKUP($L668,day_data!$A:$I,2,FALSE),0)),NA())</f>
        <v/>
      </c>
      <c r="N668" s="58" t="e">
        <f>IF($F$2,IF($L668="","",IFERROR(VLOOKUP($L668,day_data!$A:$I,3,FALSE),0)),NA())</f>
        <v>#N/A</v>
      </c>
      <c r="O668" s="11" t="e">
        <f>IF($F$3,IF($L668="","",IFERROR(VLOOKUP($L668,day_data!$A:$I,4,FALSE),0)),NA())</f>
        <v>#N/A</v>
      </c>
      <c r="P668" s="58" t="e">
        <f>IF($F$4,IF($L668="","",IFERROR(VLOOKUP($L668,day_data!$A:$I,5,FALSE),0)),NA())</f>
        <v>#N/A</v>
      </c>
      <c r="Q668" s="59" t="e">
        <f>IF($F$8,IF($L668="","",IFERROR(VLOOKUP($L668,day_data!$A:$I,6,FALSE),0)),NA())</f>
        <v>#N/A</v>
      </c>
      <c r="R668" s="11" t="e">
        <f>IF($F$6,IF($L668="","",IFERROR(VLOOKUP($L668,day_data!$A:$I,7,FALSE),0)),NA())</f>
        <v>#N/A</v>
      </c>
      <c r="S668" s="58" t="str">
        <f>IF($F$5,IF($L668="","",IFERROR(VLOOKUP($L668,day_data!$A:$I,8,FALSE),0)),NA())</f>
        <v/>
      </c>
      <c r="T668" s="60" t="e">
        <f>IF($F$7,IF($L668="","",IFERROR(VLOOKUP($L668,day_data!$A:$I,9,FALSE),0)),NA())</f>
        <v>#N/A</v>
      </c>
    </row>
    <row r="669" spans="12:20">
      <c r="L669" s="57" t="str">
        <f t="shared" si="10"/>
        <v/>
      </c>
      <c r="M669" s="11" t="str">
        <f>IF($F$1,IF($L669="","",IFERROR(VLOOKUP($L669,day_data!$A:$I,2,FALSE),0)),NA())</f>
        <v/>
      </c>
      <c r="N669" s="58" t="e">
        <f>IF($F$2,IF($L669="","",IFERROR(VLOOKUP($L669,day_data!$A:$I,3,FALSE),0)),NA())</f>
        <v>#N/A</v>
      </c>
      <c r="O669" s="11" t="e">
        <f>IF($F$3,IF($L669="","",IFERROR(VLOOKUP($L669,day_data!$A:$I,4,FALSE),0)),NA())</f>
        <v>#N/A</v>
      </c>
      <c r="P669" s="58" t="e">
        <f>IF($F$4,IF($L669="","",IFERROR(VLOOKUP($L669,day_data!$A:$I,5,FALSE),0)),NA())</f>
        <v>#N/A</v>
      </c>
      <c r="Q669" s="59" t="e">
        <f>IF($F$8,IF($L669="","",IFERROR(VLOOKUP($L669,day_data!$A:$I,6,FALSE),0)),NA())</f>
        <v>#N/A</v>
      </c>
      <c r="R669" s="11" t="e">
        <f>IF($F$6,IF($L669="","",IFERROR(VLOOKUP($L669,day_data!$A:$I,7,FALSE),0)),NA())</f>
        <v>#N/A</v>
      </c>
      <c r="S669" s="58" t="str">
        <f>IF($F$5,IF($L669="","",IFERROR(VLOOKUP($L669,day_data!$A:$I,8,FALSE),0)),NA())</f>
        <v/>
      </c>
      <c r="T669" s="60" t="e">
        <f>IF($F$7,IF($L669="","",IFERROR(VLOOKUP($L669,day_data!$A:$I,9,FALSE),0)),NA())</f>
        <v>#N/A</v>
      </c>
    </row>
    <row r="670" spans="12:20">
      <c r="L670" s="57" t="str">
        <f t="shared" si="10"/>
        <v/>
      </c>
      <c r="M670" s="11" t="str">
        <f>IF($F$1,IF($L670="","",IFERROR(VLOOKUP($L670,day_data!$A:$I,2,FALSE),0)),NA())</f>
        <v/>
      </c>
      <c r="N670" s="58" t="e">
        <f>IF($F$2,IF($L670="","",IFERROR(VLOOKUP($L670,day_data!$A:$I,3,FALSE),0)),NA())</f>
        <v>#N/A</v>
      </c>
      <c r="O670" s="11" t="e">
        <f>IF($F$3,IF($L670="","",IFERROR(VLOOKUP($L670,day_data!$A:$I,4,FALSE),0)),NA())</f>
        <v>#N/A</v>
      </c>
      <c r="P670" s="58" t="e">
        <f>IF($F$4,IF($L670="","",IFERROR(VLOOKUP($L670,day_data!$A:$I,5,FALSE),0)),NA())</f>
        <v>#N/A</v>
      </c>
      <c r="Q670" s="59" t="e">
        <f>IF($F$8,IF($L670="","",IFERROR(VLOOKUP($L670,day_data!$A:$I,6,FALSE),0)),NA())</f>
        <v>#N/A</v>
      </c>
      <c r="R670" s="11" t="e">
        <f>IF($F$6,IF($L670="","",IFERROR(VLOOKUP($L670,day_data!$A:$I,7,FALSE),0)),NA())</f>
        <v>#N/A</v>
      </c>
      <c r="S670" s="58" t="str">
        <f>IF($F$5,IF($L670="","",IFERROR(VLOOKUP($L670,day_data!$A:$I,8,FALSE),0)),NA())</f>
        <v/>
      </c>
      <c r="T670" s="60" t="e">
        <f>IF($F$7,IF($L670="","",IFERROR(VLOOKUP($L670,day_data!$A:$I,9,FALSE),0)),NA())</f>
        <v>#N/A</v>
      </c>
    </row>
    <row r="671" spans="12:20">
      <c r="L671" s="57" t="str">
        <f t="shared" si="10"/>
        <v/>
      </c>
      <c r="M671" s="11" t="str">
        <f>IF($F$1,IF($L671="","",IFERROR(VLOOKUP($L671,day_data!$A:$I,2,FALSE),0)),NA())</f>
        <v/>
      </c>
      <c r="N671" s="58" t="e">
        <f>IF($F$2,IF($L671="","",IFERROR(VLOOKUP($L671,day_data!$A:$I,3,FALSE),0)),NA())</f>
        <v>#N/A</v>
      </c>
      <c r="O671" s="11" t="e">
        <f>IF($F$3,IF($L671="","",IFERROR(VLOOKUP($L671,day_data!$A:$I,4,FALSE),0)),NA())</f>
        <v>#N/A</v>
      </c>
      <c r="P671" s="58" t="e">
        <f>IF($F$4,IF($L671="","",IFERROR(VLOOKUP($L671,day_data!$A:$I,5,FALSE),0)),NA())</f>
        <v>#N/A</v>
      </c>
      <c r="Q671" s="59" t="e">
        <f>IF($F$8,IF($L671="","",IFERROR(VLOOKUP($L671,day_data!$A:$I,6,FALSE),0)),NA())</f>
        <v>#N/A</v>
      </c>
      <c r="R671" s="11" t="e">
        <f>IF($F$6,IF($L671="","",IFERROR(VLOOKUP($L671,day_data!$A:$I,7,FALSE),0)),NA())</f>
        <v>#N/A</v>
      </c>
      <c r="S671" s="58" t="str">
        <f>IF($F$5,IF($L671="","",IFERROR(VLOOKUP($L671,day_data!$A:$I,8,FALSE),0)),NA())</f>
        <v/>
      </c>
      <c r="T671" s="60" t="e">
        <f>IF($F$7,IF($L671="","",IFERROR(VLOOKUP($L671,day_data!$A:$I,9,FALSE),0)),NA())</f>
        <v>#N/A</v>
      </c>
    </row>
    <row r="672" spans="12:20">
      <c r="L672" s="57" t="str">
        <f t="shared" si="10"/>
        <v/>
      </c>
      <c r="M672" s="11" t="str">
        <f>IF($F$1,IF($L672="","",IFERROR(VLOOKUP($L672,day_data!$A:$I,2,FALSE),0)),NA())</f>
        <v/>
      </c>
      <c r="N672" s="58" t="e">
        <f>IF($F$2,IF($L672="","",IFERROR(VLOOKUP($L672,day_data!$A:$I,3,FALSE),0)),NA())</f>
        <v>#N/A</v>
      </c>
      <c r="O672" s="11" t="e">
        <f>IF($F$3,IF($L672="","",IFERROR(VLOOKUP($L672,day_data!$A:$I,4,FALSE),0)),NA())</f>
        <v>#N/A</v>
      </c>
      <c r="P672" s="58" t="e">
        <f>IF($F$4,IF($L672="","",IFERROR(VLOOKUP($L672,day_data!$A:$I,5,FALSE),0)),NA())</f>
        <v>#N/A</v>
      </c>
      <c r="Q672" s="59" t="e">
        <f>IF($F$8,IF($L672="","",IFERROR(VLOOKUP($L672,day_data!$A:$I,6,FALSE),0)),NA())</f>
        <v>#N/A</v>
      </c>
      <c r="R672" s="11" t="e">
        <f>IF($F$6,IF($L672="","",IFERROR(VLOOKUP($L672,day_data!$A:$I,7,FALSE),0)),NA())</f>
        <v>#N/A</v>
      </c>
      <c r="S672" s="58" t="str">
        <f>IF($F$5,IF($L672="","",IFERROR(VLOOKUP($L672,day_data!$A:$I,8,FALSE),0)),NA())</f>
        <v/>
      </c>
      <c r="T672" s="60" t="e">
        <f>IF($F$7,IF($L672="","",IFERROR(VLOOKUP($L672,day_data!$A:$I,9,FALSE),0)),NA())</f>
        <v>#N/A</v>
      </c>
    </row>
    <row r="673" spans="12:20">
      <c r="L673" s="57" t="str">
        <f t="shared" si="10"/>
        <v/>
      </c>
      <c r="M673" s="11" t="str">
        <f>IF($F$1,IF($L673="","",IFERROR(VLOOKUP($L673,day_data!$A:$I,2,FALSE),0)),NA())</f>
        <v/>
      </c>
      <c r="N673" s="58" t="e">
        <f>IF($F$2,IF($L673="","",IFERROR(VLOOKUP($L673,day_data!$A:$I,3,FALSE),0)),NA())</f>
        <v>#N/A</v>
      </c>
      <c r="O673" s="11" t="e">
        <f>IF($F$3,IF($L673="","",IFERROR(VLOOKUP($L673,day_data!$A:$I,4,FALSE),0)),NA())</f>
        <v>#N/A</v>
      </c>
      <c r="P673" s="58" t="e">
        <f>IF($F$4,IF($L673="","",IFERROR(VLOOKUP($L673,day_data!$A:$I,5,FALSE),0)),NA())</f>
        <v>#N/A</v>
      </c>
      <c r="Q673" s="59" t="e">
        <f>IF($F$8,IF($L673="","",IFERROR(VLOOKUP($L673,day_data!$A:$I,6,FALSE),0)),NA())</f>
        <v>#N/A</v>
      </c>
      <c r="R673" s="11" t="e">
        <f>IF($F$6,IF($L673="","",IFERROR(VLOOKUP($L673,day_data!$A:$I,7,FALSE),0)),NA())</f>
        <v>#N/A</v>
      </c>
      <c r="S673" s="58" t="str">
        <f>IF($F$5,IF($L673="","",IFERROR(VLOOKUP($L673,day_data!$A:$I,8,FALSE),0)),NA())</f>
        <v/>
      </c>
      <c r="T673" s="60" t="e">
        <f>IF($F$7,IF($L673="","",IFERROR(VLOOKUP($L673,day_data!$A:$I,9,FALSE),0)),NA())</f>
        <v>#N/A</v>
      </c>
    </row>
    <row r="674" spans="12:20">
      <c r="L674" s="57" t="str">
        <f t="shared" si="10"/>
        <v/>
      </c>
      <c r="M674" s="11" t="str">
        <f>IF($F$1,IF($L674="","",IFERROR(VLOOKUP($L674,day_data!$A:$I,2,FALSE),0)),NA())</f>
        <v/>
      </c>
      <c r="N674" s="58" t="e">
        <f>IF($F$2,IF($L674="","",IFERROR(VLOOKUP($L674,day_data!$A:$I,3,FALSE),0)),NA())</f>
        <v>#N/A</v>
      </c>
      <c r="O674" s="11" t="e">
        <f>IF($F$3,IF($L674="","",IFERROR(VLOOKUP($L674,day_data!$A:$I,4,FALSE),0)),NA())</f>
        <v>#N/A</v>
      </c>
      <c r="P674" s="58" t="e">
        <f>IF($F$4,IF($L674="","",IFERROR(VLOOKUP($L674,day_data!$A:$I,5,FALSE),0)),NA())</f>
        <v>#N/A</v>
      </c>
      <c r="Q674" s="59" t="e">
        <f>IF($F$8,IF($L674="","",IFERROR(VLOOKUP($L674,day_data!$A:$I,6,FALSE),0)),NA())</f>
        <v>#N/A</v>
      </c>
      <c r="R674" s="11" t="e">
        <f>IF($F$6,IF($L674="","",IFERROR(VLOOKUP($L674,day_data!$A:$I,7,FALSE),0)),NA())</f>
        <v>#N/A</v>
      </c>
      <c r="S674" s="58" t="str">
        <f>IF($F$5,IF($L674="","",IFERROR(VLOOKUP($L674,day_data!$A:$I,8,FALSE),0)),NA())</f>
        <v/>
      </c>
      <c r="T674" s="60" t="e">
        <f>IF($F$7,IF($L674="","",IFERROR(VLOOKUP($L674,day_data!$A:$I,9,FALSE),0)),NA())</f>
        <v>#N/A</v>
      </c>
    </row>
    <row r="675" spans="12:20">
      <c r="L675" s="57" t="str">
        <f t="shared" si="10"/>
        <v/>
      </c>
      <c r="M675" s="11" t="str">
        <f>IF($F$1,IF($L675="","",IFERROR(VLOOKUP($L675,day_data!$A:$I,2,FALSE),0)),NA())</f>
        <v/>
      </c>
      <c r="N675" s="58" t="e">
        <f>IF($F$2,IF($L675="","",IFERROR(VLOOKUP($L675,day_data!$A:$I,3,FALSE),0)),NA())</f>
        <v>#N/A</v>
      </c>
      <c r="O675" s="11" t="e">
        <f>IF($F$3,IF($L675="","",IFERROR(VLOOKUP($L675,day_data!$A:$I,4,FALSE),0)),NA())</f>
        <v>#N/A</v>
      </c>
      <c r="P675" s="58" t="e">
        <f>IF($F$4,IF($L675="","",IFERROR(VLOOKUP($L675,day_data!$A:$I,5,FALSE),0)),NA())</f>
        <v>#N/A</v>
      </c>
      <c r="Q675" s="59" t="e">
        <f>IF($F$8,IF($L675="","",IFERROR(VLOOKUP($L675,day_data!$A:$I,6,FALSE),0)),NA())</f>
        <v>#N/A</v>
      </c>
      <c r="R675" s="11" t="e">
        <f>IF($F$6,IF($L675="","",IFERROR(VLOOKUP($L675,day_data!$A:$I,7,FALSE),0)),NA())</f>
        <v>#N/A</v>
      </c>
      <c r="S675" s="58" t="str">
        <f>IF($F$5,IF($L675="","",IFERROR(VLOOKUP($L675,day_data!$A:$I,8,FALSE),0)),NA())</f>
        <v/>
      </c>
      <c r="T675" s="60" t="e">
        <f>IF($F$7,IF($L675="","",IFERROR(VLOOKUP($L675,day_data!$A:$I,9,FALSE),0)),NA())</f>
        <v>#N/A</v>
      </c>
    </row>
    <row r="676" spans="12:20">
      <c r="L676" s="57" t="str">
        <f t="shared" si="10"/>
        <v/>
      </c>
      <c r="M676" s="11" t="str">
        <f>IF($F$1,IF($L676="","",IFERROR(VLOOKUP($L676,day_data!$A:$I,2,FALSE),0)),NA())</f>
        <v/>
      </c>
      <c r="N676" s="58" t="e">
        <f>IF($F$2,IF($L676="","",IFERROR(VLOOKUP($L676,day_data!$A:$I,3,FALSE),0)),NA())</f>
        <v>#N/A</v>
      </c>
      <c r="O676" s="11" t="e">
        <f>IF($F$3,IF($L676="","",IFERROR(VLOOKUP($L676,day_data!$A:$I,4,FALSE),0)),NA())</f>
        <v>#N/A</v>
      </c>
      <c r="P676" s="58" t="e">
        <f>IF($F$4,IF($L676="","",IFERROR(VLOOKUP($L676,day_data!$A:$I,5,FALSE),0)),NA())</f>
        <v>#N/A</v>
      </c>
      <c r="Q676" s="59" t="e">
        <f>IF($F$8,IF($L676="","",IFERROR(VLOOKUP($L676,day_data!$A:$I,6,FALSE),0)),NA())</f>
        <v>#N/A</v>
      </c>
      <c r="R676" s="11" t="e">
        <f>IF($F$6,IF($L676="","",IFERROR(VLOOKUP($L676,day_data!$A:$I,7,FALSE),0)),NA())</f>
        <v>#N/A</v>
      </c>
      <c r="S676" s="58" t="str">
        <f>IF($F$5,IF($L676="","",IFERROR(VLOOKUP($L676,day_data!$A:$I,8,FALSE),0)),NA())</f>
        <v/>
      </c>
      <c r="T676" s="60" t="e">
        <f>IF($F$7,IF($L676="","",IFERROR(VLOOKUP($L676,day_data!$A:$I,9,FALSE),0)),NA())</f>
        <v>#N/A</v>
      </c>
    </row>
    <row r="677" spans="12:20">
      <c r="L677" s="57" t="str">
        <f t="shared" si="10"/>
        <v/>
      </c>
      <c r="M677" s="11" t="str">
        <f>IF($F$1,IF($L677="","",IFERROR(VLOOKUP($L677,day_data!$A:$I,2,FALSE),0)),NA())</f>
        <v/>
      </c>
      <c r="N677" s="58" t="e">
        <f>IF($F$2,IF($L677="","",IFERROR(VLOOKUP($L677,day_data!$A:$I,3,FALSE),0)),NA())</f>
        <v>#N/A</v>
      </c>
      <c r="O677" s="11" t="e">
        <f>IF($F$3,IF($L677="","",IFERROR(VLOOKUP($L677,day_data!$A:$I,4,FALSE),0)),NA())</f>
        <v>#N/A</v>
      </c>
      <c r="P677" s="58" t="e">
        <f>IF($F$4,IF($L677="","",IFERROR(VLOOKUP($L677,day_data!$A:$I,5,FALSE),0)),NA())</f>
        <v>#N/A</v>
      </c>
      <c r="Q677" s="59" t="e">
        <f>IF($F$8,IF($L677="","",IFERROR(VLOOKUP($L677,day_data!$A:$I,6,FALSE),0)),NA())</f>
        <v>#N/A</v>
      </c>
      <c r="R677" s="11" t="e">
        <f>IF($F$6,IF($L677="","",IFERROR(VLOOKUP($L677,day_data!$A:$I,7,FALSE),0)),NA())</f>
        <v>#N/A</v>
      </c>
      <c r="S677" s="58" t="str">
        <f>IF($F$5,IF($L677="","",IFERROR(VLOOKUP($L677,day_data!$A:$I,8,FALSE),0)),NA())</f>
        <v/>
      </c>
      <c r="T677" s="60" t="e">
        <f>IF($F$7,IF($L677="","",IFERROR(VLOOKUP($L677,day_data!$A:$I,9,FALSE),0)),NA())</f>
        <v>#N/A</v>
      </c>
    </row>
    <row r="678" spans="12:20">
      <c r="L678" s="57" t="str">
        <f t="shared" si="10"/>
        <v/>
      </c>
      <c r="M678" s="11" t="str">
        <f>IF($F$1,IF($L678="","",IFERROR(VLOOKUP($L678,day_data!$A:$I,2,FALSE),0)),NA())</f>
        <v/>
      </c>
      <c r="N678" s="58" t="e">
        <f>IF($F$2,IF($L678="","",IFERROR(VLOOKUP($L678,day_data!$A:$I,3,FALSE),0)),NA())</f>
        <v>#N/A</v>
      </c>
      <c r="O678" s="11" t="e">
        <f>IF($F$3,IF($L678="","",IFERROR(VLOOKUP($L678,day_data!$A:$I,4,FALSE),0)),NA())</f>
        <v>#N/A</v>
      </c>
      <c r="P678" s="58" t="e">
        <f>IF($F$4,IF($L678="","",IFERROR(VLOOKUP($L678,day_data!$A:$I,5,FALSE),0)),NA())</f>
        <v>#N/A</v>
      </c>
      <c r="Q678" s="59" t="e">
        <f>IF($F$8,IF($L678="","",IFERROR(VLOOKUP($L678,day_data!$A:$I,6,FALSE),0)),NA())</f>
        <v>#N/A</v>
      </c>
      <c r="R678" s="11" t="e">
        <f>IF($F$6,IF($L678="","",IFERROR(VLOOKUP($L678,day_data!$A:$I,7,FALSE),0)),NA())</f>
        <v>#N/A</v>
      </c>
      <c r="S678" s="58" t="str">
        <f>IF($F$5,IF($L678="","",IFERROR(VLOOKUP($L678,day_data!$A:$I,8,FALSE),0)),NA())</f>
        <v/>
      </c>
      <c r="T678" s="60" t="e">
        <f>IF($F$7,IF($L678="","",IFERROR(VLOOKUP($L678,day_data!$A:$I,9,FALSE),0)),NA())</f>
        <v>#N/A</v>
      </c>
    </row>
    <row r="679" spans="12:20">
      <c r="L679" s="57" t="str">
        <f t="shared" si="10"/>
        <v/>
      </c>
      <c r="M679" s="11" t="str">
        <f>IF($F$1,IF($L679="","",IFERROR(VLOOKUP($L679,day_data!$A:$I,2,FALSE),0)),NA())</f>
        <v/>
      </c>
      <c r="N679" s="58" t="e">
        <f>IF($F$2,IF($L679="","",IFERROR(VLOOKUP($L679,day_data!$A:$I,3,FALSE),0)),NA())</f>
        <v>#N/A</v>
      </c>
      <c r="O679" s="11" t="e">
        <f>IF($F$3,IF($L679="","",IFERROR(VLOOKUP($L679,day_data!$A:$I,4,FALSE),0)),NA())</f>
        <v>#N/A</v>
      </c>
      <c r="P679" s="58" t="e">
        <f>IF($F$4,IF($L679="","",IFERROR(VLOOKUP($L679,day_data!$A:$I,5,FALSE),0)),NA())</f>
        <v>#N/A</v>
      </c>
      <c r="Q679" s="59" t="e">
        <f>IF($F$8,IF($L679="","",IFERROR(VLOOKUP($L679,day_data!$A:$I,6,FALSE),0)),NA())</f>
        <v>#N/A</v>
      </c>
      <c r="R679" s="11" t="e">
        <f>IF($F$6,IF($L679="","",IFERROR(VLOOKUP($L679,day_data!$A:$I,7,FALSE),0)),NA())</f>
        <v>#N/A</v>
      </c>
      <c r="S679" s="58" t="str">
        <f>IF($F$5,IF($L679="","",IFERROR(VLOOKUP($L679,day_data!$A:$I,8,FALSE),0)),NA())</f>
        <v/>
      </c>
      <c r="T679" s="60" t="e">
        <f>IF($F$7,IF($L679="","",IFERROR(VLOOKUP($L679,day_data!$A:$I,9,FALSE),0)),NA())</f>
        <v>#N/A</v>
      </c>
    </row>
    <row r="680" spans="12:20">
      <c r="L680" s="57" t="str">
        <f t="shared" si="10"/>
        <v/>
      </c>
      <c r="M680" s="11" t="str">
        <f>IF($F$1,IF($L680="","",IFERROR(VLOOKUP($L680,day_data!$A:$I,2,FALSE),0)),NA())</f>
        <v/>
      </c>
      <c r="N680" s="58" t="e">
        <f>IF($F$2,IF($L680="","",IFERROR(VLOOKUP($L680,day_data!$A:$I,3,FALSE),0)),NA())</f>
        <v>#N/A</v>
      </c>
      <c r="O680" s="11" t="e">
        <f>IF($F$3,IF($L680="","",IFERROR(VLOOKUP($L680,day_data!$A:$I,4,FALSE),0)),NA())</f>
        <v>#N/A</v>
      </c>
      <c r="P680" s="58" t="e">
        <f>IF($F$4,IF($L680="","",IFERROR(VLOOKUP($L680,day_data!$A:$I,5,FALSE),0)),NA())</f>
        <v>#N/A</v>
      </c>
      <c r="Q680" s="59" t="e">
        <f>IF($F$8,IF($L680="","",IFERROR(VLOOKUP($L680,day_data!$A:$I,6,FALSE),0)),NA())</f>
        <v>#N/A</v>
      </c>
      <c r="R680" s="11" t="e">
        <f>IF($F$6,IF($L680="","",IFERROR(VLOOKUP($L680,day_data!$A:$I,7,FALSE),0)),NA())</f>
        <v>#N/A</v>
      </c>
      <c r="S680" s="58" t="str">
        <f>IF($F$5,IF($L680="","",IFERROR(VLOOKUP($L680,day_data!$A:$I,8,FALSE),0)),NA())</f>
        <v/>
      </c>
      <c r="T680" s="60" t="e">
        <f>IF($F$7,IF($L680="","",IFERROR(VLOOKUP($L680,day_data!$A:$I,9,FALSE),0)),NA())</f>
        <v>#N/A</v>
      </c>
    </row>
    <row r="681" spans="12:20">
      <c r="L681" s="57" t="str">
        <f t="shared" si="10"/>
        <v/>
      </c>
      <c r="M681" s="11" t="str">
        <f>IF($F$1,IF($L681="","",IFERROR(VLOOKUP($L681,day_data!$A:$I,2,FALSE),0)),NA())</f>
        <v/>
      </c>
      <c r="N681" s="58" t="e">
        <f>IF($F$2,IF($L681="","",IFERROR(VLOOKUP($L681,day_data!$A:$I,3,FALSE),0)),NA())</f>
        <v>#N/A</v>
      </c>
      <c r="O681" s="11" t="e">
        <f>IF($F$3,IF($L681="","",IFERROR(VLOOKUP($L681,day_data!$A:$I,4,FALSE),0)),NA())</f>
        <v>#N/A</v>
      </c>
      <c r="P681" s="58" t="e">
        <f>IF($F$4,IF($L681="","",IFERROR(VLOOKUP($L681,day_data!$A:$I,5,FALSE),0)),NA())</f>
        <v>#N/A</v>
      </c>
      <c r="Q681" s="59" t="e">
        <f>IF($F$8,IF($L681="","",IFERROR(VLOOKUP($L681,day_data!$A:$I,6,FALSE),0)),NA())</f>
        <v>#N/A</v>
      </c>
      <c r="R681" s="11" t="e">
        <f>IF($F$6,IF($L681="","",IFERROR(VLOOKUP($L681,day_data!$A:$I,7,FALSE),0)),NA())</f>
        <v>#N/A</v>
      </c>
      <c r="S681" s="58" t="str">
        <f>IF($F$5,IF($L681="","",IFERROR(VLOOKUP($L681,day_data!$A:$I,8,FALSE),0)),NA())</f>
        <v/>
      </c>
      <c r="T681" s="60" t="e">
        <f>IF($F$7,IF($L681="","",IFERROR(VLOOKUP($L681,day_data!$A:$I,9,FALSE),0)),NA())</f>
        <v>#N/A</v>
      </c>
    </row>
    <row r="682" spans="12:20">
      <c r="L682" s="57" t="str">
        <f t="shared" si="10"/>
        <v/>
      </c>
      <c r="M682" s="11" t="str">
        <f>IF($F$1,IF($L682="","",IFERROR(VLOOKUP($L682,day_data!$A:$I,2,FALSE),0)),NA())</f>
        <v/>
      </c>
      <c r="N682" s="58" t="e">
        <f>IF($F$2,IF($L682="","",IFERROR(VLOOKUP($L682,day_data!$A:$I,3,FALSE),0)),NA())</f>
        <v>#N/A</v>
      </c>
      <c r="O682" s="11" t="e">
        <f>IF($F$3,IF($L682="","",IFERROR(VLOOKUP($L682,day_data!$A:$I,4,FALSE),0)),NA())</f>
        <v>#N/A</v>
      </c>
      <c r="P682" s="58" t="e">
        <f>IF($F$4,IF($L682="","",IFERROR(VLOOKUP($L682,day_data!$A:$I,5,FALSE),0)),NA())</f>
        <v>#N/A</v>
      </c>
      <c r="Q682" s="59" t="e">
        <f>IF($F$8,IF($L682="","",IFERROR(VLOOKUP($L682,day_data!$A:$I,6,FALSE),0)),NA())</f>
        <v>#N/A</v>
      </c>
      <c r="R682" s="11" t="e">
        <f>IF($F$6,IF($L682="","",IFERROR(VLOOKUP($L682,day_data!$A:$I,7,FALSE),0)),NA())</f>
        <v>#N/A</v>
      </c>
      <c r="S682" s="58" t="str">
        <f>IF($F$5,IF($L682="","",IFERROR(VLOOKUP($L682,day_data!$A:$I,8,FALSE),0)),NA())</f>
        <v/>
      </c>
      <c r="T682" s="60" t="e">
        <f>IF($F$7,IF($L682="","",IFERROR(VLOOKUP($L682,day_data!$A:$I,9,FALSE),0)),NA())</f>
        <v>#N/A</v>
      </c>
    </row>
    <row r="683" spans="12:20">
      <c r="L683" s="57" t="str">
        <f t="shared" si="10"/>
        <v/>
      </c>
      <c r="M683" s="11" t="str">
        <f>IF($F$1,IF($L683="","",IFERROR(VLOOKUP($L683,day_data!$A:$I,2,FALSE),0)),NA())</f>
        <v/>
      </c>
      <c r="N683" s="58" t="e">
        <f>IF($F$2,IF($L683="","",IFERROR(VLOOKUP($L683,day_data!$A:$I,3,FALSE),0)),NA())</f>
        <v>#N/A</v>
      </c>
      <c r="O683" s="11" t="e">
        <f>IF($F$3,IF($L683="","",IFERROR(VLOOKUP($L683,day_data!$A:$I,4,FALSE),0)),NA())</f>
        <v>#N/A</v>
      </c>
      <c r="P683" s="58" t="e">
        <f>IF($F$4,IF($L683="","",IFERROR(VLOOKUP($L683,day_data!$A:$I,5,FALSE),0)),NA())</f>
        <v>#N/A</v>
      </c>
      <c r="Q683" s="59" t="e">
        <f>IF($F$8,IF($L683="","",IFERROR(VLOOKUP($L683,day_data!$A:$I,6,FALSE),0)),NA())</f>
        <v>#N/A</v>
      </c>
      <c r="R683" s="11" t="e">
        <f>IF($F$6,IF($L683="","",IFERROR(VLOOKUP($L683,day_data!$A:$I,7,FALSE),0)),NA())</f>
        <v>#N/A</v>
      </c>
      <c r="S683" s="58" t="str">
        <f>IF($F$5,IF($L683="","",IFERROR(VLOOKUP($L683,day_data!$A:$I,8,FALSE),0)),NA())</f>
        <v/>
      </c>
      <c r="T683" s="60" t="e">
        <f>IF($F$7,IF($L683="","",IFERROR(VLOOKUP($L683,day_data!$A:$I,9,FALSE),0)),NA())</f>
        <v>#N/A</v>
      </c>
    </row>
    <row r="684" spans="12:20">
      <c r="L684" s="57" t="str">
        <f t="shared" si="10"/>
        <v/>
      </c>
      <c r="M684" s="11" t="str">
        <f>IF($F$1,IF($L684="","",IFERROR(VLOOKUP($L684,day_data!$A:$I,2,FALSE),0)),NA())</f>
        <v/>
      </c>
      <c r="N684" s="58" t="e">
        <f>IF($F$2,IF($L684="","",IFERROR(VLOOKUP($L684,day_data!$A:$I,3,FALSE),0)),NA())</f>
        <v>#N/A</v>
      </c>
      <c r="O684" s="11" t="e">
        <f>IF($F$3,IF($L684="","",IFERROR(VLOOKUP($L684,day_data!$A:$I,4,FALSE),0)),NA())</f>
        <v>#N/A</v>
      </c>
      <c r="P684" s="58" t="e">
        <f>IF($F$4,IF($L684="","",IFERROR(VLOOKUP($L684,day_data!$A:$I,5,FALSE),0)),NA())</f>
        <v>#N/A</v>
      </c>
      <c r="Q684" s="59" t="e">
        <f>IF($F$8,IF($L684="","",IFERROR(VLOOKUP($L684,day_data!$A:$I,6,FALSE),0)),NA())</f>
        <v>#N/A</v>
      </c>
      <c r="R684" s="11" t="e">
        <f>IF($F$6,IF($L684="","",IFERROR(VLOOKUP($L684,day_data!$A:$I,7,FALSE),0)),NA())</f>
        <v>#N/A</v>
      </c>
      <c r="S684" s="58" t="str">
        <f>IF($F$5,IF($L684="","",IFERROR(VLOOKUP($L684,day_data!$A:$I,8,FALSE),0)),NA())</f>
        <v/>
      </c>
      <c r="T684" s="60" t="e">
        <f>IF($F$7,IF($L684="","",IFERROR(VLOOKUP($L684,day_data!$A:$I,9,FALSE),0)),NA())</f>
        <v>#N/A</v>
      </c>
    </row>
    <row r="685" spans="12:20">
      <c r="L685" s="57" t="str">
        <f t="shared" si="10"/>
        <v/>
      </c>
      <c r="M685" s="11" t="str">
        <f>IF($F$1,IF($L685="","",IFERROR(VLOOKUP($L685,day_data!$A:$I,2,FALSE),0)),NA())</f>
        <v/>
      </c>
      <c r="N685" s="58" t="e">
        <f>IF($F$2,IF($L685="","",IFERROR(VLOOKUP($L685,day_data!$A:$I,3,FALSE),0)),NA())</f>
        <v>#N/A</v>
      </c>
      <c r="O685" s="11" t="e">
        <f>IF($F$3,IF($L685="","",IFERROR(VLOOKUP($L685,day_data!$A:$I,4,FALSE),0)),NA())</f>
        <v>#N/A</v>
      </c>
      <c r="P685" s="58" t="e">
        <f>IF($F$4,IF($L685="","",IFERROR(VLOOKUP($L685,day_data!$A:$I,5,FALSE),0)),NA())</f>
        <v>#N/A</v>
      </c>
      <c r="Q685" s="59" t="e">
        <f>IF($F$8,IF($L685="","",IFERROR(VLOOKUP($L685,day_data!$A:$I,6,FALSE),0)),NA())</f>
        <v>#N/A</v>
      </c>
      <c r="R685" s="11" t="e">
        <f>IF($F$6,IF($L685="","",IFERROR(VLOOKUP($L685,day_data!$A:$I,7,FALSE),0)),NA())</f>
        <v>#N/A</v>
      </c>
      <c r="S685" s="58" t="str">
        <f>IF($F$5,IF($L685="","",IFERROR(VLOOKUP($L685,day_data!$A:$I,8,FALSE),0)),NA())</f>
        <v/>
      </c>
      <c r="T685" s="60" t="e">
        <f>IF($F$7,IF($L685="","",IFERROR(VLOOKUP($L685,day_data!$A:$I,9,FALSE),0)),NA())</f>
        <v>#N/A</v>
      </c>
    </row>
    <row r="686" spans="12:20">
      <c r="L686" s="57" t="str">
        <f t="shared" si="10"/>
        <v/>
      </c>
      <c r="M686" s="11" t="str">
        <f>IF($F$1,IF($L686="","",IFERROR(VLOOKUP($L686,day_data!$A:$I,2,FALSE),0)),NA())</f>
        <v/>
      </c>
      <c r="N686" s="58" t="e">
        <f>IF($F$2,IF($L686="","",IFERROR(VLOOKUP($L686,day_data!$A:$I,3,FALSE),0)),NA())</f>
        <v>#N/A</v>
      </c>
      <c r="O686" s="11" t="e">
        <f>IF($F$3,IF($L686="","",IFERROR(VLOOKUP($L686,day_data!$A:$I,4,FALSE),0)),NA())</f>
        <v>#N/A</v>
      </c>
      <c r="P686" s="58" t="e">
        <f>IF($F$4,IF($L686="","",IFERROR(VLOOKUP($L686,day_data!$A:$I,5,FALSE),0)),NA())</f>
        <v>#N/A</v>
      </c>
      <c r="Q686" s="59" t="e">
        <f>IF($F$8,IF($L686="","",IFERROR(VLOOKUP($L686,day_data!$A:$I,6,FALSE),0)),NA())</f>
        <v>#N/A</v>
      </c>
      <c r="R686" s="11" t="e">
        <f>IF($F$6,IF($L686="","",IFERROR(VLOOKUP($L686,day_data!$A:$I,7,FALSE),0)),NA())</f>
        <v>#N/A</v>
      </c>
      <c r="S686" s="58" t="str">
        <f>IF($F$5,IF($L686="","",IFERROR(VLOOKUP($L686,day_data!$A:$I,8,FALSE),0)),NA())</f>
        <v/>
      </c>
      <c r="T686" s="60" t="e">
        <f>IF($F$7,IF($L686="","",IFERROR(VLOOKUP($L686,day_data!$A:$I,9,FALSE),0)),NA())</f>
        <v>#N/A</v>
      </c>
    </row>
    <row r="687" spans="12:20">
      <c r="L687" s="57" t="str">
        <f t="shared" si="10"/>
        <v/>
      </c>
      <c r="M687" s="11" t="str">
        <f>IF($F$1,IF($L687="","",IFERROR(VLOOKUP($L687,day_data!$A:$I,2,FALSE),0)),NA())</f>
        <v/>
      </c>
      <c r="N687" s="58" t="e">
        <f>IF($F$2,IF($L687="","",IFERROR(VLOOKUP($L687,day_data!$A:$I,3,FALSE),0)),NA())</f>
        <v>#N/A</v>
      </c>
      <c r="O687" s="11" t="e">
        <f>IF($F$3,IF($L687="","",IFERROR(VLOOKUP($L687,day_data!$A:$I,4,FALSE),0)),NA())</f>
        <v>#N/A</v>
      </c>
      <c r="P687" s="58" t="e">
        <f>IF($F$4,IF($L687="","",IFERROR(VLOOKUP($L687,day_data!$A:$I,5,FALSE),0)),NA())</f>
        <v>#N/A</v>
      </c>
      <c r="Q687" s="59" t="e">
        <f>IF($F$8,IF($L687="","",IFERROR(VLOOKUP($L687,day_data!$A:$I,6,FALSE),0)),NA())</f>
        <v>#N/A</v>
      </c>
      <c r="R687" s="11" t="e">
        <f>IF($F$6,IF($L687="","",IFERROR(VLOOKUP($L687,day_data!$A:$I,7,FALSE),0)),NA())</f>
        <v>#N/A</v>
      </c>
      <c r="S687" s="58" t="str">
        <f>IF($F$5,IF($L687="","",IFERROR(VLOOKUP($L687,day_data!$A:$I,8,FALSE),0)),NA())</f>
        <v/>
      </c>
      <c r="T687" s="60" t="e">
        <f>IF($F$7,IF($L687="","",IFERROR(VLOOKUP($L687,day_data!$A:$I,9,FALSE),0)),NA())</f>
        <v>#N/A</v>
      </c>
    </row>
    <row r="688" spans="12:20">
      <c r="L688" s="57" t="str">
        <f t="shared" si="10"/>
        <v/>
      </c>
      <c r="M688" s="11" t="str">
        <f>IF($F$1,IF($L688="","",IFERROR(VLOOKUP($L688,day_data!$A:$I,2,FALSE),0)),NA())</f>
        <v/>
      </c>
      <c r="N688" s="58" t="e">
        <f>IF($F$2,IF($L688="","",IFERROR(VLOOKUP($L688,day_data!$A:$I,3,FALSE),0)),NA())</f>
        <v>#N/A</v>
      </c>
      <c r="O688" s="11" t="e">
        <f>IF($F$3,IF($L688="","",IFERROR(VLOOKUP($L688,day_data!$A:$I,4,FALSE),0)),NA())</f>
        <v>#N/A</v>
      </c>
      <c r="P688" s="58" t="e">
        <f>IF($F$4,IF($L688="","",IFERROR(VLOOKUP($L688,day_data!$A:$I,5,FALSE),0)),NA())</f>
        <v>#N/A</v>
      </c>
      <c r="Q688" s="59" t="e">
        <f>IF($F$8,IF($L688="","",IFERROR(VLOOKUP($L688,day_data!$A:$I,6,FALSE),0)),NA())</f>
        <v>#N/A</v>
      </c>
      <c r="R688" s="11" t="e">
        <f>IF($F$6,IF($L688="","",IFERROR(VLOOKUP($L688,day_data!$A:$I,7,FALSE),0)),NA())</f>
        <v>#N/A</v>
      </c>
      <c r="S688" s="58" t="str">
        <f>IF($F$5,IF($L688="","",IFERROR(VLOOKUP($L688,day_data!$A:$I,8,FALSE),0)),NA())</f>
        <v/>
      </c>
      <c r="T688" s="60" t="e">
        <f>IF($F$7,IF($L688="","",IFERROR(VLOOKUP($L688,day_data!$A:$I,9,FALSE),0)),NA())</f>
        <v>#N/A</v>
      </c>
    </row>
    <row r="689" spans="12:20">
      <c r="L689" s="57" t="str">
        <f t="shared" si="10"/>
        <v/>
      </c>
      <c r="M689" s="11" t="str">
        <f>IF($F$1,IF($L689="","",IFERROR(VLOOKUP($L689,day_data!$A:$I,2,FALSE),0)),NA())</f>
        <v/>
      </c>
      <c r="N689" s="58" t="e">
        <f>IF($F$2,IF($L689="","",IFERROR(VLOOKUP($L689,day_data!$A:$I,3,FALSE),0)),NA())</f>
        <v>#N/A</v>
      </c>
      <c r="O689" s="11" t="e">
        <f>IF($F$3,IF($L689="","",IFERROR(VLOOKUP($L689,day_data!$A:$I,4,FALSE),0)),NA())</f>
        <v>#N/A</v>
      </c>
      <c r="P689" s="58" t="e">
        <f>IF($F$4,IF($L689="","",IFERROR(VLOOKUP($L689,day_data!$A:$I,5,FALSE),0)),NA())</f>
        <v>#N/A</v>
      </c>
      <c r="Q689" s="59" t="e">
        <f>IF($F$8,IF($L689="","",IFERROR(VLOOKUP($L689,day_data!$A:$I,6,FALSE),0)),NA())</f>
        <v>#N/A</v>
      </c>
      <c r="R689" s="11" t="e">
        <f>IF($F$6,IF($L689="","",IFERROR(VLOOKUP($L689,day_data!$A:$I,7,FALSE),0)),NA())</f>
        <v>#N/A</v>
      </c>
      <c r="S689" s="58" t="str">
        <f>IF($F$5,IF($L689="","",IFERROR(VLOOKUP($L689,day_data!$A:$I,8,FALSE),0)),NA())</f>
        <v/>
      </c>
      <c r="T689" s="60" t="e">
        <f>IF($F$7,IF($L689="","",IFERROR(VLOOKUP($L689,day_data!$A:$I,9,FALSE),0)),NA())</f>
        <v>#N/A</v>
      </c>
    </row>
    <row r="690" spans="12:20">
      <c r="L690" s="57" t="str">
        <f t="shared" si="10"/>
        <v/>
      </c>
      <c r="M690" s="11" t="str">
        <f>IF($F$1,IF($L690="","",IFERROR(VLOOKUP($L690,day_data!$A:$I,2,FALSE),0)),NA())</f>
        <v/>
      </c>
      <c r="N690" s="58" t="e">
        <f>IF($F$2,IF($L690="","",IFERROR(VLOOKUP($L690,day_data!$A:$I,3,FALSE),0)),NA())</f>
        <v>#N/A</v>
      </c>
      <c r="O690" s="11" t="e">
        <f>IF($F$3,IF($L690="","",IFERROR(VLOOKUP($L690,day_data!$A:$I,4,FALSE),0)),NA())</f>
        <v>#N/A</v>
      </c>
      <c r="P690" s="58" t="e">
        <f>IF($F$4,IF($L690="","",IFERROR(VLOOKUP($L690,day_data!$A:$I,5,FALSE),0)),NA())</f>
        <v>#N/A</v>
      </c>
      <c r="Q690" s="59" t="e">
        <f>IF($F$8,IF($L690="","",IFERROR(VLOOKUP($L690,day_data!$A:$I,6,FALSE),0)),NA())</f>
        <v>#N/A</v>
      </c>
      <c r="R690" s="11" t="e">
        <f>IF($F$6,IF($L690="","",IFERROR(VLOOKUP($L690,day_data!$A:$I,7,FALSE),0)),NA())</f>
        <v>#N/A</v>
      </c>
      <c r="S690" s="58" t="str">
        <f>IF($F$5,IF($L690="","",IFERROR(VLOOKUP($L690,day_data!$A:$I,8,FALSE),0)),NA())</f>
        <v/>
      </c>
      <c r="T690" s="60" t="e">
        <f>IF($F$7,IF($L690="","",IFERROR(VLOOKUP($L690,day_data!$A:$I,9,FALSE),0)),NA())</f>
        <v>#N/A</v>
      </c>
    </row>
    <row r="691" spans="12:20">
      <c r="L691" s="57" t="str">
        <f t="shared" si="10"/>
        <v/>
      </c>
      <c r="M691" s="11" t="str">
        <f>IF($F$1,IF($L691="","",IFERROR(VLOOKUP($L691,day_data!$A:$I,2,FALSE),0)),NA())</f>
        <v/>
      </c>
      <c r="N691" s="58" t="e">
        <f>IF($F$2,IF($L691="","",IFERROR(VLOOKUP($L691,day_data!$A:$I,3,FALSE),0)),NA())</f>
        <v>#N/A</v>
      </c>
      <c r="O691" s="11" t="e">
        <f>IF($F$3,IF($L691="","",IFERROR(VLOOKUP($L691,day_data!$A:$I,4,FALSE),0)),NA())</f>
        <v>#N/A</v>
      </c>
      <c r="P691" s="58" t="e">
        <f>IF($F$4,IF($L691="","",IFERROR(VLOOKUP($L691,day_data!$A:$I,5,FALSE),0)),NA())</f>
        <v>#N/A</v>
      </c>
      <c r="Q691" s="59" t="e">
        <f>IF($F$8,IF($L691="","",IFERROR(VLOOKUP($L691,day_data!$A:$I,6,FALSE),0)),NA())</f>
        <v>#N/A</v>
      </c>
      <c r="R691" s="11" t="e">
        <f>IF($F$6,IF($L691="","",IFERROR(VLOOKUP($L691,day_data!$A:$I,7,FALSE),0)),NA())</f>
        <v>#N/A</v>
      </c>
      <c r="S691" s="58" t="str">
        <f>IF($F$5,IF($L691="","",IFERROR(VLOOKUP($L691,day_data!$A:$I,8,FALSE),0)),NA())</f>
        <v/>
      </c>
      <c r="T691" s="60" t="e">
        <f>IF($F$7,IF($L691="","",IFERROR(VLOOKUP($L691,day_data!$A:$I,9,FALSE),0)),NA())</f>
        <v>#N/A</v>
      </c>
    </row>
    <row r="692" spans="12:20">
      <c r="L692" s="57" t="str">
        <f t="shared" si="10"/>
        <v/>
      </c>
      <c r="M692" s="11" t="str">
        <f>IF($F$1,IF($L692="","",IFERROR(VLOOKUP($L692,day_data!$A:$I,2,FALSE),0)),NA())</f>
        <v/>
      </c>
      <c r="N692" s="58" t="e">
        <f>IF($F$2,IF($L692="","",IFERROR(VLOOKUP($L692,day_data!$A:$I,3,FALSE),0)),NA())</f>
        <v>#N/A</v>
      </c>
      <c r="O692" s="11" t="e">
        <f>IF($F$3,IF($L692="","",IFERROR(VLOOKUP($L692,day_data!$A:$I,4,FALSE),0)),NA())</f>
        <v>#N/A</v>
      </c>
      <c r="P692" s="58" t="e">
        <f>IF($F$4,IF($L692="","",IFERROR(VLOOKUP($L692,day_data!$A:$I,5,FALSE),0)),NA())</f>
        <v>#N/A</v>
      </c>
      <c r="Q692" s="59" t="e">
        <f>IF($F$8,IF($L692="","",IFERROR(VLOOKUP($L692,day_data!$A:$I,6,FALSE),0)),NA())</f>
        <v>#N/A</v>
      </c>
      <c r="R692" s="11" t="e">
        <f>IF($F$6,IF($L692="","",IFERROR(VLOOKUP($L692,day_data!$A:$I,7,FALSE),0)),NA())</f>
        <v>#N/A</v>
      </c>
      <c r="S692" s="58" t="str">
        <f>IF($F$5,IF($L692="","",IFERROR(VLOOKUP($L692,day_data!$A:$I,8,FALSE),0)),NA())</f>
        <v/>
      </c>
      <c r="T692" s="60" t="e">
        <f>IF($F$7,IF($L692="","",IFERROR(VLOOKUP($L692,day_data!$A:$I,9,FALSE),0)),NA())</f>
        <v>#N/A</v>
      </c>
    </row>
    <row r="693" spans="12:20">
      <c r="L693" s="57" t="str">
        <f t="shared" si="10"/>
        <v/>
      </c>
      <c r="M693" s="11" t="str">
        <f>IF($F$1,IF($L693="","",IFERROR(VLOOKUP($L693,day_data!$A:$I,2,FALSE),0)),NA())</f>
        <v/>
      </c>
      <c r="N693" s="58" t="e">
        <f>IF($F$2,IF($L693="","",IFERROR(VLOOKUP($L693,day_data!$A:$I,3,FALSE),0)),NA())</f>
        <v>#N/A</v>
      </c>
      <c r="O693" s="11" t="e">
        <f>IF($F$3,IF($L693="","",IFERROR(VLOOKUP($L693,day_data!$A:$I,4,FALSE),0)),NA())</f>
        <v>#N/A</v>
      </c>
      <c r="P693" s="58" t="e">
        <f>IF($F$4,IF($L693="","",IFERROR(VLOOKUP($L693,day_data!$A:$I,5,FALSE),0)),NA())</f>
        <v>#N/A</v>
      </c>
      <c r="Q693" s="59" t="e">
        <f>IF($F$8,IF($L693="","",IFERROR(VLOOKUP($L693,day_data!$A:$I,6,FALSE),0)),NA())</f>
        <v>#N/A</v>
      </c>
      <c r="R693" s="11" t="e">
        <f>IF($F$6,IF($L693="","",IFERROR(VLOOKUP($L693,day_data!$A:$I,7,FALSE),0)),NA())</f>
        <v>#N/A</v>
      </c>
      <c r="S693" s="58" t="str">
        <f>IF($F$5,IF($L693="","",IFERROR(VLOOKUP($L693,day_data!$A:$I,8,FALSE),0)),NA())</f>
        <v/>
      </c>
      <c r="T693" s="60" t="e">
        <f>IF($F$7,IF($L693="","",IFERROR(VLOOKUP($L693,day_data!$A:$I,9,FALSE),0)),NA())</f>
        <v>#N/A</v>
      </c>
    </row>
    <row r="694" spans="12:20">
      <c r="L694" s="57" t="str">
        <f t="shared" si="10"/>
        <v/>
      </c>
      <c r="M694" s="11" t="str">
        <f>IF($F$1,IF($L694="","",IFERROR(VLOOKUP($L694,day_data!$A:$I,2,FALSE),0)),NA())</f>
        <v/>
      </c>
      <c r="N694" s="58" t="e">
        <f>IF($F$2,IF($L694="","",IFERROR(VLOOKUP($L694,day_data!$A:$I,3,FALSE),0)),NA())</f>
        <v>#N/A</v>
      </c>
      <c r="O694" s="11" t="e">
        <f>IF($F$3,IF($L694="","",IFERROR(VLOOKUP($L694,day_data!$A:$I,4,FALSE),0)),NA())</f>
        <v>#N/A</v>
      </c>
      <c r="P694" s="58" t="e">
        <f>IF($F$4,IF($L694="","",IFERROR(VLOOKUP($L694,day_data!$A:$I,5,FALSE),0)),NA())</f>
        <v>#N/A</v>
      </c>
      <c r="Q694" s="59" t="e">
        <f>IF($F$8,IF($L694="","",IFERROR(VLOOKUP($L694,day_data!$A:$I,6,FALSE),0)),NA())</f>
        <v>#N/A</v>
      </c>
      <c r="R694" s="11" t="e">
        <f>IF($F$6,IF($L694="","",IFERROR(VLOOKUP($L694,day_data!$A:$I,7,FALSE),0)),NA())</f>
        <v>#N/A</v>
      </c>
      <c r="S694" s="58" t="str">
        <f>IF($F$5,IF($L694="","",IFERROR(VLOOKUP($L694,day_data!$A:$I,8,FALSE),0)),NA())</f>
        <v/>
      </c>
      <c r="T694" s="60" t="e">
        <f>IF($F$7,IF($L694="","",IFERROR(VLOOKUP($L694,day_data!$A:$I,9,FALSE),0)),NA())</f>
        <v>#N/A</v>
      </c>
    </row>
    <row r="695" spans="12:20">
      <c r="L695" s="57" t="str">
        <f t="shared" si="10"/>
        <v/>
      </c>
      <c r="M695" s="11" t="str">
        <f>IF($F$1,IF($L695="","",IFERROR(VLOOKUP($L695,day_data!$A:$I,2,FALSE),0)),NA())</f>
        <v/>
      </c>
      <c r="N695" s="58" t="e">
        <f>IF($F$2,IF($L695="","",IFERROR(VLOOKUP($L695,day_data!$A:$I,3,FALSE),0)),NA())</f>
        <v>#N/A</v>
      </c>
      <c r="O695" s="11" t="e">
        <f>IF($F$3,IF($L695="","",IFERROR(VLOOKUP($L695,day_data!$A:$I,4,FALSE),0)),NA())</f>
        <v>#N/A</v>
      </c>
      <c r="P695" s="58" t="e">
        <f>IF($F$4,IF($L695="","",IFERROR(VLOOKUP($L695,day_data!$A:$I,5,FALSE),0)),NA())</f>
        <v>#N/A</v>
      </c>
      <c r="Q695" s="59" t="e">
        <f>IF($F$8,IF($L695="","",IFERROR(VLOOKUP($L695,day_data!$A:$I,6,FALSE),0)),NA())</f>
        <v>#N/A</v>
      </c>
      <c r="R695" s="11" t="e">
        <f>IF($F$6,IF($L695="","",IFERROR(VLOOKUP($L695,day_data!$A:$I,7,FALSE),0)),NA())</f>
        <v>#N/A</v>
      </c>
      <c r="S695" s="58" t="str">
        <f>IF($F$5,IF($L695="","",IFERROR(VLOOKUP($L695,day_data!$A:$I,8,FALSE),0)),NA())</f>
        <v/>
      </c>
      <c r="T695" s="60" t="e">
        <f>IF($F$7,IF($L695="","",IFERROR(VLOOKUP($L695,day_data!$A:$I,9,FALSE),0)),NA())</f>
        <v>#N/A</v>
      </c>
    </row>
    <row r="696" spans="12:20">
      <c r="L696" s="57" t="str">
        <f t="shared" si="10"/>
        <v/>
      </c>
      <c r="M696" s="11" t="str">
        <f>IF($F$1,IF($L696="","",IFERROR(VLOOKUP($L696,day_data!$A:$I,2,FALSE),0)),NA())</f>
        <v/>
      </c>
      <c r="N696" s="58" t="e">
        <f>IF($F$2,IF($L696="","",IFERROR(VLOOKUP($L696,day_data!$A:$I,3,FALSE),0)),NA())</f>
        <v>#N/A</v>
      </c>
      <c r="O696" s="11" t="e">
        <f>IF($F$3,IF($L696="","",IFERROR(VLOOKUP($L696,day_data!$A:$I,4,FALSE),0)),NA())</f>
        <v>#N/A</v>
      </c>
      <c r="P696" s="58" t="e">
        <f>IF($F$4,IF($L696="","",IFERROR(VLOOKUP($L696,day_data!$A:$I,5,FALSE),0)),NA())</f>
        <v>#N/A</v>
      </c>
      <c r="Q696" s="59" t="e">
        <f>IF($F$8,IF($L696="","",IFERROR(VLOOKUP($L696,day_data!$A:$I,6,FALSE),0)),NA())</f>
        <v>#N/A</v>
      </c>
      <c r="R696" s="11" t="e">
        <f>IF($F$6,IF($L696="","",IFERROR(VLOOKUP($L696,day_data!$A:$I,7,FALSE),0)),NA())</f>
        <v>#N/A</v>
      </c>
      <c r="S696" s="58" t="str">
        <f>IF($F$5,IF($L696="","",IFERROR(VLOOKUP($L696,day_data!$A:$I,8,FALSE),0)),NA())</f>
        <v/>
      </c>
      <c r="T696" s="60" t="e">
        <f>IF($F$7,IF($L696="","",IFERROR(VLOOKUP($L696,day_data!$A:$I,9,FALSE),0)),NA())</f>
        <v>#N/A</v>
      </c>
    </row>
    <row r="697" spans="12:20">
      <c r="L697" s="57" t="str">
        <f t="shared" si="10"/>
        <v/>
      </c>
      <c r="M697" s="11" t="str">
        <f>IF($F$1,IF($L697="","",IFERROR(VLOOKUP($L697,day_data!$A:$I,2,FALSE),0)),NA())</f>
        <v/>
      </c>
      <c r="N697" s="58" t="e">
        <f>IF($F$2,IF($L697="","",IFERROR(VLOOKUP($L697,day_data!$A:$I,3,FALSE),0)),NA())</f>
        <v>#N/A</v>
      </c>
      <c r="O697" s="11" t="e">
        <f>IF($F$3,IF($L697="","",IFERROR(VLOOKUP($L697,day_data!$A:$I,4,FALSE),0)),NA())</f>
        <v>#N/A</v>
      </c>
      <c r="P697" s="58" t="e">
        <f>IF($F$4,IF($L697="","",IFERROR(VLOOKUP($L697,day_data!$A:$I,5,FALSE),0)),NA())</f>
        <v>#N/A</v>
      </c>
      <c r="Q697" s="59" t="e">
        <f>IF($F$8,IF($L697="","",IFERROR(VLOOKUP($L697,day_data!$A:$I,6,FALSE),0)),NA())</f>
        <v>#N/A</v>
      </c>
      <c r="R697" s="11" t="e">
        <f>IF($F$6,IF($L697="","",IFERROR(VLOOKUP($L697,day_data!$A:$I,7,FALSE),0)),NA())</f>
        <v>#N/A</v>
      </c>
      <c r="S697" s="58" t="str">
        <f>IF($F$5,IF($L697="","",IFERROR(VLOOKUP($L697,day_data!$A:$I,8,FALSE),0)),NA())</f>
        <v/>
      </c>
      <c r="T697" s="60" t="e">
        <f>IF($F$7,IF($L697="","",IFERROR(VLOOKUP($L697,day_data!$A:$I,9,FALSE),0)),NA())</f>
        <v>#N/A</v>
      </c>
    </row>
    <row r="698" spans="12:20">
      <c r="L698" s="57" t="str">
        <f t="shared" si="10"/>
        <v/>
      </c>
      <c r="M698" s="11" t="str">
        <f>IF($F$1,IF($L698="","",IFERROR(VLOOKUP($L698,day_data!$A:$I,2,FALSE),0)),NA())</f>
        <v/>
      </c>
      <c r="N698" s="58" t="e">
        <f>IF($F$2,IF($L698="","",IFERROR(VLOOKUP($L698,day_data!$A:$I,3,FALSE),0)),NA())</f>
        <v>#N/A</v>
      </c>
      <c r="O698" s="11" t="e">
        <f>IF($F$3,IF($L698="","",IFERROR(VLOOKUP($L698,day_data!$A:$I,4,FALSE),0)),NA())</f>
        <v>#N/A</v>
      </c>
      <c r="P698" s="58" t="e">
        <f>IF($F$4,IF($L698="","",IFERROR(VLOOKUP($L698,day_data!$A:$I,5,FALSE),0)),NA())</f>
        <v>#N/A</v>
      </c>
      <c r="Q698" s="59" t="e">
        <f>IF($F$8,IF($L698="","",IFERROR(VLOOKUP($L698,day_data!$A:$I,6,FALSE),0)),NA())</f>
        <v>#N/A</v>
      </c>
      <c r="R698" s="11" t="e">
        <f>IF($F$6,IF($L698="","",IFERROR(VLOOKUP($L698,day_data!$A:$I,7,FALSE),0)),NA())</f>
        <v>#N/A</v>
      </c>
      <c r="S698" s="58" t="str">
        <f>IF($F$5,IF($L698="","",IFERROR(VLOOKUP($L698,day_data!$A:$I,8,FALSE),0)),NA())</f>
        <v/>
      </c>
      <c r="T698" s="60" t="e">
        <f>IF($F$7,IF($L698="","",IFERROR(VLOOKUP($L698,day_data!$A:$I,9,FALSE),0)),NA())</f>
        <v>#N/A</v>
      </c>
    </row>
    <row r="699" spans="12:20">
      <c r="L699" s="57" t="str">
        <f t="shared" si="10"/>
        <v/>
      </c>
      <c r="M699" s="11" t="str">
        <f>IF($F$1,IF($L699="","",IFERROR(VLOOKUP($L699,day_data!$A:$I,2,FALSE),0)),NA())</f>
        <v/>
      </c>
      <c r="N699" s="58" t="e">
        <f>IF($F$2,IF($L699="","",IFERROR(VLOOKUP($L699,day_data!$A:$I,3,FALSE),0)),NA())</f>
        <v>#N/A</v>
      </c>
      <c r="O699" s="11" t="e">
        <f>IF($F$3,IF($L699="","",IFERROR(VLOOKUP($L699,day_data!$A:$I,4,FALSE),0)),NA())</f>
        <v>#N/A</v>
      </c>
      <c r="P699" s="58" t="e">
        <f>IF($F$4,IF($L699="","",IFERROR(VLOOKUP($L699,day_data!$A:$I,5,FALSE),0)),NA())</f>
        <v>#N/A</v>
      </c>
      <c r="Q699" s="59" t="e">
        <f>IF($F$8,IF($L699="","",IFERROR(VLOOKUP($L699,day_data!$A:$I,6,FALSE),0)),NA())</f>
        <v>#N/A</v>
      </c>
      <c r="R699" s="11" t="e">
        <f>IF($F$6,IF($L699="","",IFERROR(VLOOKUP($L699,day_data!$A:$I,7,FALSE),0)),NA())</f>
        <v>#N/A</v>
      </c>
      <c r="S699" s="58" t="str">
        <f>IF($F$5,IF($L699="","",IFERROR(VLOOKUP($L699,day_data!$A:$I,8,FALSE),0)),NA())</f>
        <v/>
      </c>
      <c r="T699" s="60" t="e">
        <f>IF($F$7,IF($L699="","",IFERROR(VLOOKUP($L699,day_data!$A:$I,9,FALSE),0)),NA())</f>
        <v>#N/A</v>
      </c>
    </row>
    <row r="700" spans="12:20">
      <c r="L700" s="57" t="str">
        <f t="shared" si="10"/>
        <v/>
      </c>
      <c r="M700" s="11" t="str">
        <f>IF($F$1,IF($L700="","",IFERROR(VLOOKUP($L700,day_data!$A:$I,2,FALSE),0)),NA())</f>
        <v/>
      </c>
      <c r="N700" s="58" t="e">
        <f>IF($F$2,IF($L700="","",IFERROR(VLOOKUP($L700,day_data!$A:$I,3,FALSE),0)),NA())</f>
        <v>#N/A</v>
      </c>
      <c r="O700" s="11" t="e">
        <f>IF($F$3,IF($L700="","",IFERROR(VLOOKUP($L700,day_data!$A:$I,4,FALSE),0)),NA())</f>
        <v>#N/A</v>
      </c>
      <c r="P700" s="58" t="e">
        <f>IF($F$4,IF($L700="","",IFERROR(VLOOKUP($L700,day_data!$A:$I,5,FALSE),0)),NA())</f>
        <v>#N/A</v>
      </c>
      <c r="Q700" s="59" t="e">
        <f>IF($F$8,IF($L700="","",IFERROR(VLOOKUP($L700,day_data!$A:$I,6,FALSE),0)),NA())</f>
        <v>#N/A</v>
      </c>
      <c r="R700" s="11" t="e">
        <f>IF($F$6,IF($L700="","",IFERROR(VLOOKUP($L700,day_data!$A:$I,7,FALSE),0)),NA())</f>
        <v>#N/A</v>
      </c>
      <c r="S700" s="58" t="str">
        <f>IF($F$5,IF($L700="","",IFERROR(VLOOKUP($L700,day_data!$A:$I,8,FALSE),0)),NA())</f>
        <v/>
      </c>
      <c r="T700" s="60" t="e">
        <f>IF($F$7,IF($L700="","",IFERROR(VLOOKUP($L700,day_data!$A:$I,9,FALSE),0)),NA())</f>
        <v>#N/A</v>
      </c>
    </row>
    <row r="701" spans="12:20">
      <c r="L701" s="57" t="str">
        <f t="shared" si="10"/>
        <v/>
      </c>
      <c r="M701" s="11" t="str">
        <f>IF($F$1,IF($L701="","",IFERROR(VLOOKUP($L701,day_data!$A:$I,2,FALSE),0)),NA())</f>
        <v/>
      </c>
      <c r="N701" s="58" t="e">
        <f>IF($F$2,IF($L701="","",IFERROR(VLOOKUP($L701,day_data!$A:$I,3,FALSE),0)),NA())</f>
        <v>#N/A</v>
      </c>
      <c r="O701" s="11" t="e">
        <f>IF($F$3,IF($L701="","",IFERROR(VLOOKUP($L701,day_data!$A:$I,4,FALSE),0)),NA())</f>
        <v>#N/A</v>
      </c>
      <c r="P701" s="58" t="e">
        <f>IF($F$4,IF($L701="","",IFERROR(VLOOKUP($L701,day_data!$A:$I,5,FALSE),0)),NA())</f>
        <v>#N/A</v>
      </c>
      <c r="Q701" s="59" t="e">
        <f>IF($F$8,IF($L701="","",IFERROR(VLOOKUP($L701,day_data!$A:$I,6,FALSE),0)),NA())</f>
        <v>#N/A</v>
      </c>
      <c r="R701" s="11" t="e">
        <f>IF($F$6,IF($L701="","",IFERROR(VLOOKUP($L701,day_data!$A:$I,7,FALSE),0)),NA())</f>
        <v>#N/A</v>
      </c>
      <c r="S701" s="58" t="str">
        <f>IF($F$5,IF($L701="","",IFERROR(VLOOKUP($L701,day_data!$A:$I,8,FALSE),0)),NA())</f>
        <v/>
      </c>
      <c r="T701" s="60" t="e">
        <f>IF($F$7,IF($L701="","",IFERROR(VLOOKUP($L701,day_data!$A:$I,9,FALSE),0)),NA())</f>
        <v>#N/A</v>
      </c>
    </row>
    <row r="702" spans="12:20">
      <c r="L702" s="57" t="str">
        <f t="shared" si="10"/>
        <v/>
      </c>
      <c r="M702" s="11" t="str">
        <f>IF($F$1,IF($L702="","",IFERROR(VLOOKUP($L702,day_data!$A:$I,2,FALSE),0)),NA())</f>
        <v/>
      </c>
      <c r="N702" s="58" t="e">
        <f>IF($F$2,IF($L702="","",IFERROR(VLOOKUP($L702,day_data!$A:$I,3,FALSE),0)),NA())</f>
        <v>#N/A</v>
      </c>
      <c r="O702" s="11" t="e">
        <f>IF($F$3,IF($L702="","",IFERROR(VLOOKUP($L702,day_data!$A:$I,4,FALSE),0)),NA())</f>
        <v>#N/A</v>
      </c>
      <c r="P702" s="58" t="e">
        <f>IF($F$4,IF($L702="","",IFERROR(VLOOKUP($L702,day_data!$A:$I,5,FALSE),0)),NA())</f>
        <v>#N/A</v>
      </c>
      <c r="Q702" s="59" t="e">
        <f>IF($F$8,IF($L702="","",IFERROR(VLOOKUP($L702,day_data!$A:$I,6,FALSE),0)),NA())</f>
        <v>#N/A</v>
      </c>
      <c r="R702" s="11" t="e">
        <f>IF($F$6,IF($L702="","",IFERROR(VLOOKUP($L702,day_data!$A:$I,7,FALSE),0)),NA())</f>
        <v>#N/A</v>
      </c>
      <c r="S702" s="58" t="str">
        <f>IF($F$5,IF($L702="","",IFERROR(VLOOKUP($L702,day_data!$A:$I,8,FALSE),0)),NA())</f>
        <v/>
      </c>
      <c r="T702" s="60" t="e">
        <f>IF($F$7,IF($L702="","",IFERROR(VLOOKUP($L702,day_data!$A:$I,9,FALSE),0)),NA())</f>
        <v>#N/A</v>
      </c>
    </row>
    <row r="703" spans="12:20">
      <c r="L703" s="57" t="str">
        <f t="shared" si="10"/>
        <v/>
      </c>
      <c r="M703" s="11" t="str">
        <f>IF($F$1,IF($L703="","",IFERROR(VLOOKUP($L703,day_data!$A:$I,2,FALSE),0)),NA())</f>
        <v/>
      </c>
      <c r="N703" s="58" t="e">
        <f>IF($F$2,IF($L703="","",IFERROR(VLOOKUP($L703,day_data!$A:$I,3,FALSE),0)),NA())</f>
        <v>#N/A</v>
      </c>
      <c r="O703" s="11" t="e">
        <f>IF($F$3,IF($L703="","",IFERROR(VLOOKUP($L703,day_data!$A:$I,4,FALSE),0)),NA())</f>
        <v>#N/A</v>
      </c>
      <c r="P703" s="58" t="e">
        <f>IF($F$4,IF($L703="","",IFERROR(VLOOKUP($L703,day_data!$A:$I,5,FALSE),0)),NA())</f>
        <v>#N/A</v>
      </c>
      <c r="Q703" s="59" t="e">
        <f>IF($F$8,IF($L703="","",IFERROR(VLOOKUP($L703,day_data!$A:$I,6,FALSE),0)),NA())</f>
        <v>#N/A</v>
      </c>
      <c r="R703" s="11" t="e">
        <f>IF($F$6,IF($L703="","",IFERROR(VLOOKUP($L703,day_data!$A:$I,7,FALSE),0)),NA())</f>
        <v>#N/A</v>
      </c>
      <c r="S703" s="58" t="str">
        <f>IF($F$5,IF($L703="","",IFERROR(VLOOKUP($L703,day_data!$A:$I,8,FALSE),0)),NA())</f>
        <v/>
      </c>
      <c r="T703" s="60" t="e">
        <f>IF($F$7,IF($L703="","",IFERROR(VLOOKUP($L703,day_data!$A:$I,9,FALSE),0)),NA())</f>
        <v>#N/A</v>
      </c>
    </row>
    <row r="704" spans="12:20">
      <c r="L704" s="57" t="str">
        <f t="shared" si="10"/>
        <v/>
      </c>
      <c r="M704" s="11" t="str">
        <f>IF($F$1,IF($L704="","",IFERROR(VLOOKUP($L704,day_data!$A:$I,2,FALSE),0)),NA())</f>
        <v/>
      </c>
      <c r="N704" s="58" t="e">
        <f>IF($F$2,IF($L704="","",IFERROR(VLOOKUP($L704,day_data!$A:$I,3,FALSE),0)),NA())</f>
        <v>#N/A</v>
      </c>
      <c r="O704" s="11" t="e">
        <f>IF($F$3,IF($L704="","",IFERROR(VLOOKUP($L704,day_data!$A:$I,4,FALSE),0)),NA())</f>
        <v>#N/A</v>
      </c>
      <c r="P704" s="58" t="e">
        <f>IF($F$4,IF($L704="","",IFERROR(VLOOKUP($L704,day_data!$A:$I,5,FALSE),0)),NA())</f>
        <v>#N/A</v>
      </c>
      <c r="Q704" s="59" t="e">
        <f>IF($F$8,IF($L704="","",IFERROR(VLOOKUP($L704,day_data!$A:$I,6,FALSE),0)),NA())</f>
        <v>#N/A</v>
      </c>
      <c r="R704" s="11" t="e">
        <f>IF($F$6,IF($L704="","",IFERROR(VLOOKUP($L704,day_data!$A:$I,7,FALSE),0)),NA())</f>
        <v>#N/A</v>
      </c>
      <c r="S704" s="58" t="str">
        <f>IF($F$5,IF($L704="","",IFERROR(VLOOKUP($L704,day_data!$A:$I,8,FALSE),0)),NA())</f>
        <v/>
      </c>
      <c r="T704" s="60" t="e">
        <f>IF($F$7,IF($L704="","",IFERROR(VLOOKUP($L704,day_data!$A:$I,9,FALSE),0)),NA())</f>
        <v>#N/A</v>
      </c>
    </row>
    <row r="705" spans="12:20">
      <c r="L705" s="57" t="str">
        <f t="shared" si="10"/>
        <v/>
      </c>
      <c r="M705" s="11" t="str">
        <f>IF($F$1,IF($L705="","",IFERROR(VLOOKUP($L705,day_data!$A:$I,2,FALSE),0)),NA())</f>
        <v/>
      </c>
      <c r="N705" s="58" t="e">
        <f>IF($F$2,IF($L705="","",IFERROR(VLOOKUP($L705,day_data!$A:$I,3,FALSE),0)),NA())</f>
        <v>#N/A</v>
      </c>
      <c r="O705" s="11" t="e">
        <f>IF($F$3,IF($L705="","",IFERROR(VLOOKUP($L705,day_data!$A:$I,4,FALSE),0)),NA())</f>
        <v>#N/A</v>
      </c>
      <c r="P705" s="58" t="e">
        <f>IF($F$4,IF($L705="","",IFERROR(VLOOKUP($L705,day_data!$A:$I,5,FALSE),0)),NA())</f>
        <v>#N/A</v>
      </c>
      <c r="Q705" s="59" t="e">
        <f>IF($F$8,IF($L705="","",IFERROR(VLOOKUP($L705,day_data!$A:$I,6,FALSE),0)),NA())</f>
        <v>#N/A</v>
      </c>
      <c r="R705" s="11" t="e">
        <f>IF($F$6,IF($L705="","",IFERROR(VLOOKUP($L705,day_data!$A:$I,7,FALSE),0)),NA())</f>
        <v>#N/A</v>
      </c>
      <c r="S705" s="58" t="str">
        <f>IF($F$5,IF($L705="","",IFERROR(VLOOKUP($L705,day_data!$A:$I,8,FALSE),0)),NA())</f>
        <v/>
      </c>
      <c r="T705" s="60" t="e">
        <f>IF($F$7,IF($L705="","",IFERROR(VLOOKUP($L705,day_data!$A:$I,9,FALSE),0)),NA())</f>
        <v>#N/A</v>
      </c>
    </row>
    <row r="706" spans="12:20">
      <c r="L706" s="57" t="str">
        <f t="shared" si="10"/>
        <v/>
      </c>
      <c r="M706" s="11" t="str">
        <f>IF($F$1,IF($L706="","",IFERROR(VLOOKUP($L706,day_data!$A:$I,2,FALSE),0)),NA())</f>
        <v/>
      </c>
      <c r="N706" s="58" t="e">
        <f>IF($F$2,IF($L706="","",IFERROR(VLOOKUP($L706,day_data!$A:$I,3,FALSE),0)),NA())</f>
        <v>#N/A</v>
      </c>
      <c r="O706" s="11" t="e">
        <f>IF($F$3,IF($L706="","",IFERROR(VLOOKUP($L706,day_data!$A:$I,4,FALSE),0)),NA())</f>
        <v>#N/A</v>
      </c>
      <c r="P706" s="58" t="e">
        <f>IF($F$4,IF($L706="","",IFERROR(VLOOKUP($L706,day_data!$A:$I,5,FALSE),0)),NA())</f>
        <v>#N/A</v>
      </c>
      <c r="Q706" s="59" t="e">
        <f>IF($F$8,IF($L706="","",IFERROR(VLOOKUP($L706,day_data!$A:$I,6,FALSE),0)),NA())</f>
        <v>#N/A</v>
      </c>
      <c r="R706" s="11" t="e">
        <f>IF($F$6,IF($L706="","",IFERROR(VLOOKUP($L706,day_data!$A:$I,7,FALSE),0)),NA())</f>
        <v>#N/A</v>
      </c>
      <c r="S706" s="58" t="str">
        <f>IF($F$5,IF($L706="","",IFERROR(VLOOKUP($L706,day_data!$A:$I,8,FALSE),0)),NA())</f>
        <v/>
      </c>
      <c r="T706" s="60" t="e">
        <f>IF($F$7,IF($L706="","",IFERROR(VLOOKUP($L706,day_data!$A:$I,9,FALSE),0)),NA())</f>
        <v>#N/A</v>
      </c>
    </row>
    <row r="707" spans="12:20">
      <c r="L707" s="57" t="str">
        <f t="shared" si="10"/>
        <v/>
      </c>
      <c r="M707" s="11" t="str">
        <f>IF($F$1,IF($L707="","",IFERROR(VLOOKUP($L707,day_data!$A:$I,2,FALSE),0)),NA())</f>
        <v/>
      </c>
      <c r="N707" s="58" t="e">
        <f>IF($F$2,IF($L707="","",IFERROR(VLOOKUP($L707,day_data!$A:$I,3,FALSE),0)),NA())</f>
        <v>#N/A</v>
      </c>
      <c r="O707" s="11" t="e">
        <f>IF($F$3,IF($L707="","",IFERROR(VLOOKUP($L707,day_data!$A:$I,4,FALSE),0)),NA())</f>
        <v>#N/A</v>
      </c>
      <c r="P707" s="58" t="e">
        <f>IF($F$4,IF($L707="","",IFERROR(VLOOKUP($L707,day_data!$A:$I,5,FALSE),0)),NA())</f>
        <v>#N/A</v>
      </c>
      <c r="Q707" s="59" t="e">
        <f>IF($F$8,IF($L707="","",IFERROR(VLOOKUP($L707,day_data!$A:$I,6,FALSE),0)),NA())</f>
        <v>#N/A</v>
      </c>
      <c r="R707" s="11" t="e">
        <f>IF($F$6,IF($L707="","",IFERROR(VLOOKUP($L707,day_data!$A:$I,7,FALSE),0)),NA())</f>
        <v>#N/A</v>
      </c>
      <c r="S707" s="58" t="str">
        <f>IF($F$5,IF($L707="","",IFERROR(VLOOKUP($L707,day_data!$A:$I,8,FALSE),0)),NA())</f>
        <v/>
      </c>
      <c r="T707" s="60" t="e">
        <f>IF($F$7,IF($L707="","",IFERROR(VLOOKUP($L707,day_data!$A:$I,9,FALSE),0)),NA())</f>
        <v>#N/A</v>
      </c>
    </row>
    <row r="708" spans="12:20">
      <c r="L708" s="57" t="str">
        <f t="shared" ref="L708:L771" si="11">IF(ROW(L708)-1&gt;$C$1,"",L707+1)</f>
        <v/>
      </c>
      <c r="M708" s="11" t="str">
        <f>IF($F$1,IF($L708="","",IFERROR(VLOOKUP($L708,day_data!$A:$I,2,FALSE),0)),NA())</f>
        <v/>
      </c>
      <c r="N708" s="58" t="e">
        <f>IF($F$2,IF($L708="","",IFERROR(VLOOKUP($L708,day_data!$A:$I,3,FALSE),0)),NA())</f>
        <v>#N/A</v>
      </c>
      <c r="O708" s="11" t="e">
        <f>IF($F$3,IF($L708="","",IFERROR(VLOOKUP($L708,day_data!$A:$I,4,FALSE),0)),NA())</f>
        <v>#N/A</v>
      </c>
      <c r="P708" s="58" t="e">
        <f>IF($F$4,IF($L708="","",IFERROR(VLOOKUP($L708,day_data!$A:$I,5,FALSE),0)),NA())</f>
        <v>#N/A</v>
      </c>
      <c r="Q708" s="59" t="e">
        <f>IF($F$8,IF($L708="","",IFERROR(VLOOKUP($L708,day_data!$A:$I,6,FALSE),0)),NA())</f>
        <v>#N/A</v>
      </c>
      <c r="R708" s="11" t="e">
        <f>IF($F$6,IF($L708="","",IFERROR(VLOOKUP($L708,day_data!$A:$I,7,FALSE),0)),NA())</f>
        <v>#N/A</v>
      </c>
      <c r="S708" s="58" t="str">
        <f>IF($F$5,IF($L708="","",IFERROR(VLOOKUP($L708,day_data!$A:$I,8,FALSE),0)),NA())</f>
        <v/>
      </c>
      <c r="T708" s="60" t="e">
        <f>IF($F$7,IF($L708="","",IFERROR(VLOOKUP($L708,day_data!$A:$I,9,FALSE),0)),NA())</f>
        <v>#N/A</v>
      </c>
    </row>
    <row r="709" spans="12:20">
      <c r="L709" s="57" t="str">
        <f t="shared" si="11"/>
        <v/>
      </c>
      <c r="M709" s="11" t="str">
        <f>IF($F$1,IF($L709="","",IFERROR(VLOOKUP($L709,day_data!$A:$I,2,FALSE),0)),NA())</f>
        <v/>
      </c>
      <c r="N709" s="58" t="e">
        <f>IF($F$2,IF($L709="","",IFERROR(VLOOKUP($L709,day_data!$A:$I,3,FALSE),0)),NA())</f>
        <v>#N/A</v>
      </c>
      <c r="O709" s="11" t="e">
        <f>IF($F$3,IF($L709="","",IFERROR(VLOOKUP($L709,day_data!$A:$I,4,FALSE),0)),NA())</f>
        <v>#N/A</v>
      </c>
      <c r="P709" s="58" t="e">
        <f>IF($F$4,IF($L709="","",IFERROR(VLOOKUP($L709,day_data!$A:$I,5,FALSE),0)),NA())</f>
        <v>#N/A</v>
      </c>
      <c r="Q709" s="59" t="e">
        <f>IF($F$8,IF($L709="","",IFERROR(VLOOKUP($L709,day_data!$A:$I,6,FALSE),0)),NA())</f>
        <v>#N/A</v>
      </c>
      <c r="R709" s="11" t="e">
        <f>IF($F$6,IF($L709="","",IFERROR(VLOOKUP($L709,day_data!$A:$I,7,FALSE),0)),NA())</f>
        <v>#N/A</v>
      </c>
      <c r="S709" s="58" t="str">
        <f>IF($F$5,IF($L709="","",IFERROR(VLOOKUP($L709,day_data!$A:$I,8,FALSE),0)),NA())</f>
        <v/>
      </c>
      <c r="T709" s="60" t="e">
        <f>IF($F$7,IF($L709="","",IFERROR(VLOOKUP($L709,day_data!$A:$I,9,FALSE),0)),NA())</f>
        <v>#N/A</v>
      </c>
    </row>
    <row r="710" spans="12:20">
      <c r="L710" s="57" t="str">
        <f t="shared" si="11"/>
        <v/>
      </c>
      <c r="M710" s="11" t="str">
        <f>IF($F$1,IF($L710="","",IFERROR(VLOOKUP($L710,day_data!$A:$I,2,FALSE),0)),NA())</f>
        <v/>
      </c>
      <c r="N710" s="58" t="e">
        <f>IF($F$2,IF($L710="","",IFERROR(VLOOKUP($L710,day_data!$A:$I,3,FALSE),0)),NA())</f>
        <v>#N/A</v>
      </c>
      <c r="O710" s="11" t="e">
        <f>IF($F$3,IF($L710="","",IFERROR(VLOOKUP($L710,day_data!$A:$I,4,FALSE),0)),NA())</f>
        <v>#N/A</v>
      </c>
      <c r="P710" s="58" t="e">
        <f>IF($F$4,IF($L710="","",IFERROR(VLOOKUP($L710,day_data!$A:$I,5,FALSE),0)),NA())</f>
        <v>#N/A</v>
      </c>
      <c r="Q710" s="59" t="e">
        <f>IF($F$8,IF($L710="","",IFERROR(VLOOKUP($L710,day_data!$A:$I,6,FALSE),0)),NA())</f>
        <v>#N/A</v>
      </c>
      <c r="R710" s="11" t="e">
        <f>IF($F$6,IF($L710="","",IFERROR(VLOOKUP($L710,day_data!$A:$I,7,FALSE),0)),NA())</f>
        <v>#N/A</v>
      </c>
      <c r="S710" s="58" t="str">
        <f>IF($F$5,IF($L710="","",IFERROR(VLOOKUP($L710,day_data!$A:$I,8,FALSE),0)),NA())</f>
        <v/>
      </c>
      <c r="T710" s="60" t="e">
        <f>IF($F$7,IF($L710="","",IFERROR(VLOOKUP($L710,day_data!$A:$I,9,FALSE),0)),NA())</f>
        <v>#N/A</v>
      </c>
    </row>
    <row r="711" spans="12:20">
      <c r="L711" s="57" t="str">
        <f t="shared" si="11"/>
        <v/>
      </c>
      <c r="M711" s="11" t="str">
        <f>IF($F$1,IF($L711="","",IFERROR(VLOOKUP($L711,day_data!$A:$I,2,FALSE),0)),NA())</f>
        <v/>
      </c>
      <c r="N711" s="58" t="e">
        <f>IF($F$2,IF($L711="","",IFERROR(VLOOKUP($L711,day_data!$A:$I,3,FALSE),0)),NA())</f>
        <v>#N/A</v>
      </c>
      <c r="O711" s="11" t="e">
        <f>IF($F$3,IF($L711="","",IFERROR(VLOOKUP($L711,day_data!$A:$I,4,FALSE),0)),NA())</f>
        <v>#N/A</v>
      </c>
      <c r="P711" s="58" t="e">
        <f>IF($F$4,IF($L711="","",IFERROR(VLOOKUP($L711,day_data!$A:$I,5,FALSE),0)),NA())</f>
        <v>#N/A</v>
      </c>
      <c r="Q711" s="59" t="e">
        <f>IF($F$8,IF($L711="","",IFERROR(VLOOKUP($L711,day_data!$A:$I,6,FALSE),0)),NA())</f>
        <v>#N/A</v>
      </c>
      <c r="R711" s="11" t="e">
        <f>IF($F$6,IF($L711="","",IFERROR(VLOOKUP($L711,day_data!$A:$I,7,FALSE),0)),NA())</f>
        <v>#N/A</v>
      </c>
      <c r="S711" s="58" t="str">
        <f>IF($F$5,IF($L711="","",IFERROR(VLOOKUP($L711,day_data!$A:$I,8,FALSE),0)),NA())</f>
        <v/>
      </c>
      <c r="T711" s="60" t="e">
        <f>IF($F$7,IF($L711="","",IFERROR(VLOOKUP($L711,day_data!$A:$I,9,FALSE),0)),NA())</f>
        <v>#N/A</v>
      </c>
    </row>
    <row r="712" spans="12:20">
      <c r="L712" s="57" t="str">
        <f t="shared" si="11"/>
        <v/>
      </c>
      <c r="M712" s="11" t="str">
        <f>IF($F$1,IF($L712="","",IFERROR(VLOOKUP($L712,day_data!$A:$I,2,FALSE),0)),NA())</f>
        <v/>
      </c>
      <c r="N712" s="58" t="e">
        <f>IF($F$2,IF($L712="","",IFERROR(VLOOKUP($L712,day_data!$A:$I,3,FALSE),0)),NA())</f>
        <v>#N/A</v>
      </c>
      <c r="O712" s="11" t="e">
        <f>IF($F$3,IF($L712="","",IFERROR(VLOOKUP($L712,day_data!$A:$I,4,FALSE),0)),NA())</f>
        <v>#N/A</v>
      </c>
      <c r="P712" s="58" t="e">
        <f>IF($F$4,IF($L712="","",IFERROR(VLOOKUP($L712,day_data!$A:$I,5,FALSE),0)),NA())</f>
        <v>#N/A</v>
      </c>
      <c r="Q712" s="59" t="e">
        <f>IF($F$8,IF($L712="","",IFERROR(VLOOKUP($L712,day_data!$A:$I,6,FALSE),0)),NA())</f>
        <v>#N/A</v>
      </c>
      <c r="R712" s="11" t="e">
        <f>IF($F$6,IF($L712="","",IFERROR(VLOOKUP($L712,day_data!$A:$I,7,FALSE),0)),NA())</f>
        <v>#N/A</v>
      </c>
      <c r="S712" s="58" t="str">
        <f>IF($F$5,IF($L712="","",IFERROR(VLOOKUP($L712,day_data!$A:$I,8,FALSE),0)),NA())</f>
        <v/>
      </c>
      <c r="T712" s="60" t="e">
        <f>IF($F$7,IF($L712="","",IFERROR(VLOOKUP($L712,day_data!$A:$I,9,FALSE),0)),NA())</f>
        <v>#N/A</v>
      </c>
    </row>
    <row r="713" spans="12:20">
      <c r="L713" s="57" t="str">
        <f t="shared" si="11"/>
        <v/>
      </c>
      <c r="M713" s="11" t="str">
        <f>IF($F$1,IF($L713="","",IFERROR(VLOOKUP($L713,day_data!$A:$I,2,FALSE),0)),NA())</f>
        <v/>
      </c>
      <c r="N713" s="58" t="e">
        <f>IF($F$2,IF($L713="","",IFERROR(VLOOKUP($L713,day_data!$A:$I,3,FALSE),0)),NA())</f>
        <v>#N/A</v>
      </c>
      <c r="O713" s="11" t="e">
        <f>IF($F$3,IF($L713="","",IFERROR(VLOOKUP($L713,day_data!$A:$I,4,FALSE),0)),NA())</f>
        <v>#N/A</v>
      </c>
      <c r="P713" s="58" t="e">
        <f>IF($F$4,IF($L713="","",IFERROR(VLOOKUP($L713,day_data!$A:$I,5,FALSE),0)),NA())</f>
        <v>#N/A</v>
      </c>
      <c r="Q713" s="59" t="e">
        <f>IF($F$8,IF($L713="","",IFERROR(VLOOKUP($L713,day_data!$A:$I,6,FALSE),0)),NA())</f>
        <v>#N/A</v>
      </c>
      <c r="R713" s="11" t="e">
        <f>IF($F$6,IF($L713="","",IFERROR(VLOOKUP($L713,day_data!$A:$I,7,FALSE),0)),NA())</f>
        <v>#N/A</v>
      </c>
      <c r="S713" s="58" t="str">
        <f>IF($F$5,IF($L713="","",IFERROR(VLOOKUP($L713,day_data!$A:$I,8,FALSE),0)),NA())</f>
        <v/>
      </c>
      <c r="T713" s="60" t="e">
        <f>IF($F$7,IF($L713="","",IFERROR(VLOOKUP($L713,day_data!$A:$I,9,FALSE),0)),NA())</f>
        <v>#N/A</v>
      </c>
    </row>
    <row r="714" spans="12:20">
      <c r="L714" s="57" t="str">
        <f t="shared" si="11"/>
        <v/>
      </c>
      <c r="M714" s="11" t="str">
        <f>IF($F$1,IF($L714="","",IFERROR(VLOOKUP($L714,day_data!$A:$I,2,FALSE),0)),NA())</f>
        <v/>
      </c>
      <c r="N714" s="58" t="e">
        <f>IF($F$2,IF($L714="","",IFERROR(VLOOKUP($L714,day_data!$A:$I,3,FALSE),0)),NA())</f>
        <v>#N/A</v>
      </c>
      <c r="O714" s="11" t="e">
        <f>IF($F$3,IF($L714="","",IFERROR(VLOOKUP($L714,day_data!$A:$I,4,FALSE),0)),NA())</f>
        <v>#N/A</v>
      </c>
      <c r="P714" s="58" t="e">
        <f>IF($F$4,IF($L714="","",IFERROR(VLOOKUP($L714,day_data!$A:$I,5,FALSE),0)),NA())</f>
        <v>#N/A</v>
      </c>
      <c r="Q714" s="59" t="e">
        <f>IF($F$8,IF($L714="","",IFERROR(VLOOKUP($L714,day_data!$A:$I,6,FALSE),0)),NA())</f>
        <v>#N/A</v>
      </c>
      <c r="R714" s="11" t="e">
        <f>IF($F$6,IF($L714="","",IFERROR(VLOOKUP($L714,day_data!$A:$I,7,FALSE),0)),NA())</f>
        <v>#N/A</v>
      </c>
      <c r="S714" s="58" t="str">
        <f>IF($F$5,IF($L714="","",IFERROR(VLOOKUP($L714,day_data!$A:$I,8,FALSE),0)),NA())</f>
        <v/>
      </c>
      <c r="T714" s="60" t="e">
        <f>IF($F$7,IF($L714="","",IFERROR(VLOOKUP($L714,day_data!$A:$I,9,FALSE),0)),NA())</f>
        <v>#N/A</v>
      </c>
    </row>
    <row r="715" spans="12:20">
      <c r="L715" s="57" t="str">
        <f t="shared" si="11"/>
        <v/>
      </c>
      <c r="M715" s="11" t="str">
        <f>IF($F$1,IF($L715="","",IFERROR(VLOOKUP($L715,day_data!$A:$I,2,FALSE),0)),NA())</f>
        <v/>
      </c>
      <c r="N715" s="58" t="e">
        <f>IF($F$2,IF($L715="","",IFERROR(VLOOKUP($L715,day_data!$A:$I,3,FALSE),0)),NA())</f>
        <v>#N/A</v>
      </c>
      <c r="O715" s="11" t="e">
        <f>IF($F$3,IF($L715="","",IFERROR(VLOOKUP($L715,day_data!$A:$I,4,FALSE),0)),NA())</f>
        <v>#N/A</v>
      </c>
      <c r="P715" s="58" t="e">
        <f>IF($F$4,IF($L715="","",IFERROR(VLOOKUP($L715,day_data!$A:$I,5,FALSE),0)),NA())</f>
        <v>#N/A</v>
      </c>
      <c r="Q715" s="59" t="e">
        <f>IF($F$8,IF($L715="","",IFERROR(VLOOKUP($L715,day_data!$A:$I,6,FALSE),0)),NA())</f>
        <v>#N/A</v>
      </c>
      <c r="R715" s="11" t="e">
        <f>IF($F$6,IF($L715="","",IFERROR(VLOOKUP($L715,day_data!$A:$I,7,FALSE),0)),NA())</f>
        <v>#N/A</v>
      </c>
      <c r="S715" s="58" t="str">
        <f>IF($F$5,IF($L715="","",IFERROR(VLOOKUP($L715,day_data!$A:$I,8,FALSE),0)),NA())</f>
        <v/>
      </c>
      <c r="T715" s="60" t="e">
        <f>IF($F$7,IF($L715="","",IFERROR(VLOOKUP($L715,day_data!$A:$I,9,FALSE),0)),NA())</f>
        <v>#N/A</v>
      </c>
    </row>
    <row r="716" spans="12:20">
      <c r="L716" s="57" t="str">
        <f t="shared" si="11"/>
        <v/>
      </c>
      <c r="M716" s="11" t="str">
        <f>IF($F$1,IF($L716="","",IFERROR(VLOOKUP($L716,day_data!$A:$I,2,FALSE),0)),NA())</f>
        <v/>
      </c>
      <c r="N716" s="58" t="e">
        <f>IF($F$2,IF($L716="","",IFERROR(VLOOKUP($L716,day_data!$A:$I,3,FALSE),0)),NA())</f>
        <v>#N/A</v>
      </c>
      <c r="O716" s="11" t="e">
        <f>IF($F$3,IF($L716="","",IFERROR(VLOOKUP($L716,day_data!$A:$I,4,FALSE),0)),NA())</f>
        <v>#N/A</v>
      </c>
      <c r="P716" s="58" t="e">
        <f>IF($F$4,IF($L716="","",IFERROR(VLOOKUP($L716,day_data!$A:$I,5,FALSE),0)),NA())</f>
        <v>#N/A</v>
      </c>
      <c r="Q716" s="59" t="e">
        <f>IF($F$8,IF($L716="","",IFERROR(VLOOKUP($L716,day_data!$A:$I,6,FALSE),0)),NA())</f>
        <v>#N/A</v>
      </c>
      <c r="R716" s="11" t="e">
        <f>IF($F$6,IF($L716="","",IFERROR(VLOOKUP($L716,day_data!$A:$I,7,FALSE),0)),NA())</f>
        <v>#N/A</v>
      </c>
      <c r="S716" s="58" t="str">
        <f>IF($F$5,IF($L716="","",IFERROR(VLOOKUP($L716,day_data!$A:$I,8,FALSE),0)),NA())</f>
        <v/>
      </c>
      <c r="T716" s="60" t="e">
        <f>IF($F$7,IF($L716="","",IFERROR(VLOOKUP($L716,day_data!$A:$I,9,FALSE),0)),NA())</f>
        <v>#N/A</v>
      </c>
    </row>
    <row r="717" spans="12:20">
      <c r="L717" s="57" t="str">
        <f t="shared" si="11"/>
        <v/>
      </c>
      <c r="M717" s="11" t="str">
        <f>IF($F$1,IF($L717="","",IFERROR(VLOOKUP($L717,day_data!$A:$I,2,FALSE),0)),NA())</f>
        <v/>
      </c>
      <c r="N717" s="58" t="e">
        <f>IF($F$2,IF($L717="","",IFERROR(VLOOKUP($L717,day_data!$A:$I,3,FALSE),0)),NA())</f>
        <v>#N/A</v>
      </c>
      <c r="O717" s="11" t="e">
        <f>IF($F$3,IF($L717="","",IFERROR(VLOOKUP($L717,day_data!$A:$I,4,FALSE),0)),NA())</f>
        <v>#N/A</v>
      </c>
      <c r="P717" s="58" t="e">
        <f>IF($F$4,IF($L717="","",IFERROR(VLOOKUP($L717,day_data!$A:$I,5,FALSE),0)),NA())</f>
        <v>#N/A</v>
      </c>
      <c r="Q717" s="59" t="e">
        <f>IF($F$8,IF($L717="","",IFERROR(VLOOKUP($L717,day_data!$A:$I,6,FALSE),0)),NA())</f>
        <v>#N/A</v>
      </c>
      <c r="R717" s="11" t="e">
        <f>IF($F$6,IF($L717="","",IFERROR(VLOOKUP($L717,day_data!$A:$I,7,FALSE),0)),NA())</f>
        <v>#N/A</v>
      </c>
      <c r="S717" s="58" t="str">
        <f>IF($F$5,IF($L717="","",IFERROR(VLOOKUP($L717,day_data!$A:$I,8,FALSE),0)),NA())</f>
        <v/>
      </c>
      <c r="T717" s="60" t="e">
        <f>IF($F$7,IF($L717="","",IFERROR(VLOOKUP($L717,day_data!$A:$I,9,FALSE),0)),NA())</f>
        <v>#N/A</v>
      </c>
    </row>
    <row r="718" spans="12:20">
      <c r="L718" s="57" t="str">
        <f t="shared" si="11"/>
        <v/>
      </c>
      <c r="M718" s="11" t="str">
        <f>IF($F$1,IF($L718="","",IFERROR(VLOOKUP($L718,day_data!$A:$I,2,FALSE),0)),NA())</f>
        <v/>
      </c>
      <c r="N718" s="58" t="e">
        <f>IF($F$2,IF($L718="","",IFERROR(VLOOKUP($L718,day_data!$A:$I,3,FALSE),0)),NA())</f>
        <v>#N/A</v>
      </c>
      <c r="O718" s="11" t="e">
        <f>IF($F$3,IF($L718="","",IFERROR(VLOOKUP($L718,day_data!$A:$I,4,FALSE),0)),NA())</f>
        <v>#N/A</v>
      </c>
      <c r="P718" s="58" t="e">
        <f>IF($F$4,IF($L718="","",IFERROR(VLOOKUP($L718,day_data!$A:$I,5,FALSE),0)),NA())</f>
        <v>#N/A</v>
      </c>
      <c r="Q718" s="59" t="e">
        <f>IF($F$8,IF($L718="","",IFERROR(VLOOKUP($L718,day_data!$A:$I,6,FALSE),0)),NA())</f>
        <v>#N/A</v>
      </c>
      <c r="R718" s="11" t="e">
        <f>IF($F$6,IF($L718="","",IFERROR(VLOOKUP($L718,day_data!$A:$I,7,FALSE),0)),NA())</f>
        <v>#N/A</v>
      </c>
      <c r="S718" s="58" t="str">
        <f>IF($F$5,IF($L718="","",IFERROR(VLOOKUP($L718,day_data!$A:$I,8,FALSE),0)),NA())</f>
        <v/>
      </c>
      <c r="T718" s="60" t="e">
        <f>IF($F$7,IF($L718="","",IFERROR(VLOOKUP($L718,day_data!$A:$I,9,FALSE),0)),NA())</f>
        <v>#N/A</v>
      </c>
    </row>
    <row r="719" spans="12:20">
      <c r="L719" s="57" t="str">
        <f t="shared" si="11"/>
        <v/>
      </c>
      <c r="M719" s="11" t="str">
        <f>IF($F$1,IF($L719="","",IFERROR(VLOOKUP($L719,day_data!$A:$I,2,FALSE),0)),NA())</f>
        <v/>
      </c>
      <c r="N719" s="58" t="e">
        <f>IF($F$2,IF($L719="","",IFERROR(VLOOKUP($L719,day_data!$A:$I,3,FALSE),0)),NA())</f>
        <v>#N/A</v>
      </c>
      <c r="O719" s="11" t="e">
        <f>IF($F$3,IF($L719="","",IFERROR(VLOOKUP($L719,day_data!$A:$I,4,FALSE),0)),NA())</f>
        <v>#N/A</v>
      </c>
      <c r="P719" s="58" t="e">
        <f>IF($F$4,IF($L719="","",IFERROR(VLOOKUP($L719,day_data!$A:$I,5,FALSE),0)),NA())</f>
        <v>#N/A</v>
      </c>
      <c r="Q719" s="59" t="e">
        <f>IF($F$8,IF($L719="","",IFERROR(VLOOKUP($L719,day_data!$A:$I,6,FALSE),0)),NA())</f>
        <v>#N/A</v>
      </c>
      <c r="R719" s="11" t="e">
        <f>IF($F$6,IF($L719="","",IFERROR(VLOOKUP($L719,day_data!$A:$I,7,FALSE),0)),NA())</f>
        <v>#N/A</v>
      </c>
      <c r="S719" s="58" t="str">
        <f>IF($F$5,IF($L719="","",IFERROR(VLOOKUP($L719,day_data!$A:$I,8,FALSE),0)),NA())</f>
        <v/>
      </c>
      <c r="T719" s="60" t="e">
        <f>IF($F$7,IF($L719="","",IFERROR(VLOOKUP($L719,day_data!$A:$I,9,FALSE),0)),NA())</f>
        <v>#N/A</v>
      </c>
    </row>
    <row r="720" spans="12:20">
      <c r="L720" s="57" t="str">
        <f t="shared" si="11"/>
        <v/>
      </c>
      <c r="M720" s="11" t="str">
        <f>IF($F$1,IF($L720="","",IFERROR(VLOOKUP($L720,day_data!$A:$I,2,FALSE),0)),NA())</f>
        <v/>
      </c>
      <c r="N720" s="58" t="e">
        <f>IF($F$2,IF($L720="","",IFERROR(VLOOKUP($L720,day_data!$A:$I,3,FALSE),0)),NA())</f>
        <v>#N/A</v>
      </c>
      <c r="O720" s="11" t="e">
        <f>IF($F$3,IF($L720="","",IFERROR(VLOOKUP($L720,day_data!$A:$I,4,FALSE),0)),NA())</f>
        <v>#N/A</v>
      </c>
      <c r="P720" s="58" t="e">
        <f>IF($F$4,IF($L720="","",IFERROR(VLOOKUP($L720,day_data!$A:$I,5,FALSE),0)),NA())</f>
        <v>#N/A</v>
      </c>
      <c r="Q720" s="59" t="e">
        <f>IF($F$8,IF($L720="","",IFERROR(VLOOKUP($L720,day_data!$A:$I,6,FALSE),0)),NA())</f>
        <v>#N/A</v>
      </c>
      <c r="R720" s="11" t="e">
        <f>IF($F$6,IF($L720="","",IFERROR(VLOOKUP($L720,day_data!$A:$I,7,FALSE),0)),NA())</f>
        <v>#N/A</v>
      </c>
      <c r="S720" s="58" t="str">
        <f>IF($F$5,IF($L720="","",IFERROR(VLOOKUP($L720,day_data!$A:$I,8,FALSE),0)),NA())</f>
        <v/>
      </c>
      <c r="T720" s="60" t="e">
        <f>IF($F$7,IF($L720="","",IFERROR(VLOOKUP($L720,day_data!$A:$I,9,FALSE),0)),NA())</f>
        <v>#N/A</v>
      </c>
    </row>
    <row r="721" spans="12:20">
      <c r="L721" s="57" t="str">
        <f t="shared" si="11"/>
        <v/>
      </c>
      <c r="M721" s="11" t="str">
        <f>IF($F$1,IF($L721="","",IFERROR(VLOOKUP($L721,day_data!$A:$I,2,FALSE),0)),NA())</f>
        <v/>
      </c>
      <c r="N721" s="58" t="e">
        <f>IF($F$2,IF($L721="","",IFERROR(VLOOKUP($L721,day_data!$A:$I,3,FALSE),0)),NA())</f>
        <v>#N/A</v>
      </c>
      <c r="O721" s="11" t="e">
        <f>IF($F$3,IF($L721="","",IFERROR(VLOOKUP($L721,day_data!$A:$I,4,FALSE),0)),NA())</f>
        <v>#N/A</v>
      </c>
      <c r="P721" s="58" t="e">
        <f>IF($F$4,IF($L721="","",IFERROR(VLOOKUP($L721,day_data!$A:$I,5,FALSE),0)),NA())</f>
        <v>#N/A</v>
      </c>
      <c r="Q721" s="59" t="e">
        <f>IF($F$8,IF($L721="","",IFERROR(VLOOKUP($L721,day_data!$A:$I,6,FALSE),0)),NA())</f>
        <v>#N/A</v>
      </c>
      <c r="R721" s="11" t="e">
        <f>IF($F$6,IF($L721="","",IFERROR(VLOOKUP($L721,day_data!$A:$I,7,FALSE),0)),NA())</f>
        <v>#N/A</v>
      </c>
      <c r="S721" s="58" t="str">
        <f>IF($F$5,IF($L721="","",IFERROR(VLOOKUP($L721,day_data!$A:$I,8,FALSE),0)),NA())</f>
        <v/>
      </c>
      <c r="T721" s="60" t="e">
        <f>IF($F$7,IF($L721="","",IFERROR(VLOOKUP($L721,day_data!$A:$I,9,FALSE),0)),NA())</f>
        <v>#N/A</v>
      </c>
    </row>
    <row r="722" spans="12:20">
      <c r="L722" s="57" t="str">
        <f t="shared" si="11"/>
        <v/>
      </c>
      <c r="M722" s="11" t="str">
        <f>IF($F$1,IF($L722="","",IFERROR(VLOOKUP($L722,day_data!$A:$I,2,FALSE),0)),NA())</f>
        <v/>
      </c>
      <c r="N722" s="58" t="e">
        <f>IF($F$2,IF($L722="","",IFERROR(VLOOKUP($L722,day_data!$A:$I,3,FALSE),0)),NA())</f>
        <v>#N/A</v>
      </c>
      <c r="O722" s="11" t="e">
        <f>IF($F$3,IF($L722="","",IFERROR(VLOOKUP($L722,day_data!$A:$I,4,FALSE),0)),NA())</f>
        <v>#N/A</v>
      </c>
      <c r="P722" s="58" t="e">
        <f>IF($F$4,IF($L722="","",IFERROR(VLOOKUP($L722,day_data!$A:$I,5,FALSE),0)),NA())</f>
        <v>#N/A</v>
      </c>
      <c r="Q722" s="59" t="e">
        <f>IF($F$8,IF($L722="","",IFERROR(VLOOKUP($L722,day_data!$A:$I,6,FALSE),0)),NA())</f>
        <v>#N/A</v>
      </c>
      <c r="R722" s="11" t="e">
        <f>IF($F$6,IF($L722="","",IFERROR(VLOOKUP($L722,day_data!$A:$I,7,FALSE),0)),NA())</f>
        <v>#N/A</v>
      </c>
      <c r="S722" s="58" t="str">
        <f>IF($F$5,IF($L722="","",IFERROR(VLOOKUP($L722,day_data!$A:$I,8,FALSE),0)),NA())</f>
        <v/>
      </c>
      <c r="T722" s="60" t="e">
        <f>IF($F$7,IF($L722="","",IFERROR(VLOOKUP($L722,day_data!$A:$I,9,FALSE),0)),NA())</f>
        <v>#N/A</v>
      </c>
    </row>
    <row r="723" spans="12:20">
      <c r="L723" s="57" t="str">
        <f t="shared" si="11"/>
        <v/>
      </c>
      <c r="M723" s="11" t="str">
        <f>IF($F$1,IF($L723="","",IFERROR(VLOOKUP($L723,day_data!$A:$I,2,FALSE),0)),NA())</f>
        <v/>
      </c>
      <c r="N723" s="58" t="e">
        <f>IF($F$2,IF($L723="","",IFERROR(VLOOKUP($L723,day_data!$A:$I,3,FALSE),0)),NA())</f>
        <v>#N/A</v>
      </c>
      <c r="O723" s="11" t="e">
        <f>IF($F$3,IF($L723="","",IFERROR(VLOOKUP($L723,day_data!$A:$I,4,FALSE),0)),NA())</f>
        <v>#N/A</v>
      </c>
      <c r="P723" s="58" t="e">
        <f>IF($F$4,IF($L723="","",IFERROR(VLOOKUP($L723,day_data!$A:$I,5,FALSE),0)),NA())</f>
        <v>#N/A</v>
      </c>
      <c r="Q723" s="59" t="e">
        <f>IF($F$8,IF($L723="","",IFERROR(VLOOKUP($L723,day_data!$A:$I,6,FALSE),0)),NA())</f>
        <v>#N/A</v>
      </c>
      <c r="R723" s="11" t="e">
        <f>IF($F$6,IF($L723="","",IFERROR(VLOOKUP($L723,day_data!$A:$I,7,FALSE),0)),NA())</f>
        <v>#N/A</v>
      </c>
      <c r="S723" s="58" t="str">
        <f>IF($F$5,IF($L723="","",IFERROR(VLOOKUP($L723,day_data!$A:$I,8,FALSE),0)),NA())</f>
        <v/>
      </c>
      <c r="T723" s="60" t="e">
        <f>IF($F$7,IF($L723="","",IFERROR(VLOOKUP($L723,day_data!$A:$I,9,FALSE),0)),NA())</f>
        <v>#N/A</v>
      </c>
    </row>
    <row r="724" spans="12:20">
      <c r="L724" s="57" t="str">
        <f t="shared" si="11"/>
        <v/>
      </c>
      <c r="M724" s="11" t="str">
        <f>IF($F$1,IF($L724="","",IFERROR(VLOOKUP($L724,day_data!$A:$I,2,FALSE),0)),NA())</f>
        <v/>
      </c>
      <c r="N724" s="58" t="e">
        <f>IF($F$2,IF($L724="","",IFERROR(VLOOKUP($L724,day_data!$A:$I,3,FALSE),0)),NA())</f>
        <v>#N/A</v>
      </c>
      <c r="O724" s="11" t="e">
        <f>IF($F$3,IF($L724="","",IFERROR(VLOOKUP($L724,day_data!$A:$I,4,FALSE),0)),NA())</f>
        <v>#N/A</v>
      </c>
      <c r="P724" s="58" t="e">
        <f>IF($F$4,IF($L724="","",IFERROR(VLOOKUP($L724,day_data!$A:$I,5,FALSE),0)),NA())</f>
        <v>#N/A</v>
      </c>
      <c r="Q724" s="59" t="e">
        <f>IF($F$8,IF($L724="","",IFERROR(VLOOKUP($L724,day_data!$A:$I,6,FALSE),0)),NA())</f>
        <v>#N/A</v>
      </c>
      <c r="R724" s="11" t="e">
        <f>IF($F$6,IF($L724="","",IFERROR(VLOOKUP($L724,day_data!$A:$I,7,FALSE),0)),NA())</f>
        <v>#N/A</v>
      </c>
      <c r="S724" s="58" t="str">
        <f>IF($F$5,IF($L724="","",IFERROR(VLOOKUP($L724,day_data!$A:$I,8,FALSE),0)),NA())</f>
        <v/>
      </c>
      <c r="T724" s="60" t="e">
        <f>IF($F$7,IF($L724="","",IFERROR(VLOOKUP($L724,day_data!$A:$I,9,FALSE),0)),NA())</f>
        <v>#N/A</v>
      </c>
    </row>
    <row r="725" spans="12:20">
      <c r="L725" s="57" t="str">
        <f t="shared" si="11"/>
        <v/>
      </c>
      <c r="M725" s="11" t="str">
        <f>IF($F$1,IF($L725="","",IFERROR(VLOOKUP($L725,day_data!$A:$I,2,FALSE),0)),NA())</f>
        <v/>
      </c>
      <c r="N725" s="58" t="e">
        <f>IF($F$2,IF($L725="","",IFERROR(VLOOKUP($L725,day_data!$A:$I,3,FALSE),0)),NA())</f>
        <v>#N/A</v>
      </c>
      <c r="O725" s="11" t="e">
        <f>IF($F$3,IF($L725="","",IFERROR(VLOOKUP($L725,day_data!$A:$I,4,FALSE),0)),NA())</f>
        <v>#N/A</v>
      </c>
      <c r="P725" s="58" t="e">
        <f>IF($F$4,IF($L725="","",IFERROR(VLOOKUP($L725,day_data!$A:$I,5,FALSE),0)),NA())</f>
        <v>#N/A</v>
      </c>
      <c r="Q725" s="59" t="e">
        <f>IF($F$8,IF($L725="","",IFERROR(VLOOKUP($L725,day_data!$A:$I,6,FALSE),0)),NA())</f>
        <v>#N/A</v>
      </c>
      <c r="R725" s="11" t="e">
        <f>IF($F$6,IF($L725="","",IFERROR(VLOOKUP($L725,day_data!$A:$I,7,FALSE),0)),NA())</f>
        <v>#N/A</v>
      </c>
      <c r="S725" s="58" t="str">
        <f>IF($F$5,IF($L725="","",IFERROR(VLOOKUP($L725,day_data!$A:$I,8,FALSE),0)),NA())</f>
        <v/>
      </c>
      <c r="T725" s="60" t="e">
        <f>IF($F$7,IF($L725="","",IFERROR(VLOOKUP($L725,day_data!$A:$I,9,FALSE),0)),NA())</f>
        <v>#N/A</v>
      </c>
    </row>
    <row r="726" spans="12:20">
      <c r="L726" s="57" t="str">
        <f t="shared" si="11"/>
        <v/>
      </c>
      <c r="M726" s="11" t="str">
        <f>IF($F$1,IF($L726="","",IFERROR(VLOOKUP($L726,day_data!$A:$I,2,FALSE),0)),NA())</f>
        <v/>
      </c>
      <c r="N726" s="58" t="e">
        <f>IF($F$2,IF($L726="","",IFERROR(VLOOKUP($L726,day_data!$A:$I,3,FALSE),0)),NA())</f>
        <v>#N/A</v>
      </c>
      <c r="O726" s="11" t="e">
        <f>IF($F$3,IF($L726="","",IFERROR(VLOOKUP($L726,day_data!$A:$I,4,FALSE),0)),NA())</f>
        <v>#N/A</v>
      </c>
      <c r="P726" s="58" t="e">
        <f>IF($F$4,IF($L726="","",IFERROR(VLOOKUP($L726,day_data!$A:$I,5,FALSE),0)),NA())</f>
        <v>#N/A</v>
      </c>
      <c r="Q726" s="59" t="e">
        <f>IF($F$8,IF($L726="","",IFERROR(VLOOKUP($L726,day_data!$A:$I,6,FALSE),0)),NA())</f>
        <v>#N/A</v>
      </c>
      <c r="R726" s="11" t="e">
        <f>IF($F$6,IF($L726="","",IFERROR(VLOOKUP($L726,day_data!$A:$I,7,FALSE),0)),NA())</f>
        <v>#N/A</v>
      </c>
      <c r="S726" s="58" t="str">
        <f>IF($F$5,IF($L726="","",IFERROR(VLOOKUP($L726,day_data!$A:$I,8,FALSE),0)),NA())</f>
        <v/>
      </c>
      <c r="T726" s="60" t="e">
        <f>IF($F$7,IF($L726="","",IFERROR(VLOOKUP($L726,day_data!$A:$I,9,FALSE),0)),NA())</f>
        <v>#N/A</v>
      </c>
    </row>
    <row r="727" spans="12:20">
      <c r="L727" s="57" t="str">
        <f t="shared" si="11"/>
        <v/>
      </c>
      <c r="M727" s="11" t="str">
        <f>IF($F$1,IF($L727="","",IFERROR(VLOOKUP($L727,day_data!$A:$I,2,FALSE),0)),NA())</f>
        <v/>
      </c>
      <c r="N727" s="58" t="e">
        <f>IF($F$2,IF($L727="","",IFERROR(VLOOKUP($L727,day_data!$A:$I,3,FALSE),0)),NA())</f>
        <v>#N/A</v>
      </c>
      <c r="O727" s="11" t="e">
        <f>IF($F$3,IF($L727="","",IFERROR(VLOOKUP($L727,day_data!$A:$I,4,FALSE),0)),NA())</f>
        <v>#N/A</v>
      </c>
      <c r="P727" s="58" t="e">
        <f>IF($F$4,IF($L727="","",IFERROR(VLOOKUP($L727,day_data!$A:$I,5,FALSE),0)),NA())</f>
        <v>#N/A</v>
      </c>
      <c r="Q727" s="59" t="e">
        <f>IF($F$8,IF($L727="","",IFERROR(VLOOKUP($L727,day_data!$A:$I,6,FALSE),0)),NA())</f>
        <v>#N/A</v>
      </c>
      <c r="R727" s="11" t="e">
        <f>IF($F$6,IF($L727="","",IFERROR(VLOOKUP($L727,day_data!$A:$I,7,FALSE),0)),NA())</f>
        <v>#N/A</v>
      </c>
      <c r="S727" s="58" t="str">
        <f>IF($F$5,IF($L727="","",IFERROR(VLOOKUP($L727,day_data!$A:$I,8,FALSE),0)),NA())</f>
        <v/>
      </c>
      <c r="T727" s="60" t="e">
        <f>IF($F$7,IF($L727="","",IFERROR(VLOOKUP($L727,day_data!$A:$I,9,FALSE),0)),NA())</f>
        <v>#N/A</v>
      </c>
    </row>
    <row r="728" spans="12:20">
      <c r="L728" s="57" t="str">
        <f t="shared" si="11"/>
        <v/>
      </c>
      <c r="M728" s="11" t="str">
        <f>IF($F$1,IF($L728="","",IFERROR(VLOOKUP($L728,day_data!$A:$I,2,FALSE),0)),NA())</f>
        <v/>
      </c>
      <c r="N728" s="58" t="e">
        <f>IF($F$2,IF($L728="","",IFERROR(VLOOKUP($L728,day_data!$A:$I,3,FALSE),0)),NA())</f>
        <v>#N/A</v>
      </c>
      <c r="O728" s="11" t="e">
        <f>IF($F$3,IF($L728="","",IFERROR(VLOOKUP($L728,day_data!$A:$I,4,FALSE),0)),NA())</f>
        <v>#N/A</v>
      </c>
      <c r="P728" s="58" t="e">
        <f>IF($F$4,IF($L728="","",IFERROR(VLOOKUP($L728,day_data!$A:$I,5,FALSE),0)),NA())</f>
        <v>#N/A</v>
      </c>
      <c r="Q728" s="59" t="e">
        <f>IF($F$8,IF($L728="","",IFERROR(VLOOKUP($L728,day_data!$A:$I,6,FALSE),0)),NA())</f>
        <v>#N/A</v>
      </c>
      <c r="R728" s="11" t="e">
        <f>IF($F$6,IF($L728="","",IFERROR(VLOOKUP($L728,day_data!$A:$I,7,FALSE),0)),NA())</f>
        <v>#N/A</v>
      </c>
      <c r="S728" s="58" t="str">
        <f>IF($F$5,IF($L728="","",IFERROR(VLOOKUP($L728,day_data!$A:$I,8,FALSE),0)),NA())</f>
        <v/>
      </c>
      <c r="T728" s="60" t="e">
        <f>IF($F$7,IF($L728="","",IFERROR(VLOOKUP($L728,day_data!$A:$I,9,FALSE),0)),NA())</f>
        <v>#N/A</v>
      </c>
    </row>
    <row r="729" spans="12:20">
      <c r="L729" s="57" t="str">
        <f t="shared" si="11"/>
        <v/>
      </c>
      <c r="M729" s="11" t="str">
        <f>IF($F$1,IF($L729="","",IFERROR(VLOOKUP($L729,day_data!$A:$I,2,FALSE),0)),NA())</f>
        <v/>
      </c>
      <c r="N729" s="58" t="e">
        <f>IF($F$2,IF($L729="","",IFERROR(VLOOKUP($L729,day_data!$A:$I,3,FALSE),0)),NA())</f>
        <v>#N/A</v>
      </c>
      <c r="O729" s="11" t="e">
        <f>IF($F$3,IF($L729="","",IFERROR(VLOOKUP($L729,day_data!$A:$I,4,FALSE),0)),NA())</f>
        <v>#N/A</v>
      </c>
      <c r="P729" s="58" t="e">
        <f>IF($F$4,IF($L729="","",IFERROR(VLOOKUP($L729,day_data!$A:$I,5,FALSE),0)),NA())</f>
        <v>#N/A</v>
      </c>
      <c r="Q729" s="59" t="e">
        <f>IF($F$8,IF($L729="","",IFERROR(VLOOKUP($L729,day_data!$A:$I,6,FALSE),0)),NA())</f>
        <v>#N/A</v>
      </c>
      <c r="R729" s="11" t="e">
        <f>IF($F$6,IF($L729="","",IFERROR(VLOOKUP($L729,day_data!$A:$I,7,FALSE),0)),NA())</f>
        <v>#N/A</v>
      </c>
      <c r="S729" s="58" t="str">
        <f>IF($F$5,IF($L729="","",IFERROR(VLOOKUP($L729,day_data!$A:$I,8,FALSE),0)),NA())</f>
        <v/>
      </c>
      <c r="T729" s="60" t="e">
        <f>IF($F$7,IF($L729="","",IFERROR(VLOOKUP($L729,day_data!$A:$I,9,FALSE),0)),NA())</f>
        <v>#N/A</v>
      </c>
    </row>
    <row r="730" spans="12:20">
      <c r="L730" s="57" t="str">
        <f t="shared" si="11"/>
        <v/>
      </c>
      <c r="M730" s="11" t="str">
        <f>IF($F$1,IF($L730="","",IFERROR(VLOOKUP($L730,day_data!$A:$I,2,FALSE),0)),NA())</f>
        <v/>
      </c>
      <c r="N730" s="58" t="e">
        <f>IF($F$2,IF($L730="","",IFERROR(VLOOKUP($L730,day_data!$A:$I,3,FALSE),0)),NA())</f>
        <v>#N/A</v>
      </c>
      <c r="O730" s="11" t="e">
        <f>IF($F$3,IF($L730="","",IFERROR(VLOOKUP($L730,day_data!$A:$I,4,FALSE),0)),NA())</f>
        <v>#N/A</v>
      </c>
      <c r="P730" s="58" t="e">
        <f>IF($F$4,IF($L730="","",IFERROR(VLOOKUP($L730,day_data!$A:$I,5,FALSE),0)),NA())</f>
        <v>#N/A</v>
      </c>
      <c r="Q730" s="59" t="e">
        <f>IF($F$8,IF($L730="","",IFERROR(VLOOKUP($L730,day_data!$A:$I,6,FALSE),0)),NA())</f>
        <v>#N/A</v>
      </c>
      <c r="R730" s="11" t="e">
        <f>IF($F$6,IF($L730="","",IFERROR(VLOOKUP($L730,day_data!$A:$I,7,FALSE),0)),NA())</f>
        <v>#N/A</v>
      </c>
      <c r="S730" s="58" t="str">
        <f>IF($F$5,IF($L730="","",IFERROR(VLOOKUP($L730,day_data!$A:$I,8,FALSE),0)),NA())</f>
        <v/>
      </c>
      <c r="T730" s="60" t="e">
        <f>IF($F$7,IF($L730="","",IFERROR(VLOOKUP($L730,day_data!$A:$I,9,FALSE),0)),NA())</f>
        <v>#N/A</v>
      </c>
    </row>
    <row r="731" spans="12:20">
      <c r="L731" s="57" t="str">
        <f t="shared" si="11"/>
        <v/>
      </c>
      <c r="M731" s="11" t="str">
        <f>IF($F$1,IF($L731="","",IFERROR(VLOOKUP($L731,day_data!$A:$I,2,FALSE),0)),NA())</f>
        <v/>
      </c>
      <c r="N731" s="58" t="e">
        <f>IF($F$2,IF($L731="","",IFERROR(VLOOKUP($L731,day_data!$A:$I,3,FALSE),0)),NA())</f>
        <v>#N/A</v>
      </c>
      <c r="O731" s="11" t="e">
        <f>IF($F$3,IF($L731="","",IFERROR(VLOOKUP($L731,day_data!$A:$I,4,FALSE),0)),NA())</f>
        <v>#N/A</v>
      </c>
      <c r="P731" s="58" t="e">
        <f>IF($F$4,IF($L731="","",IFERROR(VLOOKUP($L731,day_data!$A:$I,5,FALSE),0)),NA())</f>
        <v>#N/A</v>
      </c>
      <c r="Q731" s="59" t="e">
        <f>IF($F$8,IF($L731="","",IFERROR(VLOOKUP($L731,day_data!$A:$I,6,FALSE),0)),NA())</f>
        <v>#N/A</v>
      </c>
      <c r="R731" s="11" t="e">
        <f>IF($F$6,IF($L731="","",IFERROR(VLOOKUP($L731,day_data!$A:$I,7,FALSE),0)),NA())</f>
        <v>#N/A</v>
      </c>
      <c r="S731" s="58" t="str">
        <f>IF($F$5,IF($L731="","",IFERROR(VLOOKUP($L731,day_data!$A:$I,8,FALSE),0)),NA())</f>
        <v/>
      </c>
      <c r="T731" s="60" t="e">
        <f>IF($F$7,IF($L731="","",IFERROR(VLOOKUP($L731,day_data!$A:$I,9,FALSE),0)),NA())</f>
        <v>#N/A</v>
      </c>
    </row>
    <row r="732" spans="12:20">
      <c r="L732" s="57" t="str">
        <f t="shared" si="11"/>
        <v/>
      </c>
      <c r="M732" s="11" t="str">
        <f>IF($F$1,IF($L732="","",IFERROR(VLOOKUP($L732,day_data!$A:$I,2,FALSE),0)),NA())</f>
        <v/>
      </c>
      <c r="N732" s="58" t="e">
        <f>IF($F$2,IF($L732="","",IFERROR(VLOOKUP($L732,day_data!$A:$I,3,FALSE),0)),NA())</f>
        <v>#N/A</v>
      </c>
      <c r="O732" s="11" t="e">
        <f>IF($F$3,IF($L732="","",IFERROR(VLOOKUP($L732,day_data!$A:$I,4,FALSE),0)),NA())</f>
        <v>#N/A</v>
      </c>
      <c r="P732" s="58" t="e">
        <f>IF($F$4,IF($L732="","",IFERROR(VLOOKUP($L732,day_data!$A:$I,5,FALSE),0)),NA())</f>
        <v>#N/A</v>
      </c>
      <c r="Q732" s="59" t="e">
        <f>IF($F$8,IF($L732="","",IFERROR(VLOOKUP($L732,day_data!$A:$I,6,FALSE),0)),NA())</f>
        <v>#N/A</v>
      </c>
      <c r="R732" s="11" t="e">
        <f>IF($F$6,IF($L732="","",IFERROR(VLOOKUP($L732,day_data!$A:$I,7,FALSE),0)),NA())</f>
        <v>#N/A</v>
      </c>
      <c r="S732" s="58" t="str">
        <f>IF($F$5,IF($L732="","",IFERROR(VLOOKUP($L732,day_data!$A:$I,8,FALSE),0)),NA())</f>
        <v/>
      </c>
      <c r="T732" s="60" t="e">
        <f>IF($F$7,IF($L732="","",IFERROR(VLOOKUP($L732,day_data!$A:$I,9,FALSE),0)),NA())</f>
        <v>#N/A</v>
      </c>
    </row>
    <row r="733" spans="12:20">
      <c r="L733" s="57" t="str">
        <f t="shared" si="11"/>
        <v/>
      </c>
      <c r="M733" s="11" t="str">
        <f>IF($F$1,IF($L733="","",IFERROR(VLOOKUP($L733,day_data!$A:$I,2,FALSE),0)),NA())</f>
        <v/>
      </c>
      <c r="N733" s="58" t="e">
        <f>IF($F$2,IF($L733="","",IFERROR(VLOOKUP($L733,day_data!$A:$I,3,FALSE),0)),NA())</f>
        <v>#N/A</v>
      </c>
      <c r="O733" s="11" t="e">
        <f>IF($F$3,IF($L733="","",IFERROR(VLOOKUP($L733,day_data!$A:$I,4,FALSE),0)),NA())</f>
        <v>#N/A</v>
      </c>
      <c r="P733" s="58" t="e">
        <f>IF($F$4,IF($L733="","",IFERROR(VLOOKUP($L733,day_data!$A:$I,5,FALSE),0)),NA())</f>
        <v>#N/A</v>
      </c>
      <c r="Q733" s="59" t="e">
        <f>IF($F$8,IF($L733="","",IFERROR(VLOOKUP($L733,day_data!$A:$I,6,FALSE),0)),NA())</f>
        <v>#N/A</v>
      </c>
      <c r="R733" s="11" t="e">
        <f>IF($F$6,IF($L733="","",IFERROR(VLOOKUP($L733,day_data!$A:$I,7,FALSE),0)),NA())</f>
        <v>#N/A</v>
      </c>
      <c r="S733" s="58" t="str">
        <f>IF($F$5,IF($L733="","",IFERROR(VLOOKUP($L733,day_data!$A:$I,8,FALSE),0)),NA())</f>
        <v/>
      </c>
      <c r="T733" s="60" t="e">
        <f>IF($F$7,IF($L733="","",IFERROR(VLOOKUP($L733,day_data!$A:$I,9,FALSE),0)),NA())</f>
        <v>#N/A</v>
      </c>
    </row>
    <row r="734" spans="12:20">
      <c r="L734" s="57" t="str">
        <f t="shared" si="11"/>
        <v/>
      </c>
      <c r="M734" s="11" t="str">
        <f>IF($F$1,IF($L734="","",IFERROR(VLOOKUP($L734,day_data!$A:$I,2,FALSE),0)),NA())</f>
        <v/>
      </c>
      <c r="N734" s="58" t="e">
        <f>IF($F$2,IF($L734="","",IFERROR(VLOOKUP($L734,day_data!$A:$I,3,FALSE),0)),NA())</f>
        <v>#N/A</v>
      </c>
      <c r="O734" s="11" t="e">
        <f>IF($F$3,IF($L734="","",IFERROR(VLOOKUP($L734,day_data!$A:$I,4,FALSE),0)),NA())</f>
        <v>#N/A</v>
      </c>
      <c r="P734" s="58" t="e">
        <f>IF($F$4,IF($L734="","",IFERROR(VLOOKUP($L734,day_data!$A:$I,5,FALSE),0)),NA())</f>
        <v>#N/A</v>
      </c>
      <c r="Q734" s="59" t="e">
        <f>IF($F$8,IF($L734="","",IFERROR(VLOOKUP($L734,day_data!$A:$I,6,FALSE),0)),NA())</f>
        <v>#N/A</v>
      </c>
      <c r="R734" s="11" t="e">
        <f>IF($F$6,IF($L734="","",IFERROR(VLOOKUP($L734,day_data!$A:$I,7,FALSE),0)),NA())</f>
        <v>#N/A</v>
      </c>
      <c r="S734" s="58" t="str">
        <f>IF($F$5,IF($L734="","",IFERROR(VLOOKUP($L734,day_data!$A:$I,8,FALSE),0)),NA())</f>
        <v/>
      </c>
      <c r="T734" s="60" t="e">
        <f>IF($F$7,IF($L734="","",IFERROR(VLOOKUP($L734,day_data!$A:$I,9,FALSE),0)),NA())</f>
        <v>#N/A</v>
      </c>
    </row>
    <row r="735" spans="12:20">
      <c r="L735" s="57" t="str">
        <f t="shared" si="11"/>
        <v/>
      </c>
      <c r="M735" s="11" t="str">
        <f>IF($F$1,IF($L735="","",IFERROR(VLOOKUP($L735,day_data!$A:$I,2,FALSE),0)),NA())</f>
        <v/>
      </c>
      <c r="N735" s="58" t="e">
        <f>IF($F$2,IF($L735="","",IFERROR(VLOOKUP($L735,day_data!$A:$I,3,FALSE),0)),NA())</f>
        <v>#N/A</v>
      </c>
      <c r="O735" s="11" t="e">
        <f>IF($F$3,IF($L735="","",IFERROR(VLOOKUP($L735,day_data!$A:$I,4,FALSE),0)),NA())</f>
        <v>#N/A</v>
      </c>
      <c r="P735" s="58" t="e">
        <f>IF($F$4,IF($L735="","",IFERROR(VLOOKUP($L735,day_data!$A:$I,5,FALSE),0)),NA())</f>
        <v>#N/A</v>
      </c>
      <c r="Q735" s="59" t="e">
        <f>IF($F$8,IF($L735="","",IFERROR(VLOOKUP($L735,day_data!$A:$I,6,FALSE),0)),NA())</f>
        <v>#N/A</v>
      </c>
      <c r="R735" s="11" t="e">
        <f>IF($F$6,IF($L735="","",IFERROR(VLOOKUP($L735,day_data!$A:$I,7,FALSE),0)),NA())</f>
        <v>#N/A</v>
      </c>
      <c r="S735" s="58" t="str">
        <f>IF($F$5,IF($L735="","",IFERROR(VLOOKUP($L735,day_data!$A:$I,8,FALSE),0)),NA())</f>
        <v/>
      </c>
      <c r="T735" s="60" t="e">
        <f>IF($F$7,IF($L735="","",IFERROR(VLOOKUP($L735,day_data!$A:$I,9,FALSE),0)),NA())</f>
        <v>#N/A</v>
      </c>
    </row>
    <row r="736" spans="12:20">
      <c r="L736" s="57" t="str">
        <f t="shared" si="11"/>
        <v/>
      </c>
      <c r="M736" s="11" t="str">
        <f>IF($F$1,IF($L736="","",IFERROR(VLOOKUP($L736,day_data!$A:$I,2,FALSE),0)),NA())</f>
        <v/>
      </c>
      <c r="N736" s="58" t="e">
        <f>IF($F$2,IF($L736="","",IFERROR(VLOOKUP($L736,day_data!$A:$I,3,FALSE),0)),NA())</f>
        <v>#N/A</v>
      </c>
      <c r="O736" s="11" t="e">
        <f>IF($F$3,IF($L736="","",IFERROR(VLOOKUP($L736,day_data!$A:$I,4,FALSE),0)),NA())</f>
        <v>#N/A</v>
      </c>
      <c r="P736" s="58" t="e">
        <f>IF($F$4,IF($L736="","",IFERROR(VLOOKUP($L736,day_data!$A:$I,5,FALSE),0)),NA())</f>
        <v>#N/A</v>
      </c>
      <c r="Q736" s="59" t="e">
        <f>IF($F$8,IF($L736="","",IFERROR(VLOOKUP($L736,day_data!$A:$I,6,FALSE),0)),NA())</f>
        <v>#N/A</v>
      </c>
      <c r="R736" s="11" t="e">
        <f>IF($F$6,IF($L736="","",IFERROR(VLOOKUP($L736,day_data!$A:$I,7,FALSE),0)),NA())</f>
        <v>#N/A</v>
      </c>
      <c r="S736" s="58" t="str">
        <f>IF($F$5,IF($L736="","",IFERROR(VLOOKUP($L736,day_data!$A:$I,8,FALSE),0)),NA())</f>
        <v/>
      </c>
      <c r="T736" s="60" t="e">
        <f>IF($F$7,IF($L736="","",IFERROR(VLOOKUP($L736,day_data!$A:$I,9,FALSE),0)),NA())</f>
        <v>#N/A</v>
      </c>
    </row>
    <row r="737" spans="12:20">
      <c r="L737" s="57" t="str">
        <f t="shared" si="11"/>
        <v/>
      </c>
      <c r="M737" s="11" t="str">
        <f>IF($F$1,IF($L737="","",IFERROR(VLOOKUP($L737,day_data!$A:$I,2,FALSE),0)),NA())</f>
        <v/>
      </c>
      <c r="N737" s="58" t="e">
        <f>IF($F$2,IF($L737="","",IFERROR(VLOOKUP($L737,day_data!$A:$I,3,FALSE),0)),NA())</f>
        <v>#N/A</v>
      </c>
      <c r="O737" s="11" t="e">
        <f>IF($F$3,IF($L737="","",IFERROR(VLOOKUP($L737,day_data!$A:$I,4,FALSE),0)),NA())</f>
        <v>#N/A</v>
      </c>
      <c r="P737" s="58" t="e">
        <f>IF($F$4,IF($L737="","",IFERROR(VLOOKUP($L737,day_data!$A:$I,5,FALSE),0)),NA())</f>
        <v>#N/A</v>
      </c>
      <c r="Q737" s="59" t="e">
        <f>IF($F$8,IF($L737="","",IFERROR(VLOOKUP($L737,day_data!$A:$I,6,FALSE),0)),NA())</f>
        <v>#N/A</v>
      </c>
      <c r="R737" s="11" t="e">
        <f>IF($F$6,IF($L737="","",IFERROR(VLOOKUP($L737,day_data!$A:$I,7,FALSE),0)),NA())</f>
        <v>#N/A</v>
      </c>
      <c r="S737" s="58" t="str">
        <f>IF($F$5,IF($L737="","",IFERROR(VLOOKUP($L737,day_data!$A:$I,8,FALSE),0)),NA())</f>
        <v/>
      </c>
      <c r="T737" s="60" t="e">
        <f>IF($F$7,IF($L737="","",IFERROR(VLOOKUP($L737,day_data!$A:$I,9,FALSE),0)),NA())</f>
        <v>#N/A</v>
      </c>
    </row>
    <row r="738" spans="12:20">
      <c r="L738" s="57" t="str">
        <f t="shared" si="11"/>
        <v/>
      </c>
      <c r="M738" s="11" t="str">
        <f>IF($F$1,IF($L738="","",IFERROR(VLOOKUP($L738,day_data!$A:$I,2,FALSE),0)),NA())</f>
        <v/>
      </c>
      <c r="N738" s="58" t="e">
        <f>IF($F$2,IF($L738="","",IFERROR(VLOOKUP($L738,day_data!$A:$I,3,FALSE),0)),NA())</f>
        <v>#N/A</v>
      </c>
      <c r="O738" s="11" t="e">
        <f>IF($F$3,IF($L738="","",IFERROR(VLOOKUP($L738,day_data!$A:$I,4,FALSE),0)),NA())</f>
        <v>#N/A</v>
      </c>
      <c r="P738" s="58" t="e">
        <f>IF($F$4,IF($L738="","",IFERROR(VLOOKUP($L738,day_data!$A:$I,5,FALSE),0)),NA())</f>
        <v>#N/A</v>
      </c>
      <c r="Q738" s="59" t="e">
        <f>IF($F$8,IF($L738="","",IFERROR(VLOOKUP($L738,day_data!$A:$I,6,FALSE),0)),NA())</f>
        <v>#N/A</v>
      </c>
      <c r="R738" s="11" t="e">
        <f>IF($F$6,IF($L738="","",IFERROR(VLOOKUP($L738,day_data!$A:$I,7,FALSE),0)),NA())</f>
        <v>#N/A</v>
      </c>
      <c r="S738" s="58" t="str">
        <f>IF($F$5,IF($L738="","",IFERROR(VLOOKUP($L738,day_data!$A:$I,8,FALSE),0)),NA())</f>
        <v/>
      </c>
      <c r="T738" s="60" t="e">
        <f>IF($F$7,IF($L738="","",IFERROR(VLOOKUP($L738,day_data!$A:$I,9,FALSE),0)),NA())</f>
        <v>#N/A</v>
      </c>
    </row>
    <row r="739" spans="12:20">
      <c r="L739" s="57" t="str">
        <f t="shared" si="11"/>
        <v/>
      </c>
      <c r="M739" s="11" t="str">
        <f>IF($F$1,IF($L739="","",IFERROR(VLOOKUP($L739,day_data!$A:$I,2,FALSE),0)),NA())</f>
        <v/>
      </c>
      <c r="N739" s="58" t="e">
        <f>IF($F$2,IF($L739="","",IFERROR(VLOOKUP($L739,day_data!$A:$I,3,FALSE),0)),NA())</f>
        <v>#N/A</v>
      </c>
      <c r="O739" s="11" t="e">
        <f>IF($F$3,IF($L739="","",IFERROR(VLOOKUP($L739,day_data!$A:$I,4,FALSE),0)),NA())</f>
        <v>#N/A</v>
      </c>
      <c r="P739" s="58" t="e">
        <f>IF($F$4,IF($L739="","",IFERROR(VLOOKUP($L739,day_data!$A:$I,5,FALSE),0)),NA())</f>
        <v>#N/A</v>
      </c>
      <c r="Q739" s="59" t="e">
        <f>IF($F$8,IF($L739="","",IFERROR(VLOOKUP($L739,day_data!$A:$I,6,FALSE),0)),NA())</f>
        <v>#N/A</v>
      </c>
      <c r="R739" s="11" t="e">
        <f>IF($F$6,IF($L739="","",IFERROR(VLOOKUP($L739,day_data!$A:$I,7,FALSE),0)),NA())</f>
        <v>#N/A</v>
      </c>
      <c r="S739" s="58" t="str">
        <f>IF($F$5,IF($L739="","",IFERROR(VLOOKUP($L739,day_data!$A:$I,8,FALSE),0)),NA())</f>
        <v/>
      </c>
      <c r="T739" s="60" t="e">
        <f>IF($F$7,IF($L739="","",IFERROR(VLOOKUP($L739,day_data!$A:$I,9,FALSE),0)),NA())</f>
        <v>#N/A</v>
      </c>
    </row>
    <row r="740" spans="12:20">
      <c r="L740" s="57" t="str">
        <f t="shared" si="11"/>
        <v/>
      </c>
      <c r="M740" s="11" t="str">
        <f>IF($F$1,IF($L740="","",IFERROR(VLOOKUP($L740,day_data!$A:$I,2,FALSE),0)),NA())</f>
        <v/>
      </c>
      <c r="N740" s="58" t="e">
        <f>IF($F$2,IF($L740="","",IFERROR(VLOOKUP($L740,day_data!$A:$I,3,FALSE),0)),NA())</f>
        <v>#N/A</v>
      </c>
      <c r="O740" s="11" t="e">
        <f>IF($F$3,IF($L740="","",IFERROR(VLOOKUP($L740,day_data!$A:$I,4,FALSE),0)),NA())</f>
        <v>#N/A</v>
      </c>
      <c r="P740" s="58" t="e">
        <f>IF($F$4,IF($L740="","",IFERROR(VLOOKUP($L740,day_data!$A:$I,5,FALSE),0)),NA())</f>
        <v>#N/A</v>
      </c>
      <c r="Q740" s="59" t="e">
        <f>IF($F$8,IF($L740="","",IFERROR(VLOOKUP($L740,day_data!$A:$I,6,FALSE),0)),NA())</f>
        <v>#N/A</v>
      </c>
      <c r="R740" s="11" t="e">
        <f>IF($F$6,IF($L740="","",IFERROR(VLOOKUP($L740,day_data!$A:$I,7,FALSE),0)),NA())</f>
        <v>#N/A</v>
      </c>
      <c r="S740" s="58" t="str">
        <f>IF($F$5,IF($L740="","",IFERROR(VLOOKUP($L740,day_data!$A:$I,8,FALSE),0)),NA())</f>
        <v/>
      </c>
      <c r="T740" s="60" t="e">
        <f>IF($F$7,IF($L740="","",IFERROR(VLOOKUP($L740,day_data!$A:$I,9,FALSE),0)),NA())</f>
        <v>#N/A</v>
      </c>
    </row>
    <row r="741" spans="12:20">
      <c r="L741" s="57" t="str">
        <f t="shared" si="11"/>
        <v/>
      </c>
      <c r="M741" s="11" t="str">
        <f>IF($F$1,IF($L741="","",IFERROR(VLOOKUP($L741,day_data!$A:$I,2,FALSE),0)),NA())</f>
        <v/>
      </c>
      <c r="N741" s="58" t="e">
        <f>IF($F$2,IF($L741="","",IFERROR(VLOOKUP($L741,day_data!$A:$I,3,FALSE),0)),NA())</f>
        <v>#N/A</v>
      </c>
      <c r="O741" s="11" t="e">
        <f>IF($F$3,IF($L741="","",IFERROR(VLOOKUP($L741,day_data!$A:$I,4,FALSE),0)),NA())</f>
        <v>#N/A</v>
      </c>
      <c r="P741" s="58" t="e">
        <f>IF($F$4,IF($L741="","",IFERROR(VLOOKUP($L741,day_data!$A:$I,5,FALSE),0)),NA())</f>
        <v>#N/A</v>
      </c>
      <c r="Q741" s="59" t="e">
        <f>IF($F$8,IF($L741="","",IFERROR(VLOOKUP($L741,day_data!$A:$I,6,FALSE),0)),NA())</f>
        <v>#N/A</v>
      </c>
      <c r="R741" s="11" t="e">
        <f>IF($F$6,IF($L741="","",IFERROR(VLOOKUP($L741,day_data!$A:$I,7,FALSE),0)),NA())</f>
        <v>#N/A</v>
      </c>
      <c r="S741" s="58" t="str">
        <f>IF($F$5,IF($L741="","",IFERROR(VLOOKUP($L741,day_data!$A:$I,8,FALSE),0)),NA())</f>
        <v/>
      </c>
      <c r="T741" s="60" t="e">
        <f>IF($F$7,IF($L741="","",IFERROR(VLOOKUP($L741,day_data!$A:$I,9,FALSE),0)),NA())</f>
        <v>#N/A</v>
      </c>
    </row>
    <row r="742" spans="12:20">
      <c r="L742" s="57" t="str">
        <f t="shared" si="11"/>
        <v/>
      </c>
      <c r="M742" s="11" t="str">
        <f>IF($F$1,IF($L742="","",IFERROR(VLOOKUP($L742,day_data!$A:$I,2,FALSE),0)),NA())</f>
        <v/>
      </c>
      <c r="N742" s="58" t="e">
        <f>IF($F$2,IF($L742="","",IFERROR(VLOOKUP($L742,day_data!$A:$I,3,FALSE),0)),NA())</f>
        <v>#N/A</v>
      </c>
      <c r="O742" s="11" t="e">
        <f>IF($F$3,IF($L742="","",IFERROR(VLOOKUP($L742,day_data!$A:$I,4,FALSE),0)),NA())</f>
        <v>#N/A</v>
      </c>
      <c r="P742" s="58" t="e">
        <f>IF($F$4,IF($L742="","",IFERROR(VLOOKUP($L742,day_data!$A:$I,5,FALSE),0)),NA())</f>
        <v>#N/A</v>
      </c>
      <c r="Q742" s="59" t="e">
        <f>IF($F$8,IF($L742="","",IFERROR(VLOOKUP($L742,day_data!$A:$I,6,FALSE),0)),NA())</f>
        <v>#N/A</v>
      </c>
      <c r="R742" s="11" t="e">
        <f>IF($F$6,IF($L742="","",IFERROR(VLOOKUP($L742,day_data!$A:$I,7,FALSE),0)),NA())</f>
        <v>#N/A</v>
      </c>
      <c r="S742" s="58" t="str">
        <f>IF($F$5,IF($L742="","",IFERROR(VLOOKUP($L742,day_data!$A:$I,8,FALSE),0)),NA())</f>
        <v/>
      </c>
      <c r="T742" s="60" t="e">
        <f>IF($F$7,IF($L742="","",IFERROR(VLOOKUP($L742,day_data!$A:$I,9,FALSE),0)),NA())</f>
        <v>#N/A</v>
      </c>
    </row>
    <row r="743" spans="12:20">
      <c r="L743" s="57" t="str">
        <f t="shared" si="11"/>
        <v/>
      </c>
      <c r="M743" s="11" t="str">
        <f>IF($F$1,IF($L743="","",IFERROR(VLOOKUP($L743,day_data!$A:$I,2,FALSE),0)),NA())</f>
        <v/>
      </c>
      <c r="N743" s="58" t="e">
        <f>IF($F$2,IF($L743="","",IFERROR(VLOOKUP($L743,day_data!$A:$I,3,FALSE),0)),NA())</f>
        <v>#N/A</v>
      </c>
      <c r="O743" s="11" t="e">
        <f>IF($F$3,IF($L743="","",IFERROR(VLOOKUP($L743,day_data!$A:$I,4,FALSE),0)),NA())</f>
        <v>#N/A</v>
      </c>
      <c r="P743" s="58" t="e">
        <f>IF($F$4,IF($L743="","",IFERROR(VLOOKUP($L743,day_data!$A:$I,5,FALSE),0)),NA())</f>
        <v>#N/A</v>
      </c>
      <c r="Q743" s="59" t="e">
        <f>IF($F$8,IF($L743="","",IFERROR(VLOOKUP($L743,day_data!$A:$I,6,FALSE),0)),NA())</f>
        <v>#N/A</v>
      </c>
      <c r="R743" s="11" t="e">
        <f>IF($F$6,IF($L743="","",IFERROR(VLOOKUP($L743,day_data!$A:$I,7,FALSE),0)),NA())</f>
        <v>#N/A</v>
      </c>
      <c r="S743" s="58" t="str">
        <f>IF($F$5,IF($L743="","",IFERROR(VLOOKUP($L743,day_data!$A:$I,8,FALSE),0)),NA())</f>
        <v/>
      </c>
      <c r="T743" s="60" t="e">
        <f>IF($F$7,IF($L743="","",IFERROR(VLOOKUP($L743,day_data!$A:$I,9,FALSE),0)),NA())</f>
        <v>#N/A</v>
      </c>
    </row>
    <row r="744" spans="12:20">
      <c r="L744" s="57" t="str">
        <f t="shared" si="11"/>
        <v/>
      </c>
      <c r="M744" s="11" t="str">
        <f>IF($F$1,IF($L744="","",IFERROR(VLOOKUP($L744,day_data!$A:$I,2,FALSE),0)),NA())</f>
        <v/>
      </c>
      <c r="N744" s="58" t="e">
        <f>IF($F$2,IF($L744="","",IFERROR(VLOOKUP($L744,day_data!$A:$I,3,FALSE),0)),NA())</f>
        <v>#N/A</v>
      </c>
      <c r="O744" s="11" t="e">
        <f>IF($F$3,IF($L744="","",IFERROR(VLOOKUP($L744,day_data!$A:$I,4,FALSE),0)),NA())</f>
        <v>#N/A</v>
      </c>
      <c r="P744" s="58" t="e">
        <f>IF($F$4,IF($L744="","",IFERROR(VLOOKUP($L744,day_data!$A:$I,5,FALSE),0)),NA())</f>
        <v>#N/A</v>
      </c>
      <c r="Q744" s="59" t="e">
        <f>IF($F$8,IF($L744="","",IFERROR(VLOOKUP($L744,day_data!$A:$I,6,FALSE),0)),NA())</f>
        <v>#N/A</v>
      </c>
      <c r="R744" s="11" t="e">
        <f>IF($F$6,IF($L744="","",IFERROR(VLOOKUP($L744,day_data!$A:$I,7,FALSE),0)),NA())</f>
        <v>#N/A</v>
      </c>
      <c r="S744" s="58" t="str">
        <f>IF($F$5,IF($L744="","",IFERROR(VLOOKUP($L744,day_data!$A:$I,8,FALSE),0)),NA())</f>
        <v/>
      </c>
      <c r="T744" s="60" t="e">
        <f>IF($F$7,IF($L744="","",IFERROR(VLOOKUP($L744,day_data!$A:$I,9,FALSE),0)),NA())</f>
        <v>#N/A</v>
      </c>
    </row>
    <row r="745" spans="12:20">
      <c r="L745" s="57" t="str">
        <f t="shared" si="11"/>
        <v/>
      </c>
      <c r="M745" s="11" t="str">
        <f>IF($F$1,IF($L745="","",IFERROR(VLOOKUP($L745,day_data!$A:$I,2,FALSE),0)),NA())</f>
        <v/>
      </c>
      <c r="N745" s="58" t="e">
        <f>IF($F$2,IF($L745="","",IFERROR(VLOOKUP($L745,day_data!$A:$I,3,FALSE),0)),NA())</f>
        <v>#N/A</v>
      </c>
      <c r="O745" s="11" t="e">
        <f>IF($F$3,IF($L745="","",IFERROR(VLOOKUP($L745,day_data!$A:$I,4,FALSE),0)),NA())</f>
        <v>#N/A</v>
      </c>
      <c r="P745" s="58" t="e">
        <f>IF($F$4,IF($L745="","",IFERROR(VLOOKUP($L745,day_data!$A:$I,5,FALSE),0)),NA())</f>
        <v>#N/A</v>
      </c>
      <c r="Q745" s="59" t="e">
        <f>IF($F$8,IF($L745="","",IFERROR(VLOOKUP($L745,day_data!$A:$I,6,FALSE),0)),NA())</f>
        <v>#N/A</v>
      </c>
      <c r="R745" s="11" t="e">
        <f>IF($F$6,IF($L745="","",IFERROR(VLOOKUP($L745,day_data!$A:$I,7,FALSE),0)),NA())</f>
        <v>#N/A</v>
      </c>
      <c r="S745" s="58" t="str">
        <f>IF($F$5,IF($L745="","",IFERROR(VLOOKUP($L745,day_data!$A:$I,8,FALSE),0)),NA())</f>
        <v/>
      </c>
      <c r="T745" s="60" t="e">
        <f>IF($F$7,IF($L745="","",IFERROR(VLOOKUP($L745,day_data!$A:$I,9,FALSE),0)),NA())</f>
        <v>#N/A</v>
      </c>
    </row>
    <row r="746" spans="12:20">
      <c r="L746" s="57" t="str">
        <f t="shared" si="11"/>
        <v/>
      </c>
      <c r="M746" s="11" t="str">
        <f>IF($F$1,IF($L746="","",IFERROR(VLOOKUP($L746,day_data!$A:$I,2,FALSE),0)),NA())</f>
        <v/>
      </c>
      <c r="N746" s="58" t="e">
        <f>IF($F$2,IF($L746="","",IFERROR(VLOOKUP($L746,day_data!$A:$I,3,FALSE),0)),NA())</f>
        <v>#N/A</v>
      </c>
      <c r="O746" s="11" t="e">
        <f>IF($F$3,IF($L746="","",IFERROR(VLOOKUP($L746,day_data!$A:$I,4,FALSE),0)),NA())</f>
        <v>#N/A</v>
      </c>
      <c r="P746" s="58" t="e">
        <f>IF($F$4,IF($L746="","",IFERROR(VLOOKUP($L746,day_data!$A:$I,5,FALSE),0)),NA())</f>
        <v>#N/A</v>
      </c>
      <c r="Q746" s="59" t="e">
        <f>IF($F$8,IF($L746="","",IFERROR(VLOOKUP($L746,day_data!$A:$I,6,FALSE),0)),NA())</f>
        <v>#N/A</v>
      </c>
      <c r="R746" s="11" t="e">
        <f>IF($F$6,IF($L746="","",IFERROR(VLOOKUP($L746,day_data!$A:$I,7,FALSE),0)),NA())</f>
        <v>#N/A</v>
      </c>
      <c r="S746" s="58" t="str">
        <f>IF($F$5,IF($L746="","",IFERROR(VLOOKUP($L746,day_data!$A:$I,8,FALSE),0)),NA())</f>
        <v/>
      </c>
      <c r="T746" s="60" t="e">
        <f>IF($F$7,IF($L746="","",IFERROR(VLOOKUP($L746,day_data!$A:$I,9,FALSE),0)),NA())</f>
        <v>#N/A</v>
      </c>
    </row>
    <row r="747" spans="12:20">
      <c r="L747" s="57" t="str">
        <f t="shared" si="11"/>
        <v/>
      </c>
      <c r="M747" s="11" t="str">
        <f>IF($F$1,IF($L747="","",IFERROR(VLOOKUP($L747,day_data!$A:$I,2,FALSE),0)),NA())</f>
        <v/>
      </c>
      <c r="N747" s="58" t="e">
        <f>IF($F$2,IF($L747="","",IFERROR(VLOOKUP($L747,day_data!$A:$I,3,FALSE),0)),NA())</f>
        <v>#N/A</v>
      </c>
      <c r="O747" s="11" t="e">
        <f>IF($F$3,IF($L747="","",IFERROR(VLOOKUP($L747,day_data!$A:$I,4,FALSE),0)),NA())</f>
        <v>#N/A</v>
      </c>
      <c r="P747" s="58" t="e">
        <f>IF($F$4,IF($L747="","",IFERROR(VLOOKUP($L747,day_data!$A:$I,5,FALSE),0)),NA())</f>
        <v>#N/A</v>
      </c>
      <c r="Q747" s="59" t="e">
        <f>IF($F$8,IF($L747="","",IFERROR(VLOOKUP($L747,day_data!$A:$I,6,FALSE),0)),NA())</f>
        <v>#N/A</v>
      </c>
      <c r="R747" s="11" t="e">
        <f>IF($F$6,IF($L747="","",IFERROR(VLOOKUP($L747,day_data!$A:$I,7,FALSE),0)),NA())</f>
        <v>#N/A</v>
      </c>
      <c r="S747" s="58" t="str">
        <f>IF($F$5,IF($L747="","",IFERROR(VLOOKUP($L747,day_data!$A:$I,8,FALSE),0)),NA())</f>
        <v/>
      </c>
      <c r="T747" s="60" t="e">
        <f>IF($F$7,IF($L747="","",IFERROR(VLOOKUP($L747,day_data!$A:$I,9,FALSE),0)),NA())</f>
        <v>#N/A</v>
      </c>
    </row>
    <row r="748" spans="12:20">
      <c r="L748" s="57" t="str">
        <f t="shared" si="11"/>
        <v/>
      </c>
      <c r="M748" s="11" t="str">
        <f>IF($F$1,IF($L748="","",IFERROR(VLOOKUP($L748,day_data!$A:$I,2,FALSE),0)),NA())</f>
        <v/>
      </c>
      <c r="N748" s="58" t="e">
        <f>IF($F$2,IF($L748="","",IFERROR(VLOOKUP($L748,day_data!$A:$I,3,FALSE),0)),NA())</f>
        <v>#N/A</v>
      </c>
      <c r="O748" s="11" t="e">
        <f>IF($F$3,IF($L748="","",IFERROR(VLOOKUP($L748,day_data!$A:$I,4,FALSE),0)),NA())</f>
        <v>#N/A</v>
      </c>
      <c r="P748" s="58" t="e">
        <f>IF($F$4,IF($L748="","",IFERROR(VLOOKUP($L748,day_data!$A:$I,5,FALSE),0)),NA())</f>
        <v>#N/A</v>
      </c>
      <c r="Q748" s="59" t="e">
        <f>IF($F$8,IF($L748="","",IFERROR(VLOOKUP($L748,day_data!$A:$I,6,FALSE),0)),NA())</f>
        <v>#N/A</v>
      </c>
      <c r="R748" s="11" t="e">
        <f>IF($F$6,IF($L748="","",IFERROR(VLOOKUP($L748,day_data!$A:$I,7,FALSE),0)),NA())</f>
        <v>#N/A</v>
      </c>
      <c r="S748" s="58" t="str">
        <f>IF($F$5,IF($L748="","",IFERROR(VLOOKUP($L748,day_data!$A:$I,8,FALSE),0)),NA())</f>
        <v/>
      </c>
      <c r="T748" s="60" t="e">
        <f>IF($F$7,IF($L748="","",IFERROR(VLOOKUP($L748,day_data!$A:$I,9,FALSE),0)),NA())</f>
        <v>#N/A</v>
      </c>
    </row>
    <row r="749" spans="12:20">
      <c r="L749" s="57" t="str">
        <f t="shared" si="11"/>
        <v/>
      </c>
      <c r="M749" s="11" t="str">
        <f>IF($F$1,IF($L749="","",IFERROR(VLOOKUP($L749,day_data!$A:$I,2,FALSE),0)),NA())</f>
        <v/>
      </c>
      <c r="N749" s="58" t="e">
        <f>IF($F$2,IF($L749="","",IFERROR(VLOOKUP($L749,day_data!$A:$I,3,FALSE),0)),NA())</f>
        <v>#N/A</v>
      </c>
      <c r="O749" s="11" t="e">
        <f>IF($F$3,IF($L749="","",IFERROR(VLOOKUP($L749,day_data!$A:$I,4,FALSE),0)),NA())</f>
        <v>#N/A</v>
      </c>
      <c r="P749" s="58" t="e">
        <f>IF($F$4,IF($L749="","",IFERROR(VLOOKUP($L749,day_data!$A:$I,5,FALSE),0)),NA())</f>
        <v>#N/A</v>
      </c>
      <c r="Q749" s="59" t="e">
        <f>IF($F$8,IF($L749="","",IFERROR(VLOOKUP($L749,day_data!$A:$I,6,FALSE),0)),NA())</f>
        <v>#N/A</v>
      </c>
      <c r="R749" s="11" t="e">
        <f>IF($F$6,IF($L749="","",IFERROR(VLOOKUP($L749,day_data!$A:$I,7,FALSE),0)),NA())</f>
        <v>#N/A</v>
      </c>
      <c r="S749" s="58" t="str">
        <f>IF($F$5,IF($L749="","",IFERROR(VLOOKUP($L749,day_data!$A:$I,8,FALSE),0)),NA())</f>
        <v/>
      </c>
      <c r="T749" s="60" t="e">
        <f>IF($F$7,IF($L749="","",IFERROR(VLOOKUP($L749,day_data!$A:$I,9,FALSE),0)),NA())</f>
        <v>#N/A</v>
      </c>
    </row>
    <row r="750" spans="12:20">
      <c r="L750" s="57" t="str">
        <f t="shared" si="11"/>
        <v/>
      </c>
      <c r="M750" s="11" t="str">
        <f>IF($F$1,IF($L750="","",IFERROR(VLOOKUP($L750,day_data!$A:$I,2,FALSE),0)),NA())</f>
        <v/>
      </c>
      <c r="N750" s="58" t="e">
        <f>IF($F$2,IF($L750="","",IFERROR(VLOOKUP($L750,day_data!$A:$I,3,FALSE),0)),NA())</f>
        <v>#N/A</v>
      </c>
      <c r="O750" s="11" t="e">
        <f>IF($F$3,IF($L750="","",IFERROR(VLOOKUP($L750,day_data!$A:$I,4,FALSE),0)),NA())</f>
        <v>#N/A</v>
      </c>
      <c r="P750" s="58" t="e">
        <f>IF($F$4,IF($L750="","",IFERROR(VLOOKUP($L750,day_data!$A:$I,5,FALSE),0)),NA())</f>
        <v>#N/A</v>
      </c>
      <c r="Q750" s="59" t="e">
        <f>IF($F$8,IF($L750="","",IFERROR(VLOOKUP($L750,day_data!$A:$I,6,FALSE),0)),NA())</f>
        <v>#N/A</v>
      </c>
      <c r="R750" s="11" t="e">
        <f>IF($F$6,IF($L750="","",IFERROR(VLOOKUP($L750,day_data!$A:$I,7,FALSE),0)),NA())</f>
        <v>#N/A</v>
      </c>
      <c r="S750" s="58" t="str">
        <f>IF($F$5,IF($L750="","",IFERROR(VLOOKUP($L750,day_data!$A:$I,8,FALSE),0)),NA())</f>
        <v/>
      </c>
      <c r="T750" s="60" t="e">
        <f>IF($F$7,IF($L750="","",IFERROR(VLOOKUP($L750,day_data!$A:$I,9,FALSE),0)),NA())</f>
        <v>#N/A</v>
      </c>
    </row>
    <row r="751" spans="12:20">
      <c r="L751" s="57" t="str">
        <f t="shared" si="11"/>
        <v/>
      </c>
      <c r="M751" s="11" t="str">
        <f>IF($F$1,IF($L751="","",IFERROR(VLOOKUP($L751,day_data!$A:$I,2,FALSE),0)),NA())</f>
        <v/>
      </c>
      <c r="N751" s="58" t="e">
        <f>IF($F$2,IF($L751="","",IFERROR(VLOOKUP($L751,day_data!$A:$I,3,FALSE),0)),NA())</f>
        <v>#N/A</v>
      </c>
      <c r="O751" s="11" t="e">
        <f>IF($F$3,IF($L751="","",IFERROR(VLOOKUP($L751,day_data!$A:$I,4,FALSE),0)),NA())</f>
        <v>#N/A</v>
      </c>
      <c r="P751" s="58" t="e">
        <f>IF($F$4,IF($L751="","",IFERROR(VLOOKUP($L751,day_data!$A:$I,5,FALSE),0)),NA())</f>
        <v>#N/A</v>
      </c>
      <c r="Q751" s="59" t="e">
        <f>IF($F$8,IF($L751="","",IFERROR(VLOOKUP($L751,day_data!$A:$I,6,FALSE),0)),NA())</f>
        <v>#N/A</v>
      </c>
      <c r="R751" s="11" t="e">
        <f>IF($F$6,IF($L751="","",IFERROR(VLOOKUP($L751,day_data!$A:$I,7,FALSE),0)),NA())</f>
        <v>#N/A</v>
      </c>
      <c r="S751" s="58" t="str">
        <f>IF($F$5,IF($L751="","",IFERROR(VLOOKUP($L751,day_data!$A:$I,8,FALSE),0)),NA())</f>
        <v/>
      </c>
      <c r="T751" s="60" t="e">
        <f>IF($F$7,IF($L751="","",IFERROR(VLOOKUP($L751,day_data!$A:$I,9,FALSE),0)),NA())</f>
        <v>#N/A</v>
      </c>
    </row>
    <row r="752" spans="12:20">
      <c r="L752" s="57" t="str">
        <f t="shared" si="11"/>
        <v/>
      </c>
      <c r="M752" s="11" t="str">
        <f>IF($F$1,IF($L752="","",IFERROR(VLOOKUP($L752,day_data!$A:$I,2,FALSE),0)),NA())</f>
        <v/>
      </c>
      <c r="N752" s="58" t="e">
        <f>IF($F$2,IF($L752="","",IFERROR(VLOOKUP($L752,day_data!$A:$I,3,FALSE),0)),NA())</f>
        <v>#N/A</v>
      </c>
      <c r="O752" s="11" t="e">
        <f>IF($F$3,IF($L752="","",IFERROR(VLOOKUP($L752,day_data!$A:$I,4,FALSE),0)),NA())</f>
        <v>#N/A</v>
      </c>
      <c r="P752" s="58" t="e">
        <f>IF($F$4,IF($L752="","",IFERROR(VLOOKUP($L752,day_data!$A:$I,5,FALSE),0)),NA())</f>
        <v>#N/A</v>
      </c>
      <c r="Q752" s="59" t="e">
        <f>IF($F$8,IF($L752="","",IFERROR(VLOOKUP($L752,day_data!$A:$I,6,FALSE),0)),NA())</f>
        <v>#N/A</v>
      </c>
      <c r="R752" s="11" t="e">
        <f>IF($F$6,IF($L752="","",IFERROR(VLOOKUP($L752,day_data!$A:$I,7,FALSE),0)),NA())</f>
        <v>#N/A</v>
      </c>
      <c r="S752" s="58" t="str">
        <f>IF($F$5,IF($L752="","",IFERROR(VLOOKUP($L752,day_data!$A:$I,8,FALSE),0)),NA())</f>
        <v/>
      </c>
      <c r="T752" s="60" t="e">
        <f>IF($F$7,IF($L752="","",IFERROR(VLOOKUP($L752,day_data!$A:$I,9,FALSE),0)),NA())</f>
        <v>#N/A</v>
      </c>
    </row>
    <row r="753" spans="12:20">
      <c r="L753" s="57" t="str">
        <f t="shared" si="11"/>
        <v/>
      </c>
      <c r="M753" s="11" t="str">
        <f>IF($F$1,IF($L753="","",IFERROR(VLOOKUP($L753,day_data!$A:$I,2,FALSE),0)),NA())</f>
        <v/>
      </c>
      <c r="N753" s="58" t="e">
        <f>IF($F$2,IF($L753="","",IFERROR(VLOOKUP($L753,day_data!$A:$I,3,FALSE),0)),NA())</f>
        <v>#N/A</v>
      </c>
      <c r="O753" s="11" t="e">
        <f>IF($F$3,IF($L753="","",IFERROR(VLOOKUP($L753,day_data!$A:$I,4,FALSE),0)),NA())</f>
        <v>#N/A</v>
      </c>
      <c r="P753" s="58" t="e">
        <f>IF($F$4,IF($L753="","",IFERROR(VLOOKUP($L753,day_data!$A:$I,5,FALSE),0)),NA())</f>
        <v>#N/A</v>
      </c>
      <c r="Q753" s="59" t="e">
        <f>IF($F$8,IF($L753="","",IFERROR(VLOOKUP($L753,day_data!$A:$I,6,FALSE),0)),NA())</f>
        <v>#N/A</v>
      </c>
      <c r="R753" s="11" t="e">
        <f>IF($F$6,IF($L753="","",IFERROR(VLOOKUP($L753,day_data!$A:$I,7,FALSE),0)),NA())</f>
        <v>#N/A</v>
      </c>
      <c r="S753" s="58" t="str">
        <f>IF($F$5,IF($L753="","",IFERROR(VLOOKUP($L753,day_data!$A:$I,8,FALSE),0)),NA())</f>
        <v/>
      </c>
      <c r="T753" s="60" t="e">
        <f>IF($F$7,IF($L753="","",IFERROR(VLOOKUP($L753,day_data!$A:$I,9,FALSE),0)),NA())</f>
        <v>#N/A</v>
      </c>
    </row>
    <row r="754" spans="12:20">
      <c r="L754" s="57" t="str">
        <f t="shared" si="11"/>
        <v/>
      </c>
      <c r="M754" s="11" t="str">
        <f>IF($F$1,IF($L754="","",IFERROR(VLOOKUP($L754,day_data!$A:$I,2,FALSE),0)),NA())</f>
        <v/>
      </c>
      <c r="N754" s="58" t="e">
        <f>IF($F$2,IF($L754="","",IFERROR(VLOOKUP($L754,day_data!$A:$I,3,FALSE),0)),NA())</f>
        <v>#N/A</v>
      </c>
      <c r="O754" s="11" t="e">
        <f>IF($F$3,IF($L754="","",IFERROR(VLOOKUP($L754,day_data!$A:$I,4,FALSE),0)),NA())</f>
        <v>#N/A</v>
      </c>
      <c r="P754" s="58" t="e">
        <f>IF($F$4,IF($L754="","",IFERROR(VLOOKUP($L754,day_data!$A:$I,5,FALSE),0)),NA())</f>
        <v>#N/A</v>
      </c>
      <c r="Q754" s="59" t="e">
        <f>IF($F$8,IF($L754="","",IFERROR(VLOOKUP($L754,day_data!$A:$I,6,FALSE),0)),NA())</f>
        <v>#N/A</v>
      </c>
      <c r="R754" s="11" t="e">
        <f>IF($F$6,IF($L754="","",IFERROR(VLOOKUP($L754,day_data!$A:$I,7,FALSE),0)),NA())</f>
        <v>#N/A</v>
      </c>
      <c r="S754" s="58" t="str">
        <f>IF($F$5,IF($L754="","",IFERROR(VLOOKUP($L754,day_data!$A:$I,8,FALSE),0)),NA())</f>
        <v/>
      </c>
      <c r="T754" s="60" t="e">
        <f>IF($F$7,IF($L754="","",IFERROR(VLOOKUP($L754,day_data!$A:$I,9,FALSE),0)),NA())</f>
        <v>#N/A</v>
      </c>
    </row>
    <row r="755" spans="12:20">
      <c r="L755" s="57" t="str">
        <f t="shared" si="11"/>
        <v/>
      </c>
      <c r="M755" s="11" t="str">
        <f>IF($F$1,IF($L755="","",IFERROR(VLOOKUP($L755,day_data!$A:$I,2,FALSE),0)),NA())</f>
        <v/>
      </c>
      <c r="N755" s="58" t="e">
        <f>IF($F$2,IF($L755="","",IFERROR(VLOOKUP($L755,day_data!$A:$I,3,FALSE),0)),NA())</f>
        <v>#N/A</v>
      </c>
      <c r="O755" s="11" t="e">
        <f>IF($F$3,IF($L755="","",IFERROR(VLOOKUP($L755,day_data!$A:$I,4,FALSE),0)),NA())</f>
        <v>#N/A</v>
      </c>
      <c r="P755" s="58" t="e">
        <f>IF($F$4,IF($L755="","",IFERROR(VLOOKUP($L755,day_data!$A:$I,5,FALSE),0)),NA())</f>
        <v>#N/A</v>
      </c>
      <c r="Q755" s="59" t="e">
        <f>IF($F$8,IF($L755="","",IFERROR(VLOOKUP($L755,day_data!$A:$I,6,FALSE),0)),NA())</f>
        <v>#N/A</v>
      </c>
      <c r="R755" s="11" t="e">
        <f>IF($F$6,IF($L755="","",IFERROR(VLOOKUP($L755,day_data!$A:$I,7,FALSE),0)),NA())</f>
        <v>#N/A</v>
      </c>
      <c r="S755" s="58" t="str">
        <f>IF($F$5,IF($L755="","",IFERROR(VLOOKUP($L755,day_data!$A:$I,8,FALSE),0)),NA())</f>
        <v/>
      </c>
      <c r="T755" s="60" t="e">
        <f>IF($F$7,IF($L755="","",IFERROR(VLOOKUP($L755,day_data!$A:$I,9,FALSE),0)),NA())</f>
        <v>#N/A</v>
      </c>
    </row>
    <row r="756" spans="12:20">
      <c r="L756" s="57" t="str">
        <f t="shared" si="11"/>
        <v/>
      </c>
      <c r="M756" s="11" t="str">
        <f>IF($F$1,IF($L756="","",IFERROR(VLOOKUP($L756,day_data!$A:$I,2,FALSE),0)),NA())</f>
        <v/>
      </c>
      <c r="N756" s="58" t="e">
        <f>IF($F$2,IF($L756="","",IFERROR(VLOOKUP($L756,day_data!$A:$I,3,FALSE),0)),NA())</f>
        <v>#N/A</v>
      </c>
      <c r="O756" s="11" t="e">
        <f>IF($F$3,IF($L756="","",IFERROR(VLOOKUP($L756,day_data!$A:$I,4,FALSE),0)),NA())</f>
        <v>#N/A</v>
      </c>
      <c r="P756" s="58" t="e">
        <f>IF($F$4,IF($L756="","",IFERROR(VLOOKUP($L756,day_data!$A:$I,5,FALSE),0)),NA())</f>
        <v>#N/A</v>
      </c>
      <c r="Q756" s="59" t="e">
        <f>IF($F$8,IF($L756="","",IFERROR(VLOOKUP($L756,day_data!$A:$I,6,FALSE),0)),NA())</f>
        <v>#N/A</v>
      </c>
      <c r="R756" s="11" t="e">
        <f>IF($F$6,IF($L756="","",IFERROR(VLOOKUP($L756,day_data!$A:$I,7,FALSE),0)),NA())</f>
        <v>#N/A</v>
      </c>
      <c r="S756" s="58" t="str">
        <f>IF($F$5,IF($L756="","",IFERROR(VLOOKUP($L756,day_data!$A:$I,8,FALSE),0)),NA())</f>
        <v/>
      </c>
      <c r="T756" s="60" t="e">
        <f>IF($F$7,IF($L756="","",IFERROR(VLOOKUP($L756,day_data!$A:$I,9,FALSE),0)),NA())</f>
        <v>#N/A</v>
      </c>
    </row>
    <row r="757" spans="12:20">
      <c r="L757" s="57" t="str">
        <f t="shared" si="11"/>
        <v/>
      </c>
      <c r="M757" s="11" t="str">
        <f>IF($F$1,IF($L757="","",IFERROR(VLOOKUP($L757,day_data!$A:$I,2,FALSE),0)),NA())</f>
        <v/>
      </c>
      <c r="N757" s="58" t="e">
        <f>IF($F$2,IF($L757="","",IFERROR(VLOOKUP($L757,day_data!$A:$I,3,FALSE),0)),NA())</f>
        <v>#N/A</v>
      </c>
      <c r="O757" s="11" t="e">
        <f>IF($F$3,IF($L757="","",IFERROR(VLOOKUP($L757,day_data!$A:$I,4,FALSE),0)),NA())</f>
        <v>#N/A</v>
      </c>
      <c r="P757" s="58" t="e">
        <f>IF($F$4,IF($L757="","",IFERROR(VLOOKUP($L757,day_data!$A:$I,5,FALSE),0)),NA())</f>
        <v>#N/A</v>
      </c>
      <c r="Q757" s="59" t="e">
        <f>IF($F$8,IF($L757="","",IFERROR(VLOOKUP($L757,day_data!$A:$I,6,FALSE),0)),NA())</f>
        <v>#N/A</v>
      </c>
      <c r="R757" s="11" t="e">
        <f>IF($F$6,IF($L757="","",IFERROR(VLOOKUP($L757,day_data!$A:$I,7,FALSE),0)),NA())</f>
        <v>#N/A</v>
      </c>
      <c r="S757" s="58" t="str">
        <f>IF($F$5,IF($L757="","",IFERROR(VLOOKUP($L757,day_data!$A:$I,8,FALSE),0)),NA())</f>
        <v/>
      </c>
      <c r="T757" s="60" t="e">
        <f>IF($F$7,IF($L757="","",IFERROR(VLOOKUP($L757,day_data!$A:$I,9,FALSE),0)),NA())</f>
        <v>#N/A</v>
      </c>
    </row>
    <row r="758" spans="12:20">
      <c r="L758" s="57" t="str">
        <f t="shared" si="11"/>
        <v/>
      </c>
      <c r="M758" s="11" t="str">
        <f>IF($F$1,IF($L758="","",IFERROR(VLOOKUP($L758,day_data!$A:$I,2,FALSE),0)),NA())</f>
        <v/>
      </c>
      <c r="N758" s="58" t="e">
        <f>IF($F$2,IF($L758="","",IFERROR(VLOOKUP($L758,day_data!$A:$I,3,FALSE),0)),NA())</f>
        <v>#N/A</v>
      </c>
      <c r="O758" s="11" t="e">
        <f>IF($F$3,IF($L758="","",IFERROR(VLOOKUP($L758,day_data!$A:$I,4,FALSE),0)),NA())</f>
        <v>#N/A</v>
      </c>
      <c r="P758" s="58" t="e">
        <f>IF($F$4,IF($L758="","",IFERROR(VLOOKUP($L758,day_data!$A:$I,5,FALSE),0)),NA())</f>
        <v>#N/A</v>
      </c>
      <c r="Q758" s="59" t="e">
        <f>IF($F$8,IF($L758="","",IFERROR(VLOOKUP($L758,day_data!$A:$I,6,FALSE),0)),NA())</f>
        <v>#N/A</v>
      </c>
      <c r="R758" s="11" t="e">
        <f>IF($F$6,IF($L758="","",IFERROR(VLOOKUP($L758,day_data!$A:$I,7,FALSE),0)),NA())</f>
        <v>#N/A</v>
      </c>
      <c r="S758" s="58" t="str">
        <f>IF($F$5,IF($L758="","",IFERROR(VLOOKUP($L758,day_data!$A:$I,8,FALSE),0)),NA())</f>
        <v/>
      </c>
      <c r="T758" s="60" t="e">
        <f>IF($F$7,IF($L758="","",IFERROR(VLOOKUP($L758,day_data!$A:$I,9,FALSE),0)),NA())</f>
        <v>#N/A</v>
      </c>
    </row>
    <row r="759" spans="12:20">
      <c r="L759" s="57" t="str">
        <f t="shared" si="11"/>
        <v/>
      </c>
      <c r="M759" s="11" t="str">
        <f>IF($F$1,IF($L759="","",IFERROR(VLOOKUP($L759,day_data!$A:$I,2,FALSE),0)),NA())</f>
        <v/>
      </c>
      <c r="N759" s="58" t="e">
        <f>IF($F$2,IF($L759="","",IFERROR(VLOOKUP($L759,day_data!$A:$I,3,FALSE),0)),NA())</f>
        <v>#N/A</v>
      </c>
      <c r="O759" s="11" t="e">
        <f>IF($F$3,IF($L759="","",IFERROR(VLOOKUP($L759,day_data!$A:$I,4,FALSE),0)),NA())</f>
        <v>#N/A</v>
      </c>
      <c r="P759" s="58" t="e">
        <f>IF($F$4,IF($L759="","",IFERROR(VLOOKUP($L759,day_data!$A:$I,5,FALSE),0)),NA())</f>
        <v>#N/A</v>
      </c>
      <c r="Q759" s="59" t="e">
        <f>IF($F$8,IF($L759="","",IFERROR(VLOOKUP($L759,day_data!$A:$I,6,FALSE),0)),NA())</f>
        <v>#N/A</v>
      </c>
      <c r="R759" s="11" t="e">
        <f>IF($F$6,IF($L759="","",IFERROR(VLOOKUP($L759,day_data!$A:$I,7,FALSE),0)),NA())</f>
        <v>#N/A</v>
      </c>
      <c r="S759" s="58" t="str">
        <f>IF($F$5,IF($L759="","",IFERROR(VLOOKUP($L759,day_data!$A:$I,8,FALSE),0)),NA())</f>
        <v/>
      </c>
      <c r="T759" s="60" t="e">
        <f>IF($F$7,IF($L759="","",IFERROR(VLOOKUP($L759,day_data!$A:$I,9,FALSE),0)),NA())</f>
        <v>#N/A</v>
      </c>
    </row>
    <row r="760" spans="12:20">
      <c r="L760" s="57" t="str">
        <f t="shared" si="11"/>
        <v/>
      </c>
      <c r="M760" s="11" t="str">
        <f>IF($F$1,IF($L760="","",IFERROR(VLOOKUP($L760,day_data!$A:$I,2,FALSE),0)),NA())</f>
        <v/>
      </c>
      <c r="N760" s="58" t="e">
        <f>IF($F$2,IF($L760="","",IFERROR(VLOOKUP($L760,day_data!$A:$I,3,FALSE),0)),NA())</f>
        <v>#N/A</v>
      </c>
      <c r="O760" s="11" t="e">
        <f>IF($F$3,IF($L760="","",IFERROR(VLOOKUP($L760,day_data!$A:$I,4,FALSE),0)),NA())</f>
        <v>#N/A</v>
      </c>
      <c r="P760" s="58" t="e">
        <f>IF($F$4,IF($L760="","",IFERROR(VLOOKUP($L760,day_data!$A:$I,5,FALSE),0)),NA())</f>
        <v>#N/A</v>
      </c>
      <c r="Q760" s="59" t="e">
        <f>IF($F$8,IF($L760="","",IFERROR(VLOOKUP($L760,day_data!$A:$I,6,FALSE),0)),NA())</f>
        <v>#N/A</v>
      </c>
      <c r="R760" s="11" t="e">
        <f>IF($F$6,IF($L760="","",IFERROR(VLOOKUP($L760,day_data!$A:$I,7,FALSE),0)),NA())</f>
        <v>#N/A</v>
      </c>
      <c r="S760" s="58" t="str">
        <f>IF($F$5,IF($L760="","",IFERROR(VLOOKUP($L760,day_data!$A:$I,8,FALSE),0)),NA())</f>
        <v/>
      </c>
      <c r="T760" s="60" t="e">
        <f>IF($F$7,IF($L760="","",IFERROR(VLOOKUP($L760,day_data!$A:$I,9,FALSE),0)),NA())</f>
        <v>#N/A</v>
      </c>
    </row>
    <row r="761" spans="12:20">
      <c r="L761" s="57" t="str">
        <f t="shared" si="11"/>
        <v/>
      </c>
      <c r="M761" s="11" t="str">
        <f>IF($F$1,IF($L761="","",IFERROR(VLOOKUP($L761,day_data!$A:$I,2,FALSE),0)),NA())</f>
        <v/>
      </c>
      <c r="N761" s="58" t="e">
        <f>IF($F$2,IF($L761="","",IFERROR(VLOOKUP($L761,day_data!$A:$I,3,FALSE),0)),NA())</f>
        <v>#N/A</v>
      </c>
      <c r="O761" s="11" t="e">
        <f>IF($F$3,IF($L761="","",IFERROR(VLOOKUP($L761,day_data!$A:$I,4,FALSE),0)),NA())</f>
        <v>#N/A</v>
      </c>
      <c r="P761" s="58" t="e">
        <f>IF($F$4,IF($L761="","",IFERROR(VLOOKUP($L761,day_data!$A:$I,5,FALSE),0)),NA())</f>
        <v>#N/A</v>
      </c>
      <c r="Q761" s="59" t="e">
        <f>IF($F$8,IF($L761="","",IFERROR(VLOOKUP($L761,day_data!$A:$I,6,FALSE),0)),NA())</f>
        <v>#N/A</v>
      </c>
      <c r="R761" s="11" t="e">
        <f>IF($F$6,IF($L761="","",IFERROR(VLOOKUP($L761,day_data!$A:$I,7,FALSE),0)),NA())</f>
        <v>#N/A</v>
      </c>
      <c r="S761" s="58" t="str">
        <f>IF($F$5,IF($L761="","",IFERROR(VLOOKUP($L761,day_data!$A:$I,8,FALSE),0)),NA())</f>
        <v/>
      </c>
      <c r="T761" s="60" t="e">
        <f>IF($F$7,IF($L761="","",IFERROR(VLOOKUP($L761,day_data!$A:$I,9,FALSE),0)),NA())</f>
        <v>#N/A</v>
      </c>
    </row>
    <row r="762" spans="12:20">
      <c r="L762" s="57" t="str">
        <f t="shared" si="11"/>
        <v/>
      </c>
      <c r="M762" s="11" t="str">
        <f>IF($F$1,IF($L762="","",IFERROR(VLOOKUP($L762,day_data!$A:$I,2,FALSE),0)),NA())</f>
        <v/>
      </c>
      <c r="N762" s="58" t="e">
        <f>IF($F$2,IF($L762="","",IFERROR(VLOOKUP($L762,day_data!$A:$I,3,FALSE),0)),NA())</f>
        <v>#N/A</v>
      </c>
      <c r="O762" s="11" t="e">
        <f>IF($F$3,IF($L762="","",IFERROR(VLOOKUP($L762,day_data!$A:$I,4,FALSE),0)),NA())</f>
        <v>#N/A</v>
      </c>
      <c r="P762" s="58" t="e">
        <f>IF($F$4,IF($L762="","",IFERROR(VLOOKUP($L762,day_data!$A:$I,5,FALSE),0)),NA())</f>
        <v>#N/A</v>
      </c>
      <c r="Q762" s="59" t="e">
        <f>IF($F$8,IF($L762="","",IFERROR(VLOOKUP($L762,day_data!$A:$I,6,FALSE),0)),NA())</f>
        <v>#N/A</v>
      </c>
      <c r="R762" s="11" t="e">
        <f>IF($F$6,IF($L762="","",IFERROR(VLOOKUP($L762,day_data!$A:$I,7,FALSE),0)),NA())</f>
        <v>#N/A</v>
      </c>
      <c r="S762" s="58" t="str">
        <f>IF($F$5,IF($L762="","",IFERROR(VLOOKUP($L762,day_data!$A:$I,8,FALSE),0)),NA())</f>
        <v/>
      </c>
      <c r="T762" s="60" t="e">
        <f>IF($F$7,IF($L762="","",IFERROR(VLOOKUP($L762,day_data!$A:$I,9,FALSE),0)),NA())</f>
        <v>#N/A</v>
      </c>
    </row>
    <row r="763" spans="12:20">
      <c r="L763" s="57" t="str">
        <f t="shared" si="11"/>
        <v/>
      </c>
      <c r="M763" s="11" t="str">
        <f>IF($F$1,IF($L763="","",IFERROR(VLOOKUP($L763,day_data!$A:$I,2,FALSE),0)),NA())</f>
        <v/>
      </c>
      <c r="N763" s="58" t="e">
        <f>IF($F$2,IF($L763="","",IFERROR(VLOOKUP($L763,day_data!$A:$I,3,FALSE),0)),NA())</f>
        <v>#N/A</v>
      </c>
      <c r="O763" s="11" t="e">
        <f>IF($F$3,IF($L763="","",IFERROR(VLOOKUP($L763,day_data!$A:$I,4,FALSE),0)),NA())</f>
        <v>#N/A</v>
      </c>
      <c r="P763" s="58" t="e">
        <f>IF($F$4,IF($L763="","",IFERROR(VLOOKUP($L763,day_data!$A:$I,5,FALSE),0)),NA())</f>
        <v>#N/A</v>
      </c>
      <c r="Q763" s="59" t="e">
        <f>IF($F$8,IF($L763="","",IFERROR(VLOOKUP($L763,day_data!$A:$I,6,FALSE),0)),NA())</f>
        <v>#N/A</v>
      </c>
      <c r="R763" s="11" t="e">
        <f>IF($F$6,IF($L763="","",IFERROR(VLOOKUP($L763,day_data!$A:$I,7,FALSE),0)),NA())</f>
        <v>#N/A</v>
      </c>
      <c r="S763" s="58" t="str">
        <f>IF($F$5,IF($L763="","",IFERROR(VLOOKUP($L763,day_data!$A:$I,8,FALSE),0)),NA())</f>
        <v/>
      </c>
      <c r="T763" s="60" t="e">
        <f>IF($F$7,IF($L763="","",IFERROR(VLOOKUP($L763,day_data!$A:$I,9,FALSE),0)),NA())</f>
        <v>#N/A</v>
      </c>
    </row>
    <row r="764" spans="12:20">
      <c r="L764" s="57" t="str">
        <f t="shared" si="11"/>
        <v/>
      </c>
      <c r="M764" s="11" t="str">
        <f>IF($F$1,IF($L764="","",IFERROR(VLOOKUP($L764,day_data!$A:$I,2,FALSE),0)),NA())</f>
        <v/>
      </c>
      <c r="N764" s="58" t="e">
        <f>IF($F$2,IF($L764="","",IFERROR(VLOOKUP($L764,day_data!$A:$I,3,FALSE),0)),NA())</f>
        <v>#N/A</v>
      </c>
      <c r="O764" s="11" t="e">
        <f>IF($F$3,IF($L764="","",IFERROR(VLOOKUP($L764,day_data!$A:$I,4,FALSE),0)),NA())</f>
        <v>#N/A</v>
      </c>
      <c r="P764" s="58" t="e">
        <f>IF($F$4,IF($L764="","",IFERROR(VLOOKUP($L764,day_data!$A:$I,5,FALSE),0)),NA())</f>
        <v>#N/A</v>
      </c>
      <c r="Q764" s="59" t="e">
        <f>IF($F$8,IF($L764="","",IFERROR(VLOOKUP($L764,day_data!$A:$I,6,FALSE),0)),NA())</f>
        <v>#N/A</v>
      </c>
      <c r="R764" s="11" t="e">
        <f>IF($F$6,IF($L764="","",IFERROR(VLOOKUP($L764,day_data!$A:$I,7,FALSE),0)),NA())</f>
        <v>#N/A</v>
      </c>
      <c r="S764" s="58" t="str">
        <f>IF($F$5,IF($L764="","",IFERROR(VLOOKUP($L764,day_data!$A:$I,8,FALSE),0)),NA())</f>
        <v/>
      </c>
      <c r="T764" s="60" t="e">
        <f>IF($F$7,IF($L764="","",IFERROR(VLOOKUP($L764,day_data!$A:$I,9,FALSE),0)),NA())</f>
        <v>#N/A</v>
      </c>
    </row>
    <row r="765" spans="12:20">
      <c r="L765" s="57" t="str">
        <f t="shared" si="11"/>
        <v/>
      </c>
      <c r="M765" s="11" t="str">
        <f>IF($F$1,IF($L765="","",IFERROR(VLOOKUP($L765,day_data!$A:$I,2,FALSE),0)),NA())</f>
        <v/>
      </c>
      <c r="N765" s="58" t="e">
        <f>IF($F$2,IF($L765="","",IFERROR(VLOOKUP($L765,day_data!$A:$I,3,FALSE),0)),NA())</f>
        <v>#N/A</v>
      </c>
      <c r="O765" s="11" t="e">
        <f>IF($F$3,IF($L765="","",IFERROR(VLOOKUP($L765,day_data!$A:$I,4,FALSE),0)),NA())</f>
        <v>#N/A</v>
      </c>
      <c r="P765" s="58" t="e">
        <f>IF($F$4,IF($L765="","",IFERROR(VLOOKUP($L765,day_data!$A:$I,5,FALSE),0)),NA())</f>
        <v>#N/A</v>
      </c>
      <c r="Q765" s="59" t="e">
        <f>IF($F$8,IF($L765="","",IFERROR(VLOOKUP($L765,day_data!$A:$I,6,FALSE),0)),NA())</f>
        <v>#N/A</v>
      </c>
      <c r="R765" s="11" t="e">
        <f>IF($F$6,IF($L765="","",IFERROR(VLOOKUP($L765,day_data!$A:$I,7,FALSE),0)),NA())</f>
        <v>#N/A</v>
      </c>
      <c r="S765" s="58" t="str">
        <f>IF($F$5,IF($L765="","",IFERROR(VLOOKUP($L765,day_data!$A:$I,8,FALSE),0)),NA())</f>
        <v/>
      </c>
      <c r="T765" s="60" t="e">
        <f>IF($F$7,IF($L765="","",IFERROR(VLOOKUP($L765,day_data!$A:$I,9,FALSE),0)),NA())</f>
        <v>#N/A</v>
      </c>
    </row>
    <row r="766" spans="12:20">
      <c r="L766" s="57" t="str">
        <f t="shared" si="11"/>
        <v/>
      </c>
      <c r="M766" s="11" t="str">
        <f>IF($F$1,IF($L766="","",IFERROR(VLOOKUP($L766,day_data!$A:$I,2,FALSE),0)),NA())</f>
        <v/>
      </c>
      <c r="N766" s="58" t="e">
        <f>IF($F$2,IF($L766="","",IFERROR(VLOOKUP($L766,day_data!$A:$I,3,FALSE),0)),NA())</f>
        <v>#N/A</v>
      </c>
      <c r="O766" s="11" t="e">
        <f>IF($F$3,IF($L766="","",IFERROR(VLOOKUP($L766,day_data!$A:$I,4,FALSE),0)),NA())</f>
        <v>#N/A</v>
      </c>
      <c r="P766" s="58" t="e">
        <f>IF($F$4,IF($L766="","",IFERROR(VLOOKUP($L766,day_data!$A:$I,5,FALSE),0)),NA())</f>
        <v>#N/A</v>
      </c>
      <c r="Q766" s="59" t="e">
        <f>IF($F$8,IF($L766="","",IFERROR(VLOOKUP($L766,day_data!$A:$I,6,FALSE),0)),NA())</f>
        <v>#N/A</v>
      </c>
      <c r="R766" s="11" t="e">
        <f>IF($F$6,IF($L766="","",IFERROR(VLOOKUP($L766,day_data!$A:$I,7,FALSE),0)),NA())</f>
        <v>#N/A</v>
      </c>
      <c r="S766" s="58" t="str">
        <f>IF($F$5,IF($L766="","",IFERROR(VLOOKUP($L766,day_data!$A:$I,8,FALSE),0)),NA())</f>
        <v/>
      </c>
      <c r="T766" s="60" t="e">
        <f>IF($F$7,IF($L766="","",IFERROR(VLOOKUP($L766,day_data!$A:$I,9,FALSE),0)),NA())</f>
        <v>#N/A</v>
      </c>
    </row>
    <row r="767" spans="12:20">
      <c r="L767" s="57" t="str">
        <f t="shared" si="11"/>
        <v/>
      </c>
      <c r="M767" s="11" t="str">
        <f>IF($F$1,IF($L767="","",IFERROR(VLOOKUP($L767,day_data!$A:$I,2,FALSE),0)),NA())</f>
        <v/>
      </c>
      <c r="N767" s="58" t="e">
        <f>IF($F$2,IF($L767="","",IFERROR(VLOOKUP($L767,day_data!$A:$I,3,FALSE),0)),NA())</f>
        <v>#N/A</v>
      </c>
      <c r="O767" s="11" t="e">
        <f>IF($F$3,IF($L767="","",IFERROR(VLOOKUP($L767,day_data!$A:$I,4,FALSE),0)),NA())</f>
        <v>#N/A</v>
      </c>
      <c r="P767" s="58" t="e">
        <f>IF($F$4,IF($L767="","",IFERROR(VLOOKUP($L767,day_data!$A:$I,5,FALSE),0)),NA())</f>
        <v>#N/A</v>
      </c>
      <c r="Q767" s="59" t="e">
        <f>IF($F$8,IF($L767="","",IFERROR(VLOOKUP($L767,day_data!$A:$I,6,FALSE),0)),NA())</f>
        <v>#N/A</v>
      </c>
      <c r="R767" s="11" t="e">
        <f>IF($F$6,IF($L767="","",IFERROR(VLOOKUP($L767,day_data!$A:$I,7,FALSE),0)),NA())</f>
        <v>#N/A</v>
      </c>
      <c r="S767" s="58" t="str">
        <f>IF($F$5,IF($L767="","",IFERROR(VLOOKUP($L767,day_data!$A:$I,8,FALSE),0)),NA())</f>
        <v/>
      </c>
      <c r="T767" s="60" t="e">
        <f>IF($F$7,IF($L767="","",IFERROR(VLOOKUP($L767,day_data!$A:$I,9,FALSE),0)),NA())</f>
        <v>#N/A</v>
      </c>
    </row>
    <row r="768" spans="12:20">
      <c r="L768" s="57" t="str">
        <f t="shared" si="11"/>
        <v/>
      </c>
      <c r="M768" s="11" t="str">
        <f>IF($F$1,IF($L768="","",IFERROR(VLOOKUP($L768,day_data!$A:$I,2,FALSE),0)),NA())</f>
        <v/>
      </c>
      <c r="N768" s="58" t="e">
        <f>IF($F$2,IF($L768="","",IFERROR(VLOOKUP($L768,day_data!$A:$I,3,FALSE),0)),NA())</f>
        <v>#N/A</v>
      </c>
      <c r="O768" s="11" t="e">
        <f>IF($F$3,IF($L768="","",IFERROR(VLOOKUP($L768,day_data!$A:$I,4,FALSE),0)),NA())</f>
        <v>#N/A</v>
      </c>
      <c r="P768" s="58" t="e">
        <f>IF($F$4,IF($L768="","",IFERROR(VLOOKUP($L768,day_data!$A:$I,5,FALSE),0)),NA())</f>
        <v>#N/A</v>
      </c>
      <c r="Q768" s="59" t="e">
        <f>IF($F$8,IF($L768="","",IFERROR(VLOOKUP($L768,day_data!$A:$I,6,FALSE),0)),NA())</f>
        <v>#N/A</v>
      </c>
      <c r="R768" s="11" t="e">
        <f>IF($F$6,IF($L768="","",IFERROR(VLOOKUP($L768,day_data!$A:$I,7,FALSE),0)),NA())</f>
        <v>#N/A</v>
      </c>
      <c r="S768" s="58" t="str">
        <f>IF($F$5,IF($L768="","",IFERROR(VLOOKUP($L768,day_data!$A:$I,8,FALSE),0)),NA())</f>
        <v/>
      </c>
      <c r="T768" s="60" t="e">
        <f>IF($F$7,IF($L768="","",IFERROR(VLOOKUP($L768,day_data!$A:$I,9,FALSE),0)),NA())</f>
        <v>#N/A</v>
      </c>
    </row>
    <row r="769" spans="12:20">
      <c r="L769" s="57" t="str">
        <f t="shared" si="11"/>
        <v/>
      </c>
      <c r="M769" s="11" t="str">
        <f>IF($F$1,IF($L769="","",IFERROR(VLOOKUP($L769,day_data!$A:$I,2,FALSE),0)),NA())</f>
        <v/>
      </c>
      <c r="N769" s="58" t="e">
        <f>IF($F$2,IF($L769="","",IFERROR(VLOOKUP($L769,day_data!$A:$I,3,FALSE),0)),NA())</f>
        <v>#N/A</v>
      </c>
      <c r="O769" s="11" t="e">
        <f>IF($F$3,IF($L769="","",IFERROR(VLOOKUP($L769,day_data!$A:$I,4,FALSE),0)),NA())</f>
        <v>#N/A</v>
      </c>
      <c r="P769" s="58" t="e">
        <f>IF($F$4,IF($L769="","",IFERROR(VLOOKUP($L769,day_data!$A:$I,5,FALSE),0)),NA())</f>
        <v>#N/A</v>
      </c>
      <c r="Q769" s="59" t="e">
        <f>IF($F$8,IF($L769="","",IFERROR(VLOOKUP($L769,day_data!$A:$I,6,FALSE),0)),NA())</f>
        <v>#N/A</v>
      </c>
      <c r="R769" s="11" t="e">
        <f>IF($F$6,IF($L769="","",IFERROR(VLOOKUP($L769,day_data!$A:$I,7,FALSE),0)),NA())</f>
        <v>#N/A</v>
      </c>
      <c r="S769" s="58" t="str">
        <f>IF($F$5,IF($L769="","",IFERROR(VLOOKUP($L769,day_data!$A:$I,8,FALSE),0)),NA())</f>
        <v/>
      </c>
      <c r="T769" s="60" t="e">
        <f>IF($F$7,IF($L769="","",IFERROR(VLOOKUP($L769,day_data!$A:$I,9,FALSE),0)),NA())</f>
        <v>#N/A</v>
      </c>
    </row>
    <row r="770" spans="12:20">
      <c r="L770" s="57" t="str">
        <f t="shared" si="11"/>
        <v/>
      </c>
      <c r="M770" s="11" t="str">
        <f>IF($F$1,IF($L770="","",IFERROR(VLOOKUP($L770,day_data!$A:$I,2,FALSE),0)),NA())</f>
        <v/>
      </c>
      <c r="N770" s="58" t="e">
        <f>IF($F$2,IF($L770="","",IFERROR(VLOOKUP($L770,day_data!$A:$I,3,FALSE),0)),NA())</f>
        <v>#N/A</v>
      </c>
      <c r="O770" s="11" t="e">
        <f>IF($F$3,IF($L770="","",IFERROR(VLOOKUP($L770,day_data!$A:$I,4,FALSE),0)),NA())</f>
        <v>#N/A</v>
      </c>
      <c r="P770" s="58" t="e">
        <f>IF($F$4,IF($L770="","",IFERROR(VLOOKUP($L770,day_data!$A:$I,5,FALSE),0)),NA())</f>
        <v>#N/A</v>
      </c>
      <c r="Q770" s="59" t="e">
        <f>IF($F$8,IF($L770="","",IFERROR(VLOOKUP($L770,day_data!$A:$I,6,FALSE),0)),NA())</f>
        <v>#N/A</v>
      </c>
      <c r="R770" s="11" t="e">
        <f>IF($F$6,IF($L770="","",IFERROR(VLOOKUP($L770,day_data!$A:$I,7,FALSE),0)),NA())</f>
        <v>#N/A</v>
      </c>
      <c r="S770" s="58" t="str">
        <f>IF($F$5,IF($L770="","",IFERROR(VLOOKUP($L770,day_data!$A:$I,8,FALSE),0)),NA())</f>
        <v/>
      </c>
      <c r="T770" s="60" t="e">
        <f>IF($F$7,IF($L770="","",IFERROR(VLOOKUP($L770,day_data!$A:$I,9,FALSE),0)),NA())</f>
        <v>#N/A</v>
      </c>
    </row>
    <row r="771" spans="12:20">
      <c r="L771" s="57" t="str">
        <f t="shared" si="11"/>
        <v/>
      </c>
      <c r="M771" s="11" t="str">
        <f>IF($F$1,IF($L771="","",IFERROR(VLOOKUP($L771,day_data!$A:$I,2,FALSE),0)),NA())</f>
        <v/>
      </c>
      <c r="N771" s="58" t="e">
        <f>IF($F$2,IF($L771="","",IFERROR(VLOOKUP($L771,day_data!$A:$I,3,FALSE),0)),NA())</f>
        <v>#N/A</v>
      </c>
      <c r="O771" s="11" t="e">
        <f>IF($F$3,IF($L771="","",IFERROR(VLOOKUP($L771,day_data!$A:$I,4,FALSE),0)),NA())</f>
        <v>#N/A</v>
      </c>
      <c r="P771" s="58" t="e">
        <f>IF($F$4,IF($L771="","",IFERROR(VLOOKUP($L771,day_data!$A:$I,5,FALSE),0)),NA())</f>
        <v>#N/A</v>
      </c>
      <c r="Q771" s="59" t="e">
        <f>IF($F$8,IF($L771="","",IFERROR(VLOOKUP($L771,day_data!$A:$I,6,FALSE),0)),NA())</f>
        <v>#N/A</v>
      </c>
      <c r="R771" s="11" t="e">
        <f>IF($F$6,IF($L771="","",IFERROR(VLOOKUP($L771,day_data!$A:$I,7,FALSE),0)),NA())</f>
        <v>#N/A</v>
      </c>
      <c r="S771" s="58" t="str">
        <f>IF($F$5,IF($L771="","",IFERROR(VLOOKUP($L771,day_data!$A:$I,8,FALSE),0)),NA())</f>
        <v/>
      </c>
      <c r="T771" s="60" t="e">
        <f>IF($F$7,IF($L771="","",IFERROR(VLOOKUP($L771,day_data!$A:$I,9,FALSE),0)),NA())</f>
        <v>#N/A</v>
      </c>
    </row>
    <row r="772" spans="12:20">
      <c r="L772" s="57" t="str">
        <f t="shared" ref="L772:L835" si="12">IF(ROW(L772)-1&gt;$C$1,"",L771+1)</f>
        <v/>
      </c>
      <c r="M772" s="11" t="str">
        <f>IF($F$1,IF($L772="","",IFERROR(VLOOKUP($L772,day_data!$A:$I,2,FALSE),0)),NA())</f>
        <v/>
      </c>
      <c r="N772" s="58" t="e">
        <f>IF($F$2,IF($L772="","",IFERROR(VLOOKUP($L772,day_data!$A:$I,3,FALSE),0)),NA())</f>
        <v>#N/A</v>
      </c>
      <c r="O772" s="11" t="e">
        <f>IF($F$3,IF($L772="","",IFERROR(VLOOKUP($L772,day_data!$A:$I,4,FALSE),0)),NA())</f>
        <v>#N/A</v>
      </c>
      <c r="P772" s="58" t="e">
        <f>IF($F$4,IF($L772="","",IFERROR(VLOOKUP($L772,day_data!$A:$I,5,FALSE),0)),NA())</f>
        <v>#N/A</v>
      </c>
      <c r="Q772" s="59" t="e">
        <f>IF($F$8,IF($L772="","",IFERROR(VLOOKUP($L772,day_data!$A:$I,6,FALSE),0)),NA())</f>
        <v>#N/A</v>
      </c>
      <c r="R772" s="11" t="e">
        <f>IF($F$6,IF($L772="","",IFERROR(VLOOKUP($L772,day_data!$A:$I,7,FALSE),0)),NA())</f>
        <v>#N/A</v>
      </c>
      <c r="S772" s="58" t="str">
        <f>IF($F$5,IF($L772="","",IFERROR(VLOOKUP($L772,day_data!$A:$I,8,FALSE),0)),NA())</f>
        <v/>
      </c>
      <c r="T772" s="60" t="e">
        <f>IF($F$7,IF($L772="","",IFERROR(VLOOKUP($L772,day_data!$A:$I,9,FALSE),0)),NA())</f>
        <v>#N/A</v>
      </c>
    </row>
    <row r="773" spans="12:20">
      <c r="L773" s="57" t="str">
        <f t="shared" si="12"/>
        <v/>
      </c>
      <c r="M773" s="11" t="str">
        <f>IF($F$1,IF($L773="","",IFERROR(VLOOKUP($L773,day_data!$A:$I,2,FALSE),0)),NA())</f>
        <v/>
      </c>
      <c r="N773" s="58" t="e">
        <f>IF($F$2,IF($L773="","",IFERROR(VLOOKUP($L773,day_data!$A:$I,3,FALSE),0)),NA())</f>
        <v>#N/A</v>
      </c>
      <c r="O773" s="11" t="e">
        <f>IF($F$3,IF($L773="","",IFERROR(VLOOKUP($L773,day_data!$A:$I,4,FALSE),0)),NA())</f>
        <v>#N/A</v>
      </c>
      <c r="P773" s="58" t="e">
        <f>IF($F$4,IF($L773="","",IFERROR(VLOOKUP($L773,day_data!$A:$I,5,FALSE),0)),NA())</f>
        <v>#N/A</v>
      </c>
      <c r="Q773" s="59" t="e">
        <f>IF($F$8,IF($L773="","",IFERROR(VLOOKUP($L773,day_data!$A:$I,6,FALSE),0)),NA())</f>
        <v>#N/A</v>
      </c>
      <c r="R773" s="11" t="e">
        <f>IF($F$6,IF($L773="","",IFERROR(VLOOKUP($L773,day_data!$A:$I,7,FALSE),0)),NA())</f>
        <v>#N/A</v>
      </c>
      <c r="S773" s="58" t="str">
        <f>IF($F$5,IF($L773="","",IFERROR(VLOOKUP($L773,day_data!$A:$I,8,FALSE),0)),NA())</f>
        <v/>
      </c>
      <c r="T773" s="60" t="e">
        <f>IF($F$7,IF($L773="","",IFERROR(VLOOKUP($L773,day_data!$A:$I,9,FALSE),0)),NA())</f>
        <v>#N/A</v>
      </c>
    </row>
    <row r="774" spans="12:20">
      <c r="L774" s="57" t="str">
        <f t="shared" si="12"/>
        <v/>
      </c>
      <c r="M774" s="11" t="str">
        <f>IF($F$1,IF($L774="","",IFERROR(VLOOKUP($L774,day_data!$A:$I,2,FALSE),0)),NA())</f>
        <v/>
      </c>
      <c r="N774" s="58" t="e">
        <f>IF($F$2,IF($L774="","",IFERROR(VLOOKUP($L774,day_data!$A:$I,3,FALSE),0)),NA())</f>
        <v>#N/A</v>
      </c>
      <c r="O774" s="11" t="e">
        <f>IF($F$3,IF($L774="","",IFERROR(VLOOKUP($L774,day_data!$A:$I,4,FALSE),0)),NA())</f>
        <v>#N/A</v>
      </c>
      <c r="P774" s="58" t="e">
        <f>IF($F$4,IF($L774="","",IFERROR(VLOOKUP($L774,day_data!$A:$I,5,FALSE),0)),NA())</f>
        <v>#N/A</v>
      </c>
      <c r="Q774" s="59" t="e">
        <f>IF($F$8,IF($L774="","",IFERROR(VLOOKUP($L774,day_data!$A:$I,6,FALSE),0)),NA())</f>
        <v>#N/A</v>
      </c>
      <c r="R774" s="11" t="e">
        <f>IF($F$6,IF($L774="","",IFERROR(VLOOKUP($L774,day_data!$A:$I,7,FALSE),0)),NA())</f>
        <v>#N/A</v>
      </c>
      <c r="S774" s="58" t="str">
        <f>IF($F$5,IF($L774="","",IFERROR(VLOOKUP($L774,day_data!$A:$I,8,FALSE),0)),NA())</f>
        <v/>
      </c>
      <c r="T774" s="60" t="e">
        <f>IF($F$7,IF($L774="","",IFERROR(VLOOKUP($L774,day_data!$A:$I,9,FALSE),0)),NA())</f>
        <v>#N/A</v>
      </c>
    </row>
    <row r="775" spans="12:20">
      <c r="L775" s="57" t="str">
        <f t="shared" si="12"/>
        <v/>
      </c>
      <c r="M775" s="11" t="str">
        <f>IF($F$1,IF($L775="","",IFERROR(VLOOKUP($L775,day_data!$A:$I,2,FALSE),0)),NA())</f>
        <v/>
      </c>
      <c r="N775" s="58" t="e">
        <f>IF($F$2,IF($L775="","",IFERROR(VLOOKUP($L775,day_data!$A:$I,3,FALSE),0)),NA())</f>
        <v>#N/A</v>
      </c>
      <c r="O775" s="11" t="e">
        <f>IF($F$3,IF($L775="","",IFERROR(VLOOKUP($L775,day_data!$A:$I,4,FALSE),0)),NA())</f>
        <v>#N/A</v>
      </c>
      <c r="P775" s="58" t="e">
        <f>IF($F$4,IF($L775="","",IFERROR(VLOOKUP($L775,day_data!$A:$I,5,FALSE),0)),NA())</f>
        <v>#N/A</v>
      </c>
      <c r="Q775" s="59" t="e">
        <f>IF($F$8,IF($L775="","",IFERROR(VLOOKUP($L775,day_data!$A:$I,6,FALSE),0)),NA())</f>
        <v>#N/A</v>
      </c>
      <c r="R775" s="11" t="e">
        <f>IF($F$6,IF($L775="","",IFERROR(VLOOKUP($L775,day_data!$A:$I,7,FALSE),0)),NA())</f>
        <v>#N/A</v>
      </c>
      <c r="S775" s="58" t="str">
        <f>IF($F$5,IF($L775="","",IFERROR(VLOOKUP($L775,day_data!$A:$I,8,FALSE),0)),NA())</f>
        <v/>
      </c>
      <c r="T775" s="60" t="e">
        <f>IF($F$7,IF($L775="","",IFERROR(VLOOKUP($L775,day_data!$A:$I,9,FALSE),0)),NA())</f>
        <v>#N/A</v>
      </c>
    </row>
    <row r="776" spans="12:20">
      <c r="L776" s="57" t="str">
        <f t="shared" si="12"/>
        <v/>
      </c>
      <c r="M776" s="11" t="str">
        <f>IF($F$1,IF($L776="","",IFERROR(VLOOKUP($L776,day_data!$A:$I,2,FALSE),0)),NA())</f>
        <v/>
      </c>
      <c r="N776" s="58" t="e">
        <f>IF($F$2,IF($L776="","",IFERROR(VLOOKUP($L776,day_data!$A:$I,3,FALSE),0)),NA())</f>
        <v>#N/A</v>
      </c>
      <c r="O776" s="11" t="e">
        <f>IF($F$3,IF($L776="","",IFERROR(VLOOKUP($L776,day_data!$A:$I,4,FALSE),0)),NA())</f>
        <v>#N/A</v>
      </c>
      <c r="P776" s="58" t="e">
        <f>IF($F$4,IF($L776="","",IFERROR(VLOOKUP($L776,day_data!$A:$I,5,FALSE),0)),NA())</f>
        <v>#N/A</v>
      </c>
      <c r="Q776" s="59" t="e">
        <f>IF($F$8,IF($L776="","",IFERROR(VLOOKUP($L776,day_data!$A:$I,6,FALSE),0)),NA())</f>
        <v>#N/A</v>
      </c>
      <c r="R776" s="11" t="e">
        <f>IF($F$6,IF($L776="","",IFERROR(VLOOKUP($L776,day_data!$A:$I,7,FALSE),0)),NA())</f>
        <v>#N/A</v>
      </c>
      <c r="S776" s="58" t="str">
        <f>IF($F$5,IF($L776="","",IFERROR(VLOOKUP($L776,day_data!$A:$I,8,FALSE),0)),NA())</f>
        <v/>
      </c>
      <c r="T776" s="60" t="e">
        <f>IF($F$7,IF($L776="","",IFERROR(VLOOKUP($L776,day_data!$A:$I,9,FALSE),0)),NA())</f>
        <v>#N/A</v>
      </c>
    </row>
    <row r="777" spans="12:20">
      <c r="L777" s="57" t="str">
        <f t="shared" si="12"/>
        <v/>
      </c>
      <c r="M777" s="11" t="str">
        <f>IF($F$1,IF($L777="","",IFERROR(VLOOKUP($L777,day_data!$A:$I,2,FALSE),0)),NA())</f>
        <v/>
      </c>
      <c r="N777" s="58" t="e">
        <f>IF($F$2,IF($L777="","",IFERROR(VLOOKUP($L777,day_data!$A:$I,3,FALSE),0)),NA())</f>
        <v>#N/A</v>
      </c>
      <c r="O777" s="11" t="e">
        <f>IF($F$3,IF($L777="","",IFERROR(VLOOKUP($L777,day_data!$A:$I,4,FALSE),0)),NA())</f>
        <v>#N/A</v>
      </c>
      <c r="P777" s="58" t="e">
        <f>IF($F$4,IF($L777="","",IFERROR(VLOOKUP($L777,day_data!$A:$I,5,FALSE),0)),NA())</f>
        <v>#N/A</v>
      </c>
      <c r="Q777" s="59" t="e">
        <f>IF($F$8,IF($L777="","",IFERROR(VLOOKUP($L777,day_data!$A:$I,6,FALSE),0)),NA())</f>
        <v>#N/A</v>
      </c>
      <c r="R777" s="11" t="e">
        <f>IF($F$6,IF($L777="","",IFERROR(VLOOKUP($L777,day_data!$A:$I,7,FALSE),0)),NA())</f>
        <v>#N/A</v>
      </c>
      <c r="S777" s="58" t="str">
        <f>IF($F$5,IF($L777="","",IFERROR(VLOOKUP($L777,day_data!$A:$I,8,FALSE),0)),NA())</f>
        <v/>
      </c>
      <c r="T777" s="60" t="e">
        <f>IF($F$7,IF($L777="","",IFERROR(VLOOKUP($L777,day_data!$A:$I,9,FALSE),0)),NA())</f>
        <v>#N/A</v>
      </c>
    </row>
    <row r="778" spans="12:20">
      <c r="L778" s="57" t="str">
        <f t="shared" si="12"/>
        <v/>
      </c>
      <c r="M778" s="11" t="str">
        <f>IF($F$1,IF($L778="","",IFERROR(VLOOKUP($L778,day_data!$A:$I,2,FALSE),0)),NA())</f>
        <v/>
      </c>
      <c r="N778" s="58" t="e">
        <f>IF($F$2,IF($L778="","",IFERROR(VLOOKUP($L778,day_data!$A:$I,3,FALSE),0)),NA())</f>
        <v>#N/A</v>
      </c>
      <c r="O778" s="11" t="e">
        <f>IF($F$3,IF($L778="","",IFERROR(VLOOKUP($L778,day_data!$A:$I,4,FALSE),0)),NA())</f>
        <v>#N/A</v>
      </c>
      <c r="P778" s="58" t="e">
        <f>IF($F$4,IF($L778="","",IFERROR(VLOOKUP($L778,day_data!$A:$I,5,FALSE),0)),NA())</f>
        <v>#N/A</v>
      </c>
      <c r="Q778" s="59" t="e">
        <f>IF($F$8,IF($L778="","",IFERROR(VLOOKUP($L778,day_data!$A:$I,6,FALSE),0)),NA())</f>
        <v>#N/A</v>
      </c>
      <c r="R778" s="11" t="e">
        <f>IF($F$6,IF($L778="","",IFERROR(VLOOKUP($L778,day_data!$A:$I,7,FALSE),0)),NA())</f>
        <v>#N/A</v>
      </c>
      <c r="S778" s="58" t="str">
        <f>IF($F$5,IF($L778="","",IFERROR(VLOOKUP($L778,day_data!$A:$I,8,FALSE),0)),NA())</f>
        <v/>
      </c>
      <c r="T778" s="60" t="e">
        <f>IF($F$7,IF($L778="","",IFERROR(VLOOKUP($L778,day_data!$A:$I,9,FALSE),0)),NA())</f>
        <v>#N/A</v>
      </c>
    </row>
    <row r="779" spans="12:20">
      <c r="L779" s="57" t="str">
        <f t="shared" si="12"/>
        <v/>
      </c>
      <c r="M779" s="11" t="str">
        <f>IF($F$1,IF($L779="","",IFERROR(VLOOKUP($L779,day_data!$A:$I,2,FALSE),0)),NA())</f>
        <v/>
      </c>
      <c r="N779" s="58" t="e">
        <f>IF($F$2,IF($L779="","",IFERROR(VLOOKUP($L779,day_data!$A:$I,3,FALSE),0)),NA())</f>
        <v>#N/A</v>
      </c>
      <c r="O779" s="11" t="e">
        <f>IF($F$3,IF($L779="","",IFERROR(VLOOKUP($L779,day_data!$A:$I,4,FALSE),0)),NA())</f>
        <v>#N/A</v>
      </c>
      <c r="P779" s="58" t="e">
        <f>IF($F$4,IF($L779="","",IFERROR(VLOOKUP($L779,day_data!$A:$I,5,FALSE),0)),NA())</f>
        <v>#N/A</v>
      </c>
      <c r="Q779" s="59" t="e">
        <f>IF($F$8,IF($L779="","",IFERROR(VLOOKUP($L779,day_data!$A:$I,6,FALSE),0)),NA())</f>
        <v>#N/A</v>
      </c>
      <c r="R779" s="11" t="e">
        <f>IF($F$6,IF($L779="","",IFERROR(VLOOKUP($L779,day_data!$A:$I,7,FALSE),0)),NA())</f>
        <v>#N/A</v>
      </c>
      <c r="S779" s="58" t="str">
        <f>IF($F$5,IF($L779="","",IFERROR(VLOOKUP($L779,day_data!$A:$I,8,FALSE),0)),NA())</f>
        <v/>
      </c>
      <c r="T779" s="60" t="e">
        <f>IF($F$7,IF($L779="","",IFERROR(VLOOKUP($L779,day_data!$A:$I,9,FALSE),0)),NA())</f>
        <v>#N/A</v>
      </c>
    </row>
    <row r="780" spans="12:20">
      <c r="L780" s="57" t="str">
        <f t="shared" si="12"/>
        <v/>
      </c>
      <c r="M780" s="11" t="str">
        <f>IF($F$1,IF($L780="","",IFERROR(VLOOKUP($L780,day_data!$A:$I,2,FALSE),0)),NA())</f>
        <v/>
      </c>
      <c r="N780" s="58" t="e">
        <f>IF($F$2,IF($L780="","",IFERROR(VLOOKUP($L780,day_data!$A:$I,3,FALSE),0)),NA())</f>
        <v>#N/A</v>
      </c>
      <c r="O780" s="11" t="e">
        <f>IF($F$3,IF($L780="","",IFERROR(VLOOKUP($L780,day_data!$A:$I,4,FALSE),0)),NA())</f>
        <v>#N/A</v>
      </c>
      <c r="P780" s="58" t="e">
        <f>IF($F$4,IF($L780="","",IFERROR(VLOOKUP($L780,day_data!$A:$I,5,FALSE),0)),NA())</f>
        <v>#N/A</v>
      </c>
      <c r="Q780" s="59" t="e">
        <f>IF($F$8,IF($L780="","",IFERROR(VLOOKUP($L780,day_data!$A:$I,6,FALSE),0)),NA())</f>
        <v>#N/A</v>
      </c>
      <c r="R780" s="11" t="e">
        <f>IF($F$6,IF($L780="","",IFERROR(VLOOKUP($L780,day_data!$A:$I,7,FALSE),0)),NA())</f>
        <v>#N/A</v>
      </c>
      <c r="S780" s="58" t="str">
        <f>IF($F$5,IF($L780="","",IFERROR(VLOOKUP($L780,day_data!$A:$I,8,FALSE),0)),NA())</f>
        <v/>
      </c>
      <c r="T780" s="60" t="e">
        <f>IF($F$7,IF($L780="","",IFERROR(VLOOKUP($L780,day_data!$A:$I,9,FALSE),0)),NA())</f>
        <v>#N/A</v>
      </c>
    </row>
    <row r="781" spans="12:20">
      <c r="L781" s="57" t="str">
        <f t="shared" si="12"/>
        <v/>
      </c>
      <c r="M781" s="11" t="str">
        <f>IF($F$1,IF($L781="","",IFERROR(VLOOKUP($L781,day_data!$A:$I,2,FALSE),0)),NA())</f>
        <v/>
      </c>
      <c r="N781" s="58" t="e">
        <f>IF($F$2,IF($L781="","",IFERROR(VLOOKUP($L781,day_data!$A:$I,3,FALSE),0)),NA())</f>
        <v>#N/A</v>
      </c>
      <c r="O781" s="11" t="e">
        <f>IF($F$3,IF($L781="","",IFERROR(VLOOKUP($L781,day_data!$A:$I,4,FALSE),0)),NA())</f>
        <v>#N/A</v>
      </c>
      <c r="P781" s="58" t="e">
        <f>IF($F$4,IF($L781="","",IFERROR(VLOOKUP($L781,day_data!$A:$I,5,FALSE),0)),NA())</f>
        <v>#N/A</v>
      </c>
      <c r="Q781" s="59" t="e">
        <f>IF($F$8,IF($L781="","",IFERROR(VLOOKUP($L781,day_data!$A:$I,6,FALSE),0)),NA())</f>
        <v>#N/A</v>
      </c>
      <c r="R781" s="11" t="e">
        <f>IF($F$6,IF($L781="","",IFERROR(VLOOKUP($L781,day_data!$A:$I,7,FALSE),0)),NA())</f>
        <v>#N/A</v>
      </c>
      <c r="S781" s="58" t="str">
        <f>IF($F$5,IF($L781="","",IFERROR(VLOOKUP($L781,day_data!$A:$I,8,FALSE),0)),NA())</f>
        <v/>
      </c>
      <c r="T781" s="60" t="e">
        <f>IF($F$7,IF($L781="","",IFERROR(VLOOKUP($L781,day_data!$A:$I,9,FALSE),0)),NA())</f>
        <v>#N/A</v>
      </c>
    </row>
    <row r="782" spans="12:20">
      <c r="L782" s="57" t="str">
        <f t="shared" si="12"/>
        <v/>
      </c>
      <c r="M782" s="11" t="str">
        <f>IF($F$1,IF($L782="","",IFERROR(VLOOKUP($L782,day_data!$A:$I,2,FALSE),0)),NA())</f>
        <v/>
      </c>
      <c r="N782" s="58" t="e">
        <f>IF($F$2,IF($L782="","",IFERROR(VLOOKUP($L782,day_data!$A:$I,3,FALSE),0)),NA())</f>
        <v>#N/A</v>
      </c>
      <c r="O782" s="11" t="e">
        <f>IF($F$3,IF($L782="","",IFERROR(VLOOKUP($L782,day_data!$A:$I,4,FALSE),0)),NA())</f>
        <v>#N/A</v>
      </c>
      <c r="P782" s="58" t="e">
        <f>IF($F$4,IF($L782="","",IFERROR(VLOOKUP($L782,day_data!$A:$I,5,FALSE),0)),NA())</f>
        <v>#N/A</v>
      </c>
      <c r="Q782" s="59" t="e">
        <f>IF($F$8,IF($L782="","",IFERROR(VLOOKUP($L782,day_data!$A:$I,6,FALSE),0)),NA())</f>
        <v>#N/A</v>
      </c>
      <c r="R782" s="11" t="e">
        <f>IF($F$6,IF($L782="","",IFERROR(VLOOKUP($L782,day_data!$A:$I,7,FALSE),0)),NA())</f>
        <v>#N/A</v>
      </c>
      <c r="S782" s="58" t="str">
        <f>IF($F$5,IF($L782="","",IFERROR(VLOOKUP($L782,day_data!$A:$I,8,FALSE),0)),NA())</f>
        <v/>
      </c>
      <c r="T782" s="60" t="e">
        <f>IF($F$7,IF($L782="","",IFERROR(VLOOKUP($L782,day_data!$A:$I,9,FALSE),0)),NA())</f>
        <v>#N/A</v>
      </c>
    </row>
    <row r="783" spans="12:20">
      <c r="L783" s="57" t="str">
        <f t="shared" si="12"/>
        <v/>
      </c>
      <c r="M783" s="11" t="str">
        <f>IF($F$1,IF($L783="","",IFERROR(VLOOKUP($L783,day_data!$A:$I,2,FALSE),0)),NA())</f>
        <v/>
      </c>
      <c r="N783" s="58" t="e">
        <f>IF($F$2,IF($L783="","",IFERROR(VLOOKUP($L783,day_data!$A:$I,3,FALSE),0)),NA())</f>
        <v>#N/A</v>
      </c>
      <c r="O783" s="11" t="e">
        <f>IF($F$3,IF($L783="","",IFERROR(VLOOKUP($L783,day_data!$A:$I,4,FALSE),0)),NA())</f>
        <v>#N/A</v>
      </c>
      <c r="P783" s="58" t="e">
        <f>IF($F$4,IF($L783="","",IFERROR(VLOOKUP($L783,day_data!$A:$I,5,FALSE),0)),NA())</f>
        <v>#N/A</v>
      </c>
      <c r="Q783" s="59" t="e">
        <f>IF($F$8,IF($L783="","",IFERROR(VLOOKUP($L783,day_data!$A:$I,6,FALSE),0)),NA())</f>
        <v>#N/A</v>
      </c>
      <c r="R783" s="11" t="e">
        <f>IF($F$6,IF($L783="","",IFERROR(VLOOKUP($L783,day_data!$A:$I,7,FALSE),0)),NA())</f>
        <v>#N/A</v>
      </c>
      <c r="S783" s="58" t="str">
        <f>IF($F$5,IF($L783="","",IFERROR(VLOOKUP($L783,day_data!$A:$I,8,FALSE),0)),NA())</f>
        <v/>
      </c>
      <c r="T783" s="60" t="e">
        <f>IF($F$7,IF($L783="","",IFERROR(VLOOKUP($L783,day_data!$A:$I,9,FALSE),0)),NA())</f>
        <v>#N/A</v>
      </c>
    </row>
    <row r="784" spans="12:20">
      <c r="L784" s="57" t="str">
        <f t="shared" si="12"/>
        <v/>
      </c>
      <c r="M784" s="11" t="str">
        <f>IF($F$1,IF($L784="","",IFERROR(VLOOKUP($L784,day_data!$A:$I,2,FALSE),0)),NA())</f>
        <v/>
      </c>
      <c r="N784" s="58" t="e">
        <f>IF($F$2,IF($L784="","",IFERROR(VLOOKUP($L784,day_data!$A:$I,3,FALSE),0)),NA())</f>
        <v>#N/A</v>
      </c>
      <c r="O784" s="11" t="e">
        <f>IF($F$3,IF($L784="","",IFERROR(VLOOKUP($L784,day_data!$A:$I,4,FALSE),0)),NA())</f>
        <v>#N/A</v>
      </c>
      <c r="P784" s="58" t="e">
        <f>IF($F$4,IF($L784="","",IFERROR(VLOOKUP($L784,day_data!$A:$I,5,FALSE),0)),NA())</f>
        <v>#N/A</v>
      </c>
      <c r="Q784" s="59" t="e">
        <f>IF($F$8,IF($L784="","",IFERROR(VLOOKUP($L784,day_data!$A:$I,6,FALSE),0)),NA())</f>
        <v>#N/A</v>
      </c>
      <c r="R784" s="11" t="e">
        <f>IF($F$6,IF($L784="","",IFERROR(VLOOKUP($L784,day_data!$A:$I,7,FALSE),0)),NA())</f>
        <v>#N/A</v>
      </c>
      <c r="S784" s="58" t="str">
        <f>IF($F$5,IF($L784="","",IFERROR(VLOOKUP($L784,day_data!$A:$I,8,FALSE),0)),NA())</f>
        <v/>
      </c>
      <c r="T784" s="60" t="e">
        <f>IF($F$7,IF($L784="","",IFERROR(VLOOKUP($L784,day_data!$A:$I,9,FALSE),0)),NA())</f>
        <v>#N/A</v>
      </c>
    </row>
    <row r="785" spans="12:20">
      <c r="L785" s="57" t="str">
        <f t="shared" si="12"/>
        <v/>
      </c>
      <c r="M785" s="11" t="str">
        <f>IF($F$1,IF($L785="","",IFERROR(VLOOKUP($L785,day_data!$A:$I,2,FALSE),0)),NA())</f>
        <v/>
      </c>
      <c r="N785" s="58" t="e">
        <f>IF($F$2,IF($L785="","",IFERROR(VLOOKUP($L785,day_data!$A:$I,3,FALSE),0)),NA())</f>
        <v>#N/A</v>
      </c>
      <c r="O785" s="11" t="e">
        <f>IF($F$3,IF($L785="","",IFERROR(VLOOKUP($L785,day_data!$A:$I,4,FALSE),0)),NA())</f>
        <v>#N/A</v>
      </c>
      <c r="P785" s="58" t="e">
        <f>IF($F$4,IF($L785="","",IFERROR(VLOOKUP($L785,day_data!$A:$I,5,FALSE),0)),NA())</f>
        <v>#N/A</v>
      </c>
      <c r="Q785" s="59" t="e">
        <f>IF($F$8,IF($L785="","",IFERROR(VLOOKUP($L785,day_data!$A:$I,6,FALSE),0)),NA())</f>
        <v>#N/A</v>
      </c>
      <c r="R785" s="11" t="e">
        <f>IF($F$6,IF($L785="","",IFERROR(VLOOKUP($L785,day_data!$A:$I,7,FALSE),0)),NA())</f>
        <v>#N/A</v>
      </c>
      <c r="S785" s="58" t="str">
        <f>IF($F$5,IF($L785="","",IFERROR(VLOOKUP($L785,day_data!$A:$I,8,FALSE),0)),NA())</f>
        <v/>
      </c>
      <c r="T785" s="60" t="e">
        <f>IF($F$7,IF($L785="","",IFERROR(VLOOKUP($L785,day_data!$A:$I,9,FALSE),0)),NA())</f>
        <v>#N/A</v>
      </c>
    </row>
    <row r="786" spans="12:20">
      <c r="L786" s="57" t="str">
        <f t="shared" si="12"/>
        <v/>
      </c>
      <c r="M786" s="11" t="str">
        <f>IF($F$1,IF($L786="","",IFERROR(VLOOKUP($L786,day_data!$A:$I,2,FALSE),0)),NA())</f>
        <v/>
      </c>
      <c r="N786" s="58" t="e">
        <f>IF($F$2,IF($L786="","",IFERROR(VLOOKUP($L786,day_data!$A:$I,3,FALSE),0)),NA())</f>
        <v>#N/A</v>
      </c>
      <c r="O786" s="11" t="e">
        <f>IF($F$3,IF($L786="","",IFERROR(VLOOKUP($L786,day_data!$A:$I,4,FALSE),0)),NA())</f>
        <v>#N/A</v>
      </c>
      <c r="P786" s="58" t="e">
        <f>IF($F$4,IF($L786="","",IFERROR(VLOOKUP($L786,day_data!$A:$I,5,FALSE),0)),NA())</f>
        <v>#N/A</v>
      </c>
      <c r="Q786" s="59" t="e">
        <f>IF($F$8,IF($L786="","",IFERROR(VLOOKUP($L786,day_data!$A:$I,6,FALSE),0)),NA())</f>
        <v>#N/A</v>
      </c>
      <c r="R786" s="11" t="e">
        <f>IF($F$6,IF($L786="","",IFERROR(VLOOKUP($L786,day_data!$A:$I,7,FALSE),0)),NA())</f>
        <v>#N/A</v>
      </c>
      <c r="S786" s="58" t="str">
        <f>IF($F$5,IF($L786="","",IFERROR(VLOOKUP($L786,day_data!$A:$I,8,FALSE),0)),NA())</f>
        <v/>
      </c>
      <c r="T786" s="60" t="e">
        <f>IF($F$7,IF($L786="","",IFERROR(VLOOKUP($L786,day_data!$A:$I,9,FALSE),0)),NA())</f>
        <v>#N/A</v>
      </c>
    </row>
    <row r="787" spans="12:20">
      <c r="L787" s="57" t="str">
        <f t="shared" si="12"/>
        <v/>
      </c>
      <c r="M787" s="11" t="str">
        <f>IF($F$1,IF($L787="","",IFERROR(VLOOKUP($L787,day_data!$A:$I,2,FALSE),0)),NA())</f>
        <v/>
      </c>
      <c r="N787" s="58" t="e">
        <f>IF($F$2,IF($L787="","",IFERROR(VLOOKUP($L787,day_data!$A:$I,3,FALSE),0)),NA())</f>
        <v>#N/A</v>
      </c>
      <c r="O787" s="11" t="e">
        <f>IF($F$3,IF($L787="","",IFERROR(VLOOKUP($L787,day_data!$A:$I,4,FALSE),0)),NA())</f>
        <v>#N/A</v>
      </c>
      <c r="P787" s="58" t="e">
        <f>IF($F$4,IF($L787="","",IFERROR(VLOOKUP($L787,day_data!$A:$I,5,FALSE),0)),NA())</f>
        <v>#N/A</v>
      </c>
      <c r="Q787" s="59" t="e">
        <f>IF($F$8,IF($L787="","",IFERROR(VLOOKUP($L787,day_data!$A:$I,6,FALSE),0)),NA())</f>
        <v>#N/A</v>
      </c>
      <c r="R787" s="11" t="e">
        <f>IF($F$6,IF($L787="","",IFERROR(VLOOKUP($L787,day_data!$A:$I,7,FALSE),0)),NA())</f>
        <v>#N/A</v>
      </c>
      <c r="S787" s="58" t="str">
        <f>IF($F$5,IF($L787="","",IFERROR(VLOOKUP($L787,day_data!$A:$I,8,FALSE),0)),NA())</f>
        <v/>
      </c>
      <c r="T787" s="60" t="e">
        <f>IF($F$7,IF($L787="","",IFERROR(VLOOKUP($L787,day_data!$A:$I,9,FALSE),0)),NA())</f>
        <v>#N/A</v>
      </c>
    </row>
    <row r="788" spans="12:20">
      <c r="L788" s="57" t="str">
        <f t="shared" si="12"/>
        <v/>
      </c>
      <c r="M788" s="11" t="str">
        <f>IF($F$1,IF($L788="","",IFERROR(VLOOKUP($L788,day_data!$A:$I,2,FALSE),0)),NA())</f>
        <v/>
      </c>
      <c r="N788" s="58" t="e">
        <f>IF($F$2,IF($L788="","",IFERROR(VLOOKUP($L788,day_data!$A:$I,3,FALSE),0)),NA())</f>
        <v>#N/A</v>
      </c>
      <c r="O788" s="11" t="e">
        <f>IF($F$3,IF($L788="","",IFERROR(VLOOKUP($L788,day_data!$A:$I,4,FALSE),0)),NA())</f>
        <v>#N/A</v>
      </c>
      <c r="P788" s="58" t="e">
        <f>IF($F$4,IF($L788="","",IFERROR(VLOOKUP($L788,day_data!$A:$I,5,FALSE),0)),NA())</f>
        <v>#N/A</v>
      </c>
      <c r="Q788" s="59" t="e">
        <f>IF($F$8,IF($L788="","",IFERROR(VLOOKUP($L788,day_data!$A:$I,6,FALSE),0)),NA())</f>
        <v>#N/A</v>
      </c>
      <c r="R788" s="11" t="e">
        <f>IF($F$6,IF($L788="","",IFERROR(VLOOKUP($L788,day_data!$A:$I,7,FALSE),0)),NA())</f>
        <v>#N/A</v>
      </c>
      <c r="S788" s="58" t="str">
        <f>IF($F$5,IF($L788="","",IFERROR(VLOOKUP($L788,day_data!$A:$I,8,FALSE),0)),NA())</f>
        <v/>
      </c>
      <c r="T788" s="60" t="e">
        <f>IF($F$7,IF($L788="","",IFERROR(VLOOKUP($L788,day_data!$A:$I,9,FALSE),0)),NA())</f>
        <v>#N/A</v>
      </c>
    </row>
    <row r="789" spans="12:20">
      <c r="L789" s="57" t="str">
        <f t="shared" si="12"/>
        <v/>
      </c>
      <c r="M789" s="11" t="str">
        <f>IF($F$1,IF($L789="","",IFERROR(VLOOKUP($L789,day_data!$A:$I,2,FALSE),0)),NA())</f>
        <v/>
      </c>
      <c r="N789" s="58" t="e">
        <f>IF($F$2,IF($L789="","",IFERROR(VLOOKUP($L789,day_data!$A:$I,3,FALSE),0)),NA())</f>
        <v>#N/A</v>
      </c>
      <c r="O789" s="11" t="e">
        <f>IF($F$3,IF($L789="","",IFERROR(VLOOKUP($L789,day_data!$A:$I,4,FALSE),0)),NA())</f>
        <v>#N/A</v>
      </c>
      <c r="P789" s="58" t="e">
        <f>IF($F$4,IF($L789="","",IFERROR(VLOOKUP($L789,day_data!$A:$I,5,FALSE),0)),NA())</f>
        <v>#N/A</v>
      </c>
      <c r="Q789" s="59" t="e">
        <f>IF($F$8,IF($L789="","",IFERROR(VLOOKUP($L789,day_data!$A:$I,6,FALSE),0)),NA())</f>
        <v>#N/A</v>
      </c>
      <c r="R789" s="11" t="e">
        <f>IF($F$6,IF($L789="","",IFERROR(VLOOKUP($L789,day_data!$A:$I,7,FALSE),0)),NA())</f>
        <v>#N/A</v>
      </c>
      <c r="S789" s="58" t="str">
        <f>IF($F$5,IF($L789="","",IFERROR(VLOOKUP($L789,day_data!$A:$I,8,FALSE),0)),NA())</f>
        <v/>
      </c>
      <c r="T789" s="60" t="e">
        <f>IF($F$7,IF($L789="","",IFERROR(VLOOKUP($L789,day_data!$A:$I,9,FALSE),0)),NA())</f>
        <v>#N/A</v>
      </c>
    </row>
    <row r="790" spans="12:20">
      <c r="L790" s="57" t="str">
        <f t="shared" si="12"/>
        <v/>
      </c>
      <c r="M790" s="11" t="str">
        <f>IF($F$1,IF($L790="","",IFERROR(VLOOKUP($L790,day_data!$A:$I,2,FALSE),0)),NA())</f>
        <v/>
      </c>
      <c r="N790" s="58" t="e">
        <f>IF($F$2,IF($L790="","",IFERROR(VLOOKUP($L790,day_data!$A:$I,3,FALSE),0)),NA())</f>
        <v>#N/A</v>
      </c>
      <c r="O790" s="11" t="e">
        <f>IF($F$3,IF($L790="","",IFERROR(VLOOKUP($L790,day_data!$A:$I,4,FALSE),0)),NA())</f>
        <v>#N/A</v>
      </c>
      <c r="P790" s="58" t="e">
        <f>IF($F$4,IF($L790="","",IFERROR(VLOOKUP($L790,day_data!$A:$I,5,FALSE),0)),NA())</f>
        <v>#N/A</v>
      </c>
      <c r="Q790" s="59" t="e">
        <f>IF($F$8,IF($L790="","",IFERROR(VLOOKUP($L790,day_data!$A:$I,6,FALSE),0)),NA())</f>
        <v>#N/A</v>
      </c>
      <c r="R790" s="11" t="e">
        <f>IF($F$6,IF($L790="","",IFERROR(VLOOKUP($L790,day_data!$A:$I,7,FALSE),0)),NA())</f>
        <v>#N/A</v>
      </c>
      <c r="S790" s="58" t="str">
        <f>IF($F$5,IF($L790="","",IFERROR(VLOOKUP($L790,day_data!$A:$I,8,FALSE),0)),NA())</f>
        <v/>
      </c>
      <c r="T790" s="60" t="e">
        <f>IF($F$7,IF($L790="","",IFERROR(VLOOKUP($L790,day_data!$A:$I,9,FALSE),0)),NA())</f>
        <v>#N/A</v>
      </c>
    </row>
    <row r="791" spans="12:20">
      <c r="L791" s="57" t="str">
        <f t="shared" si="12"/>
        <v/>
      </c>
      <c r="M791" s="11" t="str">
        <f>IF($F$1,IF($L791="","",IFERROR(VLOOKUP($L791,day_data!$A:$I,2,FALSE),0)),NA())</f>
        <v/>
      </c>
      <c r="N791" s="58" t="e">
        <f>IF($F$2,IF($L791="","",IFERROR(VLOOKUP($L791,day_data!$A:$I,3,FALSE),0)),NA())</f>
        <v>#N/A</v>
      </c>
      <c r="O791" s="11" t="e">
        <f>IF($F$3,IF($L791="","",IFERROR(VLOOKUP($L791,day_data!$A:$I,4,FALSE),0)),NA())</f>
        <v>#N/A</v>
      </c>
      <c r="P791" s="58" t="e">
        <f>IF($F$4,IF($L791="","",IFERROR(VLOOKUP($L791,day_data!$A:$I,5,FALSE),0)),NA())</f>
        <v>#N/A</v>
      </c>
      <c r="Q791" s="59" t="e">
        <f>IF($F$8,IF($L791="","",IFERROR(VLOOKUP($L791,day_data!$A:$I,6,FALSE),0)),NA())</f>
        <v>#N/A</v>
      </c>
      <c r="R791" s="11" t="e">
        <f>IF($F$6,IF($L791="","",IFERROR(VLOOKUP($L791,day_data!$A:$I,7,FALSE),0)),NA())</f>
        <v>#N/A</v>
      </c>
      <c r="S791" s="58" t="str">
        <f>IF($F$5,IF($L791="","",IFERROR(VLOOKUP($L791,day_data!$A:$I,8,FALSE),0)),NA())</f>
        <v/>
      </c>
      <c r="T791" s="60" t="e">
        <f>IF($F$7,IF($L791="","",IFERROR(VLOOKUP($L791,day_data!$A:$I,9,FALSE),0)),NA())</f>
        <v>#N/A</v>
      </c>
    </row>
    <row r="792" spans="12:20">
      <c r="L792" s="57" t="str">
        <f t="shared" si="12"/>
        <v/>
      </c>
      <c r="M792" s="11" t="str">
        <f>IF($F$1,IF($L792="","",IFERROR(VLOOKUP($L792,day_data!$A:$I,2,FALSE),0)),NA())</f>
        <v/>
      </c>
      <c r="N792" s="58" t="e">
        <f>IF($F$2,IF($L792="","",IFERROR(VLOOKUP($L792,day_data!$A:$I,3,FALSE),0)),NA())</f>
        <v>#N/A</v>
      </c>
      <c r="O792" s="11" t="e">
        <f>IF($F$3,IF($L792="","",IFERROR(VLOOKUP($L792,day_data!$A:$I,4,FALSE),0)),NA())</f>
        <v>#N/A</v>
      </c>
      <c r="P792" s="58" t="e">
        <f>IF($F$4,IF($L792="","",IFERROR(VLOOKUP($L792,day_data!$A:$I,5,FALSE),0)),NA())</f>
        <v>#N/A</v>
      </c>
      <c r="Q792" s="59" t="e">
        <f>IF($F$8,IF($L792="","",IFERROR(VLOOKUP($L792,day_data!$A:$I,6,FALSE),0)),NA())</f>
        <v>#N/A</v>
      </c>
      <c r="R792" s="11" t="e">
        <f>IF($F$6,IF($L792="","",IFERROR(VLOOKUP($L792,day_data!$A:$I,7,FALSE),0)),NA())</f>
        <v>#N/A</v>
      </c>
      <c r="S792" s="58" t="str">
        <f>IF($F$5,IF($L792="","",IFERROR(VLOOKUP($L792,day_data!$A:$I,8,FALSE),0)),NA())</f>
        <v/>
      </c>
      <c r="T792" s="60" t="e">
        <f>IF($F$7,IF($L792="","",IFERROR(VLOOKUP($L792,day_data!$A:$I,9,FALSE),0)),NA())</f>
        <v>#N/A</v>
      </c>
    </row>
    <row r="793" spans="12:20">
      <c r="L793" s="57" t="str">
        <f t="shared" si="12"/>
        <v/>
      </c>
      <c r="M793" s="11" t="str">
        <f>IF($F$1,IF($L793="","",IFERROR(VLOOKUP($L793,day_data!$A:$I,2,FALSE),0)),NA())</f>
        <v/>
      </c>
      <c r="N793" s="58" t="e">
        <f>IF($F$2,IF($L793="","",IFERROR(VLOOKUP($L793,day_data!$A:$I,3,FALSE),0)),NA())</f>
        <v>#N/A</v>
      </c>
      <c r="O793" s="11" t="e">
        <f>IF($F$3,IF($L793="","",IFERROR(VLOOKUP($L793,day_data!$A:$I,4,FALSE),0)),NA())</f>
        <v>#N/A</v>
      </c>
      <c r="P793" s="58" t="e">
        <f>IF($F$4,IF($L793="","",IFERROR(VLOOKUP($L793,day_data!$A:$I,5,FALSE),0)),NA())</f>
        <v>#N/A</v>
      </c>
      <c r="Q793" s="59" t="e">
        <f>IF($F$8,IF($L793="","",IFERROR(VLOOKUP($L793,day_data!$A:$I,6,FALSE),0)),NA())</f>
        <v>#N/A</v>
      </c>
      <c r="R793" s="11" t="e">
        <f>IF($F$6,IF($L793="","",IFERROR(VLOOKUP($L793,day_data!$A:$I,7,FALSE),0)),NA())</f>
        <v>#N/A</v>
      </c>
      <c r="S793" s="58" t="str">
        <f>IF($F$5,IF($L793="","",IFERROR(VLOOKUP($L793,day_data!$A:$I,8,FALSE),0)),NA())</f>
        <v/>
      </c>
      <c r="T793" s="60" t="e">
        <f>IF($F$7,IF($L793="","",IFERROR(VLOOKUP($L793,day_data!$A:$I,9,FALSE),0)),NA())</f>
        <v>#N/A</v>
      </c>
    </row>
    <row r="794" spans="12:20">
      <c r="L794" s="57" t="str">
        <f t="shared" si="12"/>
        <v/>
      </c>
      <c r="M794" s="11" t="str">
        <f>IF($F$1,IF($L794="","",IFERROR(VLOOKUP($L794,day_data!$A:$I,2,FALSE),0)),NA())</f>
        <v/>
      </c>
      <c r="N794" s="58" t="e">
        <f>IF($F$2,IF($L794="","",IFERROR(VLOOKUP($L794,day_data!$A:$I,3,FALSE),0)),NA())</f>
        <v>#N/A</v>
      </c>
      <c r="O794" s="11" t="e">
        <f>IF($F$3,IF($L794="","",IFERROR(VLOOKUP($L794,day_data!$A:$I,4,FALSE),0)),NA())</f>
        <v>#N/A</v>
      </c>
      <c r="P794" s="58" t="e">
        <f>IF($F$4,IF($L794="","",IFERROR(VLOOKUP($L794,day_data!$A:$I,5,FALSE),0)),NA())</f>
        <v>#N/A</v>
      </c>
      <c r="Q794" s="59" t="e">
        <f>IF($F$8,IF($L794="","",IFERROR(VLOOKUP($L794,day_data!$A:$I,6,FALSE),0)),NA())</f>
        <v>#N/A</v>
      </c>
      <c r="R794" s="11" t="e">
        <f>IF($F$6,IF($L794="","",IFERROR(VLOOKUP($L794,day_data!$A:$I,7,FALSE),0)),NA())</f>
        <v>#N/A</v>
      </c>
      <c r="S794" s="58" t="str">
        <f>IF($F$5,IF($L794="","",IFERROR(VLOOKUP($L794,day_data!$A:$I,8,FALSE),0)),NA())</f>
        <v/>
      </c>
      <c r="T794" s="60" t="e">
        <f>IF($F$7,IF($L794="","",IFERROR(VLOOKUP($L794,day_data!$A:$I,9,FALSE),0)),NA())</f>
        <v>#N/A</v>
      </c>
    </row>
    <row r="795" spans="12:20">
      <c r="L795" s="57" t="str">
        <f t="shared" si="12"/>
        <v/>
      </c>
      <c r="M795" s="11" t="str">
        <f>IF($F$1,IF($L795="","",IFERROR(VLOOKUP($L795,day_data!$A:$I,2,FALSE),0)),NA())</f>
        <v/>
      </c>
      <c r="N795" s="58" t="e">
        <f>IF($F$2,IF($L795="","",IFERROR(VLOOKUP($L795,day_data!$A:$I,3,FALSE),0)),NA())</f>
        <v>#N/A</v>
      </c>
      <c r="O795" s="11" t="e">
        <f>IF($F$3,IF($L795="","",IFERROR(VLOOKUP($L795,day_data!$A:$I,4,FALSE),0)),NA())</f>
        <v>#N/A</v>
      </c>
      <c r="P795" s="58" t="e">
        <f>IF($F$4,IF($L795="","",IFERROR(VLOOKUP($L795,day_data!$A:$I,5,FALSE),0)),NA())</f>
        <v>#N/A</v>
      </c>
      <c r="Q795" s="59" t="e">
        <f>IF($F$8,IF($L795="","",IFERROR(VLOOKUP($L795,day_data!$A:$I,6,FALSE),0)),NA())</f>
        <v>#N/A</v>
      </c>
      <c r="R795" s="11" t="e">
        <f>IF($F$6,IF($L795="","",IFERROR(VLOOKUP($L795,day_data!$A:$I,7,FALSE),0)),NA())</f>
        <v>#N/A</v>
      </c>
      <c r="S795" s="58" t="str">
        <f>IF($F$5,IF($L795="","",IFERROR(VLOOKUP($L795,day_data!$A:$I,8,FALSE),0)),NA())</f>
        <v/>
      </c>
      <c r="T795" s="60" t="e">
        <f>IF($F$7,IF($L795="","",IFERROR(VLOOKUP($L795,day_data!$A:$I,9,FALSE),0)),NA())</f>
        <v>#N/A</v>
      </c>
    </row>
    <row r="796" spans="12:20">
      <c r="L796" s="57" t="str">
        <f t="shared" si="12"/>
        <v/>
      </c>
      <c r="M796" s="11" t="str">
        <f>IF($F$1,IF($L796="","",IFERROR(VLOOKUP($L796,day_data!$A:$I,2,FALSE),0)),NA())</f>
        <v/>
      </c>
      <c r="N796" s="58" t="e">
        <f>IF($F$2,IF($L796="","",IFERROR(VLOOKUP($L796,day_data!$A:$I,3,FALSE),0)),NA())</f>
        <v>#N/A</v>
      </c>
      <c r="O796" s="11" t="e">
        <f>IF($F$3,IF($L796="","",IFERROR(VLOOKUP($L796,day_data!$A:$I,4,FALSE),0)),NA())</f>
        <v>#N/A</v>
      </c>
      <c r="P796" s="58" t="e">
        <f>IF($F$4,IF($L796="","",IFERROR(VLOOKUP($L796,day_data!$A:$I,5,FALSE),0)),NA())</f>
        <v>#N/A</v>
      </c>
      <c r="Q796" s="59" t="e">
        <f>IF($F$8,IF($L796="","",IFERROR(VLOOKUP($L796,day_data!$A:$I,6,FALSE),0)),NA())</f>
        <v>#N/A</v>
      </c>
      <c r="R796" s="11" t="e">
        <f>IF($F$6,IF($L796="","",IFERROR(VLOOKUP($L796,day_data!$A:$I,7,FALSE),0)),NA())</f>
        <v>#N/A</v>
      </c>
      <c r="S796" s="58" t="str">
        <f>IF($F$5,IF($L796="","",IFERROR(VLOOKUP($L796,day_data!$A:$I,8,FALSE),0)),NA())</f>
        <v/>
      </c>
      <c r="T796" s="60" t="e">
        <f>IF($F$7,IF($L796="","",IFERROR(VLOOKUP($L796,day_data!$A:$I,9,FALSE),0)),NA())</f>
        <v>#N/A</v>
      </c>
    </row>
    <row r="797" spans="12:20">
      <c r="L797" s="57" t="str">
        <f t="shared" si="12"/>
        <v/>
      </c>
      <c r="M797" s="11" t="str">
        <f>IF($F$1,IF($L797="","",IFERROR(VLOOKUP($L797,day_data!$A:$I,2,FALSE),0)),NA())</f>
        <v/>
      </c>
      <c r="N797" s="58" t="e">
        <f>IF($F$2,IF($L797="","",IFERROR(VLOOKUP($L797,day_data!$A:$I,3,FALSE),0)),NA())</f>
        <v>#N/A</v>
      </c>
      <c r="O797" s="11" t="e">
        <f>IF($F$3,IF($L797="","",IFERROR(VLOOKUP($L797,day_data!$A:$I,4,FALSE),0)),NA())</f>
        <v>#N/A</v>
      </c>
      <c r="P797" s="58" t="e">
        <f>IF($F$4,IF($L797="","",IFERROR(VLOOKUP($L797,day_data!$A:$I,5,FALSE),0)),NA())</f>
        <v>#N/A</v>
      </c>
      <c r="Q797" s="59" t="e">
        <f>IF($F$8,IF($L797="","",IFERROR(VLOOKUP($L797,day_data!$A:$I,6,FALSE),0)),NA())</f>
        <v>#N/A</v>
      </c>
      <c r="R797" s="11" t="e">
        <f>IF($F$6,IF($L797="","",IFERROR(VLOOKUP($L797,day_data!$A:$I,7,FALSE),0)),NA())</f>
        <v>#N/A</v>
      </c>
      <c r="S797" s="58" t="str">
        <f>IF($F$5,IF($L797="","",IFERROR(VLOOKUP($L797,day_data!$A:$I,8,FALSE),0)),NA())</f>
        <v/>
      </c>
      <c r="T797" s="60" t="e">
        <f>IF($F$7,IF($L797="","",IFERROR(VLOOKUP($L797,day_data!$A:$I,9,FALSE),0)),NA())</f>
        <v>#N/A</v>
      </c>
    </row>
    <row r="798" spans="12:20">
      <c r="L798" s="57" t="str">
        <f t="shared" si="12"/>
        <v/>
      </c>
      <c r="M798" s="11" t="str">
        <f>IF($F$1,IF($L798="","",IFERROR(VLOOKUP($L798,day_data!$A:$I,2,FALSE),0)),NA())</f>
        <v/>
      </c>
      <c r="N798" s="58" t="e">
        <f>IF($F$2,IF($L798="","",IFERROR(VLOOKUP($L798,day_data!$A:$I,3,FALSE),0)),NA())</f>
        <v>#N/A</v>
      </c>
      <c r="O798" s="11" t="e">
        <f>IF($F$3,IF($L798="","",IFERROR(VLOOKUP($L798,day_data!$A:$I,4,FALSE),0)),NA())</f>
        <v>#N/A</v>
      </c>
      <c r="P798" s="58" t="e">
        <f>IF($F$4,IF($L798="","",IFERROR(VLOOKUP($L798,day_data!$A:$I,5,FALSE),0)),NA())</f>
        <v>#N/A</v>
      </c>
      <c r="Q798" s="59" t="e">
        <f>IF($F$8,IF($L798="","",IFERROR(VLOOKUP($L798,day_data!$A:$I,6,FALSE),0)),NA())</f>
        <v>#N/A</v>
      </c>
      <c r="R798" s="11" t="e">
        <f>IF($F$6,IF($L798="","",IFERROR(VLOOKUP($L798,day_data!$A:$I,7,FALSE),0)),NA())</f>
        <v>#N/A</v>
      </c>
      <c r="S798" s="58" t="str">
        <f>IF($F$5,IF($L798="","",IFERROR(VLOOKUP($L798,day_data!$A:$I,8,FALSE),0)),NA())</f>
        <v/>
      </c>
      <c r="T798" s="60" t="e">
        <f>IF($F$7,IF($L798="","",IFERROR(VLOOKUP($L798,day_data!$A:$I,9,FALSE),0)),NA())</f>
        <v>#N/A</v>
      </c>
    </row>
    <row r="799" spans="12:20">
      <c r="L799" s="57" t="str">
        <f t="shared" si="12"/>
        <v/>
      </c>
      <c r="M799" s="11" t="str">
        <f>IF($F$1,IF($L799="","",IFERROR(VLOOKUP($L799,day_data!$A:$I,2,FALSE),0)),NA())</f>
        <v/>
      </c>
      <c r="N799" s="58" t="e">
        <f>IF($F$2,IF($L799="","",IFERROR(VLOOKUP($L799,day_data!$A:$I,3,FALSE),0)),NA())</f>
        <v>#N/A</v>
      </c>
      <c r="O799" s="11" t="e">
        <f>IF($F$3,IF($L799="","",IFERROR(VLOOKUP($L799,day_data!$A:$I,4,FALSE),0)),NA())</f>
        <v>#N/A</v>
      </c>
      <c r="P799" s="58" t="e">
        <f>IF($F$4,IF($L799="","",IFERROR(VLOOKUP($L799,day_data!$A:$I,5,FALSE),0)),NA())</f>
        <v>#N/A</v>
      </c>
      <c r="Q799" s="59" t="e">
        <f>IF($F$8,IF($L799="","",IFERROR(VLOOKUP($L799,day_data!$A:$I,6,FALSE),0)),NA())</f>
        <v>#N/A</v>
      </c>
      <c r="R799" s="11" t="e">
        <f>IF($F$6,IF($L799="","",IFERROR(VLOOKUP($L799,day_data!$A:$I,7,FALSE),0)),NA())</f>
        <v>#N/A</v>
      </c>
      <c r="S799" s="58" t="str">
        <f>IF($F$5,IF($L799="","",IFERROR(VLOOKUP($L799,day_data!$A:$I,8,FALSE),0)),NA())</f>
        <v/>
      </c>
      <c r="T799" s="60" t="e">
        <f>IF($F$7,IF($L799="","",IFERROR(VLOOKUP($L799,day_data!$A:$I,9,FALSE),0)),NA())</f>
        <v>#N/A</v>
      </c>
    </row>
    <row r="800" spans="12:20">
      <c r="L800" s="57" t="str">
        <f t="shared" si="12"/>
        <v/>
      </c>
      <c r="M800" s="11" t="str">
        <f>IF($F$1,IF($L800="","",IFERROR(VLOOKUP($L800,day_data!$A:$I,2,FALSE),0)),NA())</f>
        <v/>
      </c>
      <c r="N800" s="58" t="e">
        <f>IF($F$2,IF($L800="","",IFERROR(VLOOKUP($L800,day_data!$A:$I,3,FALSE),0)),NA())</f>
        <v>#N/A</v>
      </c>
      <c r="O800" s="11" t="e">
        <f>IF($F$3,IF($L800="","",IFERROR(VLOOKUP($L800,day_data!$A:$I,4,FALSE),0)),NA())</f>
        <v>#N/A</v>
      </c>
      <c r="P800" s="58" t="e">
        <f>IF($F$4,IF($L800="","",IFERROR(VLOOKUP($L800,day_data!$A:$I,5,FALSE),0)),NA())</f>
        <v>#N/A</v>
      </c>
      <c r="Q800" s="59" t="e">
        <f>IF($F$8,IF($L800="","",IFERROR(VLOOKUP($L800,day_data!$A:$I,6,FALSE),0)),NA())</f>
        <v>#N/A</v>
      </c>
      <c r="R800" s="11" t="e">
        <f>IF($F$6,IF($L800="","",IFERROR(VLOOKUP($L800,day_data!$A:$I,7,FALSE),0)),NA())</f>
        <v>#N/A</v>
      </c>
      <c r="S800" s="58" t="str">
        <f>IF($F$5,IF($L800="","",IFERROR(VLOOKUP($L800,day_data!$A:$I,8,FALSE),0)),NA())</f>
        <v/>
      </c>
      <c r="T800" s="60" t="e">
        <f>IF($F$7,IF($L800="","",IFERROR(VLOOKUP($L800,day_data!$A:$I,9,FALSE),0)),NA())</f>
        <v>#N/A</v>
      </c>
    </row>
    <row r="801" spans="12:20">
      <c r="L801" s="57" t="str">
        <f t="shared" si="12"/>
        <v/>
      </c>
      <c r="M801" s="11" t="str">
        <f>IF($F$1,IF($L801="","",IFERROR(VLOOKUP($L801,day_data!$A:$I,2,FALSE),0)),NA())</f>
        <v/>
      </c>
      <c r="N801" s="58" t="e">
        <f>IF($F$2,IF($L801="","",IFERROR(VLOOKUP($L801,day_data!$A:$I,3,FALSE),0)),NA())</f>
        <v>#N/A</v>
      </c>
      <c r="O801" s="11" t="e">
        <f>IF($F$3,IF($L801="","",IFERROR(VLOOKUP($L801,day_data!$A:$I,4,FALSE),0)),NA())</f>
        <v>#N/A</v>
      </c>
      <c r="P801" s="58" t="e">
        <f>IF($F$4,IF($L801="","",IFERROR(VLOOKUP($L801,day_data!$A:$I,5,FALSE),0)),NA())</f>
        <v>#N/A</v>
      </c>
      <c r="Q801" s="59" t="e">
        <f>IF($F$8,IF($L801="","",IFERROR(VLOOKUP($L801,day_data!$A:$I,6,FALSE),0)),NA())</f>
        <v>#N/A</v>
      </c>
      <c r="R801" s="11" t="e">
        <f>IF($F$6,IF($L801="","",IFERROR(VLOOKUP($L801,day_data!$A:$I,7,FALSE),0)),NA())</f>
        <v>#N/A</v>
      </c>
      <c r="S801" s="58" t="str">
        <f>IF($F$5,IF($L801="","",IFERROR(VLOOKUP($L801,day_data!$A:$I,8,FALSE),0)),NA())</f>
        <v/>
      </c>
      <c r="T801" s="60" t="e">
        <f>IF($F$7,IF($L801="","",IFERROR(VLOOKUP($L801,day_data!$A:$I,9,FALSE),0)),NA())</f>
        <v>#N/A</v>
      </c>
    </row>
    <row r="802" spans="12:20">
      <c r="L802" s="57" t="str">
        <f t="shared" si="12"/>
        <v/>
      </c>
      <c r="M802" s="11" t="str">
        <f>IF($F$1,IF($L802="","",IFERROR(VLOOKUP($L802,day_data!$A:$I,2,FALSE),0)),NA())</f>
        <v/>
      </c>
      <c r="N802" s="58" t="e">
        <f>IF($F$2,IF($L802="","",IFERROR(VLOOKUP($L802,day_data!$A:$I,3,FALSE),0)),NA())</f>
        <v>#N/A</v>
      </c>
      <c r="O802" s="11" t="e">
        <f>IF($F$3,IF($L802="","",IFERROR(VLOOKUP($L802,day_data!$A:$I,4,FALSE),0)),NA())</f>
        <v>#N/A</v>
      </c>
      <c r="P802" s="58" t="e">
        <f>IF($F$4,IF($L802="","",IFERROR(VLOOKUP($L802,day_data!$A:$I,5,FALSE),0)),NA())</f>
        <v>#N/A</v>
      </c>
      <c r="Q802" s="59" t="e">
        <f>IF($F$8,IF($L802="","",IFERROR(VLOOKUP($L802,day_data!$A:$I,6,FALSE),0)),NA())</f>
        <v>#N/A</v>
      </c>
      <c r="R802" s="11" t="e">
        <f>IF($F$6,IF($L802="","",IFERROR(VLOOKUP($L802,day_data!$A:$I,7,FALSE),0)),NA())</f>
        <v>#N/A</v>
      </c>
      <c r="S802" s="58" t="str">
        <f>IF($F$5,IF($L802="","",IFERROR(VLOOKUP($L802,day_data!$A:$I,8,FALSE),0)),NA())</f>
        <v/>
      </c>
      <c r="T802" s="60" t="e">
        <f>IF($F$7,IF($L802="","",IFERROR(VLOOKUP($L802,day_data!$A:$I,9,FALSE),0)),NA())</f>
        <v>#N/A</v>
      </c>
    </row>
    <row r="803" spans="12:20">
      <c r="L803" s="57" t="str">
        <f t="shared" si="12"/>
        <v/>
      </c>
      <c r="M803" s="11" t="str">
        <f>IF($F$1,IF($L803="","",IFERROR(VLOOKUP($L803,day_data!$A:$I,2,FALSE),0)),NA())</f>
        <v/>
      </c>
      <c r="N803" s="58" t="e">
        <f>IF($F$2,IF($L803="","",IFERROR(VLOOKUP($L803,day_data!$A:$I,3,FALSE),0)),NA())</f>
        <v>#N/A</v>
      </c>
      <c r="O803" s="11" t="e">
        <f>IF($F$3,IF($L803="","",IFERROR(VLOOKUP($L803,day_data!$A:$I,4,FALSE),0)),NA())</f>
        <v>#N/A</v>
      </c>
      <c r="P803" s="58" t="e">
        <f>IF($F$4,IF($L803="","",IFERROR(VLOOKUP($L803,day_data!$A:$I,5,FALSE),0)),NA())</f>
        <v>#N/A</v>
      </c>
      <c r="Q803" s="59" t="e">
        <f>IF($F$8,IF($L803="","",IFERROR(VLOOKUP($L803,day_data!$A:$I,6,FALSE),0)),NA())</f>
        <v>#N/A</v>
      </c>
      <c r="R803" s="11" t="e">
        <f>IF($F$6,IF($L803="","",IFERROR(VLOOKUP($L803,day_data!$A:$I,7,FALSE),0)),NA())</f>
        <v>#N/A</v>
      </c>
      <c r="S803" s="58" t="str">
        <f>IF($F$5,IF($L803="","",IFERROR(VLOOKUP($L803,day_data!$A:$I,8,FALSE),0)),NA())</f>
        <v/>
      </c>
      <c r="T803" s="60" t="e">
        <f>IF($F$7,IF($L803="","",IFERROR(VLOOKUP($L803,day_data!$A:$I,9,FALSE),0)),NA())</f>
        <v>#N/A</v>
      </c>
    </row>
    <row r="804" spans="12:20">
      <c r="L804" s="57" t="str">
        <f t="shared" si="12"/>
        <v/>
      </c>
      <c r="M804" s="11" t="str">
        <f>IF($F$1,IF($L804="","",IFERROR(VLOOKUP($L804,day_data!$A:$I,2,FALSE),0)),NA())</f>
        <v/>
      </c>
      <c r="N804" s="58" t="e">
        <f>IF($F$2,IF($L804="","",IFERROR(VLOOKUP($L804,day_data!$A:$I,3,FALSE),0)),NA())</f>
        <v>#N/A</v>
      </c>
      <c r="O804" s="11" t="e">
        <f>IF($F$3,IF($L804="","",IFERROR(VLOOKUP($L804,day_data!$A:$I,4,FALSE),0)),NA())</f>
        <v>#N/A</v>
      </c>
      <c r="P804" s="58" t="e">
        <f>IF($F$4,IF($L804="","",IFERROR(VLOOKUP($L804,day_data!$A:$I,5,FALSE),0)),NA())</f>
        <v>#N/A</v>
      </c>
      <c r="Q804" s="59" t="e">
        <f>IF($F$8,IF($L804="","",IFERROR(VLOOKUP($L804,day_data!$A:$I,6,FALSE),0)),NA())</f>
        <v>#N/A</v>
      </c>
      <c r="R804" s="11" t="e">
        <f>IF($F$6,IF($L804="","",IFERROR(VLOOKUP($L804,day_data!$A:$I,7,FALSE),0)),NA())</f>
        <v>#N/A</v>
      </c>
      <c r="S804" s="58" t="str">
        <f>IF($F$5,IF($L804="","",IFERROR(VLOOKUP($L804,day_data!$A:$I,8,FALSE),0)),NA())</f>
        <v/>
      </c>
      <c r="T804" s="60" t="e">
        <f>IF($F$7,IF($L804="","",IFERROR(VLOOKUP($L804,day_data!$A:$I,9,FALSE),0)),NA())</f>
        <v>#N/A</v>
      </c>
    </row>
    <row r="805" spans="12:20">
      <c r="L805" s="57" t="str">
        <f t="shared" si="12"/>
        <v/>
      </c>
      <c r="M805" s="11" t="str">
        <f>IF($F$1,IF($L805="","",IFERROR(VLOOKUP($L805,day_data!$A:$I,2,FALSE),0)),NA())</f>
        <v/>
      </c>
      <c r="N805" s="58" t="e">
        <f>IF($F$2,IF($L805="","",IFERROR(VLOOKUP($L805,day_data!$A:$I,3,FALSE),0)),NA())</f>
        <v>#N/A</v>
      </c>
      <c r="O805" s="11" t="e">
        <f>IF($F$3,IF($L805="","",IFERROR(VLOOKUP($L805,day_data!$A:$I,4,FALSE),0)),NA())</f>
        <v>#N/A</v>
      </c>
      <c r="P805" s="58" t="e">
        <f>IF($F$4,IF($L805="","",IFERROR(VLOOKUP($L805,day_data!$A:$I,5,FALSE),0)),NA())</f>
        <v>#N/A</v>
      </c>
      <c r="Q805" s="59" t="e">
        <f>IF($F$8,IF($L805="","",IFERROR(VLOOKUP($L805,day_data!$A:$I,6,FALSE),0)),NA())</f>
        <v>#N/A</v>
      </c>
      <c r="R805" s="11" t="e">
        <f>IF($F$6,IF($L805="","",IFERROR(VLOOKUP($L805,day_data!$A:$I,7,FALSE),0)),NA())</f>
        <v>#N/A</v>
      </c>
      <c r="S805" s="58" t="str">
        <f>IF($F$5,IF($L805="","",IFERROR(VLOOKUP($L805,day_data!$A:$I,8,FALSE),0)),NA())</f>
        <v/>
      </c>
      <c r="T805" s="60" t="e">
        <f>IF($F$7,IF($L805="","",IFERROR(VLOOKUP($L805,day_data!$A:$I,9,FALSE),0)),NA())</f>
        <v>#N/A</v>
      </c>
    </row>
    <row r="806" spans="12:20">
      <c r="L806" s="57" t="str">
        <f t="shared" si="12"/>
        <v/>
      </c>
      <c r="M806" s="11" t="str">
        <f>IF($F$1,IF($L806="","",IFERROR(VLOOKUP($L806,day_data!$A:$I,2,FALSE),0)),NA())</f>
        <v/>
      </c>
      <c r="N806" s="58" t="e">
        <f>IF($F$2,IF($L806="","",IFERROR(VLOOKUP($L806,day_data!$A:$I,3,FALSE),0)),NA())</f>
        <v>#N/A</v>
      </c>
      <c r="O806" s="11" t="e">
        <f>IF($F$3,IF($L806="","",IFERROR(VLOOKUP($L806,day_data!$A:$I,4,FALSE),0)),NA())</f>
        <v>#N/A</v>
      </c>
      <c r="P806" s="58" t="e">
        <f>IF($F$4,IF($L806="","",IFERROR(VLOOKUP($L806,day_data!$A:$I,5,FALSE),0)),NA())</f>
        <v>#N/A</v>
      </c>
      <c r="Q806" s="59" t="e">
        <f>IF($F$8,IF($L806="","",IFERROR(VLOOKUP($L806,day_data!$A:$I,6,FALSE),0)),NA())</f>
        <v>#N/A</v>
      </c>
      <c r="R806" s="11" t="e">
        <f>IF($F$6,IF($L806="","",IFERROR(VLOOKUP($L806,day_data!$A:$I,7,FALSE),0)),NA())</f>
        <v>#N/A</v>
      </c>
      <c r="S806" s="58" t="str">
        <f>IF($F$5,IF($L806="","",IFERROR(VLOOKUP($L806,day_data!$A:$I,8,FALSE),0)),NA())</f>
        <v/>
      </c>
      <c r="T806" s="60" t="e">
        <f>IF($F$7,IF($L806="","",IFERROR(VLOOKUP($L806,day_data!$A:$I,9,FALSE),0)),NA())</f>
        <v>#N/A</v>
      </c>
    </row>
    <row r="807" spans="12:20">
      <c r="L807" s="57" t="str">
        <f t="shared" si="12"/>
        <v/>
      </c>
      <c r="M807" s="11" t="str">
        <f>IF($F$1,IF($L807="","",IFERROR(VLOOKUP($L807,day_data!$A:$I,2,FALSE),0)),NA())</f>
        <v/>
      </c>
      <c r="N807" s="58" t="e">
        <f>IF($F$2,IF($L807="","",IFERROR(VLOOKUP($L807,day_data!$A:$I,3,FALSE),0)),NA())</f>
        <v>#N/A</v>
      </c>
      <c r="O807" s="11" t="e">
        <f>IF($F$3,IF($L807="","",IFERROR(VLOOKUP($L807,day_data!$A:$I,4,FALSE),0)),NA())</f>
        <v>#N/A</v>
      </c>
      <c r="P807" s="58" t="e">
        <f>IF($F$4,IF($L807="","",IFERROR(VLOOKUP($L807,day_data!$A:$I,5,FALSE),0)),NA())</f>
        <v>#N/A</v>
      </c>
      <c r="Q807" s="59" t="e">
        <f>IF($F$8,IF($L807="","",IFERROR(VLOOKUP($L807,day_data!$A:$I,6,FALSE),0)),NA())</f>
        <v>#N/A</v>
      </c>
      <c r="R807" s="11" t="e">
        <f>IF($F$6,IF($L807="","",IFERROR(VLOOKUP($L807,day_data!$A:$I,7,FALSE),0)),NA())</f>
        <v>#N/A</v>
      </c>
      <c r="S807" s="58" t="str">
        <f>IF($F$5,IF($L807="","",IFERROR(VLOOKUP($L807,day_data!$A:$I,8,FALSE),0)),NA())</f>
        <v/>
      </c>
      <c r="T807" s="60" t="e">
        <f>IF($F$7,IF($L807="","",IFERROR(VLOOKUP($L807,day_data!$A:$I,9,FALSE),0)),NA())</f>
        <v>#N/A</v>
      </c>
    </row>
    <row r="808" spans="12:20">
      <c r="L808" s="57" t="str">
        <f t="shared" si="12"/>
        <v/>
      </c>
      <c r="M808" s="11" t="str">
        <f>IF($F$1,IF($L808="","",IFERROR(VLOOKUP($L808,day_data!$A:$I,2,FALSE),0)),NA())</f>
        <v/>
      </c>
      <c r="N808" s="58" t="e">
        <f>IF($F$2,IF($L808="","",IFERROR(VLOOKUP($L808,day_data!$A:$I,3,FALSE),0)),NA())</f>
        <v>#N/A</v>
      </c>
      <c r="O808" s="11" t="e">
        <f>IF($F$3,IF($L808="","",IFERROR(VLOOKUP($L808,day_data!$A:$I,4,FALSE),0)),NA())</f>
        <v>#N/A</v>
      </c>
      <c r="P808" s="58" t="e">
        <f>IF($F$4,IF($L808="","",IFERROR(VLOOKUP($L808,day_data!$A:$I,5,FALSE),0)),NA())</f>
        <v>#N/A</v>
      </c>
      <c r="Q808" s="59" t="e">
        <f>IF($F$8,IF($L808="","",IFERROR(VLOOKUP($L808,day_data!$A:$I,6,FALSE),0)),NA())</f>
        <v>#N/A</v>
      </c>
      <c r="R808" s="11" t="e">
        <f>IF($F$6,IF($L808="","",IFERROR(VLOOKUP($L808,day_data!$A:$I,7,FALSE),0)),NA())</f>
        <v>#N/A</v>
      </c>
      <c r="S808" s="58" t="str">
        <f>IF($F$5,IF($L808="","",IFERROR(VLOOKUP($L808,day_data!$A:$I,8,FALSE),0)),NA())</f>
        <v/>
      </c>
      <c r="T808" s="60" t="e">
        <f>IF($F$7,IF($L808="","",IFERROR(VLOOKUP($L808,day_data!$A:$I,9,FALSE),0)),NA())</f>
        <v>#N/A</v>
      </c>
    </row>
    <row r="809" spans="12:20">
      <c r="L809" s="57" t="str">
        <f t="shared" si="12"/>
        <v/>
      </c>
      <c r="M809" s="11" t="str">
        <f>IF($F$1,IF($L809="","",IFERROR(VLOOKUP($L809,day_data!$A:$I,2,FALSE),0)),NA())</f>
        <v/>
      </c>
      <c r="N809" s="58" t="e">
        <f>IF($F$2,IF($L809="","",IFERROR(VLOOKUP($L809,day_data!$A:$I,3,FALSE),0)),NA())</f>
        <v>#N/A</v>
      </c>
      <c r="O809" s="11" t="e">
        <f>IF($F$3,IF($L809="","",IFERROR(VLOOKUP($L809,day_data!$A:$I,4,FALSE),0)),NA())</f>
        <v>#N/A</v>
      </c>
      <c r="P809" s="58" t="e">
        <f>IF($F$4,IF($L809="","",IFERROR(VLOOKUP($L809,day_data!$A:$I,5,FALSE),0)),NA())</f>
        <v>#N/A</v>
      </c>
      <c r="Q809" s="59" t="e">
        <f>IF($F$8,IF($L809="","",IFERROR(VLOOKUP($L809,day_data!$A:$I,6,FALSE),0)),NA())</f>
        <v>#N/A</v>
      </c>
      <c r="R809" s="11" t="e">
        <f>IF($F$6,IF($L809="","",IFERROR(VLOOKUP($L809,day_data!$A:$I,7,FALSE),0)),NA())</f>
        <v>#N/A</v>
      </c>
      <c r="S809" s="58" t="str">
        <f>IF($F$5,IF($L809="","",IFERROR(VLOOKUP($L809,day_data!$A:$I,8,FALSE),0)),NA())</f>
        <v/>
      </c>
      <c r="T809" s="60" t="e">
        <f>IF($F$7,IF($L809="","",IFERROR(VLOOKUP($L809,day_data!$A:$I,9,FALSE),0)),NA())</f>
        <v>#N/A</v>
      </c>
    </row>
    <row r="810" spans="12:20">
      <c r="L810" s="57" t="str">
        <f t="shared" si="12"/>
        <v/>
      </c>
      <c r="M810" s="11" t="str">
        <f>IF($F$1,IF($L810="","",IFERROR(VLOOKUP($L810,day_data!$A:$I,2,FALSE),0)),NA())</f>
        <v/>
      </c>
      <c r="N810" s="58" t="e">
        <f>IF($F$2,IF($L810="","",IFERROR(VLOOKUP($L810,day_data!$A:$I,3,FALSE),0)),NA())</f>
        <v>#N/A</v>
      </c>
      <c r="O810" s="11" t="e">
        <f>IF($F$3,IF($L810="","",IFERROR(VLOOKUP($L810,day_data!$A:$I,4,FALSE),0)),NA())</f>
        <v>#N/A</v>
      </c>
      <c r="P810" s="58" t="e">
        <f>IF($F$4,IF($L810="","",IFERROR(VLOOKUP($L810,day_data!$A:$I,5,FALSE),0)),NA())</f>
        <v>#N/A</v>
      </c>
      <c r="Q810" s="59" t="e">
        <f>IF($F$8,IF($L810="","",IFERROR(VLOOKUP($L810,day_data!$A:$I,6,FALSE),0)),NA())</f>
        <v>#N/A</v>
      </c>
      <c r="R810" s="11" t="e">
        <f>IF($F$6,IF($L810="","",IFERROR(VLOOKUP($L810,day_data!$A:$I,7,FALSE),0)),NA())</f>
        <v>#N/A</v>
      </c>
      <c r="S810" s="58" t="str">
        <f>IF($F$5,IF($L810="","",IFERROR(VLOOKUP($L810,day_data!$A:$I,8,FALSE),0)),NA())</f>
        <v/>
      </c>
      <c r="T810" s="60" t="e">
        <f>IF($F$7,IF($L810="","",IFERROR(VLOOKUP($L810,day_data!$A:$I,9,FALSE),0)),NA())</f>
        <v>#N/A</v>
      </c>
    </row>
    <row r="811" spans="12:20">
      <c r="L811" s="57" t="str">
        <f t="shared" si="12"/>
        <v/>
      </c>
      <c r="M811" s="11" t="str">
        <f>IF($F$1,IF($L811="","",IFERROR(VLOOKUP($L811,day_data!$A:$I,2,FALSE),0)),NA())</f>
        <v/>
      </c>
      <c r="N811" s="58" t="e">
        <f>IF($F$2,IF($L811="","",IFERROR(VLOOKUP($L811,day_data!$A:$I,3,FALSE),0)),NA())</f>
        <v>#N/A</v>
      </c>
      <c r="O811" s="11" t="e">
        <f>IF($F$3,IF($L811="","",IFERROR(VLOOKUP($L811,day_data!$A:$I,4,FALSE),0)),NA())</f>
        <v>#N/A</v>
      </c>
      <c r="P811" s="58" t="e">
        <f>IF($F$4,IF($L811="","",IFERROR(VLOOKUP($L811,day_data!$A:$I,5,FALSE),0)),NA())</f>
        <v>#N/A</v>
      </c>
      <c r="Q811" s="59" t="e">
        <f>IF($F$8,IF($L811="","",IFERROR(VLOOKUP($L811,day_data!$A:$I,6,FALSE),0)),NA())</f>
        <v>#N/A</v>
      </c>
      <c r="R811" s="11" t="e">
        <f>IF($F$6,IF($L811="","",IFERROR(VLOOKUP($L811,day_data!$A:$I,7,FALSE),0)),NA())</f>
        <v>#N/A</v>
      </c>
      <c r="S811" s="58" t="str">
        <f>IF($F$5,IF($L811="","",IFERROR(VLOOKUP($L811,day_data!$A:$I,8,FALSE),0)),NA())</f>
        <v/>
      </c>
      <c r="T811" s="60" t="e">
        <f>IF($F$7,IF($L811="","",IFERROR(VLOOKUP($L811,day_data!$A:$I,9,FALSE),0)),NA())</f>
        <v>#N/A</v>
      </c>
    </row>
    <row r="812" spans="12:20">
      <c r="L812" s="57" t="str">
        <f t="shared" si="12"/>
        <v/>
      </c>
      <c r="M812" s="11" t="str">
        <f>IF($F$1,IF($L812="","",IFERROR(VLOOKUP($L812,day_data!$A:$I,2,FALSE),0)),NA())</f>
        <v/>
      </c>
      <c r="N812" s="58" t="e">
        <f>IF($F$2,IF($L812="","",IFERROR(VLOOKUP($L812,day_data!$A:$I,3,FALSE),0)),NA())</f>
        <v>#N/A</v>
      </c>
      <c r="O812" s="11" t="e">
        <f>IF($F$3,IF($L812="","",IFERROR(VLOOKUP($L812,day_data!$A:$I,4,FALSE),0)),NA())</f>
        <v>#N/A</v>
      </c>
      <c r="P812" s="58" t="e">
        <f>IF($F$4,IF($L812="","",IFERROR(VLOOKUP($L812,day_data!$A:$I,5,FALSE),0)),NA())</f>
        <v>#N/A</v>
      </c>
      <c r="Q812" s="59" t="e">
        <f>IF($F$8,IF($L812="","",IFERROR(VLOOKUP($L812,day_data!$A:$I,6,FALSE),0)),NA())</f>
        <v>#N/A</v>
      </c>
      <c r="R812" s="11" t="e">
        <f>IF($F$6,IF($L812="","",IFERROR(VLOOKUP($L812,day_data!$A:$I,7,FALSE),0)),NA())</f>
        <v>#N/A</v>
      </c>
      <c r="S812" s="58" t="str">
        <f>IF($F$5,IF($L812="","",IFERROR(VLOOKUP($L812,day_data!$A:$I,8,FALSE),0)),NA())</f>
        <v/>
      </c>
      <c r="T812" s="60" t="e">
        <f>IF($F$7,IF($L812="","",IFERROR(VLOOKUP($L812,day_data!$A:$I,9,FALSE),0)),NA())</f>
        <v>#N/A</v>
      </c>
    </row>
    <row r="813" spans="12:20">
      <c r="L813" s="57" t="str">
        <f t="shared" si="12"/>
        <v/>
      </c>
      <c r="M813" s="11" t="str">
        <f>IF($F$1,IF($L813="","",IFERROR(VLOOKUP($L813,day_data!$A:$I,2,FALSE),0)),NA())</f>
        <v/>
      </c>
      <c r="N813" s="58" t="e">
        <f>IF($F$2,IF($L813="","",IFERROR(VLOOKUP($L813,day_data!$A:$I,3,FALSE),0)),NA())</f>
        <v>#N/A</v>
      </c>
      <c r="O813" s="11" t="e">
        <f>IF($F$3,IF($L813="","",IFERROR(VLOOKUP($L813,day_data!$A:$I,4,FALSE),0)),NA())</f>
        <v>#N/A</v>
      </c>
      <c r="P813" s="58" t="e">
        <f>IF($F$4,IF($L813="","",IFERROR(VLOOKUP($L813,day_data!$A:$I,5,FALSE),0)),NA())</f>
        <v>#N/A</v>
      </c>
      <c r="Q813" s="59" t="e">
        <f>IF($F$8,IF($L813="","",IFERROR(VLOOKUP($L813,day_data!$A:$I,6,FALSE),0)),NA())</f>
        <v>#N/A</v>
      </c>
      <c r="R813" s="11" t="e">
        <f>IF($F$6,IF($L813="","",IFERROR(VLOOKUP($L813,day_data!$A:$I,7,FALSE),0)),NA())</f>
        <v>#N/A</v>
      </c>
      <c r="S813" s="58" t="str">
        <f>IF($F$5,IF($L813="","",IFERROR(VLOOKUP($L813,day_data!$A:$I,8,FALSE),0)),NA())</f>
        <v/>
      </c>
      <c r="T813" s="60" t="e">
        <f>IF($F$7,IF($L813="","",IFERROR(VLOOKUP($L813,day_data!$A:$I,9,FALSE),0)),NA())</f>
        <v>#N/A</v>
      </c>
    </row>
    <row r="814" spans="12:20">
      <c r="L814" s="57" t="str">
        <f t="shared" si="12"/>
        <v/>
      </c>
      <c r="M814" s="11" t="str">
        <f>IF($F$1,IF($L814="","",IFERROR(VLOOKUP($L814,day_data!$A:$I,2,FALSE),0)),NA())</f>
        <v/>
      </c>
      <c r="N814" s="58" t="e">
        <f>IF($F$2,IF($L814="","",IFERROR(VLOOKUP($L814,day_data!$A:$I,3,FALSE),0)),NA())</f>
        <v>#N/A</v>
      </c>
      <c r="O814" s="11" t="e">
        <f>IF($F$3,IF($L814="","",IFERROR(VLOOKUP($L814,day_data!$A:$I,4,FALSE),0)),NA())</f>
        <v>#N/A</v>
      </c>
      <c r="P814" s="58" t="e">
        <f>IF($F$4,IF($L814="","",IFERROR(VLOOKUP($L814,day_data!$A:$I,5,FALSE),0)),NA())</f>
        <v>#N/A</v>
      </c>
      <c r="Q814" s="59" t="e">
        <f>IF($F$8,IF($L814="","",IFERROR(VLOOKUP($L814,day_data!$A:$I,6,FALSE),0)),NA())</f>
        <v>#N/A</v>
      </c>
      <c r="R814" s="11" t="e">
        <f>IF($F$6,IF($L814="","",IFERROR(VLOOKUP($L814,day_data!$A:$I,7,FALSE),0)),NA())</f>
        <v>#N/A</v>
      </c>
      <c r="S814" s="58" t="str">
        <f>IF($F$5,IF($L814="","",IFERROR(VLOOKUP($L814,day_data!$A:$I,8,FALSE),0)),NA())</f>
        <v/>
      </c>
      <c r="T814" s="60" t="e">
        <f>IF($F$7,IF($L814="","",IFERROR(VLOOKUP($L814,day_data!$A:$I,9,FALSE),0)),NA())</f>
        <v>#N/A</v>
      </c>
    </row>
    <row r="815" spans="12:20">
      <c r="L815" s="57" t="str">
        <f t="shared" si="12"/>
        <v/>
      </c>
      <c r="M815" s="11" t="str">
        <f>IF($F$1,IF($L815="","",IFERROR(VLOOKUP($L815,day_data!$A:$I,2,FALSE),0)),NA())</f>
        <v/>
      </c>
      <c r="N815" s="58" t="e">
        <f>IF($F$2,IF($L815="","",IFERROR(VLOOKUP($L815,day_data!$A:$I,3,FALSE),0)),NA())</f>
        <v>#N/A</v>
      </c>
      <c r="O815" s="11" t="e">
        <f>IF($F$3,IF($L815="","",IFERROR(VLOOKUP($L815,day_data!$A:$I,4,FALSE),0)),NA())</f>
        <v>#N/A</v>
      </c>
      <c r="P815" s="58" t="e">
        <f>IF($F$4,IF($L815="","",IFERROR(VLOOKUP($L815,day_data!$A:$I,5,FALSE),0)),NA())</f>
        <v>#N/A</v>
      </c>
      <c r="Q815" s="59" t="e">
        <f>IF($F$8,IF($L815="","",IFERROR(VLOOKUP($L815,day_data!$A:$I,6,FALSE),0)),NA())</f>
        <v>#N/A</v>
      </c>
      <c r="R815" s="11" t="e">
        <f>IF($F$6,IF($L815="","",IFERROR(VLOOKUP($L815,day_data!$A:$I,7,FALSE),0)),NA())</f>
        <v>#N/A</v>
      </c>
      <c r="S815" s="58" t="str">
        <f>IF($F$5,IF($L815="","",IFERROR(VLOOKUP($L815,day_data!$A:$I,8,FALSE),0)),NA())</f>
        <v/>
      </c>
      <c r="T815" s="60" t="e">
        <f>IF($F$7,IF($L815="","",IFERROR(VLOOKUP($L815,day_data!$A:$I,9,FALSE),0)),NA())</f>
        <v>#N/A</v>
      </c>
    </row>
    <row r="816" spans="12:20">
      <c r="L816" s="57" t="str">
        <f t="shared" si="12"/>
        <v/>
      </c>
      <c r="M816" s="11" t="str">
        <f>IF($F$1,IF($L816="","",IFERROR(VLOOKUP($L816,day_data!$A:$I,2,FALSE),0)),NA())</f>
        <v/>
      </c>
      <c r="N816" s="58" t="e">
        <f>IF($F$2,IF($L816="","",IFERROR(VLOOKUP($L816,day_data!$A:$I,3,FALSE),0)),NA())</f>
        <v>#N/A</v>
      </c>
      <c r="O816" s="11" t="e">
        <f>IF($F$3,IF($L816="","",IFERROR(VLOOKUP($L816,day_data!$A:$I,4,FALSE),0)),NA())</f>
        <v>#N/A</v>
      </c>
      <c r="P816" s="58" t="e">
        <f>IF($F$4,IF($L816="","",IFERROR(VLOOKUP($L816,day_data!$A:$I,5,FALSE),0)),NA())</f>
        <v>#N/A</v>
      </c>
      <c r="Q816" s="59" t="e">
        <f>IF($F$8,IF($L816="","",IFERROR(VLOOKUP($L816,day_data!$A:$I,6,FALSE),0)),NA())</f>
        <v>#N/A</v>
      </c>
      <c r="R816" s="11" t="e">
        <f>IF($F$6,IF($L816="","",IFERROR(VLOOKUP($L816,day_data!$A:$I,7,FALSE),0)),NA())</f>
        <v>#N/A</v>
      </c>
      <c r="S816" s="58" t="str">
        <f>IF($F$5,IF($L816="","",IFERROR(VLOOKUP($L816,day_data!$A:$I,8,FALSE),0)),NA())</f>
        <v/>
      </c>
      <c r="T816" s="60" t="e">
        <f>IF($F$7,IF($L816="","",IFERROR(VLOOKUP($L816,day_data!$A:$I,9,FALSE),0)),NA())</f>
        <v>#N/A</v>
      </c>
    </row>
    <row r="817" spans="12:20">
      <c r="L817" s="57" t="str">
        <f t="shared" si="12"/>
        <v/>
      </c>
      <c r="M817" s="11" t="str">
        <f>IF($F$1,IF($L817="","",IFERROR(VLOOKUP($L817,day_data!$A:$I,2,FALSE),0)),NA())</f>
        <v/>
      </c>
      <c r="N817" s="58" t="e">
        <f>IF($F$2,IF($L817="","",IFERROR(VLOOKUP($L817,day_data!$A:$I,3,FALSE),0)),NA())</f>
        <v>#N/A</v>
      </c>
      <c r="O817" s="11" t="e">
        <f>IF($F$3,IF($L817="","",IFERROR(VLOOKUP($L817,day_data!$A:$I,4,FALSE),0)),NA())</f>
        <v>#N/A</v>
      </c>
      <c r="P817" s="58" t="e">
        <f>IF($F$4,IF($L817="","",IFERROR(VLOOKUP($L817,day_data!$A:$I,5,FALSE),0)),NA())</f>
        <v>#N/A</v>
      </c>
      <c r="Q817" s="59" t="e">
        <f>IF($F$8,IF($L817="","",IFERROR(VLOOKUP($L817,day_data!$A:$I,6,FALSE),0)),NA())</f>
        <v>#N/A</v>
      </c>
      <c r="R817" s="11" t="e">
        <f>IF($F$6,IF($L817="","",IFERROR(VLOOKUP($L817,day_data!$A:$I,7,FALSE),0)),NA())</f>
        <v>#N/A</v>
      </c>
      <c r="S817" s="58" t="str">
        <f>IF($F$5,IF($L817="","",IFERROR(VLOOKUP($L817,day_data!$A:$I,8,FALSE),0)),NA())</f>
        <v/>
      </c>
      <c r="T817" s="60" t="e">
        <f>IF($F$7,IF($L817="","",IFERROR(VLOOKUP($L817,day_data!$A:$I,9,FALSE),0)),NA())</f>
        <v>#N/A</v>
      </c>
    </row>
    <row r="818" spans="12:20">
      <c r="L818" s="57" t="str">
        <f t="shared" si="12"/>
        <v/>
      </c>
      <c r="M818" s="11" t="str">
        <f>IF($F$1,IF($L818="","",IFERROR(VLOOKUP($L818,day_data!$A:$I,2,FALSE),0)),NA())</f>
        <v/>
      </c>
      <c r="N818" s="58" t="e">
        <f>IF($F$2,IF($L818="","",IFERROR(VLOOKUP($L818,day_data!$A:$I,3,FALSE),0)),NA())</f>
        <v>#N/A</v>
      </c>
      <c r="O818" s="11" t="e">
        <f>IF($F$3,IF($L818="","",IFERROR(VLOOKUP($L818,day_data!$A:$I,4,FALSE),0)),NA())</f>
        <v>#N/A</v>
      </c>
      <c r="P818" s="58" t="e">
        <f>IF($F$4,IF($L818="","",IFERROR(VLOOKUP($L818,day_data!$A:$I,5,FALSE),0)),NA())</f>
        <v>#N/A</v>
      </c>
      <c r="Q818" s="59" t="e">
        <f>IF($F$8,IF($L818="","",IFERROR(VLOOKUP($L818,day_data!$A:$I,6,FALSE),0)),NA())</f>
        <v>#N/A</v>
      </c>
      <c r="R818" s="11" t="e">
        <f>IF($F$6,IF($L818="","",IFERROR(VLOOKUP($L818,day_data!$A:$I,7,FALSE),0)),NA())</f>
        <v>#N/A</v>
      </c>
      <c r="S818" s="58" t="str">
        <f>IF($F$5,IF($L818="","",IFERROR(VLOOKUP($L818,day_data!$A:$I,8,FALSE),0)),NA())</f>
        <v/>
      </c>
      <c r="T818" s="60" t="e">
        <f>IF($F$7,IF($L818="","",IFERROR(VLOOKUP($L818,day_data!$A:$I,9,FALSE),0)),NA())</f>
        <v>#N/A</v>
      </c>
    </row>
    <row r="819" spans="12:20">
      <c r="L819" s="57" t="str">
        <f t="shared" si="12"/>
        <v/>
      </c>
      <c r="M819" s="11" t="str">
        <f>IF($F$1,IF($L819="","",IFERROR(VLOOKUP($L819,day_data!$A:$I,2,FALSE),0)),NA())</f>
        <v/>
      </c>
      <c r="N819" s="58" t="e">
        <f>IF($F$2,IF($L819="","",IFERROR(VLOOKUP($L819,day_data!$A:$I,3,FALSE),0)),NA())</f>
        <v>#N/A</v>
      </c>
      <c r="O819" s="11" t="e">
        <f>IF($F$3,IF($L819="","",IFERROR(VLOOKUP($L819,day_data!$A:$I,4,FALSE),0)),NA())</f>
        <v>#N/A</v>
      </c>
      <c r="P819" s="58" t="e">
        <f>IF($F$4,IF($L819="","",IFERROR(VLOOKUP($L819,day_data!$A:$I,5,FALSE),0)),NA())</f>
        <v>#N/A</v>
      </c>
      <c r="Q819" s="59" t="e">
        <f>IF($F$8,IF($L819="","",IFERROR(VLOOKUP($L819,day_data!$A:$I,6,FALSE),0)),NA())</f>
        <v>#N/A</v>
      </c>
      <c r="R819" s="11" t="e">
        <f>IF($F$6,IF($L819="","",IFERROR(VLOOKUP($L819,day_data!$A:$I,7,FALSE),0)),NA())</f>
        <v>#N/A</v>
      </c>
      <c r="S819" s="58" t="str">
        <f>IF($F$5,IF($L819="","",IFERROR(VLOOKUP($L819,day_data!$A:$I,8,FALSE),0)),NA())</f>
        <v/>
      </c>
      <c r="T819" s="60" t="e">
        <f>IF($F$7,IF($L819="","",IFERROR(VLOOKUP($L819,day_data!$A:$I,9,FALSE),0)),NA())</f>
        <v>#N/A</v>
      </c>
    </row>
    <row r="820" spans="12:20">
      <c r="L820" s="57" t="str">
        <f t="shared" si="12"/>
        <v/>
      </c>
      <c r="M820" s="11" t="str">
        <f>IF($F$1,IF($L820="","",IFERROR(VLOOKUP($L820,day_data!$A:$I,2,FALSE),0)),NA())</f>
        <v/>
      </c>
      <c r="N820" s="58" t="e">
        <f>IF($F$2,IF($L820="","",IFERROR(VLOOKUP($L820,day_data!$A:$I,3,FALSE),0)),NA())</f>
        <v>#N/A</v>
      </c>
      <c r="O820" s="11" t="e">
        <f>IF($F$3,IF($L820="","",IFERROR(VLOOKUP($L820,day_data!$A:$I,4,FALSE),0)),NA())</f>
        <v>#N/A</v>
      </c>
      <c r="P820" s="58" t="e">
        <f>IF($F$4,IF($L820="","",IFERROR(VLOOKUP($L820,day_data!$A:$I,5,FALSE),0)),NA())</f>
        <v>#N/A</v>
      </c>
      <c r="Q820" s="59" t="e">
        <f>IF($F$8,IF($L820="","",IFERROR(VLOOKUP($L820,day_data!$A:$I,6,FALSE),0)),NA())</f>
        <v>#N/A</v>
      </c>
      <c r="R820" s="11" t="e">
        <f>IF($F$6,IF($L820="","",IFERROR(VLOOKUP($L820,day_data!$A:$I,7,FALSE),0)),NA())</f>
        <v>#N/A</v>
      </c>
      <c r="S820" s="58" t="str">
        <f>IF($F$5,IF($L820="","",IFERROR(VLOOKUP($L820,day_data!$A:$I,8,FALSE),0)),NA())</f>
        <v/>
      </c>
      <c r="T820" s="60" t="e">
        <f>IF($F$7,IF($L820="","",IFERROR(VLOOKUP($L820,day_data!$A:$I,9,FALSE),0)),NA())</f>
        <v>#N/A</v>
      </c>
    </row>
    <row r="821" spans="12:20">
      <c r="L821" s="57" t="str">
        <f t="shared" si="12"/>
        <v/>
      </c>
      <c r="M821" s="11" t="str">
        <f>IF($F$1,IF($L821="","",IFERROR(VLOOKUP($L821,day_data!$A:$I,2,FALSE),0)),NA())</f>
        <v/>
      </c>
      <c r="N821" s="58" t="e">
        <f>IF($F$2,IF($L821="","",IFERROR(VLOOKUP($L821,day_data!$A:$I,3,FALSE),0)),NA())</f>
        <v>#N/A</v>
      </c>
      <c r="O821" s="11" t="e">
        <f>IF($F$3,IF($L821="","",IFERROR(VLOOKUP($L821,day_data!$A:$I,4,FALSE),0)),NA())</f>
        <v>#N/A</v>
      </c>
      <c r="P821" s="58" t="e">
        <f>IF($F$4,IF($L821="","",IFERROR(VLOOKUP($L821,day_data!$A:$I,5,FALSE),0)),NA())</f>
        <v>#N/A</v>
      </c>
      <c r="Q821" s="59" t="e">
        <f>IF($F$8,IF($L821="","",IFERROR(VLOOKUP($L821,day_data!$A:$I,6,FALSE),0)),NA())</f>
        <v>#N/A</v>
      </c>
      <c r="R821" s="11" t="e">
        <f>IF($F$6,IF($L821="","",IFERROR(VLOOKUP($L821,day_data!$A:$I,7,FALSE),0)),NA())</f>
        <v>#N/A</v>
      </c>
      <c r="S821" s="58" t="str">
        <f>IF($F$5,IF($L821="","",IFERROR(VLOOKUP($L821,day_data!$A:$I,8,FALSE),0)),NA())</f>
        <v/>
      </c>
      <c r="T821" s="60" t="e">
        <f>IF($F$7,IF($L821="","",IFERROR(VLOOKUP($L821,day_data!$A:$I,9,FALSE),0)),NA())</f>
        <v>#N/A</v>
      </c>
    </row>
    <row r="822" spans="12:20">
      <c r="L822" s="57" t="str">
        <f t="shared" si="12"/>
        <v/>
      </c>
      <c r="M822" s="11" t="str">
        <f>IF($F$1,IF($L822="","",IFERROR(VLOOKUP($L822,day_data!$A:$I,2,FALSE),0)),NA())</f>
        <v/>
      </c>
      <c r="N822" s="58" t="e">
        <f>IF($F$2,IF($L822="","",IFERROR(VLOOKUP($L822,day_data!$A:$I,3,FALSE),0)),NA())</f>
        <v>#N/A</v>
      </c>
      <c r="O822" s="11" t="e">
        <f>IF($F$3,IF($L822="","",IFERROR(VLOOKUP($L822,day_data!$A:$I,4,FALSE),0)),NA())</f>
        <v>#N/A</v>
      </c>
      <c r="P822" s="58" t="e">
        <f>IF($F$4,IF($L822="","",IFERROR(VLOOKUP($L822,day_data!$A:$I,5,FALSE),0)),NA())</f>
        <v>#N/A</v>
      </c>
      <c r="Q822" s="59" t="e">
        <f>IF($F$8,IF($L822="","",IFERROR(VLOOKUP($L822,day_data!$A:$I,6,FALSE),0)),NA())</f>
        <v>#N/A</v>
      </c>
      <c r="R822" s="11" t="e">
        <f>IF($F$6,IF($L822="","",IFERROR(VLOOKUP($L822,day_data!$A:$I,7,FALSE),0)),NA())</f>
        <v>#N/A</v>
      </c>
      <c r="S822" s="58" t="str">
        <f>IF($F$5,IF($L822="","",IFERROR(VLOOKUP($L822,day_data!$A:$I,8,FALSE),0)),NA())</f>
        <v/>
      </c>
      <c r="T822" s="60" t="e">
        <f>IF($F$7,IF($L822="","",IFERROR(VLOOKUP($L822,day_data!$A:$I,9,FALSE),0)),NA())</f>
        <v>#N/A</v>
      </c>
    </row>
    <row r="823" spans="12:20">
      <c r="L823" s="57" t="str">
        <f t="shared" si="12"/>
        <v/>
      </c>
      <c r="M823" s="11" t="str">
        <f>IF($F$1,IF($L823="","",IFERROR(VLOOKUP($L823,day_data!$A:$I,2,FALSE),0)),NA())</f>
        <v/>
      </c>
      <c r="N823" s="58" t="e">
        <f>IF($F$2,IF($L823="","",IFERROR(VLOOKUP($L823,day_data!$A:$I,3,FALSE),0)),NA())</f>
        <v>#N/A</v>
      </c>
      <c r="O823" s="11" t="e">
        <f>IF($F$3,IF($L823="","",IFERROR(VLOOKUP($L823,day_data!$A:$I,4,FALSE),0)),NA())</f>
        <v>#N/A</v>
      </c>
      <c r="P823" s="58" t="e">
        <f>IF($F$4,IF($L823="","",IFERROR(VLOOKUP($L823,day_data!$A:$I,5,FALSE),0)),NA())</f>
        <v>#N/A</v>
      </c>
      <c r="Q823" s="59" t="e">
        <f>IF($F$8,IF($L823="","",IFERROR(VLOOKUP($L823,day_data!$A:$I,6,FALSE),0)),NA())</f>
        <v>#N/A</v>
      </c>
      <c r="R823" s="11" t="e">
        <f>IF($F$6,IF($L823="","",IFERROR(VLOOKUP($L823,day_data!$A:$I,7,FALSE),0)),NA())</f>
        <v>#N/A</v>
      </c>
      <c r="S823" s="58" t="str">
        <f>IF($F$5,IF($L823="","",IFERROR(VLOOKUP($L823,day_data!$A:$I,8,FALSE),0)),NA())</f>
        <v/>
      </c>
      <c r="T823" s="60" t="e">
        <f>IF($F$7,IF($L823="","",IFERROR(VLOOKUP($L823,day_data!$A:$I,9,FALSE),0)),NA())</f>
        <v>#N/A</v>
      </c>
    </row>
    <row r="824" spans="12:20">
      <c r="L824" s="57" t="str">
        <f t="shared" si="12"/>
        <v/>
      </c>
      <c r="M824" s="11" t="str">
        <f>IF($F$1,IF($L824="","",IFERROR(VLOOKUP($L824,day_data!$A:$I,2,FALSE),0)),NA())</f>
        <v/>
      </c>
      <c r="N824" s="58" t="e">
        <f>IF($F$2,IF($L824="","",IFERROR(VLOOKUP($L824,day_data!$A:$I,3,FALSE),0)),NA())</f>
        <v>#N/A</v>
      </c>
      <c r="O824" s="11" t="e">
        <f>IF($F$3,IF($L824="","",IFERROR(VLOOKUP($L824,day_data!$A:$I,4,FALSE),0)),NA())</f>
        <v>#N/A</v>
      </c>
      <c r="P824" s="58" t="e">
        <f>IF($F$4,IF($L824="","",IFERROR(VLOOKUP($L824,day_data!$A:$I,5,FALSE),0)),NA())</f>
        <v>#N/A</v>
      </c>
      <c r="Q824" s="59" t="e">
        <f>IF($F$8,IF($L824="","",IFERROR(VLOOKUP($L824,day_data!$A:$I,6,FALSE),0)),NA())</f>
        <v>#N/A</v>
      </c>
      <c r="R824" s="11" t="e">
        <f>IF($F$6,IF($L824="","",IFERROR(VLOOKUP($L824,day_data!$A:$I,7,FALSE),0)),NA())</f>
        <v>#N/A</v>
      </c>
      <c r="S824" s="58" t="str">
        <f>IF($F$5,IF($L824="","",IFERROR(VLOOKUP($L824,day_data!$A:$I,8,FALSE),0)),NA())</f>
        <v/>
      </c>
      <c r="T824" s="60" t="e">
        <f>IF($F$7,IF($L824="","",IFERROR(VLOOKUP($L824,day_data!$A:$I,9,FALSE),0)),NA())</f>
        <v>#N/A</v>
      </c>
    </row>
    <row r="825" spans="12:20">
      <c r="L825" s="57" t="str">
        <f t="shared" si="12"/>
        <v/>
      </c>
      <c r="M825" s="11" t="str">
        <f>IF($F$1,IF($L825="","",IFERROR(VLOOKUP($L825,day_data!$A:$I,2,FALSE),0)),NA())</f>
        <v/>
      </c>
      <c r="N825" s="58" t="e">
        <f>IF($F$2,IF($L825="","",IFERROR(VLOOKUP($L825,day_data!$A:$I,3,FALSE),0)),NA())</f>
        <v>#N/A</v>
      </c>
      <c r="O825" s="11" t="e">
        <f>IF($F$3,IF($L825="","",IFERROR(VLOOKUP($L825,day_data!$A:$I,4,FALSE),0)),NA())</f>
        <v>#N/A</v>
      </c>
      <c r="P825" s="58" t="e">
        <f>IF($F$4,IF($L825="","",IFERROR(VLOOKUP($L825,day_data!$A:$I,5,FALSE),0)),NA())</f>
        <v>#N/A</v>
      </c>
      <c r="Q825" s="59" t="e">
        <f>IF($F$8,IF($L825="","",IFERROR(VLOOKUP($L825,day_data!$A:$I,6,FALSE),0)),NA())</f>
        <v>#N/A</v>
      </c>
      <c r="R825" s="11" t="e">
        <f>IF($F$6,IF($L825="","",IFERROR(VLOOKUP($L825,day_data!$A:$I,7,FALSE),0)),NA())</f>
        <v>#N/A</v>
      </c>
      <c r="S825" s="58" t="str">
        <f>IF($F$5,IF($L825="","",IFERROR(VLOOKUP($L825,day_data!$A:$I,8,FALSE),0)),NA())</f>
        <v/>
      </c>
      <c r="T825" s="60" t="e">
        <f>IF($F$7,IF($L825="","",IFERROR(VLOOKUP($L825,day_data!$A:$I,9,FALSE),0)),NA())</f>
        <v>#N/A</v>
      </c>
    </row>
    <row r="826" spans="12:20">
      <c r="L826" s="57" t="str">
        <f t="shared" si="12"/>
        <v/>
      </c>
      <c r="M826" s="11" t="str">
        <f>IF($F$1,IF($L826="","",IFERROR(VLOOKUP($L826,day_data!$A:$I,2,FALSE),0)),NA())</f>
        <v/>
      </c>
      <c r="N826" s="58" t="e">
        <f>IF($F$2,IF($L826="","",IFERROR(VLOOKUP($L826,day_data!$A:$I,3,FALSE),0)),NA())</f>
        <v>#N/A</v>
      </c>
      <c r="O826" s="11" t="e">
        <f>IF($F$3,IF($L826="","",IFERROR(VLOOKUP($L826,day_data!$A:$I,4,FALSE),0)),NA())</f>
        <v>#N/A</v>
      </c>
      <c r="P826" s="58" t="e">
        <f>IF($F$4,IF($L826="","",IFERROR(VLOOKUP($L826,day_data!$A:$I,5,FALSE),0)),NA())</f>
        <v>#N/A</v>
      </c>
      <c r="Q826" s="59" t="e">
        <f>IF($F$8,IF($L826="","",IFERROR(VLOOKUP($L826,day_data!$A:$I,6,FALSE),0)),NA())</f>
        <v>#N/A</v>
      </c>
      <c r="R826" s="11" t="e">
        <f>IF($F$6,IF($L826="","",IFERROR(VLOOKUP($L826,day_data!$A:$I,7,FALSE),0)),NA())</f>
        <v>#N/A</v>
      </c>
      <c r="S826" s="58" t="str">
        <f>IF($F$5,IF($L826="","",IFERROR(VLOOKUP($L826,day_data!$A:$I,8,FALSE),0)),NA())</f>
        <v/>
      </c>
      <c r="T826" s="60" t="e">
        <f>IF($F$7,IF($L826="","",IFERROR(VLOOKUP($L826,day_data!$A:$I,9,FALSE),0)),NA())</f>
        <v>#N/A</v>
      </c>
    </row>
    <row r="827" spans="12:20">
      <c r="L827" s="57" t="str">
        <f t="shared" si="12"/>
        <v/>
      </c>
      <c r="M827" s="11" t="str">
        <f>IF($F$1,IF($L827="","",IFERROR(VLOOKUP($L827,day_data!$A:$I,2,FALSE),0)),NA())</f>
        <v/>
      </c>
      <c r="N827" s="58" t="e">
        <f>IF($F$2,IF($L827="","",IFERROR(VLOOKUP($L827,day_data!$A:$I,3,FALSE),0)),NA())</f>
        <v>#N/A</v>
      </c>
      <c r="O827" s="11" t="e">
        <f>IF($F$3,IF($L827="","",IFERROR(VLOOKUP($L827,day_data!$A:$I,4,FALSE),0)),NA())</f>
        <v>#N/A</v>
      </c>
      <c r="P827" s="58" t="e">
        <f>IF($F$4,IF($L827="","",IFERROR(VLOOKUP($L827,day_data!$A:$I,5,FALSE),0)),NA())</f>
        <v>#N/A</v>
      </c>
      <c r="Q827" s="59" t="e">
        <f>IF($F$8,IF($L827="","",IFERROR(VLOOKUP($L827,day_data!$A:$I,6,FALSE),0)),NA())</f>
        <v>#N/A</v>
      </c>
      <c r="R827" s="11" t="e">
        <f>IF($F$6,IF($L827="","",IFERROR(VLOOKUP($L827,day_data!$A:$I,7,FALSE),0)),NA())</f>
        <v>#N/A</v>
      </c>
      <c r="S827" s="58" t="str">
        <f>IF($F$5,IF($L827="","",IFERROR(VLOOKUP($L827,day_data!$A:$I,8,FALSE),0)),NA())</f>
        <v/>
      </c>
      <c r="T827" s="60" t="e">
        <f>IF($F$7,IF($L827="","",IFERROR(VLOOKUP($L827,day_data!$A:$I,9,FALSE),0)),NA())</f>
        <v>#N/A</v>
      </c>
    </row>
    <row r="828" spans="12:20">
      <c r="L828" s="57" t="str">
        <f t="shared" si="12"/>
        <v/>
      </c>
      <c r="M828" s="11" t="str">
        <f>IF($F$1,IF($L828="","",IFERROR(VLOOKUP($L828,day_data!$A:$I,2,FALSE),0)),NA())</f>
        <v/>
      </c>
      <c r="N828" s="58" t="e">
        <f>IF($F$2,IF($L828="","",IFERROR(VLOOKUP($L828,day_data!$A:$I,3,FALSE),0)),NA())</f>
        <v>#N/A</v>
      </c>
      <c r="O828" s="11" t="e">
        <f>IF($F$3,IF($L828="","",IFERROR(VLOOKUP($L828,day_data!$A:$I,4,FALSE),0)),NA())</f>
        <v>#N/A</v>
      </c>
      <c r="P828" s="58" t="e">
        <f>IF($F$4,IF($L828="","",IFERROR(VLOOKUP($L828,day_data!$A:$I,5,FALSE),0)),NA())</f>
        <v>#N/A</v>
      </c>
      <c r="Q828" s="59" t="e">
        <f>IF($F$8,IF($L828="","",IFERROR(VLOOKUP($L828,day_data!$A:$I,6,FALSE),0)),NA())</f>
        <v>#N/A</v>
      </c>
      <c r="R828" s="11" t="e">
        <f>IF($F$6,IF($L828="","",IFERROR(VLOOKUP($L828,day_data!$A:$I,7,FALSE),0)),NA())</f>
        <v>#N/A</v>
      </c>
      <c r="S828" s="58" t="str">
        <f>IF($F$5,IF($L828="","",IFERROR(VLOOKUP($L828,day_data!$A:$I,8,FALSE),0)),NA())</f>
        <v/>
      </c>
      <c r="T828" s="60" t="e">
        <f>IF($F$7,IF($L828="","",IFERROR(VLOOKUP($L828,day_data!$A:$I,9,FALSE),0)),NA())</f>
        <v>#N/A</v>
      </c>
    </row>
    <row r="829" spans="12:20">
      <c r="L829" s="57" t="str">
        <f t="shared" si="12"/>
        <v/>
      </c>
      <c r="M829" s="11" t="str">
        <f>IF($F$1,IF($L829="","",IFERROR(VLOOKUP($L829,day_data!$A:$I,2,FALSE),0)),NA())</f>
        <v/>
      </c>
      <c r="N829" s="58" t="e">
        <f>IF($F$2,IF($L829="","",IFERROR(VLOOKUP($L829,day_data!$A:$I,3,FALSE),0)),NA())</f>
        <v>#N/A</v>
      </c>
      <c r="O829" s="11" t="e">
        <f>IF($F$3,IF($L829="","",IFERROR(VLOOKUP($L829,day_data!$A:$I,4,FALSE),0)),NA())</f>
        <v>#N/A</v>
      </c>
      <c r="P829" s="58" t="e">
        <f>IF($F$4,IF($L829="","",IFERROR(VLOOKUP($L829,day_data!$A:$I,5,FALSE),0)),NA())</f>
        <v>#N/A</v>
      </c>
      <c r="Q829" s="59" t="e">
        <f>IF($F$8,IF($L829="","",IFERROR(VLOOKUP($L829,day_data!$A:$I,6,FALSE),0)),NA())</f>
        <v>#N/A</v>
      </c>
      <c r="R829" s="11" t="e">
        <f>IF($F$6,IF($L829="","",IFERROR(VLOOKUP($L829,day_data!$A:$I,7,FALSE),0)),NA())</f>
        <v>#N/A</v>
      </c>
      <c r="S829" s="58" t="str">
        <f>IF($F$5,IF($L829="","",IFERROR(VLOOKUP($L829,day_data!$A:$I,8,FALSE),0)),NA())</f>
        <v/>
      </c>
      <c r="T829" s="60" t="e">
        <f>IF($F$7,IF($L829="","",IFERROR(VLOOKUP($L829,day_data!$A:$I,9,FALSE),0)),NA())</f>
        <v>#N/A</v>
      </c>
    </row>
    <row r="830" spans="12:20">
      <c r="L830" s="57" t="str">
        <f t="shared" si="12"/>
        <v/>
      </c>
      <c r="M830" s="11" t="str">
        <f>IF($F$1,IF($L830="","",IFERROR(VLOOKUP($L830,day_data!$A:$I,2,FALSE),0)),NA())</f>
        <v/>
      </c>
      <c r="N830" s="58" t="e">
        <f>IF($F$2,IF($L830="","",IFERROR(VLOOKUP($L830,day_data!$A:$I,3,FALSE),0)),NA())</f>
        <v>#N/A</v>
      </c>
      <c r="O830" s="11" t="e">
        <f>IF($F$3,IF($L830="","",IFERROR(VLOOKUP($L830,day_data!$A:$I,4,FALSE),0)),NA())</f>
        <v>#N/A</v>
      </c>
      <c r="P830" s="58" t="e">
        <f>IF($F$4,IF($L830="","",IFERROR(VLOOKUP($L830,day_data!$A:$I,5,FALSE),0)),NA())</f>
        <v>#N/A</v>
      </c>
      <c r="Q830" s="59" t="e">
        <f>IF($F$8,IF($L830="","",IFERROR(VLOOKUP($L830,day_data!$A:$I,6,FALSE),0)),NA())</f>
        <v>#N/A</v>
      </c>
      <c r="R830" s="11" t="e">
        <f>IF($F$6,IF($L830="","",IFERROR(VLOOKUP($L830,day_data!$A:$I,7,FALSE),0)),NA())</f>
        <v>#N/A</v>
      </c>
      <c r="S830" s="58" t="str">
        <f>IF($F$5,IF($L830="","",IFERROR(VLOOKUP($L830,day_data!$A:$I,8,FALSE),0)),NA())</f>
        <v/>
      </c>
      <c r="T830" s="60" t="e">
        <f>IF($F$7,IF($L830="","",IFERROR(VLOOKUP($L830,day_data!$A:$I,9,FALSE),0)),NA())</f>
        <v>#N/A</v>
      </c>
    </row>
    <row r="831" spans="12:20">
      <c r="L831" s="57" t="str">
        <f t="shared" si="12"/>
        <v/>
      </c>
      <c r="M831" s="11" t="str">
        <f>IF($F$1,IF($L831="","",IFERROR(VLOOKUP($L831,day_data!$A:$I,2,FALSE),0)),NA())</f>
        <v/>
      </c>
      <c r="N831" s="58" t="e">
        <f>IF($F$2,IF($L831="","",IFERROR(VLOOKUP($L831,day_data!$A:$I,3,FALSE),0)),NA())</f>
        <v>#N/A</v>
      </c>
      <c r="O831" s="11" t="e">
        <f>IF($F$3,IF($L831="","",IFERROR(VLOOKUP($L831,day_data!$A:$I,4,FALSE),0)),NA())</f>
        <v>#N/A</v>
      </c>
      <c r="P831" s="58" t="e">
        <f>IF($F$4,IF($L831="","",IFERROR(VLOOKUP($L831,day_data!$A:$I,5,FALSE),0)),NA())</f>
        <v>#N/A</v>
      </c>
      <c r="Q831" s="59" t="e">
        <f>IF($F$8,IF($L831="","",IFERROR(VLOOKUP($L831,day_data!$A:$I,6,FALSE),0)),NA())</f>
        <v>#N/A</v>
      </c>
      <c r="R831" s="11" t="e">
        <f>IF($F$6,IF($L831="","",IFERROR(VLOOKUP($L831,day_data!$A:$I,7,FALSE),0)),NA())</f>
        <v>#N/A</v>
      </c>
      <c r="S831" s="58" t="str">
        <f>IF($F$5,IF($L831="","",IFERROR(VLOOKUP($L831,day_data!$A:$I,8,FALSE),0)),NA())</f>
        <v/>
      </c>
      <c r="T831" s="60" t="e">
        <f>IF($F$7,IF($L831="","",IFERROR(VLOOKUP($L831,day_data!$A:$I,9,FALSE),0)),NA())</f>
        <v>#N/A</v>
      </c>
    </row>
    <row r="832" spans="12:20">
      <c r="L832" s="57" t="str">
        <f t="shared" si="12"/>
        <v/>
      </c>
      <c r="M832" s="11" t="str">
        <f>IF($F$1,IF($L832="","",IFERROR(VLOOKUP($L832,day_data!$A:$I,2,FALSE),0)),NA())</f>
        <v/>
      </c>
      <c r="N832" s="58" t="e">
        <f>IF($F$2,IF($L832="","",IFERROR(VLOOKUP($L832,day_data!$A:$I,3,FALSE),0)),NA())</f>
        <v>#N/A</v>
      </c>
      <c r="O832" s="11" t="e">
        <f>IF($F$3,IF($L832="","",IFERROR(VLOOKUP($L832,day_data!$A:$I,4,FALSE),0)),NA())</f>
        <v>#N/A</v>
      </c>
      <c r="P832" s="58" t="e">
        <f>IF($F$4,IF($L832="","",IFERROR(VLOOKUP($L832,day_data!$A:$I,5,FALSE),0)),NA())</f>
        <v>#N/A</v>
      </c>
      <c r="Q832" s="59" t="e">
        <f>IF($F$8,IF($L832="","",IFERROR(VLOOKUP($L832,day_data!$A:$I,6,FALSE),0)),NA())</f>
        <v>#N/A</v>
      </c>
      <c r="R832" s="11" t="e">
        <f>IF($F$6,IF($L832="","",IFERROR(VLOOKUP($L832,day_data!$A:$I,7,FALSE),0)),NA())</f>
        <v>#N/A</v>
      </c>
      <c r="S832" s="58" t="str">
        <f>IF($F$5,IF($L832="","",IFERROR(VLOOKUP($L832,day_data!$A:$I,8,FALSE),0)),NA())</f>
        <v/>
      </c>
      <c r="T832" s="60" t="e">
        <f>IF($F$7,IF($L832="","",IFERROR(VLOOKUP($L832,day_data!$A:$I,9,FALSE),0)),NA())</f>
        <v>#N/A</v>
      </c>
    </row>
    <row r="833" spans="12:20">
      <c r="L833" s="57" t="str">
        <f t="shared" si="12"/>
        <v/>
      </c>
      <c r="M833" s="11" t="str">
        <f>IF($F$1,IF($L833="","",IFERROR(VLOOKUP($L833,day_data!$A:$I,2,FALSE),0)),NA())</f>
        <v/>
      </c>
      <c r="N833" s="58" t="e">
        <f>IF($F$2,IF($L833="","",IFERROR(VLOOKUP($L833,day_data!$A:$I,3,FALSE),0)),NA())</f>
        <v>#N/A</v>
      </c>
      <c r="O833" s="11" t="e">
        <f>IF($F$3,IF($L833="","",IFERROR(VLOOKUP($L833,day_data!$A:$I,4,FALSE),0)),NA())</f>
        <v>#N/A</v>
      </c>
      <c r="P833" s="58" t="e">
        <f>IF($F$4,IF($L833="","",IFERROR(VLOOKUP($L833,day_data!$A:$I,5,FALSE),0)),NA())</f>
        <v>#N/A</v>
      </c>
      <c r="Q833" s="59" t="e">
        <f>IF($F$8,IF($L833="","",IFERROR(VLOOKUP($L833,day_data!$A:$I,6,FALSE),0)),NA())</f>
        <v>#N/A</v>
      </c>
      <c r="R833" s="11" t="e">
        <f>IF($F$6,IF($L833="","",IFERROR(VLOOKUP($L833,day_data!$A:$I,7,FALSE),0)),NA())</f>
        <v>#N/A</v>
      </c>
      <c r="S833" s="58" t="str">
        <f>IF($F$5,IF($L833="","",IFERROR(VLOOKUP($L833,day_data!$A:$I,8,FALSE),0)),NA())</f>
        <v/>
      </c>
      <c r="T833" s="60" t="e">
        <f>IF($F$7,IF($L833="","",IFERROR(VLOOKUP($L833,day_data!$A:$I,9,FALSE),0)),NA())</f>
        <v>#N/A</v>
      </c>
    </row>
    <row r="834" spans="12:20">
      <c r="L834" s="57" t="str">
        <f t="shared" si="12"/>
        <v/>
      </c>
      <c r="M834" s="11" t="str">
        <f>IF($F$1,IF($L834="","",IFERROR(VLOOKUP($L834,day_data!$A:$I,2,FALSE),0)),NA())</f>
        <v/>
      </c>
      <c r="N834" s="58" t="e">
        <f>IF($F$2,IF($L834="","",IFERROR(VLOOKUP($L834,day_data!$A:$I,3,FALSE),0)),NA())</f>
        <v>#N/A</v>
      </c>
      <c r="O834" s="11" t="e">
        <f>IF($F$3,IF($L834="","",IFERROR(VLOOKUP($L834,day_data!$A:$I,4,FALSE),0)),NA())</f>
        <v>#N/A</v>
      </c>
      <c r="P834" s="58" t="e">
        <f>IF($F$4,IF($L834="","",IFERROR(VLOOKUP($L834,day_data!$A:$I,5,FALSE),0)),NA())</f>
        <v>#N/A</v>
      </c>
      <c r="Q834" s="59" t="e">
        <f>IF($F$8,IF($L834="","",IFERROR(VLOOKUP($L834,day_data!$A:$I,6,FALSE),0)),NA())</f>
        <v>#N/A</v>
      </c>
      <c r="R834" s="11" t="e">
        <f>IF($F$6,IF($L834="","",IFERROR(VLOOKUP($L834,day_data!$A:$I,7,FALSE),0)),NA())</f>
        <v>#N/A</v>
      </c>
      <c r="S834" s="58" t="str">
        <f>IF($F$5,IF($L834="","",IFERROR(VLOOKUP($L834,day_data!$A:$I,8,FALSE),0)),NA())</f>
        <v/>
      </c>
      <c r="T834" s="60" t="e">
        <f>IF($F$7,IF($L834="","",IFERROR(VLOOKUP($L834,day_data!$A:$I,9,FALSE),0)),NA())</f>
        <v>#N/A</v>
      </c>
    </row>
    <row r="835" spans="12:20">
      <c r="L835" s="57" t="str">
        <f t="shared" si="12"/>
        <v/>
      </c>
      <c r="M835" s="11" t="str">
        <f>IF($F$1,IF($L835="","",IFERROR(VLOOKUP($L835,day_data!$A:$I,2,FALSE),0)),NA())</f>
        <v/>
      </c>
      <c r="N835" s="58" t="e">
        <f>IF($F$2,IF($L835="","",IFERROR(VLOOKUP($L835,day_data!$A:$I,3,FALSE),0)),NA())</f>
        <v>#N/A</v>
      </c>
      <c r="O835" s="11" t="e">
        <f>IF($F$3,IF($L835="","",IFERROR(VLOOKUP($L835,day_data!$A:$I,4,FALSE),0)),NA())</f>
        <v>#N/A</v>
      </c>
      <c r="P835" s="58" t="e">
        <f>IF($F$4,IF($L835="","",IFERROR(VLOOKUP($L835,day_data!$A:$I,5,FALSE),0)),NA())</f>
        <v>#N/A</v>
      </c>
      <c r="Q835" s="59" t="e">
        <f>IF($F$8,IF($L835="","",IFERROR(VLOOKUP($L835,day_data!$A:$I,6,FALSE),0)),NA())</f>
        <v>#N/A</v>
      </c>
      <c r="R835" s="11" t="e">
        <f>IF($F$6,IF($L835="","",IFERROR(VLOOKUP($L835,day_data!$A:$I,7,FALSE),0)),NA())</f>
        <v>#N/A</v>
      </c>
      <c r="S835" s="58" t="str">
        <f>IF($F$5,IF($L835="","",IFERROR(VLOOKUP($L835,day_data!$A:$I,8,FALSE),0)),NA())</f>
        <v/>
      </c>
      <c r="T835" s="60" t="e">
        <f>IF($F$7,IF($L835="","",IFERROR(VLOOKUP($L835,day_data!$A:$I,9,FALSE),0)),NA())</f>
        <v>#N/A</v>
      </c>
    </row>
    <row r="836" spans="12:20">
      <c r="L836" s="57" t="str">
        <f t="shared" ref="L836:L899" si="13">IF(ROW(L836)-1&gt;$C$1,"",L835+1)</f>
        <v/>
      </c>
      <c r="M836" s="11" t="str">
        <f>IF($F$1,IF($L836="","",IFERROR(VLOOKUP($L836,day_data!$A:$I,2,FALSE),0)),NA())</f>
        <v/>
      </c>
      <c r="N836" s="58" t="e">
        <f>IF($F$2,IF($L836="","",IFERROR(VLOOKUP($L836,day_data!$A:$I,3,FALSE),0)),NA())</f>
        <v>#N/A</v>
      </c>
      <c r="O836" s="11" t="e">
        <f>IF($F$3,IF($L836="","",IFERROR(VLOOKUP($L836,day_data!$A:$I,4,FALSE),0)),NA())</f>
        <v>#N/A</v>
      </c>
      <c r="P836" s="58" t="e">
        <f>IF($F$4,IF($L836="","",IFERROR(VLOOKUP($L836,day_data!$A:$I,5,FALSE),0)),NA())</f>
        <v>#N/A</v>
      </c>
      <c r="Q836" s="59" t="e">
        <f>IF($F$8,IF($L836="","",IFERROR(VLOOKUP($L836,day_data!$A:$I,6,FALSE),0)),NA())</f>
        <v>#N/A</v>
      </c>
      <c r="R836" s="11" t="e">
        <f>IF($F$6,IF($L836="","",IFERROR(VLOOKUP($L836,day_data!$A:$I,7,FALSE),0)),NA())</f>
        <v>#N/A</v>
      </c>
      <c r="S836" s="58" t="str">
        <f>IF($F$5,IF($L836="","",IFERROR(VLOOKUP($L836,day_data!$A:$I,8,FALSE),0)),NA())</f>
        <v/>
      </c>
      <c r="T836" s="60" t="e">
        <f>IF($F$7,IF($L836="","",IFERROR(VLOOKUP($L836,day_data!$A:$I,9,FALSE),0)),NA())</f>
        <v>#N/A</v>
      </c>
    </row>
    <row r="837" spans="12:20">
      <c r="L837" s="57" t="str">
        <f t="shared" si="13"/>
        <v/>
      </c>
      <c r="M837" s="11" t="str">
        <f>IF($F$1,IF($L837="","",IFERROR(VLOOKUP($L837,day_data!$A:$I,2,FALSE),0)),NA())</f>
        <v/>
      </c>
      <c r="N837" s="58" t="e">
        <f>IF($F$2,IF($L837="","",IFERROR(VLOOKUP($L837,day_data!$A:$I,3,FALSE),0)),NA())</f>
        <v>#N/A</v>
      </c>
      <c r="O837" s="11" t="e">
        <f>IF($F$3,IF($L837="","",IFERROR(VLOOKUP($L837,day_data!$A:$I,4,FALSE),0)),NA())</f>
        <v>#N/A</v>
      </c>
      <c r="P837" s="58" t="e">
        <f>IF($F$4,IF($L837="","",IFERROR(VLOOKUP($L837,day_data!$A:$I,5,FALSE),0)),NA())</f>
        <v>#N/A</v>
      </c>
      <c r="Q837" s="59" t="e">
        <f>IF($F$8,IF($L837="","",IFERROR(VLOOKUP($L837,day_data!$A:$I,6,FALSE),0)),NA())</f>
        <v>#N/A</v>
      </c>
      <c r="R837" s="11" t="e">
        <f>IF($F$6,IF($L837="","",IFERROR(VLOOKUP($L837,day_data!$A:$I,7,FALSE),0)),NA())</f>
        <v>#N/A</v>
      </c>
      <c r="S837" s="58" t="str">
        <f>IF($F$5,IF($L837="","",IFERROR(VLOOKUP($L837,day_data!$A:$I,8,FALSE),0)),NA())</f>
        <v/>
      </c>
      <c r="T837" s="60" t="e">
        <f>IF($F$7,IF($L837="","",IFERROR(VLOOKUP($L837,day_data!$A:$I,9,FALSE),0)),NA())</f>
        <v>#N/A</v>
      </c>
    </row>
    <row r="838" spans="12:20">
      <c r="L838" s="57" t="str">
        <f t="shared" si="13"/>
        <v/>
      </c>
      <c r="M838" s="11" t="str">
        <f>IF($F$1,IF($L838="","",IFERROR(VLOOKUP($L838,day_data!$A:$I,2,FALSE),0)),NA())</f>
        <v/>
      </c>
      <c r="N838" s="58" t="e">
        <f>IF($F$2,IF($L838="","",IFERROR(VLOOKUP($L838,day_data!$A:$I,3,FALSE),0)),NA())</f>
        <v>#N/A</v>
      </c>
      <c r="O838" s="11" t="e">
        <f>IF($F$3,IF($L838="","",IFERROR(VLOOKUP($L838,day_data!$A:$I,4,FALSE),0)),NA())</f>
        <v>#N/A</v>
      </c>
      <c r="P838" s="58" t="e">
        <f>IF($F$4,IF($L838="","",IFERROR(VLOOKUP($L838,day_data!$A:$I,5,FALSE),0)),NA())</f>
        <v>#N/A</v>
      </c>
      <c r="Q838" s="59" t="e">
        <f>IF($F$8,IF($L838="","",IFERROR(VLOOKUP($L838,day_data!$A:$I,6,FALSE),0)),NA())</f>
        <v>#N/A</v>
      </c>
      <c r="R838" s="11" t="e">
        <f>IF($F$6,IF($L838="","",IFERROR(VLOOKUP($L838,day_data!$A:$I,7,FALSE),0)),NA())</f>
        <v>#N/A</v>
      </c>
      <c r="S838" s="58" t="str">
        <f>IF($F$5,IF($L838="","",IFERROR(VLOOKUP($L838,day_data!$A:$I,8,FALSE),0)),NA())</f>
        <v/>
      </c>
      <c r="T838" s="60" t="e">
        <f>IF($F$7,IF($L838="","",IFERROR(VLOOKUP($L838,day_data!$A:$I,9,FALSE),0)),NA())</f>
        <v>#N/A</v>
      </c>
    </row>
    <row r="839" spans="12:20">
      <c r="L839" s="57" t="str">
        <f t="shared" si="13"/>
        <v/>
      </c>
      <c r="M839" s="11" t="str">
        <f>IF($F$1,IF($L839="","",IFERROR(VLOOKUP($L839,day_data!$A:$I,2,FALSE),0)),NA())</f>
        <v/>
      </c>
      <c r="N839" s="58" t="e">
        <f>IF($F$2,IF($L839="","",IFERROR(VLOOKUP($L839,day_data!$A:$I,3,FALSE),0)),NA())</f>
        <v>#N/A</v>
      </c>
      <c r="O839" s="11" t="e">
        <f>IF($F$3,IF($L839="","",IFERROR(VLOOKUP($L839,day_data!$A:$I,4,FALSE),0)),NA())</f>
        <v>#N/A</v>
      </c>
      <c r="P839" s="58" t="e">
        <f>IF($F$4,IF($L839="","",IFERROR(VLOOKUP($L839,day_data!$A:$I,5,FALSE),0)),NA())</f>
        <v>#N/A</v>
      </c>
      <c r="Q839" s="59" t="e">
        <f>IF($F$8,IF($L839="","",IFERROR(VLOOKUP($L839,day_data!$A:$I,6,FALSE),0)),NA())</f>
        <v>#N/A</v>
      </c>
      <c r="R839" s="11" t="e">
        <f>IF($F$6,IF($L839="","",IFERROR(VLOOKUP($L839,day_data!$A:$I,7,FALSE),0)),NA())</f>
        <v>#N/A</v>
      </c>
      <c r="S839" s="58" t="str">
        <f>IF($F$5,IF($L839="","",IFERROR(VLOOKUP($L839,day_data!$A:$I,8,FALSE),0)),NA())</f>
        <v/>
      </c>
      <c r="T839" s="60" t="e">
        <f>IF($F$7,IF($L839="","",IFERROR(VLOOKUP($L839,day_data!$A:$I,9,FALSE),0)),NA())</f>
        <v>#N/A</v>
      </c>
    </row>
    <row r="840" spans="12:20">
      <c r="L840" s="57" t="str">
        <f t="shared" si="13"/>
        <v/>
      </c>
      <c r="M840" s="11" t="str">
        <f>IF($F$1,IF($L840="","",IFERROR(VLOOKUP($L840,day_data!$A:$I,2,FALSE),0)),NA())</f>
        <v/>
      </c>
      <c r="N840" s="58" t="e">
        <f>IF($F$2,IF($L840="","",IFERROR(VLOOKUP($L840,day_data!$A:$I,3,FALSE),0)),NA())</f>
        <v>#N/A</v>
      </c>
      <c r="O840" s="11" t="e">
        <f>IF($F$3,IF($L840="","",IFERROR(VLOOKUP($L840,day_data!$A:$I,4,FALSE),0)),NA())</f>
        <v>#N/A</v>
      </c>
      <c r="P840" s="58" t="e">
        <f>IF($F$4,IF($L840="","",IFERROR(VLOOKUP($L840,day_data!$A:$I,5,FALSE),0)),NA())</f>
        <v>#N/A</v>
      </c>
      <c r="Q840" s="59" t="e">
        <f>IF($F$8,IF($L840="","",IFERROR(VLOOKUP($L840,day_data!$A:$I,6,FALSE),0)),NA())</f>
        <v>#N/A</v>
      </c>
      <c r="R840" s="11" t="e">
        <f>IF($F$6,IF($L840="","",IFERROR(VLOOKUP($L840,day_data!$A:$I,7,FALSE),0)),NA())</f>
        <v>#N/A</v>
      </c>
      <c r="S840" s="58" t="str">
        <f>IF($F$5,IF($L840="","",IFERROR(VLOOKUP($L840,day_data!$A:$I,8,FALSE),0)),NA())</f>
        <v/>
      </c>
      <c r="T840" s="60" t="e">
        <f>IF($F$7,IF($L840="","",IFERROR(VLOOKUP($L840,day_data!$A:$I,9,FALSE),0)),NA())</f>
        <v>#N/A</v>
      </c>
    </row>
    <row r="841" spans="12:20">
      <c r="L841" s="57" t="str">
        <f t="shared" si="13"/>
        <v/>
      </c>
      <c r="M841" s="11" t="str">
        <f>IF($F$1,IF($L841="","",IFERROR(VLOOKUP($L841,day_data!$A:$I,2,FALSE),0)),NA())</f>
        <v/>
      </c>
      <c r="N841" s="58" t="e">
        <f>IF($F$2,IF($L841="","",IFERROR(VLOOKUP($L841,day_data!$A:$I,3,FALSE),0)),NA())</f>
        <v>#N/A</v>
      </c>
      <c r="O841" s="11" t="e">
        <f>IF($F$3,IF($L841="","",IFERROR(VLOOKUP($L841,day_data!$A:$I,4,FALSE),0)),NA())</f>
        <v>#N/A</v>
      </c>
      <c r="P841" s="58" t="e">
        <f>IF($F$4,IF($L841="","",IFERROR(VLOOKUP($L841,day_data!$A:$I,5,FALSE),0)),NA())</f>
        <v>#N/A</v>
      </c>
      <c r="Q841" s="59" t="e">
        <f>IF($F$8,IF($L841="","",IFERROR(VLOOKUP($L841,day_data!$A:$I,6,FALSE),0)),NA())</f>
        <v>#N/A</v>
      </c>
      <c r="R841" s="11" t="e">
        <f>IF($F$6,IF($L841="","",IFERROR(VLOOKUP($L841,day_data!$A:$I,7,FALSE),0)),NA())</f>
        <v>#N/A</v>
      </c>
      <c r="S841" s="58" t="str">
        <f>IF($F$5,IF($L841="","",IFERROR(VLOOKUP($L841,day_data!$A:$I,8,FALSE),0)),NA())</f>
        <v/>
      </c>
      <c r="T841" s="60" t="e">
        <f>IF($F$7,IF($L841="","",IFERROR(VLOOKUP($L841,day_data!$A:$I,9,FALSE),0)),NA())</f>
        <v>#N/A</v>
      </c>
    </row>
    <row r="842" spans="12:20">
      <c r="L842" s="57" t="str">
        <f t="shared" si="13"/>
        <v/>
      </c>
      <c r="M842" s="11" t="str">
        <f>IF($F$1,IF($L842="","",IFERROR(VLOOKUP($L842,day_data!$A:$I,2,FALSE),0)),NA())</f>
        <v/>
      </c>
      <c r="N842" s="58" t="e">
        <f>IF($F$2,IF($L842="","",IFERROR(VLOOKUP($L842,day_data!$A:$I,3,FALSE),0)),NA())</f>
        <v>#N/A</v>
      </c>
      <c r="O842" s="11" t="e">
        <f>IF($F$3,IF($L842="","",IFERROR(VLOOKUP($L842,day_data!$A:$I,4,FALSE),0)),NA())</f>
        <v>#N/A</v>
      </c>
      <c r="P842" s="58" t="e">
        <f>IF($F$4,IF($L842="","",IFERROR(VLOOKUP($L842,day_data!$A:$I,5,FALSE),0)),NA())</f>
        <v>#N/A</v>
      </c>
      <c r="Q842" s="59" t="e">
        <f>IF($F$8,IF($L842="","",IFERROR(VLOOKUP($L842,day_data!$A:$I,6,FALSE),0)),NA())</f>
        <v>#N/A</v>
      </c>
      <c r="R842" s="11" t="e">
        <f>IF($F$6,IF($L842="","",IFERROR(VLOOKUP($L842,day_data!$A:$I,7,FALSE),0)),NA())</f>
        <v>#N/A</v>
      </c>
      <c r="S842" s="58" t="str">
        <f>IF($F$5,IF($L842="","",IFERROR(VLOOKUP($L842,day_data!$A:$I,8,FALSE),0)),NA())</f>
        <v/>
      </c>
      <c r="T842" s="60" t="e">
        <f>IF($F$7,IF($L842="","",IFERROR(VLOOKUP($L842,day_data!$A:$I,9,FALSE),0)),NA())</f>
        <v>#N/A</v>
      </c>
    </row>
    <row r="843" spans="12:20">
      <c r="L843" s="57" t="str">
        <f t="shared" si="13"/>
        <v/>
      </c>
      <c r="M843" s="11" t="str">
        <f>IF($F$1,IF($L843="","",IFERROR(VLOOKUP($L843,day_data!$A:$I,2,FALSE),0)),NA())</f>
        <v/>
      </c>
      <c r="N843" s="58" t="e">
        <f>IF($F$2,IF($L843="","",IFERROR(VLOOKUP($L843,day_data!$A:$I,3,FALSE),0)),NA())</f>
        <v>#N/A</v>
      </c>
      <c r="O843" s="11" t="e">
        <f>IF($F$3,IF($L843="","",IFERROR(VLOOKUP($L843,day_data!$A:$I,4,FALSE),0)),NA())</f>
        <v>#N/A</v>
      </c>
      <c r="P843" s="58" t="e">
        <f>IF($F$4,IF($L843="","",IFERROR(VLOOKUP($L843,day_data!$A:$I,5,FALSE),0)),NA())</f>
        <v>#N/A</v>
      </c>
      <c r="Q843" s="59" t="e">
        <f>IF($F$8,IF($L843="","",IFERROR(VLOOKUP($L843,day_data!$A:$I,6,FALSE),0)),NA())</f>
        <v>#N/A</v>
      </c>
      <c r="R843" s="11" t="e">
        <f>IF($F$6,IF($L843="","",IFERROR(VLOOKUP($L843,day_data!$A:$I,7,FALSE),0)),NA())</f>
        <v>#N/A</v>
      </c>
      <c r="S843" s="58" t="str">
        <f>IF($F$5,IF($L843="","",IFERROR(VLOOKUP($L843,day_data!$A:$I,8,FALSE),0)),NA())</f>
        <v/>
      </c>
      <c r="T843" s="60" t="e">
        <f>IF($F$7,IF($L843="","",IFERROR(VLOOKUP($L843,day_data!$A:$I,9,FALSE),0)),NA())</f>
        <v>#N/A</v>
      </c>
    </row>
    <row r="844" spans="12:20">
      <c r="L844" s="57" t="str">
        <f t="shared" si="13"/>
        <v/>
      </c>
      <c r="M844" s="11" t="str">
        <f>IF($F$1,IF($L844="","",IFERROR(VLOOKUP($L844,day_data!$A:$I,2,FALSE),0)),NA())</f>
        <v/>
      </c>
      <c r="N844" s="58" t="e">
        <f>IF($F$2,IF($L844="","",IFERROR(VLOOKUP($L844,day_data!$A:$I,3,FALSE),0)),NA())</f>
        <v>#N/A</v>
      </c>
      <c r="O844" s="11" t="e">
        <f>IF($F$3,IF($L844="","",IFERROR(VLOOKUP($L844,day_data!$A:$I,4,FALSE),0)),NA())</f>
        <v>#N/A</v>
      </c>
      <c r="P844" s="58" t="e">
        <f>IF($F$4,IF($L844="","",IFERROR(VLOOKUP($L844,day_data!$A:$I,5,FALSE),0)),NA())</f>
        <v>#N/A</v>
      </c>
      <c r="Q844" s="59" t="e">
        <f>IF($F$8,IF($L844="","",IFERROR(VLOOKUP($L844,day_data!$A:$I,6,FALSE),0)),NA())</f>
        <v>#N/A</v>
      </c>
      <c r="R844" s="11" t="e">
        <f>IF($F$6,IF($L844="","",IFERROR(VLOOKUP($L844,day_data!$A:$I,7,FALSE),0)),NA())</f>
        <v>#N/A</v>
      </c>
      <c r="S844" s="58" t="str">
        <f>IF($F$5,IF($L844="","",IFERROR(VLOOKUP($L844,day_data!$A:$I,8,FALSE),0)),NA())</f>
        <v/>
      </c>
      <c r="T844" s="60" t="e">
        <f>IF($F$7,IF($L844="","",IFERROR(VLOOKUP($L844,day_data!$A:$I,9,FALSE),0)),NA())</f>
        <v>#N/A</v>
      </c>
    </row>
    <row r="845" spans="12:20">
      <c r="L845" s="57" t="str">
        <f t="shared" si="13"/>
        <v/>
      </c>
      <c r="M845" s="11" t="str">
        <f>IF($F$1,IF($L845="","",IFERROR(VLOOKUP($L845,day_data!$A:$I,2,FALSE),0)),NA())</f>
        <v/>
      </c>
      <c r="N845" s="58" t="e">
        <f>IF($F$2,IF($L845="","",IFERROR(VLOOKUP($L845,day_data!$A:$I,3,FALSE),0)),NA())</f>
        <v>#N/A</v>
      </c>
      <c r="O845" s="11" t="e">
        <f>IF($F$3,IF($L845="","",IFERROR(VLOOKUP($L845,day_data!$A:$I,4,FALSE),0)),NA())</f>
        <v>#N/A</v>
      </c>
      <c r="P845" s="58" t="e">
        <f>IF($F$4,IF($L845="","",IFERROR(VLOOKUP($L845,day_data!$A:$I,5,FALSE),0)),NA())</f>
        <v>#N/A</v>
      </c>
      <c r="Q845" s="59" t="e">
        <f>IF($F$8,IF($L845="","",IFERROR(VLOOKUP($L845,day_data!$A:$I,6,FALSE),0)),NA())</f>
        <v>#N/A</v>
      </c>
      <c r="R845" s="11" t="e">
        <f>IF($F$6,IF($L845="","",IFERROR(VLOOKUP($L845,day_data!$A:$I,7,FALSE),0)),NA())</f>
        <v>#N/A</v>
      </c>
      <c r="S845" s="58" t="str">
        <f>IF($F$5,IF($L845="","",IFERROR(VLOOKUP($L845,day_data!$A:$I,8,FALSE),0)),NA())</f>
        <v/>
      </c>
      <c r="T845" s="60" t="e">
        <f>IF($F$7,IF($L845="","",IFERROR(VLOOKUP($L845,day_data!$A:$I,9,FALSE),0)),NA())</f>
        <v>#N/A</v>
      </c>
    </row>
    <row r="846" spans="12:20">
      <c r="L846" s="57" t="str">
        <f t="shared" si="13"/>
        <v/>
      </c>
      <c r="M846" s="11" t="str">
        <f>IF($F$1,IF($L846="","",IFERROR(VLOOKUP($L846,day_data!$A:$I,2,FALSE),0)),NA())</f>
        <v/>
      </c>
      <c r="N846" s="58" t="e">
        <f>IF($F$2,IF($L846="","",IFERROR(VLOOKUP($L846,day_data!$A:$I,3,FALSE),0)),NA())</f>
        <v>#N/A</v>
      </c>
      <c r="O846" s="11" t="e">
        <f>IF($F$3,IF($L846="","",IFERROR(VLOOKUP($L846,day_data!$A:$I,4,FALSE),0)),NA())</f>
        <v>#N/A</v>
      </c>
      <c r="P846" s="58" t="e">
        <f>IF($F$4,IF($L846="","",IFERROR(VLOOKUP($L846,day_data!$A:$I,5,FALSE),0)),NA())</f>
        <v>#N/A</v>
      </c>
      <c r="Q846" s="59" t="e">
        <f>IF($F$8,IF($L846="","",IFERROR(VLOOKUP($L846,day_data!$A:$I,6,FALSE),0)),NA())</f>
        <v>#N/A</v>
      </c>
      <c r="R846" s="11" t="e">
        <f>IF($F$6,IF($L846="","",IFERROR(VLOOKUP($L846,day_data!$A:$I,7,FALSE),0)),NA())</f>
        <v>#N/A</v>
      </c>
      <c r="S846" s="58" t="str">
        <f>IF($F$5,IF($L846="","",IFERROR(VLOOKUP($L846,day_data!$A:$I,8,FALSE),0)),NA())</f>
        <v/>
      </c>
      <c r="T846" s="60" t="e">
        <f>IF($F$7,IF($L846="","",IFERROR(VLOOKUP($L846,day_data!$A:$I,9,FALSE),0)),NA())</f>
        <v>#N/A</v>
      </c>
    </row>
    <row r="847" spans="12:20">
      <c r="L847" s="57" t="str">
        <f t="shared" si="13"/>
        <v/>
      </c>
      <c r="M847" s="11" t="str">
        <f>IF($F$1,IF($L847="","",IFERROR(VLOOKUP($L847,day_data!$A:$I,2,FALSE),0)),NA())</f>
        <v/>
      </c>
      <c r="N847" s="58" t="e">
        <f>IF($F$2,IF($L847="","",IFERROR(VLOOKUP($L847,day_data!$A:$I,3,FALSE),0)),NA())</f>
        <v>#N/A</v>
      </c>
      <c r="O847" s="11" t="e">
        <f>IF($F$3,IF($L847="","",IFERROR(VLOOKUP($L847,day_data!$A:$I,4,FALSE),0)),NA())</f>
        <v>#N/A</v>
      </c>
      <c r="P847" s="58" t="e">
        <f>IF($F$4,IF($L847="","",IFERROR(VLOOKUP($L847,day_data!$A:$I,5,FALSE),0)),NA())</f>
        <v>#N/A</v>
      </c>
      <c r="Q847" s="59" t="e">
        <f>IF($F$8,IF($L847="","",IFERROR(VLOOKUP($L847,day_data!$A:$I,6,FALSE),0)),NA())</f>
        <v>#N/A</v>
      </c>
      <c r="R847" s="11" t="e">
        <f>IF($F$6,IF($L847="","",IFERROR(VLOOKUP($L847,day_data!$A:$I,7,FALSE),0)),NA())</f>
        <v>#N/A</v>
      </c>
      <c r="S847" s="58" t="str">
        <f>IF($F$5,IF($L847="","",IFERROR(VLOOKUP($L847,day_data!$A:$I,8,FALSE),0)),NA())</f>
        <v/>
      </c>
      <c r="T847" s="60" t="e">
        <f>IF($F$7,IF($L847="","",IFERROR(VLOOKUP($L847,day_data!$A:$I,9,FALSE),0)),NA())</f>
        <v>#N/A</v>
      </c>
    </row>
    <row r="848" spans="12:20">
      <c r="L848" s="57" t="str">
        <f t="shared" si="13"/>
        <v/>
      </c>
      <c r="M848" s="11" t="str">
        <f>IF($F$1,IF($L848="","",IFERROR(VLOOKUP($L848,day_data!$A:$I,2,FALSE),0)),NA())</f>
        <v/>
      </c>
      <c r="N848" s="58" t="e">
        <f>IF($F$2,IF($L848="","",IFERROR(VLOOKUP($L848,day_data!$A:$I,3,FALSE),0)),NA())</f>
        <v>#N/A</v>
      </c>
      <c r="O848" s="11" t="e">
        <f>IF($F$3,IF($L848="","",IFERROR(VLOOKUP($L848,day_data!$A:$I,4,FALSE),0)),NA())</f>
        <v>#N/A</v>
      </c>
      <c r="P848" s="58" t="e">
        <f>IF($F$4,IF($L848="","",IFERROR(VLOOKUP($L848,day_data!$A:$I,5,FALSE),0)),NA())</f>
        <v>#N/A</v>
      </c>
      <c r="Q848" s="59" t="e">
        <f>IF($F$8,IF($L848="","",IFERROR(VLOOKUP($L848,day_data!$A:$I,6,FALSE),0)),NA())</f>
        <v>#N/A</v>
      </c>
      <c r="R848" s="11" t="e">
        <f>IF($F$6,IF($L848="","",IFERROR(VLOOKUP($L848,day_data!$A:$I,7,FALSE),0)),NA())</f>
        <v>#N/A</v>
      </c>
      <c r="S848" s="58" t="str">
        <f>IF($F$5,IF($L848="","",IFERROR(VLOOKUP($L848,day_data!$A:$I,8,FALSE),0)),NA())</f>
        <v/>
      </c>
      <c r="T848" s="60" t="e">
        <f>IF($F$7,IF($L848="","",IFERROR(VLOOKUP($L848,day_data!$A:$I,9,FALSE),0)),NA())</f>
        <v>#N/A</v>
      </c>
    </row>
    <row r="849" spans="12:20">
      <c r="L849" s="57" t="str">
        <f t="shared" si="13"/>
        <v/>
      </c>
      <c r="M849" s="11" t="str">
        <f>IF($F$1,IF($L849="","",IFERROR(VLOOKUP($L849,day_data!$A:$I,2,FALSE),0)),NA())</f>
        <v/>
      </c>
      <c r="N849" s="58" t="e">
        <f>IF($F$2,IF($L849="","",IFERROR(VLOOKUP($L849,day_data!$A:$I,3,FALSE),0)),NA())</f>
        <v>#N/A</v>
      </c>
      <c r="O849" s="11" t="e">
        <f>IF($F$3,IF($L849="","",IFERROR(VLOOKUP($L849,day_data!$A:$I,4,FALSE),0)),NA())</f>
        <v>#N/A</v>
      </c>
      <c r="P849" s="58" t="e">
        <f>IF($F$4,IF($L849="","",IFERROR(VLOOKUP($L849,day_data!$A:$I,5,FALSE),0)),NA())</f>
        <v>#N/A</v>
      </c>
      <c r="Q849" s="59" t="e">
        <f>IF($F$8,IF($L849="","",IFERROR(VLOOKUP($L849,day_data!$A:$I,6,FALSE),0)),NA())</f>
        <v>#N/A</v>
      </c>
      <c r="R849" s="11" t="e">
        <f>IF($F$6,IF($L849="","",IFERROR(VLOOKUP($L849,day_data!$A:$I,7,FALSE),0)),NA())</f>
        <v>#N/A</v>
      </c>
      <c r="S849" s="58" t="str">
        <f>IF($F$5,IF($L849="","",IFERROR(VLOOKUP($L849,day_data!$A:$I,8,FALSE),0)),NA())</f>
        <v/>
      </c>
      <c r="T849" s="60" t="e">
        <f>IF($F$7,IF($L849="","",IFERROR(VLOOKUP($L849,day_data!$A:$I,9,FALSE),0)),NA())</f>
        <v>#N/A</v>
      </c>
    </row>
    <row r="850" spans="12:20">
      <c r="L850" s="57" t="str">
        <f t="shared" si="13"/>
        <v/>
      </c>
      <c r="M850" s="11" t="str">
        <f>IF($F$1,IF($L850="","",IFERROR(VLOOKUP($L850,day_data!$A:$I,2,FALSE),0)),NA())</f>
        <v/>
      </c>
      <c r="N850" s="58" t="e">
        <f>IF($F$2,IF($L850="","",IFERROR(VLOOKUP($L850,day_data!$A:$I,3,FALSE),0)),NA())</f>
        <v>#N/A</v>
      </c>
      <c r="O850" s="11" t="e">
        <f>IF($F$3,IF($L850="","",IFERROR(VLOOKUP($L850,day_data!$A:$I,4,FALSE),0)),NA())</f>
        <v>#N/A</v>
      </c>
      <c r="P850" s="58" t="e">
        <f>IF($F$4,IF($L850="","",IFERROR(VLOOKUP($L850,day_data!$A:$I,5,FALSE),0)),NA())</f>
        <v>#N/A</v>
      </c>
      <c r="Q850" s="59" t="e">
        <f>IF($F$8,IF($L850="","",IFERROR(VLOOKUP($L850,day_data!$A:$I,6,FALSE),0)),NA())</f>
        <v>#N/A</v>
      </c>
      <c r="R850" s="11" t="e">
        <f>IF($F$6,IF($L850="","",IFERROR(VLOOKUP($L850,day_data!$A:$I,7,FALSE),0)),NA())</f>
        <v>#N/A</v>
      </c>
      <c r="S850" s="58" t="str">
        <f>IF($F$5,IF($L850="","",IFERROR(VLOOKUP($L850,day_data!$A:$I,8,FALSE),0)),NA())</f>
        <v/>
      </c>
      <c r="T850" s="60" t="e">
        <f>IF($F$7,IF($L850="","",IFERROR(VLOOKUP($L850,day_data!$A:$I,9,FALSE),0)),NA())</f>
        <v>#N/A</v>
      </c>
    </row>
    <row r="851" spans="12:20">
      <c r="L851" s="57" t="str">
        <f t="shared" si="13"/>
        <v/>
      </c>
      <c r="M851" s="11" t="str">
        <f>IF($F$1,IF($L851="","",IFERROR(VLOOKUP($L851,day_data!$A:$I,2,FALSE),0)),NA())</f>
        <v/>
      </c>
      <c r="N851" s="58" t="e">
        <f>IF($F$2,IF($L851="","",IFERROR(VLOOKUP($L851,day_data!$A:$I,3,FALSE),0)),NA())</f>
        <v>#N/A</v>
      </c>
      <c r="O851" s="11" t="e">
        <f>IF($F$3,IF($L851="","",IFERROR(VLOOKUP($L851,day_data!$A:$I,4,FALSE),0)),NA())</f>
        <v>#N/A</v>
      </c>
      <c r="P851" s="58" t="e">
        <f>IF($F$4,IF($L851="","",IFERROR(VLOOKUP($L851,day_data!$A:$I,5,FALSE),0)),NA())</f>
        <v>#N/A</v>
      </c>
      <c r="Q851" s="59" t="e">
        <f>IF($F$8,IF($L851="","",IFERROR(VLOOKUP($L851,day_data!$A:$I,6,FALSE),0)),NA())</f>
        <v>#N/A</v>
      </c>
      <c r="R851" s="11" t="e">
        <f>IF($F$6,IF($L851="","",IFERROR(VLOOKUP($L851,day_data!$A:$I,7,FALSE),0)),NA())</f>
        <v>#N/A</v>
      </c>
      <c r="S851" s="58" t="str">
        <f>IF($F$5,IF($L851="","",IFERROR(VLOOKUP($L851,day_data!$A:$I,8,FALSE),0)),NA())</f>
        <v/>
      </c>
      <c r="T851" s="60" t="e">
        <f>IF($F$7,IF($L851="","",IFERROR(VLOOKUP($L851,day_data!$A:$I,9,FALSE),0)),NA())</f>
        <v>#N/A</v>
      </c>
    </row>
    <row r="852" spans="12:20">
      <c r="L852" s="57" t="str">
        <f t="shared" si="13"/>
        <v/>
      </c>
      <c r="M852" s="11" t="str">
        <f>IF($F$1,IF($L852="","",IFERROR(VLOOKUP($L852,day_data!$A:$I,2,FALSE),0)),NA())</f>
        <v/>
      </c>
      <c r="N852" s="58" t="e">
        <f>IF($F$2,IF($L852="","",IFERROR(VLOOKUP($L852,day_data!$A:$I,3,FALSE),0)),NA())</f>
        <v>#N/A</v>
      </c>
      <c r="O852" s="11" t="e">
        <f>IF($F$3,IF($L852="","",IFERROR(VLOOKUP($L852,day_data!$A:$I,4,FALSE),0)),NA())</f>
        <v>#N/A</v>
      </c>
      <c r="P852" s="58" t="e">
        <f>IF($F$4,IF($L852="","",IFERROR(VLOOKUP($L852,day_data!$A:$I,5,FALSE),0)),NA())</f>
        <v>#N/A</v>
      </c>
      <c r="Q852" s="59" t="e">
        <f>IF($F$8,IF($L852="","",IFERROR(VLOOKUP($L852,day_data!$A:$I,6,FALSE),0)),NA())</f>
        <v>#N/A</v>
      </c>
      <c r="R852" s="11" t="e">
        <f>IF($F$6,IF($L852="","",IFERROR(VLOOKUP($L852,day_data!$A:$I,7,FALSE),0)),NA())</f>
        <v>#N/A</v>
      </c>
      <c r="S852" s="58" t="str">
        <f>IF($F$5,IF($L852="","",IFERROR(VLOOKUP($L852,day_data!$A:$I,8,FALSE),0)),NA())</f>
        <v/>
      </c>
      <c r="T852" s="60" t="e">
        <f>IF($F$7,IF($L852="","",IFERROR(VLOOKUP($L852,day_data!$A:$I,9,FALSE),0)),NA())</f>
        <v>#N/A</v>
      </c>
    </row>
    <row r="853" spans="12:20">
      <c r="L853" s="57" t="str">
        <f t="shared" si="13"/>
        <v/>
      </c>
      <c r="M853" s="11" t="str">
        <f>IF($F$1,IF($L853="","",IFERROR(VLOOKUP($L853,day_data!$A:$I,2,FALSE),0)),NA())</f>
        <v/>
      </c>
      <c r="N853" s="58" t="e">
        <f>IF($F$2,IF($L853="","",IFERROR(VLOOKUP($L853,day_data!$A:$I,3,FALSE),0)),NA())</f>
        <v>#N/A</v>
      </c>
      <c r="O853" s="11" t="e">
        <f>IF($F$3,IF($L853="","",IFERROR(VLOOKUP($L853,day_data!$A:$I,4,FALSE),0)),NA())</f>
        <v>#N/A</v>
      </c>
      <c r="P853" s="58" t="e">
        <f>IF($F$4,IF($L853="","",IFERROR(VLOOKUP($L853,day_data!$A:$I,5,FALSE),0)),NA())</f>
        <v>#N/A</v>
      </c>
      <c r="Q853" s="59" t="e">
        <f>IF($F$8,IF($L853="","",IFERROR(VLOOKUP($L853,day_data!$A:$I,6,FALSE),0)),NA())</f>
        <v>#N/A</v>
      </c>
      <c r="R853" s="11" t="e">
        <f>IF($F$6,IF($L853="","",IFERROR(VLOOKUP($L853,day_data!$A:$I,7,FALSE),0)),NA())</f>
        <v>#N/A</v>
      </c>
      <c r="S853" s="58" t="str">
        <f>IF($F$5,IF($L853="","",IFERROR(VLOOKUP($L853,day_data!$A:$I,8,FALSE),0)),NA())</f>
        <v/>
      </c>
      <c r="T853" s="60" t="e">
        <f>IF($F$7,IF($L853="","",IFERROR(VLOOKUP($L853,day_data!$A:$I,9,FALSE),0)),NA())</f>
        <v>#N/A</v>
      </c>
    </row>
    <row r="854" spans="12:20">
      <c r="L854" s="57" t="str">
        <f t="shared" si="13"/>
        <v/>
      </c>
      <c r="M854" s="11" t="str">
        <f>IF($F$1,IF($L854="","",IFERROR(VLOOKUP($L854,day_data!$A:$I,2,FALSE),0)),NA())</f>
        <v/>
      </c>
      <c r="N854" s="58" t="e">
        <f>IF($F$2,IF($L854="","",IFERROR(VLOOKUP($L854,day_data!$A:$I,3,FALSE),0)),NA())</f>
        <v>#N/A</v>
      </c>
      <c r="O854" s="11" t="e">
        <f>IF($F$3,IF($L854="","",IFERROR(VLOOKUP($L854,day_data!$A:$I,4,FALSE),0)),NA())</f>
        <v>#N/A</v>
      </c>
      <c r="P854" s="58" t="e">
        <f>IF($F$4,IF($L854="","",IFERROR(VLOOKUP($L854,day_data!$A:$I,5,FALSE),0)),NA())</f>
        <v>#N/A</v>
      </c>
      <c r="Q854" s="59" t="e">
        <f>IF($F$8,IF($L854="","",IFERROR(VLOOKUP($L854,day_data!$A:$I,6,FALSE),0)),NA())</f>
        <v>#N/A</v>
      </c>
      <c r="R854" s="11" t="e">
        <f>IF($F$6,IF($L854="","",IFERROR(VLOOKUP($L854,day_data!$A:$I,7,FALSE),0)),NA())</f>
        <v>#N/A</v>
      </c>
      <c r="S854" s="58" t="str">
        <f>IF($F$5,IF($L854="","",IFERROR(VLOOKUP($L854,day_data!$A:$I,8,FALSE),0)),NA())</f>
        <v/>
      </c>
      <c r="T854" s="60" t="e">
        <f>IF($F$7,IF($L854="","",IFERROR(VLOOKUP($L854,day_data!$A:$I,9,FALSE),0)),NA())</f>
        <v>#N/A</v>
      </c>
    </row>
    <row r="855" spans="12:20">
      <c r="L855" s="57" t="str">
        <f t="shared" si="13"/>
        <v/>
      </c>
      <c r="M855" s="11" t="str">
        <f>IF($F$1,IF($L855="","",IFERROR(VLOOKUP($L855,day_data!$A:$I,2,FALSE),0)),NA())</f>
        <v/>
      </c>
      <c r="N855" s="58" t="e">
        <f>IF($F$2,IF($L855="","",IFERROR(VLOOKUP($L855,day_data!$A:$I,3,FALSE),0)),NA())</f>
        <v>#N/A</v>
      </c>
      <c r="O855" s="11" t="e">
        <f>IF($F$3,IF($L855="","",IFERROR(VLOOKUP($L855,day_data!$A:$I,4,FALSE),0)),NA())</f>
        <v>#N/A</v>
      </c>
      <c r="P855" s="58" t="e">
        <f>IF($F$4,IF($L855="","",IFERROR(VLOOKUP($L855,day_data!$A:$I,5,FALSE),0)),NA())</f>
        <v>#N/A</v>
      </c>
      <c r="Q855" s="59" t="e">
        <f>IF($F$8,IF($L855="","",IFERROR(VLOOKUP($L855,day_data!$A:$I,6,FALSE),0)),NA())</f>
        <v>#N/A</v>
      </c>
      <c r="R855" s="11" t="e">
        <f>IF($F$6,IF($L855="","",IFERROR(VLOOKUP($L855,day_data!$A:$I,7,FALSE),0)),NA())</f>
        <v>#N/A</v>
      </c>
      <c r="S855" s="58" t="str">
        <f>IF($F$5,IF($L855="","",IFERROR(VLOOKUP($L855,day_data!$A:$I,8,FALSE),0)),NA())</f>
        <v/>
      </c>
      <c r="T855" s="60" t="e">
        <f>IF($F$7,IF($L855="","",IFERROR(VLOOKUP($L855,day_data!$A:$I,9,FALSE),0)),NA())</f>
        <v>#N/A</v>
      </c>
    </row>
    <row r="856" spans="12:20">
      <c r="L856" s="57" t="str">
        <f t="shared" si="13"/>
        <v/>
      </c>
      <c r="M856" s="11" t="str">
        <f>IF($F$1,IF($L856="","",IFERROR(VLOOKUP($L856,day_data!$A:$I,2,FALSE),0)),NA())</f>
        <v/>
      </c>
      <c r="N856" s="58" t="e">
        <f>IF($F$2,IF($L856="","",IFERROR(VLOOKUP($L856,day_data!$A:$I,3,FALSE),0)),NA())</f>
        <v>#N/A</v>
      </c>
      <c r="O856" s="11" t="e">
        <f>IF($F$3,IF($L856="","",IFERROR(VLOOKUP($L856,day_data!$A:$I,4,FALSE),0)),NA())</f>
        <v>#N/A</v>
      </c>
      <c r="P856" s="58" t="e">
        <f>IF($F$4,IF($L856="","",IFERROR(VLOOKUP($L856,day_data!$A:$I,5,FALSE),0)),NA())</f>
        <v>#N/A</v>
      </c>
      <c r="Q856" s="59" t="e">
        <f>IF($F$8,IF($L856="","",IFERROR(VLOOKUP($L856,day_data!$A:$I,6,FALSE),0)),NA())</f>
        <v>#N/A</v>
      </c>
      <c r="R856" s="11" t="e">
        <f>IF($F$6,IF($L856="","",IFERROR(VLOOKUP($L856,day_data!$A:$I,7,FALSE),0)),NA())</f>
        <v>#N/A</v>
      </c>
      <c r="S856" s="58" t="str">
        <f>IF($F$5,IF($L856="","",IFERROR(VLOOKUP($L856,day_data!$A:$I,8,FALSE),0)),NA())</f>
        <v/>
      </c>
      <c r="T856" s="60" t="e">
        <f>IF($F$7,IF($L856="","",IFERROR(VLOOKUP($L856,day_data!$A:$I,9,FALSE),0)),NA())</f>
        <v>#N/A</v>
      </c>
    </row>
    <row r="857" spans="12:20">
      <c r="L857" s="57" t="str">
        <f t="shared" si="13"/>
        <v/>
      </c>
      <c r="M857" s="11" t="str">
        <f>IF($F$1,IF($L857="","",IFERROR(VLOOKUP($L857,day_data!$A:$I,2,FALSE),0)),NA())</f>
        <v/>
      </c>
      <c r="N857" s="58" t="e">
        <f>IF($F$2,IF($L857="","",IFERROR(VLOOKUP($L857,day_data!$A:$I,3,FALSE),0)),NA())</f>
        <v>#N/A</v>
      </c>
      <c r="O857" s="11" t="e">
        <f>IF($F$3,IF($L857="","",IFERROR(VLOOKUP($L857,day_data!$A:$I,4,FALSE),0)),NA())</f>
        <v>#N/A</v>
      </c>
      <c r="P857" s="58" t="e">
        <f>IF($F$4,IF($L857="","",IFERROR(VLOOKUP($L857,day_data!$A:$I,5,FALSE),0)),NA())</f>
        <v>#N/A</v>
      </c>
      <c r="Q857" s="59" t="e">
        <f>IF($F$8,IF($L857="","",IFERROR(VLOOKUP($L857,day_data!$A:$I,6,FALSE),0)),NA())</f>
        <v>#N/A</v>
      </c>
      <c r="R857" s="11" t="e">
        <f>IF($F$6,IF($L857="","",IFERROR(VLOOKUP($L857,day_data!$A:$I,7,FALSE),0)),NA())</f>
        <v>#N/A</v>
      </c>
      <c r="S857" s="58" t="str">
        <f>IF($F$5,IF($L857="","",IFERROR(VLOOKUP($L857,day_data!$A:$I,8,FALSE),0)),NA())</f>
        <v/>
      </c>
      <c r="T857" s="60" t="e">
        <f>IF($F$7,IF($L857="","",IFERROR(VLOOKUP($L857,day_data!$A:$I,9,FALSE),0)),NA())</f>
        <v>#N/A</v>
      </c>
    </row>
    <row r="858" spans="12:20">
      <c r="L858" s="57" t="str">
        <f t="shared" si="13"/>
        <v/>
      </c>
      <c r="M858" s="11" t="str">
        <f>IF($F$1,IF($L858="","",IFERROR(VLOOKUP($L858,day_data!$A:$I,2,FALSE),0)),NA())</f>
        <v/>
      </c>
      <c r="N858" s="58" t="e">
        <f>IF($F$2,IF($L858="","",IFERROR(VLOOKUP($L858,day_data!$A:$I,3,FALSE),0)),NA())</f>
        <v>#N/A</v>
      </c>
      <c r="O858" s="11" t="e">
        <f>IF($F$3,IF($L858="","",IFERROR(VLOOKUP($L858,day_data!$A:$I,4,FALSE),0)),NA())</f>
        <v>#N/A</v>
      </c>
      <c r="P858" s="58" t="e">
        <f>IF($F$4,IF($L858="","",IFERROR(VLOOKUP($L858,day_data!$A:$I,5,FALSE),0)),NA())</f>
        <v>#N/A</v>
      </c>
      <c r="Q858" s="59" t="e">
        <f>IF($F$8,IF($L858="","",IFERROR(VLOOKUP($L858,day_data!$A:$I,6,FALSE),0)),NA())</f>
        <v>#N/A</v>
      </c>
      <c r="R858" s="11" t="e">
        <f>IF($F$6,IF($L858="","",IFERROR(VLOOKUP($L858,day_data!$A:$I,7,FALSE),0)),NA())</f>
        <v>#N/A</v>
      </c>
      <c r="S858" s="58" t="str">
        <f>IF($F$5,IF($L858="","",IFERROR(VLOOKUP($L858,day_data!$A:$I,8,FALSE),0)),NA())</f>
        <v/>
      </c>
      <c r="T858" s="60" t="e">
        <f>IF($F$7,IF($L858="","",IFERROR(VLOOKUP($L858,day_data!$A:$I,9,FALSE),0)),NA())</f>
        <v>#N/A</v>
      </c>
    </row>
    <row r="859" spans="12:20">
      <c r="L859" s="57" t="str">
        <f t="shared" si="13"/>
        <v/>
      </c>
      <c r="M859" s="11" t="str">
        <f>IF($F$1,IF($L859="","",IFERROR(VLOOKUP($L859,day_data!$A:$I,2,FALSE),0)),NA())</f>
        <v/>
      </c>
      <c r="N859" s="58" t="e">
        <f>IF($F$2,IF($L859="","",IFERROR(VLOOKUP($L859,day_data!$A:$I,3,FALSE),0)),NA())</f>
        <v>#N/A</v>
      </c>
      <c r="O859" s="11" t="e">
        <f>IF($F$3,IF($L859="","",IFERROR(VLOOKUP($L859,day_data!$A:$I,4,FALSE),0)),NA())</f>
        <v>#N/A</v>
      </c>
      <c r="P859" s="58" t="e">
        <f>IF($F$4,IF($L859="","",IFERROR(VLOOKUP($L859,day_data!$A:$I,5,FALSE),0)),NA())</f>
        <v>#N/A</v>
      </c>
      <c r="Q859" s="59" t="e">
        <f>IF($F$8,IF($L859="","",IFERROR(VLOOKUP($L859,day_data!$A:$I,6,FALSE),0)),NA())</f>
        <v>#N/A</v>
      </c>
      <c r="R859" s="11" t="e">
        <f>IF($F$6,IF($L859="","",IFERROR(VLOOKUP($L859,day_data!$A:$I,7,FALSE),0)),NA())</f>
        <v>#N/A</v>
      </c>
      <c r="S859" s="58" t="str">
        <f>IF($F$5,IF($L859="","",IFERROR(VLOOKUP($L859,day_data!$A:$I,8,FALSE),0)),NA())</f>
        <v/>
      </c>
      <c r="T859" s="60" t="e">
        <f>IF($F$7,IF($L859="","",IFERROR(VLOOKUP($L859,day_data!$A:$I,9,FALSE),0)),NA())</f>
        <v>#N/A</v>
      </c>
    </row>
    <row r="860" spans="12:20">
      <c r="L860" s="57" t="str">
        <f t="shared" si="13"/>
        <v/>
      </c>
      <c r="M860" s="11" t="str">
        <f>IF($F$1,IF($L860="","",IFERROR(VLOOKUP($L860,day_data!$A:$I,2,FALSE),0)),NA())</f>
        <v/>
      </c>
      <c r="N860" s="58" t="e">
        <f>IF($F$2,IF($L860="","",IFERROR(VLOOKUP($L860,day_data!$A:$I,3,FALSE),0)),NA())</f>
        <v>#N/A</v>
      </c>
      <c r="O860" s="11" t="e">
        <f>IF($F$3,IF($L860="","",IFERROR(VLOOKUP($L860,day_data!$A:$I,4,FALSE),0)),NA())</f>
        <v>#N/A</v>
      </c>
      <c r="P860" s="58" t="e">
        <f>IF($F$4,IF($L860="","",IFERROR(VLOOKUP($L860,day_data!$A:$I,5,FALSE),0)),NA())</f>
        <v>#N/A</v>
      </c>
      <c r="Q860" s="59" t="e">
        <f>IF($F$8,IF($L860="","",IFERROR(VLOOKUP($L860,day_data!$A:$I,6,FALSE),0)),NA())</f>
        <v>#N/A</v>
      </c>
      <c r="R860" s="11" t="e">
        <f>IF($F$6,IF($L860="","",IFERROR(VLOOKUP($L860,day_data!$A:$I,7,FALSE),0)),NA())</f>
        <v>#N/A</v>
      </c>
      <c r="S860" s="58" t="str">
        <f>IF($F$5,IF($L860="","",IFERROR(VLOOKUP($L860,day_data!$A:$I,8,FALSE),0)),NA())</f>
        <v/>
      </c>
      <c r="T860" s="60" t="e">
        <f>IF($F$7,IF($L860="","",IFERROR(VLOOKUP($L860,day_data!$A:$I,9,FALSE),0)),NA())</f>
        <v>#N/A</v>
      </c>
    </row>
    <row r="861" spans="12:20">
      <c r="L861" s="57" t="str">
        <f t="shared" si="13"/>
        <v/>
      </c>
      <c r="M861" s="11" t="str">
        <f>IF($F$1,IF($L861="","",IFERROR(VLOOKUP($L861,day_data!$A:$I,2,FALSE),0)),NA())</f>
        <v/>
      </c>
      <c r="N861" s="58" t="e">
        <f>IF($F$2,IF($L861="","",IFERROR(VLOOKUP($L861,day_data!$A:$I,3,FALSE),0)),NA())</f>
        <v>#N/A</v>
      </c>
      <c r="O861" s="11" t="e">
        <f>IF($F$3,IF($L861="","",IFERROR(VLOOKUP($L861,day_data!$A:$I,4,FALSE),0)),NA())</f>
        <v>#N/A</v>
      </c>
      <c r="P861" s="58" t="e">
        <f>IF($F$4,IF($L861="","",IFERROR(VLOOKUP($L861,day_data!$A:$I,5,FALSE),0)),NA())</f>
        <v>#N/A</v>
      </c>
      <c r="Q861" s="59" t="e">
        <f>IF($F$8,IF($L861="","",IFERROR(VLOOKUP($L861,day_data!$A:$I,6,FALSE),0)),NA())</f>
        <v>#N/A</v>
      </c>
      <c r="R861" s="11" t="e">
        <f>IF($F$6,IF($L861="","",IFERROR(VLOOKUP($L861,day_data!$A:$I,7,FALSE),0)),NA())</f>
        <v>#N/A</v>
      </c>
      <c r="S861" s="58" t="str">
        <f>IF($F$5,IF($L861="","",IFERROR(VLOOKUP($L861,day_data!$A:$I,8,FALSE),0)),NA())</f>
        <v/>
      </c>
      <c r="T861" s="60" t="e">
        <f>IF($F$7,IF($L861="","",IFERROR(VLOOKUP($L861,day_data!$A:$I,9,FALSE),0)),NA())</f>
        <v>#N/A</v>
      </c>
    </row>
    <row r="862" spans="12:20">
      <c r="L862" s="57" t="str">
        <f t="shared" si="13"/>
        <v/>
      </c>
      <c r="M862" s="11" t="str">
        <f>IF($F$1,IF($L862="","",IFERROR(VLOOKUP($L862,day_data!$A:$I,2,FALSE),0)),NA())</f>
        <v/>
      </c>
      <c r="N862" s="58" t="e">
        <f>IF($F$2,IF($L862="","",IFERROR(VLOOKUP($L862,day_data!$A:$I,3,FALSE),0)),NA())</f>
        <v>#N/A</v>
      </c>
      <c r="O862" s="11" t="e">
        <f>IF($F$3,IF($L862="","",IFERROR(VLOOKUP($L862,day_data!$A:$I,4,FALSE),0)),NA())</f>
        <v>#N/A</v>
      </c>
      <c r="P862" s="58" t="e">
        <f>IF($F$4,IF($L862="","",IFERROR(VLOOKUP($L862,day_data!$A:$I,5,FALSE),0)),NA())</f>
        <v>#N/A</v>
      </c>
      <c r="Q862" s="59" t="e">
        <f>IF($F$8,IF($L862="","",IFERROR(VLOOKUP($L862,day_data!$A:$I,6,FALSE),0)),NA())</f>
        <v>#N/A</v>
      </c>
      <c r="R862" s="11" t="e">
        <f>IF($F$6,IF($L862="","",IFERROR(VLOOKUP($L862,day_data!$A:$I,7,FALSE),0)),NA())</f>
        <v>#N/A</v>
      </c>
      <c r="S862" s="58" t="str">
        <f>IF($F$5,IF($L862="","",IFERROR(VLOOKUP($L862,day_data!$A:$I,8,FALSE),0)),NA())</f>
        <v/>
      </c>
      <c r="T862" s="60" t="e">
        <f>IF($F$7,IF($L862="","",IFERROR(VLOOKUP($L862,day_data!$A:$I,9,FALSE),0)),NA())</f>
        <v>#N/A</v>
      </c>
    </row>
    <row r="863" spans="12:20">
      <c r="L863" s="57" t="str">
        <f t="shared" si="13"/>
        <v/>
      </c>
      <c r="M863" s="11" t="str">
        <f>IF($F$1,IF($L863="","",IFERROR(VLOOKUP($L863,day_data!$A:$I,2,FALSE),0)),NA())</f>
        <v/>
      </c>
      <c r="N863" s="58" t="e">
        <f>IF($F$2,IF($L863="","",IFERROR(VLOOKUP($L863,day_data!$A:$I,3,FALSE),0)),NA())</f>
        <v>#N/A</v>
      </c>
      <c r="O863" s="11" t="e">
        <f>IF($F$3,IF($L863="","",IFERROR(VLOOKUP($L863,day_data!$A:$I,4,FALSE),0)),NA())</f>
        <v>#N/A</v>
      </c>
      <c r="P863" s="58" t="e">
        <f>IF($F$4,IF($L863="","",IFERROR(VLOOKUP($L863,day_data!$A:$I,5,FALSE),0)),NA())</f>
        <v>#N/A</v>
      </c>
      <c r="Q863" s="59" t="e">
        <f>IF($F$8,IF($L863="","",IFERROR(VLOOKUP($L863,day_data!$A:$I,6,FALSE),0)),NA())</f>
        <v>#N/A</v>
      </c>
      <c r="R863" s="11" t="e">
        <f>IF($F$6,IF($L863="","",IFERROR(VLOOKUP($L863,day_data!$A:$I,7,FALSE),0)),NA())</f>
        <v>#N/A</v>
      </c>
      <c r="S863" s="58" t="str">
        <f>IF($F$5,IF($L863="","",IFERROR(VLOOKUP($L863,day_data!$A:$I,8,FALSE),0)),NA())</f>
        <v/>
      </c>
      <c r="T863" s="60" t="e">
        <f>IF($F$7,IF($L863="","",IFERROR(VLOOKUP($L863,day_data!$A:$I,9,FALSE),0)),NA())</f>
        <v>#N/A</v>
      </c>
    </row>
    <row r="864" spans="12:20">
      <c r="L864" s="57" t="str">
        <f t="shared" si="13"/>
        <v/>
      </c>
      <c r="M864" s="11" t="str">
        <f>IF($F$1,IF($L864="","",IFERROR(VLOOKUP($L864,day_data!$A:$I,2,FALSE),0)),NA())</f>
        <v/>
      </c>
      <c r="N864" s="58" t="e">
        <f>IF($F$2,IF($L864="","",IFERROR(VLOOKUP($L864,day_data!$A:$I,3,FALSE),0)),NA())</f>
        <v>#N/A</v>
      </c>
      <c r="O864" s="11" t="e">
        <f>IF($F$3,IF($L864="","",IFERROR(VLOOKUP($L864,day_data!$A:$I,4,FALSE),0)),NA())</f>
        <v>#N/A</v>
      </c>
      <c r="P864" s="58" t="e">
        <f>IF($F$4,IF($L864="","",IFERROR(VLOOKUP($L864,day_data!$A:$I,5,FALSE),0)),NA())</f>
        <v>#N/A</v>
      </c>
      <c r="Q864" s="59" t="e">
        <f>IF($F$8,IF($L864="","",IFERROR(VLOOKUP($L864,day_data!$A:$I,6,FALSE),0)),NA())</f>
        <v>#N/A</v>
      </c>
      <c r="R864" s="11" t="e">
        <f>IF($F$6,IF($L864="","",IFERROR(VLOOKUP($L864,day_data!$A:$I,7,FALSE),0)),NA())</f>
        <v>#N/A</v>
      </c>
      <c r="S864" s="58" t="str">
        <f>IF($F$5,IF($L864="","",IFERROR(VLOOKUP($L864,day_data!$A:$I,8,FALSE),0)),NA())</f>
        <v/>
      </c>
      <c r="T864" s="60" t="e">
        <f>IF($F$7,IF($L864="","",IFERROR(VLOOKUP($L864,day_data!$A:$I,9,FALSE),0)),NA())</f>
        <v>#N/A</v>
      </c>
    </row>
    <row r="865" spans="12:20">
      <c r="L865" s="57" t="str">
        <f t="shared" si="13"/>
        <v/>
      </c>
      <c r="M865" s="11" t="str">
        <f>IF($F$1,IF($L865="","",IFERROR(VLOOKUP($L865,day_data!$A:$I,2,FALSE),0)),NA())</f>
        <v/>
      </c>
      <c r="N865" s="58" t="e">
        <f>IF($F$2,IF($L865="","",IFERROR(VLOOKUP($L865,day_data!$A:$I,3,FALSE),0)),NA())</f>
        <v>#N/A</v>
      </c>
      <c r="O865" s="11" t="e">
        <f>IF($F$3,IF($L865="","",IFERROR(VLOOKUP($L865,day_data!$A:$I,4,FALSE),0)),NA())</f>
        <v>#N/A</v>
      </c>
      <c r="P865" s="58" t="e">
        <f>IF($F$4,IF($L865="","",IFERROR(VLOOKUP($L865,day_data!$A:$I,5,FALSE),0)),NA())</f>
        <v>#N/A</v>
      </c>
      <c r="Q865" s="59" t="e">
        <f>IF($F$8,IF($L865="","",IFERROR(VLOOKUP($L865,day_data!$A:$I,6,FALSE),0)),NA())</f>
        <v>#N/A</v>
      </c>
      <c r="R865" s="11" t="e">
        <f>IF($F$6,IF($L865="","",IFERROR(VLOOKUP($L865,day_data!$A:$I,7,FALSE),0)),NA())</f>
        <v>#N/A</v>
      </c>
      <c r="S865" s="58" t="str">
        <f>IF($F$5,IF($L865="","",IFERROR(VLOOKUP($L865,day_data!$A:$I,8,FALSE),0)),NA())</f>
        <v/>
      </c>
      <c r="T865" s="60" t="e">
        <f>IF($F$7,IF($L865="","",IFERROR(VLOOKUP($L865,day_data!$A:$I,9,FALSE),0)),NA())</f>
        <v>#N/A</v>
      </c>
    </row>
    <row r="866" spans="12:20">
      <c r="L866" s="57" t="str">
        <f t="shared" si="13"/>
        <v/>
      </c>
      <c r="M866" s="11" t="str">
        <f>IF($F$1,IF($L866="","",IFERROR(VLOOKUP($L866,day_data!$A:$I,2,FALSE),0)),NA())</f>
        <v/>
      </c>
      <c r="N866" s="58" t="e">
        <f>IF($F$2,IF($L866="","",IFERROR(VLOOKUP($L866,day_data!$A:$I,3,FALSE),0)),NA())</f>
        <v>#N/A</v>
      </c>
      <c r="O866" s="11" t="e">
        <f>IF($F$3,IF($L866="","",IFERROR(VLOOKUP($L866,day_data!$A:$I,4,FALSE),0)),NA())</f>
        <v>#N/A</v>
      </c>
      <c r="P866" s="58" t="e">
        <f>IF($F$4,IF($L866="","",IFERROR(VLOOKUP($L866,day_data!$A:$I,5,FALSE),0)),NA())</f>
        <v>#N/A</v>
      </c>
      <c r="Q866" s="59" t="e">
        <f>IF($F$8,IF($L866="","",IFERROR(VLOOKUP($L866,day_data!$A:$I,6,FALSE),0)),NA())</f>
        <v>#N/A</v>
      </c>
      <c r="R866" s="11" t="e">
        <f>IF($F$6,IF($L866="","",IFERROR(VLOOKUP($L866,day_data!$A:$I,7,FALSE),0)),NA())</f>
        <v>#N/A</v>
      </c>
      <c r="S866" s="58" t="str">
        <f>IF($F$5,IF($L866="","",IFERROR(VLOOKUP($L866,day_data!$A:$I,8,FALSE),0)),NA())</f>
        <v/>
      </c>
      <c r="T866" s="60" t="e">
        <f>IF($F$7,IF($L866="","",IFERROR(VLOOKUP($L866,day_data!$A:$I,9,FALSE),0)),NA())</f>
        <v>#N/A</v>
      </c>
    </row>
    <row r="867" spans="12:20">
      <c r="L867" s="57" t="str">
        <f t="shared" si="13"/>
        <v/>
      </c>
      <c r="M867" s="11" t="str">
        <f>IF($F$1,IF($L867="","",IFERROR(VLOOKUP($L867,day_data!$A:$I,2,FALSE),0)),NA())</f>
        <v/>
      </c>
      <c r="N867" s="58" t="e">
        <f>IF($F$2,IF($L867="","",IFERROR(VLOOKUP($L867,day_data!$A:$I,3,FALSE),0)),NA())</f>
        <v>#N/A</v>
      </c>
      <c r="O867" s="11" t="e">
        <f>IF($F$3,IF($L867="","",IFERROR(VLOOKUP($L867,day_data!$A:$I,4,FALSE),0)),NA())</f>
        <v>#N/A</v>
      </c>
      <c r="P867" s="58" t="e">
        <f>IF($F$4,IF($L867="","",IFERROR(VLOOKUP($L867,day_data!$A:$I,5,FALSE),0)),NA())</f>
        <v>#N/A</v>
      </c>
      <c r="Q867" s="59" t="e">
        <f>IF($F$8,IF($L867="","",IFERROR(VLOOKUP($L867,day_data!$A:$I,6,FALSE),0)),NA())</f>
        <v>#N/A</v>
      </c>
      <c r="R867" s="11" t="e">
        <f>IF($F$6,IF($L867="","",IFERROR(VLOOKUP($L867,day_data!$A:$I,7,FALSE),0)),NA())</f>
        <v>#N/A</v>
      </c>
      <c r="S867" s="58" t="str">
        <f>IF($F$5,IF($L867="","",IFERROR(VLOOKUP($L867,day_data!$A:$I,8,FALSE),0)),NA())</f>
        <v/>
      </c>
      <c r="T867" s="60" t="e">
        <f>IF($F$7,IF($L867="","",IFERROR(VLOOKUP($L867,day_data!$A:$I,9,FALSE),0)),NA())</f>
        <v>#N/A</v>
      </c>
    </row>
    <row r="868" spans="12:20">
      <c r="L868" s="57" t="str">
        <f t="shared" si="13"/>
        <v/>
      </c>
      <c r="M868" s="11" t="str">
        <f>IF($F$1,IF($L868="","",IFERROR(VLOOKUP($L868,day_data!$A:$I,2,FALSE),0)),NA())</f>
        <v/>
      </c>
      <c r="N868" s="58" t="e">
        <f>IF($F$2,IF($L868="","",IFERROR(VLOOKUP($L868,day_data!$A:$I,3,FALSE),0)),NA())</f>
        <v>#N/A</v>
      </c>
      <c r="O868" s="11" t="e">
        <f>IF($F$3,IF($L868="","",IFERROR(VLOOKUP($L868,day_data!$A:$I,4,FALSE),0)),NA())</f>
        <v>#N/A</v>
      </c>
      <c r="P868" s="58" t="e">
        <f>IF($F$4,IF($L868="","",IFERROR(VLOOKUP($L868,day_data!$A:$I,5,FALSE),0)),NA())</f>
        <v>#N/A</v>
      </c>
      <c r="Q868" s="59" t="e">
        <f>IF($F$8,IF($L868="","",IFERROR(VLOOKUP($L868,day_data!$A:$I,6,FALSE),0)),NA())</f>
        <v>#N/A</v>
      </c>
      <c r="R868" s="11" t="e">
        <f>IF($F$6,IF($L868="","",IFERROR(VLOOKUP($L868,day_data!$A:$I,7,FALSE),0)),NA())</f>
        <v>#N/A</v>
      </c>
      <c r="S868" s="58" t="str">
        <f>IF($F$5,IF($L868="","",IFERROR(VLOOKUP($L868,day_data!$A:$I,8,FALSE),0)),NA())</f>
        <v/>
      </c>
      <c r="T868" s="60" t="e">
        <f>IF($F$7,IF($L868="","",IFERROR(VLOOKUP($L868,day_data!$A:$I,9,FALSE),0)),NA())</f>
        <v>#N/A</v>
      </c>
    </row>
    <row r="869" spans="12:20">
      <c r="L869" s="57" t="str">
        <f t="shared" si="13"/>
        <v/>
      </c>
      <c r="M869" s="11" t="str">
        <f>IF($F$1,IF($L869="","",IFERROR(VLOOKUP($L869,day_data!$A:$I,2,FALSE),0)),NA())</f>
        <v/>
      </c>
      <c r="N869" s="58" t="e">
        <f>IF($F$2,IF($L869="","",IFERROR(VLOOKUP($L869,day_data!$A:$I,3,FALSE),0)),NA())</f>
        <v>#N/A</v>
      </c>
      <c r="O869" s="11" t="e">
        <f>IF($F$3,IF($L869="","",IFERROR(VLOOKUP($L869,day_data!$A:$I,4,FALSE),0)),NA())</f>
        <v>#N/A</v>
      </c>
      <c r="P869" s="58" t="e">
        <f>IF($F$4,IF($L869="","",IFERROR(VLOOKUP($L869,day_data!$A:$I,5,FALSE),0)),NA())</f>
        <v>#N/A</v>
      </c>
      <c r="Q869" s="59" t="e">
        <f>IF($F$8,IF($L869="","",IFERROR(VLOOKUP($L869,day_data!$A:$I,6,FALSE),0)),NA())</f>
        <v>#N/A</v>
      </c>
      <c r="R869" s="11" t="e">
        <f>IF($F$6,IF($L869="","",IFERROR(VLOOKUP($L869,day_data!$A:$I,7,FALSE),0)),NA())</f>
        <v>#N/A</v>
      </c>
      <c r="S869" s="58" t="str">
        <f>IF($F$5,IF($L869="","",IFERROR(VLOOKUP($L869,day_data!$A:$I,8,FALSE),0)),NA())</f>
        <v/>
      </c>
      <c r="T869" s="60" t="e">
        <f>IF($F$7,IF($L869="","",IFERROR(VLOOKUP($L869,day_data!$A:$I,9,FALSE),0)),NA())</f>
        <v>#N/A</v>
      </c>
    </row>
    <row r="870" spans="12:20">
      <c r="L870" s="57" t="str">
        <f t="shared" si="13"/>
        <v/>
      </c>
      <c r="M870" s="11" t="str">
        <f>IF($F$1,IF($L870="","",IFERROR(VLOOKUP($L870,day_data!$A:$I,2,FALSE),0)),NA())</f>
        <v/>
      </c>
      <c r="N870" s="58" t="e">
        <f>IF($F$2,IF($L870="","",IFERROR(VLOOKUP($L870,day_data!$A:$I,3,FALSE),0)),NA())</f>
        <v>#N/A</v>
      </c>
      <c r="O870" s="11" t="e">
        <f>IF($F$3,IF($L870="","",IFERROR(VLOOKUP($L870,day_data!$A:$I,4,FALSE),0)),NA())</f>
        <v>#N/A</v>
      </c>
      <c r="P870" s="58" t="e">
        <f>IF($F$4,IF($L870="","",IFERROR(VLOOKUP($L870,day_data!$A:$I,5,FALSE),0)),NA())</f>
        <v>#N/A</v>
      </c>
      <c r="Q870" s="59" t="e">
        <f>IF($F$8,IF($L870="","",IFERROR(VLOOKUP($L870,day_data!$A:$I,6,FALSE),0)),NA())</f>
        <v>#N/A</v>
      </c>
      <c r="R870" s="11" t="e">
        <f>IF($F$6,IF($L870="","",IFERROR(VLOOKUP($L870,day_data!$A:$I,7,FALSE),0)),NA())</f>
        <v>#N/A</v>
      </c>
      <c r="S870" s="58" t="str">
        <f>IF($F$5,IF($L870="","",IFERROR(VLOOKUP($L870,day_data!$A:$I,8,FALSE),0)),NA())</f>
        <v/>
      </c>
      <c r="T870" s="60" t="e">
        <f>IF($F$7,IF($L870="","",IFERROR(VLOOKUP($L870,day_data!$A:$I,9,FALSE),0)),NA())</f>
        <v>#N/A</v>
      </c>
    </row>
    <row r="871" spans="12:20">
      <c r="L871" s="57" t="str">
        <f t="shared" si="13"/>
        <v/>
      </c>
      <c r="M871" s="11" t="str">
        <f>IF($F$1,IF($L871="","",IFERROR(VLOOKUP($L871,day_data!$A:$I,2,FALSE),0)),NA())</f>
        <v/>
      </c>
      <c r="N871" s="58" t="e">
        <f>IF($F$2,IF($L871="","",IFERROR(VLOOKUP($L871,day_data!$A:$I,3,FALSE),0)),NA())</f>
        <v>#N/A</v>
      </c>
      <c r="O871" s="11" t="e">
        <f>IF($F$3,IF($L871="","",IFERROR(VLOOKUP($L871,day_data!$A:$I,4,FALSE),0)),NA())</f>
        <v>#N/A</v>
      </c>
      <c r="P871" s="58" t="e">
        <f>IF($F$4,IF($L871="","",IFERROR(VLOOKUP($L871,day_data!$A:$I,5,FALSE),0)),NA())</f>
        <v>#N/A</v>
      </c>
      <c r="Q871" s="59" t="e">
        <f>IF($F$8,IF($L871="","",IFERROR(VLOOKUP($L871,day_data!$A:$I,6,FALSE),0)),NA())</f>
        <v>#N/A</v>
      </c>
      <c r="R871" s="11" t="e">
        <f>IF($F$6,IF($L871="","",IFERROR(VLOOKUP($L871,day_data!$A:$I,7,FALSE),0)),NA())</f>
        <v>#N/A</v>
      </c>
      <c r="S871" s="58" t="str">
        <f>IF($F$5,IF($L871="","",IFERROR(VLOOKUP($L871,day_data!$A:$I,8,FALSE),0)),NA())</f>
        <v/>
      </c>
      <c r="T871" s="60" t="e">
        <f>IF($F$7,IF($L871="","",IFERROR(VLOOKUP($L871,day_data!$A:$I,9,FALSE),0)),NA())</f>
        <v>#N/A</v>
      </c>
    </row>
    <row r="872" spans="12:20">
      <c r="L872" s="57" t="str">
        <f t="shared" si="13"/>
        <v/>
      </c>
      <c r="M872" s="11" t="str">
        <f>IF($F$1,IF($L872="","",IFERROR(VLOOKUP($L872,day_data!$A:$I,2,FALSE),0)),NA())</f>
        <v/>
      </c>
      <c r="N872" s="58" t="e">
        <f>IF($F$2,IF($L872="","",IFERROR(VLOOKUP($L872,day_data!$A:$I,3,FALSE),0)),NA())</f>
        <v>#N/A</v>
      </c>
      <c r="O872" s="11" t="e">
        <f>IF($F$3,IF($L872="","",IFERROR(VLOOKUP($L872,day_data!$A:$I,4,FALSE),0)),NA())</f>
        <v>#N/A</v>
      </c>
      <c r="P872" s="58" t="e">
        <f>IF($F$4,IF($L872="","",IFERROR(VLOOKUP($L872,day_data!$A:$I,5,FALSE),0)),NA())</f>
        <v>#N/A</v>
      </c>
      <c r="Q872" s="59" t="e">
        <f>IF($F$8,IF($L872="","",IFERROR(VLOOKUP($L872,day_data!$A:$I,6,FALSE),0)),NA())</f>
        <v>#N/A</v>
      </c>
      <c r="R872" s="11" t="e">
        <f>IF($F$6,IF($L872="","",IFERROR(VLOOKUP($L872,day_data!$A:$I,7,FALSE),0)),NA())</f>
        <v>#N/A</v>
      </c>
      <c r="S872" s="58" t="str">
        <f>IF($F$5,IF($L872="","",IFERROR(VLOOKUP($L872,day_data!$A:$I,8,FALSE),0)),NA())</f>
        <v/>
      </c>
      <c r="T872" s="60" t="e">
        <f>IF($F$7,IF($L872="","",IFERROR(VLOOKUP($L872,day_data!$A:$I,9,FALSE),0)),NA())</f>
        <v>#N/A</v>
      </c>
    </row>
    <row r="873" spans="12:20">
      <c r="L873" s="57" t="str">
        <f t="shared" si="13"/>
        <v/>
      </c>
      <c r="M873" s="11" t="str">
        <f>IF($F$1,IF($L873="","",IFERROR(VLOOKUP($L873,day_data!$A:$I,2,FALSE),0)),NA())</f>
        <v/>
      </c>
      <c r="N873" s="58" t="e">
        <f>IF($F$2,IF($L873="","",IFERROR(VLOOKUP($L873,day_data!$A:$I,3,FALSE),0)),NA())</f>
        <v>#N/A</v>
      </c>
      <c r="O873" s="11" t="e">
        <f>IF($F$3,IF($L873="","",IFERROR(VLOOKUP($L873,day_data!$A:$I,4,FALSE),0)),NA())</f>
        <v>#N/A</v>
      </c>
      <c r="P873" s="58" t="e">
        <f>IF($F$4,IF($L873="","",IFERROR(VLOOKUP($L873,day_data!$A:$I,5,FALSE),0)),NA())</f>
        <v>#N/A</v>
      </c>
      <c r="Q873" s="59" t="e">
        <f>IF($F$8,IF($L873="","",IFERROR(VLOOKUP($L873,day_data!$A:$I,6,FALSE),0)),NA())</f>
        <v>#N/A</v>
      </c>
      <c r="R873" s="11" t="e">
        <f>IF($F$6,IF($L873="","",IFERROR(VLOOKUP($L873,day_data!$A:$I,7,FALSE),0)),NA())</f>
        <v>#N/A</v>
      </c>
      <c r="S873" s="58" t="str">
        <f>IF($F$5,IF($L873="","",IFERROR(VLOOKUP($L873,day_data!$A:$I,8,FALSE),0)),NA())</f>
        <v/>
      </c>
      <c r="T873" s="60" t="e">
        <f>IF($F$7,IF($L873="","",IFERROR(VLOOKUP($L873,day_data!$A:$I,9,FALSE),0)),NA())</f>
        <v>#N/A</v>
      </c>
    </row>
    <row r="874" spans="12:20">
      <c r="L874" s="57" t="str">
        <f t="shared" si="13"/>
        <v/>
      </c>
      <c r="M874" s="11" t="str">
        <f>IF($F$1,IF($L874="","",IFERROR(VLOOKUP($L874,day_data!$A:$I,2,FALSE),0)),NA())</f>
        <v/>
      </c>
      <c r="N874" s="58" t="e">
        <f>IF($F$2,IF($L874="","",IFERROR(VLOOKUP($L874,day_data!$A:$I,3,FALSE),0)),NA())</f>
        <v>#N/A</v>
      </c>
      <c r="O874" s="11" t="e">
        <f>IF($F$3,IF($L874="","",IFERROR(VLOOKUP($L874,day_data!$A:$I,4,FALSE),0)),NA())</f>
        <v>#N/A</v>
      </c>
      <c r="P874" s="58" t="e">
        <f>IF($F$4,IF($L874="","",IFERROR(VLOOKUP($L874,day_data!$A:$I,5,FALSE),0)),NA())</f>
        <v>#N/A</v>
      </c>
      <c r="Q874" s="59" t="e">
        <f>IF($F$8,IF($L874="","",IFERROR(VLOOKUP($L874,day_data!$A:$I,6,FALSE),0)),NA())</f>
        <v>#N/A</v>
      </c>
      <c r="R874" s="11" t="e">
        <f>IF($F$6,IF($L874="","",IFERROR(VLOOKUP($L874,day_data!$A:$I,7,FALSE),0)),NA())</f>
        <v>#N/A</v>
      </c>
      <c r="S874" s="58" t="str">
        <f>IF($F$5,IF($L874="","",IFERROR(VLOOKUP($L874,day_data!$A:$I,8,FALSE),0)),NA())</f>
        <v/>
      </c>
      <c r="T874" s="60" t="e">
        <f>IF($F$7,IF($L874="","",IFERROR(VLOOKUP($L874,day_data!$A:$I,9,FALSE),0)),NA())</f>
        <v>#N/A</v>
      </c>
    </row>
    <row r="875" spans="12:20">
      <c r="L875" s="57" t="str">
        <f t="shared" si="13"/>
        <v/>
      </c>
      <c r="M875" s="11" t="str">
        <f>IF($F$1,IF($L875="","",IFERROR(VLOOKUP($L875,day_data!$A:$I,2,FALSE),0)),NA())</f>
        <v/>
      </c>
      <c r="N875" s="58" t="e">
        <f>IF($F$2,IF($L875="","",IFERROR(VLOOKUP($L875,day_data!$A:$I,3,FALSE),0)),NA())</f>
        <v>#N/A</v>
      </c>
      <c r="O875" s="11" t="e">
        <f>IF($F$3,IF($L875="","",IFERROR(VLOOKUP($L875,day_data!$A:$I,4,FALSE),0)),NA())</f>
        <v>#N/A</v>
      </c>
      <c r="P875" s="58" t="e">
        <f>IF($F$4,IF($L875="","",IFERROR(VLOOKUP($L875,day_data!$A:$I,5,FALSE),0)),NA())</f>
        <v>#N/A</v>
      </c>
      <c r="Q875" s="59" t="e">
        <f>IF($F$8,IF($L875="","",IFERROR(VLOOKUP($L875,day_data!$A:$I,6,FALSE),0)),NA())</f>
        <v>#N/A</v>
      </c>
      <c r="R875" s="11" t="e">
        <f>IF($F$6,IF($L875="","",IFERROR(VLOOKUP($L875,day_data!$A:$I,7,FALSE),0)),NA())</f>
        <v>#N/A</v>
      </c>
      <c r="S875" s="58" t="str">
        <f>IF($F$5,IF($L875="","",IFERROR(VLOOKUP($L875,day_data!$A:$I,8,FALSE),0)),NA())</f>
        <v/>
      </c>
      <c r="T875" s="60" t="e">
        <f>IF($F$7,IF($L875="","",IFERROR(VLOOKUP($L875,day_data!$A:$I,9,FALSE),0)),NA())</f>
        <v>#N/A</v>
      </c>
    </row>
    <row r="876" spans="12:20">
      <c r="L876" s="57" t="str">
        <f t="shared" si="13"/>
        <v/>
      </c>
      <c r="M876" s="11" t="str">
        <f>IF($F$1,IF($L876="","",IFERROR(VLOOKUP($L876,day_data!$A:$I,2,FALSE),0)),NA())</f>
        <v/>
      </c>
      <c r="N876" s="58" t="e">
        <f>IF($F$2,IF($L876="","",IFERROR(VLOOKUP($L876,day_data!$A:$I,3,FALSE),0)),NA())</f>
        <v>#N/A</v>
      </c>
      <c r="O876" s="11" t="e">
        <f>IF($F$3,IF($L876="","",IFERROR(VLOOKUP($L876,day_data!$A:$I,4,FALSE),0)),NA())</f>
        <v>#N/A</v>
      </c>
      <c r="P876" s="58" t="e">
        <f>IF($F$4,IF($L876="","",IFERROR(VLOOKUP($L876,day_data!$A:$I,5,FALSE),0)),NA())</f>
        <v>#N/A</v>
      </c>
      <c r="Q876" s="59" t="e">
        <f>IF($F$8,IF($L876="","",IFERROR(VLOOKUP($L876,day_data!$A:$I,6,FALSE),0)),NA())</f>
        <v>#N/A</v>
      </c>
      <c r="R876" s="11" t="e">
        <f>IF($F$6,IF($L876="","",IFERROR(VLOOKUP($L876,day_data!$A:$I,7,FALSE),0)),NA())</f>
        <v>#N/A</v>
      </c>
      <c r="S876" s="58" t="str">
        <f>IF($F$5,IF($L876="","",IFERROR(VLOOKUP($L876,day_data!$A:$I,8,FALSE),0)),NA())</f>
        <v/>
      </c>
      <c r="T876" s="60" t="e">
        <f>IF($F$7,IF($L876="","",IFERROR(VLOOKUP($L876,day_data!$A:$I,9,FALSE),0)),NA())</f>
        <v>#N/A</v>
      </c>
    </row>
    <row r="877" spans="12:20">
      <c r="L877" s="57" t="str">
        <f t="shared" si="13"/>
        <v/>
      </c>
      <c r="M877" s="11" t="str">
        <f>IF($F$1,IF($L877="","",IFERROR(VLOOKUP($L877,day_data!$A:$I,2,FALSE),0)),NA())</f>
        <v/>
      </c>
      <c r="N877" s="58" t="e">
        <f>IF($F$2,IF($L877="","",IFERROR(VLOOKUP($L877,day_data!$A:$I,3,FALSE),0)),NA())</f>
        <v>#N/A</v>
      </c>
      <c r="O877" s="11" t="e">
        <f>IF($F$3,IF($L877="","",IFERROR(VLOOKUP($L877,day_data!$A:$I,4,FALSE),0)),NA())</f>
        <v>#N/A</v>
      </c>
      <c r="P877" s="58" t="e">
        <f>IF($F$4,IF($L877="","",IFERROR(VLOOKUP($L877,day_data!$A:$I,5,FALSE),0)),NA())</f>
        <v>#N/A</v>
      </c>
      <c r="Q877" s="59" t="e">
        <f>IF($F$8,IF($L877="","",IFERROR(VLOOKUP($L877,day_data!$A:$I,6,FALSE),0)),NA())</f>
        <v>#N/A</v>
      </c>
      <c r="R877" s="11" t="e">
        <f>IF($F$6,IF($L877="","",IFERROR(VLOOKUP($L877,day_data!$A:$I,7,FALSE),0)),NA())</f>
        <v>#N/A</v>
      </c>
      <c r="S877" s="58" t="str">
        <f>IF($F$5,IF($L877="","",IFERROR(VLOOKUP($L877,day_data!$A:$I,8,FALSE),0)),NA())</f>
        <v/>
      </c>
      <c r="T877" s="60" t="e">
        <f>IF($F$7,IF($L877="","",IFERROR(VLOOKUP($L877,day_data!$A:$I,9,FALSE),0)),NA())</f>
        <v>#N/A</v>
      </c>
    </row>
    <row r="878" spans="12:20">
      <c r="L878" s="57" t="str">
        <f t="shared" si="13"/>
        <v/>
      </c>
      <c r="M878" s="11" t="str">
        <f>IF($F$1,IF($L878="","",IFERROR(VLOOKUP($L878,day_data!$A:$I,2,FALSE),0)),NA())</f>
        <v/>
      </c>
      <c r="N878" s="58" t="e">
        <f>IF($F$2,IF($L878="","",IFERROR(VLOOKUP($L878,day_data!$A:$I,3,FALSE),0)),NA())</f>
        <v>#N/A</v>
      </c>
      <c r="O878" s="11" t="e">
        <f>IF($F$3,IF($L878="","",IFERROR(VLOOKUP($L878,day_data!$A:$I,4,FALSE),0)),NA())</f>
        <v>#N/A</v>
      </c>
      <c r="P878" s="58" t="e">
        <f>IF($F$4,IF($L878="","",IFERROR(VLOOKUP($L878,day_data!$A:$I,5,FALSE),0)),NA())</f>
        <v>#N/A</v>
      </c>
      <c r="Q878" s="59" t="e">
        <f>IF($F$8,IF($L878="","",IFERROR(VLOOKUP($L878,day_data!$A:$I,6,FALSE),0)),NA())</f>
        <v>#N/A</v>
      </c>
      <c r="R878" s="11" t="e">
        <f>IF($F$6,IF($L878="","",IFERROR(VLOOKUP($L878,day_data!$A:$I,7,FALSE),0)),NA())</f>
        <v>#N/A</v>
      </c>
      <c r="S878" s="58" t="str">
        <f>IF($F$5,IF($L878="","",IFERROR(VLOOKUP($L878,day_data!$A:$I,8,FALSE),0)),NA())</f>
        <v/>
      </c>
      <c r="T878" s="60" t="e">
        <f>IF($F$7,IF($L878="","",IFERROR(VLOOKUP($L878,day_data!$A:$I,9,FALSE),0)),NA())</f>
        <v>#N/A</v>
      </c>
    </row>
    <row r="879" spans="12:20">
      <c r="L879" s="57" t="str">
        <f t="shared" si="13"/>
        <v/>
      </c>
      <c r="M879" s="11" t="str">
        <f>IF($F$1,IF($L879="","",IFERROR(VLOOKUP($L879,day_data!$A:$I,2,FALSE),0)),NA())</f>
        <v/>
      </c>
      <c r="N879" s="58" t="e">
        <f>IF($F$2,IF($L879="","",IFERROR(VLOOKUP($L879,day_data!$A:$I,3,FALSE),0)),NA())</f>
        <v>#N/A</v>
      </c>
      <c r="O879" s="11" t="e">
        <f>IF($F$3,IF($L879="","",IFERROR(VLOOKUP($L879,day_data!$A:$I,4,FALSE),0)),NA())</f>
        <v>#N/A</v>
      </c>
      <c r="P879" s="58" t="e">
        <f>IF($F$4,IF($L879="","",IFERROR(VLOOKUP($L879,day_data!$A:$I,5,FALSE),0)),NA())</f>
        <v>#N/A</v>
      </c>
      <c r="Q879" s="59" t="e">
        <f>IF($F$8,IF($L879="","",IFERROR(VLOOKUP($L879,day_data!$A:$I,6,FALSE),0)),NA())</f>
        <v>#N/A</v>
      </c>
      <c r="R879" s="11" t="e">
        <f>IF($F$6,IF($L879="","",IFERROR(VLOOKUP($L879,day_data!$A:$I,7,FALSE),0)),NA())</f>
        <v>#N/A</v>
      </c>
      <c r="S879" s="58" t="str">
        <f>IF($F$5,IF($L879="","",IFERROR(VLOOKUP($L879,day_data!$A:$I,8,FALSE),0)),NA())</f>
        <v/>
      </c>
      <c r="T879" s="60" t="e">
        <f>IF($F$7,IF($L879="","",IFERROR(VLOOKUP($L879,day_data!$A:$I,9,FALSE),0)),NA())</f>
        <v>#N/A</v>
      </c>
    </row>
    <row r="880" spans="12:20">
      <c r="L880" s="57" t="str">
        <f t="shared" si="13"/>
        <v/>
      </c>
      <c r="M880" s="11" t="str">
        <f>IF($F$1,IF($L880="","",IFERROR(VLOOKUP($L880,day_data!$A:$I,2,FALSE),0)),NA())</f>
        <v/>
      </c>
      <c r="N880" s="58" t="e">
        <f>IF($F$2,IF($L880="","",IFERROR(VLOOKUP($L880,day_data!$A:$I,3,FALSE),0)),NA())</f>
        <v>#N/A</v>
      </c>
      <c r="O880" s="11" t="e">
        <f>IF($F$3,IF($L880="","",IFERROR(VLOOKUP($L880,day_data!$A:$I,4,FALSE),0)),NA())</f>
        <v>#N/A</v>
      </c>
      <c r="P880" s="58" t="e">
        <f>IF($F$4,IF($L880="","",IFERROR(VLOOKUP($L880,day_data!$A:$I,5,FALSE),0)),NA())</f>
        <v>#N/A</v>
      </c>
      <c r="Q880" s="59" t="e">
        <f>IF($F$8,IF($L880="","",IFERROR(VLOOKUP($L880,day_data!$A:$I,6,FALSE),0)),NA())</f>
        <v>#N/A</v>
      </c>
      <c r="R880" s="11" t="e">
        <f>IF($F$6,IF($L880="","",IFERROR(VLOOKUP($L880,day_data!$A:$I,7,FALSE),0)),NA())</f>
        <v>#N/A</v>
      </c>
      <c r="S880" s="58" t="str">
        <f>IF($F$5,IF($L880="","",IFERROR(VLOOKUP($L880,day_data!$A:$I,8,FALSE),0)),NA())</f>
        <v/>
      </c>
      <c r="T880" s="60" t="e">
        <f>IF($F$7,IF($L880="","",IFERROR(VLOOKUP($L880,day_data!$A:$I,9,FALSE),0)),NA())</f>
        <v>#N/A</v>
      </c>
    </row>
    <row r="881" spans="12:20">
      <c r="L881" s="57" t="str">
        <f t="shared" si="13"/>
        <v/>
      </c>
      <c r="M881" s="11" t="str">
        <f>IF($F$1,IF($L881="","",IFERROR(VLOOKUP($L881,day_data!$A:$I,2,FALSE),0)),NA())</f>
        <v/>
      </c>
      <c r="N881" s="58" t="e">
        <f>IF($F$2,IF($L881="","",IFERROR(VLOOKUP($L881,day_data!$A:$I,3,FALSE),0)),NA())</f>
        <v>#N/A</v>
      </c>
      <c r="O881" s="11" t="e">
        <f>IF($F$3,IF($L881="","",IFERROR(VLOOKUP($L881,day_data!$A:$I,4,FALSE),0)),NA())</f>
        <v>#N/A</v>
      </c>
      <c r="P881" s="58" t="e">
        <f>IF($F$4,IF($L881="","",IFERROR(VLOOKUP($L881,day_data!$A:$I,5,FALSE),0)),NA())</f>
        <v>#N/A</v>
      </c>
      <c r="Q881" s="59" t="e">
        <f>IF($F$8,IF($L881="","",IFERROR(VLOOKUP($L881,day_data!$A:$I,6,FALSE),0)),NA())</f>
        <v>#N/A</v>
      </c>
      <c r="R881" s="11" t="e">
        <f>IF($F$6,IF($L881="","",IFERROR(VLOOKUP($L881,day_data!$A:$I,7,FALSE),0)),NA())</f>
        <v>#N/A</v>
      </c>
      <c r="S881" s="58" t="str">
        <f>IF($F$5,IF($L881="","",IFERROR(VLOOKUP($L881,day_data!$A:$I,8,FALSE),0)),NA())</f>
        <v/>
      </c>
      <c r="T881" s="60" t="e">
        <f>IF($F$7,IF($L881="","",IFERROR(VLOOKUP($L881,day_data!$A:$I,9,FALSE),0)),NA())</f>
        <v>#N/A</v>
      </c>
    </row>
    <row r="882" spans="12:20">
      <c r="L882" s="57" t="str">
        <f t="shared" si="13"/>
        <v/>
      </c>
      <c r="M882" s="11" t="str">
        <f>IF($F$1,IF($L882="","",IFERROR(VLOOKUP($L882,day_data!$A:$I,2,FALSE),0)),NA())</f>
        <v/>
      </c>
      <c r="N882" s="58" t="e">
        <f>IF($F$2,IF($L882="","",IFERROR(VLOOKUP($L882,day_data!$A:$I,3,FALSE),0)),NA())</f>
        <v>#N/A</v>
      </c>
      <c r="O882" s="11" t="e">
        <f>IF($F$3,IF($L882="","",IFERROR(VLOOKUP($L882,day_data!$A:$I,4,FALSE),0)),NA())</f>
        <v>#N/A</v>
      </c>
      <c r="P882" s="58" t="e">
        <f>IF($F$4,IF($L882="","",IFERROR(VLOOKUP($L882,day_data!$A:$I,5,FALSE),0)),NA())</f>
        <v>#N/A</v>
      </c>
      <c r="Q882" s="59" t="e">
        <f>IF($F$8,IF($L882="","",IFERROR(VLOOKUP($L882,day_data!$A:$I,6,FALSE),0)),NA())</f>
        <v>#N/A</v>
      </c>
      <c r="R882" s="11" t="e">
        <f>IF($F$6,IF($L882="","",IFERROR(VLOOKUP($L882,day_data!$A:$I,7,FALSE),0)),NA())</f>
        <v>#N/A</v>
      </c>
      <c r="S882" s="58" t="str">
        <f>IF($F$5,IF($L882="","",IFERROR(VLOOKUP($L882,day_data!$A:$I,8,FALSE),0)),NA())</f>
        <v/>
      </c>
      <c r="T882" s="60" t="e">
        <f>IF($F$7,IF($L882="","",IFERROR(VLOOKUP($L882,day_data!$A:$I,9,FALSE),0)),NA())</f>
        <v>#N/A</v>
      </c>
    </row>
    <row r="883" spans="12:20">
      <c r="L883" s="57" t="str">
        <f t="shared" si="13"/>
        <v/>
      </c>
      <c r="M883" s="11" t="str">
        <f>IF($F$1,IF($L883="","",IFERROR(VLOOKUP($L883,day_data!$A:$I,2,FALSE),0)),NA())</f>
        <v/>
      </c>
      <c r="N883" s="58" t="e">
        <f>IF($F$2,IF($L883="","",IFERROR(VLOOKUP($L883,day_data!$A:$I,3,FALSE),0)),NA())</f>
        <v>#N/A</v>
      </c>
      <c r="O883" s="11" t="e">
        <f>IF($F$3,IF($L883="","",IFERROR(VLOOKUP($L883,day_data!$A:$I,4,FALSE),0)),NA())</f>
        <v>#N/A</v>
      </c>
      <c r="P883" s="58" t="e">
        <f>IF($F$4,IF($L883="","",IFERROR(VLOOKUP($L883,day_data!$A:$I,5,FALSE),0)),NA())</f>
        <v>#N/A</v>
      </c>
      <c r="Q883" s="59" t="e">
        <f>IF($F$8,IF($L883="","",IFERROR(VLOOKUP($L883,day_data!$A:$I,6,FALSE),0)),NA())</f>
        <v>#N/A</v>
      </c>
      <c r="R883" s="11" t="e">
        <f>IF($F$6,IF($L883="","",IFERROR(VLOOKUP($L883,day_data!$A:$I,7,FALSE),0)),NA())</f>
        <v>#N/A</v>
      </c>
      <c r="S883" s="58" t="str">
        <f>IF($F$5,IF($L883="","",IFERROR(VLOOKUP($L883,day_data!$A:$I,8,FALSE),0)),NA())</f>
        <v/>
      </c>
      <c r="T883" s="60" t="e">
        <f>IF($F$7,IF($L883="","",IFERROR(VLOOKUP($L883,day_data!$A:$I,9,FALSE),0)),NA())</f>
        <v>#N/A</v>
      </c>
    </row>
    <row r="884" spans="12:20">
      <c r="L884" s="57" t="str">
        <f t="shared" si="13"/>
        <v/>
      </c>
      <c r="M884" s="11" t="str">
        <f>IF($F$1,IF($L884="","",IFERROR(VLOOKUP($L884,day_data!$A:$I,2,FALSE),0)),NA())</f>
        <v/>
      </c>
      <c r="N884" s="58" t="e">
        <f>IF($F$2,IF($L884="","",IFERROR(VLOOKUP($L884,day_data!$A:$I,3,FALSE),0)),NA())</f>
        <v>#N/A</v>
      </c>
      <c r="O884" s="11" t="e">
        <f>IF($F$3,IF($L884="","",IFERROR(VLOOKUP($L884,day_data!$A:$I,4,FALSE),0)),NA())</f>
        <v>#N/A</v>
      </c>
      <c r="P884" s="58" t="e">
        <f>IF($F$4,IF($L884="","",IFERROR(VLOOKUP($L884,day_data!$A:$I,5,FALSE),0)),NA())</f>
        <v>#N/A</v>
      </c>
      <c r="Q884" s="59" t="e">
        <f>IF($F$8,IF($L884="","",IFERROR(VLOOKUP($L884,day_data!$A:$I,6,FALSE),0)),NA())</f>
        <v>#N/A</v>
      </c>
      <c r="R884" s="11" t="e">
        <f>IF($F$6,IF($L884="","",IFERROR(VLOOKUP($L884,day_data!$A:$I,7,FALSE),0)),NA())</f>
        <v>#N/A</v>
      </c>
      <c r="S884" s="58" t="str">
        <f>IF($F$5,IF($L884="","",IFERROR(VLOOKUP($L884,day_data!$A:$I,8,FALSE),0)),NA())</f>
        <v/>
      </c>
      <c r="T884" s="60" t="e">
        <f>IF($F$7,IF($L884="","",IFERROR(VLOOKUP($L884,day_data!$A:$I,9,FALSE),0)),NA())</f>
        <v>#N/A</v>
      </c>
    </row>
    <row r="885" spans="12:20">
      <c r="L885" s="57" t="str">
        <f t="shared" si="13"/>
        <v/>
      </c>
      <c r="M885" s="11" t="str">
        <f>IF($F$1,IF($L885="","",IFERROR(VLOOKUP($L885,day_data!$A:$I,2,FALSE),0)),NA())</f>
        <v/>
      </c>
      <c r="N885" s="58" t="e">
        <f>IF($F$2,IF($L885="","",IFERROR(VLOOKUP($L885,day_data!$A:$I,3,FALSE),0)),NA())</f>
        <v>#N/A</v>
      </c>
      <c r="O885" s="11" t="e">
        <f>IF($F$3,IF($L885="","",IFERROR(VLOOKUP($L885,day_data!$A:$I,4,FALSE),0)),NA())</f>
        <v>#N/A</v>
      </c>
      <c r="P885" s="58" t="e">
        <f>IF($F$4,IF($L885="","",IFERROR(VLOOKUP($L885,day_data!$A:$I,5,FALSE),0)),NA())</f>
        <v>#N/A</v>
      </c>
      <c r="Q885" s="59" t="e">
        <f>IF($F$8,IF($L885="","",IFERROR(VLOOKUP($L885,day_data!$A:$I,6,FALSE),0)),NA())</f>
        <v>#N/A</v>
      </c>
      <c r="R885" s="11" t="e">
        <f>IF($F$6,IF($L885="","",IFERROR(VLOOKUP($L885,day_data!$A:$I,7,FALSE),0)),NA())</f>
        <v>#N/A</v>
      </c>
      <c r="S885" s="58" t="str">
        <f>IF($F$5,IF($L885="","",IFERROR(VLOOKUP($L885,day_data!$A:$I,8,FALSE),0)),NA())</f>
        <v/>
      </c>
      <c r="T885" s="60" t="e">
        <f>IF($F$7,IF($L885="","",IFERROR(VLOOKUP($L885,day_data!$A:$I,9,FALSE),0)),NA())</f>
        <v>#N/A</v>
      </c>
    </row>
    <row r="886" spans="12:20">
      <c r="L886" s="57" t="str">
        <f t="shared" si="13"/>
        <v/>
      </c>
      <c r="M886" s="11" t="str">
        <f>IF($F$1,IF($L886="","",IFERROR(VLOOKUP($L886,day_data!$A:$I,2,FALSE),0)),NA())</f>
        <v/>
      </c>
      <c r="N886" s="58" t="e">
        <f>IF($F$2,IF($L886="","",IFERROR(VLOOKUP($L886,day_data!$A:$I,3,FALSE),0)),NA())</f>
        <v>#N/A</v>
      </c>
      <c r="O886" s="11" t="e">
        <f>IF($F$3,IF($L886="","",IFERROR(VLOOKUP($L886,day_data!$A:$I,4,FALSE),0)),NA())</f>
        <v>#N/A</v>
      </c>
      <c r="P886" s="58" t="e">
        <f>IF($F$4,IF($L886="","",IFERROR(VLOOKUP($L886,day_data!$A:$I,5,FALSE),0)),NA())</f>
        <v>#N/A</v>
      </c>
      <c r="Q886" s="59" t="e">
        <f>IF($F$8,IF($L886="","",IFERROR(VLOOKUP($L886,day_data!$A:$I,6,FALSE),0)),NA())</f>
        <v>#N/A</v>
      </c>
      <c r="R886" s="11" t="e">
        <f>IF($F$6,IF($L886="","",IFERROR(VLOOKUP($L886,day_data!$A:$I,7,FALSE),0)),NA())</f>
        <v>#N/A</v>
      </c>
      <c r="S886" s="58" t="str">
        <f>IF($F$5,IF($L886="","",IFERROR(VLOOKUP($L886,day_data!$A:$I,8,FALSE),0)),NA())</f>
        <v/>
      </c>
      <c r="T886" s="60" t="e">
        <f>IF($F$7,IF($L886="","",IFERROR(VLOOKUP($L886,day_data!$A:$I,9,FALSE),0)),NA())</f>
        <v>#N/A</v>
      </c>
    </row>
    <row r="887" spans="12:20">
      <c r="L887" s="57" t="str">
        <f t="shared" si="13"/>
        <v/>
      </c>
      <c r="M887" s="11" t="str">
        <f>IF($F$1,IF($L887="","",IFERROR(VLOOKUP($L887,day_data!$A:$I,2,FALSE),0)),NA())</f>
        <v/>
      </c>
      <c r="N887" s="58" t="e">
        <f>IF($F$2,IF($L887="","",IFERROR(VLOOKUP($L887,day_data!$A:$I,3,FALSE),0)),NA())</f>
        <v>#N/A</v>
      </c>
      <c r="O887" s="11" t="e">
        <f>IF($F$3,IF($L887="","",IFERROR(VLOOKUP($L887,day_data!$A:$I,4,FALSE),0)),NA())</f>
        <v>#N/A</v>
      </c>
      <c r="P887" s="58" t="e">
        <f>IF($F$4,IF($L887="","",IFERROR(VLOOKUP($L887,day_data!$A:$I,5,FALSE),0)),NA())</f>
        <v>#N/A</v>
      </c>
      <c r="Q887" s="59" t="e">
        <f>IF($F$8,IF($L887="","",IFERROR(VLOOKUP($L887,day_data!$A:$I,6,FALSE),0)),NA())</f>
        <v>#N/A</v>
      </c>
      <c r="R887" s="11" t="e">
        <f>IF($F$6,IF($L887="","",IFERROR(VLOOKUP($L887,day_data!$A:$I,7,FALSE),0)),NA())</f>
        <v>#N/A</v>
      </c>
      <c r="S887" s="58" t="str">
        <f>IF($F$5,IF($L887="","",IFERROR(VLOOKUP($L887,day_data!$A:$I,8,FALSE),0)),NA())</f>
        <v/>
      </c>
      <c r="T887" s="60" t="e">
        <f>IF($F$7,IF($L887="","",IFERROR(VLOOKUP($L887,day_data!$A:$I,9,FALSE),0)),NA())</f>
        <v>#N/A</v>
      </c>
    </row>
    <row r="888" spans="12:20">
      <c r="L888" s="57" t="str">
        <f t="shared" si="13"/>
        <v/>
      </c>
      <c r="M888" s="11" t="str">
        <f>IF($F$1,IF($L888="","",IFERROR(VLOOKUP($L888,day_data!$A:$I,2,FALSE),0)),NA())</f>
        <v/>
      </c>
      <c r="N888" s="58" t="e">
        <f>IF($F$2,IF($L888="","",IFERROR(VLOOKUP($L888,day_data!$A:$I,3,FALSE),0)),NA())</f>
        <v>#N/A</v>
      </c>
      <c r="O888" s="11" t="e">
        <f>IF($F$3,IF($L888="","",IFERROR(VLOOKUP($L888,day_data!$A:$I,4,FALSE),0)),NA())</f>
        <v>#N/A</v>
      </c>
      <c r="P888" s="58" t="e">
        <f>IF($F$4,IF($L888="","",IFERROR(VLOOKUP($L888,day_data!$A:$I,5,FALSE),0)),NA())</f>
        <v>#N/A</v>
      </c>
      <c r="Q888" s="59" t="e">
        <f>IF($F$8,IF($L888="","",IFERROR(VLOOKUP($L888,day_data!$A:$I,6,FALSE),0)),NA())</f>
        <v>#N/A</v>
      </c>
      <c r="R888" s="11" t="e">
        <f>IF($F$6,IF($L888="","",IFERROR(VLOOKUP($L888,day_data!$A:$I,7,FALSE),0)),NA())</f>
        <v>#N/A</v>
      </c>
      <c r="S888" s="58" t="str">
        <f>IF($F$5,IF($L888="","",IFERROR(VLOOKUP($L888,day_data!$A:$I,8,FALSE),0)),NA())</f>
        <v/>
      </c>
      <c r="T888" s="60" t="e">
        <f>IF($F$7,IF($L888="","",IFERROR(VLOOKUP($L888,day_data!$A:$I,9,FALSE),0)),NA())</f>
        <v>#N/A</v>
      </c>
    </row>
    <row r="889" spans="12:20">
      <c r="L889" s="57" t="str">
        <f t="shared" si="13"/>
        <v/>
      </c>
      <c r="M889" s="11" t="str">
        <f>IF($F$1,IF($L889="","",IFERROR(VLOOKUP($L889,day_data!$A:$I,2,FALSE),0)),NA())</f>
        <v/>
      </c>
      <c r="N889" s="58" t="e">
        <f>IF($F$2,IF($L889="","",IFERROR(VLOOKUP($L889,day_data!$A:$I,3,FALSE),0)),NA())</f>
        <v>#N/A</v>
      </c>
      <c r="O889" s="11" t="e">
        <f>IF($F$3,IF($L889="","",IFERROR(VLOOKUP($L889,day_data!$A:$I,4,FALSE),0)),NA())</f>
        <v>#N/A</v>
      </c>
      <c r="P889" s="58" t="e">
        <f>IF($F$4,IF($L889="","",IFERROR(VLOOKUP($L889,day_data!$A:$I,5,FALSE),0)),NA())</f>
        <v>#N/A</v>
      </c>
      <c r="Q889" s="59" t="e">
        <f>IF($F$8,IF($L889="","",IFERROR(VLOOKUP($L889,day_data!$A:$I,6,FALSE),0)),NA())</f>
        <v>#N/A</v>
      </c>
      <c r="R889" s="11" t="e">
        <f>IF($F$6,IF($L889="","",IFERROR(VLOOKUP($L889,day_data!$A:$I,7,FALSE),0)),NA())</f>
        <v>#N/A</v>
      </c>
      <c r="S889" s="58" t="str">
        <f>IF($F$5,IF($L889="","",IFERROR(VLOOKUP($L889,day_data!$A:$I,8,FALSE),0)),NA())</f>
        <v/>
      </c>
      <c r="T889" s="60" t="e">
        <f>IF($F$7,IF($L889="","",IFERROR(VLOOKUP($L889,day_data!$A:$I,9,FALSE),0)),NA())</f>
        <v>#N/A</v>
      </c>
    </row>
    <row r="890" spans="12:20">
      <c r="L890" s="57" t="str">
        <f t="shared" si="13"/>
        <v/>
      </c>
      <c r="M890" s="11" t="str">
        <f>IF($F$1,IF($L890="","",IFERROR(VLOOKUP($L890,day_data!$A:$I,2,FALSE),0)),NA())</f>
        <v/>
      </c>
      <c r="N890" s="58" t="e">
        <f>IF($F$2,IF($L890="","",IFERROR(VLOOKUP($L890,day_data!$A:$I,3,FALSE),0)),NA())</f>
        <v>#N/A</v>
      </c>
      <c r="O890" s="11" t="e">
        <f>IF($F$3,IF($L890="","",IFERROR(VLOOKUP($L890,day_data!$A:$I,4,FALSE),0)),NA())</f>
        <v>#N/A</v>
      </c>
      <c r="P890" s="58" t="e">
        <f>IF($F$4,IF($L890="","",IFERROR(VLOOKUP($L890,day_data!$A:$I,5,FALSE),0)),NA())</f>
        <v>#N/A</v>
      </c>
      <c r="Q890" s="59" t="e">
        <f>IF($F$8,IF($L890="","",IFERROR(VLOOKUP($L890,day_data!$A:$I,6,FALSE),0)),NA())</f>
        <v>#N/A</v>
      </c>
      <c r="R890" s="11" t="e">
        <f>IF($F$6,IF($L890="","",IFERROR(VLOOKUP($L890,day_data!$A:$I,7,FALSE),0)),NA())</f>
        <v>#N/A</v>
      </c>
      <c r="S890" s="58" t="str">
        <f>IF($F$5,IF($L890="","",IFERROR(VLOOKUP($L890,day_data!$A:$I,8,FALSE),0)),NA())</f>
        <v/>
      </c>
      <c r="T890" s="60" t="e">
        <f>IF($F$7,IF($L890="","",IFERROR(VLOOKUP($L890,day_data!$A:$I,9,FALSE),0)),NA())</f>
        <v>#N/A</v>
      </c>
    </row>
    <row r="891" spans="12:20">
      <c r="L891" s="57" t="str">
        <f t="shared" si="13"/>
        <v/>
      </c>
      <c r="M891" s="11" t="str">
        <f>IF($F$1,IF($L891="","",IFERROR(VLOOKUP($L891,day_data!$A:$I,2,FALSE),0)),NA())</f>
        <v/>
      </c>
      <c r="N891" s="58" t="e">
        <f>IF($F$2,IF($L891="","",IFERROR(VLOOKUP($L891,day_data!$A:$I,3,FALSE),0)),NA())</f>
        <v>#N/A</v>
      </c>
      <c r="O891" s="11" t="e">
        <f>IF($F$3,IF($L891="","",IFERROR(VLOOKUP($L891,day_data!$A:$I,4,FALSE),0)),NA())</f>
        <v>#N/A</v>
      </c>
      <c r="P891" s="58" t="e">
        <f>IF($F$4,IF($L891="","",IFERROR(VLOOKUP($L891,day_data!$A:$I,5,FALSE),0)),NA())</f>
        <v>#N/A</v>
      </c>
      <c r="Q891" s="59" t="e">
        <f>IF($F$8,IF($L891="","",IFERROR(VLOOKUP($L891,day_data!$A:$I,6,FALSE),0)),NA())</f>
        <v>#N/A</v>
      </c>
      <c r="R891" s="11" t="e">
        <f>IF($F$6,IF($L891="","",IFERROR(VLOOKUP($L891,day_data!$A:$I,7,FALSE),0)),NA())</f>
        <v>#N/A</v>
      </c>
      <c r="S891" s="58" t="str">
        <f>IF($F$5,IF($L891="","",IFERROR(VLOOKUP($L891,day_data!$A:$I,8,FALSE),0)),NA())</f>
        <v/>
      </c>
      <c r="T891" s="60" t="e">
        <f>IF($F$7,IF($L891="","",IFERROR(VLOOKUP($L891,day_data!$A:$I,9,FALSE),0)),NA())</f>
        <v>#N/A</v>
      </c>
    </row>
    <row r="892" spans="12:20">
      <c r="L892" s="57" t="str">
        <f t="shared" si="13"/>
        <v/>
      </c>
      <c r="M892" s="11" t="str">
        <f>IF($F$1,IF($L892="","",IFERROR(VLOOKUP($L892,day_data!$A:$I,2,FALSE),0)),NA())</f>
        <v/>
      </c>
      <c r="N892" s="58" t="e">
        <f>IF($F$2,IF($L892="","",IFERROR(VLOOKUP($L892,day_data!$A:$I,3,FALSE),0)),NA())</f>
        <v>#N/A</v>
      </c>
      <c r="O892" s="11" t="e">
        <f>IF($F$3,IF($L892="","",IFERROR(VLOOKUP($L892,day_data!$A:$I,4,FALSE),0)),NA())</f>
        <v>#N/A</v>
      </c>
      <c r="P892" s="58" t="e">
        <f>IF($F$4,IF($L892="","",IFERROR(VLOOKUP($L892,day_data!$A:$I,5,FALSE),0)),NA())</f>
        <v>#N/A</v>
      </c>
      <c r="Q892" s="59" t="e">
        <f>IF($F$8,IF($L892="","",IFERROR(VLOOKUP($L892,day_data!$A:$I,6,FALSE),0)),NA())</f>
        <v>#N/A</v>
      </c>
      <c r="R892" s="11" t="e">
        <f>IF($F$6,IF($L892="","",IFERROR(VLOOKUP($L892,day_data!$A:$I,7,FALSE),0)),NA())</f>
        <v>#N/A</v>
      </c>
      <c r="S892" s="58" t="str">
        <f>IF($F$5,IF($L892="","",IFERROR(VLOOKUP($L892,day_data!$A:$I,8,FALSE),0)),NA())</f>
        <v/>
      </c>
      <c r="T892" s="60" t="e">
        <f>IF($F$7,IF($L892="","",IFERROR(VLOOKUP($L892,day_data!$A:$I,9,FALSE),0)),NA())</f>
        <v>#N/A</v>
      </c>
    </row>
    <row r="893" spans="12:20">
      <c r="L893" s="57" t="str">
        <f t="shared" si="13"/>
        <v/>
      </c>
      <c r="M893" s="11" t="str">
        <f>IF($F$1,IF($L893="","",IFERROR(VLOOKUP($L893,day_data!$A:$I,2,FALSE),0)),NA())</f>
        <v/>
      </c>
      <c r="N893" s="58" t="e">
        <f>IF($F$2,IF($L893="","",IFERROR(VLOOKUP($L893,day_data!$A:$I,3,FALSE),0)),NA())</f>
        <v>#N/A</v>
      </c>
      <c r="O893" s="11" t="e">
        <f>IF($F$3,IF($L893="","",IFERROR(VLOOKUP($L893,day_data!$A:$I,4,FALSE),0)),NA())</f>
        <v>#N/A</v>
      </c>
      <c r="P893" s="58" t="e">
        <f>IF($F$4,IF($L893="","",IFERROR(VLOOKUP($L893,day_data!$A:$I,5,FALSE),0)),NA())</f>
        <v>#N/A</v>
      </c>
      <c r="Q893" s="59" t="e">
        <f>IF($F$8,IF($L893="","",IFERROR(VLOOKUP($L893,day_data!$A:$I,6,FALSE),0)),NA())</f>
        <v>#N/A</v>
      </c>
      <c r="R893" s="11" t="e">
        <f>IF($F$6,IF($L893="","",IFERROR(VLOOKUP($L893,day_data!$A:$I,7,FALSE),0)),NA())</f>
        <v>#N/A</v>
      </c>
      <c r="S893" s="58" t="str">
        <f>IF($F$5,IF($L893="","",IFERROR(VLOOKUP($L893,day_data!$A:$I,8,FALSE),0)),NA())</f>
        <v/>
      </c>
      <c r="T893" s="60" t="e">
        <f>IF($F$7,IF($L893="","",IFERROR(VLOOKUP($L893,day_data!$A:$I,9,FALSE),0)),NA())</f>
        <v>#N/A</v>
      </c>
    </row>
    <row r="894" spans="12:20">
      <c r="L894" s="57" t="str">
        <f t="shared" si="13"/>
        <v/>
      </c>
      <c r="M894" s="11" t="str">
        <f>IF($F$1,IF($L894="","",IFERROR(VLOOKUP($L894,day_data!$A:$I,2,FALSE),0)),NA())</f>
        <v/>
      </c>
      <c r="N894" s="58" t="e">
        <f>IF($F$2,IF($L894="","",IFERROR(VLOOKUP($L894,day_data!$A:$I,3,FALSE),0)),NA())</f>
        <v>#N/A</v>
      </c>
      <c r="O894" s="11" t="e">
        <f>IF($F$3,IF($L894="","",IFERROR(VLOOKUP($L894,day_data!$A:$I,4,FALSE),0)),NA())</f>
        <v>#N/A</v>
      </c>
      <c r="P894" s="58" t="e">
        <f>IF($F$4,IF($L894="","",IFERROR(VLOOKUP($L894,day_data!$A:$I,5,FALSE),0)),NA())</f>
        <v>#N/A</v>
      </c>
      <c r="Q894" s="59" t="e">
        <f>IF($F$8,IF($L894="","",IFERROR(VLOOKUP($L894,day_data!$A:$I,6,FALSE),0)),NA())</f>
        <v>#N/A</v>
      </c>
      <c r="R894" s="11" t="e">
        <f>IF($F$6,IF($L894="","",IFERROR(VLOOKUP($L894,day_data!$A:$I,7,FALSE),0)),NA())</f>
        <v>#N/A</v>
      </c>
      <c r="S894" s="58" t="str">
        <f>IF($F$5,IF($L894="","",IFERROR(VLOOKUP($L894,day_data!$A:$I,8,FALSE),0)),NA())</f>
        <v/>
      </c>
      <c r="T894" s="60" t="e">
        <f>IF($F$7,IF($L894="","",IFERROR(VLOOKUP($L894,day_data!$A:$I,9,FALSE),0)),NA())</f>
        <v>#N/A</v>
      </c>
    </row>
    <row r="895" spans="12:20">
      <c r="L895" s="57" t="str">
        <f t="shared" si="13"/>
        <v/>
      </c>
      <c r="M895" s="11" t="str">
        <f>IF($F$1,IF($L895="","",IFERROR(VLOOKUP($L895,day_data!$A:$I,2,FALSE),0)),NA())</f>
        <v/>
      </c>
      <c r="N895" s="58" t="e">
        <f>IF($F$2,IF($L895="","",IFERROR(VLOOKUP($L895,day_data!$A:$I,3,FALSE),0)),NA())</f>
        <v>#N/A</v>
      </c>
      <c r="O895" s="11" t="e">
        <f>IF($F$3,IF($L895="","",IFERROR(VLOOKUP($L895,day_data!$A:$I,4,FALSE),0)),NA())</f>
        <v>#N/A</v>
      </c>
      <c r="P895" s="58" t="e">
        <f>IF($F$4,IF($L895="","",IFERROR(VLOOKUP($L895,day_data!$A:$I,5,FALSE),0)),NA())</f>
        <v>#N/A</v>
      </c>
      <c r="Q895" s="59" t="e">
        <f>IF($F$8,IF($L895="","",IFERROR(VLOOKUP($L895,day_data!$A:$I,6,FALSE),0)),NA())</f>
        <v>#N/A</v>
      </c>
      <c r="R895" s="11" t="e">
        <f>IF($F$6,IF($L895="","",IFERROR(VLOOKUP($L895,day_data!$A:$I,7,FALSE),0)),NA())</f>
        <v>#N/A</v>
      </c>
      <c r="S895" s="58" t="str">
        <f>IF($F$5,IF($L895="","",IFERROR(VLOOKUP($L895,day_data!$A:$I,8,FALSE),0)),NA())</f>
        <v/>
      </c>
      <c r="T895" s="60" t="e">
        <f>IF($F$7,IF($L895="","",IFERROR(VLOOKUP($L895,day_data!$A:$I,9,FALSE),0)),NA())</f>
        <v>#N/A</v>
      </c>
    </row>
    <row r="896" spans="12:20">
      <c r="L896" s="57" t="str">
        <f t="shared" si="13"/>
        <v/>
      </c>
      <c r="M896" s="11" t="str">
        <f>IF($F$1,IF($L896="","",IFERROR(VLOOKUP($L896,day_data!$A:$I,2,FALSE),0)),NA())</f>
        <v/>
      </c>
      <c r="N896" s="58" t="e">
        <f>IF($F$2,IF($L896="","",IFERROR(VLOOKUP($L896,day_data!$A:$I,3,FALSE),0)),NA())</f>
        <v>#N/A</v>
      </c>
      <c r="O896" s="11" t="e">
        <f>IF($F$3,IF($L896="","",IFERROR(VLOOKUP($L896,day_data!$A:$I,4,FALSE),0)),NA())</f>
        <v>#N/A</v>
      </c>
      <c r="P896" s="58" t="e">
        <f>IF($F$4,IF($L896="","",IFERROR(VLOOKUP($L896,day_data!$A:$I,5,FALSE),0)),NA())</f>
        <v>#N/A</v>
      </c>
      <c r="Q896" s="59" t="e">
        <f>IF($F$8,IF($L896="","",IFERROR(VLOOKUP($L896,day_data!$A:$I,6,FALSE),0)),NA())</f>
        <v>#N/A</v>
      </c>
      <c r="R896" s="11" t="e">
        <f>IF($F$6,IF($L896="","",IFERROR(VLOOKUP($L896,day_data!$A:$I,7,FALSE),0)),NA())</f>
        <v>#N/A</v>
      </c>
      <c r="S896" s="58" t="str">
        <f>IF($F$5,IF($L896="","",IFERROR(VLOOKUP($L896,day_data!$A:$I,8,FALSE),0)),NA())</f>
        <v/>
      </c>
      <c r="T896" s="60" t="e">
        <f>IF($F$7,IF($L896="","",IFERROR(VLOOKUP($L896,day_data!$A:$I,9,FALSE),0)),NA())</f>
        <v>#N/A</v>
      </c>
    </row>
    <row r="897" spans="12:20">
      <c r="L897" s="57" t="str">
        <f t="shared" si="13"/>
        <v/>
      </c>
      <c r="M897" s="11" t="str">
        <f>IF($F$1,IF($L897="","",IFERROR(VLOOKUP($L897,day_data!$A:$I,2,FALSE),0)),NA())</f>
        <v/>
      </c>
      <c r="N897" s="58" t="e">
        <f>IF($F$2,IF($L897="","",IFERROR(VLOOKUP($L897,day_data!$A:$I,3,FALSE),0)),NA())</f>
        <v>#N/A</v>
      </c>
      <c r="O897" s="11" t="e">
        <f>IF($F$3,IF($L897="","",IFERROR(VLOOKUP($L897,day_data!$A:$I,4,FALSE),0)),NA())</f>
        <v>#N/A</v>
      </c>
      <c r="P897" s="58" t="e">
        <f>IF($F$4,IF($L897="","",IFERROR(VLOOKUP($L897,day_data!$A:$I,5,FALSE),0)),NA())</f>
        <v>#N/A</v>
      </c>
      <c r="Q897" s="59" t="e">
        <f>IF($F$8,IF($L897="","",IFERROR(VLOOKUP($L897,day_data!$A:$I,6,FALSE),0)),NA())</f>
        <v>#N/A</v>
      </c>
      <c r="R897" s="11" t="e">
        <f>IF($F$6,IF($L897="","",IFERROR(VLOOKUP($L897,day_data!$A:$I,7,FALSE),0)),NA())</f>
        <v>#N/A</v>
      </c>
      <c r="S897" s="58" t="str">
        <f>IF($F$5,IF($L897="","",IFERROR(VLOOKUP($L897,day_data!$A:$I,8,FALSE),0)),NA())</f>
        <v/>
      </c>
      <c r="T897" s="60" t="e">
        <f>IF($F$7,IF($L897="","",IFERROR(VLOOKUP($L897,day_data!$A:$I,9,FALSE),0)),NA())</f>
        <v>#N/A</v>
      </c>
    </row>
    <row r="898" spans="12:20">
      <c r="L898" s="57" t="str">
        <f t="shared" si="13"/>
        <v/>
      </c>
      <c r="M898" s="11" t="str">
        <f>IF($F$1,IF($L898="","",IFERROR(VLOOKUP($L898,day_data!$A:$I,2,FALSE),0)),NA())</f>
        <v/>
      </c>
      <c r="N898" s="58" t="e">
        <f>IF($F$2,IF($L898="","",IFERROR(VLOOKUP($L898,day_data!$A:$I,3,FALSE),0)),NA())</f>
        <v>#N/A</v>
      </c>
      <c r="O898" s="11" t="e">
        <f>IF($F$3,IF($L898="","",IFERROR(VLOOKUP($L898,day_data!$A:$I,4,FALSE),0)),NA())</f>
        <v>#N/A</v>
      </c>
      <c r="P898" s="58" t="e">
        <f>IF($F$4,IF($L898="","",IFERROR(VLOOKUP($L898,day_data!$A:$I,5,FALSE),0)),NA())</f>
        <v>#N/A</v>
      </c>
      <c r="Q898" s="59" t="e">
        <f>IF($F$8,IF($L898="","",IFERROR(VLOOKUP($L898,day_data!$A:$I,6,FALSE),0)),NA())</f>
        <v>#N/A</v>
      </c>
      <c r="R898" s="11" t="e">
        <f>IF($F$6,IF($L898="","",IFERROR(VLOOKUP($L898,day_data!$A:$I,7,FALSE),0)),NA())</f>
        <v>#N/A</v>
      </c>
      <c r="S898" s="58" t="str">
        <f>IF($F$5,IF($L898="","",IFERROR(VLOOKUP($L898,day_data!$A:$I,8,FALSE),0)),NA())</f>
        <v/>
      </c>
      <c r="T898" s="60" t="e">
        <f>IF($F$7,IF($L898="","",IFERROR(VLOOKUP($L898,day_data!$A:$I,9,FALSE),0)),NA())</f>
        <v>#N/A</v>
      </c>
    </row>
    <row r="899" spans="12:20">
      <c r="L899" s="57" t="str">
        <f t="shared" si="13"/>
        <v/>
      </c>
      <c r="M899" s="11" t="str">
        <f>IF($F$1,IF($L899="","",IFERROR(VLOOKUP($L899,day_data!$A:$I,2,FALSE),0)),NA())</f>
        <v/>
      </c>
      <c r="N899" s="58" t="e">
        <f>IF($F$2,IF($L899="","",IFERROR(VLOOKUP($L899,day_data!$A:$I,3,FALSE),0)),NA())</f>
        <v>#N/A</v>
      </c>
      <c r="O899" s="11" t="e">
        <f>IF($F$3,IF($L899="","",IFERROR(VLOOKUP($L899,day_data!$A:$I,4,FALSE),0)),NA())</f>
        <v>#N/A</v>
      </c>
      <c r="P899" s="58" t="e">
        <f>IF($F$4,IF($L899="","",IFERROR(VLOOKUP($L899,day_data!$A:$I,5,FALSE),0)),NA())</f>
        <v>#N/A</v>
      </c>
      <c r="Q899" s="59" t="e">
        <f>IF($F$8,IF($L899="","",IFERROR(VLOOKUP($L899,day_data!$A:$I,6,FALSE),0)),NA())</f>
        <v>#N/A</v>
      </c>
      <c r="R899" s="11" t="e">
        <f>IF($F$6,IF($L899="","",IFERROR(VLOOKUP($L899,day_data!$A:$I,7,FALSE),0)),NA())</f>
        <v>#N/A</v>
      </c>
      <c r="S899" s="58" t="str">
        <f>IF($F$5,IF($L899="","",IFERROR(VLOOKUP($L899,day_data!$A:$I,8,FALSE),0)),NA())</f>
        <v/>
      </c>
      <c r="T899" s="60" t="e">
        <f>IF($F$7,IF($L899="","",IFERROR(VLOOKUP($L899,day_data!$A:$I,9,FALSE),0)),NA())</f>
        <v>#N/A</v>
      </c>
    </row>
    <row r="900" spans="12:20">
      <c r="L900" s="57" t="str">
        <f t="shared" ref="L900:L934" si="14">IF(ROW(L900)-1&gt;$C$1,"",L899+1)</f>
        <v/>
      </c>
      <c r="M900" s="11" t="str">
        <f>IF($F$1,IF($L900="","",IFERROR(VLOOKUP($L900,day_data!$A:$I,2,FALSE),0)),NA())</f>
        <v/>
      </c>
      <c r="N900" s="58" t="e">
        <f>IF($F$2,IF($L900="","",IFERROR(VLOOKUP($L900,day_data!$A:$I,3,FALSE),0)),NA())</f>
        <v>#N/A</v>
      </c>
      <c r="O900" s="11" t="e">
        <f>IF($F$3,IF($L900="","",IFERROR(VLOOKUP($L900,day_data!$A:$I,4,FALSE),0)),NA())</f>
        <v>#N/A</v>
      </c>
      <c r="P900" s="58" t="e">
        <f>IF($F$4,IF($L900="","",IFERROR(VLOOKUP($L900,day_data!$A:$I,5,FALSE),0)),NA())</f>
        <v>#N/A</v>
      </c>
      <c r="Q900" s="59" t="e">
        <f>IF($F$8,IF($L900="","",IFERROR(VLOOKUP($L900,day_data!$A:$I,6,FALSE),0)),NA())</f>
        <v>#N/A</v>
      </c>
      <c r="R900" s="11" t="e">
        <f>IF($F$6,IF($L900="","",IFERROR(VLOOKUP($L900,day_data!$A:$I,7,FALSE),0)),NA())</f>
        <v>#N/A</v>
      </c>
      <c r="S900" s="58" t="str">
        <f>IF($F$5,IF($L900="","",IFERROR(VLOOKUP($L900,day_data!$A:$I,8,FALSE),0)),NA())</f>
        <v/>
      </c>
      <c r="T900" s="60" t="e">
        <f>IF($F$7,IF($L900="","",IFERROR(VLOOKUP($L900,day_data!$A:$I,9,FALSE),0)),NA())</f>
        <v>#N/A</v>
      </c>
    </row>
    <row r="901" spans="12:20">
      <c r="L901" s="57" t="str">
        <f t="shared" si="14"/>
        <v/>
      </c>
      <c r="M901" s="11" t="str">
        <f>IF($F$1,IF($L901="","",IFERROR(VLOOKUP($L901,day_data!$A:$I,2,FALSE),0)),NA())</f>
        <v/>
      </c>
      <c r="N901" s="58" t="e">
        <f>IF($F$2,IF($L901="","",IFERROR(VLOOKUP($L901,day_data!$A:$I,3,FALSE),0)),NA())</f>
        <v>#N/A</v>
      </c>
      <c r="O901" s="11" t="e">
        <f>IF($F$3,IF($L901="","",IFERROR(VLOOKUP($L901,day_data!$A:$I,4,FALSE),0)),NA())</f>
        <v>#N/A</v>
      </c>
      <c r="P901" s="58" t="e">
        <f>IF($F$4,IF($L901="","",IFERROR(VLOOKUP($L901,day_data!$A:$I,5,FALSE),0)),NA())</f>
        <v>#N/A</v>
      </c>
      <c r="Q901" s="59" t="e">
        <f>IF($F$8,IF($L901="","",IFERROR(VLOOKUP($L901,day_data!$A:$I,6,FALSE),0)),NA())</f>
        <v>#N/A</v>
      </c>
      <c r="R901" s="11" t="e">
        <f>IF($F$6,IF($L901="","",IFERROR(VLOOKUP($L901,day_data!$A:$I,7,FALSE),0)),NA())</f>
        <v>#N/A</v>
      </c>
      <c r="S901" s="58" t="str">
        <f>IF($F$5,IF($L901="","",IFERROR(VLOOKUP($L901,day_data!$A:$I,8,FALSE),0)),NA())</f>
        <v/>
      </c>
      <c r="T901" s="60" t="e">
        <f>IF($F$7,IF($L901="","",IFERROR(VLOOKUP($L901,day_data!$A:$I,9,FALSE),0)),NA())</f>
        <v>#N/A</v>
      </c>
    </row>
    <row r="902" spans="12:20">
      <c r="L902" s="57" t="str">
        <f t="shared" si="14"/>
        <v/>
      </c>
      <c r="M902" s="11" t="str">
        <f>IF($F$1,IF($L902="","",IFERROR(VLOOKUP($L902,day_data!$A:$I,2,FALSE),0)),NA())</f>
        <v/>
      </c>
      <c r="N902" s="58" t="e">
        <f>IF($F$2,IF($L902="","",IFERROR(VLOOKUP($L902,day_data!$A:$I,3,FALSE),0)),NA())</f>
        <v>#N/A</v>
      </c>
      <c r="O902" s="11" t="e">
        <f>IF($F$3,IF($L902="","",IFERROR(VLOOKUP($L902,day_data!$A:$I,4,FALSE),0)),NA())</f>
        <v>#N/A</v>
      </c>
      <c r="P902" s="58" t="e">
        <f>IF($F$4,IF($L902="","",IFERROR(VLOOKUP($L902,day_data!$A:$I,5,FALSE),0)),NA())</f>
        <v>#N/A</v>
      </c>
      <c r="Q902" s="59" t="e">
        <f>IF($F$8,IF($L902="","",IFERROR(VLOOKUP($L902,day_data!$A:$I,6,FALSE),0)),NA())</f>
        <v>#N/A</v>
      </c>
      <c r="R902" s="11" t="e">
        <f>IF($F$6,IF($L902="","",IFERROR(VLOOKUP($L902,day_data!$A:$I,7,FALSE),0)),NA())</f>
        <v>#N/A</v>
      </c>
      <c r="S902" s="58" t="str">
        <f>IF($F$5,IF($L902="","",IFERROR(VLOOKUP($L902,day_data!$A:$I,8,FALSE),0)),NA())</f>
        <v/>
      </c>
      <c r="T902" s="60" t="e">
        <f>IF($F$7,IF($L902="","",IFERROR(VLOOKUP($L902,day_data!$A:$I,9,FALSE),0)),NA())</f>
        <v>#N/A</v>
      </c>
    </row>
    <row r="903" spans="12:20">
      <c r="L903" s="57" t="str">
        <f t="shared" si="14"/>
        <v/>
      </c>
      <c r="M903" s="11" t="str">
        <f>IF($F$1,IF($L903="","",IFERROR(VLOOKUP($L903,day_data!$A:$I,2,FALSE),0)),NA())</f>
        <v/>
      </c>
      <c r="N903" s="58" t="e">
        <f>IF($F$2,IF($L903="","",IFERROR(VLOOKUP($L903,day_data!$A:$I,3,FALSE),0)),NA())</f>
        <v>#N/A</v>
      </c>
      <c r="O903" s="11" t="e">
        <f>IF($F$3,IF($L903="","",IFERROR(VLOOKUP($L903,day_data!$A:$I,4,FALSE),0)),NA())</f>
        <v>#N/A</v>
      </c>
      <c r="P903" s="58" t="e">
        <f>IF($F$4,IF($L903="","",IFERROR(VLOOKUP($L903,day_data!$A:$I,5,FALSE),0)),NA())</f>
        <v>#N/A</v>
      </c>
      <c r="Q903" s="59" t="e">
        <f>IF($F$8,IF($L903="","",IFERROR(VLOOKUP($L903,day_data!$A:$I,6,FALSE),0)),NA())</f>
        <v>#N/A</v>
      </c>
      <c r="R903" s="11" t="e">
        <f>IF($F$6,IF($L903="","",IFERROR(VLOOKUP($L903,day_data!$A:$I,7,FALSE),0)),NA())</f>
        <v>#N/A</v>
      </c>
      <c r="S903" s="58" t="str">
        <f>IF($F$5,IF($L903="","",IFERROR(VLOOKUP($L903,day_data!$A:$I,8,FALSE),0)),NA())</f>
        <v/>
      </c>
      <c r="T903" s="60" t="e">
        <f>IF($F$7,IF($L903="","",IFERROR(VLOOKUP($L903,day_data!$A:$I,9,FALSE),0)),NA())</f>
        <v>#N/A</v>
      </c>
    </row>
    <row r="904" spans="12:20">
      <c r="L904" s="57" t="str">
        <f t="shared" si="14"/>
        <v/>
      </c>
      <c r="M904" s="11" t="str">
        <f>IF($F$1,IF($L904="","",IFERROR(VLOOKUP($L904,day_data!$A:$I,2,FALSE),0)),NA())</f>
        <v/>
      </c>
      <c r="N904" s="58" t="e">
        <f>IF($F$2,IF($L904="","",IFERROR(VLOOKUP($L904,day_data!$A:$I,3,FALSE),0)),NA())</f>
        <v>#N/A</v>
      </c>
      <c r="O904" s="11" t="e">
        <f>IF($F$3,IF($L904="","",IFERROR(VLOOKUP($L904,day_data!$A:$I,4,FALSE),0)),NA())</f>
        <v>#N/A</v>
      </c>
      <c r="P904" s="58" t="e">
        <f>IF($F$4,IF($L904="","",IFERROR(VLOOKUP($L904,day_data!$A:$I,5,FALSE),0)),NA())</f>
        <v>#N/A</v>
      </c>
      <c r="Q904" s="59" t="e">
        <f>IF($F$8,IF($L904="","",IFERROR(VLOOKUP($L904,day_data!$A:$I,6,FALSE),0)),NA())</f>
        <v>#N/A</v>
      </c>
      <c r="R904" s="11" t="e">
        <f>IF($F$6,IF($L904="","",IFERROR(VLOOKUP($L904,day_data!$A:$I,7,FALSE),0)),NA())</f>
        <v>#N/A</v>
      </c>
      <c r="S904" s="58" t="str">
        <f>IF($F$5,IF($L904="","",IFERROR(VLOOKUP($L904,day_data!$A:$I,8,FALSE),0)),NA())</f>
        <v/>
      </c>
      <c r="T904" s="60" t="e">
        <f>IF($F$7,IF($L904="","",IFERROR(VLOOKUP($L904,day_data!$A:$I,9,FALSE),0)),NA())</f>
        <v>#N/A</v>
      </c>
    </row>
    <row r="905" spans="12:20">
      <c r="L905" s="57" t="str">
        <f t="shared" si="14"/>
        <v/>
      </c>
      <c r="M905" s="11" t="str">
        <f>IF($F$1,IF($L905="","",IFERROR(VLOOKUP($L905,day_data!$A:$I,2,FALSE),0)),NA())</f>
        <v/>
      </c>
      <c r="N905" s="58" t="e">
        <f>IF($F$2,IF($L905="","",IFERROR(VLOOKUP($L905,day_data!$A:$I,3,FALSE),0)),NA())</f>
        <v>#N/A</v>
      </c>
      <c r="O905" s="11" t="e">
        <f>IF($F$3,IF($L905="","",IFERROR(VLOOKUP($L905,day_data!$A:$I,4,FALSE),0)),NA())</f>
        <v>#N/A</v>
      </c>
      <c r="P905" s="58" t="e">
        <f>IF($F$4,IF($L905="","",IFERROR(VLOOKUP($L905,day_data!$A:$I,5,FALSE),0)),NA())</f>
        <v>#N/A</v>
      </c>
      <c r="Q905" s="59" t="e">
        <f>IF($F$8,IF($L905="","",IFERROR(VLOOKUP($L905,day_data!$A:$I,6,FALSE),0)),NA())</f>
        <v>#N/A</v>
      </c>
      <c r="R905" s="11" t="e">
        <f>IF($F$6,IF($L905="","",IFERROR(VLOOKUP($L905,day_data!$A:$I,7,FALSE),0)),NA())</f>
        <v>#N/A</v>
      </c>
      <c r="S905" s="58" t="str">
        <f>IF($F$5,IF($L905="","",IFERROR(VLOOKUP($L905,day_data!$A:$I,8,FALSE),0)),NA())</f>
        <v/>
      </c>
      <c r="T905" s="60" t="e">
        <f>IF($F$7,IF($L905="","",IFERROR(VLOOKUP($L905,day_data!$A:$I,9,FALSE),0)),NA())</f>
        <v>#N/A</v>
      </c>
    </row>
    <row r="906" spans="12:20">
      <c r="L906" s="57" t="str">
        <f t="shared" si="14"/>
        <v/>
      </c>
      <c r="M906" s="11" t="str">
        <f>IF($F$1,IF($L906="","",IFERROR(VLOOKUP($L906,day_data!$A:$I,2,FALSE),0)),NA())</f>
        <v/>
      </c>
      <c r="N906" s="58" t="e">
        <f>IF($F$2,IF($L906="","",IFERROR(VLOOKUP($L906,day_data!$A:$I,3,FALSE),0)),NA())</f>
        <v>#N/A</v>
      </c>
      <c r="O906" s="11" t="e">
        <f>IF($F$3,IF($L906="","",IFERROR(VLOOKUP($L906,day_data!$A:$I,4,FALSE),0)),NA())</f>
        <v>#N/A</v>
      </c>
      <c r="P906" s="58" t="e">
        <f>IF($F$4,IF($L906="","",IFERROR(VLOOKUP($L906,day_data!$A:$I,5,FALSE),0)),NA())</f>
        <v>#N/A</v>
      </c>
      <c r="Q906" s="59" t="e">
        <f>IF($F$8,IF($L906="","",IFERROR(VLOOKUP($L906,day_data!$A:$I,6,FALSE),0)),NA())</f>
        <v>#N/A</v>
      </c>
      <c r="R906" s="11" t="e">
        <f>IF($F$6,IF($L906="","",IFERROR(VLOOKUP($L906,day_data!$A:$I,7,FALSE),0)),NA())</f>
        <v>#N/A</v>
      </c>
      <c r="S906" s="58" t="str">
        <f>IF($F$5,IF($L906="","",IFERROR(VLOOKUP($L906,day_data!$A:$I,8,FALSE),0)),NA())</f>
        <v/>
      </c>
      <c r="T906" s="60" t="e">
        <f>IF($F$7,IF($L906="","",IFERROR(VLOOKUP($L906,day_data!$A:$I,9,FALSE),0)),NA())</f>
        <v>#N/A</v>
      </c>
    </row>
    <row r="907" spans="12:20">
      <c r="L907" s="57" t="str">
        <f t="shared" si="14"/>
        <v/>
      </c>
      <c r="M907" s="11" t="str">
        <f>IF($F$1,IF($L907="","",IFERROR(VLOOKUP($L907,day_data!$A:$I,2,FALSE),0)),NA())</f>
        <v/>
      </c>
      <c r="N907" s="58" t="e">
        <f>IF($F$2,IF($L907="","",IFERROR(VLOOKUP($L907,day_data!$A:$I,3,FALSE),0)),NA())</f>
        <v>#N/A</v>
      </c>
      <c r="O907" s="11" t="e">
        <f>IF($F$3,IF($L907="","",IFERROR(VLOOKUP($L907,day_data!$A:$I,4,FALSE),0)),NA())</f>
        <v>#N/A</v>
      </c>
      <c r="P907" s="58" t="e">
        <f>IF($F$4,IF($L907="","",IFERROR(VLOOKUP($L907,day_data!$A:$I,5,FALSE),0)),NA())</f>
        <v>#N/A</v>
      </c>
      <c r="Q907" s="59" t="e">
        <f>IF($F$8,IF($L907="","",IFERROR(VLOOKUP($L907,day_data!$A:$I,6,FALSE),0)),NA())</f>
        <v>#N/A</v>
      </c>
      <c r="R907" s="11" t="e">
        <f>IF($F$6,IF($L907="","",IFERROR(VLOOKUP($L907,day_data!$A:$I,7,FALSE),0)),NA())</f>
        <v>#N/A</v>
      </c>
      <c r="S907" s="58" t="str">
        <f>IF($F$5,IF($L907="","",IFERROR(VLOOKUP($L907,day_data!$A:$I,8,FALSE),0)),NA())</f>
        <v/>
      </c>
      <c r="T907" s="60" t="e">
        <f>IF($F$7,IF($L907="","",IFERROR(VLOOKUP($L907,day_data!$A:$I,9,FALSE),0)),NA())</f>
        <v>#N/A</v>
      </c>
    </row>
    <row r="908" spans="12:20">
      <c r="L908" s="57" t="str">
        <f t="shared" si="14"/>
        <v/>
      </c>
      <c r="M908" s="11" t="str">
        <f>IF($F$1,IF($L908="","",IFERROR(VLOOKUP($L908,day_data!$A:$I,2,FALSE),0)),NA())</f>
        <v/>
      </c>
      <c r="N908" s="58" t="e">
        <f>IF($F$2,IF($L908="","",IFERROR(VLOOKUP($L908,day_data!$A:$I,3,FALSE),0)),NA())</f>
        <v>#N/A</v>
      </c>
      <c r="O908" s="11" t="e">
        <f>IF($F$3,IF($L908="","",IFERROR(VLOOKUP($L908,day_data!$A:$I,4,FALSE),0)),NA())</f>
        <v>#N/A</v>
      </c>
      <c r="P908" s="58" t="e">
        <f>IF($F$4,IF($L908="","",IFERROR(VLOOKUP($L908,day_data!$A:$I,5,FALSE),0)),NA())</f>
        <v>#N/A</v>
      </c>
      <c r="Q908" s="59" t="e">
        <f>IF($F$8,IF($L908="","",IFERROR(VLOOKUP($L908,day_data!$A:$I,6,FALSE),0)),NA())</f>
        <v>#N/A</v>
      </c>
      <c r="R908" s="11" t="e">
        <f>IF($F$6,IF($L908="","",IFERROR(VLOOKUP($L908,day_data!$A:$I,7,FALSE),0)),NA())</f>
        <v>#N/A</v>
      </c>
      <c r="S908" s="58" t="str">
        <f>IF($F$5,IF($L908="","",IFERROR(VLOOKUP($L908,day_data!$A:$I,8,FALSE),0)),NA())</f>
        <v/>
      </c>
      <c r="T908" s="60" t="e">
        <f>IF($F$7,IF($L908="","",IFERROR(VLOOKUP($L908,day_data!$A:$I,9,FALSE),0)),NA())</f>
        <v>#N/A</v>
      </c>
    </row>
    <row r="909" spans="12:20">
      <c r="L909" s="57" t="str">
        <f t="shared" si="14"/>
        <v/>
      </c>
      <c r="M909" s="11" t="str">
        <f>IF($F$1,IF($L909="","",IFERROR(VLOOKUP($L909,day_data!$A:$I,2,FALSE),0)),NA())</f>
        <v/>
      </c>
      <c r="N909" s="58" t="e">
        <f>IF($F$2,IF($L909="","",IFERROR(VLOOKUP($L909,day_data!$A:$I,3,FALSE),0)),NA())</f>
        <v>#N/A</v>
      </c>
      <c r="O909" s="11" t="e">
        <f>IF($F$3,IF($L909="","",IFERROR(VLOOKUP($L909,day_data!$A:$I,4,FALSE),0)),NA())</f>
        <v>#N/A</v>
      </c>
      <c r="P909" s="58" t="e">
        <f>IF($F$4,IF($L909="","",IFERROR(VLOOKUP($L909,day_data!$A:$I,5,FALSE),0)),NA())</f>
        <v>#N/A</v>
      </c>
      <c r="Q909" s="59" t="e">
        <f>IF($F$8,IF($L909="","",IFERROR(VLOOKUP($L909,day_data!$A:$I,6,FALSE),0)),NA())</f>
        <v>#N/A</v>
      </c>
      <c r="R909" s="11" t="e">
        <f>IF($F$6,IF($L909="","",IFERROR(VLOOKUP($L909,day_data!$A:$I,7,FALSE),0)),NA())</f>
        <v>#N/A</v>
      </c>
      <c r="S909" s="58" t="str">
        <f>IF($F$5,IF($L909="","",IFERROR(VLOOKUP($L909,day_data!$A:$I,8,FALSE),0)),NA())</f>
        <v/>
      </c>
      <c r="T909" s="60" t="e">
        <f>IF($F$7,IF($L909="","",IFERROR(VLOOKUP($L909,day_data!$A:$I,9,FALSE),0)),NA())</f>
        <v>#N/A</v>
      </c>
    </row>
    <row r="910" spans="12:20">
      <c r="L910" s="57" t="str">
        <f t="shared" si="14"/>
        <v/>
      </c>
      <c r="M910" s="11" t="str">
        <f>IF($F$1,IF($L910="","",IFERROR(VLOOKUP($L910,day_data!$A:$I,2,FALSE),0)),NA())</f>
        <v/>
      </c>
      <c r="N910" s="58" t="e">
        <f>IF($F$2,IF($L910="","",IFERROR(VLOOKUP($L910,day_data!$A:$I,3,FALSE),0)),NA())</f>
        <v>#N/A</v>
      </c>
      <c r="O910" s="11" t="e">
        <f>IF($F$3,IF($L910="","",IFERROR(VLOOKUP($L910,day_data!$A:$I,4,FALSE),0)),NA())</f>
        <v>#N/A</v>
      </c>
      <c r="P910" s="58" t="e">
        <f>IF($F$4,IF($L910="","",IFERROR(VLOOKUP($L910,day_data!$A:$I,5,FALSE),0)),NA())</f>
        <v>#N/A</v>
      </c>
      <c r="Q910" s="59" t="e">
        <f>IF($F$8,IF($L910="","",IFERROR(VLOOKUP($L910,day_data!$A:$I,6,FALSE),0)),NA())</f>
        <v>#N/A</v>
      </c>
      <c r="R910" s="11" t="e">
        <f>IF($F$6,IF($L910="","",IFERROR(VLOOKUP($L910,day_data!$A:$I,7,FALSE),0)),NA())</f>
        <v>#N/A</v>
      </c>
      <c r="S910" s="58" t="str">
        <f>IF($F$5,IF($L910="","",IFERROR(VLOOKUP($L910,day_data!$A:$I,8,FALSE),0)),NA())</f>
        <v/>
      </c>
      <c r="T910" s="60" t="e">
        <f>IF($F$7,IF($L910="","",IFERROR(VLOOKUP($L910,day_data!$A:$I,9,FALSE),0)),NA())</f>
        <v>#N/A</v>
      </c>
    </row>
    <row r="911" spans="12:20">
      <c r="L911" s="57" t="str">
        <f t="shared" si="14"/>
        <v/>
      </c>
      <c r="M911" s="11" t="str">
        <f>IF($F$1,IF($L911="","",IFERROR(VLOOKUP($L911,day_data!$A:$I,2,FALSE),0)),NA())</f>
        <v/>
      </c>
      <c r="N911" s="58" t="e">
        <f>IF($F$2,IF($L911="","",IFERROR(VLOOKUP($L911,day_data!$A:$I,3,FALSE),0)),NA())</f>
        <v>#N/A</v>
      </c>
      <c r="O911" s="11" t="e">
        <f>IF($F$3,IF($L911="","",IFERROR(VLOOKUP($L911,day_data!$A:$I,4,FALSE),0)),NA())</f>
        <v>#N/A</v>
      </c>
      <c r="P911" s="58" t="e">
        <f>IF($F$4,IF($L911="","",IFERROR(VLOOKUP($L911,day_data!$A:$I,5,FALSE),0)),NA())</f>
        <v>#N/A</v>
      </c>
      <c r="Q911" s="59" t="e">
        <f>IF($F$8,IF($L911="","",IFERROR(VLOOKUP($L911,day_data!$A:$I,6,FALSE),0)),NA())</f>
        <v>#N/A</v>
      </c>
      <c r="R911" s="11" t="e">
        <f>IF($F$6,IF($L911="","",IFERROR(VLOOKUP($L911,day_data!$A:$I,7,FALSE),0)),NA())</f>
        <v>#N/A</v>
      </c>
      <c r="S911" s="58" t="str">
        <f>IF($F$5,IF($L911="","",IFERROR(VLOOKUP($L911,day_data!$A:$I,8,FALSE),0)),NA())</f>
        <v/>
      </c>
      <c r="T911" s="60" t="e">
        <f>IF($F$7,IF($L911="","",IFERROR(VLOOKUP($L911,day_data!$A:$I,9,FALSE),0)),NA())</f>
        <v>#N/A</v>
      </c>
    </row>
    <row r="912" spans="12:20">
      <c r="L912" s="57" t="str">
        <f t="shared" si="14"/>
        <v/>
      </c>
      <c r="M912" s="11" t="str">
        <f>IF($F$1,IF($L912="","",IFERROR(VLOOKUP($L912,day_data!$A:$I,2,FALSE),0)),NA())</f>
        <v/>
      </c>
      <c r="N912" s="58" t="e">
        <f>IF($F$2,IF($L912="","",IFERROR(VLOOKUP($L912,day_data!$A:$I,3,FALSE),0)),NA())</f>
        <v>#N/A</v>
      </c>
      <c r="O912" s="11" t="e">
        <f>IF($F$3,IF($L912="","",IFERROR(VLOOKUP($L912,day_data!$A:$I,4,FALSE),0)),NA())</f>
        <v>#N/A</v>
      </c>
      <c r="P912" s="58" t="e">
        <f>IF($F$4,IF($L912="","",IFERROR(VLOOKUP($L912,day_data!$A:$I,5,FALSE),0)),NA())</f>
        <v>#N/A</v>
      </c>
      <c r="Q912" s="59" t="e">
        <f>IF($F$8,IF($L912="","",IFERROR(VLOOKUP($L912,day_data!$A:$I,6,FALSE),0)),NA())</f>
        <v>#N/A</v>
      </c>
      <c r="R912" s="11" t="e">
        <f>IF($F$6,IF($L912="","",IFERROR(VLOOKUP($L912,day_data!$A:$I,7,FALSE),0)),NA())</f>
        <v>#N/A</v>
      </c>
      <c r="S912" s="58" t="str">
        <f>IF($F$5,IF($L912="","",IFERROR(VLOOKUP($L912,day_data!$A:$I,8,FALSE),0)),NA())</f>
        <v/>
      </c>
      <c r="T912" s="60" t="e">
        <f>IF($F$7,IF($L912="","",IFERROR(VLOOKUP($L912,day_data!$A:$I,9,FALSE),0)),NA())</f>
        <v>#N/A</v>
      </c>
    </row>
    <row r="913" spans="12:20">
      <c r="L913" s="57" t="str">
        <f t="shared" si="14"/>
        <v/>
      </c>
      <c r="M913" s="11" t="str">
        <f>IF($F$1,IF($L913="","",IFERROR(VLOOKUP($L913,day_data!$A:$I,2,FALSE),0)),NA())</f>
        <v/>
      </c>
      <c r="N913" s="58" t="e">
        <f>IF($F$2,IF($L913="","",IFERROR(VLOOKUP($L913,day_data!$A:$I,3,FALSE),0)),NA())</f>
        <v>#N/A</v>
      </c>
      <c r="O913" s="11" t="e">
        <f>IF($F$3,IF($L913="","",IFERROR(VLOOKUP($L913,day_data!$A:$I,4,FALSE),0)),NA())</f>
        <v>#N/A</v>
      </c>
      <c r="P913" s="58" t="e">
        <f>IF($F$4,IF($L913="","",IFERROR(VLOOKUP($L913,day_data!$A:$I,5,FALSE),0)),NA())</f>
        <v>#N/A</v>
      </c>
      <c r="Q913" s="59" t="e">
        <f>IF($F$8,IF($L913="","",IFERROR(VLOOKUP($L913,day_data!$A:$I,6,FALSE),0)),NA())</f>
        <v>#N/A</v>
      </c>
      <c r="R913" s="11" t="e">
        <f>IF($F$6,IF($L913="","",IFERROR(VLOOKUP($L913,day_data!$A:$I,7,FALSE),0)),NA())</f>
        <v>#N/A</v>
      </c>
      <c r="S913" s="58" t="str">
        <f>IF($F$5,IF($L913="","",IFERROR(VLOOKUP($L913,day_data!$A:$I,8,FALSE),0)),NA())</f>
        <v/>
      </c>
      <c r="T913" s="60" t="e">
        <f>IF($F$7,IF($L913="","",IFERROR(VLOOKUP($L913,day_data!$A:$I,9,FALSE),0)),NA())</f>
        <v>#N/A</v>
      </c>
    </row>
    <row r="914" spans="12:20">
      <c r="L914" s="57" t="str">
        <f t="shared" si="14"/>
        <v/>
      </c>
      <c r="M914" s="11" t="str">
        <f>IF($F$1,IF($L914="","",IFERROR(VLOOKUP($L914,day_data!$A:$I,2,FALSE),0)),NA())</f>
        <v/>
      </c>
      <c r="N914" s="58" t="e">
        <f>IF($F$2,IF($L914="","",IFERROR(VLOOKUP($L914,day_data!$A:$I,3,FALSE),0)),NA())</f>
        <v>#N/A</v>
      </c>
      <c r="O914" s="11" t="e">
        <f>IF($F$3,IF($L914="","",IFERROR(VLOOKUP($L914,day_data!$A:$I,4,FALSE),0)),NA())</f>
        <v>#N/A</v>
      </c>
      <c r="P914" s="58" t="e">
        <f>IF($F$4,IF($L914="","",IFERROR(VLOOKUP($L914,day_data!$A:$I,5,FALSE),0)),NA())</f>
        <v>#N/A</v>
      </c>
      <c r="Q914" s="59" t="e">
        <f>IF($F$8,IF($L914="","",IFERROR(VLOOKUP($L914,day_data!$A:$I,6,FALSE),0)),NA())</f>
        <v>#N/A</v>
      </c>
      <c r="R914" s="11" t="e">
        <f>IF($F$6,IF($L914="","",IFERROR(VLOOKUP($L914,day_data!$A:$I,7,FALSE),0)),NA())</f>
        <v>#N/A</v>
      </c>
      <c r="S914" s="58" t="str">
        <f>IF($F$5,IF($L914="","",IFERROR(VLOOKUP($L914,day_data!$A:$I,8,FALSE),0)),NA())</f>
        <v/>
      </c>
      <c r="T914" s="60" t="e">
        <f>IF($F$7,IF($L914="","",IFERROR(VLOOKUP($L914,day_data!$A:$I,9,FALSE),0)),NA())</f>
        <v>#N/A</v>
      </c>
    </row>
    <row r="915" spans="12:20">
      <c r="L915" s="57" t="str">
        <f t="shared" si="14"/>
        <v/>
      </c>
      <c r="M915" s="11" t="str">
        <f>IF($F$1,IF($L915="","",IFERROR(VLOOKUP($L915,day_data!$A:$I,2,FALSE),0)),NA())</f>
        <v/>
      </c>
      <c r="N915" s="58" t="e">
        <f>IF($F$2,IF($L915="","",IFERROR(VLOOKUP($L915,day_data!$A:$I,3,FALSE),0)),NA())</f>
        <v>#N/A</v>
      </c>
      <c r="O915" s="11" t="e">
        <f>IF($F$3,IF($L915="","",IFERROR(VLOOKUP($L915,day_data!$A:$I,4,FALSE),0)),NA())</f>
        <v>#N/A</v>
      </c>
      <c r="P915" s="58" t="e">
        <f>IF($F$4,IF($L915="","",IFERROR(VLOOKUP($L915,day_data!$A:$I,5,FALSE),0)),NA())</f>
        <v>#N/A</v>
      </c>
      <c r="Q915" s="59" t="e">
        <f>IF($F$8,IF($L915="","",IFERROR(VLOOKUP($L915,day_data!$A:$I,6,FALSE),0)),NA())</f>
        <v>#N/A</v>
      </c>
      <c r="R915" s="11" t="e">
        <f>IF($F$6,IF($L915="","",IFERROR(VLOOKUP($L915,day_data!$A:$I,7,FALSE),0)),NA())</f>
        <v>#N/A</v>
      </c>
      <c r="S915" s="58" t="str">
        <f>IF($F$5,IF($L915="","",IFERROR(VLOOKUP($L915,day_data!$A:$I,8,FALSE),0)),NA())</f>
        <v/>
      </c>
      <c r="T915" s="60" t="e">
        <f>IF($F$7,IF($L915="","",IFERROR(VLOOKUP($L915,day_data!$A:$I,9,FALSE),0)),NA())</f>
        <v>#N/A</v>
      </c>
    </row>
    <row r="916" spans="12:20">
      <c r="L916" s="57" t="str">
        <f t="shared" si="14"/>
        <v/>
      </c>
      <c r="M916" s="11" t="str">
        <f>IF($F$1,IF($L916="","",IFERROR(VLOOKUP($L916,day_data!$A:$I,2,FALSE),0)),NA())</f>
        <v/>
      </c>
      <c r="N916" s="58" t="e">
        <f>IF($F$2,IF($L916="","",IFERROR(VLOOKUP($L916,day_data!$A:$I,3,FALSE),0)),NA())</f>
        <v>#N/A</v>
      </c>
      <c r="O916" s="11" t="e">
        <f>IF($F$3,IF($L916="","",IFERROR(VLOOKUP($L916,day_data!$A:$I,4,FALSE),0)),NA())</f>
        <v>#N/A</v>
      </c>
      <c r="P916" s="58" t="e">
        <f>IF($F$4,IF($L916="","",IFERROR(VLOOKUP($L916,day_data!$A:$I,5,FALSE),0)),NA())</f>
        <v>#N/A</v>
      </c>
      <c r="Q916" s="59" t="e">
        <f>IF($F$8,IF($L916="","",IFERROR(VLOOKUP($L916,day_data!$A:$I,6,FALSE),0)),NA())</f>
        <v>#N/A</v>
      </c>
      <c r="R916" s="11" t="e">
        <f>IF($F$6,IF($L916="","",IFERROR(VLOOKUP($L916,day_data!$A:$I,7,FALSE),0)),NA())</f>
        <v>#N/A</v>
      </c>
      <c r="S916" s="58" t="str">
        <f>IF($F$5,IF($L916="","",IFERROR(VLOOKUP($L916,day_data!$A:$I,8,FALSE),0)),NA())</f>
        <v/>
      </c>
      <c r="T916" s="60" t="e">
        <f>IF($F$7,IF($L916="","",IFERROR(VLOOKUP($L916,day_data!$A:$I,9,FALSE),0)),NA())</f>
        <v>#N/A</v>
      </c>
    </row>
    <row r="917" spans="12:20">
      <c r="L917" s="57" t="str">
        <f t="shared" si="14"/>
        <v/>
      </c>
      <c r="M917" s="11" t="str">
        <f>IF($F$1,IF($L917="","",IFERROR(VLOOKUP($L917,day_data!$A:$I,2,FALSE),0)),NA())</f>
        <v/>
      </c>
      <c r="N917" s="58" t="e">
        <f>IF($F$2,IF($L917="","",IFERROR(VLOOKUP($L917,day_data!$A:$I,3,FALSE),0)),NA())</f>
        <v>#N/A</v>
      </c>
      <c r="O917" s="11" t="e">
        <f>IF($F$3,IF($L917="","",IFERROR(VLOOKUP($L917,day_data!$A:$I,4,FALSE),0)),NA())</f>
        <v>#N/A</v>
      </c>
      <c r="P917" s="58" t="e">
        <f>IF($F$4,IF($L917="","",IFERROR(VLOOKUP($L917,day_data!$A:$I,5,FALSE),0)),NA())</f>
        <v>#N/A</v>
      </c>
      <c r="Q917" s="59" t="e">
        <f>IF($F$8,IF($L917="","",IFERROR(VLOOKUP($L917,day_data!$A:$I,6,FALSE),0)),NA())</f>
        <v>#N/A</v>
      </c>
      <c r="R917" s="11" t="e">
        <f>IF($F$6,IF($L917="","",IFERROR(VLOOKUP($L917,day_data!$A:$I,7,FALSE),0)),NA())</f>
        <v>#N/A</v>
      </c>
      <c r="S917" s="58" t="str">
        <f>IF($F$5,IF($L917="","",IFERROR(VLOOKUP($L917,day_data!$A:$I,8,FALSE),0)),NA())</f>
        <v/>
      </c>
      <c r="T917" s="60" t="e">
        <f>IF($F$7,IF($L917="","",IFERROR(VLOOKUP($L917,day_data!$A:$I,9,FALSE),0)),NA())</f>
        <v>#N/A</v>
      </c>
    </row>
    <row r="918" spans="12:20">
      <c r="L918" s="57" t="str">
        <f t="shared" si="14"/>
        <v/>
      </c>
      <c r="M918" s="11" t="str">
        <f>IF($F$1,IF($L918="","",IFERROR(VLOOKUP($L918,day_data!$A:$I,2,FALSE),0)),NA())</f>
        <v/>
      </c>
      <c r="N918" s="58" t="e">
        <f>IF($F$2,IF($L918="","",IFERROR(VLOOKUP($L918,day_data!$A:$I,3,FALSE),0)),NA())</f>
        <v>#N/A</v>
      </c>
      <c r="O918" s="11" t="e">
        <f>IF($F$3,IF($L918="","",IFERROR(VLOOKUP($L918,day_data!$A:$I,4,FALSE),0)),NA())</f>
        <v>#N/A</v>
      </c>
      <c r="P918" s="58" t="e">
        <f>IF($F$4,IF($L918="","",IFERROR(VLOOKUP($L918,day_data!$A:$I,5,FALSE),0)),NA())</f>
        <v>#N/A</v>
      </c>
      <c r="Q918" s="59" t="e">
        <f>IF($F$8,IF($L918="","",IFERROR(VLOOKUP($L918,day_data!$A:$I,6,FALSE),0)),NA())</f>
        <v>#N/A</v>
      </c>
      <c r="R918" s="11" t="e">
        <f>IF($F$6,IF($L918="","",IFERROR(VLOOKUP($L918,day_data!$A:$I,7,FALSE),0)),NA())</f>
        <v>#N/A</v>
      </c>
      <c r="S918" s="58" t="str">
        <f>IF($F$5,IF($L918="","",IFERROR(VLOOKUP($L918,day_data!$A:$I,8,FALSE),0)),NA())</f>
        <v/>
      </c>
      <c r="T918" s="60" t="e">
        <f>IF($F$7,IF($L918="","",IFERROR(VLOOKUP($L918,day_data!$A:$I,9,FALSE),0)),NA())</f>
        <v>#N/A</v>
      </c>
    </row>
    <row r="919" spans="12:20">
      <c r="L919" s="57" t="str">
        <f t="shared" si="14"/>
        <v/>
      </c>
      <c r="M919" s="11" t="str">
        <f>IF($F$1,IF($L919="","",IFERROR(VLOOKUP($L919,day_data!$A:$I,2,FALSE),0)),NA())</f>
        <v/>
      </c>
      <c r="N919" s="58" t="e">
        <f>IF($F$2,IF($L919="","",IFERROR(VLOOKUP($L919,day_data!$A:$I,3,FALSE),0)),NA())</f>
        <v>#N/A</v>
      </c>
      <c r="O919" s="11" t="e">
        <f>IF($F$3,IF($L919="","",IFERROR(VLOOKUP($L919,day_data!$A:$I,4,FALSE),0)),NA())</f>
        <v>#N/A</v>
      </c>
      <c r="P919" s="58" t="e">
        <f>IF($F$4,IF($L919="","",IFERROR(VLOOKUP($L919,day_data!$A:$I,5,FALSE),0)),NA())</f>
        <v>#N/A</v>
      </c>
      <c r="Q919" s="59" t="e">
        <f>IF($F$8,IF($L919="","",IFERROR(VLOOKUP($L919,day_data!$A:$I,6,FALSE),0)),NA())</f>
        <v>#N/A</v>
      </c>
      <c r="R919" s="11" t="e">
        <f>IF($F$6,IF($L919="","",IFERROR(VLOOKUP($L919,day_data!$A:$I,7,FALSE),0)),NA())</f>
        <v>#N/A</v>
      </c>
      <c r="S919" s="58" t="str">
        <f>IF($F$5,IF($L919="","",IFERROR(VLOOKUP($L919,day_data!$A:$I,8,FALSE),0)),NA())</f>
        <v/>
      </c>
      <c r="T919" s="60" t="e">
        <f>IF($F$7,IF($L919="","",IFERROR(VLOOKUP($L919,day_data!$A:$I,9,FALSE),0)),NA())</f>
        <v>#N/A</v>
      </c>
    </row>
    <row r="920" spans="12:20">
      <c r="L920" s="57" t="str">
        <f t="shared" si="14"/>
        <v/>
      </c>
      <c r="M920" s="11" t="str">
        <f>IF($F$1,IF($L920="","",IFERROR(VLOOKUP($L920,day_data!$A:$I,2,FALSE),0)),NA())</f>
        <v/>
      </c>
      <c r="N920" s="58" t="e">
        <f>IF($F$2,IF($L920="","",IFERROR(VLOOKUP($L920,day_data!$A:$I,3,FALSE),0)),NA())</f>
        <v>#N/A</v>
      </c>
      <c r="O920" s="11" t="e">
        <f>IF($F$3,IF($L920="","",IFERROR(VLOOKUP($L920,day_data!$A:$I,4,FALSE),0)),NA())</f>
        <v>#N/A</v>
      </c>
      <c r="P920" s="58" t="e">
        <f>IF($F$4,IF($L920="","",IFERROR(VLOOKUP($L920,day_data!$A:$I,5,FALSE),0)),NA())</f>
        <v>#N/A</v>
      </c>
      <c r="Q920" s="59" t="e">
        <f>IF($F$8,IF($L920="","",IFERROR(VLOOKUP($L920,day_data!$A:$I,6,FALSE),0)),NA())</f>
        <v>#N/A</v>
      </c>
      <c r="R920" s="11" t="e">
        <f>IF($F$6,IF($L920="","",IFERROR(VLOOKUP($L920,day_data!$A:$I,7,FALSE),0)),NA())</f>
        <v>#N/A</v>
      </c>
      <c r="S920" s="58" t="str">
        <f>IF($F$5,IF($L920="","",IFERROR(VLOOKUP($L920,day_data!$A:$I,8,FALSE),0)),NA())</f>
        <v/>
      </c>
      <c r="T920" s="60" t="e">
        <f>IF($F$7,IF($L920="","",IFERROR(VLOOKUP($L920,day_data!$A:$I,9,FALSE),0)),NA())</f>
        <v>#N/A</v>
      </c>
    </row>
    <row r="921" spans="12:20">
      <c r="L921" s="57" t="str">
        <f t="shared" si="14"/>
        <v/>
      </c>
      <c r="M921" s="11" t="str">
        <f>IF($F$1,IF($L921="","",IFERROR(VLOOKUP($L921,day_data!$A:$I,2,FALSE),0)),NA())</f>
        <v/>
      </c>
      <c r="N921" s="58" t="e">
        <f>IF($F$2,IF($L921="","",IFERROR(VLOOKUP($L921,day_data!$A:$I,3,FALSE),0)),NA())</f>
        <v>#N/A</v>
      </c>
      <c r="O921" s="11" t="e">
        <f>IF($F$3,IF($L921="","",IFERROR(VLOOKUP($L921,day_data!$A:$I,4,FALSE),0)),NA())</f>
        <v>#N/A</v>
      </c>
      <c r="P921" s="58" t="e">
        <f>IF($F$4,IF($L921="","",IFERROR(VLOOKUP($L921,day_data!$A:$I,5,FALSE),0)),NA())</f>
        <v>#N/A</v>
      </c>
      <c r="Q921" s="59" t="e">
        <f>IF($F$8,IF($L921="","",IFERROR(VLOOKUP($L921,day_data!$A:$I,6,FALSE),0)),NA())</f>
        <v>#N/A</v>
      </c>
      <c r="R921" s="11" t="e">
        <f>IF($F$6,IF($L921="","",IFERROR(VLOOKUP($L921,day_data!$A:$I,7,FALSE),0)),NA())</f>
        <v>#N/A</v>
      </c>
      <c r="S921" s="58" t="str">
        <f>IF($F$5,IF($L921="","",IFERROR(VLOOKUP($L921,day_data!$A:$I,8,FALSE),0)),NA())</f>
        <v/>
      </c>
      <c r="T921" s="60" t="e">
        <f>IF($F$7,IF($L921="","",IFERROR(VLOOKUP($L921,day_data!$A:$I,9,FALSE),0)),NA())</f>
        <v>#N/A</v>
      </c>
    </row>
    <row r="922" spans="12:20">
      <c r="L922" s="57" t="str">
        <f t="shared" si="14"/>
        <v/>
      </c>
      <c r="M922" s="11" t="str">
        <f>IF($F$1,IF($L922="","",IFERROR(VLOOKUP($L922,day_data!$A:$I,2,FALSE),0)),NA())</f>
        <v/>
      </c>
      <c r="N922" s="58" t="e">
        <f>IF($F$2,IF($L922="","",IFERROR(VLOOKUP($L922,day_data!$A:$I,3,FALSE),0)),NA())</f>
        <v>#N/A</v>
      </c>
      <c r="O922" s="11" t="e">
        <f>IF($F$3,IF($L922="","",IFERROR(VLOOKUP($L922,day_data!$A:$I,4,FALSE),0)),NA())</f>
        <v>#N/A</v>
      </c>
      <c r="P922" s="58" t="e">
        <f>IF($F$4,IF($L922="","",IFERROR(VLOOKUP($L922,day_data!$A:$I,5,FALSE),0)),NA())</f>
        <v>#N/A</v>
      </c>
      <c r="Q922" s="59" t="e">
        <f>IF($F$8,IF($L922="","",IFERROR(VLOOKUP($L922,day_data!$A:$I,6,FALSE),0)),NA())</f>
        <v>#N/A</v>
      </c>
      <c r="R922" s="11" t="e">
        <f>IF($F$6,IF($L922="","",IFERROR(VLOOKUP($L922,day_data!$A:$I,7,FALSE),0)),NA())</f>
        <v>#N/A</v>
      </c>
      <c r="S922" s="58" t="str">
        <f>IF($F$5,IF($L922="","",IFERROR(VLOOKUP($L922,day_data!$A:$I,8,FALSE),0)),NA())</f>
        <v/>
      </c>
      <c r="T922" s="60" t="e">
        <f>IF($F$7,IF($L922="","",IFERROR(VLOOKUP($L922,day_data!$A:$I,9,FALSE),0)),NA())</f>
        <v>#N/A</v>
      </c>
    </row>
    <row r="923" spans="12:20">
      <c r="L923" s="57" t="str">
        <f t="shared" si="14"/>
        <v/>
      </c>
      <c r="M923" s="11" t="str">
        <f>IF($F$1,IF($L923="","",IFERROR(VLOOKUP($L923,day_data!$A:$I,2,FALSE),0)),NA())</f>
        <v/>
      </c>
      <c r="N923" s="58" t="e">
        <f>IF($F$2,IF($L923="","",IFERROR(VLOOKUP($L923,day_data!$A:$I,3,FALSE),0)),NA())</f>
        <v>#N/A</v>
      </c>
      <c r="O923" s="11" t="e">
        <f>IF($F$3,IF($L923="","",IFERROR(VLOOKUP($L923,day_data!$A:$I,4,FALSE),0)),NA())</f>
        <v>#N/A</v>
      </c>
      <c r="P923" s="58" t="e">
        <f>IF($F$4,IF($L923="","",IFERROR(VLOOKUP($L923,day_data!$A:$I,5,FALSE),0)),NA())</f>
        <v>#N/A</v>
      </c>
      <c r="Q923" s="59" t="e">
        <f>IF($F$8,IF($L923="","",IFERROR(VLOOKUP($L923,day_data!$A:$I,6,FALSE),0)),NA())</f>
        <v>#N/A</v>
      </c>
      <c r="R923" s="11" t="e">
        <f>IF($F$6,IF($L923="","",IFERROR(VLOOKUP($L923,day_data!$A:$I,7,FALSE),0)),NA())</f>
        <v>#N/A</v>
      </c>
      <c r="S923" s="58" t="str">
        <f>IF($F$5,IF($L923="","",IFERROR(VLOOKUP($L923,day_data!$A:$I,8,FALSE),0)),NA())</f>
        <v/>
      </c>
      <c r="T923" s="60" t="e">
        <f>IF($F$7,IF($L923="","",IFERROR(VLOOKUP($L923,day_data!$A:$I,9,FALSE),0)),NA())</f>
        <v>#N/A</v>
      </c>
    </row>
    <row r="924" spans="12:20">
      <c r="L924" s="57" t="str">
        <f t="shared" si="14"/>
        <v/>
      </c>
      <c r="M924" s="11" t="str">
        <f>IF($F$1,IF($L924="","",IFERROR(VLOOKUP($L924,day_data!$A:$I,2,FALSE),0)),NA())</f>
        <v/>
      </c>
      <c r="N924" s="58" t="e">
        <f>IF($F$2,IF($L924="","",IFERROR(VLOOKUP($L924,day_data!$A:$I,3,FALSE),0)),NA())</f>
        <v>#N/A</v>
      </c>
      <c r="O924" s="11" t="e">
        <f>IF($F$3,IF($L924="","",IFERROR(VLOOKUP($L924,day_data!$A:$I,4,FALSE),0)),NA())</f>
        <v>#N/A</v>
      </c>
      <c r="P924" s="58" t="e">
        <f>IF($F$4,IF($L924="","",IFERROR(VLOOKUP($L924,day_data!$A:$I,5,FALSE),0)),NA())</f>
        <v>#N/A</v>
      </c>
      <c r="Q924" s="59" t="e">
        <f>IF($F$8,IF($L924="","",IFERROR(VLOOKUP($L924,day_data!$A:$I,6,FALSE),0)),NA())</f>
        <v>#N/A</v>
      </c>
      <c r="R924" s="11" t="e">
        <f>IF($F$6,IF($L924="","",IFERROR(VLOOKUP($L924,day_data!$A:$I,7,FALSE),0)),NA())</f>
        <v>#N/A</v>
      </c>
      <c r="S924" s="58" t="str">
        <f>IF($F$5,IF($L924="","",IFERROR(VLOOKUP($L924,day_data!$A:$I,8,FALSE),0)),NA())</f>
        <v/>
      </c>
      <c r="T924" s="60" t="e">
        <f>IF($F$7,IF($L924="","",IFERROR(VLOOKUP($L924,day_data!$A:$I,9,FALSE),0)),NA())</f>
        <v>#N/A</v>
      </c>
    </row>
    <row r="925" spans="12:20">
      <c r="L925" s="57" t="str">
        <f t="shared" si="14"/>
        <v/>
      </c>
      <c r="M925" s="11" t="str">
        <f>IF($F$1,IF($L925="","",IFERROR(VLOOKUP($L925,day_data!$A:$I,2,FALSE),0)),NA())</f>
        <v/>
      </c>
      <c r="N925" s="58" t="e">
        <f>IF($F$2,IF($L925="","",IFERROR(VLOOKUP($L925,day_data!$A:$I,3,FALSE),0)),NA())</f>
        <v>#N/A</v>
      </c>
      <c r="O925" s="11" t="e">
        <f>IF($F$3,IF($L925="","",IFERROR(VLOOKUP($L925,day_data!$A:$I,4,FALSE),0)),NA())</f>
        <v>#N/A</v>
      </c>
      <c r="P925" s="58" t="e">
        <f>IF($F$4,IF($L925="","",IFERROR(VLOOKUP($L925,day_data!$A:$I,5,FALSE),0)),NA())</f>
        <v>#N/A</v>
      </c>
      <c r="Q925" s="59" t="e">
        <f>IF($F$8,IF($L925="","",IFERROR(VLOOKUP($L925,day_data!$A:$I,6,FALSE),0)),NA())</f>
        <v>#N/A</v>
      </c>
      <c r="R925" s="11" t="e">
        <f>IF($F$6,IF($L925="","",IFERROR(VLOOKUP($L925,day_data!$A:$I,7,FALSE),0)),NA())</f>
        <v>#N/A</v>
      </c>
      <c r="S925" s="58" t="str">
        <f>IF($F$5,IF($L925="","",IFERROR(VLOOKUP($L925,day_data!$A:$I,8,FALSE),0)),NA())</f>
        <v/>
      </c>
      <c r="T925" s="60" t="e">
        <f>IF($F$7,IF($L925="","",IFERROR(VLOOKUP($L925,day_data!$A:$I,9,FALSE),0)),NA())</f>
        <v>#N/A</v>
      </c>
    </row>
    <row r="926" spans="12:20">
      <c r="L926" s="57" t="str">
        <f t="shared" si="14"/>
        <v/>
      </c>
      <c r="M926" s="11" t="str">
        <f>IF($F$1,IF($L926="","",IFERROR(VLOOKUP($L926,day_data!$A:$I,2,FALSE),0)),NA())</f>
        <v/>
      </c>
      <c r="N926" s="58" t="e">
        <f>IF($F$2,IF($L926="","",IFERROR(VLOOKUP($L926,day_data!$A:$I,3,FALSE),0)),NA())</f>
        <v>#N/A</v>
      </c>
      <c r="O926" s="11" t="e">
        <f>IF($F$3,IF($L926="","",IFERROR(VLOOKUP($L926,day_data!$A:$I,4,FALSE),0)),NA())</f>
        <v>#N/A</v>
      </c>
      <c r="P926" s="58" t="e">
        <f>IF($F$4,IF($L926="","",IFERROR(VLOOKUP($L926,day_data!$A:$I,5,FALSE),0)),NA())</f>
        <v>#N/A</v>
      </c>
      <c r="Q926" s="59" t="e">
        <f>IF($F$8,IF($L926="","",IFERROR(VLOOKUP($L926,day_data!$A:$I,6,FALSE),0)),NA())</f>
        <v>#N/A</v>
      </c>
      <c r="R926" s="11" t="e">
        <f>IF($F$6,IF($L926="","",IFERROR(VLOOKUP($L926,day_data!$A:$I,7,FALSE),0)),NA())</f>
        <v>#N/A</v>
      </c>
      <c r="S926" s="58" t="str">
        <f>IF($F$5,IF($L926="","",IFERROR(VLOOKUP($L926,day_data!$A:$I,8,FALSE),0)),NA())</f>
        <v/>
      </c>
      <c r="T926" s="60" t="e">
        <f>IF($F$7,IF($L926="","",IFERROR(VLOOKUP($L926,day_data!$A:$I,9,FALSE),0)),NA())</f>
        <v>#N/A</v>
      </c>
    </row>
    <row r="927" spans="12:20">
      <c r="L927" s="57" t="str">
        <f t="shared" si="14"/>
        <v/>
      </c>
      <c r="M927" s="11" t="str">
        <f>IF($F$1,IF($L927="","",IFERROR(VLOOKUP($L927,day_data!$A:$I,2,FALSE),0)),NA())</f>
        <v/>
      </c>
      <c r="N927" s="58" t="e">
        <f>IF($F$2,IF($L927="","",IFERROR(VLOOKUP($L927,day_data!$A:$I,3,FALSE),0)),NA())</f>
        <v>#N/A</v>
      </c>
      <c r="O927" s="11" t="e">
        <f>IF($F$3,IF($L927="","",IFERROR(VLOOKUP($L927,day_data!$A:$I,4,FALSE),0)),NA())</f>
        <v>#N/A</v>
      </c>
      <c r="P927" s="58" t="e">
        <f>IF($F$4,IF($L927="","",IFERROR(VLOOKUP($L927,day_data!$A:$I,5,FALSE),0)),NA())</f>
        <v>#N/A</v>
      </c>
      <c r="Q927" s="59" t="e">
        <f>IF($F$8,IF($L927="","",IFERROR(VLOOKUP($L927,day_data!$A:$I,6,FALSE),0)),NA())</f>
        <v>#N/A</v>
      </c>
      <c r="R927" s="11" t="e">
        <f>IF($F$6,IF($L927="","",IFERROR(VLOOKUP($L927,day_data!$A:$I,7,FALSE),0)),NA())</f>
        <v>#N/A</v>
      </c>
      <c r="S927" s="58" t="str">
        <f>IF($F$5,IF($L927="","",IFERROR(VLOOKUP($L927,day_data!$A:$I,8,FALSE),0)),NA())</f>
        <v/>
      </c>
      <c r="T927" s="60" t="e">
        <f>IF($F$7,IF($L927="","",IFERROR(VLOOKUP($L927,day_data!$A:$I,9,FALSE),0)),NA())</f>
        <v>#N/A</v>
      </c>
    </row>
    <row r="928" spans="12:20">
      <c r="L928" s="57" t="str">
        <f t="shared" si="14"/>
        <v/>
      </c>
      <c r="M928" s="11" t="str">
        <f>IF($F$1,IF($L928="","",IFERROR(VLOOKUP($L928,day_data!$A:$I,2,FALSE),0)),NA())</f>
        <v/>
      </c>
      <c r="N928" s="58" t="e">
        <f>IF($F$2,IF($L928="","",IFERROR(VLOOKUP($L928,day_data!$A:$I,3,FALSE),0)),NA())</f>
        <v>#N/A</v>
      </c>
      <c r="O928" s="11" t="e">
        <f>IF($F$3,IF($L928="","",IFERROR(VLOOKUP($L928,day_data!$A:$I,4,FALSE),0)),NA())</f>
        <v>#N/A</v>
      </c>
      <c r="P928" s="58" t="e">
        <f>IF($F$4,IF($L928="","",IFERROR(VLOOKUP($L928,day_data!$A:$I,5,FALSE),0)),NA())</f>
        <v>#N/A</v>
      </c>
      <c r="Q928" s="59" t="e">
        <f>IF($F$8,IF($L928="","",IFERROR(VLOOKUP($L928,day_data!$A:$I,6,FALSE),0)),NA())</f>
        <v>#N/A</v>
      </c>
      <c r="R928" s="11" t="e">
        <f>IF($F$6,IF($L928="","",IFERROR(VLOOKUP($L928,day_data!$A:$I,7,FALSE),0)),NA())</f>
        <v>#N/A</v>
      </c>
      <c r="S928" s="58" t="str">
        <f>IF($F$5,IF($L928="","",IFERROR(VLOOKUP($L928,day_data!$A:$I,8,FALSE),0)),NA())</f>
        <v/>
      </c>
      <c r="T928" s="60" t="e">
        <f>IF($F$7,IF($L928="","",IFERROR(VLOOKUP($L928,day_data!$A:$I,9,FALSE),0)),NA())</f>
        <v>#N/A</v>
      </c>
    </row>
    <row r="929" spans="12:20">
      <c r="L929" s="57" t="str">
        <f t="shared" si="14"/>
        <v/>
      </c>
      <c r="M929" s="11" t="str">
        <f>IF($F$1,IF($L929="","",IFERROR(VLOOKUP($L929,day_data!$A:$I,2,FALSE),0)),NA())</f>
        <v/>
      </c>
      <c r="N929" s="58" t="e">
        <f>IF($F$2,IF($L929="","",IFERROR(VLOOKUP($L929,day_data!$A:$I,3,FALSE),0)),NA())</f>
        <v>#N/A</v>
      </c>
      <c r="O929" s="11" t="e">
        <f>IF($F$3,IF($L929="","",IFERROR(VLOOKUP($L929,day_data!$A:$I,4,FALSE),0)),NA())</f>
        <v>#N/A</v>
      </c>
      <c r="P929" s="58" t="e">
        <f>IF($F$4,IF($L929="","",IFERROR(VLOOKUP($L929,day_data!$A:$I,5,FALSE),0)),NA())</f>
        <v>#N/A</v>
      </c>
      <c r="Q929" s="59" t="e">
        <f>IF($F$8,IF($L929="","",IFERROR(VLOOKUP($L929,day_data!$A:$I,6,FALSE),0)),NA())</f>
        <v>#N/A</v>
      </c>
      <c r="R929" s="11" t="e">
        <f>IF($F$6,IF($L929="","",IFERROR(VLOOKUP($L929,day_data!$A:$I,7,FALSE),0)),NA())</f>
        <v>#N/A</v>
      </c>
      <c r="S929" s="58" t="str">
        <f>IF($F$5,IF($L929="","",IFERROR(VLOOKUP($L929,day_data!$A:$I,8,FALSE),0)),NA())</f>
        <v/>
      </c>
      <c r="T929" s="60" t="e">
        <f>IF($F$7,IF($L929="","",IFERROR(VLOOKUP($L929,day_data!$A:$I,9,FALSE),0)),NA())</f>
        <v>#N/A</v>
      </c>
    </row>
    <row r="930" spans="12:20">
      <c r="L930" s="57" t="str">
        <f t="shared" si="14"/>
        <v/>
      </c>
      <c r="M930" s="11" t="str">
        <f>IF($F$1,IF($L930="","",IFERROR(VLOOKUP($L930,day_data!$A:$I,2,FALSE),0)),NA())</f>
        <v/>
      </c>
      <c r="N930" s="58" t="e">
        <f>IF($F$2,IF($L930="","",IFERROR(VLOOKUP($L930,day_data!$A:$I,3,FALSE),0)),NA())</f>
        <v>#N/A</v>
      </c>
      <c r="O930" s="11" t="e">
        <f>IF($F$3,IF($L930="","",IFERROR(VLOOKUP($L930,day_data!$A:$I,4,FALSE),0)),NA())</f>
        <v>#N/A</v>
      </c>
      <c r="P930" s="58" t="e">
        <f>IF($F$4,IF($L930="","",IFERROR(VLOOKUP($L930,day_data!$A:$I,5,FALSE),0)),NA())</f>
        <v>#N/A</v>
      </c>
      <c r="Q930" s="59" t="e">
        <f>IF($F$8,IF($L930="","",IFERROR(VLOOKUP($L930,day_data!$A:$I,6,FALSE),0)),NA())</f>
        <v>#N/A</v>
      </c>
      <c r="R930" s="11" t="e">
        <f>IF($F$6,IF($L930="","",IFERROR(VLOOKUP($L930,day_data!$A:$I,7,FALSE),0)),NA())</f>
        <v>#N/A</v>
      </c>
      <c r="S930" s="58" t="str">
        <f>IF($F$5,IF($L930="","",IFERROR(VLOOKUP($L930,day_data!$A:$I,8,FALSE),0)),NA())</f>
        <v/>
      </c>
      <c r="T930" s="60" t="e">
        <f>IF($F$7,IF($L930="","",IFERROR(VLOOKUP($L930,day_data!$A:$I,9,FALSE),0)),NA())</f>
        <v>#N/A</v>
      </c>
    </row>
    <row r="931" spans="12:20">
      <c r="L931" s="57" t="str">
        <f t="shared" si="14"/>
        <v/>
      </c>
      <c r="M931" s="11" t="str">
        <f>IF($F$1,IF($L931="","",IFERROR(VLOOKUP($L931,day_data!$A:$I,2,FALSE),0)),NA())</f>
        <v/>
      </c>
      <c r="N931" s="58" t="e">
        <f>IF($F$2,IF($L931="","",IFERROR(VLOOKUP($L931,day_data!$A:$I,3,FALSE),0)),NA())</f>
        <v>#N/A</v>
      </c>
      <c r="O931" s="11" t="e">
        <f>IF($F$3,IF($L931="","",IFERROR(VLOOKUP($L931,day_data!$A:$I,4,FALSE),0)),NA())</f>
        <v>#N/A</v>
      </c>
      <c r="P931" s="58" t="e">
        <f>IF($F$4,IF($L931="","",IFERROR(VLOOKUP($L931,day_data!$A:$I,5,FALSE),0)),NA())</f>
        <v>#N/A</v>
      </c>
      <c r="Q931" s="59" t="e">
        <f>IF($F$8,IF($L931="","",IFERROR(VLOOKUP($L931,day_data!$A:$I,6,FALSE),0)),NA())</f>
        <v>#N/A</v>
      </c>
      <c r="R931" s="11" t="e">
        <f>IF($F$6,IF($L931="","",IFERROR(VLOOKUP($L931,day_data!$A:$I,7,FALSE),0)),NA())</f>
        <v>#N/A</v>
      </c>
      <c r="S931" s="58" t="str">
        <f>IF($F$5,IF($L931="","",IFERROR(VLOOKUP($L931,day_data!$A:$I,8,FALSE),0)),NA())</f>
        <v/>
      </c>
      <c r="T931" s="60" t="e">
        <f>IF($F$7,IF($L931="","",IFERROR(VLOOKUP($L931,day_data!$A:$I,9,FALSE),0)),NA())</f>
        <v>#N/A</v>
      </c>
    </row>
    <row r="932" spans="12:20">
      <c r="L932" s="57" t="str">
        <f t="shared" si="14"/>
        <v/>
      </c>
      <c r="M932" s="11" t="str">
        <f>IF($F$1,IF($L932="","",IFERROR(VLOOKUP($L932,day_data!$A:$I,2,FALSE),0)),NA())</f>
        <v/>
      </c>
      <c r="N932" s="58" t="e">
        <f>IF($F$2,IF($L932="","",IFERROR(VLOOKUP($L932,day_data!$A:$I,3,FALSE),0)),NA())</f>
        <v>#N/A</v>
      </c>
      <c r="O932" s="11" t="e">
        <f>IF($F$3,IF($L932="","",IFERROR(VLOOKUP($L932,day_data!$A:$I,4,FALSE),0)),NA())</f>
        <v>#N/A</v>
      </c>
      <c r="P932" s="58" t="e">
        <f>IF($F$4,IF($L932="","",IFERROR(VLOOKUP($L932,day_data!$A:$I,5,FALSE),0)),NA())</f>
        <v>#N/A</v>
      </c>
      <c r="Q932" s="59" t="e">
        <f>IF($F$8,IF($L932="","",IFERROR(VLOOKUP($L932,day_data!$A:$I,6,FALSE),0)),NA())</f>
        <v>#N/A</v>
      </c>
      <c r="R932" s="11" t="e">
        <f>IF($F$6,IF($L932="","",IFERROR(VLOOKUP($L932,day_data!$A:$I,7,FALSE),0)),NA())</f>
        <v>#N/A</v>
      </c>
      <c r="S932" s="58" t="str">
        <f>IF($F$5,IF($L932="","",IFERROR(VLOOKUP($L932,day_data!$A:$I,8,FALSE),0)),NA())</f>
        <v/>
      </c>
      <c r="T932" s="60" t="e">
        <f>IF($F$7,IF($L932="","",IFERROR(VLOOKUP($L932,day_data!$A:$I,9,FALSE),0)),NA())</f>
        <v>#N/A</v>
      </c>
    </row>
    <row r="933" spans="12:20">
      <c r="L933" s="57" t="str">
        <f t="shared" si="14"/>
        <v/>
      </c>
      <c r="M933" s="11" t="str">
        <f>IF($F$1,IF($L933="","",IFERROR(VLOOKUP($L933,day_data!$A:$I,2,FALSE),0)),NA())</f>
        <v/>
      </c>
      <c r="N933" s="58" t="e">
        <f>IF($F$2,IF($L933="","",IFERROR(VLOOKUP($L933,day_data!$A:$I,3,FALSE),0)),NA())</f>
        <v>#N/A</v>
      </c>
      <c r="O933" s="11" t="e">
        <f>IF($F$3,IF($L933="","",IFERROR(VLOOKUP($L933,day_data!$A:$I,4,FALSE),0)),NA())</f>
        <v>#N/A</v>
      </c>
      <c r="P933" s="58" t="e">
        <f>IF($F$4,IF($L933="","",IFERROR(VLOOKUP($L933,day_data!$A:$I,5,FALSE),0)),NA())</f>
        <v>#N/A</v>
      </c>
      <c r="Q933" s="59" t="e">
        <f>IF($F$8,IF($L933="","",IFERROR(VLOOKUP($L933,day_data!$A:$I,6,FALSE),0)),NA())</f>
        <v>#N/A</v>
      </c>
      <c r="R933" s="11" t="e">
        <f>IF($F$6,IF($L933="","",IFERROR(VLOOKUP($L933,day_data!$A:$I,7,FALSE),0)),NA())</f>
        <v>#N/A</v>
      </c>
      <c r="S933" s="58" t="str">
        <f>IF($F$5,IF($L933="","",IFERROR(VLOOKUP($L933,day_data!$A:$I,8,FALSE),0)),NA())</f>
        <v/>
      </c>
      <c r="T933" s="60" t="e">
        <f>IF($F$7,IF($L933="","",IFERROR(VLOOKUP($L933,day_data!$A:$I,9,FALSE),0)),NA())</f>
        <v>#N/A</v>
      </c>
    </row>
    <row r="934" spans="12:20">
      <c r="L934" s="57" t="str">
        <f t="shared" si="14"/>
        <v/>
      </c>
      <c r="M934" s="11" t="str">
        <f>IF($F$1,IF($L934="","",IFERROR(VLOOKUP($L934,day_data!$A:$I,2,FALSE),0)),NA())</f>
        <v/>
      </c>
      <c r="N934" s="58" t="e">
        <f>IF($F$2,IF($L934="","",IFERROR(VLOOKUP($L934,day_data!$A:$I,3,FALSE),0)),NA())</f>
        <v>#N/A</v>
      </c>
      <c r="O934" s="11" t="e">
        <f>IF($F$3,IF($L934="","",IFERROR(VLOOKUP($L934,day_data!$A:$I,4,FALSE),0)),NA())</f>
        <v>#N/A</v>
      </c>
      <c r="P934" s="58" t="e">
        <f>IF($F$4,IF($L934="","",IFERROR(VLOOKUP($L934,day_data!$A:$I,5,FALSE),0)),NA())</f>
        <v>#N/A</v>
      </c>
      <c r="Q934" s="59" t="e">
        <f>IF($F$8,IF($L934="","",IFERROR(VLOOKUP($L934,day_data!$A:$I,6,FALSE),0)),NA())</f>
        <v>#N/A</v>
      </c>
      <c r="R934" s="11" t="e">
        <f>IF($F$6,IF($L934="","",IFERROR(VLOOKUP($L934,day_data!$A:$I,7,FALSE),0)),NA())</f>
        <v>#N/A</v>
      </c>
      <c r="S934" s="58" t="str">
        <f>IF($F$5,IF($L934="","",IFERROR(VLOOKUP($L934,day_data!$A:$I,8,FALSE),0)),NA())</f>
        <v/>
      </c>
      <c r="T934" s="60" t="e">
        <f>IF($F$7,IF($L934="","",IFERROR(VLOOKUP($L934,day_data!$A:$I,9,FALSE),0)),NA())</f>
        <v>#N/A</v>
      </c>
    </row>
  </sheetData>
  <sheetProtection formatCells="0" formatColumns="0" formatRows="0" insertRows="0" insertColumns="0" insertHyperlinks="0" deleteColumns="0" deleteRows="0" sort="0" autoFilter="0" pivotTables="0"/>
  <pageMargins left="0.7" right="0.7" top="0.75" bottom="0.75" header="0.3" footer="0.3"/>
  <pageSetup paperSize="9" orientation="portrait" horizontalDpi="1200" verticalDpi="1200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Q294"/>
  <sheetViews>
    <sheetView showGridLines="0" zoomScale="85" zoomScaleNormal="85" workbookViewId="0">
      <selection activeCell="I2" sqref="I2"/>
    </sheetView>
  </sheetViews>
  <sheetFormatPr defaultColWidth="9.125" defaultRowHeight="14.25"/>
  <cols>
    <col min="1" max="1" width="3.625" style="11" customWidth="1"/>
    <col min="2" max="2" width="2.375" style="45" customWidth="1"/>
    <col min="3" max="3" width="11.875" style="45" customWidth="1"/>
    <col min="4" max="4" width="10.375" style="46" customWidth="1"/>
    <col min="5" max="5" width="9.125" style="47" customWidth="1"/>
    <col min="6" max="7" width="9.125" style="11"/>
    <col min="8" max="8" width="10.625" style="11" customWidth="1"/>
    <col min="9" max="10" width="9.125" style="11"/>
    <col min="11" max="11" width="11" style="11" customWidth="1"/>
    <col min="12" max="12" width="10.375" style="11" customWidth="1"/>
    <col min="13" max="13" width="8.875" style="11" customWidth="1"/>
    <col min="14" max="14" width="8.75" style="11" customWidth="1"/>
    <col min="15" max="15" width="6.875" style="11" customWidth="1"/>
    <col min="16" max="16" width="15" style="11" customWidth="1"/>
    <col min="17" max="17" width="12.375" style="11" customWidth="1"/>
    <col min="18" max="18" width="14.125" style="11" customWidth="1"/>
    <col min="19" max="19" width="11" style="11" customWidth="1"/>
    <col min="20" max="16384" width="9.125" style="11"/>
  </cols>
  <sheetData>
    <row r="1" ht="18" spans="2:17">
      <c r="B1" s="11"/>
      <c r="C1" s="11"/>
      <c r="D1" s="11"/>
      <c r="E1" s="11"/>
      <c r="P1" s="50" t="s">
        <v>88</v>
      </c>
      <c r="Q1" s="53">
        <f>MIN(day_控件!L2:L295)</f>
        <v>43374</v>
      </c>
    </row>
    <row r="2" spans="2:15">
      <c r="B2" s="11"/>
      <c r="C2" s="11"/>
      <c r="D2" s="11"/>
      <c r="E2" s="11"/>
      <c r="O2" s="11">
        <v>2</v>
      </c>
    </row>
    <row r="3" ht="18" spans="2:17">
      <c r="B3" s="11"/>
      <c r="C3" s="11"/>
      <c r="D3" s="11"/>
      <c r="E3" s="11"/>
      <c r="P3" s="51" t="s">
        <v>89</v>
      </c>
      <c r="Q3" s="54">
        <f>MAX(day_控件!L2:L295)</f>
        <v>43440</v>
      </c>
    </row>
    <row r="4" ht="20.25" spans="2:17">
      <c r="B4" s="11"/>
      <c r="C4" s="11"/>
      <c r="D4" s="11"/>
      <c r="E4" s="11"/>
      <c r="P4" s="52" t="s">
        <v>90</v>
      </c>
      <c r="Q4" s="55">
        <f>Q3-Q1</f>
        <v>66</v>
      </c>
    </row>
    <row r="5" spans="2:5">
      <c r="B5" s="11"/>
      <c r="C5" s="11"/>
      <c r="D5" s="11"/>
      <c r="E5" s="11"/>
    </row>
    <row r="6" ht="34.5" customHeight="1" spans="2:5">
      <c r="B6" s="11"/>
      <c r="C6" s="48" t="s">
        <v>76</v>
      </c>
      <c r="D6" s="11"/>
      <c r="E6" s="11"/>
    </row>
    <row r="7" ht="34.5" customHeight="1" spans="2:5">
      <c r="B7" s="11"/>
      <c r="C7" s="48" t="s">
        <v>84</v>
      </c>
      <c r="D7" s="11"/>
      <c r="E7" s="11"/>
    </row>
    <row r="8" ht="34.5" customHeight="1" spans="2:5">
      <c r="B8" s="11"/>
      <c r="C8" s="48" t="s">
        <v>85</v>
      </c>
      <c r="D8" s="11"/>
      <c r="E8" s="11"/>
    </row>
    <row r="9" ht="34.5" customHeight="1" spans="2:5">
      <c r="B9" s="11"/>
      <c r="C9" s="48" t="s">
        <v>71</v>
      </c>
      <c r="D9" s="11"/>
      <c r="E9" s="11"/>
    </row>
    <row r="10" ht="34.5" customHeight="1" spans="2:5">
      <c r="B10" s="11"/>
      <c r="C10" s="48" t="s">
        <v>86</v>
      </c>
      <c r="D10" s="11"/>
      <c r="E10" s="11"/>
    </row>
    <row r="11" ht="34.5" customHeight="1" spans="2:5">
      <c r="B11" s="11"/>
      <c r="C11" s="48" t="s">
        <v>73</v>
      </c>
      <c r="D11" s="11"/>
      <c r="E11" s="11"/>
    </row>
    <row r="12" ht="34.5" customHeight="1" spans="2:5">
      <c r="B12" s="11"/>
      <c r="C12" s="49" t="s">
        <v>35</v>
      </c>
      <c r="D12" s="11"/>
      <c r="E12" s="11"/>
    </row>
    <row r="13" ht="34.5" customHeight="1" spans="2:5">
      <c r="B13" s="11"/>
      <c r="C13" s="48" t="s">
        <v>87</v>
      </c>
      <c r="D13" s="11"/>
      <c r="E13" s="11"/>
    </row>
    <row r="14" spans="2:5">
      <c r="B14" s="11"/>
      <c r="D14" s="11"/>
      <c r="E14" s="11"/>
    </row>
    <row r="15" spans="2:5">
      <c r="B15" s="11"/>
      <c r="C15" s="11"/>
      <c r="D15" s="11"/>
      <c r="E15" s="11"/>
    </row>
    <row r="16" spans="2:5">
      <c r="B16" s="11"/>
      <c r="D16" s="11"/>
      <c r="E16" s="11"/>
    </row>
    <row r="17" spans="2:5">
      <c r="B17" s="11"/>
      <c r="C17" s="11"/>
      <c r="D17" s="11"/>
      <c r="E17" s="11"/>
    </row>
    <row r="18" spans="2:5">
      <c r="B18" s="11"/>
      <c r="C18" s="11"/>
      <c r="D18" s="11"/>
      <c r="E18" s="11"/>
    </row>
    <row r="19" spans="2:5">
      <c r="B19" s="11"/>
      <c r="C19" s="11"/>
      <c r="D19" s="11"/>
      <c r="E19" s="11"/>
    </row>
    <row r="20" spans="2:5">
      <c r="B20" s="11"/>
      <c r="C20" s="11"/>
      <c r="D20" s="11"/>
      <c r="E20" s="11"/>
    </row>
    <row r="21" spans="2:5">
      <c r="B21" s="11"/>
      <c r="C21" s="11"/>
      <c r="D21" s="11"/>
      <c r="E21" s="11"/>
    </row>
    <row r="22" spans="2:5">
      <c r="B22" s="11"/>
      <c r="C22" s="11"/>
      <c r="D22" s="11"/>
      <c r="E22" s="11"/>
    </row>
    <row r="23" spans="2:5">
      <c r="B23" s="11"/>
      <c r="C23" s="11"/>
      <c r="D23" s="11"/>
      <c r="E23" s="11"/>
    </row>
    <row r="24" spans="2:5">
      <c r="B24" s="11"/>
      <c r="C24" s="11"/>
      <c r="D24" s="11"/>
      <c r="E24" s="11"/>
    </row>
    <row r="25" spans="2:5">
      <c r="B25" s="11"/>
      <c r="C25" s="11"/>
      <c r="D25" s="11"/>
      <c r="E25" s="11"/>
    </row>
    <row r="26" spans="2:5">
      <c r="B26" s="11"/>
      <c r="C26" s="11"/>
      <c r="D26" s="11"/>
      <c r="E26" s="11"/>
    </row>
    <row r="27" spans="2:5">
      <c r="B27" s="11"/>
      <c r="C27" s="11"/>
      <c r="D27" s="11"/>
      <c r="E27" s="11"/>
    </row>
    <row r="28" spans="2:5">
      <c r="B28" s="11"/>
      <c r="C28" s="11"/>
      <c r="D28" s="11"/>
      <c r="E28" s="11"/>
    </row>
    <row r="29" spans="2:5">
      <c r="B29" s="11"/>
      <c r="C29" s="11"/>
      <c r="D29" s="11"/>
      <c r="E29" s="11"/>
    </row>
    <row r="30" spans="2:5">
      <c r="B30" s="11"/>
      <c r="C30" s="11"/>
      <c r="D30" s="11"/>
      <c r="E30" s="11"/>
    </row>
    <row r="31" spans="2:5">
      <c r="B31" s="11"/>
      <c r="C31" s="11"/>
      <c r="D31" s="11"/>
      <c r="E31" s="11"/>
    </row>
    <row r="32" spans="2:5">
      <c r="B32" s="11"/>
      <c r="C32" s="11"/>
      <c r="D32" s="11"/>
      <c r="E32" s="11"/>
    </row>
    <row r="33" spans="2:5">
      <c r="B33" s="11"/>
      <c r="C33" s="11"/>
      <c r="D33" s="11"/>
      <c r="E33" s="11"/>
    </row>
    <row r="34" spans="2:5">
      <c r="B34" s="11"/>
      <c r="C34" s="11"/>
      <c r="D34" s="11"/>
      <c r="E34" s="11"/>
    </row>
    <row r="35" spans="2:5">
      <c r="B35" s="11"/>
      <c r="C35" s="11"/>
      <c r="D35" s="11"/>
      <c r="E35" s="11"/>
    </row>
    <row r="36" spans="2:5">
      <c r="B36" s="11"/>
      <c r="C36" s="11"/>
      <c r="D36" s="11"/>
      <c r="E36" s="11"/>
    </row>
    <row r="37" spans="2:5">
      <c r="B37" s="11"/>
      <c r="C37" s="11"/>
      <c r="D37" s="11"/>
      <c r="E37" s="11"/>
    </row>
    <row r="38" spans="2:5">
      <c r="B38" s="11"/>
      <c r="C38" s="11"/>
      <c r="D38" s="11"/>
      <c r="E38" s="11"/>
    </row>
    <row r="39" spans="2:5">
      <c r="B39" s="11"/>
      <c r="C39" s="11"/>
      <c r="D39" s="11"/>
      <c r="E39" s="11"/>
    </row>
    <row r="40" spans="2:5">
      <c r="B40" s="11"/>
      <c r="C40" s="11"/>
      <c r="D40" s="11"/>
      <c r="E40" s="11"/>
    </row>
    <row r="41" spans="2:5">
      <c r="B41" s="11"/>
      <c r="C41" s="11"/>
      <c r="D41" s="11"/>
      <c r="E41" s="11"/>
    </row>
    <row r="42" spans="2:5">
      <c r="B42" s="11"/>
      <c r="C42" s="11"/>
      <c r="D42" s="11"/>
      <c r="E42" s="11"/>
    </row>
    <row r="43" spans="2:5">
      <c r="B43" s="11"/>
      <c r="C43" s="11"/>
      <c r="D43" s="11"/>
      <c r="E43" s="11"/>
    </row>
    <row r="44" spans="2:5">
      <c r="B44" s="11"/>
      <c r="C44" s="11"/>
      <c r="D44" s="11"/>
      <c r="E44" s="11"/>
    </row>
    <row r="45" spans="2:5">
      <c r="B45" s="11"/>
      <c r="C45" s="11"/>
      <c r="D45" s="11"/>
      <c r="E45" s="11"/>
    </row>
    <row r="46" spans="2:5">
      <c r="B46" s="11"/>
      <c r="C46" s="11"/>
      <c r="D46" s="11"/>
      <c r="E46" s="11"/>
    </row>
    <row r="47" spans="2:5">
      <c r="B47" s="11"/>
      <c r="C47" s="11"/>
      <c r="D47" s="11"/>
      <c r="E47" s="11"/>
    </row>
    <row r="48" spans="2:5">
      <c r="B48" s="11"/>
      <c r="C48" s="11"/>
      <c r="D48" s="11"/>
      <c r="E48" s="11"/>
    </row>
    <row r="49" spans="2:5">
      <c r="B49" s="11"/>
      <c r="C49" s="11"/>
      <c r="D49" s="11"/>
      <c r="E49" s="11"/>
    </row>
    <row r="50" spans="2:5">
      <c r="B50" s="11"/>
      <c r="C50" s="11"/>
      <c r="D50" s="11"/>
      <c r="E50" s="11"/>
    </row>
    <row r="51" spans="2:5">
      <c r="B51" s="11"/>
      <c r="C51" s="11"/>
      <c r="D51" s="11"/>
      <c r="E51" s="11"/>
    </row>
    <row r="52" spans="2:5">
      <c r="B52" s="11"/>
      <c r="C52" s="11"/>
      <c r="D52" s="11"/>
      <c r="E52" s="11"/>
    </row>
    <row r="53" spans="2:5">
      <c r="B53" s="11"/>
      <c r="C53" s="11"/>
      <c r="D53" s="11"/>
      <c r="E53" s="11"/>
    </row>
    <row r="54" spans="2:5">
      <c r="B54" s="11"/>
      <c r="C54" s="11"/>
      <c r="D54" s="11"/>
      <c r="E54" s="11"/>
    </row>
    <row r="55" spans="2:5">
      <c r="B55" s="11"/>
      <c r="C55" s="11"/>
      <c r="D55" s="11"/>
      <c r="E55" s="11"/>
    </row>
    <row r="56" spans="2:5">
      <c r="B56" s="11"/>
      <c r="C56" s="11"/>
      <c r="D56" s="11"/>
      <c r="E56" s="11"/>
    </row>
    <row r="57" spans="2:5">
      <c r="B57" s="11"/>
      <c r="C57" s="11"/>
      <c r="D57" s="11"/>
      <c r="E57" s="11"/>
    </row>
    <row r="58" spans="2:5">
      <c r="B58" s="11"/>
      <c r="C58" s="11"/>
      <c r="D58" s="11"/>
      <c r="E58" s="11"/>
    </row>
    <row r="59" spans="2:5">
      <c r="B59" s="11"/>
      <c r="C59" s="11"/>
      <c r="D59" s="11"/>
      <c r="E59" s="11"/>
    </row>
    <row r="60" spans="2:5">
      <c r="B60" s="11"/>
      <c r="C60" s="11"/>
      <c r="D60" s="11"/>
      <c r="E60" s="11"/>
    </row>
    <row r="61" spans="2:5">
      <c r="B61" s="11"/>
      <c r="C61" s="11"/>
      <c r="D61" s="11"/>
      <c r="E61" s="11"/>
    </row>
    <row r="62" spans="2:5">
      <c r="B62" s="11"/>
      <c r="C62" s="11"/>
      <c r="D62" s="11"/>
      <c r="E62" s="11"/>
    </row>
    <row r="63" spans="2:5">
      <c r="B63" s="11"/>
      <c r="C63" s="11"/>
      <c r="D63" s="11"/>
      <c r="E63" s="11"/>
    </row>
    <row r="64" spans="2:5">
      <c r="B64" s="11"/>
      <c r="C64" s="11"/>
      <c r="D64" s="11"/>
      <c r="E64" s="11"/>
    </row>
    <row r="65" spans="2:5">
      <c r="B65" s="11"/>
      <c r="C65" s="11"/>
      <c r="D65" s="11"/>
      <c r="E65" s="11"/>
    </row>
    <row r="66" spans="2:5">
      <c r="B66" s="11"/>
      <c r="C66" s="11"/>
      <c r="D66" s="11"/>
      <c r="E66" s="11"/>
    </row>
    <row r="67" spans="2:5">
      <c r="B67" s="11"/>
      <c r="C67" s="11"/>
      <c r="D67" s="11"/>
      <c r="E67" s="11"/>
    </row>
    <row r="68" spans="2:5">
      <c r="B68" s="11"/>
      <c r="C68" s="11"/>
      <c r="D68" s="11"/>
      <c r="E68" s="11"/>
    </row>
    <row r="69" spans="2:5">
      <c r="B69" s="11"/>
      <c r="C69" s="11"/>
      <c r="D69" s="11"/>
      <c r="E69" s="11"/>
    </row>
    <row r="70" spans="2:5">
      <c r="B70" s="11"/>
      <c r="C70" s="11"/>
      <c r="D70" s="11"/>
      <c r="E70" s="11"/>
    </row>
    <row r="71" spans="2:5">
      <c r="B71" s="11"/>
      <c r="C71" s="11"/>
      <c r="D71" s="11"/>
      <c r="E71" s="11"/>
    </row>
    <row r="72" spans="2:5">
      <c r="B72" s="11"/>
      <c r="C72" s="11"/>
      <c r="D72" s="11"/>
      <c r="E72" s="11"/>
    </row>
    <row r="73" spans="2:5">
      <c r="B73" s="11"/>
      <c r="C73" s="11"/>
      <c r="D73" s="11"/>
      <c r="E73" s="11"/>
    </row>
    <row r="74" spans="2:5">
      <c r="B74" s="11"/>
      <c r="C74" s="11"/>
      <c r="D74" s="11"/>
      <c r="E74" s="11"/>
    </row>
    <row r="75" spans="2:5">
      <c r="B75" s="11"/>
      <c r="C75" s="11"/>
      <c r="D75" s="11"/>
      <c r="E75" s="11"/>
    </row>
    <row r="76" spans="2:5">
      <c r="B76" s="11"/>
      <c r="C76" s="11"/>
      <c r="D76" s="11"/>
      <c r="E76" s="11"/>
    </row>
    <row r="77" spans="2:5">
      <c r="B77" s="11"/>
      <c r="C77" s="11"/>
      <c r="D77" s="11"/>
      <c r="E77" s="11"/>
    </row>
    <row r="78" spans="2:5">
      <c r="B78" s="11"/>
      <c r="C78" s="11"/>
      <c r="D78" s="11"/>
      <c r="E78" s="11"/>
    </row>
    <row r="79" spans="2:5">
      <c r="B79" s="11"/>
      <c r="C79" s="11"/>
      <c r="D79" s="11"/>
      <c r="E79" s="11"/>
    </row>
    <row r="80" spans="2:5">
      <c r="B80" s="11"/>
      <c r="C80" s="11"/>
      <c r="D80" s="11"/>
      <c r="E80" s="11"/>
    </row>
    <row r="81" spans="2:5">
      <c r="B81" s="11"/>
      <c r="C81" s="11"/>
      <c r="D81" s="11"/>
      <c r="E81" s="11"/>
    </row>
    <row r="82" spans="2:5">
      <c r="B82" s="11"/>
      <c r="C82" s="11"/>
      <c r="D82" s="11"/>
      <c r="E82" s="11"/>
    </row>
    <row r="83" spans="2:5">
      <c r="B83" s="11"/>
      <c r="C83" s="11"/>
      <c r="D83" s="11"/>
      <c r="E83" s="11"/>
    </row>
    <row r="84" spans="2:5">
      <c r="B84" s="11"/>
      <c r="C84" s="11"/>
      <c r="D84" s="11"/>
      <c r="E84" s="11"/>
    </row>
    <row r="85" spans="2:5">
      <c r="B85" s="11"/>
      <c r="C85" s="11"/>
      <c r="D85" s="11"/>
      <c r="E85" s="11"/>
    </row>
    <row r="86" spans="2:5">
      <c r="B86" s="11"/>
      <c r="C86" s="11"/>
      <c r="D86" s="11"/>
      <c r="E86" s="11"/>
    </row>
    <row r="87" spans="2:5">
      <c r="B87" s="11"/>
      <c r="C87" s="11"/>
      <c r="D87" s="11"/>
      <c r="E87" s="11"/>
    </row>
    <row r="88" spans="2:5">
      <c r="B88" s="11"/>
      <c r="C88" s="11"/>
      <c r="D88" s="11"/>
      <c r="E88" s="11"/>
    </row>
    <row r="89" spans="2:5">
      <c r="B89" s="11"/>
      <c r="C89" s="11"/>
      <c r="D89" s="11"/>
      <c r="E89" s="11"/>
    </row>
    <row r="90" spans="2:5">
      <c r="B90" s="11"/>
      <c r="C90" s="11"/>
      <c r="D90" s="11"/>
      <c r="E90" s="11"/>
    </row>
    <row r="91" spans="2:5">
      <c r="B91" s="11"/>
      <c r="C91" s="11"/>
      <c r="D91" s="11"/>
      <c r="E91" s="11"/>
    </row>
    <row r="92" spans="2:5">
      <c r="B92" s="11"/>
      <c r="C92" s="11"/>
      <c r="D92" s="11"/>
      <c r="E92" s="11"/>
    </row>
    <row r="93" spans="2:5">
      <c r="B93" s="11"/>
      <c r="C93" s="11"/>
      <c r="D93" s="11"/>
      <c r="E93" s="11"/>
    </row>
    <row r="94" spans="2:5">
      <c r="B94" s="11"/>
      <c r="C94" s="11"/>
      <c r="D94" s="11"/>
      <c r="E94" s="11"/>
    </row>
    <row r="95" spans="2:5">
      <c r="B95" s="11"/>
      <c r="C95" s="11"/>
      <c r="D95" s="11"/>
      <c r="E95" s="11"/>
    </row>
    <row r="96" spans="2:5">
      <c r="B96" s="11"/>
      <c r="C96" s="11"/>
      <c r="D96" s="11"/>
      <c r="E96" s="11"/>
    </row>
    <row r="97" spans="2:5">
      <c r="B97" s="11"/>
      <c r="C97" s="11"/>
      <c r="D97" s="11"/>
      <c r="E97" s="11"/>
    </row>
    <row r="98" spans="2:5">
      <c r="B98" s="11"/>
      <c r="C98" s="11"/>
      <c r="D98" s="11"/>
      <c r="E98" s="11"/>
    </row>
    <row r="99" spans="2:5">
      <c r="B99" s="11"/>
      <c r="C99" s="11"/>
      <c r="D99" s="11"/>
      <c r="E99" s="11"/>
    </row>
    <row r="100" spans="2:5">
      <c r="B100" s="11"/>
      <c r="C100" s="11"/>
      <c r="D100" s="11"/>
      <c r="E100" s="11"/>
    </row>
    <row r="101" spans="2:5">
      <c r="B101" s="11"/>
      <c r="C101" s="11"/>
      <c r="D101" s="11"/>
      <c r="E101" s="11"/>
    </row>
    <row r="102" spans="2:5">
      <c r="B102" s="11"/>
      <c r="C102" s="11"/>
      <c r="D102" s="11"/>
      <c r="E102" s="11"/>
    </row>
    <row r="103" spans="2:5">
      <c r="B103" s="11"/>
      <c r="C103" s="11"/>
      <c r="D103" s="11"/>
      <c r="E103" s="11"/>
    </row>
    <row r="104" spans="2:5">
      <c r="B104" s="11"/>
      <c r="C104" s="11"/>
      <c r="D104" s="11"/>
      <c r="E104" s="11"/>
    </row>
    <row r="105" spans="2:5">
      <c r="B105" s="11"/>
      <c r="C105" s="11"/>
      <c r="D105" s="11"/>
      <c r="E105" s="11"/>
    </row>
    <row r="106" spans="2:5">
      <c r="B106" s="11"/>
      <c r="C106" s="11"/>
      <c r="D106" s="11"/>
      <c r="E106" s="11"/>
    </row>
    <row r="107" spans="2:5">
      <c r="B107" s="11"/>
      <c r="C107" s="11"/>
      <c r="D107" s="11"/>
      <c r="E107" s="11"/>
    </row>
    <row r="108" spans="2:5">
      <c r="B108" s="11"/>
      <c r="C108" s="11"/>
      <c r="D108" s="11"/>
      <c r="E108" s="11"/>
    </row>
    <row r="109" spans="2:5">
      <c r="B109" s="11"/>
      <c r="C109" s="11"/>
      <c r="D109" s="11"/>
      <c r="E109" s="11"/>
    </row>
    <row r="110" spans="2:5">
      <c r="B110" s="11"/>
      <c r="C110" s="11"/>
      <c r="D110" s="11"/>
      <c r="E110" s="11"/>
    </row>
    <row r="111" spans="2:5">
      <c r="B111" s="11"/>
      <c r="C111" s="11"/>
      <c r="D111" s="11"/>
      <c r="E111" s="11"/>
    </row>
    <row r="112" spans="2:5">
      <c r="B112" s="11"/>
      <c r="C112" s="11"/>
      <c r="D112" s="11"/>
      <c r="E112" s="11"/>
    </row>
    <row r="113" spans="2:5">
      <c r="B113" s="11"/>
      <c r="C113" s="11"/>
      <c r="D113" s="11"/>
      <c r="E113" s="11"/>
    </row>
    <row r="114" spans="2:5">
      <c r="B114" s="11"/>
      <c r="C114" s="11"/>
      <c r="D114" s="11"/>
      <c r="E114" s="11"/>
    </row>
    <row r="115" spans="2:5">
      <c r="B115" s="11"/>
      <c r="C115" s="11"/>
      <c r="D115" s="11"/>
      <c r="E115" s="11"/>
    </row>
    <row r="116" spans="2:5">
      <c r="B116" s="11"/>
      <c r="C116" s="11"/>
      <c r="D116" s="11"/>
      <c r="E116" s="11"/>
    </row>
    <row r="117" spans="2:5">
      <c r="B117" s="11"/>
      <c r="C117" s="11"/>
      <c r="D117" s="11"/>
      <c r="E117" s="11"/>
    </row>
    <row r="118" spans="2:5">
      <c r="B118" s="11"/>
      <c r="C118" s="11"/>
      <c r="D118" s="11"/>
      <c r="E118" s="11"/>
    </row>
    <row r="119" spans="2:5">
      <c r="B119" s="11"/>
      <c r="C119" s="11"/>
      <c r="D119" s="11"/>
      <c r="E119" s="11"/>
    </row>
    <row r="120" spans="2:5">
      <c r="B120" s="11"/>
      <c r="C120" s="11"/>
      <c r="D120" s="11"/>
      <c r="E120" s="11"/>
    </row>
    <row r="121" spans="2:5">
      <c r="B121" s="11"/>
      <c r="C121" s="11"/>
      <c r="D121" s="11"/>
      <c r="E121" s="11"/>
    </row>
    <row r="122" spans="2:5">
      <c r="B122" s="11"/>
      <c r="C122" s="11"/>
      <c r="D122" s="11"/>
      <c r="E122" s="11"/>
    </row>
    <row r="123" spans="2:5">
      <c r="B123" s="11"/>
      <c r="C123" s="11"/>
      <c r="D123" s="11"/>
      <c r="E123" s="11"/>
    </row>
    <row r="124" spans="2:5">
      <c r="B124" s="11"/>
      <c r="C124" s="11"/>
      <c r="D124" s="11"/>
      <c r="E124" s="11"/>
    </row>
    <row r="125" spans="2:5">
      <c r="B125" s="11"/>
      <c r="C125" s="11"/>
      <c r="D125" s="11"/>
      <c r="E125" s="11"/>
    </row>
    <row r="126" spans="2:5">
      <c r="B126" s="11"/>
      <c r="C126" s="11"/>
      <c r="D126" s="11"/>
      <c r="E126" s="11"/>
    </row>
    <row r="127" spans="2:5">
      <c r="B127" s="11"/>
      <c r="C127" s="11"/>
      <c r="D127" s="11"/>
      <c r="E127" s="11"/>
    </row>
    <row r="128" spans="2:5">
      <c r="B128" s="11"/>
      <c r="C128" s="11"/>
      <c r="D128" s="11"/>
      <c r="E128" s="11"/>
    </row>
    <row r="129" spans="2:5">
      <c r="B129" s="11"/>
      <c r="C129" s="11"/>
      <c r="D129" s="11"/>
      <c r="E129" s="11"/>
    </row>
    <row r="130" spans="2:5">
      <c r="B130" s="11"/>
      <c r="C130" s="11"/>
      <c r="D130" s="11"/>
      <c r="E130" s="11"/>
    </row>
    <row r="131" spans="2:5">
      <c r="B131" s="11"/>
      <c r="C131" s="11"/>
      <c r="D131" s="11"/>
      <c r="E131" s="11"/>
    </row>
    <row r="132" spans="2:5">
      <c r="B132" s="11"/>
      <c r="C132" s="11"/>
      <c r="D132" s="11"/>
      <c r="E132" s="11"/>
    </row>
    <row r="133" spans="2:5">
      <c r="B133" s="11"/>
      <c r="C133" s="11"/>
      <c r="D133" s="11"/>
      <c r="E133" s="11"/>
    </row>
    <row r="134" spans="2:5">
      <c r="B134" s="11"/>
      <c r="C134" s="11"/>
      <c r="D134" s="11"/>
      <c r="E134" s="11"/>
    </row>
    <row r="135" spans="2:5">
      <c r="B135" s="11"/>
      <c r="C135" s="11"/>
      <c r="D135" s="11"/>
      <c r="E135" s="11"/>
    </row>
    <row r="136" spans="2:5">
      <c r="B136" s="11"/>
      <c r="C136" s="11"/>
      <c r="D136" s="11"/>
      <c r="E136" s="11"/>
    </row>
    <row r="137" spans="2:5">
      <c r="B137" s="11"/>
      <c r="C137" s="11"/>
      <c r="D137" s="11"/>
      <c r="E137" s="11"/>
    </row>
    <row r="138" spans="2:5">
      <c r="B138" s="11"/>
      <c r="C138" s="11"/>
      <c r="D138" s="11"/>
      <c r="E138" s="11"/>
    </row>
    <row r="139" spans="2:5">
      <c r="B139" s="11"/>
      <c r="C139" s="11"/>
      <c r="D139" s="11"/>
      <c r="E139" s="11"/>
    </row>
    <row r="140" spans="2:5">
      <c r="B140" s="11"/>
      <c r="C140" s="11"/>
      <c r="D140" s="11"/>
      <c r="E140" s="11"/>
    </row>
    <row r="141" spans="2:5">
      <c r="B141" s="11"/>
      <c r="C141" s="11"/>
      <c r="D141" s="11"/>
      <c r="E141" s="11"/>
    </row>
    <row r="142" spans="2:5">
      <c r="B142" s="11"/>
      <c r="C142" s="11"/>
      <c r="D142" s="11"/>
      <c r="E142" s="11"/>
    </row>
    <row r="143" spans="2:5">
      <c r="B143" s="11"/>
      <c r="C143" s="11"/>
      <c r="D143" s="11"/>
      <c r="E143" s="11"/>
    </row>
    <row r="144" spans="2:5">
      <c r="B144" s="11"/>
      <c r="C144" s="11"/>
      <c r="D144" s="11"/>
      <c r="E144" s="11"/>
    </row>
    <row r="145" spans="2:5">
      <c r="B145" s="11"/>
      <c r="C145" s="11"/>
      <c r="D145" s="11"/>
      <c r="E145" s="11"/>
    </row>
    <row r="146" spans="2:5">
      <c r="B146" s="11"/>
      <c r="C146" s="11"/>
      <c r="D146" s="11"/>
      <c r="E146" s="11"/>
    </row>
    <row r="147" spans="2:5">
      <c r="B147" s="11"/>
      <c r="C147" s="11"/>
      <c r="D147" s="11"/>
      <c r="E147" s="11"/>
    </row>
    <row r="148" spans="2:5">
      <c r="B148" s="11"/>
      <c r="C148" s="11"/>
      <c r="D148" s="11"/>
      <c r="E148" s="11"/>
    </row>
    <row r="149" spans="2:5">
      <c r="B149" s="11"/>
      <c r="C149" s="11"/>
      <c r="D149" s="11"/>
      <c r="E149" s="11"/>
    </row>
    <row r="150" spans="2:5">
      <c r="B150" s="11"/>
      <c r="C150" s="11"/>
      <c r="D150" s="11"/>
      <c r="E150" s="11"/>
    </row>
    <row r="151" spans="2:5">
      <c r="B151" s="11"/>
      <c r="C151" s="11"/>
      <c r="D151" s="11"/>
      <c r="E151" s="11"/>
    </row>
    <row r="152" spans="2:5">
      <c r="B152" s="11"/>
      <c r="C152" s="11"/>
      <c r="D152" s="11"/>
      <c r="E152" s="11"/>
    </row>
    <row r="153" spans="2:5">
      <c r="B153" s="11"/>
      <c r="C153" s="11"/>
      <c r="D153" s="11"/>
      <c r="E153" s="11"/>
    </row>
    <row r="154" spans="2:5">
      <c r="B154" s="11"/>
      <c r="C154" s="11"/>
      <c r="D154" s="11"/>
      <c r="E154" s="11"/>
    </row>
    <row r="155" spans="2:5">
      <c r="B155" s="11"/>
      <c r="C155" s="11"/>
      <c r="D155" s="11"/>
      <c r="E155" s="11"/>
    </row>
    <row r="156" spans="2:5">
      <c r="B156" s="11"/>
      <c r="C156" s="11"/>
      <c r="D156" s="11"/>
      <c r="E156" s="11"/>
    </row>
    <row r="157" spans="2:5">
      <c r="B157" s="11"/>
      <c r="C157" s="11"/>
      <c r="D157" s="11"/>
      <c r="E157" s="11"/>
    </row>
    <row r="158" spans="2:5">
      <c r="B158" s="11"/>
      <c r="C158" s="11"/>
      <c r="D158" s="11"/>
      <c r="E158" s="11"/>
    </row>
    <row r="159" spans="2:5">
      <c r="B159" s="11"/>
      <c r="C159" s="11"/>
      <c r="D159" s="11"/>
      <c r="E159" s="11"/>
    </row>
    <row r="160" spans="2:5">
      <c r="B160" s="11"/>
      <c r="C160" s="11"/>
      <c r="D160" s="11"/>
      <c r="E160" s="11"/>
    </row>
    <row r="161" spans="2:5">
      <c r="B161" s="11"/>
      <c r="C161" s="11"/>
      <c r="D161" s="11"/>
      <c r="E161" s="11"/>
    </row>
    <row r="162" spans="2:5">
      <c r="B162" s="11"/>
      <c r="C162" s="11"/>
      <c r="D162" s="11"/>
      <c r="E162" s="11"/>
    </row>
    <row r="163" spans="2:5">
      <c r="B163" s="11"/>
      <c r="C163" s="11"/>
      <c r="D163" s="11"/>
      <c r="E163" s="11"/>
    </row>
    <row r="164" spans="2:5">
      <c r="B164" s="11"/>
      <c r="C164" s="11"/>
      <c r="D164" s="11"/>
      <c r="E164" s="11"/>
    </row>
    <row r="165" spans="2:5">
      <c r="B165" s="11"/>
      <c r="C165" s="11"/>
      <c r="D165" s="11"/>
      <c r="E165" s="11"/>
    </row>
    <row r="166" spans="2:5">
      <c r="B166" s="11"/>
      <c r="C166" s="11"/>
      <c r="D166" s="11"/>
      <c r="E166" s="11"/>
    </row>
    <row r="167" spans="2:5">
      <c r="B167" s="11"/>
      <c r="C167" s="11"/>
      <c r="D167" s="11"/>
      <c r="E167" s="11"/>
    </row>
    <row r="168" spans="2:5">
      <c r="B168" s="11"/>
      <c r="C168" s="11"/>
      <c r="D168" s="11"/>
      <c r="E168" s="11"/>
    </row>
    <row r="169" spans="2:5">
      <c r="B169" s="11"/>
      <c r="C169" s="11"/>
      <c r="D169" s="11"/>
      <c r="E169" s="11"/>
    </row>
    <row r="170" spans="2:5">
      <c r="B170" s="11"/>
      <c r="C170" s="11"/>
      <c r="D170" s="11"/>
      <c r="E170" s="11"/>
    </row>
    <row r="171" spans="2:5">
      <c r="B171" s="11"/>
      <c r="C171" s="11"/>
      <c r="D171" s="11"/>
      <c r="E171" s="11"/>
    </row>
    <row r="172" spans="2:5">
      <c r="B172" s="11"/>
      <c r="C172" s="11"/>
      <c r="D172" s="11"/>
      <c r="E172" s="11"/>
    </row>
    <row r="173" spans="2:5">
      <c r="B173" s="11"/>
      <c r="C173" s="11"/>
      <c r="D173" s="11"/>
      <c r="E173" s="11"/>
    </row>
    <row r="174" spans="2:5">
      <c r="B174" s="11"/>
      <c r="C174" s="11"/>
      <c r="D174" s="11"/>
      <c r="E174" s="11"/>
    </row>
    <row r="175" spans="2:5">
      <c r="B175" s="11"/>
      <c r="C175" s="11"/>
      <c r="D175" s="11"/>
      <c r="E175" s="11"/>
    </row>
    <row r="176" spans="2:5">
      <c r="B176" s="11"/>
      <c r="C176" s="11"/>
      <c r="D176" s="11"/>
      <c r="E176" s="11"/>
    </row>
    <row r="177" spans="2:5">
      <c r="B177" s="11"/>
      <c r="C177" s="11"/>
      <c r="D177" s="11"/>
      <c r="E177" s="11"/>
    </row>
    <row r="178" spans="2:5">
      <c r="B178" s="11"/>
      <c r="C178" s="11"/>
      <c r="D178" s="11"/>
      <c r="E178" s="11"/>
    </row>
    <row r="179" spans="2:5">
      <c r="B179" s="11"/>
      <c r="C179" s="11"/>
      <c r="D179" s="11"/>
      <c r="E179" s="11"/>
    </row>
    <row r="180" spans="2:5">
      <c r="B180" s="11"/>
      <c r="C180" s="11"/>
      <c r="D180" s="11"/>
      <c r="E180" s="11"/>
    </row>
    <row r="181" spans="2:5">
      <c r="B181" s="11"/>
      <c r="C181" s="11"/>
      <c r="D181" s="11"/>
      <c r="E181" s="11"/>
    </row>
    <row r="182" spans="2:5">
      <c r="B182" s="11"/>
      <c r="C182" s="11"/>
      <c r="D182" s="11"/>
      <c r="E182" s="11"/>
    </row>
    <row r="183" spans="2:5">
      <c r="B183" s="11"/>
      <c r="C183" s="11"/>
      <c r="D183" s="11"/>
      <c r="E183" s="11"/>
    </row>
    <row r="184" spans="2:5">
      <c r="B184" s="11"/>
      <c r="C184" s="11"/>
      <c r="D184" s="11"/>
      <c r="E184" s="11"/>
    </row>
    <row r="185" spans="2:5">
      <c r="B185" s="11"/>
      <c r="C185" s="11"/>
      <c r="D185" s="11"/>
      <c r="E185" s="11"/>
    </row>
    <row r="186" spans="2:5">
      <c r="B186" s="11"/>
      <c r="C186" s="11"/>
      <c r="D186" s="11"/>
      <c r="E186" s="11"/>
    </row>
    <row r="187" spans="2:5">
      <c r="B187" s="11"/>
      <c r="C187" s="11"/>
      <c r="D187" s="11"/>
      <c r="E187" s="11"/>
    </row>
    <row r="188" spans="2:5">
      <c r="B188" s="11"/>
      <c r="C188" s="11"/>
      <c r="D188" s="11"/>
      <c r="E188" s="11"/>
    </row>
    <row r="189" spans="2:5">
      <c r="B189" s="11"/>
      <c r="C189" s="11"/>
      <c r="D189" s="11"/>
      <c r="E189" s="11"/>
    </row>
    <row r="190" spans="2:5">
      <c r="B190" s="11"/>
      <c r="C190" s="11"/>
      <c r="D190" s="11"/>
      <c r="E190" s="11"/>
    </row>
    <row r="191" spans="2:5">
      <c r="B191" s="11"/>
      <c r="C191" s="11"/>
      <c r="D191" s="11"/>
      <c r="E191" s="11"/>
    </row>
    <row r="192" spans="2:5">
      <c r="B192" s="11"/>
      <c r="C192" s="11"/>
      <c r="D192" s="11"/>
      <c r="E192" s="11"/>
    </row>
    <row r="193" spans="2:5">
      <c r="B193" s="11"/>
      <c r="C193" s="11"/>
      <c r="D193" s="11"/>
      <c r="E193" s="11"/>
    </row>
    <row r="194" spans="2:5">
      <c r="B194" s="11"/>
      <c r="C194" s="11"/>
      <c r="D194" s="11"/>
      <c r="E194" s="11"/>
    </row>
    <row r="195" spans="2:5">
      <c r="B195" s="11"/>
      <c r="C195" s="11"/>
      <c r="D195" s="11"/>
      <c r="E195" s="11"/>
    </row>
    <row r="196" spans="2:5">
      <c r="B196" s="11"/>
      <c r="C196" s="11"/>
      <c r="D196" s="11"/>
      <c r="E196" s="11"/>
    </row>
    <row r="197" spans="2:5">
      <c r="B197" s="11"/>
      <c r="C197" s="11"/>
      <c r="D197" s="11"/>
      <c r="E197" s="11"/>
    </row>
    <row r="198" spans="2:5">
      <c r="B198" s="11"/>
      <c r="C198" s="11"/>
      <c r="D198" s="11"/>
      <c r="E198" s="11"/>
    </row>
    <row r="199" spans="2:5">
      <c r="B199" s="11"/>
      <c r="C199" s="11"/>
      <c r="D199" s="11"/>
      <c r="E199" s="11"/>
    </row>
    <row r="200" spans="2:5">
      <c r="B200" s="11"/>
      <c r="C200" s="11"/>
      <c r="D200" s="11"/>
      <c r="E200" s="11"/>
    </row>
    <row r="201" spans="2:5">
      <c r="B201" s="11"/>
      <c r="C201" s="11"/>
      <c r="D201" s="11"/>
      <c r="E201" s="11"/>
    </row>
    <row r="202" spans="2:5">
      <c r="B202" s="11"/>
      <c r="C202" s="11"/>
      <c r="D202" s="11"/>
      <c r="E202" s="11"/>
    </row>
    <row r="203" spans="2:5">
      <c r="B203" s="11"/>
      <c r="C203" s="11"/>
      <c r="D203" s="11"/>
      <c r="E203" s="11"/>
    </row>
    <row r="204" spans="2:5">
      <c r="B204" s="11"/>
      <c r="C204" s="11"/>
      <c r="D204" s="11"/>
      <c r="E204" s="11"/>
    </row>
    <row r="205" spans="2:5">
      <c r="B205" s="11"/>
      <c r="C205" s="11"/>
      <c r="D205" s="11"/>
      <c r="E205" s="11"/>
    </row>
    <row r="206" spans="2:5">
      <c r="B206" s="11"/>
      <c r="C206" s="11"/>
      <c r="D206" s="11"/>
      <c r="E206" s="11"/>
    </row>
    <row r="207" spans="2:5">
      <c r="B207" s="11"/>
      <c r="C207" s="11"/>
      <c r="D207" s="11"/>
      <c r="E207" s="11"/>
    </row>
    <row r="208" spans="2:5">
      <c r="B208" s="11"/>
      <c r="C208" s="11"/>
      <c r="D208" s="11"/>
      <c r="E208" s="11"/>
    </row>
    <row r="209" spans="2:5">
      <c r="B209" s="11"/>
      <c r="C209" s="11"/>
      <c r="D209" s="11"/>
      <c r="E209" s="11"/>
    </row>
    <row r="210" spans="2:5">
      <c r="B210" s="11"/>
      <c r="C210" s="11"/>
      <c r="D210" s="11"/>
      <c r="E210" s="11"/>
    </row>
    <row r="211" spans="2:5">
      <c r="B211" s="11"/>
      <c r="C211" s="11"/>
      <c r="D211" s="11"/>
      <c r="E211" s="11"/>
    </row>
    <row r="212" spans="2:5">
      <c r="B212" s="11"/>
      <c r="C212" s="11"/>
      <c r="D212" s="11"/>
      <c r="E212" s="11"/>
    </row>
    <row r="213" spans="2:5">
      <c r="B213" s="11"/>
      <c r="C213" s="11"/>
      <c r="D213" s="11"/>
      <c r="E213" s="11"/>
    </row>
    <row r="214" spans="2:5">
      <c r="B214" s="11"/>
      <c r="C214" s="11"/>
      <c r="D214" s="11"/>
      <c r="E214" s="11"/>
    </row>
    <row r="215" spans="2:5">
      <c r="B215" s="11"/>
      <c r="C215" s="11"/>
      <c r="D215" s="11"/>
      <c r="E215" s="11"/>
    </row>
    <row r="216" spans="2:5">
      <c r="B216" s="11"/>
      <c r="C216" s="11"/>
      <c r="D216" s="11"/>
      <c r="E216" s="11"/>
    </row>
    <row r="217" spans="2:5">
      <c r="B217" s="11"/>
      <c r="C217" s="11"/>
      <c r="D217" s="11"/>
      <c r="E217" s="11"/>
    </row>
    <row r="218" spans="2:5">
      <c r="B218" s="11"/>
      <c r="C218" s="11"/>
      <c r="D218" s="11"/>
      <c r="E218" s="11"/>
    </row>
    <row r="219" spans="2:5">
      <c r="B219" s="11"/>
      <c r="C219" s="11"/>
      <c r="D219" s="11"/>
      <c r="E219" s="11"/>
    </row>
    <row r="220" spans="2:5">
      <c r="B220" s="11"/>
      <c r="C220" s="11"/>
      <c r="D220" s="11"/>
      <c r="E220" s="11"/>
    </row>
    <row r="221" spans="2:5">
      <c r="B221" s="11"/>
      <c r="C221" s="11"/>
      <c r="D221" s="11"/>
      <c r="E221" s="11"/>
    </row>
    <row r="222" spans="2:5">
      <c r="B222" s="11"/>
      <c r="C222" s="11"/>
      <c r="D222" s="11"/>
      <c r="E222" s="11"/>
    </row>
    <row r="223" spans="2:5">
      <c r="B223" s="11"/>
      <c r="C223" s="11"/>
      <c r="D223" s="11"/>
      <c r="E223" s="11"/>
    </row>
    <row r="224" spans="2:5">
      <c r="B224" s="11"/>
      <c r="C224" s="11"/>
      <c r="D224" s="11"/>
      <c r="E224" s="11"/>
    </row>
    <row r="225" spans="2:5">
      <c r="B225" s="11"/>
      <c r="C225" s="11"/>
      <c r="D225" s="11"/>
      <c r="E225" s="11"/>
    </row>
    <row r="226" spans="2:5">
      <c r="B226" s="11"/>
      <c r="C226" s="11"/>
      <c r="D226" s="11"/>
      <c r="E226" s="11"/>
    </row>
    <row r="227" spans="2:5">
      <c r="B227" s="11"/>
      <c r="C227" s="11"/>
      <c r="D227" s="11"/>
      <c r="E227" s="11"/>
    </row>
    <row r="228" spans="2:5">
      <c r="B228" s="11"/>
      <c r="C228" s="11"/>
      <c r="D228" s="11"/>
      <c r="E228" s="11"/>
    </row>
    <row r="229" spans="2:5">
      <c r="B229" s="11"/>
      <c r="C229" s="11"/>
      <c r="D229" s="11"/>
      <c r="E229" s="11"/>
    </row>
    <row r="230" spans="2:5">
      <c r="B230" s="11"/>
      <c r="C230" s="11"/>
      <c r="D230" s="11"/>
      <c r="E230" s="11"/>
    </row>
    <row r="231" spans="2:5">
      <c r="B231" s="11"/>
      <c r="C231" s="11"/>
      <c r="D231" s="11"/>
      <c r="E231" s="11"/>
    </row>
    <row r="232" spans="2:5">
      <c r="B232" s="11"/>
      <c r="C232" s="11"/>
      <c r="D232" s="11"/>
      <c r="E232" s="11"/>
    </row>
    <row r="233" spans="2:5">
      <c r="B233" s="11"/>
      <c r="C233" s="11"/>
      <c r="D233" s="11"/>
      <c r="E233" s="11"/>
    </row>
    <row r="234" spans="2:5">
      <c r="B234" s="11"/>
      <c r="C234" s="11"/>
      <c r="D234" s="11"/>
      <c r="E234" s="11"/>
    </row>
    <row r="235" spans="2:5">
      <c r="B235" s="11"/>
      <c r="C235" s="11"/>
      <c r="D235" s="11"/>
      <c r="E235" s="11"/>
    </row>
    <row r="236" spans="2:5">
      <c r="B236" s="11"/>
      <c r="C236" s="11"/>
      <c r="D236" s="11"/>
      <c r="E236" s="11"/>
    </row>
    <row r="237" spans="2:5">
      <c r="B237" s="11"/>
      <c r="C237" s="11"/>
      <c r="D237" s="11"/>
      <c r="E237" s="11"/>
    </row>
    <row r="238" spans="2:5">
      <c r="B238" s="11"/>
      <c r="C238" s="11"/>
      <c r="D238" s="11"/>
      <c r="E238" s="11"/>
    </row>
    <row r="239" spans="2:5">
      <c r="B239" s="11"/>
      <c r="C239" s="11"/>
      <c r="D239" s="11"/>
      <c r="E239" s="11"/>
    </row>
    <row r="240" spans="2:5">
      <c r="B240" s="11"/>
      <c r="C240" s="11"/>
      <c r="D240" s="11"/>
      <c r="E240" s="11"/>
    </row>
    <row r="241" spans="2:5">
      <c r="B241" s="11"/>
      <c r="C241" s="11"/>
      <c r="D241" s="11"/>
      <c r="E241" s="11"/>
    </row>
    <row r="242" spans="2:5">
      <c r="B242" s="11"/>
      <c r="C242" s="11"/>
      <c r="D242" s="11"/>
      <c r="E242" s="11"/>
    </row>
    <row r="243" spans="2:5">
      <c r="B243" s="11"/>
      <c r="C243" s="11"/>
      <c r="D243" s="11"/>
      <c r="E243" s="11"/>
    </row>
    <row r="244" spans="2:5">
      <c r="B244" s="11"/>
      <c r="C244" s="11"/>
      <c r="D244" s="11"/>
      <c r="E244" s="11"/>
    </row>
    <row r="245" spans="2:5">
      <c r="B245" s="11"/>
      <c r="C245" s="11"/>
      <c r="D245" s="11"/>
      <c r="E245" s="11"/>
    </row>
    <row r="246" spans="2:5">
      <c r="B246" s="11"/>
      <c r="C246" s="11"/>
      <c r="D246" s="11"/>
      <c r="E246" s="11"/>
    </row>
    <row r="247" spans="2:5">
      <c r="B247" s="11"/>
      <c r="C247" s="11"/>
      <c r="D247" s="11"/>
      <c r="E247" s="11"/>
    </row>
    <row r="248" spans="2:5">
      <c r="B248" s="11"/>
      <c r="C248" s="11"/>
      <c r="D248" s="11"/>
      <c r="E248" s="11"/>
    </row>
    <row r="249" spans="2:5">
      <c r="B249" s="11"/>
      <c r="C249" s="11"/>
      <c r="D249" s="11"/>
      <c r="E249" s="11"/>
    </row>
    <row r="250" spans="2:5">
      <c r="B250" s="11"/>
      <c r="C250" s="11"/>
      <c r="D250" s="11"/>
      <c r="E250" s="11"/>
    </row>
    <row r="251" spans="2:5">
      <c r="B251" s="11"/>
      <c r="C251" s="11"/>
      <c r="D251" s="11"/>
      <c r="E251" s="11"/>
    </row>
    <row r="252" spans="2:5">
      <c r="B252" s="11"/>
      <c r="C252" s="11"/>
      <c r="D252" s="11"/>
      <c r="E252" s="11"/>
    </row>
    <row r="253" spans="2:5">
      <c r="B253" s="11"/>
      <c r="C253" s="11"/>
      <c r="D253" s="11"/>
      <c r="E253" s="11"/>
    </row>
    <row r="254" spans="2:5">
      <c r="B254" s="11"/>
      <c r="C254" s="11"/>
      <c r="D254" s="11"/>
      <c r="E254" s="11"/>
    </row>
    <row r="255" spans="2:5">
      <c r="B255" s="11"/>
      <c r="C255" s="11"/>
      <c r="D255" s="11"/>
      <c r="E255" s="11"/>
    </row>
    <row r="256" spans="2:5">
      <c r="B256" s="11"/>
      <c r="C256" s="11"/>
      <c r="D256" s="11"/>
      <c r="E256" s="11"/>
    </row>
    <row r="257" spans="2:5">
      <c r="B257" s="11"/>
      <c r="C257" s="11"/>
      <c r="D257" s="11"/>
      <c r="E257" s="11"/>
    </row>
    <row r="258" spans="2:5">
      <c r="B258" s="11"/>
      <c r="C258" s="11"/>
      <c r="D258" s="11"/>
      <c r="E258" s="11"/>
    </row>
    <row r="259" spans="2:5">
      <c r="B259" s="11"/>
      <c r="C259" s="11"/>
      <c r="D259" s="11"/>
      <c r="E259" s="11"/>
    </row>
    <row r="260" spans="2:5">
      <c r="B260" s="11"/>
      <c r="C260" s="11"/>
      <c r="D260" s="11"/>
      <c r="E260" s="11"/>
    </row>
    <row r="261" spans="2:5">
      <c r="B261" s="11"/>
      <c r="C261" s="11"/>
      <c r="D261" s="11"/>
      <c r="E261" s="11"/>
    </row>
    <row r="262" spans="2:5">
      <c r="B262" s="11"/>
      <c r="C262" s="11"/>
      <c r="D262" s="11"/>
      <c r="E262" s="11"/>
    </row>
    <row r="263" spans="2:5">
      <c r="B263" s="11"/>
      <c r="C263" s="11"/>
      <c r="D263" s="11"/>
      <c r="E263" s="11"/>
    </row>
    <row r="264" spans="2:5">
      <c r="B264" s="11"/>
      <c r="C264" s="11"/>
      <c r="D264" s="11"/>
      <c r="E264" s="11"/>
    </row>
    <row r="265" spans="2:5">
      <c r="B265" s="11"/>
      <c r="C265" s="11"/>
      <c r="D265" s="11"/>
      <c r="E265" s="11"/>
    </row>
    <row r="266" spans="2:5">
      <c r="B266" s="11"/>
      <c r="C266" s="11"/>
      <c r="D266" s="11"/>
      <c r="E266" s="11"/>
    </row>
    <row r="267" spans="2:5">
      <c r="B267" s="11"/>
      <c r="C267" s="11"/>
      <c r="D267" s="11"/>
      <c r="E267" s="11"/>
    </row>
    <row r="268" spans="2:5">
      <c r="B268" s="11"/>
      <c r="C268" s="11"/>
      <c r="D268" s="11"/>
      <c r="E268" s="11"/>
    </row>
    <row r="269" spans="2:5">
      <c r="B269" s="11"/>
      <c r="C269" s="11"/>
      <c r="D269" s="11"/>
      <c r="E269" s="11"/>
    </row>
    <row r="270" spans="2:5">
      <c r="B270" s="11"/>
      <c r="C270" s="11"/>
      <c r="D270" s="11"/>
      <c r="E270" s="11"/>
    </row>
    <row r="271" spans="2:5">
      <c r="B271" s="11"/>
      <c r="C271" s="11"/>
      <c r="D271" s="11"/>
      <c r="E271" s="11"/>
    </row>
    <row r="272" spans="2:5">
      <c r="B272" s="11"/>
      <c r="C272" s="11"/>
      <c r="D272" s="11"/>
      <c r="E272" s="11"/>
    </row>
    <row r="273" spans="2:5">
      <c r="B273" s="11"/>
      <c r="C273" s="11"/>
      <c r="D273" s="11"/>
      <c r="E273" s="11"/>
    </row>
    <row r="274" spans="2:5">
      <c r="B274" s="11"/>
      <c r="C274" s="11"/>
      <c r="D274" s="11"/>
      <c r="E274" s="11"/>
    </row>
    <row r="275" spans="2:5">
      <c r="B275" s="11"/>
      <c r="C275" s="11"/>
      <c r="D275" s="11"/>
      <c r="E275" s="11"/>
    </row>
    <row r="276" spans="2:5">
      <c r="B276" s="11"/>
      <c r="C276" s="11"/>
      <c r="D276" s="11"/>
      <c r="E276" s="11"/>
    </row>
    <row r="277" spans="2:5">
      <c r="B277" s="11"/>
      <c r="C277" s="11"/>
      <c r="D277" s="11"/>
      <c r="E277" s="11"/>
    </row>
    <row r="278" spans="2:5">
      <c r="B278" s="11"/>
      <c r="C278" s="11"/>
      <c r="D278" s="11"/>
      <c r="E278" s="11"/>
    </row>
    <row r="279" spans="2:5">
      <c r="B279" s="11"/>
      <c r="C279" s="11"/>
      <c r="D279" s="11"/>
      <c r="E279" s="11"/>
    </row>
    <row r="280" spans="2:5">
      <c r="B280" s="11"/>
      <c r="C280" s="11"/>
      <c r="D280" s="11"/>
      <c r="E280" s="11"/>
    </row>
    <row r="281" spans="2:5">
      <c r="B281" s="11"/>
      <c r="C281" s="11"/>
      <c r="D281" s="11"/>
      <c r="E281" s="11"/>
    </row>
    <row r="282" spans="2:5">
      <c r="B282" s="11"/>
      <c r="C282" s="11"/>
      <c r="D282" s="11"/>
      <c r="E282" s="11"/>
    </row>
    <row r="283" spans="2:5">
      <c r="B283" s="11"/>
      <c r="C283" s="11"/>
      <c r="D283" s="11"/>
      <c r="E283" s="11"/>
    </row>
    <row r="284" spans="2:5">
      <c r="B284" s="11"/>
      <c r="C284" s="11"/>
      <c r="D284" s="11"/>
      <c r="E284" s="11"/>
    </row>
    <row r="285" spans="2:5">
      <c r="B285" s="11"/>
      <c r="C285" s="11"/>
      <c r="D285" s="11"/>
      <c r="E285" s="11"/>
    </row>
    <row r="286" spans="2:5">
      <c r="B286" s="11"/>
      <c r="C286" s="11"/>
      <c r="D286" s="11"/>
      <c r="E286" s="11"/>
    </row>
    <row r="287" spans="2:5">
      <c r="B287" s="11"/>
      <c r="C287" s="11"/>
      <c r="D287" s="11"/>
      <c r="E287" s="11"/>
    </row>
    <row r="288" spans="2:5">
      <c r="B288" s="11"/>
      <c r="C288" s="11"/>
      <c r="D288" s="11"/>
      <c r="E288" s="11"/>
    </row>
    <row r="289" spans="2:5">
      <c r="B289" s="11"/>
      <c r="C289" s="11"/>
      <c r="D289" s="11"/>
      <c r="E289" s="11"/>
    </row>
    <row r="290" spans="2:5">
      <c r="B290" s="11"/>
      <c r="C290" s="11"/>
      <c r="D290" s="11"/>
      <c r="E290" s="11"/>
    </row>
    <row r="291" spans="2:5">
      <c r="B291" s="11"/>
      <c r="C291" s="11"/>
      <c r="D291" s="11"/>
      <c r="E291" s="11"/>
    </row>
    <row r="292" spans="2:5">
      <c r="B292" s="11"/>
      <c r="C292" s="11"/>
      <c r="D292" s="11"/>
      <c r="E292" s="11"/>
    </row>
    <row r="293" spans="2:5">
      <c r="B293" s="11"/>
      <c r="C293" s="11"/>
      <c r="D293" s="11"/>
      <c r="E293" s="11"/>
    </row>
    <row r="294" spans="2:5">
      <c r="B294" s="11"/>
      <c r="C294" s="11"/>
      <c r="D294" s="11"/>
      <c r="E294" s="11"/>
    </row>
  </sheetData>
  <sheetProtection formatCells="0" formatColumns="0" formatRows="0" insertRows="0" insertColumns="0" insertHyperlinks="0" deleteColumns="0" deleteRows="0" sort="0" autoFilter="0" pivotTables="0"/>
  <conditionalFormatting sqref="C6:C13">
    <cfRule type="expression" dxfId="52" priority="14">
      <formula>day_控件!$F1=TRUE</formula>
    </cfRule>
  </conditionalFormatting>
  <pageMargins left="0.7" right="0.7" top="0.75" bottom="0.75" header="0.3" footer="0.3"/>
  <pageSetup paperSize="9" orientation="portrait" horizontalDpi="1200" verticalDpi="1200"/>
  <headerFooter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9217" name="Scroll Bar 1" r:id="rId3">
              <controlPr defaultSize="0">
                <anchor moveWithCells="1">
                  <from>
                    <xdr:col>8</xdr:col>
                    <xdr:colOff>314325</xdr:colOff>
                    <xdr:row>1</xdr:row>
                    <xdr:rowOff>152400</xdr:rowOff>
                  </from>
                  <to>
                    <xdr:col>13</xdr:col>
                    <xdr:colOff>581025</xdr:colOff>
                    <xdr:row>2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18" name="Check Box 2" r:id="rId4">
              <controlPr defaultSize="0">
                <anchor moveWithCells="1">
                  <from>
                    <xdr:col>0</xdr:col>
                    <xdr:colOff>276225</xdr:colOff>
                    <xdr:row>6</xdr:row>
                    <xdr:rowOff>0</xdr:rowOff>
                  </from>
                  <to>
                    <xdr:col>3</xdr:col>
                    <xdr:colOff>0</xdr:colOff>
                    <xdr:row>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19" name="Check Box 3" r:id="rId5">
              <controlPr defaultSize="0">
                <anchor moveWithCells="1">
                  <from>
                    <xdr:col>0</xdr:col>
                    <xdr:colOff>276225</xdr:colOff>
                    <xdr:row>7</xdr:row>
                    <xdr:rowOff>0</xdr:rowOff>
                  </from>
                  <to>
                    <xdr:col>3</xdr:col>
                    <xdr:colOff>0</xdr:colOff>
                    <xdr:row>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0" name="Check Box 4" r:id="rId6">
              <controlPr defaultSize="0">
                <anchor moveWithCells="1">
                  <from>
                    <xdr:col>0</xdr:col>
                    <xdr:colOff>276225</xdr:colOff>
                    <xdr:row>8</xdr:row>
                    <xdr:rowOff>0</xdr:rowOff>
                  </from>
                  <to>
                    <xdr:col>3</xdr:col>
                    <xdr:colOff>0</xdr:colOff>
                    <xdr:row>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1" name="Check Box 5" r:id="rId7">
              <controlPr defaultSize="0">
                <anchor moveWithCells="1">
                  <from>
                    <xdr:col>0</xdr:col>
                    <xdr:colOff>276225</xdr:colOff>
                    <xdr:row>5</xdr:row>
                    <xdr:rowOff>0</xdr:rowOff>
                  </from>
                  <to>
                    <xdr:col>3</xdr:col>
                    <xdr:colOff>0</xdr:colOff>
                    <xdr:row>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2" name="Check Box 6" r:id="rId8">
              <controlPr defaultSize="0">
                <anchor moveWithCells="1">
                  <from>
                    <xdr:col>1</xdr:col>
                    <xdr:colOff>0</xdr:colOff>
                    <xdr:row>11</xdr:row>
                    <xdr:rowOff>438150</xdr:rowOff>
                  </from>
                  <to>
                    <xdr:col>3</xdr:col>
                    <xdr:colOff>19050</xdr:colOff>
                    <xdr:row>13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3" name="Check Box 7" r:id="rId9">
              <controlPr defaultSize="0">
                <anchor moveWithCells="1">
                  <from>
                    <xdr:col>0</xdr:col>
                    <xdr:colOff>276225</xdr:colOff>
                    <xdr:row>10</xdr:row>
                    <xdr:rowOff>0</xdr:rowOff>
                  </from>
                  <to>
                    <xdr:col>3</xdr:col>
                    <xdr:colOff>0</xdr:colOff>
                    <xdr:row>11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4" name="Check Box 8" r:id="rId10">
              <controlPr defaultSize="0">
                <anchor moveWithCells="1">
                  <from>
                    <xdr:col>0</xdr:col>
                    <xdr:colOff>276225</xdr:colOff>
                    <xdr:row>9</xdr:row>
                    <xdr:rowOff>0</xdr:rowOff>
                  </from>
                  <to>
                    <xdr:col>3</xdr:col>
                    <xdr:colOff>0</xdr:colOff>
                    <xdr:row>10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5" name="Check Box 9" r:id="rId11">
              <controlPr defaultSize="0">
                <anchor moveWithCells="1">
                  <from>
                    <xdr:col>0</xdr:col>
                    <xdr:colOff>276225</xdr:colOff>
                    <xdr:row>11</xdr:row>
                    <xdr:rowOff>0</xdr:rowOff>
                  </from>
                  <to>
                    <xdr:col>3</xdr:col>
                    <xdr:colOff>0</xdr:colOff>
                    <xdr:row>12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6" name="Scroll Bar 10" r:id="rId12">
              <controlPr defaultSize="0">
                <anchor moveWithCells="1">
                  <from>
                    <xdr:col>8</xdr:col>
                    <xdr:colOff>323850</xdr:colOff>
                    <xdr:row>0</xdr:row>
                    <xdr:rowOff>19050</xdr:rowOff>
                  </from>
                  <to>
                    <xdr:col>13</xdr:col>
                    <xdr:colOff>590550</xdr:colOff>
                    <xdr:row>1</xdr:row>
                    <xdr:rowOff>28575</xdr:rowOff>
                  </to>
                </anchor>
              </controlPr>
            </control>
          </mc:Choice>
        </mc:AlternateContent>
      </controls>
    </mc:Choice>
  </mc:AlternateContent>
  <extLst>
    <ext xmlns:x14="http://schemas.microsoft.com/office/spreadsheetml/2009/9/main" uri="{A8765BA9-456A-4dab-B4F3-ACF838C121DE}">
      <x14:slicerList>
        <x14:slicer r:id="rId13"/>
      </x14:slicerList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147"/>
  <sheetViews>
    <sheetView workbookViewId="0">
      <selection activeCell="A1" sqref="A1"/>
    </sheetView>
  </sheetViews>
  <sheetFormatPr defaultColWidth="9.125" defaultRowHeight="14.25"/>
  <cols>
    <col min="1" max="1" width="22.75" style="8" customWidth="1"/>
    <col min="2" max="2" width="10.125" style="8" customWidth="1"/>
    <col min="3" max="3" width="9.875" style="16" customWidth="1"/>
    <col min="4" max="4" width="7.125" style="8" customWidth="1"/>
    <col min="5" max="5" width="9" style="8" customWidth="1"/>
    <col min="6" max="6" width="11" style="8" customWidth="1"/>
    <col min="7" max="7" width="13" style="8" customWidth="1"/>
    <col min="8" max="8" width="16.875" style="8" customWidth="1"/>
    <col min="9" max="9" width="9" style="8" customWidth="1"/>
    <col min="10" max="13" width="14" style="8" customWidth="1"/>
    <col min="14" max="14" width="9.125" style="8" customWidth="1"/>
    <col min="15" max="15" width="16.375" style="8" customWidth="1"/>
    <col min="16" max="16" width="9.125" style="8" customWidth="1"/>
    <col min="17" max="17" width="23.875" style="17" customWidth="1"/>
    <col min="18" max="18" width="12.25" style="18" customWidth="1"/>
    <col min="19" max="19" width="11.75" style="19" customWidth="1"/>
    <col min="20" max="20" width="14.375" style="17" customWidth="1"/>
    <col min="21" max="21" width="11.75" style="19" customWidth="1"/>
    <col min="22" max="22" width="12.25" style="20" customWidth="1"/>
    <col min="23" max="23" width="11.75" style="17" customWidth="1"/>
    <col min="24" max="24" width="14.375" style="21" customWidth="1"/>
    <col min="25" max="25" width="16" style="19" customWidth="1"/>
    <col min="26" max="16384" width="9.125" style="8"/>
  </cols>
  <sheetData>
    <row r="1" spans="1:25">
      <c r="A1" s="22" t="s">
        <v>67</v>
      </c>
      <c r="B1" s="23" t="s">
        <v>91</v>
      </c>
      <c r="C1" s="24" t="s">
        <v>92</v>
      </c>
      <c r="D1" s="23" t="s">
        <v>93</v>
      </c>
      <c r="E1" s="23" t="s">
        <v>94</v>
      </c>
      <c r="F1" s="23" t="s">
        <v>95</v>
      </c>
      <c r="G1" s="23" t="s">
        <v>96</v>
      </c>
      <c r="H1" s="23" t="s">
        <v>75</v>
      </c>
      <c r="I1" s="23" t="s">
        <v>97</v>
      </c>
      <c r="K1" s="8">
        <v>24</v>
      </c>
      <c r="L1" s="7" t="s">
        <v>98</v>
      </c>
      <c r="M1" s="30" t="b">
        <v>1</v>
      </c>
      <c r="Q1" s="31"/>
      <c r="R1" s="32" t="s">
        <v>98</v>
      </c>
      <c r="S1" s="33" t="s">
        <v>92</v>
      </c>
      <c r="T1" s="34" t="s">
        <v>99</v>
      </c>
      <c r="U1" s="33" t="s">
        <v>94</v>
      </c>
      <c r="V1" s="39" t="s">
        <v>100</v>
      </c>
      <c r="W1" s="34" t="s">
        <v>101</v>
      </c>
      <c r="X1" s="40" t="s">
        <v>102</v>
      </c>
      <c r="Y1" s="43" t="s">
        <v>103</v>
      </c>
    </row>
    <row r="2" spans="1:25">
      <c r="A2" s="25" t="s">
        <v>104</v>
      </c>
      <c r="B2" s="23">
        <v>3</v>
      </c>
      <c r="C2" s="26"/>
      <c r="D2" s="23">
        <v>4</v>
      </c>
      <c r="E2" s="26"/>
      <c r="F2" s="23">
        <v>0</v>
      </c>
      <c r="G2" s="23">
        <v>0</v>
      </c>
      <c r="H2" s="23">
        <v>0</v>
      </c>
      <c r="I2" s="23">
        <v>1</v>
      </c>
      <c r="L2" s="7" t="s">
        <v>92</v>
      </c>
      <c r="M2" s="30" t="b">
        <v>0</v>
      </c>
      <c r="P2" s="8">
        <f>IF(week_data!$Q2&lt;&gt;FALSE,1,"")</f>
        <v>1</v>
      </c>
      <c r="Q2" s="35" t="str">
        <f>IF(ROW(Q2)&gt;$K$1+1,FALSE,IF(A2&lt;&gt;"",A2,FALSE))</f>
        <v>2018-5-28 - 2018-6-3</v>
      </c>
      <c r="R2" s="36">
        <f>IF($M$1,IF(B2&lt;&gt;"",B2,NA()),NA())</f>
        <v>3</v>
      </c>
      <c r="S2" s="37" t="e">
        <f>IF($M$2,IF(C2&lt;&gt;"",C2,NA()),NA())</f>
        <v>#N/A</v>
      </c>
      <c r="T2" s="38" t="e">
        <f>IF($M$3,IF(D2&lt;&gt;"",D2,NA()),NA())</f>
        <v>#N/A</v>
      </c>
      <c r="U2" s="37" t="e">
        <f>IF($M$4,IF(E2&lt;&gt;"",E2,NA()),NA())</f>
        <v>#N/A</v>
      </c>
      <c r="V2" s="41" t="e">
        <f>IF($M$5,IF(G2&lt;&gt;"",G2,NA()),NA())</f>
        <v>#N/A</v>
      </c>
      <c r="W2" s="38" t="e">
        <f>IF($M$6,IF(F2&lt;&gt;"",F2,NA()),NA())</f>
        <v>#N/A</v>
      </c>
      <c r="X2" s="42" t="e">
        <f>IF($M$7,IF(H2&lt;&gt;"",H2,NA()),NA())</f>
        <v>#N/A</v>
      </c>
      <c r="Y2" s="44" t="e">
        <f>IF($M$8,IF(I2&lt;&gt;"",I2,NA()),NA())</f>
        <v>#N/A</v>
      </c>
    </row>
    <row r="3" spans="1:25">
      <c r="A3" s="25" t="s">
        <v>105</v>
      </c>
      <c r="B3" s="23">
        <v>53</v>
      </c>
      <c r="C3" s="26">
        <v>16.6666666666667</v>
      </c>
      <c r="D3" s="23">
        <v>66</v>
      </c>
      <c r="E3" s="26">
        <v>15.5</v>
      </c>
      <c r="F3" s="23">
        <v>6</v>
      </c>
      <c r="G3" s="23">
        <v>0.14025974025974</v>
      </c>
      <c r="H3" s="23">
        <v>137.94</v>
      </c>
      <c r="I3" s="23">
        <v>1</v>
      </c>
      <c r="L3" s="7" t="s">
        <v>99</v>
      </c>
      <c r="M3" s="30" t="b">
        <v>0</v>
      </c>
      <c r="P3" s="8">
        <f>IF(week_data!$Q3&lt;&gt;FALSE,P2+1,"")</f>
        <v>2</v>
      </c>
      <c r="Q3" s="35" t="str">
        <f t="shared" ref="Q3:Q66" si="0">IF(ROW(Q3)&gt;$K$1+1,FALSE,IF(A3&lt;&gt;"",A3,FALSE))</f>
        <v>2018-6-11 - 2018-6-17</v>
      </c>
      <c r="R3" s="36">
        <f t="shared" ref="R3:R66" si="1">IF($M$1,IF(B3&lt;&gt;"",B3,NA()),NA())</f>
        <v>53</v>
      </c>
      <c r="S3" s="37" t="e">
        <f t="shared" ref="S3:S66" si="2">IF($M$2,IF(C3&lt;&gt;"",C3,NA()),NA())</f>
        <v>#N/A</v>
      </c>
      <c r="T3" s="38" t="e">
        <f t="shared" ref="T3:T66" si="3">IF($M$3,IF(D3&lt;&gt;"",D3,NA()),NA())</f>
        <v>#N/A</v>
      </c>
      <c r="U3" s="37" t="e">
        <f t="shared" ref="U3:U66" si="4">IF($M$4,IF(E3&lt;&gt;"",E3,NA()),NA())</f>
        <v>#N/A</v>
      </c>
      <c r="V3" s="41" t="e">
        <f t="shared" ref="V3:V66" si="5">IF($M$5,IF(G3&lt;&gt;"",G3,NA()),NA())</f>
        <v>#N/A</v>
      </c>
      <c r="W3" s="38" t="e">
        <f t="shared" ref="W3:W66" si="6">IF($M$6,IF(F3&lt;&gt;"",F3,NA()),NA())</f>
        <v>#N/A</v>
      </c>
      <c r="X3" s="42" t="e">
        <f t="shared" ref="X3:X66" si="7">IF($M$7,IF(H3&lt;&gt;"",H3,NA()),NA())</f>
        <v>#N/A</v>
      </c>
      <c r="Y3" s="44" t="e">
        <f t="shared" ref="Y3:Y66" si="8">IF($M$8,IF(I3&lt;&gt;"",I3,NA()),NA())</f>
        <v>#N/A</v>
      </c>
    </row>
    <row r="4" spans="1:25">
      <c r="A4" s="25" t="s">
        <v>106</v>
      </c>
      <c r="B4" s="23">
        <v>60</v>
      </c>
      <c r="C4" s="26">
        <v>0.132075471698113</v>
      </c>
      <c r="D4" s="23">
        <v>74</v>
      </c>
      <c r="E4" s="26">
        <v>0.121212121212121</v>
      </c>
      <c r="F4" s="23">
        <v>2</v>
      </c>
      <c r="G4" s="23">
        <v>0.0238095238095239</v>
      </c>
      <c r="H4" s="23">
        <v>41.98</v>
      </c>
      <c r="I4" s="23">
        <v>1</v>
      </c>
      <c r="L4" s="7" t="s">
        <v>94</v>
      </c>
      <c r="M4" s="30" t="b">
        <v>0</v>
      </c>
      <c r="P4" s="8">
        <f>IF(week_data!$Q4&lt;&gt;FALSE,P3+1,"")</f>
        <v>3</v>
      </c>
      <c r="Q4" s="35" t="str">
        <f t="shared" si="0"/>
        <v>2018-6-18 - 2018-6-24</v>
      </c>
      <c r="R4" s="36">
        <f t="shared" si="1"/>
        <v>60</v>
      </c>
      <c r="S4" s="37" t="e">
        <f t="shared" si="2"/>
        <v>#N/A</v>
      </c>
      <c r="T4" s="38" t="e">
        <f t="shared" si="3"/>
        <v>#N/A</v>
      </c>
      <c r="U4" s="37" t="e">
        <f t="shared" si="4"/>
        <v>#N/A</v>
      </c>
      <c r="V4" s="41" t="e">
        <f t="shared" si="5"/>
        <v>#N/A</v>
      </c>
      <c r="W4" s="38" t="e">
        <f t="shared" si="6"/>
        <v>#N/A</v>
      </c>
      <c r="X4" s="42" t="e">
        <f t="shared" si="7"/>
        <v>#N/A</v>
      </c>
      <c r="Y4" s="44" t="e">
        <f t="shared" si="8"/>
        <v>#N/A</v>
      </c>
    </row>
    <row r="5" spans="1:25">
      <c r="A5" s="25" t="s">
        <v>107</v>
      </c>
      <c r="B5" s="23">
        <v>91</v>
      </c>
      <c r="C5" s="26">
        <v>0.516666666666667</v>
      </c>
      <c r="D5" s="23">
        <v>113</v>
      </c>
      <c r="E5" s="26">
        <v>0.527027027027027</v>
      </c>
      <c r="F5" s="23">
        <v>11</v>
      </c>
      <c r="G5" s="23">
        <v>0.0825576384399913</v>
      </c>
      <c r="H5" s="23">
        <v>230.89</v>
      </c>
      <c r="I5" s="23">
        <v>1</v>
      </c>
      <c r="L5" s="27" t="s">
        <v>100</v>
      </c>
      <c r="M5" s="30" t="b">
        <v>0</v>
      </c>
      <c r="P5" s="8">
        <f>IF(week_data!$Q5&lt;&gt;FALSE,P4+1,"")</f>
        <v>4</v>
      </c>
      <c r="Q5" s="35" t="str">
        <f t="shared" si="0"/>
        <v>2018-6-25 - 2018-7-1</v>
      </c>
      <c r="R5" s="36">
        <f t="shared" si="1"/>
        <v>91</v>
      </c>
      <c r="S5" s="37" t="e">
        <f t="shared" si="2"/>
        <v>#N/A</v>
      </c>
      <c r="T5" s="38" t="e">
        <f t="shared" si="3"/>
        <v>#N/A</v>
      </c>
      <c r="U5" s="37" t="e">
        <f t="shared" si="4"/>
        <v>#N/A</v>
      </c>
      <c r="V5" s="41" t="e">
        <f t="shared" si="5"/>
        <v>#N/A</v>
      </c>
      <c r="W5" s="38" t="e">
        <f t="shared" si="6"/>
        <v>#N/A</v>
      </c>
      <c r="X5" s="42" t="e">
        <f t="shared" si="7"/>
        <v>#N/A</v>
      </c>
      <c r="Y5" s="44" t="e">
        <f t="shared" si="8"/>
        <v>#N/A</v>
      </c>
    </row>
    <row r="6" spans="1:25">
      <c r="A6" s="25" t="s">
        <v>108</v>
      </c>
      <c r="B6" s="23">
        <v>227</v>
      </c>
      <c r="C6" s="26">
        <v>1.49450549450549</v>
      </c>
      <c r="D6" s="23">
        <v>407</v>
      </c>
      <c r="E6" s="26">
        <v>2.60176991150442</v>
      </c>
      <c r="F6" s="23">
        <v>18</v>
      </c>
      <c r="G6" s="23">
        <v>0.0820911480475023</v>
      </c>
      <c r="H6" s="23">
        <v>494.82</v>
      </c>
      <c r="I6" s="23">
        <v>1</v>
      </c>
      <c r="L6" s="7" t="s">
        <v>101</v>
      </c>
      <c r="M6" s="30" t="b">
        <v>0</v>
      </c>
      <c r="P6" s="8">
        <f>IF(week_data!$Q6&lt;&gt;FALSE,P5+1,"")</f>
        <v>5</v>
      </c>
      <c r="Q6" s="35" t="str">
        <f t="shared" si="0"/>
        <v>2018-10-1 - 2018-10-7</v>
      </c>
      <c r="R6" s="36">
        <f t="shared" si="1"/>
        <v>227</v>
      </c>
      <c r="S6" s="37" t="e">
        <f t="shared" si="2"/>
        <v>#N/A</v>
      </c>
      <c r="T6" s="38" t="e">
        <f t="shared" si="3"/>
        <v>#N/A</v>
      </c>
      <c r="U6" s="37" t="e">
        <f t="shared" si="4"/>
        <v>#N/A</v>
      </c>
      <c r="V6" s="41" t="e">
        <f t="shared" si="5"/>
        <v>#N/A</v>
      </c>
      <c r="W6" s="38" t="e">
        <f t="shared" si="6"/>
        <v>#N/A</v>
      </c>
      <c r="X6" s="42" t="e">
        <f t="shared" si="7"/>
        <v>#N/A</v>
      </c>
      <c r="Y6" s="44" t="e">
        <f t="shared" si="8"/>
        <v>#N/A</v>
      </c>
    </row>
    <row r="7" spans="1:25">
      <c r="A7" s="25" t="s">
        <v>109</v>
      </c>
      <c r="B7" s="23">
        <v>227</v>
      </c>
      <c r="C7" s="26">
        <v>0</v>
      </c>
      <c r="D7" s="23">
        <v>340</v>
      </c>
      <c r="E7" s="26">
        <v>-0.164619164619165</v>
      </c>
      <c r="F7" s="23">
        <v>25</v>
      </c>
      <c r="G7" s="23">
        <v>0.0958732425263865</v>
      </c>
      <c r="H7" s="23">
        <v>687.25</v>
      </c>
      <c r="I7" s="23">
        <v>1</v>
      </c>
      <c r="J7" s="28"/>
      <c r="K7" s="28"/>
      <c r="L7" s="7" t="s">
        <v>102</v>
      </c>
      <c r="M7" s="30" t="b">
        <v>0</v>
      </c>
      <c r="O7" s="30"/>
      <c r="P7" s="8">
        <f>IF(week_data!$Q7&lt;&gt;FALSE,P6+1,"")</f>
        <v>6</v>
      </c>
      <c r="Q7" s="35" t="str">
        <f t="shared" si="0"/>
        <v>2018-10-8 - 2018-10-14</v>
      </c>
      <c r="R7" s="36">
        <f t="shared" si="1"/>
        <v>227</v>
      </c>
      <c r="S7" s="37" t="e">
        <f t="shared" si="2"/>
        <v>#N/A</v>
      </c>
      <c r="T7" s="38" t="e">
        <f t="shared" si="3"/>
        <v>#N/A</v>
      </c>
      <c r="U7" s="37" t="e">
        <f t="shared" si="4"/>
        <v>#N/A</v>
      </c>
      <c r="V7" s="41" t="e">
        <f t="shared" si="5"/>
        <v>#N/A</v>
      </c>
      <c r="W7" s="38" t="e">
        <f t="shared" si="6"/>
        <v>#N/A</v>
      </c>
      <c r="X7" s="42" t="e">
        <f t="shared" si="7"/>
        <v>#N/A</v>
      </c>
      <c r="Y7" s="44" t="e">
        <f t="shared" si="8"/>
        <v>#N/A</v>
      </c>
    </row>
    <row r="8" spans="1:25">
      <c r="A8" s="25" t="s">
        <v>110</v>
      </c>
      <c r="B8" s="23">
        <v>212</v>
      </c>
      <c r="C8" s="26">
        <v>-0.066079295154185</v>
      </c>
      <c r="D8" s="23">
        <v>273</v>
      </c>
      <c r="E8" s="26">
        <v>-0.197058823529412</v>
      </c>
      <c r="F8" s="23">
        <v>17</v>
      </c>
      <c r="G8" s="23">
        <v>0.080252236848268</v>
      </c>
      <c r="H8" s="23">
        <v>439.84</v>
      </c>
      <c r="I8" s="23">
        <v>1</v>
      </c>
      <c r="J8" s="28"/>
      <c r="K8" s="28"/>
      <c r="L8" s="29" t="s">
        <v>103</v>
      </c>
      <c r="M8" s="30" t="b">
        <v>0</v>
      </c>
      <c r="O8" s="30"/>
      <c r="P8" s="8">
        <f>IF(week_data!$Q8&lt;&gt;FALSE,P7+1,"")</f>
        <v>7</v>
      </c>
      <c r="Q8" s="35" t="str">
        <f t="shared" si="0"/>
        <v>2018-10-15 - 2018-10-21</v>
      </c>
      <c r="R8" s="36">
        <f t="shared" si="1"/>
        <v>212</v>
      </c>
      <c r="S8" s="37" t="e">
        <f t="shared" si="2"/>
        <v>#N/A</v>
      </c>
      <c r="T8" s="38" t="e">
        <f t="shared" si="3"/>
        <v>#N/A</v>
      </c>
      <c r="U8" s="37" t="e">
        <f t="shared" si="4"/>
        <v>#N/A</v>
      </c>
      <c r="V8" s="41" t="e">
        <f t="shared" si="5"/>
        <v>#N/A</v>
      </c>
      <c r="W8" s="38" t="e">
        <f t="shared" si="6"/>
        <v>#N/A</v>
      </c>
      <c r="X8" s="42" t="e">
        <f t="shared" si="7"/>
        <v>#N/A</v>
      </c>
      <c r="Y8" s="44" t="e">
        <f t="shared" si="8"/>
        <v>#N/A</v>
      </c>
    </row>
    <row r="9" spans="1:25">
      <c r="A9" s="25" t="s">
        <v>111</v>
      </c>
      <c r="B9" s="23">
        <v>172</v>
      </c>
      <c r="C9" s="26">
        <v>-0.188679245283019</v>
      </c>
      <c r="D9" s="23">
        <v>225</v>
      </c>
      <c r="E9" s="26">
        <v>-0.175824175824176</v>
      </c>
      <c r="F9" s="23">
        <v>15</v>
      </c>
      <c r="G9" s="23">
        <v>0.0867939759565375</v>
      </c>
      <c r="H9" s="23">
        <v>416.91</v>
      </c>
      <c r="I9" s="23">
        <v>0.991428571428571</v>
      </c>
      <c r="J9" s="28"/>
      <c r="K9" s="28"/>
      <c r="L9" s="28"/>
      <c r="O9" s="30"/>
      <c r="P9" s="8">
        <f>IF(week_data!$Q9&lt;&gt;FALSE,P8+1,"")</f>
        <v>8</v>
      </c>
      <c r="Q9" s="35" t="str">
        <f t="shared" si="0"/>
        <v>2018-10-22 - 2018-10-28</v>
      </c>
      <c r="R9" s="36">
        <f t="shared" si="1"/>
        <v>172</v>
      </c>
      <c r="S9" s="37" t="e">
        <f t="shared" si="2"/>
        <v>#N/A</v>
      </c>
      <c r="T9" s="38" t="e">
        <f t="shared" si="3"/>
        <v>#N/A</v>
      </c>
      <c r="U9" s="37" t="e">
        <f t="shared" si="4"/>
        <v>#N/A</v>
      </c>
      <c r="V9" s="41" t="e">
        <f t="shared" si="5"/>
        <v>#N/A</v>
      </c>
      <c r="W9" s="38" t="e">
        <f t="shared" si="6"/>
        <v>#N/A</v>
      </c>
      <c r="X9" s="42" t="e">
        <f t="shared" si="7"/>
        <v>#N/A</v>
      </c>
      <c r="Y9" s="44" t="e">
        <f t="shared" si="8"/>
        <v>#N/A</v>
      </c>
    </row>
    <row r="10" spans="1:25">
      <c r="A10" s="25" t="s">
        <v>112</v>
      </c>
      <c r="B10" s="23">
        <v>159</v>
      </c>
      <c r="C10" s="26">
        <v>-0.0755813953488372</v>
      </c>
      <c r="D10" s="23">
        <v>194</v>
      </c>
      <c r="E10" s="26">
        <v>-0.137777777777778</v>
      </c>
      <c r="F10" s="23">
        <v>14</v>
      </c>
      <c r="G10" s="23">
        <v>0.0913410092629693</v>
      </c>
      <c r="H10" s="23">
        <v>390.18</v>
      </c>
      <c r="I10" s="23">
        <v>1</v>
      </c>
      <c r="J10" s="28"/>
      <c r="K10" s="28"/>
      <c r="L10" s="28"/>
      <c r="O10" s="30"/>
      <c r="P10" s="8">
        <f>IF(week_data!$Q10&lt;&gt;FALSE,P9+1,"")</f>
        <v>9</v>
      </c>
      <c r="Q10" s="35" t="str">
        <f t="shared" si="0"/>
        <v>2018-10-29 - 2018-11-4</v>
      </c>
      <c r="R10" s="36">
        <f t="shared" si="1"/>
        <v>159</v>
      </c>
      <c r="S10" s="37" t="e">
        <f t="shared" si="2"/>
        <v>#N/A</v>
      </c>
      <c r="T10" s="38" t="e">
        <f t="shared" si="3"/>
        <v>#N/A</v>
      </c>
      <c r="U10" s="37" t="e">
        <f t="shared" si="4"/>
        <v>#N/A</v>
      </c>
      <c r="V10" s="41" t="e">
        <f t="shared" si="5"/>
        <v>#N/A</v>
      </c>
      <c r="W10" s="38" t="e">
        <f t="shared" si="6"/>
        <v>#N/A</v>
      </c>
      <c r="X10" s="42" t="e">
        <f t="shared" si="7"/>
        <v>#N/A</v>
      </c>
      <c r="Y10" s="44" t="e">
        <f t="shared" si="8"/>
        <v>#N/A</v>
      </c>
    </row>
    <row r="11" spans="1:25">
      <c r="A11" s="25" t="s">
        <v>113</v>
      </c>
      <c r="B11" s="23">
        <v>109</v>
      </c>
      <c r="C11" s="26">
        <v>-0.314465408805031</v>
      </c>
      <c r="D11" s="23">
        <v>133</v>
      </c>
      <c r="E11" s="26">
        <v>-0.314432989690722</v>
      </c>
      <c r="F11" s="23">
        <v>10</v>
      </c>
      <c r="G11" s="23">
        <v>0.11376964578935</v>
      </c>
      <c r="H11" s="23">
        <v>278.7</v>
      </c>
      <c r="I11" s="23">
        <v>1</v>
      </c>
      <c r="J11" s="28"/>
      <c r="K11" s="28"/>
      <c r="L11" s="28"/>
      <c r="O11" s="30"/>
      <c r="P11" s="8">
        <f>IF(week_data!$Q11&lt;&gt;FALSE,P10+1,"")</f>
        <v>10</v>
      </c>
      <c r="Q11" s="35" t="str">
        <f t="shared" si="0"/>
        <v>2018-11-5 - 2018-11-11</v>
      </c>
      <c r="R11" s="36">
        <f t="shared" si="1"/>
        <v>109</v>
      </c>
      <c r="S11" s="37" t="e">
        <f t="shared" si="2"/>
        <v>#N/A</v>
      </c>
      <c r="T11" s="38" t="e">
        <f t="shared" si="3"/>
        <v>#N/A</v>
      </c>
      <c r="U11" s="37" t="e">
        <f t="shared" si="4"/>
        <v>#N/A</v>
      </c>
      <c r="V11" s="41" t="e">
        <f t="shared" si="5"/>
        <v>#N/A</v>
      </c>
      <c r="W11" s="38" t="e">
        <f t="shared" si="6"/>
        <v>#N/A</v>
      </c>
      <c r="X11" s="42" t="e">
        <f t="shared" si="7"/>
        <v>#N/A</v>
      </c>
      <c r="Y11" s="44" t="e">
        <f t="shared" si="8"/>
        <v>#N/A</v>
      </c>
    </row>
    <row r="12" spans="1:25">
      <c r="A12" s="25" t="s">
        <v>114</v>
      </c>
      <c r="B12" s="23">
        <v>37</v>
      </c>
      <c r="C12" s="26">
        <v>-0.660550458715596</v>
      </c>
      <c r="D12" s="23">
        <v>55</v>
      </c>
      <c r="E12" s="26">
        <v>-0.586466165413534</v>
      </c>
      <c r="F12" s="23">
        <v>1</v>
      </c>
      <c r="G12" s="23">
        <v>0.0357142857142857</v>
      </c>
      <c r="H12" s="23">
        <v>27.87</v>
      </c>
      <c r="I12" s="23">
        <v>1</v>
      </c>
      <c r="J12" s="28"/>
      <c r="K12" s="28"/>
      <c r="L12" s="28"/>
      <c r="O12" s="30"/>
      <c r="P12" s="8">
        <f>IF(week_data!$Q12&lt;&gt;FALSE,P11+1,"")</f>
        <v>11</v>
      </c>
      <c r="Q12" s="35" t="str">
        <f t="shared" si="0"/>
        <v>2018-11-12 - 2018-11-18</v>
      </c>
      <c r="R12" s="36">
        <f t="shared" si="1"/>
        <v>37</v>
      </c>
      <c r="S12" s="37" t="e">
        <f t="shared" si="2"/>
        <v>#N/A</v>
      </c>
      <c r="T12" s="38" t="e">
        <f t="shared" si="3"/>
        <v>#N/A</v>
      </c>
      <c r="U12" s="37" t="e">
        <f t="shared" si="4"/>
        <v>#N/A</v>
      </c>
      <c r="V12" s="41" t="e">
        <f t="shared" si="5"/>
        <v>#N/A</v>
      </c>
      <c r="W12" s="38" t="e">
        <f t="shared" si="6"/>
        <v>#N/A</v>
      </c>
      <c r="X12" s="42" t="e">
        <f t="shared" si="7"/>
        <v>#N/A</v>
      </c>
      <c r="Y12" s="44" t="e">
        <f t="shared" si="8"/>
        <v>#N/A</v>
      </c>
    </row>
    <row r="13" spans="1:25">
      <c r="A13" s="25" t="s">
        <v>115</v>
      </c>
      <c r="B13" s="23">
        <v>80</v>
      </c>
      <c r="C13" s="26">
        <v>1.16216216216216</v>
      </c>
      <c r="D13" s="23">
        <v>116</v>
      </c>
      <c r="E13" s="26">
        <v>1.10909090909091</v>
      </c>
      <c r="F13" s="23">
        <v>4</v>
      </c>
      <c r="G13" s="23">
        <v>0.0497835497835498</v>
      </c>
      <c r="H13" s="23">
        <v>117.84</v>
      </c>
      <c r="I13" s="23">
        <v>0.995714285714286</v>
      </c>
      <c r="J13" s="28"/>
      <c r="K13" s="28"/>
      <c r="L13" s="28"/>
      <c r="O13" s="30"/>
      <c r="P13" s="8">
        <f>IF(week_data!$Q13&lt;&gt;FALSE,P12+1,"")</f>
        <v>12</v>
      </c>
      <c r="Q13" s="35" t="str">
        <f t="shared" si="0"/>
        <v>2018-11-19 - 2018-11-25</v>
      </c>
      <c r="R13" s="36">
        <f t="shared" si="1"/>
        <v>80</v>
      </c>
      <c r="S13" s="37" t="e">
        <f t="shared" si="2"/>
        <v>#N/A</v>
      </c>
      <c r="T13" s="38" t="e">
        <f t="shared" si="3"/>
        <v>#N/A</v>
      </c>
      <c r="U13" s="37" t="e">
        <f t="shared" si="4"/>
        <v>#N/A</v>
      </c>
      <c r="V13" s="41" t="e">
        <f t="shared" si="5"/>
        <v>#N/A</v>
      </c>
      <c r="W13" s="38" t="e">
        <f t="shared" si="6"/>
        <v>#N/A</v>
      </c>
      <c r="X13" s="42" t="e">
        <f t="shared" si="7"/>
        <v>#N/A</v>
      </c>
      <c r="Y13" s="44" t="e">
        <f t="shared" si="8"/>
        <v>#N/A</v>
      </c>
    </row>
    <row r="14" spans="1:25">
      <c r="A14" s="25" t="s">
        <v>116</v>
      </c>
      <c r="B14" s="23">
        <v>38</v>
      </c>
      <c r="C14" s="26">
        <v>-0.525</v>
      </c>
      <c r="D14" s="23">
        <v>45</v>
      </c>
      <c r="E14" s="26">
        <v>-0.612068965517241</v>
      </c>
      <c r="F14" s="23">
        <v>5</v>
      </c>
      <c r="G14" s="23">
        <v>0.122959183673469</v>
      </c>
      <c r="H14" s="23">
        <v>149.95</v>
      </c>
      <c r="I14" s="23">
        <v>1</v>
      </c>
      <c r="J14" s="28"/>
      <c r="K14" s="28"/>
      <c r="L14" s="28"/>
      <c r="O14" s="30"/>
      <c r="P14" s="8">
        <f>IF(week_data!$Q14&lt;&gt;FALSE,P13+1,"")</f>
        <v>13</v>
      </c>
      <c r="Q14" s="35" t="str">
        <f t="shared" si="0"/>
        <v>2018-11-26 - 2018-12-2</v>
      </c>
      <c r="R14" s="36">
        <f t="shared" si="1"/>
        <v>38</v>
      </c>
      <c r="S14" s="37" t="e">
        <f t="shared" si="2"/>
        <v>#N/A</v>
      </c>
      <c r="T14" s="38" t="e">
        <f t="shared" si="3"/>
        <v>#N/A</v>
      </c>
      <c r="U14" s="37" t="e">
        <f t="shared" si="4"/>
        <v>#N/A</v>
      </c>
      <c r="V14" s="41" t="e">
        <f t="shared" si="5"/>
        <v>#N/A</v>
      </c>
      <c r="W14" s="38" t="e">
        <f t="shared" si="6"/>
        <v>#N/A</v>
      </c>
      <c r="X14" s="42" t="e">
        <f t="shared" si="7"/>
        <v>#N/A</v>
      </c>
      <c r="Y14" s="44" t="e">
        <f t="shared" si="8"/>
        <v>#N/A</v>
      </c>
    </row>
    <row r="15" spans="1:25">
      <c r="A15" s="25" t="s">
        <v>117</v>
      </c>
      <c r="B15" s="23">
        <v>63</v>
      </c>
      <c r="C15" s="26">
        <v>0.657894736842105</v>
      </c>
      <c r="D15" s="23">
        <v>82</v>
      </c>
      <c r="E15" s="26">
        <v>0.822222222222222</v>
      </c>
      <c r="F15" s="23">
        <v>4</v>
      </c>
      <c r="G15" s="23">
        <v>0.0409722222222222</v>
      </c>
      <c r="H15" s="23">
        <v>119.96</v>
      </c>
      <c r="I15" s="23">
        <v>1</v>
      </c>
      <c r="P15" s="8">
        <f>IF(week_data!$Q15&lt;&gt;FALSE,P14+1,"")</f>
        <v>14</v>
      </c>
      <c r="Q15" s="35" t="str">
        <f t="shared" si="0"/>
        <v>2018-12-3 - 2018-12-9</v>
      </c>
      <c r="R15" s="36">
        <f t="shared" si="1"/>
        <v>63</v>
      </c>
      <c r="S15" s="37" t="e">
        <f t="shared" si="2"/>
        <v>#N/A</v>
      </c>
      <c r="T15" s="38" t="e">
        <f t="shared" si="3"/>
        <v>#N/A</v>
      </c>
      <c r="U15" s="37" t="e">
        <f t="shared" si="4"/>
        <v>#N/A</v>
      </c>
      <c r="V15" s="41" t="e">
        <f t="shared" si="5"/>
        <v>#N/A</v>
      </c>
      <c r="W15" s="38" t="e">
        <f t="shared" si="6"/>
        <v>#N/A</v>
      </c>
      <c r="X15" s="42" t="e">
        <f t="shared" si="7"/>
        <v>#N/A</v>
      </c>
      <c r="Y15" s="44" t="e">
        <f t="shared" si="8"/>
        <v>#N/A</v>
      </c>
    </row>
    <row r="16" spans="1:25">
      <c r="A16" s="25" t="s">
        <v>118</v>
      </c>
      <c r="B16" s="23">
        <v>85</v>
      </c>
      <c r="C16" s="26">
        <v>0.349206349206349</v>
      </c>
      <c r="D16" s="23">
        <v>120</v>
      </c>
      <c r="E16" s="26">
        <v>0.463414634146342</v>
      </c>
      <c r="F16" s="23">
        <v>11</v>
      </c>
      <c r="G16" s="23">
        <v>0.125186892938994</v>
      </c>
      <c r="H16" s="23">
        <v>299.9</v>
      </c>
      <c r="I16" s="23">
        <v>1</v>
      </c>
      <c r="P16" s="8">
        <f>IF(week_data!$Q16&lt;&gt;FALSE,P15+1,"")</f>
        <v>15</v>
      </c>
      <c r="Q16" s="35" t="str">
        <f t="shared" si="0"/>
        <v>2018-12-10 - 2018-12-16</v>
      </c>
      <c r="R16" s="36">
        <f t="shared" si="1"/>
        <v>85</v>
      </c>
      <c r="S16" s="37" t="e">
        <f t="shared" si="2"/>
        <v>#N/A</v>
      </c>
      <c r="T16" s="38" t="e">
        <f t="shared" si="3"/>
        <v>#N/A</v>
      </c>
      <c r="U16" s="37" t="e">
        <f t="shared" si="4"/>
        <v>#N/A</v>
      </c>
      <c r="V16" s="41" t="e">
        <f t="shared" si="5"/>
        <v>#N/A</v>
      </c>
      <c r="W16" s="38" t="e">
        <f t="shared" si="6"/>
        <v>#N/A</v>
      </c>
      <c r="X16" s="42" t="e">
        <f t="shared" si="7"/>
        <v>#N/A</v>
      </c>
      <c r="Y16" s="44" t="e">
        <f t="shared" si="8"/>
        <v>#N/A</v>
      </c>
    </row>
    <row r="17" spans="1:25">
      <c r="A17" s="25" t="s">
        <v>119</v>
      </c>
      <c r="B17" s="23">
        <v>68</v>
      </c>
      <c r="C17" s="26">
        <v>-0.2</v>
      </c>
      <c r="D17" s="23">
        <v>90</v>
      </c>
      <c r="E17" s="26">
        <v>-0.25</v>
      </c>
      <c r="F17" s="23">
        <v>2</v>
      </c>
      <c r="G17" s="23">
        <v>0.0205058099794942</v>
      </c>
      <c r="H17" s="23">
        <v>59.98</v>
      </c>
      <c r="I17" s="23">
        <v>1</v>
      </c>
      <c r="P17" s="8">
        <f>IF(week_data!$Q17&lt;&gt;FALSE,P16+1,"")</f>
        <v>16</v>
      </c>
      <c r="Q17" s="35" t="str">
        <f t="shared" si="0"/>
        <v>2018-12-17 - 2018-12-23</v>
      </c>
      <c r="R17" s="36">
        <f t="shared" si="1"/>
        <v>68</v>
      </c>
      <c r="S17" s="37" t="e">
        <f t="shared" si="2"/>
        <v>#N/A</v>
      </c>
      <c r="T17" s="38" t="e">
        <f t="shared" si="3"/>
        <v>#N/A</v>
      </c>
      <c r="U17" s="37" t="e">
        <f t="shared" si="4"/>
        <v>#N/A</v>
      </c>
      <c r="V17" s="41" t="e">
        <f t="shared" si="5"/>
        <v>#N/A</v>
      </c>
      <c r="W17" s="38" t="e">
        <f t="shared" si="6"/>
        <v>#N/A</v>
      </c>
      <c r="X17" s="42" t="e">
        <f t="shared" si="7"/>
        <v>#N/A</v>
      </c>
      <c r="Y17" s="44" t="e">
        <f t="shared" si="8"/>
        <v>#N/A</v>
      </c>
    </row>
    <row r="18" spans="1:25">
      <c r="A18" s="25" t="s">
        <v>120</v>
      </c>
      <c r="B18" s="23">
        <v>17</v>
      </c>
      <c r="C18" s="26">
        <v>-0.75</v>
      </c>
      <c r="D18" s="23">
        <v>27</v>
      </c>
      <c r="E18" s="26">
        <v>-0.7</v>
      </c>
      <c r="F18" s="23">
        <v>2</v>
      </c>
      <c r="G18" s="23">
        <v>0.118055555555556</v>
      </c>
      <c r="H18" s="23">
        <v>59.98</v>
      </c>
      <c r="I18" s="23">
        <v>1</v>
      </c>
      <c r="P18" s="8">
        <f>IF(week_data!$Q18&lt;&gt;FALSE,P17+1,"")</f>
        <v>17</v>
      </c>
      <c r="Q18" s="35" t="str">
        <f t="shared" si="0"/>
        <v>2018-12-24 - 2018-12-25</v>
      </c>
      <c r="R18" s="36">
        <f t="shared" si="1"/>
        <v>17</v>
      </c>
      <c r="S18" s="37" t="e">
        <f t="shared" si="2"/>
        <v>#N/A</v>
      </c>
      <c r="T18" s="38" t="e">
        <f t="shared" si="3"/>
        <v>#N/A</v>
      </c>
      <c r="U18" s="37" t="e">
        <f t="shared" si="4"/>
        <v>#N/A</v>
      </c>
      <c r="V18" s="41" t="e">
        <f t="shared" si="5"/>
        <v>#N/A</v>
      </c>
      <c r="W18" s="38" t="e">
        <f t="shared" si="6"/>
        <v>#N/A</v>
      </c>
      <c r="X18" s="42" t="e">
        <f t="shared" si="7"/>
        <v>#N/A</v>
      </c>
      <c r="Y18" s="44" t="e">
        <f t="shared" si="8"/>
        <v>#N/A</v>
      </c>
    </row>
    <row r="19" spans="1:25">
      <c r="A19"/>
      <c r="B19"/>
      <c r="C19"/>
      <c r="D19"/>
      <c r="E19"/>
      <c r="F19"/>
      <c r="G19"/>
      <c r="H19"/>
      <c r="I19"/>
      <c r="P19" s="8" t="str">
        <f>IF(week_data!$Q19&lt;&gt;FALSE,P18+1,"")</f>
        <v/>
      </c>
      <c r="Q19" s="35" t="b">
        <f t="shared" si="0"/>
        <v>0</v>
      </c>
      <c r="R19" s="36" t="e">
        <f t="shared" si="1"/>
        <v>#N/A</v>
      </c>
      <c r="S19" s="37" t="e">
        <f t="shared" si="2"/>
        <v>#N/A</v>
      </c>
      <c r="T19" s="38" t="e">
        <f t="shared" si="3"/>
        <v>#N/A</v>
      </c>
      <c r="U19" s="37" t="e">
        <f t="shared" si="4"/>
        <v>#N/A</v>
      </c>
      <c r="V19" s="41" t="e">
        <f t="shared" si="5"/>
        <v>#N/A</v>
      </c>
      <c r="W19" s="38" t="e">
        <f t="shared" si="6"/>
        <v>#N/A</v>
      </c>
      <c r="X19" s="42" t="e">
        <f t="shared" si="7"/>
        <v>#N/A</v>
      </c>
      <c r="Y19" s="44" t="e">
        <f t="shared" si="8"/>
        <v>#N/A</v>
      </c>
    </row>
    <row r="20" spans="1:25">
      <c r="A20"/>
      <c r="B20"/>
      <c r="C20"/>
      <c r="D20"/>
      <c r="E20"/>
      <c r="F20"/>
      <c r="G20"/>
      <c r="H20"/>
      <c r="I20"/>
      <c r="P20" s="8" t="str">
        <f>IF(week_data!$Q20&lt;&gt;FALSE,P19+1,"")</f>
        <v/>
      </c>
      <c r="Q20" s="35" t="b">
        <f t="shared" si="0"/>
        <v>0</v>
      </c>
      <c r="R20" s="36" t="e">
        <f t="shared" si="1"/>
        <v>#N/A</v>
      </c>
      <c r="S20" s="37" t="e">
        <f t="shared" si="2"/>
        <v>#N/A</v>
      </c>
      <c r="T20" s="38" t="e">
        <f t="shared" si="3"/>
        <v>#N/A</v>
      </c>
      <c r="U20" s="37" t="e">
        <f t="shared" si="4"/>
        <v>#N/A</v>
      </c>
      <c r="V20" s="41" t="e">
        <f t="shared" si="5"/>
        <v>#N/A</v>
      </c>
      <c r="W20" s="38" t="e">
        <f t="shared" si="6"/>
        <v>#N/A</v>
      </c>
      <c r="X20" s="42" t="e">
        <f t="shared" si="7"/>
        <v>#N/A</v>
      </c>
      <c r="Y20" s="44" t="e">
        <f t="shared" si="8"/>
        <v>#N/A</v>
      </c>
    </row>
    <row r="21" spans="1:25">
      <c r="A21"/>
      <c r="B21"/>
      <c r="C21"/>
      <c r="D21"/>
      <c r="E21"/>
      <c r="F21"/>
      <c r="G21"/>
      <c r="H21"/>
      <c r="I21"/>
      <c r="P21" s="8" t="str">
        <f>IF(week_data!$Q21&lt;&gt;FALSE,P20+1,"")</f>
        <v/>
      </c>
      <c r="Q21" s="35" t="b">
        <f t="shared" si="0"/>
        <v>0</v>
      </c>
      <c r="R21" s="36" t="e">
        <f t="shared" si="1"/>
        <v>#N/A</v>
      </c>
      <c r="S21" s="37" t="e">
        <f t="shared" si="2"/>
        <v>#N/A</v>
      </c>
      <c r="T21" s="38" t="e">
        <f t="shared" si="3"/>
        <v>#N/A</v>
      </c>
      <c r="U21" s="37" t="e">
        <f t="shared" si="4"/>
        <v>#N/A</v>
      </c>
      <c r="V21" s="41" t="e">
        <f t="shared" si="5"/>
        <v>#N/A</v>
      </c>
      <c r="W21" s="38" t="e">
        <f t="shared" si="6"/>
        <v>#N/A</v>
      </c>
      <c r="X21" s="42" t="e">
        <f t="shared" si="7"/>
        <v>#N/A</v>
      </c>
      <c r="Y21" s="44" t="e">
        <f t="shared" si="8"/>
        <v>#N/A</v>
      </c>
    </row>
    <row r="22" spans="1:25">
      <c r="A22"/>
      <c r="B22"/>
      <c r="C22"/>
      <c r="D22"/>
      <c r="E22"/>
      <c r="F22"/>
      <c r="G22"/>
      <c r="H22"/>
      <c r="I22"/>
      <c r="P22" s="8" t="str">
        <f>IF(week_data!$Q22&lt;&gt;FALSE,P21+1,"")</f>
        <v/>
      </c>
      <c r="Q22" s="35" t="b">
        <f t="shared" si="0"/>
        <v>0</v>
      </c>
      <c r="R22" s="36" t="e">
        <f t="shared" si="1"/>
        <v>#N/A</v>
      </c>
      <c r="S22" s="37" t="e">
        <f t="shared" si="2"/>
        <v>#N/A</v>
      </c>
      <c r="T22" s="38" t="e">
        <f t="shared" si="3"/>
        <v>#N/A</v>
      </c>
      <c r="U22" s="37" t="e">
        <f t="shared" si="4"/>
        <v>#N/A</v>
      </c>
      <c r="V22" s="41" t="e">
        <f t="shared" si="5"/>
        <v>#N/A</v>
      </c>
      <c r="W22" s="38" t="e">
        <f t="shared" si="6"/>
        <v>#N/A</v>
      </c>
      <c r="X22" s="42" t="e">
        <f t="shared" si="7"/>
        <v>#N/A</v>
      </c>
      <c r="Y22" s="44" t="e">
        <f t="shared" si="8"/>
        <v>#N/A</v>
      </c>
    </row>
    <row r="23" spans="1:25">
      <c r="A23"/>
      <c r="B23"/>
      <c r="C23"/>
      <c r="D23"/>
      <c r="E23"/>
      <c r="F23"/>
      <c r="G23"/>
      <c r="H23"/>
      <c r="I23"/>
      <c r="P23" s="8" t="str">
        <f>IF(week_data!$Q23&lt;&gt;FALSE,P22+1,"")</f>
        <v/>
      </c>
      <c r="Q23" s="35" t="b">
        <f t="shared" si="0"/>
        <v>0</v>
      </c>
      <c r="R23" s="36" t="e">
        <f t="shared" si="1"/>
        <v>#N/A</v>
      </c>
      <c r="S23" s="37" t="e">
        <f t="shared" si="2"/>
        <v>#N/A</v>
      </c>
      <c r="T23" s="38" t="e">
        <f t="shared" si="3"/>
        <v>#N/A</v>
      </c>
      <c r="U23" s="37" t="e">
        <f t="shared" si="4"/>
        <v>#N/A</v>
      </c>
      <c r="V23" s="41" t="e">
        <f t="shared" si="5"/>
        <v>#N/A</v>
      </c>
      <c r="W23" s="38" t="e">
        <f t="shared" si="6"/>
        <v>#N/A</v>
      </c>
      <c r="X23" s="42" t="e">
        <f t="shared" si="7"/>
        <v>#N/A</v>
      </c>
      <c r="Y23" s="44" t="e">
        <f t="shared" si="8"/>
        <v>#N/A</v>
      </c>
    </row>
    <row r="24" spans="1:25">
      <c r="A24"/>
      <c r="B24"/>
      <c r="C24"/>
      <c r="D24"/>
      <c r="E24"/>
      <c r="F24"/>
      <c r="G24"/>
      <c r="H24"/>
      <c r="I24"/>
      <c r="P24" s="8" t="str">
        <f>IF(week_data!$Q24&lt;&gt;FALSE,P23+1,"")</f>
        <v/>
      </c>
      <c r="Q24" s="35" t="b">
        <f t="shared" si="0"/>
        <v>0</v>
      </c>
      <c r="R24" s="36" t="e">
        <f t="shared" si="1"/>
        <v>#N/A</v>
      </c>
      <c r="S24" s="37" t="e">
        <f t="shared" si="2"/>
        <v>#N/A</v>
      </c>
      <c r="T24" s="38" t="e">
        <f t="shared" si="3"/>
        <v>#N/A</v>
      </c>
      <c r="U24" s="37" t="e">
        <f t="shared" si="4"/>
        <v>#N/A</v>
      </c>
      <c r="V24" s="41" t="e">
        <f t="shared" si="5"/>
        <v>#N/A</v>
      </c>
      <c r="W24" s="38" t="e">
        <f t="shared" si="6"/>
        <v>#N/A</v>
      </c>
      <c r="X24" s="42" t="e">
        <f t="shared" si="7"/>
        <v>#N/A</v>
      </c>
      <c r="Y24" s="44" t="e">
        <f t="shared" si="8"/>
        <v>#N/A</v>
      </c>
    </row>
    <row r="25" spans="1:25">
      <c r="A25"/>
      <c r="B25"/>
      <c r="C25"/>
      <c r="D25"/>
      <c r="E25"/>
      <c r="F25"/>
      <c r="G25"/>
      <c r="H25"/>
      <c r="I25"/>
      <c r="P25" s="8" t="str">
        <f>IF(week_data!$Q25&lt;&gt;FALSE,P24+1,"")</f>
        <v/>
      </c>
      <c r="Q25" s="35" t="b">
        <f t="shared" si="0"/>
        <v>0</v>
      </c>
      <c r="R25" s="36" t="e">
        <f t="shared" si="1"/>
        <v>#N/A</v>
      </c>
      <c r="S25" s="37" t="e">
        <f t="shared" si="2"/>
        <v>#N/A</v>
      </c>
      <c r="T25" s="38" t="e">
        <f t="shared" si="3"/>
        <v>#N/A</v>
      </c>
      <c r="U25" s="37" t="e">
        <f t="shared" si="4"/>
        <v>#N/A</v>
      </c>
      <c r="V25" s="41" t="e">
        <f t="shared" si="5"/>
        <v>#N/A</v>
      </c>
      <c r="W25" s="38" t="e">
        <f t="shared" si="6"/>
        <v>#N/A</v>
      </c>
      <c r="X25" s="42" t="e">
        <f t="shared" si="7"/>
        <v>#N/A</v>
      </c>
      <c r="Y25" s="44" t="e">
        <f t="shared" si="8"/>
        <v>#N/A</v>
      </c>
    </row>
    <row r="26" spans="1:25">
      <c r="A26"/>
      <c r="B26"/>
      <c r="C26"/>
      <c r="D26"/>
      <c r="E26"/>
      <c r="F26"/>
      <c r="G26"/>
      <c r="H26"/>
      <c r="I26"/>
      <c r="P26" s="8" t="str">
        <f>IF(week_data!$Q26&lt;&gt;FALSE,P25+1,"")</f>
        <v/>
      </c>
      <c r="Q26" s="35" t="b">
        <f t="shared" si="0"/>
        <v>0</v>
      </c>
      <c r="R26" s="36" t="e">
        <f t="shared" si="1"/>
        <v>#N/A</v>
      </c>
      <c r="S26" s="37" t="e">
        <f t="shared" si="2"/>
        <v>#N/A</v>
      </c>
      <c r="T26" s="38" t="e">
        <f t="shared" si="3"/>
        <v>#N/A</v>
      </c>
      <c r="U26" s="37" t="e">
        <f t="shared" si="4"/>
        <v>#N/A</v>
      </c>
      <c r="V26" s="41" t="e">
        <f t="shared" si="5"/>
        <v>#N/A</v>
      </c>
      <c r="W26" s="38" t="e">
        <f t="shared" si="6"/>
        <v>#N/A</v>
      </c>
      <c r="X26" s="42" t="e">
        <f t="shared" si="7"/>
        <v>#N/A</v>
      </c>
      <c r="Y26" s="44" t="e">
        <f t="shared" si="8"/>
        <v>#N/A</v>
      </c>
    </row>
    <row r="27" spans="1:25">
      <c r="A27"/>
      <c r="B27"/>
      <c r="C27"/>
      <c r="D27"/>
      <c r="E27"/>
      <c r="F27"/>
      <c r="G27"/>
      <c r="H27"/>
      <c r="I27"/>
      <c r="P27" s="8" t="str">
        <f>IF(week_data!$Q27&lt;&gt;FALSE,P26+1,"")</f>
        <v/>
      </c>
      <c r="Q27" s="35" t="b">
        <f t="shared" si="0"/>
        <v>0</v>
      </c>
      <c r="R27" s="36" t="e">
        <f t="shared" si="1"/>
        <v>#N/A</v>
      </c>
      <c r="S27" s="37" t="e">
        <f t="shared" si="2"/>
        <v>#N/A</v>
      </c>
      <c r="T27" s="38" t="e">
        <f t="shared" si="3"/>
        <v>#N/A</v>
      </c>
      <c r="U27" s="37" t="e">
        <f t="shared" si="4"/>
        <v>#N/A</v>
      </c>
      <c r="V27" s="41" t="e">
        <f t="shared" si="5"/>
        <v>#N/A</v>
      </c>
      <c r="W27" s="38" t="e">
        <f t="shared" si="6"/>
        <v>#N/A</v>
      </c>
      <c r="X27" s="42" t="e">
        <f t="shared" si="7"/>
        <v>#N/A</v>
      </c>
      <c r="Y27" s="44" t="e">
        <f t="shared" si="8"/>
        <v>#N/A</v>
      </c>
    </row>
    <row r="28" spans="1:25">
      <c r="A28"/>
      <c r="B28"/>
      <c r="C28"/>
      <c r="D28"/>
      <c r="E28"/>
      <c r="F28"/>
      <c r="G28"/>
      <c r="H28"/>
      <c r="I28"/>
      <c r="P28" s="8" t="str">
        <f>IF(week_data!$Q28&lt;&gt;FALSE,P27+1,"")</f>
        <v/>
      </c>
      <c r="Q28" s="35" t="b">
        <f t="shared" si="0"/>
        <v>0</v>
      </c>
      <c r="R28" s="36" t="e">
        <f t="shared" si="1"/>
        <v>#N/A</v>
      </c>
      <c r="S28" s="37" t="e">
        <f t="shared" si="2"/>
        <v>#N/A</v>
      </c>
      <c r="T28" s="38" t="e">
        <f t="shared" si="3"/>
        <v>#N/A</v>
      </c>
      <c r="U28" s="37" t="e">
        <f t="shared" si="4"/>
        <v>#N/A</v>
      </c>
      <c r="V28" s="41" t="e">
        <f t="shared" si="5"/>
        <v>#N/A</v>
      </c>
      <c r="W28" s="38" t="e">
        <f t="shared" si="6"/>
        <v>#N/A</v>
      </c>
      <c r="X28" s="42" t="e">
        <f t="shared" si="7"/>
        <v>#N/A</v>
      </c>
      <c r="Y28" s="44" t="e">
        <f t="shared" si="8"/>
        <v>#N/A</v>
      </c>
    </row>
    <row r="29" spans="1:25">
      <c r="A29"/>
      <c r="B29"/>
      <c r="C29"/>
      <c r="D29"/>
      <c r="E29"/>
      <c r="F29"/>
      <c r="G29"/>
      <c r="H29"/>
      <c r="I29"/>
      <c r="P29" s="8" t="str">
        <f>IF(week_data!$Q29&lt;&gt;FALSE,P28+1,"")</f>
        <v/>
      </c>
      <c r="Q29" s="35" t="b">
        <f t="shared" si="0"/>
        <v>0</v>
      </c>
      <c r="R29" s="36" t="e">
        <f t="shared" si="1"/>
        <v>#N/A</v>
      </c>
      <c r="S29" s="37" t="e">
        <f t="shared" si="2"/>
        <v>#N/A</v>
      </c>
      <c r="T29" s="38" t="e">
        <f t="shared" si="3"/>
        <v>#N/A</v>
      </c>
      <c r="U29" s="37" t="e">
        <f t="shared" si="4"/>
        <v>#N/A</v>
      </c>
      <c r="V29" s="41" t="e">
        <f t="shared" si="5"/>
        <v>#N/A</v>
      </c>
      <c r="W29" s="38" t="e">
        <f t="shared" si="6"/>
        <v>#N/A</v>
      </c>
      <c r="X29" s="42" t="e">
        <f t="shared" si="7"/>
        <v>#N/A</v>
      </c>
      <c r="Y29" s="44" t="e">
        <f t="shared" si="8"/>
        <v>#N/A</v>
      </c>
    </row>
    <row r="30" spans="1:25">
      <c r="A30"/>
      <c r="B30"/>
      <c r="C30"/>
      <c r="D30"/>
      <c r="E30"/>
      <c r="F30"/>
      <c r="G30"/>
      <c r="H30"/>
      <c r="I30"/>
      <c r="P30" s="8" t="str">
        <f>IF(week_data!$Q30&lt;&gt;FALSE,P29+1,"")</f>
        <v/>
      </c>
      <c r="Q30" s="35" t="b">
        <f t="shared" si="0"/>
        <v>0</v>
      </c>
      <c r="R30" s="36" t="e">
        <f t="shared" si="1"/>
        <v>#N/A</v>
      </c>
      <c r="S30" s="37" t="e">
        <f t="shared" si="2"/>
        <v>#N/A</v>
      </c>
      <c r="T30" s="38" t="e">
        <f t="shared" si="3"/>
        <v>#N/A</v>
      </c>
      <c r="U30" s="37" t="e">
        <f t="shared" si="4"/>
        <v>#N/A</v>
      </c>
      <c r="V30" s="41" t="e">
        <f t="shared" si="5"/>
        <v>#N/A</v>
      </c>
      <c r="W30" s="38" t="e">
        <f t="shared" si="6"/>
        <v>#N/A</v>
      </c>
      <c r="X30" s="42" t="e">
        <f t="shared" si="7"/>
        <v>#N/A</v>
      </c>
      <c r="Y30" s="44" t="e">
        <f t="shared" si="8"/>
        <v>#N/A</v>
      </c>
    </row>
    <row r="31" spans="1:25">
      <c r="A31"/>
      <c r="B31"/>
      <c r="C31"/>
      <c r="D31"/>
      <c r="E31"/>
      <c r="F31"/>
      <c r="G31"/>
      <c r="H31"/>
      <c r="I31"/>
      <c r="P31" s="8" t="str">
        <f>IF(week_data!$Q31&lt;&gt;FALSE,P30+1,"")</f>
        <v/>
      </c>
      <c r="Q31" s="35" t="b">
        <f t="shared" si="0"/>
        <v>0</v>
      </c>
      <c r="R31" s="36" t="e">
        <f t="shared" si="1"/>
        <v>#N/A</v>
      </c>
      <c r="S31" s="37" t="e">
        <f t="shared" si="2"/>
        <v>#N/A</v>
      </c>
      <c r="T31" s="38" t="e">
        <f t="shared" si="3"/>
        <v>#N/A</v>
      </c>
      <c r="U31" s="37" t="e">
        <f t="shared" si="4"/>
        <v>#N/A</v>
      </c>
      <c r="V31" s="41" t="e">
        <f t="shared" si="5"/>
        <v>#N/A</v>
      </c>
      <c r="W31" s="38" t="e">
        <f t="shared" si="6"/>
        <v>#N/A</v>
      </c>
      <c r="X31" s="42" t="e">
        <f t="shared" si="7"/>
        <v>#N/A</v>
      </c>
      <c r="Y31" s="44" t="e">
        <f t="shared" si="8"/>
        <v>#N/A</v>
      </c>
    </row>
    <row r="32" spans="1:25">
      <c r="A32"/>
      <c r="B32"/>
      <c r="C32"/>
      <c r="D32"/>
      <c r="E32"/>
      <c r="F32"/>
      <c r="G32"/>
      <c r="H32"/>
      <c r="I32"/>
      <c r="P32" s="8" t="str">
        <f>IF(week_data!$Q32&lt;&gt;FALSE,P31+1,"")</f>
        <v/>
      </c>
      <c r="Q32" s="35" t="b">
        <f t="shared" si="0"/>
        <v>0</v>
      </c>
      <c r="R32" s="36" t="e">
        <f t="shared" si="1"/>
        <v>#N/A</v>
      </c>
      <c r="S32" s="37" t="e">
        <f t="shared" si="2"/>
        <v>#N/A</v>
      </c>
      <c r="T32" s="38" t="e">
        <f t="shared" si="3"/>
        <v>#N/A</v>
      </c>
      <c r="U32" s="37" t="e">
        <f t="shared" si="4"/>
        <v>#N/A</v>
      </c>
      <c r="V32" s="41" t="e">
        <f t="shared" si="5"/>
        <v>#N/A</v>
      </c>
      <c r="W32" s="38" t="e">
        <f t="shared" si="6"/>
        <v>#N/A</v>
      </c>
      <c r="X32" s="42" t="e">
        <f t="shared" si="7"/>
        <v>#N/A</v>
      </c>
      <c r="Y32" s="44" t="e">
        <f t="shared" si="8"/>
        <v>#N/A</v>
      </c>
    </row>
    <row r="33" spans="1:25">
      <c r="A33"/>
      <c r="B33"/>
      <c r="C33"/>
      <c r="D33"/>
      <c r="E33"/>
      <c r="F33"/>
      <c r="G33"/>
      <c r="H33"/>
      <c r="I33"/>
      <c r="P33" s="8" t="str">
        <f>IF(week_data!$Q33&lt;&gt;FALSE,P32+1,"")</f>
        <v/>
      </c>
      <c r="Q33" s="35" t="b">
        <f t="shared" si="0"/>
        <v>0</v>
      </c>
      <c r="R33" s="36" t="e">
        <f t="shared" si="1"/>
        <v>#N/A</v>
      </c>
      <c r="S33" s="37" t="e">
        <f t="shared" si="2"/>
        <v>#N/A</v>
      </c>
      <c r="T33" s="38" t="e">
        <f t="shared" si="3"/>
        <v>#N/A</v>
      </c>
      <c r="U33" s="37" t="e">
        <f t="shared" si="4"/>
        <v>#N/A</v>
      </c>
      <c r="V33" s="41" t="e">
        <f t="shared" si="5"/>
        <v>#N/A</v>
      </c>
      <c r="W33" s="38" t="e">
        <f t="shared" si="6"/>
        <v>#N/A</v>
      </c>
      <c r="X33" s="42" t="e">
        <f t="shared" si="7"/>
        <v>#N/A</v>
      </c>
      <c r="Y33" s="44" t="e">
        <f t="shared" si="8"/>
        <v>#N/A</v>
      </c>
    </row>
    <row r="34" spans="1:25">
      <c r="A34"/>
      <c r="B34"/>
      <c r="C34" s="6"/>
      <c r="D34"/>
      <c r="E34"/>
      <c r="F34"/>
      <c r="G34"/>
      <c r="H34"/>
      <c r="I34"/>
      <c r="P34" s="8" t="str">
        <f>IF(week_data!$Q34&lt;&gt;FALSE,P33+1,"")</f>
        <v/>
      </c>
      <c r="Q34" s="35" t="b">
        <f t="shared" si="0"/>
        <v>0</v>
      </c>
      <c r="R34" s="36" t="e">
        <f t="shared" si="1"/>
        <v>#N/A</v>
      </c>
      <c r="S34" s="37" t="e">
        <f t="shared" si="2"/>
        <v>#N/A</v>
      </c>
      <c r="T34" s="38" t="e">
        <f t="shared" si="3"/>
        <v>#N/A</v>
      </c>
      <c r="U34" s="37" t="e">
        <f t="shared" si="4"/>
        <v>#N/A</v>
      </c>
      <c r="V34" s="41" t="e">
        <f t="shared" si="5"/>
        <v>#N/A</v>
      </c>
      <c r="W34" s="38" t="e">
        <f t="shared" si="6"/>
        <v>#N/A</v>
      </c>
      <c r="X34" s="42" t="e">
        <f t="shared" si="7"/>
        <v>#N/A</v>
      </c>
      <c r="Y34" s="44" t="e">
        <f t="shared" si="8"/>
        <v>#N/A</v>
      </c>
    </row>
    <row r="35" spans="1:25">
      <c r="A35"/>
      <c r="B35"/>
      <c r="C35" s="6"/>
      <c r="D35"/>
      <c r="E35"/>
      <c r="F35"/>
      <c r="G35"/>
      <c r="H35"/>
      <c r="I35"/>
      <c r="P35" s="8" t="str">
        <f>IF(week_data!$Q35&lt;&gt;FALSE,P34+1,"")</f>
        <v/>
      </c>
      <c r="Q35" s="35" t="b">
        <f t="shared" si="0"/>
        <v>0</v>
      </c>
      <c r="R35" s="36" t="e">
        <f t="shared" si="1"/>
        <v>#N/A</v>
      </c>
      <c r="S35" s="37" t="e">
        <f t="shared" si="2"/>
        <v>#N/A</v>
      </c>
      <c r="T35" s="38" t="e">
        <f t="shared" si="3"/>
        <v>#N/A</v>
      </c>
      <c r="U35" s="37" t="e">
        <f t="shared" si="4"/>
        <v>#N/A</v>
      </c>
      <c r="V35" s="41" t="e">
        <f t="shared" si="5"/>
        <v>#N/A</v>
      </c>
      <c r="W35" s="38" t="e">
        <f t="shared" si="6"/>
        <v>#N/A</v>
      </c>
      <c r="X35" s="42" t="e">
        <f t="shared" si="7"/>
        <v>#N/A</v>
      </c>
      <c r="Y35" s="44" t="e">
        <f t="shared" si="8"/>
        <v>#N/A</v>
      </c>
    </row>
    <row r="36" spans="1:25">
      <c r="A36"/>
      <c r="B36"/>
      <c r="C36" s="6"/>
      <c r="D36"/>
      <c r="E36"/>
      <c r="F36"/>
      <c r="G36"/>
      <c r="H36"/>
      <c r="I36"/>
      <c r="P36" s="8" t="str">
        <f>IF(week_data!$Q36&lt;&gt;FALSE,P35+1,"")</f>
        <v/>
      </c>
      <c r="Q36" s="35" t="b">
        <f t="shared" si="0"/>
        <v>0</v>
      </c>
      <c r="R36" s="36" t="e">
        <f t="shared" si="1"/>
        <v>#N/A</v>
      </c>
      <c r="S36" s="37" t="e">
        <f t="shared" si="2"/>
        <v>#N/A</v>
      </c>
      <c r="T36" s="38" t="e">
        <f t="shared" si="3"/>
        <v>#N/A</v>
      </c>
      <c r="U36" s="37" t="e">
        <f t="shared" si="4"/>
        <v>#N/A</v>
      </c>
      <c r="V36" s="41" t="e">
        <f t="shared" si="5"/>
        <v>#N/A</v>
      </c>
      <c r="W36" s="38" t="e">
        <f t="shared" si="6"/>
        <v>#N/A</v>
      </c>
      <c r="X36" s="42" t="e">
        <f t="shared" si="7"/>
        <v>#N/A</v>
      </c>
      <c r="Y36" s="44" t="e">
        <f t="shared" si="8"/>
        <v>#N/A</v>
      </c>
    </row>
    <row r="37" spans="1:25">
      <c r="A37"/>
      <c r="B37"/>
      <c r="C37" s="6"/>
      <c r="D37"/>
      <c r="E37"/>
      <c r="F37"/>
      <c r="G37"/>
      <c r="H37"/>
      <c r="I37"/>
      <c r="P37" s="8" t="str">
        <f>IF(week_data!$Q37&lt;&gt;FALSE,P36+1,"")</f>
        <v/>
      </c>
      <c r="Q37" s="35" t="b">
        <f t="shared" si="0"/>
        <v>0</v>
      </c>
      <c r="R37" s="36" t="e">
        <f t="shared" si="1"/>
        <v>#N/A</v>
      </c>
      <c r="S37" s="37" t="e">
        <f t="shared" si="2"/>
        <v>#N/A</v>
      </c>
      <c r="T37" s="38" t="e">
        <f t="shared" si="3"/>
        <v>#N/A</v>
      </c>
      <c r="U37" s="37" t="e">
        <f t="shared" si="4"/>
        <v>#N/A</v>
      </c>
      <c r="V37" s="41" t="e">
        <f t="shared" si="5"/>
        <v>#N/A</v>
      </c>
      <c r="W37" s="38" t="e">
        <f t="shared" si="6"/>
        <v>#N/A</v>
      </c>
      <c r="X37" s="42" t="e">
        <f t="shared" si="7"/>
        <v>#N/A</v>
      </c>
      <c r="Y37" s="44" t="e">
        <f t="shared" si="8"/>
        <v>#N/A</v>
      </c>
    </row>
    <row r="38" spans="1:25">
      <c r="A38"/>
      <c r="B38"/>
      <c r="C38" s="6"/>
      <c r="D38"/>
      <c r="E38"/>
      <c r="F38"/>
      <c r="G38"/>
      <c r="H38"/>
      <c r="I38"/>
      <c r="P38" s="8" t="str">
        <f>IF(week_data!$Q38&lt;&gt;FALSE,P37+1,"")</f>
        <v/>
      </c>
      <c r="Q38" s="35" t="b">
        <f t="shared" si="0"/>
        <v>0</v>
      </c>
      <c r="R38" s="36" t="e">
        <f t="shared" si="1"/>
        <v>#N/A</v>
      </c>
      <c r="S38" s="37" t="e">
        <f t="shared" si="2"/>
        <v>#N/A</v>
      </c>
      <c r="T38" s="38" t="e">
        <f t="shared" si="3"/>
        <v>#N/A</v>
      </c>
      <c r="U38" s="37" t="e">
        <f t="shared" si="4"/>
        <v>#N/A</v>
      </c>
      <c r="V38" s="41" t="e">
        <f t="shared" si="5"/>
        <v>#N/A</v>
      </c>
      <c r="W38" s="38" t="e">
        <f t="shared" si="6"/>
        <v>#N/A</v>
      </c>
      <c r="X38" s="42" t="e">
        <f t="shared" si="7"/>
        <v>#N/A</v>
      </c>
      <c r="Y38" s="44" t="e">
        <f t="shared" si="8"/>
        <v>#N/A</v>
      </c>
    </row>
    <row r="39" spans="1:25">
      <c r="A39"/>
      <c r="B39"/>
      <c r="C39" s="6"/>
      <c r="D39"/>
      <c r="E39"/>
      <c r="F39"/>
      <c r="G39"/>
      <c r="H39"/>
      <c r="I39"/>
      <c r="P39" s="8" t="str">
        <f>IF(week_data!$Q39&lt;&gt;FALSE,P38+1,"")</f>
        <v/>
      </c>
      <c r="Q39" s="35" t="b">
        <f t="shared" si="0"/>
        <v>0</v>
      </c>
      <c r="R39" s="36" t="e">
        <f t="shared" si="1"/>
        <v>#N/A</v>
      </c>
      <c r="S39" s="37" t="e">
        <f t="shared" si="2"/>
        <v>#N/A</v>
      </c>
      <c r="T39" s="38" t="e">
        <f t="shared" si="3"/>
        <v>#N/A</v>
      </c>
      <c r="U39" s="37" t="e">
        <f t="shared" si="4"/>
        <v>#N/A</v>
      </c>
      <c r="V39" s="41" t="e">
        <f t="shared" si="5"/>
        <v>#N/A</v>
      </c>
      <c r="W39" s="38" t="e">
        <f t="shared" si="6"/>
        <v>#N/A</v>
      </c>
      <c r="X39" s="42" t="e">
        <f t="shared" si="7"/>
        <v>#N/A</v>
      </c>
      <c r="Y39" s="44" t="e">
        <f t="shared" si="8"/>
        <v>#N/A</v>
      </c>
    </row>
    <row r="40" spans="1:25">
      <c r="A40"/>
      <c r="B40"/>
      <c r="C40" s="6"/>
      <c r="D40"/>
      <c r="E40"/>
      <c r="F40"/>
      <c r="G40"/>
      <c r="H40"/>
      <c r="I40"/>
      <c r="P40" s="8" t="str">
        <f>IF(week_data!$Q40&lt;&gt;FALSE,P39+1,"")</f>
        <v/>
      </c>
      <c r="Q40" s="35" t="b">
        <f t="shared" si="0"/>
        <v>0</v>
      </c>
      <c r="R40" s="36" t="e">
        <f t="shared" si="1"/>
        <v>#N/A</v>
      </c>
      <c r="S40" s="37" t="e">
        <f t="shared" si="2"/>
        <v>#N/A</v>
      </c>
      <c r="T40" s="38" t="e">
        <f t="shared" si="3"/>
        <v>#N/A</v>
      </c>
      <c r="U40" s="37" t="e">
        <f t="shared" si="4"/>
        <v>#N/A</v>
      </c>
      <c r="V40" s="41" t="e">
        <f t="shared" si="5"/>
        <v>#N/A</v>
      </c>
      <c r="W40" s="38" t="e">
        <f t="shared" si="6"/>
        <v>#N/A</v>
      </c>
      <c r="X40" s="42" t="e">
        <f t="shared" si="7"/>
        <v>#N/A</v>
      </c>
      <c r="Y40" s="44" t="e">
        <f t="shared" si="8"/>
        <v>#N/A</v>
      </c>
    </row>
    <row r="41" spans="1:25">
      <c r="A41"/>
      <c r="B41"/>
      <c r="C41" s="6"/>
      <c r="D41"/>
      <c r="E41"/>
      <c r="F41"/>
      <c r="G41"/>
      <c r="H41"/>
      <c r="I41"/>
      <c r="P41" s="8" t="str">
        <f>IF(week_data!$Q41&lt;&gt;FALSE,P40+1,"")</f>
        <v/>
      </c>
      <c r="Q41" s="35" t="b">
        <f t="shared" si="0"/>
        <v>0</v>
      </c>
      <c r="R41" s="36" t="e">
        <f t="shared" si="1"/>
        <v>#N/A</v>
      </c>
      <c r="S41" s="37" t="e">
        <f t="shared" si="2"/>
        <v>#N/A</v>
      </c>
      <c r="T41" s="38" t="e">
        <f t="shared" si="3"/>
        <v>#N/A</v>
      </c>
      <c r="U41" s="37" t="e">
        <f t="shared" si="4"/>
        <v>#N/A</v>
      </c>
      <c r="V41" s="41" t="e">
        <f t="shared" si="5"/>
        <v>#N/A</v>
      </c>
      <c r="W41" s="38" t="e">
        <f t="shared" si="6"/>
        <v>#N/A</v>
      </c>
      <c r="X41" s="42" t="e">
        <f t="shared" si="7"/>
        <v>#N/A</v>
      </c>
      <c r="Y41" s="44" t="e">
        <f t="shared" si="8"/>
        <v>#N/A</v>
      </c>
    </row>
    <row r="42" spans="1:25">
      <c r="A42"/>
      <c r="B42"/>
      <c r="C42" s="6"/>
      <c r="D42"/>
      <c r="E42"/>
      <c r="F42"/>
      <c r="G42"/>
      <c r="H42"/>
      <c r="I42"/>
      <c r="P42" s="8" t="str">
        <f>IF(week_data!$Q42&lt;&gt;FALSE,P41+1,"")</f>
        <v/>
      </c>
      <c r="Q42" s="35" t="b">
        <f t="shared" si="0"/>
        <v>0</v>
      </c>
      <c r="R42" s="36" t="e">
        <f t="shared" si="1"/>
        <v>#N/A</v>
      </c>
      <c r="S42" s="37" t="e">
        <f t="shared" si="2"/>
        <v>#N/A</v>
      </c>
      <c r="T42" s="38" t="e">
        <f t="shared" si="3"/>
        <v>#N/A</v>
      </c>
      <c r="U42" s="37" t="e">
        <f t="shared" si="4"/>
        <v>#N/A</v>
      </c>
      <c r="V42" s="41" t="e">
        <f t="shared" si="5"/>
        <v>#N/A</v>
      </c>
      <c r="W42" s="38" t="e">
        <f t="shared" si="6"/>
        <v>#N/A</v>
      </c>
      <c r="X42" s="42" t="e">
        <f t="shared" si="7"/>
        <v>#N/A</v>
      </c>
      <c r="Y42" s="44" t="e">
        <f t="shared" si="8"/>
        <v>#N/A</v>
      </c>
    </row>
    <row r="43" spans="1:25">
      <c r="A43"/>
      <c r="B43"/>
      <c r="C43" s="6"/>
      <c r="D43"/>
      <c r="E43"/>
      <c r="F43"/>
      <c r="G43"/>
      <c r="H43"/>
      <c r="I43"/>
      <c r="P43" s="8" t="str">
        <f>IF(week_data!$Q43&lt;&gt;FALSE,P42+1,"")</f>
        <v/>
      </c>
      <c r="Q43" s="35" t="b">
        <f t="shared" si="0"/>
        <v>0</v>
      </c>
      <c r="R43" s="36" t="e">
        <f t="shared" si="1"/>
        <v>#N/A</v>
      </c>
      <c r="S43" s="37" t="e">
        <f t="shared" si="2"/>
        <v>#N/A</v>
      </c>
      <c r="T43" s="38" t="e">
        <f t="shared" si="3"/>
        <v>#N/A</v>
      </c>
      <c r="U43" s="37" t="e">
        <f t="shared" si="4"/>
        <v>#N/A</v>
      </c>
      <c r="V43" s="41" t="e">
        <f t="shared" si="5"/>
        <v>#N/A</v>
      </c>
      <c r="W43" s="38" t="e">
        <f t="shared" si="6"/>
        <v>#N/A</v>
      </c>
      <c r="X43" s="42" t="e">
        <f t="shared" si="7"/>
        <v>#N/A</v>
      </c>
      <c r="Y43" s="44" t="e">
        <f t="shared" si="8"/>
        <v>#N/A</v>
      </c>
    </row>
    <row r="44" spans="1:25">
      <c r="A44"/>
      <c r="B44"/>
      <c r="C44" s="6"/>
      <c r="D44"/>
      <c r="E44"/>
      <c r="F44"/>
      <c r="G44"/>
      <c r="H44"/>
      <c r="I44"/>
      <c r="P44" s="8" t="str">
        <f>IF(week_data!$Q44&lt;&gt;FALSE,P43+1,"")</f>
        <v/>
      </c>
      <c r="Q44" s="35" t="b">
        <f t="shared" si="0"/>
        <v>0</v>
      </c>
      <c r="R44" s="36" t="e">
        <f t="shared" si="1"/>
        <v>#N/A</v>
      </c>
      <c r="S44" s="37" t="e">
        <f t="shared" si="2"/>
        <v>#N/A</v>
      </c>
      <c r="T44" s="38" t="e">
        <f t="shared" si="3"/>
        <v>#N/A</v>
      </c>
      <c r="U44" s="37" t="e">
        <f t="shared" si="4"/>
        <v>#N/A</v>
      </c>
      <c r="V44" s="41" t="e">
        <f t="shared" si="5"/>
        <v>#N/A</v>
      </c>
      <c r="W44" s="38" t="e">
        <f t="shared" si="6"/>
        <v>#N/A</v>
      </c>
      <c r="X44" s="42" t="e">
        <f t="shared" si="7"/>
        <v>#N/A</v>
      </c>
      <c r="Y44" s="44" t="e">
        <f t="shared" si="8"/>
        <v>#N/A</v>
      </c>
    </row>
    <row r="45" spans="1:25">
      <c r="A45"/>
      <c r="B45"/>
      <c r="C45" s="6"/>
      <c r="D45"/>
      <c r="E45"/>
      <c r="F45"/>
      <c r="G45"/>
      <c r="H45"/>
      <c r="I45"/>
      <c r="P45" s="8" t="str">
        <f>IF(week_data!$Q45&lt;&gt;FALSE,P44+1,"")</f>
        <v/>
      </c>
      <c r="Q45" s="35" t="b">
        <f t="shared" si="0"/>
        <v>0</v>
      </c>
      <c r="R45" s="36" t="e">
        <f t="shared" si="1"/>
        <v>#N/A</v>
      </c>
      <c r="S45" s="37" t="e">
        <f t="shared" si="2"/>
        <v>#N/A</v>
      </c>
      <c r="T45" s="38" t="e">
        <f t="shared" si="3"/>
        <v>#N/A</v>
      </c>
      <c r="U45" s="37" t="e">
        <f t="shared" si="4"/>
        <v>#N/A</v>
      </c>
      <c r="V45" s="41" t="e">
        <f t="shared" si="5"/>
        <v>#N/A</v>
      </c>
      <c r="W45" s="38" t="e">
        <f t="shared" si="6"/>
        <v>#N/A</v>
      </c>
      <c r="X45" s="42" t="e">
        <f t="shared" si="7"/>
        <v>#N/A</v>
      </c>
      <c r="Y45" s="44" t="e">
        <f t="shared" si="8"/>
        <v>#N/A</v>
      </c>
    </row>
    <row r="46" spans="1:25">
      <c r="A46"/>
      <c r="B46"/>
      <c r="C46" s="6"/>
      <c r="D46"/>
      <c r="E46"/>
      <c r="F46"/>
      <c r="G46"/>
      <c r="H46"/>
      <c r="I46"/>
      <c r="P46" s="8" t="str">
        <f>IF(week_data!$Q46&lt;&gt;FALSE,P45+1,"")</f>
        <v/>
      </c>
      <c r="Q46" s="35" t="b">
        <f t="shared" si="0"/>
        <v>0</v>
      </c>
      <c r="R46" s="36" t="e">
        <f t="shared" si="1"/>
        <v>#N/A</v>
      </c>
      <c r="S46" s="37" t="e">
        <f t="shared" si="2"/>
        <v>#N/A</v>
      </c>
      <c r="T46" s="38" t="e">
        <f t="shared" si="3"/>
        <v>#N/A</v>
      </c>
      <c r="U46" s="37" t="e">
        <f t="shared" si="4"/>
        <v>#N/A</v>
      </c>
      <c r="V46" s="41" t="e">
        <f t="shared" si="5"/>
        <v>#N/A</v>
      </c>
      <c r="W46" s="38" t="e">
        <f t="shared" si="6"/>
        <v>#N/A</v>
      </c>
      <c r="X46" s="42" t="e">
        <f t="shared" si="7"/>
        <v>#N/A</v>
      </c>
      <c r="Y46" s="44" t="e">
        <f t="shared" si="8"/>
        <v>#N/A</v>
      </c>
    </row>
    <row r="47" spans="1:25">
      <c r="A47"/>
      <c r="B47"/>
      <c r="C47" s="6"/>
      <c r="D47"/>
      <c r="E47"/>
      <c r="F47"/>
      <c r="G47"/>
      <c r="H47"/>
      <c r="I47"/>
      <c r="P47" s="8" t="str">
        <f>IF(week_data!$Q47&lt;&gt;FALSE,P46+1,"")</f>
        <v/>
      </c>
      <c r="Q47" s="35" t="b">
        <f t="shared" si="0"/>
        <v>0</v>
      </c>
      <c r="R47" s="36" t="e">
        <f t="shared" si="1"/>
        <v>#N/A</v>
      </c>
      <c r="S47" s="37" t="e">
        <f t="shared" si="2"/>
        <v>#N/A</v>
      </c>
      <c r="T47" s="38" t="e">
        <f t="shared" si="3"/>
        <v>#N/A</v>
      </c>
      <c r="U47" s="37" t="e">
        <f t="shared" si="4"/>
        <v>#N/A</v>
      </c>
      <c r="V47" s="41" t="e">
        <f t="shared" si="5"/>
        <v>#N/A</v>
      </c>
      <c r="W47" s="38" t="e">
        <f t="shared" si="6"/>
        <v>#N/A</v>
      </c>
      <c r="X47" s="42" t="e">
        <f t="shared" si="7"/>
        <v>#N/A</v>
      </c>
      <c r="Y47" s="44" t="e">
        <f t="shared" si="8"/>
        <v>#N/A</v>
      </c>
    </row>
    <row r="48" spans="1:25">
      <c r="A48"/>
      <c r="B48"/>
      <c r="C48" s="6"/>
      <c r="D48"/>
      <c r="E48"/>
      <c r="F48"/>
      <c r="G48"/>
      <c r="H48"/>
      <c r="I48"/>
      <c r="P48" s="8" t="str">
        <f>IF(week_data!$Q48&lt;&gt;FALSE,P47+1,"")</f>
        <v/>
      </c>
      <c r="Q48" s="35" t="b">
        <f t="shared" si="0"/>
        <v>0</v>
      </c>
      <c r="R48" s="36" t="e">
        <f t="shared" si="1"/>
        <v>#N/A</v>
      </c>
      <c r="S48" s="37" t="e">
        <f t="shared" si="2"/>
        <v>#N/A</v>
      </c>
      <c r="T48" s="38" t="e">
        <f t="shared" si="3"/>
        <v>#N/A</v>
      </c>
      <c r="U48" s="37" t="e">
        <f t="shared" si="4"/>
        <v>#N/A</v>
      </c>
      <c r="V48" s="41" t="e">
        <f t="shared" si="5"/>
        <v>#N/A</v>
      </c>
      <c r="W48" s="38" t="e">
        <f t="shared" si="6"/>
        <v>#N/A</v>
      </c>
      <c r="X48" s="42" t="e">
        <f t="shared" si="7"/>
        <v>#N/A</v>
      </c>
      <c r="Y48" s="44" t="e">
        <f t="shared" si="8"/>
        <v>#N/A</v>
      </c>
    </row>
    <row r="49" spans="1:25">
      <c r="A49"/>
      <c r="B49"/>
      <c r="C49" s="6"/>
      <c r="D49"/>
      <c r="E49"/>
      <c r="F49"/>
      <c r="G49"/>
      <c r="H49"/>
      <c r="I49"/>
      <c r="P49" s="8" t="str">
        <f>IF(week_data!$Q49&lt;&gt;FALSE,P48+1,"")</f>
        <v/>
      </c>
      <c r="Q49" s="35" t="b">
        <f t="shared" si="0"/>
        <v>0</v>
      </c>
      <c r="R49" s="36" t="e">
        <f t="shared" si="1"/>
        <v>#N/A</v>
      </c>
      <c r="S49" s="37" t="e">
        <f t="shared" si="2"/>
        <v>#N/A</v>
      </c>
      <c r="T49" s="38" t="e">
        <f t="shared" si="3"/>
        <v>#N/A</v>
      </c>
      <c r="U49" s="37" t="e">
        <f t="shared" si="4"/>
        <v>#N/A</v>
      </c>
      <c r="V49" s="41" t="e">
        <f t="shared" si="5"/>
        <v>#N/A</v>
      </c>
      <c r="W49" s="38" t="e">
        <f t="shared" si="6"/>
        <v>#N/A</v>
      </c>
      <c r="X49" s="42" t="e">
        <f t="shared" si="7"/>
        <v>#N/A</v>
      </c>
      <c r="Y49" s="44" t="e">
        <f t="shared" si="8"/>
        <v>#N/A</v>
      </c>
    </row>
    <row r="50" spans="1:25">
      <c r="A50"/>
      <c r="B50"/>
      <c r="C50" s="6"/>
      <c r="D50"/>
      <c r="E50"/>
      <c r="F50"/>
      <c r="G50"/>
      <c r="H50"/>
      <c r="I50"/>
      <c r="P50" s="8" t="str">
        <f>IF(week_data!$Q50&lt;&gt;FALSE,P49+1,"")</f>
        <v/>
      </c>
      <c r="Q50" s="35" t="b">
        <f t="shared" si="0"/>
        <v>0</v>
      </c>
      <c r="R50" s="36" t="e">
        <f t="shared" si="1"/>
        <v>#N/A</v>
      </c>
      <c r="S50" s="37" t="e">
        <f t="shared" si="2"/>
        <v>#N/A</v>
      </c>
      <c r="T50" s="38" t="e">
        <f t="shared" si="3"/>
        <v>#N/A</v>
      </c>
      <c r="U50" s="37" t="e">
        <f t="shared" si="4"/>
        <v>#N/A</v>
      </c>
      <c r="V50" s="41" t="e">
        <f t="shared" si="5"/>
        <v>#N/A</v>
      </c>
      <c r="W50" s="38" t="e">
        <f t="shared" si="6"/>
        <v>#N/A</v>
      </c>
      <c r="X50" s="42" t="e">
        <f t="shared" si="7"/>
        <v>#N/A</v>
      </c>
      <c r="Y50" s="44" t="e">
        <f t="shared" si="8"/>
        <v>#N/A</v>
      </c>
    </row>
    <row r="51" spans="1:25">
      <c r="A51"/>
      <c r="B51"/>
      <c r="C51" s="6"/>
      <c r="D51"/>
      <c r="E51"/>
      <c r="F51"/>
      <c r="G51"/>
      <c r="H51"/>
      <c r="I51"/>
      <c r="P51" s="8" t="str">
        <f>IF(week_data!$Q51&lt;&gt;FALSE,P50+1,"")</f>
        <v/>
      </c>
      <c r="Q51" s="35" t="b">
        <f t="shared" si="0"/>
        <v>0</v>
      </c>
      <c r="R51" s="36" t="e">
        <f t="shared" si="1"/>
        <v>#N/A</v>
      </c>
      <c r="S51" s="37" t="e">
        <f t="shared" si="2"/>
        <v>#N/A</v>
      </c>
      <c r="T51" s="38" t="e">
        <f t="shared" si="3"/>
        <v>#N/A</v>
      </c>
      <c r="U51" s="37" t="e">
        <f t="shared" si="4"/>
        <v>#N/A</v>
      </c>
      <c r="V51" s="41" t="e">
        <f t="shared" si="5"/>
        <v>#N/A</v>
      </c>
      <c r="W51" s="38" t="e">
        <f t="shared" si="6"/>
        <v>#N/A</v>
      </c>
      <c r="X51" s="42" t="e">
        <f t="shared" si="7"/>
        <v>#N/A</v>
      </c>
      <c r="Y51" s="44" t="e">
        <f t="shared" si="8"/>
        <v>#N/A</v>
      </c>
    </row>
    <row r="52" spans="1:25">
      <c r="A52"/>
      <c r="B52"/>
      <c r="C52" s="6"/>
      <c r="D52"/>
      <c r="E52"/>
      <c r="F52"/>
      <c r="G52"/>
      <c r="H52"/>
      <c r="I52"/>
      <c r="P52" s="8" t="str">
        <f>IF(week_data!$Q52&lt;&gt;FALSE,P51+1,"")</f>
        <v/>
      </c>
      <c r="Q52" s="35" t="b">
        <f t="shared" si="0"/>
        <v>0</v>
      </c>
      <c r="R52" s="36" t="e">
        <f t="shared" si="1"/>
        <v>#N/A</v>
      </c>
      <c r="S52" s="37" t="e">
        <f t="shared" si="2"/>
        <v>#N/A</v>
      </c>
      <c r="T52" s="38" t="e">
        <f t="shared" si="3"/>
        <v>#N/A</v>
      </c>
      <c r="U52" s="37" t="e">
        <f t="shared" si="4"/>
        <v>#N/A</v>
      </c>
      <c r="V52" s="41" t="e">
        <f t="shared" si="5"/>
        <v>#N/A</v>
      </c>
      <c r="W52" s="38" t="e">
        <f t="shared" si="6"/>
        <v>#N/A</v>
      </c>
      <c r="X52" s="42" t="e">
        <f t="shared" si="7"/>
        <v>#N/A</v>
      </c>
      <c r="Y52" s="44" t="e">
        <f t="shared" si="8"/>
        <v>#N/A</v>
      </c>
    </row>
    <row r="53" spans="1:25">
      <c r="A53"/>
      <c r="B53"/>
      <c r="C53" s="6"/>
      <c r="D53"/>
      <c r="E53"/>
      <c r="F53"/>
      <c r="G53"/>
      <c r="H53"/>
      <c r="I53"/>
      <c r="P53" s="8" t="str">
        <f>IF(week_data!$Q53&lt;&gt;FALSE,P52+1,"")</f>
        <v/>
      </c>
      <c r="Q53" s="35" t="b">
        <f t="shared" si="0"/>
        <v>0</v>
      </c>
      <c r="R53" s="36" t="e">
        <f t="shared" si="1"/>
        <v>#N/A</v>
      </c>
      <c r="S53" s="37" t="e">
        <f t="shared" si="2"/>
        <v>#N/A</v>
      </c>
      <c r="T53" s="38" t="e">
        <f t="shared" si="3"/>
        <v>#N/A</v>
      </c>
      <c r="U53" s="37" t="e">
        <f t="shared" si="4"/>
        <v>#N/A</v>
      </c>
      <c r="V53" s="41" t="e">
        <f t="shared" si="5"/>
        <v>#N/A</v>
      </c>
      <c r="W53" s="38" t="e">
        <f t="shared" si="6"/>
        <v>#N/A</v>
      </c>
      <c r="X53" s="42" t="e">
        <f t="shared" si="7"/>
        <v>#N/A</v>
      </c>
      <c r="Y53" s="44" t="e">
        <f t="shared" si="8"/>
        <v>#N/A</v>
      </c>
    </row>
    <row r="54" spans="1:25">
      <c r="A54"/>
      <c r="B54"/>
      <c r="C54" s="6"/>
      <c r="D54"/>
      <c r="E54"/>
      <c r="F54"/>
      <c r="G54"/>
      <c r="H54"/>
      <c r="I54"/>
      <c r="P54" s="8" t="str">
        <f>IF(week_data!$Q54&lt;&gt;FALSE,P53+1,"")</f>
        <v/>
      </c>
      <c r="Q54" s="35" t="b">
        <f t="shared" si="0"/>
        <v>0</v>
      </c>
      <c r="R54" s="36" t="e">
        <f t="shared" si="1"/>
        <v>#N/A</v>
      </c>
      <c r="S54" s="37" t="e">
        <f t="shared" si="2"/>
        <v>#N/A</v>
      </c>
      <c r="T54" s="38" t="e">
        <f t="shared" si="3"/>
        <v>#N/A</v>
      </c>
      <c r="U54" s="37" t="e">
        <f t="shared" si="4"/>
        <v>#N/A</v>
      </c>
      <c r="V54" s="41" t="e">
        <f t="shared" si="5"/>
        <v>#N/A</v>
      </c>
      <c r="W54" s="38" t="e">
        <f t="shared" si="6"/>
        <v>#N/A</v>
      </c>
      <c r="X54" s="42" t="e">
        <f t="shared" si="7"/>
        <v>#N/A</v>
      </c>
      <c r="Y54" s="44" t="e">
        <f t="shared" si="8"/>
        <v>#N/A</v>
      </c>
    </row>
    <row r="55" spans="1:25">
      <c r="A55"/>
      <c r="B55"/>
      <c r="C55" s="6"/>
      <c r="D55"/>
      <c r="E55"/>
      <c r="F55"/>
      <c r="G55"/>
      <c r="H55"/>
      <c r="I55"/>
      <c r="P55" s="8" t="str">
        <f>IF(week_data!$Q55&lt;&gt;FALSE,P54+1,"")</f>
        <v/>
      </c>
      <c r="Q55" s="35" t="b">
        <f t="shared" si="0"/>
        <v>0</v>
      </c>
      <c r="R55" s="36" t="e">
        <f t="shared" si="1"/>
        <v>#N/A</v>
      </c>
      <c r="S55" s="37" t="e">
        <f t="shared" si="2"/>
        <v>#N/A</v>
      </c>
      <c r="T55" s="38" t="e">
        <f t="shared" si="3"/>
        <v>#N/A</v>
      </c>
      <c r="U55" s="37" t="e">
        <f t="shared" si="4"/>
        <v>#N/A</v>
      </c>
      <c r="V55" s="41" t="e">
        <f t="shared" si="5"/>
        <v>#N/A</v>
      </c>
      <c r="W55" s="38" t="e">
        <f t="shared" si="6"/>
        <v>#N/A</v>
      </c>
      <c r="X55" s="42" t="e">
        <f t="shared" si="7"/>
        <v>#N/A</v>
      </c>
      <c r="Y55" s="44" t="e">
        <f t="shared" si="8"/>
        <v>#N/A</v>
      </c>
    </row>
    <row r="56" spans="1:25">
      <c r="A56"/>
      <c r="B56"/>
      <c r="C56" s="6"/>
      <c r="D56"/>
      <c r="E56"/>
      <c r="F56"/>
      <c r="G56"/>
      <c r="H56"/>
      <c r="I56"/>
      <c r="P56" s="8" t="str">
        <f>IF(week_data!$Q56&lt;&gt;FALSE,P55+1,"")</f>
        <v/>
      </c>
      <c r="Q56" s="35" t="b">
        <f t="shared" si="0"/>
        <v>0</v>
      </c>
      <c r="R56" s="36" t="e">
        <f t="shared" si="1"/>
        <v>#N/A</v>
      </c>
      <c r="S56" s="37" t="e">
        <f t="shared" si="2"/>
        <v>#N/A</v>
      </c>
      <c r="T56" s="38" t="e">
        <f t="shared" si="3"/>
        <v>#N/A</v>
      </c>
      <c r="U56" s="37" t="e">
        <f t="shared" si="4"/>
        <v>#N/A</v>
      </c>
      <c r="V56" s="41" t="e">
        <f t="shared" si="5"/>
        <v>#N/A</v>
      </c>
      <c r="W56" s="38" t="e">
        <f t="shared" si="6"/>
        <v>#N/A</v>
      </c>
      <c r="X56" s="42" t="e">
        <f t="shared" si="7"/>
        <v>#N/A</v>
      </c>
      <c r="Y56" s="44" t="e">
        <f t="shared" si="8"/>
        <v>#N/A</v>
      </c>
    </row>
    <row r="57" spans="1:25">
      <c r="A57"/>
      <c r="B57"/>
      <c r="C57" s="6"/>
      <c r="D57"/>
      <c r="E57"/>
      <c r="F57"/>
      <c r="G57"/>
      <c r="H57"/>
      <c r="I57"/>
      <c r="P57" s="8" t="str">
        <f>IF(week_data!$Q57&lt;&gt;FALSE,P56+1,"")</f>
        <v/>
      </c>
      <c r="Q57" s="35" t="b">
        <f t="shared" si="0"/>
        <v>0</v>
      </c>
      <c r="R57" s="36" t="e">
        <f t="shared" si="1"/>
        <v>#N/A</v>
      </c>
      <c r="S57" s="37" t="e">
        <f t="shared" si="2"/>
        <v>#N/A</v>
      </c>
      <c r="T57" s="38" t="e">
        <f t="shared" si="3"/>
        <v>#N/A</v>
      </c>
      <c r="U57" s="37" t="e">
        <f t="shared" si="4"/>
        <v>#N/A</v>
      </c>
      <c r="V57" s="41" t="e">
        <f t="shared" si="5"/>
        <v>#N/A</v>
      </c>
      <c r="W57" s="38" t="e">
        <f t="shared" si="6"/>
        <v>#N/A</v>
      </c>
      <c r="X57" s="42" t="e">
        <f t="shared" si="7"/>
        <v>#N/A</v>
      </c>
      <c r="Y57" s="44" t="e">
        <f t="shared" si="8"/>
        <v>#N/A</v>
      </c>
    </row>
    <row r="58" spans="1:25">
      <c r="A58"/>
      <c r="B58"/>
      <c r="C58" s="6"/>
      <c r="D58"/>
      <c r="E58"/>
      <c r="F58"/>
      <c r="G58"/>
      <c r="H58"/>
      <c r="I58"/>
      <c r="P58" s="8" t="str">
        <f>IF(week_data!$Q58&lt;&gt;FALSE,P57+1,"")</f>
        <v/>
      </c>
      <c r="Q58" s="35" t="b">
        <f t="shared" si="0"/>
        <v>0</v>
      </c>
      <c r="R58" s="36" t="e">
        <f t="shared" si="1"/>
        <v>#N/A</v>
      </c>
      <c r="S58" s="37" t="e">
        <f t="shared" si="2"/>
        <v>#N/A</v>
      </c>
      <c r="T58" s="38" t="e">
        <f t="shared" si="3"/>
        <v>#N/A</v>
      </c>
      <c r="U58" s="37" t="e">
        <f t="shared" si="4"/>
        <v>#N/A</v>
      </c>
      <c r="V58" s="41" t="e">
        <f t="shared" si="5"/>
        <v>#N/A</v>
      </c>
      <c r="W58" s="38" t="e">
        <f t="shared" si="6"/>
        <v>#N/A</v>
      </c>
      <c r="X58" s="42" t="e">
        <f t="shared" si="7"/>
        <v>#N/A</v>
      </c>
      <c r="Y58" s="44" t="e">
        <f t="shared" si="8"/>
        <v>#N/A</v>
      </c>
    </row>
    <row r="59" spans="1:25">
      <c r="A59"/>
      <c r="B59"/>
      <c r="C59" s="6"/>
      <c r="D59"/>
      <c r="E59"/>
      <c r="F59"/>
      <c r="G59"/>
      <c r="H59"/>
      <c r="I59"/>
      <c r="P59" s="8" t="str">
        <f>IF(week_data!$Q59&lt;&gt;FALSE,P58+1,"")</f>
        <v/>
      </c>
      <c r="Q59" s="35" t="b">
        <f t="shared" si="0"/>
        <v>0</v>
      </c>
      <c r="R59" s="36" t="e">
        <f t="shared" si="1"/>
        <v>#N/A</v>
      </c>
      <c r="S59" s="37" t="e">
        <f t="shared" si="2"/>
        <v>#N/A</v>
      </c>
      <c r="T59" s="38" t="e">
        <f t="shared" si="3"/>
        <v>#N/A</v>
      </c>
      <c r="U59" s="37" t="e">
        <f t="shared" si="4"/>
        <v>#N/A</v>
      </c>
      <c r="V59" s="41" t="e">
        <f t="shared" si="5"/>
        <v>#N/A</v>
      </c>
      <c r="W59" s="38" t="e">
        <f t="shared" si="6"/>
        <v>#N/A</v>
      </c>
      <c r="X59" s="42" t="e">
        <f t="shared" si="7"/>
        <v>#N/A</v>
      </c>
      <c r="Y59" s="44" t="e">
        <f t="shared" si="8"/>
        <v>#N/A</v>
      </c>
    </row>
    <row r="60" spans="1:25">
      <c r="A60"/>
      <c r="B60"/>
      <c r="C60" s="6"/>
      <c r="D60"/>
      <c r="E60"/>
      <c r="F60"/>
      <c r="G60"/>
      <c r="H60"/>
      <c r="I60"/>
      <c r="P60" s="8" t="str">
        <f>IF(week_data!$Q60&lt;&gt;FALSE,P59+1,"")</f>
        <v/>
      </c>
      <c r="Q60" s="35" t="b">
        <f t="shared" si="0"/>
        <v>0</v>
      </c>
      <c r="R60" s="36" t="e">
        <f t="shared" si="1"/>
        <v>#N/A</v>
      </c>
      <c r="S60" s="37" t="e">
        <f t="shared" si="2"/>
        <v>#N/A</v>
      </c>
      <c r="T60" s="38" t="e">
        <f t="shared" si="3"/>
        <v>#N/A</v>
      </c>
      <c r="U60" s="37" t="e">
        <f t="shared" si="4"/>
        <v>#N/A</v>
      </c>
      <c r="V60" s="41" t="e">
        <f t="shared" si="5"/>
        <v>#N/A</v>
      </c>
      <c r="W60" s="38" t="e">
        <f t="shared" si="6"/>
        <v>#N/A</v>
      </c>
      <c r="X60" s="42" t="e">
        <f t="shared" si="7"/>
        <v>#N/A</v>
      </c>
      <c r="Y60" s="44" t="e">
        <f t="shared" si="8"/>
        <v>#N/A</v>
      </c>
    </row>
    <row r="61" spans="1:25">
      <c r="A61"/>
      <c r="B61"/>
      <c r="C61" s="6"/>
      <c r="D61"/>
      <c r="E61"/>
      <c r="F61"/>
      <c r="G61"/>
      <c r="H61"/>
      <c r="I61"/>
      <c r="P61" s="8" t="str">
        <f>IF(week_data!$Q61&lt;&gt;FALSE,P60+1,"")</f>
        <v/>
      </c>
      <c r="Q61" s="35" t="b">
        <f t="shared" si="0"/>
        <v>0</v>
      </c>
      <c r="R61" s="36" t="e">
        <f t="shared" si="1"/>
        <v>#N/A</v>
      </c>
      <c r="S61" s="37" t="e">
        <f t="shared" si="2"/>
        <v>#N/A</v>
      </c>
      <c r="T61" s="38" t="e">
        <f t="shared" si="3"/>
        <v>#N/A</v>
      </c>
      <c r="U61" s="37" t="e">
        <f t="shared" si="4"/>
        <v>#N/A</v>
      </c>
      <c r="V61" s="41" t="e">
        <f t="shared" si="5"/>
        <v>#N/A</v>
      </c>
      <c r="W61" s="38" t="e">
        <f t="shared" si="6"/>
        <v>#N/A</v>
      </c>
      <c r="X61" s="42" t="e">
        <f t="shared" si="7"/>
        <v>#N/A</v>
      </c>
      <c r="Y61" s="44" t="e">
        <f t="shared" si="8"/>
        <v>#N/A</v>
      </c>
    </row>
    <row r="62" spans="1:25">
      <c r="A62"/>
      <c r="B62"/>
      <c r="C62" s="6"/>
      <c r="D62"/>
      <c r="E62"/>
      <c r="F62"/>
      <c r="G62"/>
      <c r="H62"/>
      <c r="I62"/>
      <c r="P62" s="8" t="str">
        <f>IF(week_data!$Q62&lt;&gt;FALSE,P61+1,"")</f>
        <v/>
      </c>
      <c r="Q62" s="35" t="b">
        <f t="shared" si="0"/>
        <v>0</v>
      </c>
      <c r="R62" s="36" t="e">
        <f t="shared" si="1"/>
        <v>#N/A</v>
      </c>
      <c r="S62" s="37" t="e">
        <f t="shared" si="2"/>
        <v>#N/A</v>
      </c>
      <c r="T62" s="38" t="e">
        <f t="shared" si="3"/>
        <v>#N/A</v>
      </c>
      <c r="U62" s="37" t="e">
        <f t="shared" si="4"/>
        <v>#N/A</v>
      </c>
      <c r="V62" s="41" t="e">
        <f t="shared" si="5"/>
        <v>#N/A</v>
      </c>
      <c r="W62" s="38" t="e">
        <f t="shared" si="6"/>
        <v>#N/A</v>
      </c>
      <c r="X62" s="42" t="e">
        <f t="shared" si="7"/>
        <v>#N/A</v>
      </c>
      <c r="Y62" s="44" t="e">
        <f t="shared" si="8"/>
        <v>#N/A</v>
      </c>
    </row>
    <row r="63" spans="1:25">
      <c r="A63"/>
      <c r="B63"/>
      <c r="C63" s="6"/>
      <c r="D63"/>
      <c r="E63"/>
      <c r="F63"/>
      <c r="G63"/>
      <c r="H63"/>
      <c r="I63"/>
      <c r="P63" s="8" t="str">
        <f>IF(week_data!$Q63&lt;&gt;FALSE,P62+1,"")</f>
        <v/>
      </c>
      <c r="Q63" s="35" t="b">
        <f t="shared" si="0"/>
        <v>0</v>
      </c>
      <c r="R63" s="36" t="e">
        <f t="shared" si="1"/>
        <v>#N/A</v>
      </c>
      <c r="S63" s="37" t="e">
        <f t="shared" si="2"/>
        <v>#N/A</v>
      </c>
      <c r="T63" s="38" t="e">
        <f t="shared" si="3"/>
        <v>#N/A</v>
      </c>
      <c r="U63" s="37" t="e">
        <f t="shared" si="4"/>
        <v>#N/A</v>
      </c>
      <c r="V63" s="41" t="e">
        <f t="shared" si="5"/>
        <v>#N/A</v>
      </c>
      <c r="W63" s="38" t="e">
        <f t="shared" si="6"/>
        <v>#N/A</v>
      </c>
      <c r="X63" s="42" t="e">
        <f t="shared" si="7"/>
        <v>#N/A</v>
      </c>
      <c r="Y63" s="44" t="e">
        <f t="shared" si="8"/>
        <v>#N/A</v>
      </c>
    </row>
    <row r="64" spans="1:25">
      <c r="A64"/>
      <c r="B64"/>
      <c r="C64" s="6"/>
      <c r="D64"/>
      <c r="E64"/>
      <c r="F64"/>
      <c r="G64"/>
      <c r="H64"/>
      <c r="I64"/>
      <c r="P64" s="8" t="str">
        <f>IF(week_data!$Q64&lt;&gt;FALSE,P63+1,"")</f>
        <v/>
      </c>
      <c r="Q64" s="35" t="b">
        <f t="shared" si="0"/>
        <v>0</v>
      </c>
      <c r="R64" s="36" t="e">
        <f t="shared" si="1"/>
        <v>#N/A</v>
      </c>
      <c r="S64" s="37" t="e">
        <f t="shared" si="2"/>
        <v>#N/A</v>
      </c>
      <c r="T64" s="38" t="e">
        <f t="shared" si="3"/>
        <v>#N/A</v>
      </c>
      <c r="U64" s="37" t="e">
        <f t="shared" si="4"/>
        <v>#N/A</v>
      </c>
      <c r="V64" s="41" t="e">
        <f t="shared" si="5"/>
        <v>#N/A</v>
      </c>
      <c r="W64" s="38" t="e">
        <f t="shared" si="6"/>
        <v>#N/A</v>
      </c>
      <c r="X64" s="42" t="e">
        <f t="shared" si="7"/>
        <v>#N/A</v>
      </c>
      <c r="Y64" s="44" t="e">
        <f t="shared" si="8"/>
        <v>#N/A</v>
      </c>
    </row>
    <row r="65" spans="1:25">
      <c r="A65"/>
      <c r="B65"/>
      <c r="C65" s="6"/>
      <c r="D65"/>
      <c r="E65"/>
      <c r="F65"/>
      <c r="G65"/>
      <c r="H65"/>
      <c r="I65"/>
      <c r="P65" s="8" t="str">
        <f>IF(week_data!$Q65&lt;&gt;FALSE,P64+1,"")</f>
        <v/>
      </c>
      <c r="Q65" s="35" t="b">
        <f t="shared" si="0"/>
        <v>0</v>
      </c>
      <c r="R65" s="36" t="e">
        <f t="shared" si="1"/>
        <v>#N/A</v>
      </c>
      <c r="S65" s="37" t="e">
        <f t="shared" si="2"/>
        <v>#N/A</v>
      </c>
      <c r="T65" s="38" t="e">
        <f t="shared" si="3"/>
        <v>#N/A</v>
      </c>
      <c r="U65" s="37" t="e">
        <f t="shared" si="4"/>
        <v>#N/A</v>
      </c>
      <c r="V65" s="41" t="e">
        <f t="shared" si="5"/>
        <v>#N/A</v>
      </c>
      <c r="W65" s="38" t="e">
        <f t="shared" si="6"/>
        <v>#N/A</v>
      </c>
      <c r="X65" s="42" t="e">
        <f t="shared" si="7"/>
        <v>#N/A</v>
      </c>
      <c r="Y65" s="44" t="e">
        <f t="shared" si="8"/>
        <v>#N/A</v>
      </c>
    </row>
    <row r="66" spans="1:25">
      <c r="A66"/>
      <c r="B66"/>
      <c r="C66" s="6"/>
      <c r="D66"/>
      <c r="E66"/>
      <c r="F66"/>
      <c r="G66"/>
      <c r="H66"/>
      <c r="I66"/>
      <c r="P66" s="8" t="str">
        <f>IF(week_data!$Q66&lt;&gt;FALSE,P65+1,"")</f>
        <v/>
      </c>
      <c r="Q66" s="35" t="b">
        <f t="shared" si="0"/>
        <v>0</v>
      </c>
      <c r="R66" s="36" t="e">
        <f t="shared" si="1"/>
        <v>#N/A</v>
      </c>
      <c r="S66" s="37" t="e">
        <f t="shared" si="2"/>
        <v>#N/A</v>
      </c>
      <c r="T66" s="38" t="e">
        <f t="shared" si="3"/>
        <v>#N/A</v>
      </c>
      <c r="U66" s="37" t="e">
        <f t="shared" si="4"/>
        <v>#N/A</v>
      </c>
      <c r="V66" s="41" t="e">
        <f t="shared" si="5"/>
        <v>#N/A</v>
      </c>
      <c r="W66" s="38" t="e">
        <f t="shared" si="6"/>
        <v>#N/A</v>
      </c>
      <c r="X66" s="42" t="e">
        <f t="shared" si="7"/>
        <v>#N/A</v>
      </c>
      <c r="Y66" s="44" t="e">
        <f t="shared" si="8"/>
        <v>#N/A</v>
      </c>
    </row>
    <row r="67" spans="1:25">
      <c r="A67"/>
      <c r="B67"/>
      <c r="C67" s="6"/>
      <c r="D67"/>
      <c r="E67"/>
      <c r="F67"/>
      <c r="G67"/>
      <c r="H67"/>
      <c r="I67"/>
      <c r="P67" s="8" t="str">
        <f>IF(week_data!$Q67&lt;&gt;FALSE,P66+1,"")</f>
        <v/>
      </c>
      <c r="Q67" s="35" t="b">
        <f t="shared" ref="Q67:Q130" si="9">IF(ROW(Q67)&gt;$K$1+1,FALSE,IF(A67&lt;&gt;"",A67,FALSE))</f>
        <v>0</v>
      </c>
      <c r="R67" s="36" t="e">
        <f t="shared" ref="R67:R130" si="10">IF($M$1,IF(B67&lt;&gt;"",B67,NA()),NA())</f>
        <v>#N/A</v>
      </c>
      <c r="S67" s="37" t="e">
        <f t="shared" ref="S67:S130" si="11">IF($M$2,IF(C67&lt;&gt;"",C67,NA()),NA())</f>
        <v>#N/A</v>
      </c>
      <c r="T67" s="38" t="e">
        <f t="shared" ref="T67:T130" si="12">IF($M$3,IF(D67&lt;&gt;"",D67,NA()),NA())</f>
        <v>#N/A</v>
      </c>
      <c r="U67" s="37" t="e">
        <f t="shared" ref="U67:U130" si="13">IF($M$4,IF(E67&lt;&gt;"",E67,NA()),NA())</f>
        <v>#N/A</v>
      </c>
      <c r="V67" s="41" t="e">
        <f t="shared" ref="V67:V130" si="14">IF($M$5,IF(G67&lt;&gt;"",G67,NA()),NA())</f>
        <v>#N/A</v>
      </c>
      <c r="W67" s="38" t="e">
        <f t="shared" ref="W67:W130" si="15">IF($M$6,IF(F67&lt;&gt;"",F67,NA()),NA())</f>
        <v>#N/A</v>
      </c>
      <c r="X67" s="42" t="e">
        <f t="shared" ref="X67:X130" si="16">IF($M$7,IF(H67&lt;&gt;"",H67,NA()),NA())</f>
        <v>#N/A</v>
      </c>
      <c r="Y67" s="44" t="e">
        <f t="shared" ref="Y67:Y130" si="17">IF($M$8,IF(I67&lt;&gt;"",I67,NA()),NA())</f>
        <v>#N/A</v>
      </c>
    </row>
    <row r="68" spans="1:25">
      <c r="A68"/>
      <c r="B68"/>
      <c r="C68" s="6"/>
      <c r="D68"/>
      <c r="E68"/>
      <c r="F68"/>
      <c r="G68"/>
      <c r="H68"/>
      <c r="I68"/>
      <c r="P68" s="8" t="str">
        <f>IF(week_data!$Q68&lt;&gt;FALSE,P67+1,"")</f>
        <v/>
      </c>
      <c r="Q68" s="35" t="b">
        <f t="shared" si="9"/>
        <v>0</v>
      </c>
      <c r="R68" s="36" t="e">
        <f t="shared" si="10"/>
        <v>#N/A</v>
      </c>
      <c r="S68" s="37" t="e">
        <f t="shared" si="11"/>
        <v>#N/A</v>
      </c>
      <c r="T68" s="38" t="e">
        <f t="shared" si="12"/>
        <v>#N/A</v>
      </c>
      <c r="U68" s="37" t="e">
        <f t="shared" si="13"/>
        <v>#N/A</v>
      </c>
      <c r="V68" s="41" t="e">
        <f t="shared" si="14"/>
        <v>#N/A</v>
      </c>
      <c r="W68" s="38" t="e">
        <f t="shared" si="15"/>
        <v>#N/A</v>
      </c>
      <c r="X68" s="42" t="e">
        <f t="shared" si="16"/>
        <v>#N/A</v>
      </c>
      <c r="Y68" s="44" t="e">
        <f t="shared" si="17"/>
        <v>#N/A</v>
      </c>
    </row>
    <row r="69" spans="1:25">
      <c r="A69"/>
      <c r="B69"/>
      <c r="C69" s="6"/>
      <c r="D69"/>
      <c r="E69"/>
      <c r="F69"/>
      <c r="G69"/>
      <c r="H69"/>
      <c r="I69"/>
      <c r="P69" s="8" t="str">
        <f>IF(week_data!$Q69&lt;&gt;FALSE,P68+1,"")</f>
        <v/>
      </c>
      <c r="Q69" s="35" t="b">
        <f t="shared" si="9"/>
        <v>0</v>
      </c>
      <c r="R69" s="36" t="e">
        <f t="shared" si="10"/>
        <v>#N/A</v>
      </c>
      <c r="S69" s="37" t="e">
        <f t="shared" si="11"/>
        <v>#N/A</v>
      </c>
      <c r="T69" s="38" t="e">
        <f t="shared" si="12"/>
        <v>#N/A</v>
      </c>
      <c r="U69" s="37" t="e">
        <f t="shared" si="13"/>
        <v>#N/A</v>
      </c>
      <c r="V69" s="41" t="e">
        <f t="shared" si="14"/>
        <v>#N/A</v>
      </c>
      <c r="W69" s="38" t="e">
        <f t="shared" si="15"/>
        <v>#N/A</v>
      </c>
      <c r="X69" s="42" t="e">
        <f t="shared" si="16"/>
        <v>#N/A</v>
      </c>
      <c r="Y69" s="44" t="e">
        <f t="shared" si="17"/>
        <v>#N/A</v>
      </c>
    </row>
    <row r="70" spans="1:25">
      <c r="A70"/>
      <c r="B70"/>
      <c r="C70" s="6"/>
      <c r="D70"/>
      <c r="E70"/>
      <c r="F70"/>
      <c r="G70"/>
      <c r="H70"/>
      <c r="I70"/>
      <c r="P70" s="8" t="str">
        <f>IF(week_data!$Q70&lt;&gt;FALSE,P69+1,"")</f>
        <v/>
      </c>
      <c r="Q70" s="35" t="b">
        <f t="shared" si="9"/>
        <v>0</v>
      </c>
      <c r="R70" s="36" t="e">
        <f t="shared" si="10"/>
        <v>#N/A</v>
      </c>
      <c r="S70" s="37" t="e">
        <f t="shared" si="11"/>
        <v>#N/A</v>
      </c>
      <c r="T70" s="38" t="e">
        <f t="shared" si="12"/>
        <v>#N/A</v>
      </c>
      <c r="U70" s="37" t="e">
        <f t="shared" si="13"/>
        <v>#N/A</v>
      </c>
      <c r="V70" s="41" t="e">
        <f t="shared" si="14"/>
        <v>#N/A</v>
      </c>
      <c r="W70" s="38" t="e">
        <f t="shared" si="15"/>
        <v>#N/A</v>
      </c>
      <c r="X70" s="42" t="e">
        <f t="shared" si="16"/>
        <v>#N/A</v>
      </c>
      <c r="Y70" s="44" t="e">
        <f t="shared" si="17"/>
        <v>#N/A</v>
      </c>
    </row>
    <row r="71" spans="1:25">
      <c r="A71"/>
      <c r="B71"/>
      <c r="C71" s="6"/>
      <c r="D71"/>
      <c r="E71"/>
      <c r="F71"/>
      <c r="G71"/>
      <c r="H71"/>
      <c r="I71"/>
      <c r="P71" s="8" t="str">
        <f>IF(week_data!$Q71&lt;&gt;FALSE,P70+1,"")</f>
        <v/>
      </c>
      <c r="Q71" s="35" t="b">
        <f t="shared" si="9"/>
        <v>0</v>
      </c>
      <c r="R71" s="36" t="e">
        <f t="shared" si="10"/>
        <v>#N/A</v>
      </c>
      <c r="S71" s="37" t="e">
        <f t="shared" si="11"/>
        <v>#N/A</v>
      </c>
      <c r="T71" s="38" t="e">
        <f t="shared" si="12"/>
        <v>#N/A</v>
      </c>
      <c r="U71" s="37" t="e">
        <f t="shared" si="13"/>
        <v>#N/A</v>
      </c>
      <c r="V71" s="41" t="e">
        <f t="shared" si="14"/>
        <v>#N/A</v>
      </c>
      <c r="W71" s="38" t="e">
        <f t="shared" si="15"/>
        <v>#N/A</v>
      </c>
      <c r="X71" s="42" t="e">
        <f t="shared" si="16"/>
        <v>#N/A</v>
      </c>
      <c r="Y71" s="44" t="e">
        <f t="shared" si="17"/>
        <v>#N/A</v>
      </c>
    </row>
    <row r="72" spans="1:25">
      <c r="A72"/>
      <c r="B72"/>
      <c r="C72" s="6"/>
      <c r="D72"/>
      <c r="E72"/>
      <c r="F72"/>
      <c r="G72"/>
      <c r="H72"/>
      <c r="I72"/>
      <c r="P72" s="8" t="str">
        <f>IF(week_data!$Q72&lt;&gt;FALSE,P71+1,"")</f>
        <v/>
      </c>
      <c r="Q72" s="35" t="b">
        <f t="shared" si="9"/>
        <v>0</v>
      </c>
      <c r="R72" s="36" t="e">
        <f t="shared" si="10"/>
        <v>#N/A</v>
      </c>
      <c r="S72" s="37" t="e">
        <f t="shared" si="11"/>
        <v>#N/A</v>
      </c>
      <c r="T72" s="38" t="e">
        <f t="shared" si="12"/>
        <v>#N/A</v>
      </c>
      <c r="U72" s="37" t="e">
        <f t="shared" si="13"/>
        <v>#N/A</v>
      </c>
      <c r="V72" s="41" t="e">
        <f t="shared" si="14"/>
        <v>#N/A</v>
      </c>
      <c r="W72" s="38" t="e">
        <f t="shared" si="15"/>
        <v>#N/A</v>
      </c>
      <c r="X72" s="42" t="e">
        <f t="shared" si="16"/>
        <v>#N/A</v>
      </c>
      <c r="Y72" s="44" t="e">
        <f t="shared" si="17"/>
        <v>#N/A</v>
      </c>
    </row>
    <row r="73" spans="1:25">
      <c r="A73"/>
      <c r="B73"/>
      <c r="C73" s="6"/>
      <c r="D73"/>
      <c r="E73"/>
      <c r="F73"/>
      <c r="G73"/>
      <c r="H73"/>
      <c r="I73"/>
      <c r="P73" s="8" t="str">
        <f>IF(week_data!$Q73&lt;&gt;FALSE,P72+1,"")</f>
        <v/>
      </c>
      <c r="Q73" s="35" t="b">
        <f t="shared" si="9"/>
        <v>0</v>
      </c>
      <c r="R73" s="36" t="e">
        <f t="shared" si="10"/>
        <v>#N/A</v>
      </c>
      <c r="S73" s="37" t="e">
        <f t="shared" si="11"/>
        <v>#N/A</v>
      </c>
      <c r="T73" s="38" t="e">
        <f t="shared" si="12"/>
        <v>#N/A</v>
      </c>
      <c r="U73" s="37" t="e">
        <f t="shared" si="13"/>
        <v>#N/A</v>
      </c>
      <c r="V73" s="41" t="e">
        <f t="shared" si="14"/>
        <v>#N/A</v>
      </c>
      <c r="W73" s="38" t="e">
        <f t="shared" si="15"/>
        <v>#N/A</v>
      </c>
      <c r="X73" s="42" t="e">
        <f t="shared" si="16"/>
        <v>#N/A</v>
      </c>
      <c r="Y73" s="44" t="e">
        <f t="shared" si="17"/>
        <v>#N/A</v>
      </c>
    </row>
    <row r="74" spans="1:25">
      <c r="A74"/>
      <c r="B74"/>
      <c r="C74" s="6"/>
      <c r="D74"/>
      <c r="E74"/>
      <c r="F74"/>
      <c r="G74"/>
      <c r="H74"/>
      <c r="I74"/>
      <c r="P74" s="8" t="str">
        <f>IF(week_data!$Q74&lt;&gt;FALSE,P73+1,"")</f>
        <v/>
      </c>
      <c r="Q74" s="35" t="b">
        <f t="shared" si="9"/>
        <v>0</v>
      </c>
      <c r="R74" s="36" t="e">
        <f t="shared" si="10"/>
        <v>#N/A</v>
      </c>
      <c r="S74" s="37" t="e">
        <f t="shared" si="11"/>
        <v>#N/A</v>
      </c>
      <c r="T74" s="38" t="e">
        <f t="shared" si="12"/>
        <v>#N/A</v>
      </c>
      <c r="U74" s="37" t="e">
        <f t="shared" si="13"/>
        <v>#N/A</v>
      </c>
      <c r="V74" s="41" t="e">
        <f t="shared" si="14"/>
        <v>#N/A</v>
      </c>
      <c r="W74" s="38" t="e">
        <f t="shared" si="15"/>
        <v>#N/A</v>
      </c>
      <c r="X74" s="42" t="e">
        <f t="shared" si="16"/>
        <v>#N/A</v>
      </c>
      <c r="Y74" s="44" t="e">
        <f t="shared" si="17"/>
        <v>#N/A</v>
      </c>
    </row>
    <row r="75" spans="1:25">
      <c r="A75"/>
      <c r="B75"/>
      <c r="C75" s="6"/>
      <c r="D75"/>
      <c r="E75"/>
      <c r="F75"/>
      <c r="G75"/>
      <c r="H75"/>
      <c r="I75"/>
      <c r="P75" s="8" t="str">
        <f>IF(week_data!$Q75&lt;&gt;FALSE,P74+1,"")</f>
        <v/>
      </c>
      <c r="Q75" s="35" t="b">
        <f t="shared" si="9"/>
        <v>0</v>
      </c>
      <c r="R75" s="36" t="e">
        <f t="shared" si="10"/>
        <v>#N/A</v>
      </c>
      <c r="S75" s="37" t="e">
        <f t="shared" si="11"/>
        <v>#N/A</v>
      </c>
      <c r="T75" s="38" t="e">
        <f t="shared" si="12"/>
        <v>#N/A</v>
      </c>
      <c r="U75" s="37" t="e">
        <f t="shared" si="13"/>
        <v>#N/A</v>
      </c>
      <c r="V75" s="41" t="e">
        <f t="shared" si="14"/>
        <v>#N/A</v>
      </c>
      <c r="W75" s="38" t="e">
        <f t="shared" si="15"/>
        <v>#N/A</v>
      </c>
      <c r="X75" s="42" t="e">
        <f t="shared" si="16"/>
        <v>#N/A</v>
      </c>
      <c r="Y75" s="44" t="e">
        <f t="shared" si="17"/>
        <v>#N/A</v>
      </c>
    </row>
    <row r="76" spans="1:25">
      <c r="A76"/>
      <c r="B76"/>
      <c r="C76" s="6"/>
      <c r="D76"/>
      <c r="E76"/>
      <c r="F76"/>
      <c r="G76"/>
      <c r="H76"/>
      <c r="I76"/>
      <c r="P76" s="8" t="str">
        <f>IF(week_data!$Q76&lt;&gt;FALSE,P75+1,"")</f>
        <v/>
      </c>
      <c r="Q76" s="35" t="b">
        <f t="shared" si="9"/>
        <v>0</v>
      </c>
      <c r="R76" s="36" t="e">
        <f t="shared" si="10"/>
        <v>#N/A</v>
      </c>
      <c r="S76" s="37" t="e">
        <f t="shared" si="11"/>
        <v>#N/A</v>
      </c>
      <c r="T76" s="38" t="e">
        <f t="shared" si="12"/>
        <v>#N/A</v>
      </c>
      <c r="U76" s="37" t="e">
        <f t="shared" si="13"/>
        <v>#N/A</v>
      </c>
      <c r="V76" s="41" t="e">
        <f t="shared" si="14"/>
        <v>#N/A</v>
      </c>
      <c r="W76" s="38" t="e">
        <f t="shared" si="15"/>
        <v>#N/A</v>
      </c>
      <c r="X76" s="42" t="e">
        <f t="shared" si="16"/>
        <v>#N/A</v>
      </c>
      <c r="Y76" s="44" t="e">
        <f t="shared" si="17"/>
        <v>#N/A</v>
      </c>
    </row>
    <row r="77" spans="1:25">
      <c r="A77"/>
      <c r="B77"/>
      <c r="C77" s="6"/>
      <c r="D77"/>
      <c r="E77"/>
      <c r="F77"/>
      <c r="G77"/>
      <c r="H77"/>
      <c r="I77"/>
      <c r="P77" s="8" t="str">
        <f>IF(week_data!$Q77&lt;&gt;FALSE,P76+1,"")</f>
        <v/>
      </c>
      <c r="Q77" s="35" t="b">
        <f t="shared" si="9"/>
        <v>0</v>
      </c>
      <c r="R77" s="36" t="e">
        <f t="shared" si="10"/>
        <v>#N/A</v>
      </c>
      <c r="S77" s="37" t="e">
        <f t="shared" si="11"/>
        <v>#N/A</v>
      </c>
      <c r="T77" s="38" t="e">
        <f t="shared" si="12"/>
        <v>#N/A</v>
      </c>
      <c r="U77" s="37" t="e">
        <f t="shared" si="13"/>
        <v>#N/A</v>
      </c>
      <c r="V77" s="41" t="e">
        <f t="shared" si="14"/>
        <v>#N/A</v>
      </c>
      <c r="W77" s="38" t="e">
        <f t="shared" si="15"/>
        <v>#N/A</v>
      </c>
      <c r="X77" s="42" t="e">
        <f t="shared" si="16"/>
        <v>#N/A</v>
      </c>
      <c r="Y77" s="44" t="e">
        <f t="shared" si="17"/>
        <v>#N/A</v>
      </c>
    </row>
    <row r="78" spans="1:25">
      <c r="A78"/>
      <c r="B78"/>
      <c r="C78" s="6"/>
      <c r="D78"/>
      <c r="E78"/>
      <c r="F78"/>
      <c r="G78"/>
      <c r="H78"/>
      <c r="I78"/>
      <c r="P78" s="8" t="str">
        <f>IF(week_data!$Q78&lt;&gt;FALSE,P77+1,"")</f>
        <v/>
      </c>
      <c r="Q78" s="35" t="b">
        <f t="shared" si="9"/>
        <v>0</v>
      </c>
      <c r="R78" s="36" t="e">
        <f t="shared" si="10"/>
        <v>#N/A</v>
      </c>
      <c r="S78" s="37" t="e">
        <f t="shared" si="11"/>
        <v>#N/A</v>
      </c>
      <c r="T78" s="38" t="e">
        <f t="shared" si="12"/>
        <v>#N/A</v>
      </c>
      <c r="U78" s="37" t="e">
        <f t="shared" si="13"/>
        <v>#N/A</v>
      </c>
      <c r="V78" s="41" t="e">
        <f t="shared" si="14"/>
        <v>#N/A</v>
      </c>
      <c r="W78" s="38" t="e">
        <f t="shared" si="15"/>
        <v>#N/A</v>
      </c>
      <c r="X78" s="42" t="e">
        <f t="shared" si="16"/>
        <v>#N/A</v>
      </c>
      <c r="Y78" s="44" t="e">
        <f t="shared" si="17"/>
        <v>#N/A</v>
      </c>
    </row>
    <row r="79" spans="1:25">
      <c r="A79"/>
      <c r="B79"/>
      <c r="C79" s="6"/>
      <c r="D79"/>
      <c r="E79"/>
      <c r="F79"/>
      <c r="G79"/>
      <c r="H79"/>
      <c r="I79"/>
      <c r="P79" s="8" t="str">
        <f>IF(week_data!$Q79&lt;&gt;FALSE,P78+1,"")</f>
        <v/>
      </c>
      <c r="Q79" s="35" t="b">
        <f t="shared" si="9"/>
        <v>0</v>
      </c>
      <c r="R79" s="36" t="e">
        <f t="shared" si="10"/>
        <v>#N/A</v>
      </c>
      <c r="S79" s="37" t="e">
        <f t="shared" si="11"/>
        <v>#N/A</v>
      </c>
      <c r="T79" s="38" t="e">
        <f t="shared" si="12"/>
        <v>#N/A</v>
      </c>
      <c r="U79" s="37" t="e">
        <f t="shared" si="13"/>
        <v>#N/A</v>
      </c>
      <c r="V79" s="41" t="e">
        <f t="shared" si="14"/>
        <v>#N/A</v>
      </c>
      <c r="W79" s="38" t="e">
        <f t="shared" si="15"/>
        <v>#N/A</v>
      </c>
      <c r="X79" s="42" t="e">
        <f t="shared" si="16"/>
        <v>#N/A</v>
      </c>
      <c r="Y79" s="44" t="e">
        <f t="shared" si="17"/>
        <v>#N/A</v>
      </c>
    </row>
    <row r="80" spans="1:25">
      <c r="A80"/>
      <c r="B80"/>
      <c r="C80" s="6"/>
      <c r="D80"/>
      <c r="E80"/>
      <c r="F80"/>
      <c r="G80"/>
      <c r="H80"/>
      <c r="I80"/>
      <c r="P80" s="8" t="str">
        <f>IF(week_data!$Q80&lt;&gt;FALSE,P79+1,"")</f>
        <v/>
      </c>
      <c r="Q80" s="35" t="b">
        <f t="shared" si="9"/>
        <v>0</v>
      </c>
      <c r="R80" s="36" t="e">
        <f t="shared" si="10"/>
        <v>#N/A</v>
      </c>
      <c r="S80" s="37" t="e">
        <f t="shared" si="11"/>
        <v>#N/A</v>
      </c>
      <c r="T80" s="38" t="e">
        <f t="shared" si="12"/>
        <v>#N/A</v>
      </c>
      <c r="U80" s="37" t="e">
        <f t="shared" si="13"/>
        <v>#N/A</v>
      </c>
      <c r="V80" s="41" t="e">
        <f t="shared" si="14"/>
        <v>#N/A</v>
      </c>
      <c r="W80" s="38" t="e">
        <f t="shared" si="15"/>
        <v>#N/A</v>
      </c>
      <c r="X80" s="42" t="e">
        <f t="shared" si="16"/>
        <v>#N/A</v>
      </c>
      <c r="Y80" s="44" t="e">
        <f t="shared" si="17"/>
        <v>#N/A</v>
      </c>
    </row>
    <row r="81" spans="1:25">
      <c r="A81"/>
      <c r="B81"/>
      <c r="C81" s="6"/>
      <c r="D81"/>
      <c r="E81"/>
      <c r="F81"/>
      <c r="G81"/>
      <c r="H81"/>
      <c r="I81"/>
      <c r="P81" s="8" t="str">
        <f>IF(week_data!$Q81&lt;&gt;FALSE,P80+1,"")</f>
        <v/>
      </c>
      <c r="Q81" s="35" t="b">
        <f t="shared" si="9"/>
        <v>0</v>
      </c>
      <c r="R81" s="36" t="e">
        <f t="shared" si="10"/>
        <v>#N/A</v>
      </c>
      <c r="S81" s="37" t="e">
        <f t="shared" si="11"/>
        <v>#N/A</v>
      </c>
      <c r="T81" s="38" t="e">
        <f t="shared" si="12"/>
        <v>#N/A</v>
      </c>
      <c r="U81" s="37" t="e">
        <f t="shared" si="13"/>
        <v>#N/A</v>
      </c>
      <c r="V81" s="41" t="e">
        <f t="shared" si="14"/>
        <v>#N/A</v>
      </c>
      <c r="W81" s="38" t="e">
        <f t="shared" si="15"/>
        <v>#N/A</v>
      </c>
      <c r="X81" s="42" t="e">
        <f t="shared" si="16"/>
        <v>#N/A</v>
      </c>
      <c r="Y81" s="44" t="e">
        <f t="shared" si="17"/>
        <v>#N/A</v>
      </c>
    </row>
    <row r="82" spans="1:25">
      <c r="A82"/>
      <c r="B82"/>
      <c r="C82" s="6"/>
      <c r="D82"/>
      <c r="E82"/>
      <c r="F82"/>
      <c r="G82"/>
      <c r="H82"/>
      <c r="I82"/>
      <c r="P82" s="8" t="str">
        <f>IF(week_data!$Q82&lt;&gt;FALSE,P81+1,"")</f>
        <v/>
      </c>
      <c r="Q82" s="35" t="b">
        <f t="shared" si="9"/>
        <v>0</v>
      </c>
      <c r="R82" s="36" t="e">
        <f t="shared" si="10"/>
        <v>#N/A</v>
      </c>
      <c r="S82" s="37" t="e">
        <f t="shared" si="11"/>
        <v>#N/A</v>
      </c>
      <c r="T82" s="38" t="e">
        <f t="shared" si="12"/>
        <v>#N/A</v>
      </c>
      <c r="U82" s="37" t="e">
        <f t="shared" si="13"/>
        <v>#N/A</v>
      </c>
      <c r="V82" s="41" t="e">
        <f t="shared" si="14"/>
        <v>#N/A</v>
      </c>
      <c r="W82" s="38" t="e">
        <f t="shared" si="15"/>
        <v>#N/A</v>
      </c>
      <c r="X82" s="42" t="e">
        <f t="shared" si="16"/>
        <v>#N/A</v>
      </c>
      <c r="Y82" s="44" t="e">
        <f t="shared" si="17"/>
        <v>#N/A</v>
      </c>
    </row>
    <row r="83" spans="1:25">
      <c r="A83"/>
      <c r="B83"/>
      <c r="C83" s="6"/>
      <c r="D83"/>
      <c r="E83"/>
      <c r="F83"/>
      <c r="G83"/>
      <c r="H83"/>
      <c r="I83"/>
      <c r="P83" s="8" t="str">
        <f>IF(week_data!$Q83&lt;&gt;FALSE,P82+1,"")</f>
        <v/>
      </c>
      <c r="Q83" s="35" t="b">
        <f t="shared" si="9"/>
        <v>0</v>
      </c>
      <c r="R83" s="36" t="e">
        <f t="shared" si="10"/>
        <v>#N/A</v>
      </c>
      <c r="S83" s="37" t="e">
        <f t="shared" si="11"/>
        <v>#N/A</v>
      </c>
      <c r="T83" s="38" t="e">
        <f t="shared" si="12"/>
        <v>#N/A</v>
      </c>
      <c r="U83" s="37" t="e">
        <f t="shared" si="13"/>
        <v>#N/A</v>
      </c>
      <c r="V83" s="41" t="e">
        <f t="shared" si="14"/>
        <v>#N/A</v>
      </c>
      <c r="W83" s="38" t="e">
        <f t="shared" si="15"/>
        <v>#N/A</v>
      </c>
      <c r="X83" s="42" t="e">
        <f t="shared" si="16"/>
        <v>#N/A</v>
      </c>
      <c r="Y83" s="44" t="e">
        <f t="shared" si="17"/>
        <v>#N/A</v>
      </c>
    </row>
    <row r="84" spans="1:25">
      <c r="A84"/>
      <c r="B84"/>
      <c r="C84" s="6"/>
      <c r="D84"/>
      <c r="E84"/>
      <c r="F84"/>
      <c r="G84"/>
      <c r="H84"/>
      <c r="I84"/>
      <c r="P84" s="8" t="str">
        <f>IF(week_data!$Q84&lt;&gt;FALSE,P83+1,"")</f>
        <v/>
      </c>
      <c r="Q84" s="35" t="b">
        <f t="shared" si="9"/>
        <v>0</v>
      </c>
      <c r="R84" s="36" t="e">
        <f t="shared" si="10"/>
        <v>#N/A</v>
      </c>
      <c r="S84" s="37" t="e">
        <f t="shared" si="11"/>
        <v>#N/A</v>
      </c>
      <c r="T84" s="38" t="e">
        <f t="shared" si="12"/>
        <v>#N/A</v>
      </c>
      <c r="U84" s="37" t="e">
        <f t="shared" si="13"/>
        <v>#N/A</v>
      </c>
      <c r="V84" s="41" t="e">
        <f t="shared" si="14"/>
        <v>#N/A</v>
      </c>
      <c r="W84" s="38" t="e">
        <f t="shared" si="15"/>
        <v>#N/A</v>
      </c>
      <c r="X84" s="42" t="e">
        <f t="shared" si="16"/>
        <v>#N/A</v>
      </c>
      <c r="Y84" s="44" t="e">
        <f t="shared" si="17"/>
        <v>#N/A</v>
      </c>
    </row>
    <row r="85" spans="1:25">
      <c r="A85"/>
      <c r="B85"/>
      <c r="C85" s="6"/>
      <c r="D85"/>
      <c r="E85"/>
      <c r="F85"/>
      <c r="G85"/>
      <c r="H85"/>
      <c r="I85"/>
      <c r="P85" s="8" t="str">
        <f>IF(week_data!$Q85&lt;&gt;FALSE,P84+1,"")</f>
        <v/>
      </c>
      <c r="Q85" s="35" t="b">
        <f t="shared" si="9"/>
        <v>0</v>
      </c>
      <c r="R85" s="36" t="e">
        <f t="shared" si="10"/>
        <v>#N/A</v>
      </c>
      <c r="S85" s="37" t="e">
        <f t="shared" si="11"/>
        <v>#N/A</v>
      </c>
      <c r="T85" s="38" t="e">
        <f t="shared" si="12"/>
        <v>#N/A</v>
      </c>
      <c r="U85" s="37" t="e">
        <f t="shared" si="13"/>
        <v>#N/A</v>
      </c>
      <c r="V85" s="41" t="e">
        <f t="shared" si="14"/>
        <v>#N/A</v>
      </c>
      <c r="W85" s="38" t="e">
        <f t="shared" si="15"/>
        <v>#N/A</v>
      </c>
      <c r="X85" s="42" t="e">
        <f t="shared" si="16"/>
        <v>#N/A</v>
      </c>
      <c r="Y85" s="44" t="e">
        <f t="shared" si="17"/>
        <v>#N/A</v>
      </c>
    </row>
    <row r="86" spans="1:25">
      <c r="A86"/>
      <c r="B86"/>
      <c r="C86" s="6"/>
      <c r="D86"/>
      <c r="E86"/>
      <c r="F86"/>
      <c r="G86"/>
      <c r="H86"/>
      <c r="I86"/>
      <c r="P86" s="8" t="str">
        <f>IF(week_data!$Q86&lt;&gt;FALSE,P85+1,"")</f>
        <v/>
      </c>
      <c r="Q86" s="35" t="b">
        <f t="shared" si="9"/>
        <v>0</v>
      </c>
      <c r="R86" s="36" t="e">
        <f t="shared" si="10"/>
        <v>#N/A</v>
      </c>
      <c r="S86" s="37" t="e">
        <f t="shared" si="11"/>
        <v>#N/A</v>
      </c>
      <c r="T86" s="38" t="e">
        <f t="shared" si="12"/>
        <v>#N/A</v>
      </c>
      <c r="U86" s="37" t="e">
        <f t="shared" si="13"/>
        <v>#N/A</v>
      </c>
      <c r="V86" s="41" t="e">
        <f t="shared" si="14"/>
        <v>#N/A</v>
      </c>
      <c r="W86" s="38" t="e">
        <f t="shared" si="15"/>
        <v>#N/A</v>
      </c>
      <c r="X86" s="42" t="e">
        <f t="shared" si="16"/>
        <v>#N/A</v>
      </c>
      <c r="Y86" s="44" t="e">
        <f t="shared" si="17"/>
        <v>#N/A</v>
      </c>
    </row>
    <row r="87" spans="1:25">
      <c r="A87"/>
      <c r="B87"/>
      <c r="C87" s="6"/>
      <c r="D87"/>
      <c r="E87"/>
      <c r="F87"/>
      <c r="G87"/>
      <c r="H87"/>
      <c r="I87"/>
      <c r="P87" s="8" t="str">
        <f>IF(week_data!$Q87&lt;&gt;FALSE,P86+1,"")</f>
        <v/>
      </c>
      <c r="Q87" s="35" t="b">
        <f t="shared" si="9"/>
        <v>0</v>
      </c>
      <c r="R87" s="36" t="e">
        <f t="shared" si="10"/>
        <v>#N/A</v>
      </c>
      <c r="S87" s="37" t="e">
        <f t="shared" si="11"/>
        <v>#N/A</v>
      </c>
      <c r="T87" s="38" t="e">
        <f t="shared" si="12"/>
        <v>#N/A</v>
      </c>
      <c r="U87" s="37" t="e">
        <f t="shared" si="13"/>
        <v>#N/A</v>
      </c>
      <c r="V87" s="41" t="e">
        <f t="shared" si="14"/>
        <v>#N/A</v>
      </c>
      <c r="W87" s="38" t="e">
        <f t="shared" si="15"/>
        <v>#N/A</v>
      </c>
      <c r="X87" s="42" t="e">
        <f t="shared" si="16"/>
        <v>#N/A</v>
      </c>
      <c r="Y87" s="44" t="e">
        <f t="shared" si="17"/>
        <v>#N/A</v>
      </c>
    </row>
    <row r="88" spans="1:25">
      <c r="A88"/>
      <c r="B88"/>
      <c r="C88" s="6"/>
      <c r="D88"/>
      <c r="E88"/>
      <c r="F88"/>
      <c r="G88"/>
      <c r="H88"/>
      <c r="I88"/>
      <c r="P88" s="8" t="str">
        <f>IF(week_data!$Q88&lt;&gt;FALSE,P87+1,"")</f>
        <v/>
      </c>
      <c r="Q88" s="35" t="b">
        <f t="shared" si="9"/>
        <v>0</v>
      </c>
      <c r="R88" s="36" t="e">
        <f t="shared" si="10"/>
        <v>#N/A</v>
      </c>
      <c r="S88" s="37" t="e">
        <f t="shared" si="11"/>
        <v>#N/A</v>
      </c>
      <c r="T88" s="38" t="e">
        <f t="shared" si="12"/>
        <v>#N/A</v>
      </c>
      <c r="U88" s="37" t="e">
        <f t="shared" si="13"/>
        <v>#N/A</v>
      </c>
      <c r="V88" s="41" t="e">
        <f t="shared" si="14"/>
        <v>#N/A</v>
      </c>
      <c r="W88" s="38" t="e">
        <f t="shared" si="15"/>
        <v>#N/A</v>
      </c>
      <c r="X88" s="42" t="e">
        <f t="shared" si="16"/>
        <v>#N/A</v>
      </c>
      <c r="Y88" s="44" t="e">
        <f t="shared" si="17"/>
        <v>#N/A</v>
      </c>
    </row>
    <row r="89" spans="1:25">
      <c r="A89"/>
      <c r="B89"/>
      <c r="C89" s="6"/>
      <c r="D89"/>
      <c r="E89"/>
      <c r="F89"/>
      <c r="G89"/>
      <c r="H89"/>
      <c r="I89"/>
      <c r="P89" s="8" t="str">
        <f>IF(week_data!$Q89&lt;&gt;FALSE,P88+1,"")</f>
        <v/>
      </c>
      <c r="Q89" s="35" t="b">
        <f t="shared" si="9"/>
        <v>0</v>
      </c>
      <c r="R89" s="36" t="e">
        <f t="shared" si="10"/>
        <v>#N/A</v>
      </c>
      <c r="S89" s="37" t="e">
        <f t="shared" si="11"/>
        <v>#N/A</v>
      </c>
      <c r="T89" s="38" t="e">
        <f t="shared" si="12"/>
        <v>#N/A</v>
      </c>
      <c r="U89" s="37" t="e">
        <f t="shared" si="13"/>
        <v>#N/A</v>
      </c>
      <c r="V89" s="41" t="e">
        <f t="shared" si="14"/>
        <v>#N/A</v>
      </c>
      <c r="W89" s="38" t="e">
        <f t="shared" si="15"/>
        <v>#N/A</v>
      </c>
      <c r="X89" s="42" t="e">
        <f t="shared" si="16"/>
        <v>#N/A</v>
      </c>
      <c r="Y89" s="44" t="e">
        <f t="shared" si="17"/>
        <v>#N/A</v>
      </c>
    </row>
    <row r="90" spans="1:25">
      <c r="A90"/>
      <c r="B90"/>
      <c r="C90" s="6"/>
      <c r="D90"/>
      <c r="E90"/>
      <c r="F90"/>
      <c r="G90"/>
      <c r="H90"/>
      <c r="I90"/>
      <c r="P90" s="8" t="str">
        <f>IF(week_data!$Q90&lt;&gt;FALSE,P89+1,"")</f>
        <v/>
      </c>
      <c r="Q90" s="35" t="b">
        <f t="shared" si="9"/>
        <v>0</v>
      </c>
      <c r="R90" s="36" t="e">
        <f t="shared" si="10"/>
        <v>#N/A</v>
      </c>
      <c r="S90" s="37" t="e">
        <f t="shared" si="11"/>
        <v>#N/A</v>
      </c>
      <c r="T90" s="38" t="e">
        <f t="shared" si="12"/>
        <v>#N/A</v>
      </c>
      <c r="U90" s="37" t="e">
        <f t="shared" si="13"/>
        <v>#N/A</v>
      </c>
      <c r="V90" s="41" t="e">
        <f t="shared" si="14"/>
        <v>#N/A</v>
      </c>
      <c r="W90" s="38" t="e">
        <f t="shared" si="15"/>
        <v>#N/A</v>
      </c>
      <c r="X90" s="42" t="e">
        <f t="shared" si="16"/>
        <v>#N/A</v>
      </c>
      <c r="Y90" s="44" t="e">
        <f t="shared" si="17"/>
        <v>#N/A</v>
      </c>
    </row>
    <row r="91" spans="1:25">
      <c r="A91"/>
      <c r="B91"/>
      <c r="C91" s="6"/>
      <c r="D91"/>
      <c r="E91"/>
      <c r="F91"/>
      <c r="G91"/>
      <c r="H91"/>
      <c r="I91"/>
      <c r="P91" s="8" t="str">
        <f>IF(week_data!$Q91&lt;&gt;FALSE,P90+1,"")</f>
        <v/>
      </c>
      <c r="Q91" s="35" t="b">
        <f t="shared" si="9"/>
        <v>0</v>
      </c>
      <c r="R91" s="36" t="e">
        <f t="shared" si="10"/>
        <v>#N/A</v>
      </c>
      <c r="S91" s="37" t="e">
        <f t="shared" si="11"/>
        <v>#N/A</v>
      </c>
      <c r="T91" s="38" t="e">
        <f t="shared" si="12"/>
        <v>#N/A</v>
      </c>
      <c r="U91" s="37" t="e">
        <f t="shared" si="13"/>
        <v>#N/A</v>
      </c>
      <c r="V91" s="41" t="e">
        <f t="shared" si="14"/>
        <v>#N/A</v>
      </c>
      <c r="W91" s="38" t="e">
        <f t="shared" si="15"/>
        <v>#N/A</v>
      </c>
      <c r="X91" s="42" t="e">
        <f t="shared" si="16"/>
        <v>#N/A</v>
      </c>
      <c r="Y91" s="44" t="e">
        <f t="shared" si="17"/>
        <v>#N/A</v>
      </c>
    </row>
    <row r="92" spans="1:25">
      <c r="A92"/>
      <c r="B92"/>
      <c r="C92" s="6"/>
      <c r="D92"/>
      <c r="E92"/>
      <c r="F92"/>
      <c r="G92"/>
      <c r="H92"/>
      <c r="I92"/>
      <c r="P92" s="8" t="str">
        <f>IF(week_data!$Q92&lt;&gt;FALSE,P91+1,"")</f>
        <v/>
      </c>
      <c r="Q92" s="35" t="b">
        <f t="shared" si="9"/>
        <v>0</v>
      </c>
      <c r="R92" s="36" t="e">
        <f t="shared" si="10"/>
        <v>#N/A</v>
      </c>
      <c r="S92" s="37" t="e">
        <f t="shared" si="11"/>
        <v>#N/A</v>
      </c>
      <c r="T92" s="38" t="e">
        <f t="shared" si="12"/>
        <v>#N/A</v>
      </c>
      <c r="U92" s="37" t="e">
        <f t="shared" si="13"/>
        <v>#N/A</v>
      </c>
      <c r="V92" s="41" t="e">
        <f t="shared" si="14"/>
        <v>#N/A</v>
      </c>
      <c r="W92" s="38" t="e">
        <f t="shared" si="15"/>
        <v>#N/A</v>
      </c>
      <c r="X92" s="42" t="e">
        <f t="shared" si="16"/>
        <v>#N/A</v>
      </c>
      <c r="Y92" s="44" t="e">
        <f t="shared" si="17"/>
        <v>#N/A</v>
      </c>
    </row>
    <row r="93" spans="1:25">
      <c r="A93"/>
      <c r="B93"/>
      <c r="C93" s="6"/>
      <c r="D93"/>
      <c r="E93"/>
      <c r="F93"/>
      <c r="G93"/>
      <c r="H93"/>
      <c r="I93"/>
      <c r="P93" s="8" t="str">
        <f>IF(week_data!$Q93&lt;&gt;FALSE,P92+1,"")</f>
        <v/>
      </c>
      <c r="Q93" s="35" t="b">
        <f t="shared" si="9"/>
        <v>0</v>
      </c>
      <c r="R93" s="36" t="e">
        <f t="shared" si="10"/>
        <v>#N/A</v>
      </c>
      <c r="S93" s="37" t="e">
        <f t="shared" si="11"/>
        <v>#N/A</v>
      </c>
      <c r="T93" s="38" t="e">
        <f t="shared" si="12"/>
        <v>#N/A</v>
      </c>
      <c r="U93" s="37" t="e">
        <f t="shared" si="13"/>
        <v>#N/A</v>
      </c>
      <c r="V93" s="41" t="e">
        <f t="shared" si="14"/>
        <v>#N/A</v>
      </c>
      <c r="W93" s="38" t="e">
        <f t="shared" si="15"/>
        <v>#N/A</v>
      </c>
      <c r="X93" s="42" t="e">
        <f t="shared" si="16"/>
        <v>#N/A</v>
      </c>
      <c r="Y93" s="44" t="e">
        <f t="shared" si="17"/>
        <v>#N/A</v>
      </c>
    </row>
    <row r="94" spans="1:25">
      <c r="A94"/>
      <c r="B94"/>
      <c r="C94" s="6"/>
      <c r="D94"/>
      <c r="E94"/>
      <c r="F94"/>
      <c r="G94"/>
      <c r="H94"/>
      <c r="I94"/>
      <c r="P94" s="8" t="str">
        <f>IF(week_data!$Q94&lt;&gt;FALSE,P93+1,"")</f>
        <v/>
      </c>
      <c r="Q94" s="35" t="b">
        <f t="shared" si="9"/>
        <v>0</v>
      </c>
      <c r="R94" s="36" t="e">
        <f t="shared" si="10"/>
        <v>#N/A</v>
      </c>
      <c r="S94" s="37" t="e">
        <f t="shared" si="11"/>
        <v>#N/A</v>
      </c>
      <c r="T94" s="38" t="e">
        <f t="shared" si="12"/>
        <v>#N/A</v>
      </c>
      <c r="U94" s="37" t="e">
        <f t="shared" si="13"/>
        <v>#N/A</v>
      </c>
      <c r="V94" s="41" t="e">
        <f t="shared" si="14"/>
        <v>#N/A</v>
      </c>
      <c r="W94" s="38" t="e">
        <f t="shared" si="15"/>
        <v>#N/A</v>
      </c>
      <c r="X94" s="42" t="e">
        <f t="shared" si="16"/>
        <v>#N/A</v>
      </c>
      <c r="Y94" s="44" t="e">
        <f t="shared" si="17"/>
        <v>#N/A</v>
      </c>
    </row>
    <row r="95" spans="1:25">
      <c r="A95"/>
      <c r="B95"/>
      <c r="C95" s="6"/>
      <c r="D95"/>
      <c r="E95"/>
      <c r="F95"/>
      <c r="G95"/>
      <c r="H95"/>
      <c r="I95"/>
      <c r="P95" s="8" t="str">
        <f>IF(week_data!$Q95&lt;&gt;FALSE,P94+1,"")</f>
        <v/>
      </c>
      <c r="Q95" s="35" t="b">
        <f t="shared" si="9"/>
        <v>0</v>
      </c>
      <c r="R95" s="36" t="e">
        <f t="shared" si="10"/>
        <v>#N/A</v>
      </c>
      <c r="S95" s="37" t="e">
        <f t="shared" si="11"/>
        <v>#N/A</v>
      </c>
      <c r="T95" s="38" t="e">
        <f t="shared" si="12"/>
        <v>#N/A</v>
      </c>
      <c r="U95" s="37" t="e">
        <f t="shared" si="13"/>
        <v>#N/A</v>
      </c>
      <c r="V95" s="41" t="e">
        <f t="shared" si="14"/>
        <v>#N/A</v>
      </c>
      <c r="W95" s="38" t="e">
        <f t="shared" si="15"/>
        <v>#N/A</v>
      </c>
      <c r="X95" s="42" t="e">
        <f t="shared" si="16"/>
        <v>#N/A</v>
      </c>
      <c r="Y95" s="44" t="e">
        <f t="shared" si="17"/>
        <v>#N/A</v>
      </c>
    </row>
    <row r="96" spans="1:25">
      <c r="A96"/>
      <c r="B96"/>
      <c r="C96" s="6"/>
      <c r="D96"/>
      <c r="E96"/>
      <c r="F96"/>
      <c r="G96"/>
      <c r="H96"/>
      <c r="I96"/>
      <c r="P96" s="8" t="str">
        <f>IF(week_data!$Q96&lt;&gt;FALSE,P95+1,"")</f>
        <v/>
      </c>
      <c r="Q96" s="35" t="b">
        <f t="shared" si="9"/>
        <v>0</v>
      </c>
      <c r="R96" s="36" t="e">
        <f t="shared" si="10"/>
        <v>#N/A</v>
      </c>
      <c r="S96" s="37" t="e">
        <f t="shared" si="11"/>
        <v>#N/A</v>
      </c>
      <c r="T96" s="38" t="e">
        <f t="shared" si="12"/>
        <v>#N/A</v>
      </c>
      <c r="U96" s="37" t="e">
        <f t="shared" si="13"/>
        <v>#N/A</v>
      </c>
      <c r="V96" s="41" t="e">
        <f t="shared" si="14"/>
        <v>#N/A</v>
      </c>
      <c r="W96" s="38" t="e">
        <f t="shared" si="15"/>
        <v>#N/A</v>
      </c>
      <c r="X96" s="42" t="e">
        <f t="shared" si="16"/>
        <v>#N/A</v>
      </c>
      <c r="Y96" s="44" t="e">
        <f t="shared" si="17"/>
        <v>#N/A</v>
      </c>
    </row>
    <row r="97" spans="1:25">
      <c r="A97"/>
      <c r="B97"/>
      <c r="C97" s="6"/>
      <c r="D97"/>
      <c r="E97"/>
      <c r="F97"/>
      <c r="G97"/>
      <c r="H97"/>
      <c r="I97"/>
      <c r="P97" s="8" t="str">
        <f>IF(week_data!$Q97&lt;&gt;FALSE,P96+1,"")</f>
        <v/>
      </c>
      <c r="Q97" s="35" t="b">
        <f t="shared" si="9"/>
        <v>0</v>
      </c>
      <c r="R97" s="36" t="e">
        <f t="shared" si="10"/>
        <v>#N/A</v>
      </c>
      <c r="S97" s="37" t="e">
        <f t="shared" si="11"/>
        <v>#N/A</v>
      </c>
      <c r="T97" s="38" t="e">
        <f t="shared" si="12"/>
        <v>#N/A</v>
      </c>
      <c r="U97" s="37" t="e">
        <f t="shared" si="13"/>
        <v>#N/A</v>
      </c>
      <c r="V97" s="41" t="e">
        <f t="shared" si="14"/>
        <v>#N/A</v>
      </c>
      <c r="W97" s="38" t="e">
        <f t="shared" si="15"/>
        <v>#N/A</v>
      </c>
      <c r="X97" s="42" t="e">
        <f t="shared" si="16"/>
        <v>#N/A</v>
      </c>
      <c r="Y97" s="44" t="e">
        <f t="shared" si="17"/>
        <v>#N/A</v>
      </c>
    </row>
    <row r="98" spans="1:25">
      <c r="A98"/>
      <c r="B98"/>
      <c r="C98" s="6"/>
      <c r="D98"/>
      <c r="E98"/>
      <c r="F98"/>
      <c r="G98"/>
      <c r="H98"/>
      <c r="I98"/>
      <c r="P98" s="8" t="str">
        <f>IF(week_data!$Q98&lt;&gt;FALSE,P97+1,"")</f>
        <v/>
      </c>
      <c r="Q98" s="35" t="b">
        <f t="shared" si="9"/>
        <v>0</v>
      </c>
      <c r="R98" s="36" t="e">
        <f t="shared" si="10"/>
        <v>#N/A</v>
      </c>
      <c r="S98" s="37" t="e">
        <f t="shared" si="11"/>
        <v>#N/A</v>
      </c>
      <c r="T98" s="38" t="e">
        <f t="shared" si="12"/>
        <v>#N/A</v>
      </c>
      <c r="U98" s="37" t="e">
        <f t="shared" si="13"/>
        <v>#N/A</v>
      </c>
      <c r="V98" s="41" t="e">
        <f t="shared" si="14"/>
        <v>#N/A</v>
      </c>
      <c r="W98" s="38" t="e">
        <f t="shared" si="15"/>
        <v>#N/A</v>
      </c>
      <c r="X98" s="42" t="e">
        <f t="shared" si="16"/>
        <v>#N/A</v>
      </c>
      <c r="Y98" s="44" t="e">
        <f t="shared" si="17"/>
        <v>#N/A</v>
      </c>
    </row>
    <row r="99" spans="1:25">
      <c r="A99"/>
      <c r="B99"/>
      <c r="C99" s="6"/>
      <c r="D99"/>
      <c r="E99"/>
      <c r="F99"/>
      <c r="G99"/>
      <c r="H99"/>
      <c r="I99"/>
      <c r="P99" s="8" t="str">
        <f>IF(week_data!$Q99&lt;&gt;FALSE,P98+1,"")</f>
        <v/>
      </c>
      <c r="Q99" s="35" t="b">
        <f t="shared" si="9"/>
        <v>0</v>
      </c>
      <c r="R99" s="36" t="e">
        <f t="shared" si="10"/>
        <v>#N/A</v>
      </c>
      <c r="S99" s="37" t="e">
        <f t="shared" si="11"/>
        <v>#N/A</v>
      </c>
      <c r="T99" s="38" t="e">
        <f t="shared" si="12"/>
        <v>#N/A</v>
      </c>
      <c r="U99" s="37" t="e">
        <f t="shared" si="13"/>
        <v>#N/A</v>
      </c>
      <c r="V99" s="41" t="e">
        <f t="shared" si="14"/>
        <v>#N/A</v>
      </c>
      <c r="W99" s="38" t="e">
        <f t="shared" si="15"/>
        <v>#N/A</v>
      </c>
      <c r="X99" s="42" t="e">
        <f t="shared" si="16"/>
        <v>#N/A</v>
      </c>
      <c r="Y99" s="44" t="e">
        <f t="shared" si="17"/>
        <v>#N/A</v>
      </c>
    </row>
    <row r="100" spans="1:25">
      <c r="A100"/>
      <c r="B100"/>
      <c r="C100" s="6"/>
      <c r="D100"/>
      <c r="E100"/>
      <c r="F100"/>
      <c r="G100"/>
      <c r="H100"/>
      <c r="I100"/>
      <c r="P100" s="8" t="str">
        <f>IF(week_data!$Q100&lt;&gt;FALSE,P99+1,"")</f>
        <v/>
      </c>
      <c r="Q100" s="35" t="b">
        <f t="shared" si="9"/>
        <v>0</v>
      </c>
      <c r="R100" s="36" t="e">
        <f t="shared" si="10"/>
        <v>#N/A</v>
      </c>
      <c r="S100" s="37" t="e">
        <f t="shared" si="11"/>
        <v>#N/A</v>
      </c>
      <c r="T100" s="38" t="e">
        <f t="shared" si="12"/>
        <v>#N/A</v>
      </c>
      <c r="U100" s="37" t="e">
        <f t="shared" si="13"/>
        <v>#N/A</v>
      </c>
      <c r="V100" s="41" t="e">
        <f t="shared" si="14"/>
        <v>#N/A</v>
      </c>
      <c r="W100" s="38" t="e">
        <f t="shared" si="15"/>
        <v>#N/A</v>
      </c>
      <c r="X100" s="42" t="e">
        <f t="shared" si="16"/>
        <v>#N/A</v>
      </c>
      <c r="Y100" s="44" t="e">
        <f t="shared" si="17"/>
        <v>#N/A</v>
      </c>
    </row>
    <row r="101" spans="1:25">
      <c r="A101"/>
      <c r="B101"/>
      <c r="C101" s="6"/>
      <c r="D101"/>
      <c r="E101"/>
      <c r="F101"/>
      <c r="G101"/>
      <c r="H101"/>
      <c r="I101"/>
      <c r="P101" s="8" t="str">
        <f>IF(week_data!$Q101&lt;&gt;FALSE,P100+1,"")</f>
        <v/>
      </c>
      <c r="Q101" s="35" t="b">
        <f t="shared" si="9"/>
        <v>0</v>
      </c>
      <c r="R101" s="36" t="e">
        <f t="shared" si="10"/>
        <v>#N/A</v>
      </c>
      <c r="S101" s="37" t="e">
        <f t="shared" si="11"/>
        <v>#N/A</v>
      </c>
      <c r="T101" s="38" t="e">
        <f t="shared" si="12"/>
        <v>#N/A</v>
      </c>
      <c r="U101" s="37" t="e">
        <f t="shared" si="13"/>
        <v>#N/A</v>
      </c>
      <c r="V101" s="41" t="e">
        <f t="shared" si="14"/>
        <v>#N/A</v>
      </c>
      <c r="W101" s="38" t="e">
        <f t="shared" si="15"/>
        <v>#N/A</v>
      </c>
      <c r="X101" s="42" t="e">
        <f t="shared" si="16"/>
        <v>#N/A</v>
      </c>
      <c r="Y101" s="44" t="e">
        <f t="shared" si="17"/>
        <v>#N/A</v>
      </c>
    </row>
    <row r="102" spans="1:25">
      <c r="A102"/>
      <c r="B102"/>
      <c r="C102" s="6"/>
      <c r="D102"/>
      <c r="E102"/>
      <c r="F102"/>
      <c r="G102"/>
      <c r="H102"/>
      <c r="I102"/>
      <c r="P102" s="8" t="str">
        <f>IF(week_data!$Q102&lt;&gt;FALSE,P101+1,"")</f>
        <v/>
      </c>
      <c r="Q102" s="35" t="b">
        <f t="shared" si="9"/>
        <v>0</v>
      </c>
      <c r="R102" s="36" t="e">
        <f t="shared" si="10"/>
        <v>#N/A</v>
      </c>
      <c r="S102" s="37" t="e">
        <f t="shared" si="11"/>
        <v>#N/A</v>
      </c>
      <c r="T102" s="38" t="e">
        <f t="shared" si="12"/>
        <v>#N/A</v>
      </c>
      <c r="U102" s="37" t="e">
        <f t="shared" si="13"/>
        <v>#N/A</v>
      </c>
      <c r="V102" s="41" t="e">
        <f t="shared" si="14"/>
        <v>#N/A</v>
      </c>
      <c r="W102" s="38" t="e">
        <f t="shared" si="15"/>
        <v>#N/A</v>
      </c>
      <c r="X102" s="42" t="e">
        <f t="shared" si="16"/>
        <v>#N/A</v>
      </c>
      <c r="Y102" s="44" t="e">
        <f t="shared" si="17"/>
        <v>#N/A</v>
      </c>
    </row>
    <row r="103" spans="1:25">
      <c r="A103"/>
      <c r="B103"/>
      <c r="C103" s="6"/>
      <c r="D103"/>
      <c r="E103"/>
      <c r="F103"/>
      <c r="G103"/>
      <c r="H103"/>
      <c r="I103"/>
      <c r="P103" s="8" t="str">
        <f>IF(week_data!$Q103&lt;&gt;FALSE,P102+1,"")</f>
        <v/>
      </c>
      <c r="Q103" s="35" t="b">
        <f t="shared" si="9"/>
        <v>0</v>
      </c>
      <c r="R103" s="36" t="e">
        <f t="shared" si="10"/>
        <v>#N/A</v>
      </c>
      <c r="S103" s="37" t="e">
        <f t="shared" si="11"/>
        <v>#N/A</v>
      </c>
      <c r="T103" s="38" t="e">
        <f t="shared" si="12"/>
        <v>#N/A</v>
      </c>
      <c r="U103" s="37" t="e">
        <f t="shared" si="13"/>
        <v>#N/A</v>
      </c>
      <c r="V103" s="41" t="e">
        <f t="shared" si="14"/>
        <v>#N/A</v>
      </c>
      <c r="W103" s="38" t="e">
        <f t="shared" si="15"/>
        <v>#N/A</v>
      </c>
      <c r="X103" s="42" t="e">
        <f t="shared" si="16"/>
        <v>#N/A</v>
      </c>
      <c r="Y103" s="44" t="e">
        <f t="shared" si="17"/>
        <v>#N/A</v>
      </c>
    </row>
    <row r="104" spans="1:25">
      <c r="A104"/>
      <c r="B104"/>
      <c r="C104" s="6"/>
      <c r="D104"/>
      <c r="E104"/>
      <c r="F104"/>
      <c r="G104"/>
      <c r="H104"/>
      <c r="I104"/>
      <c r="P104" s="8" t="str">
        <f>IF(week_data!$Q104&lt;&gt;FALSE,P103+1,"")</f>
        <v/>
      </c>
      <c r="Q104" s="35" t="b">
        <f t="shared" si="9"/>
        <v>0</v>
      </c>
      <c r="R104" s="36" t="e">
        <f t="shared" si="10"/>
        <v>#N/A</v>
      </c>
      <c r="S104" s="37" t="e">
        <f t="shared" si="11"/>
        <v>#N/A</v>
      </c>
      <c r="T104" s="38" t="e">
        <f t="shared" si="12"/>
        <v>#N/A</v>
      </c>
      <c r="U104" s="37" t="e">
        <f t="shared" si="13"/>
        <v>#N/A</v>
      </c>
      <c r="V104" s="41" t="e">
        <f t="shared" si="14"/>
        <v>#N/A</v>
      </c>
      <c r="W104" s="38" t="e">
        <f t="shared" si="15"/>
        <v>#N/A</v>
      </c>
      <c r="X104" s="42" t="e">
        <f t="shared" si="16"/>
        <v>#N/A</v>
      </c>
      <c r="Y104" s="44" t="e">
        <f t="shared" si="17"/>
        <v>#N/A</v>
      </c>
    </row>
    <row r="105" spans="1:25">
      <c r="A105"/>
      <c r="B105"/>
      <c r="C105" s="6"/>
      <c r="D105"/>
      <c r="E105"/>
      <c r="F105"/>
      <c r="G105"/>
      <c r="H105"/>
      <c r="I105"/>
      <c r="P105" s="8" t="str">
        <f>IF(week_data!$Q105&lt;&gt;FALSE,P104+1,"")</f>
        <v/>
      </c>
      <c r="Q105" s="35" t="b">
        <f t="shared" si="9"/>
        <v>0</v>
      </c>
      <c r="R105" s="36" t="e">
        <f t="shared" si="10"/>
        <v>#N/A</v>
      </c>
      <c r="S105" s="37" t="e">
        <f t="shared" si="11"/>
        <v>#N/A</v>
      </c>
      <c r="T105" s="38" t="e">
        <f t="shared" si="12"/>
        <v>#N/A</v>
      </c>
      <c r="U105" s="37" t="e">
        <f t="shared" si="13"/>
        <v>#N/A</v>
      </c>
      <c r="V105" s="41" t="e">
        <f t="shared" si="14"/>
        <v>#N/A</v>
      </c>
      <c r="W105" s="38" t="e">
        <f t="shared" si="15"/>
        <v>#N/A</v>
      </c>
      <c r="X105" s="42" t="e">
        <f t="shared" si="16"/>
        <v>#N/A</v>
      </c>
      <c r="Y105" s="44" t="e">
        <f t="shared" si="17"/>
        <v>#N/A</v>
      </c>
    </row>
    <row r="106" spans="1:25">
      <c r="A106"/>
      <c r="B106"/>
      <c r="C106" s="6"/>
      <c r="D106"/>
      <c r="E106"/>
      <c r="F106"/>
      <c r="G106"/>
      <c r="H106"/>
      <c r="I106"/>
      <c r="P106" s="8" t="str">
        <f>IF(week_data!$Q106&lt;&gt;FALSE,P105+1,"")</f>
        <v/>
      </c>
      <c r="Q106" s="35" t="b">
        <f t="shared" si="9"/>
        <v>0</v>
      </c>
      <c r="R106" s="36" t="e">
        <f t="shared" si="10"/>
        <v>#N/A</v>
      </c>
      <c r="S106" s="37" t="e">
        <f t="shared" si="11"/>
        <v>#N/A</v>
      </c>
      <c r="T106" s="38" t="e">
        <f t="shared" si="12"/>
        <v>#N/A</v>
      </c>
      <c r="U106" s="37" t="e">
        <f t="shared" si="13"/>
        <v>#N/A</v>
      </c>
      <c r="V106" s="41" t="e">
        <f t="shared" si="14"/>
        <v>#N/A</v>
      </c>
      <c r="W106" s="38" t="e">
        <f t="shared" si="15"/>
        <v>#N/A</v>
      </c>
      <c r="X106" s="42" t="e">
        <f t="shared" si="16"/>
        <v>#N/A</v>
      </c>
      <c r="Y106" s="44" t="e">
        <f t="shared" si="17"/>
        <v>#N/A</v>
      </c>
    </row>
    <row r="107" spans="1:25">
      <c r="A107"/>
      <c r="B107"/>
      <c r="C107" s="6"/>
      <c r="D107"/>
      <c r="E107"/>
      <c r="F107"/>
      <c r="G107"/>
      <c r="H107"/>
      <c r="I107"/>
      <c r="P107" s="8" t="str">
        <f>IF(week_data!$Q107&lt;&gt;FALSE,P106+1,"")</f>
        <v/>
      </c>
      <c r="Q107" s="35" t="b">
        <f t="shared" si="9"/>
        <v>0</v>
      </c>
      <c r="R107" s="36" t="e">
        <f t="shared" si="10"/>
        <v>#N/A</v>
      </c>
      <c r="S107" s="37" t="e">
        <f t="shared" si="11"/>
        <v>#N/A</v>
      </c>
      <c r="T107" s="38" t="e">
        <f t="shared" si="12"/>
        <v>#N/A</v>
      </c>
      <c r="U107" s="37" t="e">
        <f t="shared" si="13"/>
        <v>#N/A</v>
      </c>
      <c r="V107" s="41" t="e">
        <f t="shared" si="14"/>
        <v>#N/A</v>
      </c>
      <c r="W107" s="38" t="e">
        <f t="shared" si="15"/>
        <v>#N/A</v>
      </c>
      <c r="X107" s="42" t="e">
        <f t="shared" si="16"/>
        <v>#N/A</v>
      </c>
      <c r="Y107" s="44" t="e">
        <f t="shared" si="17"/>
        <v>#N/A</v>
      </c>
    </row>
    <row r="108" spans="1:25">
      <c r="A108"/>
      <c r="B108"/>
      <c r="C108" s="6"/>
      <c r="D108"/>
      <c r="E108"/>
      <c r="F108"/>
      <c r="G108"/>
      <c r="H108"/>
      <c r="I108"/>
      <c r="P108" s="8" t="str">
        <f>IF(week_data!$Q108&lt;&gt;FALSE,P107+1,"")</f>
        <v/>
      </c>
      <c r="Q108" s="35" t="b">
        <f t="shared" si="9"/>
        <v>0</v>
      </c>
      <c r="R108" s="36" t="e">
        <f t="shared" si="10"/>
        <v>#N/A</v>
      </c>
      <c r="S108" s="37" t="e">
        <f t="shared" si="11"/>
        <v>#N/A</v>
      </c>
      <c r="T108" s="38" t="e">
        <f t="shared" si="12"/>
        <v>#N/A</v>
      </c>
      <c r="U108" s="37" t="e">
        <f t="shared" si="13"/>
        <v>#N/A</v>
      </c>
      <c r="V108" s="41" t="e">
        <f t="shared" si="14"/>
        <v>#N/A</v>
      </c>
      <c r="W108" s="38" t="e">
        <f t="shared" si="15"/>
        <v>#N/A</v>
      </c>
      <c r="X108" s="42" t="e">
        <f t="shared" si="16"/>
        <v>#N/A</v>
      </c>
      <c r="Y108" s="44" t="e">
        <f t="shared" si="17"/>
        <v>#N/A</v>
      </c>
    </row>
    <row r="109" spans="1:25">
      <c r="A109"/>
      <c r="B109"/>
      <c r="C109" s="6"/>
      <c r="D109"/>
      <c r="E109"/>
      <c r="F109"/>
      <c r="G109"/>
      <c r="H109"/>
      <c r="I109"/>
      <c r="P109" s="8" t="str">
        <f>IF(week_data!$Q109&lt;&gt;FALSE,P108+1,"")</f>
        <v/>
      </c>
      <c r="Q109" s="35" t="b">
        <f t="shared" si="9"/>
        <v>0</v>
      </c>
      <c r="R109" s="36" t="e">
        <f t="shared" si="10"/>
        <v>#N/A</v>
      </c>
      <c r="S109" s="37" t="e">
        <f t="shared" si="11"/>
        <v>#N/A</v>
      </c>
      <c r="T109" s="38" t="e">
        <f t="shared" si="12"/>
        <v>#N/A</v>
      </c>
      <c r="U109" s="37" t="e">
        <f t="shared" si="13"/>
        <v>#N/A</v>
      </c>
      <c r="V109" s="41" t="e">
        <f t="shared" si="14"/>
        <v>#N/A</v>
      </c>
      <c r="W109" s="38" t="e">
        <f t="shared" si="15"/>
        <v>#N/A</v>
      </c>
      <c r="X109" s="42" t="e">
        <f t="shared" si="16"/>
        <v>#N/A</v>
      </c>
      <c r="Y109" s="44" t="e">
        <f t="shared" si="17"/>
        <v>#N/A</v>
      </c>
    </row>
    <row r="110" spans="1:25">
      <c r="A110"/>
      <c r="B110"/>
      <c r="C110" s="6"/>
      <c r="D110"/>
      <c r="E110"/>
      <c r="F110"/>
      <c r="G110"/>
      <c r="H110"/>
      <c r="I110"/>
      <c r="P110" s="8" t="str">
        <f>IF(week_data!$Q110&lt;&gt;FALSE,P109+1,"")</f>
        <v/>
      </c>
      <c r="Q110" s="35" t="b">
        <f t="shared" si="9"/>
        <v>0</v>
      </c>
      <c r="R110" s="36" t="e">
        <f t="shared" si="10"/>
        <v>#N/A</v>
      </c>
      <c r="S110" s="37" t="e">
        <f t="shared" si="11"/>
        <v>#N/A</v>
      </c>
      <c r="T110" s="38" t="e">
        <f t="shared" si="12"/>
        <v>#N/A</v>
      </c>
      <c r="U110" s="37" t="e">
        <f t="shared" si="13"/>
        <v>#N/A</v>
      </c>
      <c r="V110" s="41" t="e">
        <f t="shared" si="14"/>
        <v>#N/A</v>
      </c>
      <c r="W110" s="38" t="e">
        <f t="shared" si="15"/>
        <v>#N/A</v>
      </c>
      <c r="X110" s="42" t="e">
        <f t="shared" si="16"/>
        <v>#N/A</v>
      </c>
      <c r="Y110" s="44" t="e">
        <f t="shared" si="17"/>
        <v>#N/A</v>
      </c>
    </row>
    <row r="111" spans="1:25">
      <c r="A111"/>
      <c r="B111"/>
      <c r="C111" s="6"/>
      <c r="D111"/>
      <c r="E111"/>
      <c r="F111"/>
      <c r="G111"/>
      <c r="H111"/>
      <c r="I111"/>
      <c r="P111" s="8" t="str">
        <f>IF(week_data!$Q111&lt;&gt;FALSE,P110+1,"")</f>
        <v/>
      </c>
      <c r="Q111" s="35" t="b">
        <f t="shared" si="9"/>
        <v>0</v>
      </c>
      <c r="R111" s="36" t="e">
        <f t="shared" si="10"/>
        <v>#N/A</v>
      </c>
      <c r="S111" s="37" t="e">
        <f t="shared" si="11"/>
        <v>#N/A</v>
      </c>
      <c r="T111" s="38" t="e">
        <f t="shared" si="12"/>
        <v>#N/A</v>
      </c>
      <c r="U111" s="37" t="e">
        <f t="shared" si="13"/>
        <v>#N/A</v>
      </c>
      <c r="V111" s="41" t="e">
        <f t="shared" si="14"/>
        <v>#N/A</v>
      </c>
      <c r="W111" s="38" t="e">
        <f t="shared" si="15"/>
        <v>#N/A</v>
      </c>
      <c r="X111" s="42" t="e">
        <f t="shared" si="16"/>
        <v>#N/A</v>
      </c>
      <c r="Y111" s="44" t="e">
        <f t="shared" si="17"/>
        <v>#N/A</v>
      </c>
    </row>
    <row r="112" spans="1:25">
      <c r="A112"/>
      <c r="B112"/>
      <c r="C112" s="6"/>
      <c r="D112"/>
      <c r="E112"/>
      <c r="F112"/>
      <c r="G112"/>
      <c r="H112"/>
      <c r="I112"/>
      <c r="P112" s="8" t="str">
        <f>IF(week_data!$Q112&lt;&gt;FALSE,P111+1,"")</f>
        <v/>
      </c>
      <c r="Q112" s="35" t="b">
        <f t="shared" si="9"/>
        <v>0</v>
      </c>
      <c r="R112" s="36" t="e">
        <f t="shared" si="10"/>
        <v>#N/A</v>
      </c>
      <c r="S112" s="37" t="e">
        <f t="shared" si="11"/>
        <v>#N/A</v>
      </c>
      <c r="T112" s="38" t="e">
        <f t="shared" si="12"/>
        <v>#N/A</v>
      </c>
      <c r="U112" s="37" t="e">
        <f t="shared" si="13"/>
        <v>#N/A</v>
      </c>
      <c r="V112" s="41" t="e">
        <f t="shared" si="14"/>
        <v>#N/A</v>
      </c>
      <c r="W112" s="38" t="e">
        <f t="shared" si="15"/>
        <v>#N/A</v>
      </c>
      <c r="X112" s="42" t="e">
        <f t="shared" si="16"/>
        <v>#N/A</v>
      </c>
      <c r="Y112" s="44" t="e">
        <f t="shared" si="17"/>
        <v>#N/A</v>
      </c>
    </row>
    <row r="113" spans="1:25">
      <c r="A113"/>
      <c r="B113"/>
      <c r="C113" s="6"/>
      <c r="D113"/>
      <c r="E113"/>
      <c r="F113"/>
      <c r="G113"/>
      <c r="H113"/>
      <c r="I113"/>
      <c r="P113" s="8" t="str">
        <f>IF(week_data!$Q113&lt;&gt;FALSE,P112+1,"")</f>
        <v/>
      </c>
      <c r="Q113" s="35" t="b">
        <f t="shared" si="9"/>
        <v>0</v>
      </c>
      <c r="R113" s="36" t="e">
        <f t="shared" si="10"/>
        <v>#N/A</v>
      </c>
      <c r="S113" s="37" t="e">
        <f t="shared" si="11"/>
        <v>#N/A</v>
      </c>
      <c r="T113" s="38" t="e">
        <f t="shared" si="12"/>
        <v>#N/A</v>
      </c>
      <c r="U113" s="37" t="e">
        <f t="shared" si="13"/>
        <v>#N/A</v>
      </c>
      <c r="V113" s="41" t="e">
        <f t="shared" si="14"/>
        <v>#N/A</v>
      </c>
      <c r="W113" s="38" t="e">
        <f t="shared" si="15"/>
        <v>#N/A</v>
      </c>
      <c r="X113" s="42" t="e">
        <f t="shared" si="16"/>
        <v>#N/A</v>
      </c>
      <c r="Y113" s="44" t="e">
        <f t="shared" si="17"/>
        <v>#N/A</v>
      </c>
    </row>
    <row r="114" spans="1:25">
      <c r="A114"/>
      <c r="B114"/>
      <c r="C114" s="6"/>
      <c r="D114"/>
      <c r="E114"/>
      <c r="F114"/>
      <c r="G114"/>
      <c r="H114"/>
      <c r="I114"/>
      <c r="P114" s="8" t="str">
        <f>IF(week_data!$Q114&lt;&gt;FALSE,P113+1,"")</f>
        <v/>
      </c>
      <c r="Q114" s="35" t="b">
        <f t="shared" si="9"/>
        <v>0</v>
      </c>
      <c r="R114" s="36" t="e">
        <f t="shared" si="10"/>
        <v>#N/A</v>
      </c>
      <c r="S114" s="37" t="e">
        <f t="shared" si="11"/>
        <v>#N/A</v>
      </c>
      <c r="T114" s="38" t="e">
        <f t="shared" si="12"/>
        <v>#N/A</v>
      </c>
      <c r="U114" s="37" t="e">
        <f t="shared" si="13"/>
        <v>#N/A</v>
      </c>
      <c r="V114" s="41" t="e">
        <f t="shared" si="14"/>
        <v>#N/A</v>
      </c>
      <c r="W114" s="38" t="e">
        <f t="shared" si="15"/>
        <v>#N/A</v>
      </c>
      <c r="X114" s="42" t="e">
        <f t="shared" si="16"/>
        <v>#N/A</v>
      </c>
      <c r="Y114" s="44" t="e">
        <f t="shared" si="17"/>
        <v>#N/A</v>
      </c>
    </row>
    <row r="115" spans="1:25">
      <c r="A115"/>
      <c r="B115"/>
      <c r="C115" s="6"/>
      <c r="D115"/>
      <c r="E115"/>
      <c r="F115"/>
      <c r="G115"/>
      <c r="H115"/>
      <c r="I115"/>
      <c r="P115" s="8" t="str">
        <f>IF(week_data!$Q115&lt;&gt;FALSE,P114+1,"")</f>
        <v/>
      </c>
      <c r="Q115" s="35" t="b">
        <f t="shared" si="9"/>
        <v>0</v>
      </c>
      <c r="R115" s="36" t="e">
        <f t="shared" si="10"/>
        <v>#N/A</v>
      </c>
      <c r="S115" s="37" t="e">
        <f t="shared" si="11"/>
        <v>#N/A</v>
      </c>
      <c r="T115" s="38" t="e">
        <f t="shared" si="12"/>
        <v>#N/A</v>
      </c>
      <c r="U115" s="37" t="e">
        <f t="shared" si="13"/>
        <v>#N/A</v>
      </c>
      <c r="V115" s="41" t="e">
        <f t="shared" si="14"/>
        <v>#N/A</v>
      </c>
      <c r="W115" s="38" t="e">
        <f t="shared" si="15"/>
        <v>#N/A</v>
      </c>
      <c r="X115" s="42" t="e">
        <f t="shared" si="16"/>
        <v>#N/A</v>
      </c>
      <c r="Y115" s="44" t="e">
        <f t="shared" si="17"/>
        <v>#N/A</v>
      </c>
    </row>
    <row r="116" spans="1:25">
      <c r="A116"/>
      <c r="B116"/>
      <c r="C116" s="6"/>
      <c r="D116"/>
      <c r="E116"/>
      <c r="F116"/>
      <c r="G116"/>
      <c r="H116"/>
      <c r="I116"/>
      <c r="P116" s="8" t="str">
        <f>IF(week_data!$Q116&lt;&gt;FALSE,P115+1,"")</f>
        <v/>
      </c>
      <c r="Q116" s="35" t="b">
        <f t="shared" si="9"/>
        <v>0</v>
      </c>
      <c r="R116" s="36" t="e">
        <f t="shared" si="10"/>
        <v>#N/A</v>
      </c>
      <c r="S116" s="37" t="e">
        <f t="shared" si="11"/>
        <v>#N/A</v>
      </c>
      <c r="T116" s="38" t="e">
        <f t="shared" si="12"/>
        <v>#N/A</v>
      </c>
      <c r="U116" s="37" t="e">
        <f t="shared" si="13"/>
        <v>#N/A</v>
      </c>
      <c r="V116" s="41" t="e">
        <f t="shared" si="14"/>
        <v>#N/A</v>
      </c>
      <c r="W116" s="38" t="e">
        <f t="shared" si="15"/>
        <v>#N/A</v>
      </c>
      <c r="X116" s="42" t="e">
        <f t="shared" si="16"/>
        <v>#N/A</v>
      </c>
      <c r="Y116" s="44" t="e">
        <f t="shared" si="17"/>
        <v>#N/A</v>
      </c>
    </row>
    <row r="117" spans="1:25">
      <c r="A117"/>
      <c r="B117"/>
      <c r="C117" s="6"/>
      <c r="D117"/>
      <c r="E117"/>
      <c r="F117"/>
      <c r="G117"/>
      <c r="H117"/>
      <c r="I117"/>
      <c r="P117" s="8" t="str">
        <f>IF(week_data!$Q117&lt;&gt;FALSE,P116+1,"")</f>
        <v/>
      </c>
      <c r="Q117" s="35" t="b">
        <f t="shared" si="9"/>
        <v>0</v>
      </c>
      <c r="R117" s="36" t="e">
        <f t="shared" si="10"/>
        <v>#N/A</v>
      </c>
      <c r="S117" s="37" t="e">
        <f t="shared" si="11"/>
        <v>#N/A</v>
      </c>
      <c r="T117" s="38" t="e">
        <f t="shared" si="12"/>
        <v>#N/A</v>
      </c>
      <c r="U117" s="37" t="e">
        <f t="shared" si="13"/>
        <v>#N/A</v>
      </c>
      <c r="V117" s="41" t="e">
        <f t="shared" si="14"/>
        <v>#N/A</v>
      </c>
      <c r="W117" s="38" t="e">
        <f t="shared" si="15"/>
        <v>#N/A</v>
      </c>
      <c r="X117" s="42" t="e">
        <f t="shared" si="16"/>
        <v>#N/A</v>
      </c>
      <c r="Y117" s="44" t="e">
        <f t="shared" si="17"/>
        <v>#N/A</v>
      </c>
    </row>
    <row r="118" spans="1:25">
      <c r="A118"/>
      <c r="B118"/>
      <c r="C118" s="6"/>
      <c r="D118"/>
      <c r="E118"/>
      <c r="F118"/>
      <c r="G118"/>
      <c r="H118"/>
      <c r="I118"/>
      <c r="P118" s="8" t="str">
        <f>IF(week_data!$Q118&lt;&gt;FALSE,P117+1,"")</f>
        <v/>
      </c>
      <c r="Q118" s="35" t="b">
        <f t="shared" si="9"/>
        <v>0</v>
      </c>
      <c r="R118" s="36" t="e">
        <f t="shared" si="10"/>
        <v>#N/A</v>
      </c>
      <c r="S118" s="37" t="e">
        <f t="shared" si="11"/>
        <v>#N/A</v>
      </c>
      <c r="T118" s="38" t="e">
        <f t="shared" si="12"/>
        <v>#N/A</v>
      </c>
      <c r="U118" s="37" t="e">
        <f t="shared" si="13"/>
        <v>#N/A</v>
      </c>
      <c r="V118" s="41" t="e">
        <f t="shared" si="14"/>
        <v>#N/A</v>
      </c>
      <c r="W118" s="38" t="e">
        <f t="shared" si="15"/>
        <v>#N/A</v>
      </c>
      <c r="X118" s="42" t="e">
        <f t="shared" si="16"/>
        <v>#N/A</v>
      </c>
      <c r="Y118" s="44" t="e">
        <f t="shared" si="17"/>
        <v>#N/A</v>
      </c>
    </row>
    <row r="119" spans="1:25">
      <c r="A119"/>
      <c r="B119"/>
      <c r="C119" s="6"/>
      <c r="D119"/>
      <c r="E119"/>
      <c r="F119"/>
      <c r="G119"/>
      <c r="H119"/>
      <c r="I119"/>
      <c r="P119" s="8" t="str">
        <f>IF(week_data!$Q119&lt;&gt;FALSE,P118+1,"")</f>
        <v/>
      </c>
      <c r="Q119" s="35" t="b">
        <f t="shared" si="9"/>
        <v>0</v>
      </c>
      <c r="R119" s="36" t="e">
        <f t="shared" si="10"/>
        <v>#N/A</v>
      </c>
      <c r="S119" s="37" t="e">
        <f t="shared" si="11"/>
        <v>#N/A</v>
      </c>
      <c r="T119" s="38" t="e">
        <f t="shared" si="12"/>
        <v>#N/A</v>
      </c>
      <c r="U119" s="37" t="e">
        <f t="shared" si="13"/>
        <v>#N/A</v>
      </c>
      <c r="V119" s="41" t="e">
        <f t="shared" si="14"/>
        <v>#N/A</v>
      </c>
      <c r="W119" s="38" t="e">
        <f t="shared" si="15"/>
        <v>#N/A</v>
      </c>
      <c r="X119" s="42" t="e">
        <f t="shared" si="16"/>
        <v>#N/A</v>
      </c>
      <c r="Y119" s="44" t="e">
        <f t="shared" si="17"/>
        <v>#N/A</v>
      </c>
    </row>
    <row r="120" spans="1:25">
      <c r="A120"/>
      <c r="B120"/>
      <c r="C120" s="6"/>
      <c r="D120"/>
      <c r="E120"/>
      <c r="F120"/>
      <c r="G120"/>
      <c r="H120"/>
      <c r="I120"/>
      <c r="P120" s="8" t="str">
        <f>IF(week_data!$Q120&lt;&gt;FALSE,P119+1,"")</f>
        <v/>
      </c>
      <c r="Q120" s="35" t="b">
        <f t="shared" si="9"/>
        <v>0</v>
      </c>
      <c r="R120" s="36" t="e">
        <f t="shared" si="10"/>
        <v>#N/A</v>
      </c>
      <c r="S120" s="37" t="e">
        <f t="shared" si="11"/>
        <v>#N/A</v>
      </c>
      <c r="T120" s="38" t="e">
        <f t="shared" si="12"/>
        <v>#N/A</v>
      </c>
      <c r="U120" s="37" t="e">
        <f t="shared" si="13"/>
        <v>#N/A</v>
      </c>
      <c r="V120" s="41" t="e">
        <f t="shared" si="14"/>
        <v>#N/A</v>
      </c>
      <c r="W120" s="38" t="e">
        <f t="shared" si="15"/>
        <v>#N/A</v>
      </c>
      <c r="X120" s="42" t="e">
        <f t="shared" si="16"/>
        <v>#N/A</v>
      </c>
      <c r="Y120" s="44" t="e">
        <f t="shared" si="17"/>
        <v>#N/A</v>
      </c>
    </row>
    <row r="121" spans="1:25">
      <c r="A121"/>
      <c r="B121"/>
      <c r="C121" s="6"/>
      <c r="D121"/>
      <c r="E121"/>
      <c r="F121"/>
      <c r="G121"/>
      <c r="H121"/>
      <c r="I121"/>
      <c r="P121" s="8" t="str">
        <f>IF(week_data!$Q121&lt;&gt;FALSE,P120+1,"")</f>
        <v/>
      </c>
      <c r="Q121" s="35" t="b">
        <f t="shared" si="9"/>
        <v>0</v>
      </c>
      <c r="R121" s="36" t="e">
        <f t="shared" si="10"/>
        <v>#N/A</v>
      </c>
      <c r="S121" s="37" t="e">
        <f t="shared" si="11"/>
        <v>#N/A</v>
      </c>
      <c r="T121" s="38" t="e">
        <f t="shared" si="12"/>
        <v>#N/A</v>
      </c>
      <c r="U121" s="37" t="e">
        <f t="shared" si="13"/>
        <v>#N/A</v>
      </c>
      <c r="V121" s="41" t="e">
        <f t="shared" si="14"/>
        <v>#N/A</v>
      </c>
      <c r="W121" s="38" t="e">
        <f t="shared" si="15"/>
        <v>#N/A</v>
      </c>
      <c r="X121" s="42" t="e">
        <f t="shared" si="16"/>
        <v>#N/A</v>
      </c>
      <c r="Y121" s="44" t="e">
        <f t="shared" si="17"/>
        <v>#N/A</v>
      </c>
    </row>
    <row r="122" spans="1:25">
      <c r="A122"/>
      <c r="B122"/>
      <c r="C122" s="6"/>
      <c r="D122"/>
      <c r="E122"/>
      <c r="F122"/>
      <c r="G122"/>
      <c r="H122"/>
      <c r="I122"/>
      <c r="P122" s="8" t="str">
        <f>IF(week_data!$Q122&lt;&gt;FALSE,P121+1,"")</f>
        <v/>
      </c>
      <c r="Q122" s="35" t="b">
        <f t="shared" si="9"/>
        <v>0</v>
      </c>
      <c r="R122" s="36" t="e">
        <f t="shared" si="10"/>
        <v>#N/A</v>
      </c>
      <c r="S122" s="37" t="e">
        <f t="shared" si="11"/>
        <v>#N/A</v>
      </c>
      <c r="T122" s="38" t="e">
        <f t="shared" si="12"/>
        <v>#N/A</v>
      </c>
      <c r="U122" s="37" t="e">
        <f t="shared" si="13"/>
        <v>#N/A</v>
      </c>
      <c r="V122" s="41" t="e">
        <f t="shared" si="14"/>
        <v>#N/A</v>
      </c>
      <c r="W122" s="38" t="e">
        <f t="shared" si="15"/>
        <v>#N/A</v>
      </c>
      <c r="X122" s="42" t="e">
        <f t="shared" si="16"/>
        <v>#N/A</v>
      </c>
      <c r="Y122" s="44" t="e">
        <f t="shared" si="17"/>
        <v>#N/A</v>
      </c>
    </row>
    <row r="123" spans="1:25">
      <c r="A123"/>
      <c r="B123"/>
      <c r="C123" s="6"/>
      <c r="D123"/>
      <c r="E123"/>
      <c r="F123"/>
      <c r="G123"/>
      <c r="H123"/>
      <c r="I123"/>
      <c r="P123" s="8" t="str">
        <f>IF(week_data!$Q123&lt;&gt;FALSE,P122+1,"")</f>
        <v/>
      </c>
      <c r="Q123" s="35" t="b">
        <f t="shared" si="9"/>
        <v>0</v>
      </c>
      <c r="R123" s="36" t="e">
        <f t="shared" si="10"/>
        <v>#N/A</v>
      </c>
      <c r="S123" s="37" t="e">
        <f t="shared" si="11"/>
        <v>#N/A</v>
      </c>
      <c r="T123" s="38" t="e">
        <f t="shared" si="12"/>
        <v>#N/A</v>
      </c>
      <c r="U123" s="37" t="e">
        <f t="shared" si="13"/>
        <v>#N/A</v>
      </c>
      <c r="V123" s="41" t="e">
        <f t="shared" si="14"/>
        <v>#N/A</v>
      </c>
      <c r="W123" s="38" t="e">
        <f t="shared" si="15"/>
        <v>#N/A</v>
      </c>
      <c r="X123" s="42" t="e">
        <f t="shared" si="16"/>
        <v>#N/A</v>
      </c>
      <c r="Y123" s="44" t="e">
        <f t="shared" si="17"/>
        <v>#N/A</v>
      </c>
    </row>
    <row r="124" spans="1:25">
      <c r="A124"/>
      <c r="B124"/>
      <c r="C124" s="6"/>
      <c r="D124"/>
      <c r="E124"/>
      <c r="F124"/>
      <c r="G124"/>
      <c r="H124"/>
      <c r="I124"/>
      <c r="P124" s="8" t="str">
        <f>IF(week_data!$Q124&lt;&gt;FALSE,P123+1,"")</f>
        <v/>
      </c>
      <c r="Q124" s="35" t="b">
        <f t="shared" si="9"/>
        <v>0</v>
      </c>
      <c r="R124" s="36" t="e">
        <f t="shared" si="10"/>
        <v>#N/A</v>
      </c>
      <c r="S124" s="37" t="e">
        <f t="shared" si="11"/>
        <v>#N/A</v>
      </c>
      <c r="T124" s="38" t="e">
        <f t="shared" si="12"/>
        <v>#N/A</v>
      </c>
      <c r="U124" s="37" t="e">
        <f t="shared" si="13"/>
        <v>#N/A</v>
      </c>
      <c r="V124" s="41" t="e">
        <f t="shared" si="14"/>
        <v>#N/A</v>
      </c>
      <c r="W124" s="38" t="e">
        <f t="shared" si="15"/>
        <v>#N/A</v>
      </c>
      <c r="X124" s="42" t="e">
        <f t="shared" si="16"/>
        <v>#N/A</v>
      </c>
      <c r="Y124" s="44" t="e">
        <f t="shared" si="17"/>
        <v>#N/A</v>
      </c>
    </row>
    <row r="125" spans="1:25">
      <c r="A125"/>
      <c r="B125"/>
      <c r="C125" s="6"/>
      <c r="D125"/>
      <c r="E125"/>
      <c r="F125"/>
      <c r="G125"/>
      <c r="H125"/>
      <c r="I125"/>
      <c r="P125" s="8" t="str">
        <f>IF(week_data!$Q125&lt;&gt;FALSE,P124+1,"")</f>
        <v/>
      </c>
      <c r="Q125" s="35" t="b">
        <f t="shared" si="9"/>
        <v>0</v>
      </c>
      <c r="R125" s="36" t="e">
        <f t="shared" si="10"/>
        <v>#N/A</v>
      </c>
      <c r="S125" s="37" t="e">
        <f t="shared" si="11"/>
        <v>#N/A</v>
      </c>
      <c r="T125" s="38" t="e">
        <f t="shared" si="12"/>
        <v>#N/A</v>
      </c>
      <c r="U125" s="37" t="e">
        <f t="shared" si="13"/>
        <v>#N/A</v>
      </c>
      <c r="V125" s="41" t="e">
        <f t="shared" si="14"/>
        <v>#N/A</v>
      </c>
      <c r="W125" s="38" t="e">
        <f t="shared" si="15"/>
        <v>#N/A</v>
      </c>
      <c r="X125" s="42" t="e">
        <f t="shared" si="16"/>
        <v>#N/A</v>
      </c>
      <c r="Y125" s="44" t="e">
        <f t="shared" si="17"/>
        <v>#N/A</v>
      </c>
    </row>
    <row r="126" spans="1:25">
      <c r="A126"/>
      <c r="B126"/>
      <c r="C126" s="6"/>
      <c r="D126"/>
      <c r="E126"/>
      <c r="F126"/>
      <c r="G126"/>
      <c r="H126"/>
      <c r="I126"/>
      <c r="P126" s="8" t="str">
        <f>IF(week_data!$Q126&lt;&gt;FALSE,P125+1,"")</f>
        <v/>
      </c>
      <c r="Q126" s="35" t="b">
        <f t="shared" si="9"/>
        <v>0</v>
      </c>
      <c r="R126" s="36" t="e">
        <f t="shared" si="10"/>
        <v>#N/A</v>
      </c>
      <c r="S126" s="37" t="e">
        <f t="shared" si="11"/>
        <v>#N/A</v>
      </c>
      <c r="T126" s="38" t="e">
        <f t="shared" si="12"/>
        <v>#N/A</v>
      </c>
      <c r="U126" s="37" t="e">
        <f t="shared" si="13"/>
        <v>#N/A</v>
      </c>
      <c r="V126" s="41" t="e">
        <f t="shared" si="14"/>
        <v>#N/A</v>
      </c>
      <c r="W126" s="38" t="e">
        <f t="shared" si="15"/>
        <v>#N/A</v>
      </c>
      <c r="X126" s="42" t="e">
        <f t="shared" si="16"/>
        <v>#N/A</v>
      </c>
      <c r="Y126" s="44" t="e">
        <f t="shared" si="17"/>
        <v>#N/A</v>
      </c>
    </row>
    <row r="127" spans="1:25">
      <c r="A127"/>
      <c r="B127"/>
      <c r="C127" s="6"/>
      <c r="D127"/>
      <c r="E127"/>
      <c r="F127"/>
      <c r="G127"/>
      <c r="H127"/>
      <c r="I127"/>
      <c r="P127" s="8" t="str">
        <f>IF(week_data!$Q127&lt;&gt;FALSE,P126+1,"")</f>
        <v/>
      </c>
      <c r="Q127" s="35" t="b">
        <f t="shared" si="9"/>
        <v>0</v>
      </c>
      <c r="R127" s="36" t="e">
        <f t="shared" si="10"/>
        <v>#N/A</v>
      </c>
      <c r="S127" s="37" t="e">
        <f t="shared" si="11"/>
        <v>#N/A</v>
      </c>
      <c r="T127" s="38" t="e">
        <f t="shared" si="12"/>
        <v>#N/A</v>
      </c>
      <c r="U127" s="37" t="e">
        <f t="shared" si="13"/>
        <v>#N/A</v>
      </c>
      <c r="V127" s="41" t="e">
        <f t="shared" si="14"/>
        <v>#N/A</v>
      </c>
      <c r="W127" s="38" t="e">
        <f t="shared" si="15"/>
        <v>#N/A</v>
      </c>
      <c r="X127" s="42" t="e">
        <f t="shared" si="16"/>
        <v>#N/A</v>
      </c>
      <c r="Y127" s="44" t="e">
        <f t="shared" si="17"/>
        <v>#N/A</v>
      </c>
    </row>
    <row r="128" spans="1:25">
      <c r="A128"/>
      <c r="B128"/>
      <c r="C128" s="6"/>
      <c r="D128"/>
      <c r="E128"/>
      <c r="F128"/>
      <c r="G128"/>
      <c r="H128"/>
      <c r="I128"/>
      <c r="P128" s="8" t="str">
        <f>IF(week_data!$Q128&lt;&gt;FALSE,P127+1,"")</f>
        <v/>
      </c>
      <c r="Q128" s="35" t="b">
        <f t="shared" si="9"/>
        <v>0</v>
      </c>
      <c r="R128" s="36" t="e">
        <f t="shared" si="10"/>
        <v>#N/A</v>
      </c>
      <c r="S128" s="37" t="e">
        <f t="shared" si="11"/>
        <v>#N/A</v>
      </c>
      <c r="T128" s="38" t="e">
        <f t="shared" si="12"/>
        <v>#N/A</v>
      </c>
      <c r="U128" s="37" t="e">
        <f t="shared" si="13"/>
        <v>#N/A</v>
      </c>
      <c r="V128" s="41" t="e">
        <f t="shared" si="14"/>
        <v>#N/A</v>
      </c>
      <c r="W128" s="38" t="e">
        <f t="shared" si="15"/>
        <v>#N/A</v>
      </c>
      <c r="X128" s="42" t="e">
        <f t="shared" si="16"/>
        <v>#N/A</v>
      </c>
      <c r="Y128" s="44" t="e">
        <f t="shared" si="17"/>
        <v>#N/A</v>
      </c>
    </row>
    <row r="129" spans="1:25">
      <c r="A129"/>
      <c r="B129"/>
      <c r="C129" s="6"/>
      <c r="D129"/>
      <c r="E129"/>
      <c r="F129"/>
      <c r="G129"/>
      <c r="H129"/>
      <c r="I129"/>
      <c r="P129" s="8" t="str">
        <f>IF(week_data!$Q129&lt;&gt;FALSE,P128+1,"")</f>
        <v/>
      </c>
      <c r="Q129" s="35" t="b">
        <f t="shared" si="9"/>
        <v>0</v>
      </c>
      <c r="R129" s="36" t="e">
        <f t="shared" si="10"/>
        <v>#N/A</v>
      </c>
      <c r="S129" s="37" t="e">
        <f t="shared" si="11"/>
        <v>#N/A</v>
      </c>
      <c r="T129" s="38" t="e">
        <f t="shared" si="12"/>
        <v>#N/A</v>
      </c>
      <c r="U129" s="37" t="e">
        <f t="shared" si="13"/>
        <v>#N/A</v>
      </c>
      <c r="V129" s="41" t="e">
        <f t="shared" si="14"/>
        <v>#N/A</v>
      </c>
      <c r="W129" s="38" t="e">
        <f t="shared" si="15"/>
        <v>#N/A</v>
      </c>
      <c r="X129" s="42" t="e">
        <f t="shared" si="16"/>
        <v>#N/A</v>
      </c>
      <c r="Y129" s="44" t="e">
        <f t="shared" si="17"/>
        <v>#N/A</v>
      </c>
    </row>
    <row r="130" spans="1:25">
      <c r="A130"/>
      <c r="B130"/>
      <c r="C130" s="6"/>
      <c r="D130"/>
      <c r="E130"/>
      <c r="F130"/>
      <c r="G130"/>
      <c r="H130"/>
      <c r="I130"/>
      <c r="P130" s="8" t="str">
        <f>IF(week_data!$Q130&lt;&gt;FALSE,P129+1,"")</f>
        <v/>
      </c>
      <c r="Q130" s="35" t="b">
        <f t="shared" si="9"/>
        <v>0</v>
      </c>
      <c r="R130" s="36" t="e">
        <f t="shared" si="10"/>
        <v>#N/A</v>
      </c>
      <c r="S130" s="37" t="e">
        <f t="shared" si="11"/>
        <v>#N/A</v>
      </c>
      <c r="T130" s="38" t="e">
        <f t="shared" si="12"/>
        <v>#N/A</v>
      </c>
      <c r="U130" s="37" t="e">
        <f t="shared" si="13"/>
        <v>#N/A</v>
      </c>
      <c r="V130" s="41" t="e">
        <f t="shared" si="14"/>
        <v>#N/A</v>
      </c>
      <c r="W130" s="38" t="e">
        <f t="shared" si="15"/>
        <v>#N/A</v>
      </c>
      <c r="X130" s="42" t="e">
        <f t="shared" si="16"/>
        <v>#N/A</v>
      </c>
      <c r="Y130" s="44" t="e">
        <f t="shared" si="17"/>
        <v>#N/A</v>
      </c>
    </row>
    <row r="131" spans="1:25">
      <c r="A131"/>
      <c r="B131"/>
      <c r="C131" s="6"/>
      <c r="D131"/>
      <c r="E131"/>
      <c r="F131"/>
      <c r="G131"/>
      <c r="H131"/>
      <c r="I131"/>
      <c r="P131" s="8" t="str">
        <f>IF(week_data!$Q131&lt;&gt;FALSE,P130+1,"")</f>
        <v/>
      </c>
      <c r="Q131" s="35" t="b">
        <f t="shared" ref="Q131:Q140" si="18">IF(ROW(Q131)&gt;$K$1+1,FALSE,IF(A131&lt;&gt;"",A131,FALSE))</f>
        <v>0</v>
      </c>
      <c r="R131" s="36" t="e">
        <f t="shared" ref="R131:R140" si="19">IF($M$1,IF(B131&lt;&gt;"",B131,NA()),NA())</f>
        <v>#N/A</v>
      </c>
      <c r="S131" s="37" t="e">
        <f t="shared" ref="S131:S140" si="20">IF($M$2,IF(C131&lt;&gt;"",C131,NA()),NA())</f>
        <v>#N/A</v>
      </c>
      <c r="T131" s="38" t="e">
        <f t="shared" ref="T131:T140" si="21">IF($M$3,IF(D131&lt;&gt;"",D131,NA()),NA())</f>
        <v>#N/A</v>
      </c>
      <c r="U131" s="37" t="e">
        <f t="shared" ref="U131:U140" si="22">IF($M$4,IF(E131&lt;&gt;"",E131,NA()),NA())</f>
        <v>#N/A</v>
      </c>
      <c r="V131" s="41" t="e">
        <f t="shared" ref="V131:V140" si="23">IF($M$5,IF(G131&lt;&gt;"",G131,NA()),NA())</f>
        <v>#N/A</v>
      </c>
      <c r="W131" s="38" t="e">
        <f t="shared" ref="W131:W140" si="24">IF($M$6,IF(F131&lt;&gt;"",F131,NA()),NA())</f>
        <v>#N/A</v>
      </c>
      <c r="X131" s="42" t="e">
        <f t="shared" ref="X131:X140" si="25">IF($M$7,IF(H131&lt;&gt;"",H131,NA()),NA())</f>
        <v>#N/A</v>
      </c>
      <c r="Y131" s="44" t="e">
        <f t="shared" ref="Y131:Y140" si="26">IF($M$8,IF(I131&lt;&gt;"",I131,NA()),NA())</f>
        <v>#N/A</v>
      </c>
    </row>
    <row r="132" spans="1:25">
      <c r="A132"/>
      <c r="B132"/>
      <c r="C132" s="6"/>
      <c r="D132"/>
      <c r="E132"/>
      <c r="F132"/>
      <c r="G132"/>
      <c r="H132"/>
      <c r="I132"/>
      <c r="P132" s="8" t="str">
        <f>IF(week_data!$Q132&lt;&gt;FALSE,P131+1,"")</f>
        <v/>
      </c>
      <c r="Q132" s="35" t="b">
        <f t="shared" si="18"/>
        <v>0</v>
      </c>
      <c r="R132" s="36" t="e">
        <f t="shared" si="19"/>
        <v>#N/A</v>
      </c>
      <c r="S132" s="37" t="e">
        <f t="shared" si="20"/>
        <v>#N/A</v>
      </c>
      <c r="T132" s="38" t="e">
        <f t="shared" si="21"/>
        <v>#N/A</v>
      </c>
      <c r="U132" s="37" t="e">
        <f t="shared" si="22"/>
        <v>#N/A</v>
      </c>
      <c r="V132" s="41" t="e">
        <f t="shared" si="23"/>
        <v>#N/A</v>
      </c>
      <c r="W132" s="38" t="e">
        <f t="shared" si="24"/>
        <v>#N/A</v>
      </c>
      <c r="X132" s="42" t="e">
        <f t="shared" si="25"/>
        <v>#N/A</v>
      </c>
      <c r="Y132" s="44" t="e">
        <f t="shared" si="26"/>
        <v>#N/A</v>
      </c>
    </row>
    <row r="133" spans="1:25">
      <c r="A133"/>
      <c r="B133"/>
      <c r="C133" s="6"/>
      <c r="D133"/>
      <c r="E133"/>
      <c r="F133"/>
      <c r="G133"/>
      <c r="H133"/>
      <c r="I133"/>
      <c r="P133" s="8" t="str">
        <f>IF(week_data!$Q133&lt;&gt;FALSE,P132+1,"")</f>
        <v/>
      </c>
      <c r="Q133" s="35" t="b">
        <f t="shared" si="18"/>
        <v>0</v>
      </c>
      <c r="R133" s="36" t="e">
        <f t="shared" si="19"/>
        <v>#N/A</v>
      </c>
      <c r="S133" s="37" t="e">
        <f t="shared" si="20"/>
        <v>#N/A</v>
      </c>
      <c r="T133" s="38" t="e">
        <f t="shared" si="21"/>
        <v>#N/A</v>
      </c>
      <c r="U133" s="37" t="e">
        <f t="shared" si="22"/>
        <v>#N/A</v>
      </c>
      <c r="V133" s="41" t="e">
        <f t="shared" si="23"/>
        <v>#N/A</v>
      </c>
      <c r="W133" s="38" t="e">
        <f t="shared" si="24"/>
        <v>#N/A</v>
      </c>
      <c r="X133" s="42" t="e">
        <f t="shared" si="25"/>
        <v>#N/A</v>
      </c>
      <c r="Y133" s="44" t="e">
        <f t="shared" si="26"/>
        <v>#N/A</v>
      </c>
    </row>
    <row r="134" spans="1:25">
      <c r="A134"/>
      <c r="B134"/>
      <c r="C134" s="6"/>
      <c r="D134"/>
      <c r="E134"/>
      <c r="F134"/>
      <c r="G134"/>
      <c r="H134"/>
      <c r="I134"/>
      <c r="P134" s="8" t="str">
        <f>IF(week_data!$Q134&lt;&gt;FALSE,P133+1,"")</f>
        <v/>
      </c>
      <c r="Q134" s="35" t="b">
        <f t="shared" si="18"/>
        <v>0</v>
      </c>
      <c r="R134" s="36" t="e">
        <f t="shared" si="19"/>
        <v>#N/A</v>
      </c>
      <c r="S134" s="37" t="e">
        <f t="shared" si="20"/>
        <v>#N/A</v>
      </c>
      <c r="T134" s="38" t="e">
        <f t="shared" si="21"/>
        <v>#N/A</v>
      </c>
      <c r="U134" s="37" t="e">
        <f t="shared" si="22"/>
        <v>#N/A</v>
      </c>
      <c r="V134" s="41" t="e">
        <f t="shared" si="23"/>
        <v>#N/A</v>
      </c>
      <c r="W134" s="38" t="e">
        <f t="shared" si="24"/>
        <v>#N/A</v>
      </c>
      <c r="X134" s="42" t="e">
        <f t="shared" si="25"/>
        <v>#N/A</v>
      </c>
      <c r="Y134" s="44" t="e">
        <f t="shared" si="26"/>
        <v>#N/A</v>
      </c>
    </row>
    <row r="135" spans="1:25">
      <c r="A135"/>
      <c r="B135"/>
      <c r="C135" s="6"/>
      <c r="D135"/>
      <c r="E135"/>
      <c r="F135"/>
      <c r="G135"/>
      <c r="H135"/>
      <c r="I135"/>
      <c r="P135" s="8" t="str">
        <f>IF(week_data!$Q135&lt;&gt;FALSE,P134+1,"")</f>
        <v/>
      </c>
      <c r="Q135" s="35" t="b">
        <f t="shared" si="18"/>
        <v>0</v>
      </c>
      <c r="R135" s="36" t="e">
        <f t="shared" si="19"/>
        <v>#N/A</v>
      </c>
      <c r="S135" s="37" t="e">
        <f t="shared" si="20"/>
        <v>#N/A</v>
      </c>
      <c r="T135" s="38" t="e">
        <f t="shared" si="21"/>
        <v>#N/A</v>
      </c>
      <c r="U135" s="37" t="e">
        <f t="shared" si="22"/>
        <v>#N/A</v>
      </c>
      <c r="V135" s="41" t="e">
        <f t="shared" si="23"/>
        <v>#N/A</v>
      </c>
      <c r="W135" s="38" t="e">
        <f t="shared" si="24"/>
        <v>#N/A</v>
      </c>
      <c r="X135" s="42" t="e">
        <f t="shared" si="25"/>
        <v>#N/A</v>
      </c>
      <c r="Y135" s="44" t="e">
        <f t="shared" si="26"/>
        <v>#N/A</v>
      </c>
    </row>
    <row r="136" spans="1:25">
      <c r="A136"/>
      <c r="B136"/>
      <c r="C136" s="6"/>
      <c r="D136"/>
      <c r="E136"/>
      <c r="F136"/>
      <c r="G136"/>
      <c r="H136"/>
      <c r="I136"/>
      <c r="P136" s="8" t="str">
        <f>IF(week_data!$Q136&lt;&gt;FALSE,P135+1,"")</f>
        <v/>
      </c>
      <c r="Q136" s="35" t="b">
        <f t="shared" si="18"/>
        <v>0</v>
      </c>
      <c r="R136" s="36" t="e">
        <f t="shared" si="19"/>
        <v>#N/A</v>
      </c>
      <c r="S136" s="37" t="e">
        <f t="shared" si="20"/>
        <v>#N/A</v>
      </c>
      <c r="T136" s="38" t="e">
        <f t="shared" si="21"/>
        <v>#N/A</v>
      </c>
      <c r="U136" s="37" t="e">
        <f t="shared" si="22"/>
        <v>#N/A</v>
      </c>
      <c r="V136" s="41" t="e">
        <f t="shared" si="23"/>
        <v>#N/A</v>
      </c>
      <c r="W136" s="38" t="e">
        <f t="shared" si="24"/>
        <v>#N/A</v>
      </c>
      <c r="X136" s="42" t="e">
        <f t="shared" si="25"/>
        <v>#N/A</v>
      </c>
      <c r="Y136" s="44" t="e">
        <f t="shared" si="26"/>
        <v>#N/A</v>
      </c>
    </row>
    <row r="137" spans="1:25">
      <c r="A137"/>
      <c r="B137"/>
      <c r="C137" s="6"/>
      <c r="D137"/>
      <c r="E137"/>
      <c r="F137"/>
      <c r="G137"/>
      <c r="H137"/>
      <c r="I137"/>
      <c r="P137" s="8" t="str">
        <f>IF(week_data!$Q137&lt;&gt;FALSE,P136+1,"")</f>
        <v/>
      </c>
      <c r="Q137" s="35" t="b">
        <f t="shared" si="18"/>
        <v>0</v>
      </c>
      <c r="R137" s="36" t="e">
        <f t="shared" si="19"/>
        <v>#N/A</v>
      </c>
      <c r="S137" s="37" t="e">
        <f t="shared" si="20"/>
        <v>#N/A</v>
      </c>
      <c r="T137" s="38" t="e">
        <f t="shared" si="21"/>
        <v>#N/A</v>
      </c>
      <c r="U137" s="37" t="e">
        <f t="shared" si="22"/>
        <v>#N/A</v>
      </c>
      <c r="V137" s="41" t="e">
        <f t="shared" si="23"/>
        <v>#N/A</v>
      </c>
      <c r="W137" s="38" t="e">
        <f t="shared" si="24"/>
        <v>#N/A</v>
      </c>
      <c r="X137" s="42" t="e">
        <f t="shared" si="25"/>
        <v>#N/A</v>
      </c>
      <c r="Y137" s="44" t="e">
        <f t="shared" si="26"/>
        <v>#N/A</v>
      </c>
    </row>
    <row r="138" spans="1:25">
      <c r="A138"/>
      <c r="B138"/>
      <c r="C138" s="6"/>
      <c r="D138"/>
      <c r="E138"/>
      <c r="F138"/>
      <c r="G138"/>
      <c r="H138"/>
      <c r="I138"/>
      <c r="P138" s="8" t="str">
        <f>IF(week_data!$Q138&lt;&gt;FALSE,P137+1,"")</f>
        <v/>
      </c>
      <c r="Q138" s="35" t="b">
        <f t="shared" si="18"/>
        <v>0</v>
      </c>
      <c r="R138" s="36" t="e">
        <f t="shared" si="19"/>
        <v>#N/A</v>
      </c>
      <c r="S138" s="37" t="e">
        <f t="shared" si="20"/>
        <v>#N/A</v>
      </c>
      <c r="T138" s="38" t="e">
        <f t="shared" si="21"/>
        <v>#N/A</v>
      </c>
      <c r="U138" s="37" t="e">
        <f t="shared" si="22"/>
        <v>#N/A</v>
      </c>
      <c r="V138" s="41" t="e">
        <f t="shared" si="23"/>
        <v>#N/A</v>
      </c>
      <c r="W138" s="38" t="e">
        <f t="shared" si="24"/>
        <v>#N/A</v>
      </c>
      <c r="X138" s="42" t="e">
        <f t="shared" si="25"/>
        <v>#N/A</v>
      </c>
      <c r="Y138" s="44" t="e">
        <f t="shared" si="26"/>
        <v>#N/A</v>
      </c>
    </row>
    <row r="139" spans="1:25">
      <c r="A139"/>
      <c r="B139"/>
      <c r="C139" s="6"/>
      <c r="D139"/>
      <c r="E139"/>
      <c r="F139"/>
      <c r="G139"/>
      <c r="H139"/>
      <c r="I139"/>
      <c r="P139" s="8" t="str">
        <f>IF(week_data!$Q139&lt;&gt;FALSE,P138+1,"")</f>
        <v/>
      </c>
      <c r="Q139" s="35" t="b">
        <f t="shared" si="18"/>
        <v>0</v>
      </c>
      <c r="R139" s="36" t="e">
        <f t="shared" si="19"/>
        <v>#N/A</v>
      </c>
      <c r="S139" s="37" t="e">
        <f t="shared" si="20"/>
        <v>#N/A</v>
      </c>
      <c r="T139" s="38" t="e">
        <f t="shared" si="21"/>
        <v>#N/A</v>
      </c>
      <c r="U139" s="37" t="e">
        <f t="shared" si="22"/>
        <v>#N/A</v>
      </c>
      <c r="V139" s="41" t="e">
        <f t="shared" si="23"/>
        <v>#N/A</v>
      </c>
      <c r="W139" s="38" t="e">
        <f t="shared" si="24"/>
        <v>#N/A</v>
      </c>
      <c r="X139" s="42" t="e">
        <f t="shared" si="25"/>
        <v>#N/A</v>
      </c>
      <c r="Y139" s="44" t="e">
        <f t="shared" si="26"/>
        <v>#N/A</v>
      </c>
    </row>
    <row r="140" spans="1:25">
      <c r="A140"/>
      <c r="B140"/>
      <c r="C140" s="6"/>
      <c r="D140"/>
      <c r="E140"/>
      <c r="F140"/>
      <c r="G140"/>
      <c r="H140"/>
      <c r="I140"/>
      <c r="P140" s="8" t="str">
        <f>IF(week_data!$Q140&lt;&gt;FALSE,P139+1,"")</f>
        <v/>
      </c>
      <c r="Q140" s="35" t="b">
        <f t="shared" si="18"/>
        <v>0</v>
      </c>
      <c r="R140" s="36" t="e">
        <f t="shared" si="19"/>
        <v>#N/A</v>
      </c>
      <c r="S140" s="37" t="e">
        <f t="shared" si="20"/>
        <v>#N/A</v>
      </c>
      <c r="T140" s="38" t="e">
        <f t="shared" si="21"/>
        <v>#N/A</v>
      </c>
      <c r="U140" s="37" t="e">
        <f t="shared" si="22"/>
        <v>#N/A</v>
      </c>
      <c r="V140" s="41" t="e">
        <f t="shared" si="23"/>
        <v>#N/A</v>
      </c>
      <c r="W140" s="38" t="e">
        <f t="shared" si="24"/>
        <v>#N/A</v>
      </c>
      <c r="X140" s="42" t="e">
        <f t="shared" si="25"/>
        <v>#N/A</v>
      </c>
      <c r="Y140" s="44" t="e">
        <f t="shared" si="26"/>
        <v>#N/A</v>
      </c>
    </row>
    <row r="141" spans="1:25">
      <c r="A141"/>
      <c r="B141"/>
      <c r="C141" s="6"/>
      <c r="D141"/>
      <c r="E141"/>
      <c r="F141"/>
      <c r="G141"/>
      <c r="H141"/>
      <c r="I141"/>
      <c r="Q141" s="16"/>
      <c r="R141" s="8"/>
      <c r="S141" s="8"/>
      <c r="T141" s="8"/>
      <c r="U141" s="8"/>
      <c r="V141" s="8"/>
      <c r="W141" s="8"/>
      <c r="X141" s="8"/>
      <c r="Y141" s="8"/>
    </row>
    <row r="142" spans="1:25">
      <c r="A142"/>
      <c r="B142"/>
      <c r="C142" s="6"/>
      <c r="D142"/>
      <c r="E142"/>
      <c r="F142"/>
      <c r="G142"/>
      <c r="H142"/>
      <c r="I142"/>
      <c r="Q142" s="16"/>
      <c r="R142" s="8"/>
      <c r="S142" s="8"/>
      <c r="T142" s="8"/>
      <c r="U142" s="8"/>
      <c r="V142" s="8"/>
      <c r="W142" s="8"/>
      <c r="X142" s="8"/>
      <c r="Y142" s="8"/>
    </row>
    <row r="143" spans="1:25">
      <c r="A143"/>
      <c r="B143"/>
      <c r="C143" s="6"/>
      <c r="D143"/>
      <c r="E143"/>
      <c r="F143"/>
      <c r="G143"/>
      <c r="H143"/>
      <c r="I143"/>
      <c r="Q143" s="16"/>
      <c r="R143" s="8"/>
      <c r="S143" s="8"/>
      <c r="T143" s="8"/>
      <c r="U143" s="8"/>
      <c r="V143" s="8"/>
      <c r="W143" s="8"/>
      <c r="X143" s="8"/>
      <c r="Y143" s="8"/>
    </row>
    <row r="144" spans="1:9">
      <c r="A144"/>
      <c r="B144"/>
      <c r="C144" s="6"/>
      <c r="D144"/>
      <c r="E144"/>
      <c r="F144"/>
      <c r="G144"/>
      <c r="H144"/>
      <c r="I144"/>
    </row>
    <row r="145" spans="1:9">
      <c r="A145"/>
      <c r="B145"/>
      <c r="C145" s="6"/>
      <c r="D145"/>
      <c r="E145"/>
      <c r="F145"/>
      <c r="G145"/>
      <c r="H145"/>
      <c r="I145"/>
    </row>
    <row r="146" spans="1:9">
      <c r="A146"/>
      <c r="B146"/>
      <c r="C146" s="6"/>
      <c r="D146"/>
      <c r="E146"/>
      <c r="F146"/>
      <c r="G146"/>
      <c r="H146"/>
      <c r="I146"/>
    </row>
    <row r="147" spans="1:9">
      <c r="A147"/>
      <c r="B147"/>
      <c r="C147" s="6"/>
      <c r="D147"/>
      <c r="E147"/>
      <c r="F147"/>
      <c r="G147"/>
      <c r="H147"/>
      <c r="I147"/>
    </row>
  </sheetData>
  <sheetProtection formatCells="0" formatColumns="0" formatRows="0" insertRows="0" insertColumns="0" insertHyperlinks="0" deleteColumns="0" deleteRows="0" sort="0" autoFilter="0" pivotTables="0"/>
  <conditionalFormatting sqref="E148:E1048576">
    <cfRule type="cellIs" dxfId="53" priority="3" operator="lessThan">
      <formula>0</formula>
    </cfRule>
  </conditionalFormatting>
  <conditionalFormatting sqref="C148:C1048576 C1 E1">
    <cfRule type="cellIs" dxfId="53" priority="4" operator="lessThan">
      <formula>0</formula>
    </cfRule>
  </conditionalFormatting>
  <pageMargins left="0.7" right="0.7" top="0.75" bottom="0.75" header="0.3" footer="0.3"/>
  <pageSetup paperSize="9" orientation="portrait" horizontalDpi="1200" verticalDpi="1200"/>
  <headerFooter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4:L14"/>
  <sheetViews>
    <sheetView workbookViewId="0">
      <selection activeCell="L24" sqref="L24"/>
    </sheetView>
  </sheetViews>
  <sheetFormatPr defaultColWidth="9" defaultRowHeight="14.25"/>
  <cols>
    <col min="1" max="1" width="2.75" style="1" customWidth="1"/>
    <col min="2" max="2" width="3.375" style="1" customWidth="1"/>
    <col min="3" max="16384" width="9" style="1"/>
  </cols>
  <sheetData>
    <row r="4" spans="11:12">
      <c r="K4" s="14" t="s">
        <v>121</v>
      </c>
      <c r="L4" s="15">
        <f>week_data!K1</f>
        <v>24</v>
      </c>
    </row>
    <row r="6" spans="3:3">
      <c r="C6" s="11"/>
    </row>
    <row r="7" ht="30.75" customHeight="1" spans="3:3">
      <c r="C7" s="12" t="s">
        <v>76</v>
      </c>
    </row>
    <row r="8" ht="30.75" customHeight="1" spans="3:3">
      <c r="C8" s="12" t="s">
        <v>92</v>
      </c>
    </row>
    <row r="9" ht="30.75" customHeight="1" spans="3:3">
      <c r="C9" s="12" t="s">
        <v>85</v>
      </c>
    </row>
    <row r="10" ht="30.75" customHeight="1" spans="3:3">
      <c r="C10" s="12" t="s">
        <v>94</v>
      </c>
    </row>
    <row r="11" ht="30.75" customHeight="1" spans="3:3">
      <c r="C11" s="12" t="s">
        <v>86</v>
      </c>
    </row>
    <row r="12" ht="30.75" customHeight="1" spans="3:3">
      <c r="C12" s="12" t="s">
        <v>73</v>
      </c>
    </row>
    <row r="13" ht="30.75" customHeight="1" spans="3:3">
      <c r="C13" s="13" t="s">
        <v>35</v>
      </c>
    </row>
    <row r="14" ht="30.75" customHeight="1" spans="3:3">
      <c r="C14" s="12" t="s">
        <v>122</v>
      </c>
    </row>
  </sheetData>
  <sheetProtection formatCells="0" insertHyperlinks="0" autoFilter="0"/>
  <conditionalFormatting sqref="C7:C14">
    <cfRule type="expression" dxfId="54" priority="16">
      <formula>week_data!$M1=TRUE</formula>
    </cfRule>
  </conditionalFormatting>
  <pageMargins left="0.7" right="0.7" top="0.75" bottom="0.75" header="0.3" footer="0.3"/>
  <pageSetup paperSize="260" orientation="portrait" horizontalDpi="203" verticalDpi="203"/>
  <headerFooter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1265" name="Check Box 2" r:id="rId3">
              <controlPr defaultSize="0">
                <anchor moveWithCells="1">
                  <from>
                    <xdr:col>1</xdr:col>
                    <xdr:colOff>0</xdr:colOff>
                    <xdr:row>6</xdr:row>
                    <xdr:rowOff>0</xdr:rowOff>
                  </from>
                  <to>
                    <xdr:col>2</xdr:col>
                    <xdr:colOff>428625</xdr:colOff>
                    <xdr:row>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66" name="Check Box 3" r:id="rId4">
              <controlPr defaultSize="0">
                <anchor moveWithCells="1">
                  <from>
                    <xdr:col>1</xdr:col>
                    <xdr:colOff>0</xdr:colOff>
                    <xdr:row>7</xdr:row>
                    <xdr:rowOff>0</xdr:rowOff>
                  </from>
                  <to>
                    <xdr:col>2</xdr:col>
                    <xdr:colOff>428625</xdr:colOff>
                    <xdr:row>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67" name="Check Box 4" r:id="rId5">
              <controlPr defaultSize="0">
                <anchor moveWithCells="1">
                  <from>
                    <xdr:col>1</xdr:col>
                    <xdr:colOff>0</xdr:colOff>
                    <xdr:row>8</xdr:row>
                    <xdr:rowOff>0</xdr:rowOff>
                  </from>
                  <to>
                    <xdr:col>2</xdr:col>
                    <xdr:colOff>428625</xdr:colOff>
                    <xdr:row>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69" name="Check Box 6" r:id="rId6">
              <controlPr defaultSize="0">
                <anchor moveWithCells="1">
                  <from>
                    <xdr:col>1</xdr:col>
                    <xdr:colOff>0</xdr:colOff>
                    <xdr:row>12</xdr:row>
                    <xdr:rowOff>0</xdr:rowOff>
                  </from>
                  <to>
                    <xdr:col>2</xdr:col>
                    <xdr:colOff>428625</xdr:colOff>
                    <xdr:row>13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70" name="Check Box 7" r:id="rId7">
              <controlPr defaultSize="0">
                <anchor moveWithCells="1">
                  <from>
                    <xdr:col>1</xdr:col>
                    <xdr:colOff>0</xdr:colOff>
                    <xdr:row>10</xdr:row>
                    <xdr:rowOff>9525</xdr:rowOff>
                  </from>
                  <to>
                    <xdr:col>2</xdr:col>
                    <xdr:colOff>428625</xdr:colOff>
                    <xdr:row>11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71" name="Check Box 8" r:id="rId8">
              <controlPr defaultSize="0">
                <anchor moveWithCells="1">
                  <from>
                    <xdr:col>1</xdr:col>
                    <xdr:colOff>0</xdr:colOff>
                    <xdr:row>9</xdr:row>
                    <xdr:rowOff>0</xdr:rowOff>
                  </from>
                  <to>
                    <xdr:col>2</xdr:col>
                    <xdr:colOff>428625</xdr:colOff>
                    <xdr:row>10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72" name="Check Box 9" r:id="rId9">
              <controlPr defaultSize="0">
                <anchor moveWithCells="1">
                  <from>
                    <xdr:col>1</xdr:col>
                    <xdr:colOff>0</xdr:colOff>
                    <xdr:row>11</xdr:row>
                    <xdr:rowOff>0</xdr:rowOff>
                  </from>
                  <to>
                    <xdr:col>2</xdr:col>
                    <xdr:colOff>428625</xdr:colOff>
                    <xdr:row>12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74" name="Check Box 6" r:id="rId10">
              <controlPr defaultSize="0">
                <anchor moveWithCells="1">
                  <from>
                    <xdr:col>1</xdr:col>
                    <xdr:colOff>0</xdr:colOff>
                    <xdr:row>13</xdr:row>
                    <xdr:rowOff>0</xdr:rowOff>
                  </from>
                  <to>
                    <xdr:col>2</xdr:col>
                    <xdr:colOff>428625</xdr:colOff>
                    <xdr:row>14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76" name="Scroll Bar 12" r:id="rId11">
              <controlPr defaultSize="0">
                <anchor moveWithCells="1">
                  <from>
                    <xdr:col>9</xdr:col>
                    <xdr:colOff>0</xdr:colOff>
                    <xdr:row>0</xdr:row>
                    <xdr:rowOff>104775</xdr:rowOff>
                  </from>
                  <to>
                    <xdr:col>15</xdr:col>
                    <xdr:colOff>0</xdr:colOff>
                    <xdr:row>2</xdr:row>
                    <xdr:rowOff>57150</xdr:rowOff>
                  </to>
                </anchor>
              </controlPr>
            </control>
          </mc:Choice>
        </mc:AlternateContent>
      </controls>
    </mc:Choice>
  </mc:AlternateContent>
  <extLst>
    <ext xmlns:x14="http://schemas.microsoft.com/office/spreadsheetml/2009/9/main" uri="{A8765BA9-456A-4dab-B4F3-ACF838C121DE}">
      <x14:slicerList>
        <x14:slicer r:id="rId12"/>
      </x14:slicerList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87"/>
  <sheetViews>
    <sheetView workbookViewId="0">
      <selection activeCell="J16" sqref="J16"/>
    </sheetView>
  </sheetViews>
  <sheetFormatPr defaultColWidth="9" defaultRowHeight="14.25"/>
  <cols>
    <col min="1" max="2" width="9.125" customWidth="1"/>
    <col min="3" max="3" width="13.625" customWidth="1"/>
    <col min="4" max="4" width="14.25" customWidth="1"/>
    <col min="5" max="5" width="12.875" customWidth="1"/>
    <col min="6" max="6" width="13.625" customWidth="1"/>
    <col min="7" max="7" width="16.375" customWidth="1"/>
    <col min="8" max="8" width="15" customWidth="1"/>
    <col min="9" max="9" width="16.75" customWidth="1"/>
    <col min="10" max="10" width="17.75" customWidth="1"/>
    <col min="11" max="11" width="15.625" customWidth="1"/>
    <col min="12" max="13" width="6.5" customWidth="1"/>
    <col min="14" max="15" width="7.5" customWidth="1"/>
    <col min="16" max="16" width="14.375" customWidth="1"/>
    <col min="22" max="22" width="9" style="3"/>
    <col min="24" max="25" width="9" style="4"/>
    <col min="27" max="29" width="9" style="4"/>
    <col min="31" max="31" width="9" style="5"/>
  </cols>
  <sheetData>
    <row r="1" spans="1:31">
      <c r="A1" t="s">
        <v>123</v>
      </c>
      <c r="B1" t="s">
        <v>124</v>
      </c>
      <c r="C1" t="s">
        <v>125</v>
      </c>
      <c r="D1" t="s">
        <v>126</v>
      </c>
      <c r="E1" t="s">
        <v>127</v>
      </c>
      <c r="F1" t="s">
        <v>128</v>
      </c>
      <c r="G1" t="s">
        <v>129</v>
      </c>
      <c r="H1" t="s">
        <v>130</v>
      </c>
      <c r="I1" t="s">
        <v>131</v>
      </c>
      <c r="J1" t="s">
        <v>132</v>
      </c>
      <c r="K1" t="s">
        <v>133</v>
      </c>
      <c r="P1" s="7" t="s">
        <v>134</v>
      </c>
      <c r="Q1" t="b">
        <v>1</v>
      </c>
      <c r="U1" s="8">
        <v>1</v>
      </c>
      <c r="W1" s="7" t="s">
        <v>134</v>
      </c>
      <c r="X1" s="9" t="s">
        <v>135</v>
      </c>
      <c r="Y1" s="9" t="s">
        <v>136</v>
      </c>
      <c r="Z1" s="7" t="s">
        <v>137</v>
      </c>
      <c r="AA1" s="9" t="s">
        <v>138</v>
      </c>
      <c r="AB1" s="9" t="s">
        <v>139</v>
      </c>
      <c r="AC1" s="9" t="s">
        <v>140</v>
      </c>
      <c r="AD1" s="7" t="s">
        <v>73</v>
      </c>
      <c r="AE1" s="10" t="s">
        <v>86</v>
      </c>
    </row>
    <row r="2" spans="1:31">
      <c r="A2">
        <v>2018</v>
      </c>
      <c r="B2">
        <v>6</v>
      </c>
      <c r="C2" s="6">
        <v>248</v>
      </c>
      <c r="D2" s="6"/>
      <c r="E2" s="6"/>
      <c r="F2" s="6">
        <v>502.77</v>
      </c>
      <c r="G2" s="6"/>
      <c r="H2" s="6"/>
      <c r="I2" s="6"/>
      <c r="J2" s="6">
        <v>23</v>
      </c>
      <c r="K2" s="6">
        <v>0.0936321848086554</v>
      </c>
      <c r="P2" s="7" t="s">
        <v>135</v>
      </c>
      <c r="Q2" t="b">
        <v>0</v>
      </c>
      <c r="U2">
        <f>IF(V2&lt;&gt;FALSE,U1,"")</f>
        <v>1</v>
      </c>
      <c r="V2" s="3" t="str">
        <f>IF(A2&lt;&gt;"",RIGHT(A2,2)&amp;"'"&amp;B2,FALSE)</f>
        <v>18'6</v>
      </c>
      <c r="W2">
        <f>IF($Q$1,IF(C2&lt;&gt;"",C2,NA()),NA())</f>
        <v>248</v>
      </c>
      <c r="X2" s="4" t="e">
        <f>IF($Q$2,IF(D2&lt;&gt;"",D2,NA()),NA())</f>
        <v>#N/A</v>
      </c>
      <c r="Y2" s="4" t="e">
        <f>IF($Q$3,IF(E2&lt;&gt;"",E2,NA()),NA())</f>
        <v>#N/A</v>
      </c>
      <c r="Z2">
        <f>IF($Q$4,IF(F2&lt;&gt;"",F2,NA()),NA())</f>
        <v>502.77</v>
      </c>
      <c r="AA2" s="4" t="e">
        <f>IF($Q$5,IF(G2&lt;&gt;"",G2,NA()),NA())</f>
        <v>#N/A</v>
      </c>
      <c r="AB2" s="4" t="e">
        <f>IF($Q$6,IF(H2&lt;&gt;"",H2,NA()),NA())</f>
        <v>#N/A</v>
      </c>
      <c r="AC2" s="4" t="e">
        <f>IF($Q$7,IF(I2&lt;&gt;"",I2,NA()),NA())</f>
        <v>#N/A</v>
      </c>
      <c r="AD2" t="e">
        <f>IF($Q$8,IF(J2&lt;&gt;"",J2,NA()),NA())</f>
        <v>#N/A</v>
      </c>
      <c r="AE2" s="5">
        <f>IF($Q$9,IF(K2&lt;&gt;"",K2,NA()),NA())</f>
        <v>0.0936321848086554</v>
      </c>
    </row>
    <row r="3" spans="1:31">
      <c r="A3">
        <v>2018</v>
      </c>
      <c r="B3">
        <v>7</v>
      </c>
      <c r="C3" s="6">
        <v>339</v>
      </c>
      <c r="D3" s="6">
        <v>0.366935483870968</v>
      </c>
      <c r="E3" s="6"/>
      <c r="F3" s="6">
        <v>1088.48</v>
      </c>
      <c r="G3" s="6">
        <v>1.16496608787318</v>
      </c>
      <c r="H3" s="6"/>
      <c r="I3" s="6"/>
      <c r="J3" s="6">
        <v>52</v>
      </c>
      <c r="K3" s="6">
        <v>0.127228110872363</v>
      </c>
      <c r="P3" s="7" t="s">
        <v>136</v>
      </c>
      <c r="Q3" t="b">
        <v>0</v>
      </c>
      <c r="U3">
        <f>IF(V3&lt;&gt;FALSE,U2+1,"")</f>
        <v>2</v>
      </c>
      <c r="V3" s="3" t="str">
        <f t="shared" ref="V3:V66" si="0">IF(A3&lt;&gt;"",RIGHT(A3,2)&amp;"'"&amp;B3,FALSE)</f>
        <v>18'7</v>
      </c>
      <c r="W3">
        <f t="shared" ref="W3:W66" si="1">IF($Q$1,IF(C3&lt;&gt;"",C3,NA()),NA())</f>
        <v>339</v>
      </c>
      <c r="X3" s="4" t="e">
        <f t="shared" ref="X3:X66" si="2">IF($Q$2,IF(D3&lt;&gt;"",D3,NA()),NA())</f>
        <v>#N/A</v>
      </c>
      <c r="Y3" s="4" t="e">
        <f t="shared" ref="Y3:Y66" si="3">IF($Q$3,IF(E3&lt;&gt;"",E3,NA()),NA())</f>
        <v>#N/A</v>
      </c>
      <c r="Z3">
        <f t="shared" ref="Z3:Z66" si="4">IF($Q$4,IF(F3&lt;&gt;"",F3,NA()),NA())</f>
        <v>1088.48</v>
      </c>
      <c r="AA3" s="4" t="e">
        <f t="shared" ref="AA3:AA66" si="5">IF($Q$5,IF(G3&lt;&gt;"",G3,NA()),NA())</f>
        <v>#N/A</v>
      </c>
      <c r="AB3" s="4" t="e">
        <f t="shared" ref="AB3:AB66" si="6">IF($Q$6,IF(H3&lt;&gt;"",H3,NA()),NA())</f>
        <v>#N/A</v>
      </c>
      <c r="AC3" s="4" t="e">
        <f t="shared" ref="AC3:AC66" si="7">IF($Q$7,IF(I3&lt;&gt;"",I3,NA()),NA())</f>
        <v>#N/A</v>
      </c>
      <c r="AD3" t="e">
        <f t="shared" ref="AD3:AD66" si="8">IF($Q$8,IF(J3&lt;&gt;"",J3,NA()),NA())</f>
        <v>#N/A</v>
      </c>
      <c r="AE3" s="5">
        <f t="shared" ref="AE3:AE66" si="9">IF($Q$9,IF(K3&lt;&gt;"",K3,NA()),NA())</f>
        <v>0.127228110872363</v>
      </c>
    </row>
    <row r="4" spans="1:31">
      <c r="A4">
        <v>2018</v>
      </c>
      <c r="B4">
        <v>8</v>
      </c>
      <c r="C4" s="6">
        <v>668</v>
      </c>
      <c r="D4" s="6">
        <v>0.970501474926254</v>
      </c>
      <c r="E4" s="6"/>
      <c r="F4" s="6">
        <v>1792.62</v>
      </c>
      <c r="G4" s="6">
        <v>0.646902102013817</v>
      </c>
      <c r="H4" s="6"/>
      <c r="I4" s="6"/>
      <c r="J4" s="6">
        <v>82</v>
      </c>
      <c r="K4" s="6">
        <v>0.0832010560877624</v>
      </c>
      <c r="P4" s="7" t="s">
        <v>137</v>
      </c>
      <c r="Q4" t="b">
        <v>1</v>
      </c>
      <c r="U4">
        <f t="shared" ref="U4:U67" si="10">IF(V4&lt;&gt;FALSE,U3+1,"")</f>
        <v>3</v>
      </c>
      <c r="V4" s="3" t="str">
        <f t="shared" si="0"/>
        <v>18'8</v>
      </c>
      <c r="W4">
        <f t="shared" si="1"/>
        <v>668</v>
      </c>
      <c r="X4" s="4" t="e">
        <f t="shared" si="2"/>
        <v>#N/A</v>
      </c>
      <c r="Y4" s="4" t="e">
        <f t="shared" si="3"/>
        <v>#N/A</v>
      </c>
      <c r="Z4">
        <f t="shared" si="4"/>
        <v>1792.62</v>
      </c>
      <c r="AA4" s="4" t="e">
        <f t="shared" si="5"/>
        <v>#N/A</v>
      </c>
      <c r="AB4" s="4" t="e">
        <f t="shared" si="6"/>
        <v>#N/A</v>
      </c>
      <c r="AC4" s="4" t="e">
        <f t="shared" si="7"/>
        <v>#N/A</v>
      </c>
      <c r="AD4" t="e">
        <f t="shared" si="8"/>
        <v>#N/A</v>
      </c>
      <c r="AE4" s="5">
        <f t="shared" si="9"/>
        <v>0.0832010560877624</v>
      </c>
    </row>
    <row r="5" spans="1:31">
      <c r="A5">
        <v>2018</v>
      </c>
      <c r="B5">
        <v>9</v>
      </c>
      <c r="C5" s="6">
        <v>832</v>
      </c>
      <c r="D5" s="6">
        <v>0.245508982035928</v>
      </c>
      <c r="E5" s="6"/>
      <c r="F5" s="6">
        <v>2238.97</v>
      </c>
      <c r="G5" s="6">
        <v>0.248993093907242</v>
      </c>
      <c r="H5" s="6"/>
      <c r="I5" s="6"/>
      <c r="J5" s="6">
        <v>89</v>
      </c>
      <c r="K5" s="6">
        <v>0.083217969137594</v>
      </c>
      <c r="P5" s="7" t="s">
        <v>138</v>
      </c>
      <c r="Q5" t="b">
        <v>0</v>
      </c>
      <c r="U5">
        <f t="shared" si="10"/>
        <v>4</v>
      </c>
      <c r="V5" s="3" t="str">
        <f t="shared" si="0"/>
        <v>18'9</v>
      </c>
      <c r="W5">
        <f t="shared" si="1"/>
        <v>832</v>
      </c>
      <c r="X5" s="4" t="e">
        <f t="shared" si="2"/>
        <v>#N/A</v>
      </c>
      <c r="Y5" s="4" t="e">
        <f t="shared" si="3"/>
        <v>#N/A</v>
      </c>
      <c r="Z5">
        <f t="shared" si="4"/>
        <v>2238.97</v>
      </c>
      <c r="AA5" s="4" t="e">
        <f t="shared" si="5"/>
        <v>#N/A</v>
      </c>
      <c r="AB5" s="4" t="e">
        <f t="shared" si="6"/>
        <v>#N/A</v>
      </c>
      <c r="AC5" s="4" t="e">
        <f t="shared" si="7"/>
        <v>#N/A</v>
      </c>
      <c r="AD5" t="e">
        <f t="shared" si="8"/>
        <v>#N/A</v>
      </c>
      <c r="AE5" s="5">
        <f t="shared" si="9"/>
        <v>0.083217969137594</v>
      </c>
    </row>
    <row r="6" spans="1:31">
      <c r="A6">
        <v>2018</v>
      </c>
      <c r="B6">
        <v>10</v>
      </c>
      <c r="C6" s="6">
        <v>910</v>
      </c>
      <c r="D6" s="6">
        <v>0.09375</v>
      </c>
      <c r="E6" s="6"/>
      <c r="F6" s="6">
        <v>2178.17</v>
      </c>
      <c r="G6" s="6">
        <v>-0.0271553437518145</v>
      </c>
      <c r="H6" s="6"/>
      <c r="I6" s="6"/>
      <c r="J6" s="6">
        <v>80</v>
      </c>
      <c r="K6" s="6">
        <v>0.084748018103836</v>
      </c>
      <c r="P6" s="7" t="s">
        <v>139</v>
      </c>
      <c r="Q6" t="b">
        <v>0</v>
      </c>
      <c r="U6">
        <f t="shared" si="10"/>
        <v>5</v>
      </c>
      <c r="V6" s="3" t="str">
        <f t="shared" si="0"/>
        <v>18'10</v>
      </c>
      <c r="W6">
        <f t="shared" si="1"/>
        <v>910</v>
      </c>
      <c r="X6" s="4" t="e">
        <f t="shared" si="2"/>
        <v>#N/A</v>
      </c>
      <c r="Y6" s="4" t="e">
        <f t="shared" si="3"/>
        <v>#N/A</v>
      </c>
      <c r="Z6">
        <f t="shared" si="4"/>
        <v>2178.17</v>
      </c>
      <c r="AA6" s="4" t="e">
        <f t="shared" si="5"/>
        <v>#N/A</v>
      </c>
      <c r="AB6" s="4" t="e">
        <f t="shared" si="6"/>
        <v>#N/A</v>
      </c>
      <c r="AC6" s="4" t="e">
        <f t="shared" si="7"/>
        <v>#N/A</v>
      </c>
      <c r="AD6" t="e">
        <f t="shared" si="8"/>
        <v>#N/A</v>
      </c>
      <c r="AE6" s="5">
        <f t="shared" si="9"/>
        <v>0.084748018103836</v>
      </c>
    </row>
    <row r="7" spans="1:31">
      <c r="A7">
        <v>2018</v>
      </c>
      <c r="B7">
        <v>11</v>
      </c>
      <c r="C7" s="6">
        <v>342</v>
      </c>
      <c r="D7" s="6">
        <v>-0.624175824175824</v>
      </c>
      <c r="E7" s="6"/>
      <c r="F7" s="6">
        <v>765.21</v>
      </c>
      <c r="G7" s="6">
        <v>-0.648691332632439</v>
      </c>
      <c r="H7" s="6"/>
      <c r="I7" s="6"/>
      <c r="J7" s="6">
        <v>27</v>
      </c>
      <c r="K7" s="6">
        <v>0.0799048365427676</v>
      </c>
      <c r="P7" s="7" t="s">
        <v>140</v>
      </c>
      <c r="Q7" t="b">
        <v>0</v>
      </c>
      <c r="U7">
        <f t="shared" si="10"/>
        <v>6</v>
      </c>
      <c r="V7" s="3" t="str">
        <f t="shared" si="0"/>
        <v>18'11</v>
      </c>
      <c r="W7">
        <f t="shared" si="1"/>
        <v>342</v>
      </c>
      <c r="X7" s="4" t="e">
        <f t="shared" si="2"/>
        <v>#N/A</v>
      </c>
      <c r="Y7" s="4" t="e">
        <f t="shared" si="3"/>
        <v>#N/A</v>
      </c>
      <c r="Z7">
        <f t="shared" si="4"/>
        <v>765.21</v>
      </c>
      <c r="AA7" s="4" t="e">
        <f t="shared" si="5"/>
        <v>#N/A</v>
      </c>
      <c r="AB7" s="4" t="e">
        <f t="shared" si="6"/>
        <v>#N/A</v>
      </c>
      <c r="AC7" s="4" t="e">
        <f t="shared" si="7"/>
        <v>#N/A</v>
      </c>
      <c r="AD7" t="e">
        <f t="shared" si="8"/>
        <v>#N/A</v>
      </c>
      <c r="AE7" s="5">
        <f t="shared" si="9"/>
        <v>0.0799048365427676</v>
      </c>
    </row>
    <row r="8" spans="1:31">
      <c r="A8">
        <v>2018</v>
      </c>
      <c r="B8">
        <v>12</v>
      </c>
      <c r="C8" s="6">
        <v>280</v>
      </c>
      <c r="D8" s="6">
        <v>-0.181286549707602</v>
      </c>
      <c r="E8" s="6"/>
      <c r="F8" s="6">
        <v>959.68</v>
      </c>
      <c r="G8" s="6">
        <v>0.25413938657362</v>
      </c>
      <c r="H8" s="6"/>
      <c r="I8" s="6"/>
      <c r="J8" s="6">
        <v>33</v>
      </c>
      <c r="K8" s="6">
        <v>0.0745835883529382</v>
      </c>
      <c r="P8" s="7" t="s">
        <v>73</v>
      </c>
      <c r="Q8" t="b">
        <v>0</v>
      </c>
      <c r="U8">
        <f t="shared" si="10"/>
        <v>7</v>
      </c>
      <c r="V8" s="3" t="str">
        <f t="shared" si="0"/>
        <v>18'12</v>
      </c>
      <c r="W8">
        <f t="shared" si="1"/>
        <v>280</v>
      </c>
      <c r="X8" s="4" t="e">
        <f t="shared" si="2"/>
        <v>#N/A</v>
      </c>
      <c r="Y8" s="4" t="e">
        <f t="shared" si="3"/>
        <v>#N/A</v>
      </c>
      <c r="Z8">
        <f t="shared" si="4"/>
        <v>959.68</v>
      </c>
      <c r="AA8" s="4" t="e">
        <f t="shared" si="5"/>
        <v>#N/A</v>
      </c>
      <c r="AB8" s="4" t="e">
        <f t="shared" si="6"/>
        <v>#N/A</v>
      </c>
      <c r="AC8" s="4" t="e">
        <f t="shared" si="7"/>
        <v>#N/A</v>
      </c>
      <c r="AD8" t="e">
        <f t="shared" si="8"/>
        <v>#N/A</v>
      </c>
      <c r="AE8" s="5">
        <f t="shared" si="9"/>
        <v>0.0745835883529382</v>
      </c>
    </row>
    <row r="9" spans="1:31">
      <c r="A9">
        <v>2019</v>
      </c>
      <c r="B9">
        <v>1</v>
      </c>
      <c r="C9" s="6">
        <v>118</v>
      </c>
      <c r="D9" s="6">
        <v>-0.578571428571429</v>
      </c>
      <c r="E9" s="6"/>
      <c r="F9" s="6">
        <v>299.9</v>
      </c>
      <c r="G9" s="6">
        <v>-0.6875</v>
      </c>
      <c r="H9" s="6"/>
      <c r="I9" s="6"/>
      <c r="J9" s="6">
        <v>10</v>
      </c>
      <c r="K9" s="6">
        <v>0.0902463549522372</v>
      </c>
      <c r="P9" s="7" t="s">
        <v>86</v>
      </c>
      <c r="Q9" t="b">
        <v>1</v>
      </c>
      <c r="U9">
        <f t="shared" si="10"/>
        <v>8</v>
      </c>
      <c r="V9" s="3" t="str">
        <f t="shared" si="0"/>
        <v>19'1</v>
      </c>
      <c r="W9">
        <f t="shared" si="1"/>
        <v>118</v>
      </c>
      <c r="X9" s="4" t="e">
        <f t="shared" si="2"/>
        <v>#N/A</v>
      </c>
      <c r="Y9" s="4" t="e">
        <f t="shared" si="3"/>
        <v>#N/A</v>
      </c>
      <c r="Z9">
        <f t="shared" si="4"/>
        <v>299.9</v>
      </c>
      <c r="AA9" s="4" t="e">
        <f t="shared" si="5"/>
        <v>#N/A</v>
      </c>
      <c r="AB9" s="4" t="e">
        <f t="shared" si="6"/>
        <v>#N/A</v>
      </c>
      <c r="AC9" s="4" t="e">
        <f t="shared" si="7"/>
        <v>#N/A</v>
      </c>
      <c r="AD9" t="e">
        <f t="shared" si="8"/>
        <v>#N/A</v>
      </c>
      <c r="AE9" s="5">
        <f t="shared" si="9"/>
        <v>0.0902463549522372</v>
      </c>
    </row>
    <row r="10" spans="21:31">
      <c r="U10" t="str">
        <f t="shared" si="10"/>
        <v/>
      </c>
      <c r="V10" s="3" t="b">
        <f t="shared" si="0"/>
        <v>0</v>
      </c>
      <c r="W10" t="e">
        <f t="shared" si="1"/>
        <v>#N/A</v>
      </c>
      <c r="X10" s="4" t="e">
        <f t="shared" si="2"/>
        <v>#N/A</v>
      </c>
      <c r="Y10" s="4" t="e">
        <f t="shared" si="3"/>
        <v>#N/A</v>
      </c>
      <c r="Z10" t="e">
        <f t="shared" si="4"/>
        <v>#N/A</v>
      </c>
      <c r="AA10" s="4" t="e">
        <f t="shared" si="5"/>
        <v>#N/A</v>
      </c>
      <c r="AB10" s="4" t="e">
        <f t="shared" si="6"/>
        <v>#N/A</v>
      </c>
      <c r="AC10" s="4" t="e">
        <f t="shared" si="7"/>
        <v>#N/A</v>
      </c>
      <c r="AD10" t="e">
        <f t="shared" si="8"/>
        <v>#N/A</v>
      </c>
      <c r="AE10" s="5" t="e">
        <f t="shared" si="9"/>
        <v>#N/A</v>
      </c>
    </row>
    <row r="11" spans="21:31">
      <c r="U11" t="str">
        <f t="shared" si="10"/>
        <v/>
      </c>
      <c r="V11" s="3" t="b">
        <f t="shared" si="0"/>
        <v>0</v>
      </c>
      <c r="W11" t="e">
        <f t="shared" si="1"/>
        <v>#N/A</v>
      </c>
      <c r="X11" s="4" t="e">
        <f t="shared" si="2"/>
        <v>#N/A</v>
      </c>
      <c r="Y11" s="4" t="e">
        <f t="shared" si="3"/>
        <v>#N/A</v>
      </c>
      <c r="Z11" t="e">
        <f t="shared" si="4"/>
        <v>#N/A</v>
      </c>
      <c r="AA11" s="4" t="e">
        <f t="shared" si="5"/>
        <v>#N/A</v>
      </c>
      <c r="AB11" s="4" t="e">
        <f t="shared" si="6"/>
        <v>#N/A</v>
      </c>
      <c r="AC11" s="4" t="e">
        <f t="shared" si="7"/>
        <v>#N/A</v>
      </c>
      <c r="AD11" t="e">
        <f t="shared" si="8"/>
        <v>#N/A</v>
      </c>
      <c r="AE11" s="5" t="e">
        <f t="shared" si="9"/>
        <v>#N/A</v>
      </c>
    </row>
    <row r="12" spans="21:31">
      <c r="U12" t="str">
        <f t="shared" si="10"/>
        <v/>
      </c>
      <c r="V12" s="3" t="b">
        <f t="shared" si="0"/>
        <v>0</v>
      </c>
      <c r="W12" t="e">
        <f t="shared" si="1"/>
        <v>#N/A</v>
      </c>
      <c r="X12" s="4" t="e">
        <f t="shared" si="2"/>
        <v>#N/A</v>
      </c>
      <c r="Y12" s="4" t="e">
        <f t="shared" si="3"/>
        <v>#N/A</v>
      </c>
      <c r="Z12" t="e">
        <f t="shared" si="4"/>
        <v>#N/A</v>
      </c>
      <c r="AA12" s="4" t="e">
        <f t="shared" si="5"/>
        <v>#N/A</v>
      </c>
      <c r="AB12" s="4" t="e">
        <f t="shared" si="6"/>
        <v>#N/A</v>
      </c>
      <c r="AC12" s="4" t="e">
        <f t="shared" si="7"/>
        <v>#N/A</v>
      </c>
      <c r="AD12" t="e">
        <f t="shared" si="8"/>
        <v>#N/A</v>
      </c>
      <c r="AE12" s="5" t="e">
        <f t="shared" si="9"/>
        <v>#N/A</v>
      </c>
    </row>
    <row r="13" spans="21:31">
      <c r="U13" t="str">
        <f t="shared" si="10"/>
        <v/>
      </c>
      <c r="V13" s="3" t="b">
        <f t="shared" si="0"/>
        <v>0</v>
      </c>
      <c r="W13" t="e">
        <f t="shared" si="1"/>
        <v>#N/A</v>
      </c>
      <c r="X13" s="4" t="e">
        <f t="shared" si="2"/>
        <v>#N/A</v>
      </c>
      <c r="Y13" s="4" t="e">
        <f t="shared" si="3"/>
        <v>#N/A</v>
      </c>
      <c r="Z13" t="e">
        <f t="shared" si="4"/>
        <v>#N/A</v>
      </c>
      <c r="AA13" s="4" t="e">
        <f t="shared" si="5"/>
        <v>#N/A</v>
      </c>
      <c r="AB13" s="4" t="e">
        <f t="shared" si="6"/>
        <v>#N/A</v>
      </c>
      <c r="AC13" s="4" t="e">
        <f t="shared" si="7"/>
        <v>#N/A</v>
      </c>
      <c r="AD13" t="e">
        <f t="shared" si="8"/>
        <v>#N/A</v>
      </c>
      <c r="AE13" s="5" t="e">
        <f t="shared" si="9"/>
        <v>#N/A</v>
      </c>
    </row>
    <row r="14" spans="21:31">
      <c r="U14" t="str">
        <f t="shared" si="10"/>
        <v/>
      </c>
      <c r="V14" s="3" t="b">
        <f t="shared" si="0"/>
        <v>0</v>
      </c>
      <c r="W14" t="e">
        <f t="shared" si="1"/>
        <v>#N/A</v>
      </c>
      <c r="X14" s="4" t="e">
        <f t="shared" si="2"/>
        <v>#N/A</v>
      </c>
      <c r="Y14" s="4" t="e">
        <f t="shared" si="3"/>
        <v>#N/A</v>
      </c>
      <c r="Z14" t="e">
        <f t="shared" si="4"/>
        <v>#N/A</v>
      </c>
      <c r="AA14" s="4" t="e">
        <f t="shared" si="5"/>
        <v>#N/A</v>
      </c>
      <c r="AB14" s="4" t="e">
        <f t="shared" si="6"/>
        <v>#N/A</v>
      </c>
      <c r="AC14" s="4" t="e">
        <f t="shared" si="7"/>
        <v>#N/A</v>
      </c>
      <c r="AD14" t="e">
        <f t="shared" si="8"/>
        <v>#N/A</v>
      </c>
      <c r="AE14" s="5" t="e">
        <f t="shared" si="9"/>
        <v>#N/A</v>
      </c>
    </row>
    <row r="15" spans="21:31">
      <c r="U15" t="str">
        <f t="shared" si="10"/>
        <v/>
      </c>
      <c r="V15" s="3" t="b">
        <f t="shared" si="0"/>
        <v>0</v>
      </c>
      <c r="W15" t="e">
        <f t="shared" si="1"/>
        <v>#N/A</v>
      </c>
      <c r="X15" s="4" t="e">
        <f t="shared" si="2"/>
        <v>#N/A</v>
      </c>
      <c r="Y15" s="4" t="e">
        <f t="shared" si="3"/>
        <v>#N/A</v>
      </c>
      <c r="Z15" t="e">
        <f t="shared" si="4"/>
        <v>#N/A</v>
      </c>
      <c r="AA15" s="4" t="e">
        <f t="shared" si="5"/>
        <v>#N/A</v>
      </c>
      <c r="AB15" s="4" t="e">
        <f t="shared" si="6"/>
        <v>#N/A</v>
      </c>
      <c r="AC15" s="4" t="e">
        <f t="shared" si="7"/>
        <v>#N/A</v>
      </c>
      <c r="AD15" t="e">
        <f t="shared" si="8"/>
        <v>#N/A</v>
      </c>
      <c r="AE15" s="5" t="e">
        <f t="shared" si="9"/>
        <v>#N/A</v>
      </c>
    </row>
    <row r="16" spans="21:31">
      <c r="U16" t="str">
        <f t="shared" si="10"/>
        <v/>
      </c>
      <c r="V16" s="3" t="b">
        <f t="shared" si="0"/>
        <v>0</v>
      </c>
      <c r="W16" t="e">
        <f t="shared" si="1"/>
        <v>#N/A</v>
      </c>
      <c r="X16" s="4" t="e">
        <f t="shared" si="2"/>
        <v>#N/A</v>
      </c>
      <c r="Y16" s="4" t="e">
        <f t="shared" si="3"/>
        <v>#N/A</v>
      </c>
      <c r="Z16" t="e">
        <f t="shared" si="4"/>
        <v>#N/A</v>
      </c>
      <c r="AA16" s="4" t="e">
        <f t="shared" si="5"/>
        <v>#N/A</v>
      </c>
      <c r="AB16" s="4" t="e">
        <f t="shared" si="6"/>
        <v>#N/A</v>
      </c>
      <c r="AC16" s="4" t="e">
        <f t="shared" si="7"/>
        <v>#N/A</v>
      </c>
      <c r="AD16" t="e">
        <f t="shared" si="8"/>
        <v>#N/A</v>
      </c>
      <c r="AE16" s="5" t="e">
        <f t="shared" si="9"/>
        <v>#N/A</v>
      </c>
    </row>
    <row r="17" spans="21:31">
      <c r="U17" t="str">
        <f t="shared" si="10"/>
        <v/>
      </c>
      <c r="V17" s="3" t="b">
        <f t="shared" si="0"/>
        <v>0</v>
      </c>
      <c r="W17" t="e">
        <f t="shared" si="1"/>
        <v>#N/A</v>
      </c>
      <c r="X17" s="4" t="e">
        <f t="shared" si="2"/>
        <v>#N/A</v>
      </c>
      <c r="Y17" s="4" t="e">
        <f t="shared" si="3"/>
        <v>#N/A</v>
      </c>
      <c r="Z17" t="e">
        <f t="shared" si="4"/>
        <v>#N/A</v>
      </c>
      <c r="AA17" s="4" t="e">
        <f t="shared" si="5"/>
        <v>#N/A</v>
      </c>
      <c r="AB17" s="4" t="e">
        <f t="shared" si="6"/>
        <v>#N/A</v>
      </c>
      <c r="AC17" s="4" t="e">
        <f t="shared" si="7"/>
        <v>#N/A</v>
      </c>
      <c r="AD17" t="e">
        <f t="shared" si="8"/>
        <v>#N/A</v>
      </c>
      <c r="AE17" s="5" t="e">
        <f t="shared" si="9"/>
        <v>#N/A</v>
      </c>
    </row>
    <row r="18" spans="21:31">
      <c r="U18" t="str">
        <f t="shared" si="10"/>
        <v/>
      </c>
      <c r="V18" s="3" t="b">
        <f t="shared" si="0"/>
        <v>0</v>
      </c>
      <c r="W18" t="e">
        <f t="shared" si="1"/>
        <v>#N/A</v>
      </c>
      <c r="X18" s="4" t="e">
        <f t="shared" si="2"/>
        <v>#N/A</v>
      </c>
      <c r="Y18" s="4" t="e">
        <f t="shared" si="3"/>
        <v>#N/A</v>
      </c>
      <c r="Z18" t="e">
        <f t="shared" si="4"/>
        <v>#N/A</v>
      </c>
      <c r="AA18" s="4" t="e">
        <f t="shared" si="5"/>
        <v>#N/A</v>
      </c>
      <c r="AB18" s="4" t="e">
        <f t="shared" si="6"/>
        <v>#N/A</v>
      </c>
      <c r="AC18" s="4" t="e">
        <f t="shared" si="7"/>
        <v>#N/A</v>
      </c>
      <c r="AD18" t="e">
        <f t="shared" si="8"/>
        <v>#N/A</v>
      </c>
      <c r="AE18" s="5" t="e">
        <f t="shared" si="9"/>
        <v>#N/A</v>
      </c>
    </row>
    <row r="19" spans="21:31">
      <c r="U19" t="str">
        <f t="shared" si="10"/>
        <v/>
      </c>
      <c r="V19" s="3" t="b">
        <f t="shared" si="0"/>
        <v>0</v>
      </c>
      <c r="W19" t="e">
        <f t="shared" si="1"/>
        <v>#N/A</v>
      </c>
      <c r="X19" s="4" t="e">
        <f t="shared" si="2"/>
        <v>#N/A</v>
      </c>
      <c r="Y19" s="4" t="e">
        <f t="shared" si="3"/>
        <v>#N/A</v>
      </c>
      <c r="Z19" t="e">
        <f t="shared" si="4"/>
        <v>#N/A</v>
      </c>
      <c r="AA19" s="4" t="e">
        <f t="shared" si="5"/>
        <v>#N/A</v>
      </c>
      <c r="AB19" s="4" t="e">
        <f t="shared" si="6"/>
        <v>#N/A</v>
      </c>
      <c r="AC19" s="4" t="e">
        <f t="shared" si="7"/>
        <v>#N/A</v>
      </c>
      <c r="AD19" t="e">
        <f t="shared" si="8"/>
        <v>#N/A</v>
      </c>
      <c r="AE19" s="5" t="e">
        <f t="shared" si="9"/>
        <v>#N/A</v>
      </c>
    </row>
    <row r="20" spans="21:31">
      <c r="U20" t="str">
        <f t="shared" si="10"/>
        <v/>
      </c>
      <c r="V20" s="3" t="b">
        <f t="shared" si="0"/>
        <v>0</v>
      </c>
      <c r="W20" t="e">
        <f t="shared" si="1"/>
        <v>#N/A</v>
      </c>
      <c r="X20" s="4" t="e">
        <f t="shared" si="2"/>
        <v>#N/A</v>
      </c>
      <c r="Y20" s="4" t="e">
        <f t="shared" si="3"/>
        <v>#N/A</v>
      </c>
      <c r="Z20" t="e">
        <f t="shared" si="4"/>
        <v>#N/A</v>
      </c>
      <c r="AA20" s="4" t="e">
        <f t="shared" si="5"/>
        <v>#N/A</v>
      </c>
      <c r="AB20" s="4" t="e">
        <f t="shared" si="6"/>
        <v>#N/A</v>
      </c>
      <c r="AC20" s="4" t="e">
        <f t="shared" si="7"/>
        <v>#N/A</v>
      </c>
      <c r="AD20" t="e">
        <f t="shared" si="8"/>
        <v>#N/A</v>
      </c>
      <c r="AE20" s="5" t="e">
        <f t="shared" si="9"/>
        <v>#N/A</v>
      </c>
    </row>
    <row r="21" spans="21:31">
      <c r="U21" t="str">
        <f t="shared" si="10"/>
        <v/>
      </c>
      <c r="V21" s="3" t="b">
        <f t="shared" si="0"/>
        <v>0</v>
      </c>
      <c r="W21" t="e">
        <f t="shared" si="1"/>
        <v>#N/A</v>
      </c>
      <c r="X21" s="4" t="e">
        <f t="shared" si="2"/>
        <v>#N/A</v>
      </c>
      <c r="Y21" s="4" t="e">
        <f t="shared" si="3"/>
        <v>#N/A</v>
      </c>
      <c r="Z21" t="e">
        <f t="shared" si="4"/>
        <v>#N/A</v>
      </c>
      <c r="AA21" s="4" t="e">
        <f t="shared" si="5"/>
        <v>#N/A</v>
      </c>
      <c r="AB21" s="4" t="e">
        <f t="shared" si="6"/>
        <v>#N/A</v>
      </c>
      <c r="AC21" s="4" t="e">
        <f t="shared" si="7"/>
        <v>#N/A</v>
      </c>
      <c r="AD21" t="e">
        <f t="shared" si="8"/>
        <v>#N/A</v>
      </c>
      <c r="AE21" s="5" t="e">
        <f t="shared" si="9"/>
        <v>#N/A</v>
      </c>
    </row>
    <row r="22" spans="21:31">
      <c r="U22" t="str">
        <f t="shared" si="10"/>
        <v/>
      </c>
      <c r="V22" s="3" t="b">
        <f t="shared" si="0"/>
        <v>0</v>
      </c>
      <c r="W22" t="e">
        <f t="shared" si="1"/>
        <v>#N/A</v>
      </c>
      <c r="X22" s="4" t="e">
        <f t="shared" si="2"/>
        <v>#N/A</v>
      </c>
      <c r="Y22" s="4" t="e">
        <f t="shared" si="3"/>
        <v>#N/A</v>
      </c>
      <c r="Z22" t="e">
        <f t="shared" si="4"/>
        <v>#N/A</v>
      </c>
      <c r="AA22" s="4" t="e">
        <f t="shared" si="5"/>
        <v>#N/A</v>
      </c>
      <c r="AB22" s="4" t="e">
        <f t="shared" si="6"/>
        <v>#N/A</v>
      </c>
      <c r="AC22" s="4" t="e">
        <f t="shared" si="7"/>
        <v>#N/A</v>
      </c>
      <c r="AD22" t="e">
        <f t="shared" si="8"/>
        <v>#N/A</v>
      </c>
      <c r="AE22" s="5" t="e">
        <f t="shared" si="9"/>
        <v>#N/A</v>
      </c>
    </row>
    <row r="23" spans="21:31">
      <c r="U23" t="str">
        <f t="shared" si="10"/>
        <v/>
      </c>
      <c r="V23" s="3" t="b">
        <f t="shared" si="0"/>
        <v>0</v>
      </c>
      <c r="W23" t="e">
        <f t="shared" si="1"/>
        <v>#N/A</v>
      </c>
      <c r="X23" s="4" t="e">
        <f t="shared" si="2"/>
        <v>#N/A</v>
      </c>
      <c r="Y23" s="4" t="e">
        <f t="shared" si="3"/>
        <v>#N/A</v>
      </c>
      <c r="Z23" t="e">
        <f t="shared" si="4"/>
        <v>#N/A</v>
      </c>
      <c r="AA23" s="4" t="e">
        <f t="shared" si="5"/>
        <v>#N/A</v>
      </c>
      <c r="AB23" s="4" t="e">
        <f t="shared" si="6"/>
        <v>#N/A</v>
      </c>
      <c r="AC23" s="4" t="e">
        <f t="shared" si="7"/>
        <v>#N/A</v>
      </c>
      <c r="AD23" t="e">
        <f t="shared" si="8"/>
        <v>#N/A</v>
      </c>
      <c r="AE23" s="5" t="e">
        <f t="shared" si="9"/>
        <v>#N/A</v>
      </c>
    </row>
    <row r="24" spans="21:31">
      <c r="U24" t="str">
        <f t="shared" si="10"/>
        <v/>
      </c>
      <c r="V24" s="3" t="b">
        <f t="shared" si="0"/>
        <v>0</v>
      </c>
      <c r="W24" t="e">
        <f t="shared" si="1"/>
        <v>#N/A</v>
      </c>
      <c r="X24" s="4" t="e">
        <f t="shared" si="2"/>
        <v>#N/A</v>
      </c>
      <c r="Y24" s="4" t="e">
        <f t="shared" si="3"/>
        <v>#N/A</v>
      </c>
      <c r="Z24" t="e">
        <f t="shared" si="4"/>
        <v>#N/A</v>
      </c>
      <c r="AA24" s="4" t="e">
        <f t="shared" si="5"/>
        <v>#N/A</v>
      </c>
      <c r="AB24" s="4" t="e">
        <f t="shared" si="6"/>
        <v>#N/A</v>
      </c>
      <c r="AC24" s="4" t="e">
        <f t="shared" si="7"/>
        <v>#N/A</v>
      </c>
      <c r="AD24" t="e">
        <f t="shared" si="8"/>
        <v>#N/A</v>
      </c>
      <c r="AE24" s="5" t="e">
        <f t="shared" si="9"/>
        <v>#N/A</v>
      </c>
    </row>
    <row r="25" spans="21:31">
      <c r="U25" t="str">
        <f t="shared" si="10"/>
        <v/>
      </c>
      <c r="V25" s="3" t="b">
        <f t="shared" si="0"/>
        <v>0</v>
      </c>
      <c r="W25" t="e">
        <f t="shared" si="1"/>
        <v>#N/A</v>
      </c>
      <c r="X25" s="4" t="e">
        <f t="shared" si="2"/>
        <v>#N/A</v>
      </c>
      <c r="Y25" s="4" t="e">
        <f t="shared" si="3"/>
        <v>#N/A</v>
      </c>
      <c r="Z25" t="e">
        <f t="shared" si="4"/>
        <v>#N/A</v>
      </c>
      <c r="AA25" s="4" t="e">
        <f t="shared" si="5"/>
        <v>#N/A</v>
      </c>
      <c r="AB25" s="4" t="e">
        <f t="shared" si="6"/>
        <v>#N/A</v>
      </c>
      <c r="AC25" s="4" t="e">
        <f t="shared" si="7"/>
        <v>#N/A</v>
      </c>
      <c r="AD25" t="e">
        <f t="shared" si="8"/>
        <v>#N/A</v>
      </c>
      <c r="AE25" s="5" t="e">
        <f t="shared" si="9"/>
        <v>#N/A</v>
      </c>
    </row>
    <row r="26" spans="21:31">
      <c r="U26" t="str">
        <f t="shared" si="10"/>
        <v/>
      </c>
      <c r="V26" s="3" t="b">
        <f t="shared" si="0"/>
        <v>0</v>
      </c>
      <c r="W26" t="e">
        <f t="shared" si="1"/>
        <v>#N/A</v>
      </c>
      <c r="X26" s="4" t="e">
        <f t="shared" si="2"/>
        <v>#N/A</v>
      </c>
      <c r="Y26" s="4" t="e">
        <f t="shared" si="3"/>
        <v>#N/A</v>
      </c>
      <c r="Z26" t="e">
        <f t="shared" si="4"/>
        <v>#N/A</v>
      </c>
      <c r="AA26" s="4" t="e">
        <f t="shared" si="5"/>
        <v>#N/A</v>
      </c>
      <c r="AB26" s="4" t="e">
        <f t="shared" si="6"/>
        <v>#N/A</v>
      </c>
      <c r="AC26" s="4" t="e">
        <f t="shared" si="7"/>
        <v>#N/A</v>
      </c>
      <c r="AD26" t="e">
        <f t="shared" si="8"/>
        <v>#N/A</v>
      </c>
      <c r="AE26" s="5" t="e">
        <f t="shared" si="9"/>
        <v>#N/A</v>
      </c>
    </row>
    <row r="27" spans="21:31">
      <c r="U27" t="str">
        <f t="shared" si="10"/>
        <v/>
      </c>
      <c r="V27" s="3" t="b">
        <f t="shared" si="0"/>
        <v>0</v>
      </c>
      <c r="W27" t="e">
        <f t="shared" si="1"/>
        <v>#N/A</v>
      </c>
      <c r="X27" s="4" t="e">
        <f t="shared" si="2"/>
        <v>#N/A</v>
      </c>
      <c r="Y27" s="4" t="e">
        <f t="shared" si="3"/>
        <v>#N/A</v>
      </c>
      <c r="Z27" t="e">
        <f t="shared" si="4"/>
        <v>#N/A</v>
      </c>
      <c r="AA27" s="4" t="e">
        <f t="shared" si="5"/>
        <v>#N/A</v>
      </c>
      <c r="AB27" s="4" t="e">
        <f t="shared" si="6"/>
        <v>#N/A</v>
      </c>
      <c r="AC27" s="4" t="e">
        <f t="shared" si="7"/>
        <v>#N/A</v>
      </c>
      <c r="AD27" t="e">
        <f t="shared" si="8"/>
        <v>#N/A</v>
      </c>
      <c r="AE27" s="5" t="e">
        <f t="shared" si="9"/>
        <v>#N/A</v>
      </c>
    </row>
    <row r="28" spans="21:31">
      <c r="U28" t="str">
        <f t="shared" si="10"/>
        <v/>
      </c>
      <c r="V28" s="3" t="b">
        <f t="shared" si="0"/>
        <v>0</v>
      </c>
      <c r="W28" t="e">
        <f t="shared" si="1"/>
        <v>#N/A</v>
      </c>
      <c r="X28" s="4" t="e">
        <f t="shared" si="2"/>
        <v>#N/A</v>
      </c>
      <c r="Y28" s="4" t="e">
        <f t="shared" si="3"/>
        <v>#N/A</v>
      </c>
      <c r="Z28" t="e">
        <f t="shared" si="4"/>
        <v>#N/A</v>
      </c>
      <c r="AA28" s="4" t="e">
        <f t="shared" si="5"/>
        <v>#N/A</v>
      </c>
      <c r="AB28" s="4" t="e">
        <f t="shared" si="6"/>
        <v>#N/A</v>
      </c>
      <c r="AC28" s="4" t="e">
        <f t="shared" si="7"/>
        <v>#N/A</v>
      </c>
      <c r="AD28" t="e">
        <f t="shared" si="8"/>
        <v>#N/A</v>
      </c>
      <c r="AE28" s="5" t="e">
        <f t="shared" si="9"/>
        <v>#N/A</v>
      </c>
    </row>
    <row r="29" spans="21:31">
      <c r="U29" t="str">
        <f t="shared" si="10"/>
        <v/>
      </c>
      <c r="V29" s="3" t="b">
        <f t="shared" si="0"/>
        <v>0</v>
      </c>
      <c r="W29" t="e">
        <f t="shared" si="1"/>
        <v>#N/A</v>
      </c>
      <c r="X29" s="4" t="e">
        <f t="shared" si="2"/>
        <v>#N/A</v>
      </c>
      <c r="Y29" s="4" t="e">
        <f t="shared" si="3"/>
        <v>#N/A</v>
      </c>
      <c r="Z29" t="e">
        <f t="shared" si="4"/>
        <v>#N/A</v>
      </c>
      <c r="AA29" s="4" t="e">
        <f t="shared" si="5"/>
        <v>#N/A</v>
      </c>
      <c r="AB29" s="4" t="e">
        <f t="shared" si="6"/>
        <v>#N/A</v>
      </c>
      <c r="AC29" s="4" t="e">
        <f t="shared" si="7"/>
        <v>#N/A</v>
      </c>
      <c r="AD29" t="e">
        <f t="shared" si="8"/>
        <v>#N/A</v>
      </c>
      <c r="AE29" s="5" t="e">
        <f t="shared" si="9"/>
        <v>#N/A</v>
      </c>
    </row>
    <row r="30" spans="21:31">
      <c r="U30" t="str">
        <f t="shared" si="10"/>
        <v/>
      </c>
      <c r="V30" s="3" t="b">
        <f t="shared" si="0"/>
        <v>0</v>
      </c>
      <c r="W30" t="e">
        <f t="shared" si="1"/>
        <v>#N/A</v>
      </c>
      <c r="X30" s="4" t="e">
        <f t="shared" si="2"/>
        <v>#N/A</v>
      </c>
      <c r="Y30" s="4" t="e">
        <f t="shared" si="3"/>
        <v>#N/A</v>
      </c>
      <c r="Z30" t="e">
        <f t="shared" si="4"/>
        <v>#N/A</v>
      </c>
      <c r="AA30" s="4" t="e">
        <f t="shared" si="5"/>
        <v>#N/A</v>
      </c>
      <c r="AB30" s="4" t="e">
        <f t="shared" si="6"/>
        <v>#N/A</v>
      </c>
      <c r="AC30" s="4" t="e">
        <f t="shared" si="7"/>
        <v>#N/A</v>
      </c>
      <c r="AD30" t="e">
        <f t="shared" si="8"/>
        <v>#N/A</v>
      </c>
      <c r="AE30" s="5" t="e">
        <f t="shared" si="9"/>
        <v>#N/A</v>
      </c>
    </row>
    <row r="31" spans="21:31">
      <c r="U31" t="str">
        <f t="shared" si="10"/>
        <v/>
      </c>
      <c r="V31" s="3" t="b">
        <f t="shared" si="0"/>
        <v>0</v>
      </c>
      <c r="W31" t="e">
        <f t="shared" si="1"/>
        <v>#N/A</v>
      </c>
      <c r="X31" s="4" t="e">
        <f t="shared" si="2"/>
        <v>#N/A</v>
      </c>
      <c r="Y31" s="4" t="e">
        <f t="shared" si="3"/>
        <v>#N/A</v>
      </c>
      <c r="Z31" t="e">
        <f t="shared" si="4"/>
        <v>#N/A</v>
      </c>
      <c r="AA31" s="4" t="e">
        <f t="shared" si="5"/>
        <v>#N/A</v>
      </c>
      <c r="AB31" s="4" t="e">
        <f t="shared" si="6"/>
        <v>#N/A</v>
      </c>
      <c r="AC31" s="4" t="e">
        <f t="shared" si="7"/>
        <v>#N/A</v>
      </c>
      <c r="AD31" t="e">
        <f t="shared" si="8"/>
        <v>#N/A</v>
      </c>
      <c r="AE31" s="5" t="e">
        <f t="shared" si="9"/>
        <v>#N/A</v>
      </c>
    </row>
    <row r="32" spans="21:31">
      <c r="U32" t="str">
        <f t="shared" si="10"/>
        <v/>
      </c>
      <c r="V32" s="3" t="b">
        <f t="shared" si="0"/>
        <v>0</v>
      </c>
      <c r="W32" t="e">
        <f t="shared" si="1"/>
        <v>#N/A</v>
      </c>
      <c r="X32" s="4" t="e">
        <f t="shared" si="2"/>
        <v>#N/A</v>
      </c>
      <c r="Y32" s="4" t="e">
        <f t="shared" si="3"/>
        <v>#N/A</v>
      </c>
      <c r="Z32" t="e">
        <f t="shared" si="4"/>
        <v>#N/A</v>
      </c>
      <c r="AA32" s="4" t="e">
        <f t="shared" si="5"/>
        <v>#N/A</v>
      </c>
      <c r="AB32" s="4" t="e">
        <f t="shared" si="6"/>
        <v>#N/A</v>
      </c>
      <c r="AC32" s="4" t="e">
        <f t="shared" si="7"/>
        <v>#N/A</v>
      </c>
      <c r="AD32" t="e">
        <f t="shared" si="8"/>
        <v>#N/A</v>
      </c>
      <c r="AE32" s="5" t="e">
        <f t="shared" si="9"/>
        <v>#N/A</v>
      </c>
    </row>
    <row r="33" spans="21:31">
      <c r="U33" t="str">
        <f t="shared" si="10"/>
        <v/>
      </c>
      <c r="V33" s="3" t="b">
        <f t="shared" si="0"/>
        <v>0</v>
      </c>
      <c r="W33" t="e">
        <f t="shared" si="1"/>
        <v>#N/A</v>
      </c>
      <c r="X33" s="4" t="e">
        <f t="shared" si="2"/>
        <v>#N/A</v>
      </c>
      <c r="Y33" s="4" t="e">
        <f t="shared" si="3"/>
        <v>#N/A</v>
      </c>
      <c r="Z33" t="e">
        <f t="shared" si="4"/>
        <v>#N/A</v>
      </c>
      <c r="AA33" s="4" t="e">
        <f t="shared" si="5"/>
        <v>#N/A</v>
      </c>
      <c r="AB33" s="4" t="e">
        <f t="shared" si="6"/>
        <v>#N/A</v>
      </c>
      <c r="AC33" s="4" t="e">
        <f t="shared" si="7"/>
        <v>#N/A</v>
      </c>
      <c r="AD33" t="e">
        <f t="shared" si="8"/>
        <v>#N/A</v>
      </c>
      <c r="AE33" s="5" t="e">
        <f t="shared" si="9"/>
        <v>#N/A</v>
      </c>
    </row>
    <row r="34" spans="21:31">
      <c r="U34" t="str">
        <f t="shared" si="10"/>
        <v/>
      </c>
      <c r="V34" s="3" t="b">
        <f t="shared" si="0"/>
        <v>0</v>
      </c>
      <c r="W34" t="e">
        <f t="shared" si="1"/>
        <v>#N/A</v>
      </c>
      <c r="X34" s="4" t="e">
        <f t="shared" si="2"/>
        <v>#N/A</v>
      </c>
      <c r="Y34" s="4" t="e">
        <f t="shared" si="3"/>
        <v>#N/A</v>
      </c>
      <c r="Z34" t="e">
        <f t="shared" si="4"/>
        <v>#N/A</v>
      </c>
      <c r="AA34" s="4" t="e">
        <f t="shared" si="5"/>
        <v>#N/A</v>
      </c>
      <c r="AB34" s="4" t="e">
        <f t="shared" si="6"/>
        <v>#N/A</v>
      </c>
      <c r="AC34" s="4" t="e">
        <f t="shared" si="7"/>
        <v>#N/A</v>
      </c>
      <c r="AD34" t="e">
        <f t="shared" si="8"/>
        <v>#N/A</v>
      </c>
      <c r="AE34" s="5" t="e">
        <f t="shared" si="9"/>
        <v>#N/A</v>
      </c>
    </row>
    <row r="35" spans="21:31">
      <c r="U35" t="str">
        <f t="shared" si="10"/>
        <v/>
      </c>
      <c r="V35" s="3" t="b">
        <f t="shared" si="0"/>
        <v>0</v>
      </c>
      <c r="W35" t="e">
        <f t="shared" si="1"/>
        <v>#N/A</v>
      </c>
      <c r="X35" s="4" t="e">
        <f t="shared" si="2"/>
        <v>#N/A</v>
      </c>
      <c r="Y35" s="4" t="e">
        <f t="shared" si="3"/>
        <v>#N/A</v>
      </c>
      <c r="Z35" t="e">
        <f t="shared" si="4"/>
        <v>#N/A</v>
      </c>
      <c r="AA35" s="4" t="e">
        <f t="shared" si="5"/>
        <v>#N/A</v>
      </c>
      <c r="AB35" s="4" t="e">
        <f t="shared" si="6"/>
        <v>#N/A</v>
      </c>
      <c r="AC35" s="4" t="e">
        <f t="shared" si="7"/>
        <v>#N/A</v>
      </c>
      <c r="AD35" t="e">
        <f t="shared" si="8"/>
        <v>#N/A</v>
      </c>
      <c r="AE35" s="5" t="e">
        <f t="shared" si="9"/>
        <v>#N/A</v>
      </c>
    </row>
    <row r="36" spans="21:31">
      <c r="U36" t="str">
        <f t="shared" si="10"/>
        <v/>
      </c>
      <c r="V36" s="3" t="b">
        <f t="shared" si="0"/>
        <v>0</v>
      </c>
      <c r="W36" t="e">
        <f t="shared" si="1"/>
        <v>#N/A</v>
      </c>
      <c r="X36" s="4" t="e">
        <f t="shared" si="2"/>
        <v>#N/A</v>
      </c>
      <c r="Y36" s="4" t="e">
        <f t="shared" si="3"/>
        <v>#N/A</v>
      </c>
      <c r="Z36" t="e">
        <f t="shared" si="4"/>
        <v>#N/A</v>
      </c>
      <c r="AA36" s="4" t="e">
        <f t="shared" si="5"/>
        <v>#N/A</v>
      </c>
      <c r="AB36" s="4" t="e">
        <f t="shared" si="6"/>
        <v>#N/A</v>
      </c>
      <c r="AC36" s="4" t="e">
        <f t="shared" si="7"/>
        <v>#N/A</v>
      </c>
      <c r="AD36" t="e">
        <f t="shared" si="8"/>
        <v>#N/A</v>
      </c>
      <c r="AE36" s="5" t="e">
        <f t="shared" si="9"/>
        <v>#N/A</v>
      </c>
    </row>
    <row r="37" spans="21:31">
      <c r="U37" t="str">
        <f t="shared" si="10"/>
        <v/>
      </c>
      <c r="V37" s="3" t="b">
        <f t="shared" si="0"/>
        <v>0</v>
      </c>
      <c r="W37" t="e">
        <f t="shared" si="1"/>
        <v>#N/A</v>
      </c>
      <c r="X37" s="4" t="e">
        <f t="shared" si="2"/>
        <v>#N/A</v>
      </c>
      <c r="Y37" s="4" t="e">
        <f t="shared" si="3"/>
        <v>#N/A</v>
      </c>
      <c r="Z37" t="e">
        <f t="shared" si="4"/>
        <v>#N/A</v>
      </c>
      <c r="AA37" s="4" t="e">
        <f t="shared" si="5"/>
        <v>#N/A</v>
      </c>
      <c r="AB37" s="4" t="e">
        <f t="shared" si="6"/>
        <v>#N/A</v>
      </c>
      <c r="AC37" s="4" t="e">
        <f t="shared" si="7"/>
        <v>#N/A</v>
      </c>
      <c r="AD37" t="e">
        <f t="shared" si="8"/>
        <v>#N/A</v>
      </c>
      <c r="AE37" s="5" t="e">
        <f t="shared" si="9"/>
        <v>#N/A</v>
      </c>
    </row>
    <row r="38" spans="21:31">
      <c r="U38" t="str">
        <f t="shared" si="10"/>
        <v/>
      </c>
      <c r="V38" s="3" t="b">
        <f t="shared" si="0"/>
        <v>0</v>
      </c>
      <c r="W38" t="e">
        <f t="shared" si="1"/>
        <v>#N/A</v>
      </c>
      <c r="X38" s="4" t="e">
        <f t="shared" si="2"/>
        <v>#N/A</v>
      </c>
      <c r="Y38" s="4" t="e">
        <f t="shared" si="3"/>
        <v>#N/A</v>
      </c>
      <c r="Z38" t="e">
        <f t="shared" si="4"/>
        <v>#N/A</v>
      </c>
      <c r="AA38" s="4" t="e">
        <f t="shared" si="5"/>
        <v>#N/A</v>
      </c>
      <c r="AB38" s="4" t="e">
        <f t="shared" si="6"/>
        <v>#N/A</v>
      </c>
      <c r="AC38" s="4" t="e">
        <f t="shared" si="7"/>
        <v>#N/A</v>
      </c>
      <c r="AD38" t="e">
        <f t="shared" si="8"/>
        <v>#N/A</v>
      </c>
      <c r="AE38" s="5" t="e">
        <f t="shared" si="9"/>
        <v>#N/A</v>
      </c>
    </row>
    <row r="39" spans="21:31">
      <c r="U39" t="str">
        <f t="shared" si="10"/>
        <v/>
      </c>
      <c r="V39" s="3" t="b">
        <f t="shared" si="0"/>
        <v>0</v>
      </c>
      <c r="W39" t="e">
        <f t="shared" si="1"/>
        <v>#N/A</v>
      </c>
      <c r="X39" s="4" t="e">
        <f t="shared" si="2"/>
        <v>#N/A</v>
      </c>
      <c r="Y39" s="4" t="e">
        <f t="shared" si="3"/>
        <v>#N/A</v>
      </c>
      <c r="Z39" t="e">
        <f t="shared" si="4"/>
        <v>#N/A</v>
      </c>
      <c r="AA39" s="4" t="e">
        <f t="shared" si="5"/>
        <v>#N/A</v>
      </c>
      <c r="AB39" s="4" t="e">
        <f t="shared" si="6"/>
        <v>#N/A</v>
      </c>
      <c r="AC39" s="4" t="e">
        <f t="shared" si="7"/>
        <v>#N/A</v>
      </c>
      <c r="AD39" t="e">
        <f t="shared" si="8"/>
        <v>#N/A</v>
      </c>
      <c r="AE39" s="5" t="e">
        <f t="shared" si="9"/>
        <v>#N/A</v>
      </c>
    </row>
    <row r="40" spans="21:31">
      <c r="U40" t="str">
        <f t="shared" si="10"/>
        <v/>
      </c>
      <c r="V40" s="3" t="b">
        <f t="shared" si="0"/>
        <v>0</v>
      </c>
      <c r="W40" t="e">
        <f t="shared" si="1"/>
        <v>#N/A</v>
      </c>
      <c r="X40" s="4" t="e">
        <f t="shared" si="2"/>
        <v>#N/A</v>
      </c>
      <c r="Y40" s="4" t="e">
        <f t="shared" si="3"/>
        <v>#N/A</v>
      </c>
      <c r="Z40" t="e">
        <f t="shared" si="4"/>
        <v>#N/A</v>
      </c>
      <c r="AA40" s="4" t="e">
        <f t="shared" si="5"/>
        <v>#N/A</v>
      </c>
      <c r="AB40" s="4" t="e">
        <f t="shared" si="6"/>
        <v>#N/A</v>
      </c>
      <c r="AC40" s="4" t="e">
        <f t="shared" si="7"/>
        <v>#N/A</v>
      </c>
      <c r="AD40" t="e">
        <f t="shared" si="8"/>
        <v>#N/A</v>
      </c>
      <c r="AE40" s="5" t="e">
        <f t="shared" si="9"/>
        <v>#N/A</v>
      </c>
    </row>
    <row r="41" spans="21:31">
      <c r="U41" t="str">
        <f t="shared" si="10"/>
        <v/>
      </c>
      <c r="V41" s="3" t="b">
        <f t="shared" si="0"/>
        <v>0</v>
      </c>
      <c r="W41" t="e">
        <f t="shared" si="1"/>
        <v>#N/A</v>
      </c>
      <c r="X41" s="4" t="e">
        <f t="shared" si="2"/>
        <v>#N/A</v>
      </c>
      <c r="Y41" s="4" t="e">
        <f t="shared" si="3"/>
        <v>#N/A</v>
      </c>
      <c r="Z41" t="e">
        <f t="shared" si="4"/>
        <v>#N/A</v>
      </c>
      <c r="AA41" s="4" t="e">
        <f t="shared" si="5"/>
        <v>#N/A</v>
      </c>
      <c r="AB41" s="4" t="e">
        <f t="shared" si="6"/>
        <v>#N/A</v>
      </c>
      <c r="AC41" s="4" t="e">
        <f t="shared" si="7"/>
        <v>#N/A</v>
      </c>
      <c r="AD41" t="e">
        <f t="shared" si="8"/>
        <v>#N/A</v>
      </c>
      <c r="AE41" s="5" t="e">
        <f t="shared" si="9"/>
        <v>#N/A</v>
      </c>
    </row>
    <row r="42" spans="21:31">
      <c r="U42" t="str">
        <f t="shared" si="10"/>
        <v/>
      </c>
      <c r="V42" s="3" t="b">
        <f t="shared" si="0"/>
        <v>0</v>
      </c>
      <c r="W42" t="e">
        <f t="shared" si="1"/>
        <v>#N/A</v>
      </c>
      <c r="X42" s="4" t="e">
        <f t="shared" si="2"/>
        <v>#N/A</v>
      </c>
      <c r="Y42" s="4" t="e">
        <f t="shared" si="3"/>
        <v>#N/A</v>
      </c>
      <c r="Z42" t="e">
        <f t="shared" si="4"/>
        <v>#N/A</v>
      </c>
      <c r="AA42" s="4" t="e">
        <f t="shared" si="5"/>
        <v>#N/A</v>
      </c>
      <c r="AB42" s="4" t="e">
        <f t="shared" si="6"/>
        <v>#N/A</v>
      </c>
      <c r="AC42" s="4" t="e">
        <f t="shared" si="7"/>
        <v>#N/A</v>
      </c>
      <c r="AD42" t="e">
        <f t="shared" si="8"/>
        <v>#N/A</v>
      </c>
      <c r="AE42" s="5" t="e">
        <f t="shared" si="9"/>
        <v>#N/A</v>
      </c>
    </row>
    <row r="43" spans="21:31">
      <c r="U43" t="str">
        <f t="shared" si="10"/>
        <v/>
      </c>
      <c r="V43" s="3" t="b">
        <f t="shared" si="0"/>
        <v>0</v>
      </c>
      <c r="W43" t="e">
        <f t="shared" si="1"/>
        <v>#N/A</v>
      </c>
      <c r="X43" s="4" t="e">
        <f t="shared" si="2"/>
        <v>#N/A</v>
      </c>
      <c r="Y43" s="4" t="e">
        <f t="shared" si="3"/>
        <v>#N/A</v>
      </c>
      <c r="Z43" t="e">
        <f t="shared" si="4"/>
        <v>#N/A</v>
      </c>
      <c r="AA43" s="4" t="e">
        <f t="shared" si="5"/>
        <v>#N/A</v>
      </c>
      <c r="AB43" s="4" t="e">
        <f t="shared" si="6"/>
        <v>#N/A</v>
      </c>
      <c r="AC43" s="4" t="e">
        <f t="shared" si="7"/>
        <v>#N/A</v>
      </c>
      <c r="AD43" t="e">
        <f t="shared" si="8"/>
        <v>#N/A</v>
      </c>
      <c r="AE43" s="5" t="e">
        <f t="shared" si="9"/>
        <v>#N/A</v>
      </c>
    </row>
    <row r="44" spans="21:31">
      <c r="U44" t="str">
        <f t="shared" si="10"/>
        <v/>
      </c>
      <c r="V44" s="3" t="b">
        <f t="shared" si="0"/>
        <v>0</v>
      </c>
      <c r="W44" t="e">
        <f t="shared" si="1"/>
        <v>#N/A</v>
      </c>
      <c r="X44" s="4" t="e">
        <f t="shared" si="2"/>
        <v>#N/A</v>
      </c>
      <c r="Y44" s="4" t="e">
        <f t="shared" si="3"/>
        <v>#N/A</v>
      </c>
      <c r="Z44" t="e">
        <f t="shared" si="4"/>
        <v>#N/A</v>
      </c>
      <c r="AA44" s="4" t="e">
        <f t="shared" si="5"/>
        <v>#N/A</v>
      </c>
      <c r="AB44" s="4" t="e">
        <f t="shared" si="6"/>
        <v>#N/A</v>
      </c>
      <c r="AC44" s="4" t="e">
        <f t="shared" si="7"/>
        <v>#N/A</v>
      </c>
      <c r="AD44" t="e">
        <f t="shared" si="8"/>
        <v>#N/A</v>
      </c>
      <c r="AE44" s="5" t="e">
        <f t="shared" si="9"/>
        <v>#N/A</v>
      </c>
    </row>
    <row r="45" spans="21:31">
      <c r="U45" t="str">
        <f t="shared" si="10"/>
        <v/>
      </c>
      <c r="V45" s="3" t="b">
        <f t="shared" si="0"/>
        <v>0</v>
      </c>
      <c r="W45" t="e">
        <f t="shared" si="1"/>
        <v>#N/A</v>
      </c>
      <c r="X45" s="4" t="e">
        <f t="shared" si="2"/>
        <v>#N/A</v>
      </c>
      <c r="Y45" s="4" t="e">
        <f t="shared" si="3"/>
        <v>#N/A</v>
      </c>
      <c r="Z45" t="e">
        <f t="shared" si="4"/>
        <v>#N/A</v>
      </c>
      <c r="AA45" s="4" t="e">
        <f t="shared" si="5"/>
        <v>#N/A</v>
      </c>
      <c r="AB45" s="4" t="e">
        <f t="shared" si="6"/>
        <v>#N/A</v>
      </c>
      <c r="AC45" s="4" t="e">
        <f t="shared" si="7"/>
        <v>#N/A</v>
      </c>
      <c r="AD45" t="e">
        <f t="shared" si="8"/>
        <v>#N/A</v>
      </c>
      <c r="AE45" s="5" t="e">
        <f t="shared" si="9"/>
        <v>#N/A</v>
      </c>
    </row>
    <row r="46" spans="21:31">
      <c r="U46" t="str">
        <f t="shared" si="10"/>
        <v/>
      </c>
      <c r="V46" s="3" t="b">
        <f t="shared" si="0"/>
        <v>0</v>
      </c>
      <c r="W46" t="e">
        <f t="shared" si="1"/>
        <v>#N/A</v>
      </c>
      <c r="X46" s="4" t="e">
        <f t="shared" si="2"/>
        <v>#N/A</v>
      </c>
      <c r="Y46" s="4" t="e">
        <f t="shared" si="3"/>
        <v>#N/A</v>
      </c>
      <c r="Z46" t="e">
        <f t="shared" si="4"/>
        <v>#N/A</v>
      </c>
      <c r="AA46" s="4" t="e">
        <f t="shared" si="5"/>
        <v>#N/A</v>
      </c>
      <c r="AB46" s="4" t="e">
        <f t="shared" si="6"/>
        <v>#N/A</v>
      </c>
      <c r="AC46" s="4" t="e">
        <f t="shared" si="7"/>
        <v>#N/A</v>
      </c>
      <c r="AD46" t="e">
        <f t="shared" si="8"/>
        <v>#N/A</v>
      </c>
      <c r="AE46" s="5" t="e">
        <f t="shared" si="9"/>
        <v>#N/A</v>
      </c>
    </row>
    <row r="47" spans="21:31">
      <c r="U47" t="str">
        <f t="shared" si="10"/>
        <v/>
      </c>
      <c r="V47" s="3" t="b">
        <f t="shared" si="0"/>
        <v>0</v>
      </c>
      <c r="W47" t="e">
        <f t="shared" si="1"/>
        <v>#N/A</v>
      </c>
      <c r="X47" s="4" t="e">
        <f t="shared" si="2"/>
        <v>#N/A</v>
      </c>
      <c r="Y47" s="4" t="e">
        <f t="shared" si="3"/>
        <v>#N/A</v>
      </c>
      <c r="Z47" t="e">
        <f t="shared" si="4"/>
        <v>#N/A</v>
      </c>
      <c r="AA47" s="4" t="e">
        <f t="shared" si="5"/>
        <v>#N/A</v>
      </c>
      <c r="AB47" s="4" t="e">
        <f t="shared" si="6"/>
        <v>#N/A</v>
      </c>
      <c r="AC47" s="4" t="e">
        <f t="shared" si="7"/>
        <v>#N/A</v>
      </c>
      <c r="AD47" t="e">
        <f t="shared" si="8"/>
        <v>#N/A</v>
      </c>
      <c r="AE47" s="5" t="e">
        <f t="shared" si="9"/>
        <v>#N/A</v>
      </c>
    </row>
    <row r="48" spans="21:31">
      <c r="U48" t="str">
        <f t="shared" si="10"/>
        <v/>
      </c>
      <c r="V48" s="3" t="b">
        <f t="shared" si="0"/>
        <v>0</v>
      </c>
      <c r="W48" t="e">
        <f t="shared" si="1"/>
        <v>#N/A</v>
      </c>
      <c r="X48" s="4" t="e">
        <f t="shared" si="2"/>
        <v>#N/A</v>
      </c>
      <c r="Y48" s="4" t="e">
        <f t="shared" si="3"/>
        <v>#N/A</v>
      </c>
      <c r="Z48" t="e">
        <f t="shared" si="4"/>
        <v>#N/A</v>
      </c>
      <c r="AA48" s="4" t="e">
        <f t="shared" si="5"/>
        <v>#N/A</v>
      </c>
      <c r="AB48" s="4" t="e">
        <f t="shared" si="6"/>
        <v>#N/A</v>
      </c>
      <c r="AC48" s="4" t="e">
        <f t="shared" si="7"/>
        <v>#N/A</v>
      </c>
      <c r="AD48" t="e">
        <f t="shared" si="8"/>
        <v>#N/A</v>
      </c>
      <c r="AE48" s="5" t="e">
        <f t="shared" si="9"/>
        <v>#N/A</v>
      </c>
    </row>
    <row r="49" spans="21:31">
      <c r="U49" t="str">
        <f t="shared" si="10"/>
        <v/>
      </c>
      <c r="V49" s="3" t="b">
        <f t="shared" si="0"/>
        <v>0</v>
      </c>
      <c r="W49" t="e">
        <f t="shared" si="1"/>
        <v>#N/A</v>
      </c>
      <c r="X49" s="4" t="e">
        <f t="shared" si="2"/>
        <v>#N/A</v>
      </c>
      <c r="Y49" s="4" t="e">
        <f t="shared" si="3"/>
        <v>#N/A</v>
      </c>
      <c r="Z49" t="e">
        <f t="shared" si="4"/>
        <v>#N/A</v>
      </c>
      <c r="AA49" s="4" t="e">
        <f t="shared" si="5"/>
        <v>#N/A</v>
      </c>
      <c r="AB49" s="4" t="e">
        <f t="shared" si="6"/>
        <v>#N/A</v>
      </c>
      <c r="AC49" s="4" t="e">
        <f t="shared" si="7"/>
        <v>#N/A</v>
      </c>
      <c r="AD49" t="e">
        <f t="shared" si="8"/>
        <v>#N/A</v>
      </c>
      <c r="AE49" s="5" t="e">
        <f t="shared" si="9"/>
        <v>#N/A</v>
      </c>
    </row>
    <row r="50" spans="21:31">
      <c r="U50" t="str">
        <f t="shared" si="10"/>
        <v/>
      </c>
      <c r="V50" s="3" t="b">
        <f t="shared" si="0"/>
        <v>0</v>
      </c>
      <c r="W50" t="e">
        <f t="shared" si="1"/>
        <v>#N/A</v>
      </c>
      <c r="X50" s="4" t="e">
        <f t="shared" si="2"/>
        <v>#N/A</v>
      </c>
      <c r="Y50" s="4" t="e">
        <f t="shared" si="3"/>
        <v>#N/A</v>
      </c>
      <c r="Z50" t="e">
        <f t="shared" si="4"/>
        <v>#N/A</v>
      </c>
      <c r="AA50" s="4" t="e">
        <f t="shared" si="5"/>
        <v>#N/A</v>
      </c>
      <c r="AB50" s="4" t="e">
        <f t="shared" si="6"/>
        <v>#N/A</v>
      </c>
      <c r="AC50" s="4" t="e">
        <f t="shared" si="7"/>
        <v>#N/A</v>
      </c>
      <c r="AD50" t="e">
        <f t="shared" si="8"/>
        <v>#N/A</v>
      </c>
      <c r="AE50" s="5" t="e">
        <f t="shared" si="9"/>
        <v>#N/A</v>
      </c>
    </row>
    <row r="51" spans="21:31">
      <c r="U51" t="str">
        <f t="shared" si="10"/>
        <v/>
      </c>
      <c r="V51" s="3" t="b">
        <f t="shared" si="0"/>
        <v>0</v>
      </c>
      <c r="W51" t="e">
        <f t="shared" si="1"/>
        <v>#N/A</v>
      </c>
      <c r="X51" s="4" t="e">
        <f t="shared" si="2"/>
        <v>#N/A</v>
      </c>
      <c r="Y51" s="4" t="e">
        <f t="shared" si="3"/>
        <v>#N/A</v>
      </c>
      <c r="Z51" t="e">
        <f t="shared" si="4"/>
        <v>#N/A</v>
      </c>
      <c r="AA51" s="4" t="e">
        <f t="shared" si="5"/>
        <v>#N/A</v>
      </c>
      <c r="AB51" s="4" t="e">
        <f t="shared" si="6"/>
        <v>#N/A</v>
      </c>
      <c r="AC51" s="4" t="e">
        <f t="shared" si="7"/>
        <v>#N/A</v>
      </c>
      <c r="AD51" t="e">
        <f t="shared" si="8"/>
        <v>#N/A</v>
      </c>
      <c r="AE51" s="5" t="e">
        <f t="shared" si="9"/>
        <v>#N/A</v>
      </c>
    </row>
    <row r="52" spans="21:31">
      <c r="U52" t="str">
        <f t="shared" si="10"/>
        <v/>
      </c>
      <c r="V52" s="3" t="b">
        <f t="shared" si="0"/>
        <v>0</v>
      </c>
      <c r="W52" t="e">
        <f t="shared" si="1"/>
        <v>#N/A</v>
      </c>
      <c r="X52" s="4" t="e">
        <f t="shared" si="2"/>
        <v>#N/A</v>
      </c>
      <c r="Y52" s="4" t="e">
        <f t="shared" si="3"/>
        <v>#N/A</v>
      </c>
      <c r="Z52" t="e">
        <f t="shared" si="4"/>
        <v>#N/A</v>
      </c>
      <c r="AA52" s="4" t="e">
        <f t="shared" si="5"/>
        <v>#N/A</v>
      </c>
      <c r="AB52" s="4" t="e">
        <f t="shared" si="6"/>
        <v>#N/A</v>
      </c>
      <c r="AC52" s="4" t="e">
        <f t="shared" si="7"/>
        <v>#N/A</v>
      </c>
      <c r="AD52" t="e">
        <f t="shared" si="8"/>
        <v>#N/A</v>
      </c>
      <c r="AE52" s="5" t="e">
        <f t="shared" si="9"/>
        <v>#N/A</v>
      </c>
    </row>
    <row r="53" spans="21:31">
      <c r="U53" t="str">
        <f t="shared" si="10"/>
        <v/>
      </c>
      <c r="V53" s="3" t="b">
        <f t="shared" si="0"/>
        <v>0</v>
      </c>
      <c r="W53" t="e">
        <f t="shared" si="1"/>
        <v>#N/A</v>
      </c>
      <c r="X53" s="4" t="e">
        <f t="shared" si="2"/>
        <v>#N/A</v>
      </c>
      <c r="Y53" s="4" t="e">
        <f t="shared" si="3"/>
        <v>#N/A</v>
      </c>
      <c r="Z53" t="e">
        <f t="shared" si="4"/>
        <v>#N/A</v>
      </c>
      <c r="AA53" s="4" t="e">
        <f t="shared" si="5"/>
        <v>#N/A</v>
      </c>
      <c r="AB53" s="4" t="e">
        <f t="shared" si="6"/>
        <v>#N/A</v>
      </c>
      <c r="AC53" s="4" t="e">
        <f t="shared" si="7"/>
        <v>#N/A</v>
      </c>
      <c r="AD53" t="e">
        <f t="shared" si="8"/>
        <v>#N/A</v>
      </c>
      <c r="AE53" s="5" t="e">
        <f t="shared" si="9"/>
        <v>#N/A</v>
      </c>
    </row>
    <row r="54" spans="21:31">
      <c r="U54" t="str">
        <f t="shared" si="10"/>
        <v/>
      </c>
      <c r="V54" s="3" t="b">
        <f t="shared" si="0"/>
        <v>0</v>
      </c>
      <c r="W54" t="e">
        <f t="shared" si="1"/>
        <v>#N/A</v>
      </c>
      <c r="X54" s="4" t="e">
        <f t="shared" si="2"/>
        <v>#N/A</v>
      </c>
      <c r="Y54" s="4" t="e">
        <f t="shared" si="3"/>
        <v>#N/A</v>
      </c>
      <c r="Z54" t="e">
        <f t="shared" si="4"/>
        <v>#N/A</v>
      </c>
      <c r="AA54" s="4" t="e">
        <f t="shared" si="5"/>
        <v>#N/A</v>
      </c>
      <c r="AB54" s="4" t="e">
        <f t="shared" si="6"/>
        <v>#N/A</v>
      </c>
      <c r="AC54" s="4" t="e">
        <f t="shared" si="7"/>
        <v>#N/A</v>
      </c>
      <c r="AD54" t="e">
        <f t="shared" si="8"/>
        <v>#N/A</v>
      </c>
      <c r="AE54" s="5" t="e">
        <f t="shared" si="9"/>
        <v>#N/A</v>
      </c>
    </row>
    <row r="55" spans="21:31">
      <c r="U55" t="str">
        <f t="shared" si="10"/>
        <v/>
      </c>
      <c r="V55" s="3" t="b">
        <f t="shared" si="0"/>
        <v>0</v>
      </c>
      <c r="W55" t="e">
        <f t="shared" si="1"/>
        <v>#N/A</v>
      </c>
      <c r="X55" s="4" t="e">
        <f t="shared" si="2"/>
        <v>#N/A</v>
      </c>
      <c r="Y55" s="4" t="e">
        <f t="shared" si="3"/>
        <v>#N/A</v>
      </c>
      <c r="Z55" t="e">
        <f t="shared" si="4"/>
        <v>#N/A</v>
      </c>
      <c r="AA55" s="4" t="e">
        <f t="shared" si="5"/>
        <v>#N/A</v>
      </c>
      <c r="AB55" s="4" t="e">
        <f t="shared" si="6"/>
        <v>#N/A</v>
      </c>
      <c r="AC55" s="4" t="e">
        <f t="shared" si="7"/>
        <v>#N/A</v>
      </c>
      <c r="AD55" t="e">
        <f t="shared" si="8"/>
        <v>#N/A</v>
      </c>
      <c r="AE55" s="5" t="e">
        <f t="shared" si="9"/>
        <v>#N/A</v>
      </c>
    </row>
    <row r="56" spans="21:31">
      <c r="U56" t="str">
        <f t="shared" si="10"/>
        <v/>
      </c>
      <c r="V56" s="3" t="b">
        <f t="shared" si="0"/>
        <v>0</v>
      </c>
      <c r="W56" t="e">
        <f t="shared" si="1"/>
        <v>#N/A</v>
      </c>
      <c r="X56" s="4" t="e">
        <f t="shared" si="2"/>
        <v>#N/A</v>
      </c>
      <c r="Y56" s="4" t="e">
        <f t="shared" si="3"/>
        <v>#N/A</v>
      </c>
      <c r="Z56" t="e">
        <f t="shared" si="4"/>
        <v>#N/A</v>
      </c>
      <c r="AA56" s="4" t="e">
        <f t="shared" si="5"/>
        <v>#N/A</v>
      </c>
      <c r="AB56" s="4" t="e">
        <f t="shared" si="6"/>
        <v>#N/A</v>
      </c>
      <c r="AC56" s="4" t="e">
        <f t="shared" si="7"/>
        <v>#N/A</v>
      </c>
      <c r="AD56" t="e">
        <f t="shared" si="8"/>
        <v>#N/A</v>
      </c>
      <c r="AE56" s="5" t="e">
        <f t="shared" si="9"/>
        <v>#N/A</v>
      </c>
    </row>
    <row r="57" spans="21:31">
      <c r="U57" t="str">
        <f t="shared" si="10"/>
        <v/>
      </c>
      <c r="V57" s="3" t="b">
        <f t="shared" si="0"/>
        <v>0</v>
      </c>
      <c r="W57" t="e">
        <f t="shared" si="1"/>
        <v>#N/A</v>
      </c>
      <c r="X57" s="4" t="e">
        <f t="shared" si="2"/>
        <v>#N/A</v>
      </c>
      <c r="Y57" s="4" t="e">
        <f t="shared" si="3"/>
        <v>#N/A</v>
      </c>
      <c r="Z57" t="e">
        <f t="shared" si="4"/>
        <v>#N/A</v>
      </c>
      <c r="AA57" s="4" t="e">
        <f t="shared" si="5"/>
        <v>#N/A</v>
      </c>
      <c r="AB57" s="4" t="e">
        <f t="shared" si="6"/>
        <v>#N/A</v>
      </c>
      <c r="AC57" s="4" t="e">
        <f t="shared" si="7"/>
        <v>#N/A</v>
      </c>
      <c r="AD57" t="e">
        <f t="shared" si="8"/>
        <v>#N/A</v>
      </c>
      <c r="AE57" s="5" t="e">
        <f t="shared" si="9"/>
        <v>#N/A</v>
      </c>
    </row>
    <row r="58" spans="21:31">
      <c r="U58" t="str">
        <f t="shared" si="10"/>
        <v/>
      </c>
      <c r="V58" s="3" t="b">
        <f t="shared" si="0"/>
        <v>0</v>
      </c>
      <c r="W58" t="e">
        <f t="shared" si="1"/>
        <v>#N/A</v>
      </c>
      <c r="X58" s="4" t="e">
        <f t="shared" si="2"/>
        <v>#N/A</v>
      </c>
      <c r="Y58" s="4" t="e">
        <f t="shared" si="3"/>
        <v>#N/A</v>
      </c>
      <c r="Z58" t="e">
        <f t="shared" si="4"/>
        <v>#N/A</v>
      </c>
      <c r="AA58" s="4" t="e">
        <f t="shared" si="5"/>
        <v>#N/A</v>
      </c>
      <c r="AB58" s="4" t="e">
        <f t="shared" si="6"/>
        <v>#N/A</v>
      </c>
      <c r="AC58" s="4" t="e">
        <f t="shared" si="7"/>
        <v>#N/A</v>
      </c>
      <c r="AD58" t="e">
        <f t="shared" si="8"/>
        <v>#N/A</v>
      </c>
      <c r="AE58" s="5" t="e">
        <f t="shared" si="9"/>
        <v>#N/A</v>
      </c>
    </row>
    <row r="59" spans="21:31">
      <c r="U59" t="str">
        <f t="shared" si="10"/>
        <v/>
      </c>
      <c r="V59" s="3" t="b">
        <f t="shared" si="0"/>
        <v>0</v>
      </c>
      <c r="W59" t="e">
        <f t="shared" si="1"/>
        <v>#N/A</v>
      </c>
      <c r="X59" s="4" t="e">
        <f t="shared" si="2"/>
        <v>#N/A</v>
      </c>
      <c r="Y59" s="4" t="e">
        <f t="shared" si="3"/>
        <v>#N/A</v>
      </c>
      <c r="Z59" t="e">
        <f t="shared" si="4"/>
        <v>#N/A</v>
      </c>
      <c r="AA59" s="4" t="e">
        <f t="shared" si="5"/>
        <v>#N/A</v>
      </c>
      <c r="AB59" s="4" t="e">
        <f t="shared" si="6"/>
        <v>#N/A</v>
      </c>
      <c r="AC59" s="4" t="e">
        <f t="shared" si="7"/>
        <v>#N/A</v>
      </c>
      <c r="AD59" t="e">
        <f t="shared" si="8"/>
        <v>#N/A</v>
      </c>
      <c r="AE59" s="5" t="e">
        <f t="shared" si="9"/>
        <v>#N/A</v>
      </c>
    </row>
    <row r="60" spans="21:31">
      <c r="U60" t="str">
        <f t="shared" si="10"/>
        <v/>
      </c>
      <c r="V60" s="3" t="b">
        <f t="shared" si="0"/>
        <v>0</v>
      </c>
      <c r="W60" t="e">
        <f t="shared" si="1"/>
        <v>#N/A</v>
      </c>
      <c r="X60" s="4" t="e">
        <f t="shared" si="2"/>
        <v>#N/A</v>
      </c>
      <c r="Y60" s="4" t="e">
        <f t="shared" si="3"/>
        <v>#N/A</v>
      </c>
      <c r="Z60" t="e">
        <f t="shared" si="4"/>
        <v>#N/A</v>
      </c>
      <c r="AA60" s="4" t="e">
        <f t="shared" si="5"/>
        <v>#N/A</v>
      </c>
      <c r="AB60" s="4" t="e">
        <f t="shared" si="6"/>
        <v>#N/A</v>
      </c>
      <c r="AC60" s="4" t="e">
        <f t="shared" si="7"/>
        <v>#N/A</v>
      </c>
      <c r="AD60" t="e">
        <f t="shared" si="8"/>
        <v>#N/A</v>
      </c>
      <c r="AE60" s="5" t="e">
        <f t="shared" si="9"/>
        <v>#N/A</v>
      </c>
    </row>
    <row r="61" spans="21:31">
      <c r="U61" t="str">
        <f t="shared" si="10"/>
        <v/>
      </c>
      <c r="V61" s="3" t="b">
        <f t="shared" si="0"/>
        <v>0</v>
      </c>
      <c r="W61" t="e">
        <f t="shared" si="1"/>
        <v>#N/A</v>
      </c>
      <c r="X61" s="4" t="e">
        <f t="shared" si="2"/>
        <v>#N/A</v>
      </c>
      <c r="Y61" s="4" t="e">
        <f t="shared" si="3"/>
        <v>#N/A</v>
      </c>
      <c r="Z61" t="e">
        <f t="shared" si="4"/>
        <v>#N/A</v>
      </c>
      <c r="AA61" s="4" t="e">
        <f t="shared" si="5"/>
        <v>#N/A</v>
      </c>
      <c r="AB61" s="4" t="e">
        <f t="shared" si="6"/>
        <v>#N/A</v>
      </c>
      <c r="AC61" s="4" t="e">
        <f t="shared" si="7"/>
        <v>#N/A</v>
      </c>
      <c r="AD61" t="e">
        <f t="shared" si="8"/>
        <v>#N/A</v>
      </c>
      <c r="AE61" s="5" t="e">
        <f t="shared" si="9"/>
        <v>#N/A</v>
      </c>
    </row>
    <row r="62" spans="21:31">
      <c r="U62" t="str">
        <f t="shared" si="10"/>
        <v/>
      </c>
      <c r="V62" s="3" t="b">
        <f t="shared" si="0"/>
        <v>0</v>
      </c>
      <c r="W62" t="e">
        <f t="shared" si="1"/>
        <v>#N/A</v>
      </c>
      <c r="X62" s="4" t="e">
        <f t="shared" si="2"/>
        <v>#N/A</v>
      </c>
      <c r="Y62" s="4" t="e">
        <f t="shared" si="3"/>
        <v>#N/A</v>
      </c>
      <c r="Z62" t="e">
        <f t="shared" si="4"/>
        <v>#N/A</v>
      </c>
      <c r="AA62" s="4" t="e">
        <f t="shared" si="5"/>
        <v>#N/A</v>
      </c>
      <c r="AB62" s="4" t="e">
        <f t="shared" si="6"/>
        <v>#N/A</v>
      </c>
      <c r="AC62" s="4" t="e">
        <f t="shared" si="7"/>
        <v>#N/A</v>
      </c>
      <c r="AD62" t="e">
        <f t="shared" si="8"/>
        <v>#N/A</v>
      </c>
      <c r="AE62" s="5" t="e">
        <f t="shared" si="9"/>
        <v>#N/A</v>
      </c>
    </row>
    <row r="63" spans="21:31">
      <c r="U63" t="str">
        <f t="shared" si="10"/>
        <v/>
      </c>
      <c r="V63" s="3" t="b">
        <f t="shared" si="0"/>
        <v>0</v>
      </c>
      <c r="W63" t="e">
        <f t="shared" si="1"/>
        <v>#N/A</v>
      </c>
      <c r="X63" s="4" t="e">
        <f t="shared" si="2"/>
        <v>#N/A</v>
      </c>
      <c r="Y63" s="4" t="e">
        <f t="shared" si="3"/>
        <v>#N/A</v>
      </c>
      <c r="Z63" t="e">
        <f t="shared" si="4"/>
        <v>#N/A</v>
      </c>
      <c r="AA63" s="4" t="e">
        <f t="shared" si="5"/>
        <v>#N/A</v>
      </c>
      <c r="AB63" s="4" t="e">
        <f t="shared" si="6"/>
        <v>#N/A</v>
      </c>
      <c r="AC63" s="4" t="e">
        <f t="shared" si="7"/>
        <v>#N/A</v>
      </c>
      <c r="AD63" t="e">
        <f t="shared" si="8"/>
        <v>#N/A</v>
      </c>
      <c r="AE63" s="5" t="e">
        <f t="shared" si="9"/>
        <v>#N/A</v>
      </c>
    </row>
    <row r="64" spans="21:31">
      <c r="U64" t="str">
        <f t="shared" si="10"/>
        <v/>
      </c>
      <c r="V64" s="3" t="b">
        <f t="shared" si="0"/>
        <v>0</v>
      </c>
      <c r="W64" t="e">
        <f t="shared" si="1"/>
        <v>#N/A</v>
      </c>
      <c r="X64" s="4" t="e">
        <f t="shared" si="2"/>
        <v>#N/A</v>
      </c>
      <c r="Y64" s="4" t="e">
        <f t="shared" si="3"/>
        <v>#N/A</v>
      </c>
      <c r="Z64" t="e">
        <f t="shared" si="4"/>
        <v>#N/A</v>
      </c>
      <c r="AA64" s="4" t="e">
        <f t="shared" si="5"/>
        <v>#N/A</v>
      </c>
      <c r="AB64" s="4" t="e">
        <f t="shared" si="6"/>
        <v>#N/A</v>
      </c>
      <c r="AC64" s="4" t="e">
        <f t="shared" si="7"/>
        <v>#N/A</v>
      </c>
      <c r="AD64" t="e">
        <f t="shared" si="8"/>
        <v>#N/A</v>
      </c>
      <c r="AE64" s="5" t="e">
        <f t="shared" si="9"/>
        <v>#N/A</v>
      </c>
    </row>
    <row r="65" spans="21:31">
      <c r="U65" t="str">
        <f t="shared" si="10"/>
        <v/>
      </c>
      <c r="V65" s="3" t="b">
        <f t="shared" si="0"/>
        <v>0</v>
      </c>
      <c r="W65" t="e">
        <f t="shared" si="1"/>
        <v>#N/A</v>
      </c>
      <c r="X65" s="4" t="e">
        <f t="shared" si="2"/>
        <v>#N/A</v>
      </c>
      <c r="Y65" s="4" t="e">
        <f t="shared" si="3"/>
        <v>#N/A</v>
      </c>
      <c r="Z65" t="e">
        <f t="shared" si="4"/>
        <v>#N/A</v>
      </c>
      <c r="AA65" s="4" t="e">
        <f t="shared" si="5"/>
        <v>#N/A</v>
      </c>
      <c r="AB65" s="4" t="e">
        <f t="shared" si="6"/>
        <v>#N/A</v>
      </c>
      <c r="AC65" s="4" t="e">
        <f t="shared" si="7"/>
        <v>#N/A</v>
      </c>
      <c r="AD65" t="e">
        <f t="shared" si="8"/>
        <v>#N/A</v>
      </c>
      <c r="AE65" s="5" t="e">
        <f t="shared" si="9"/>
        <v>#N/A</v>
      </c>
    </row>
    <row r="66" spans="21:31">
      <c r="U66" t="str">
        <f t="shared" si="10"/>
        <v/>
      </c>
      <c r="V66" s="3" t="b">
        <f t="shared" si="0"/>
        <v>0</v>
      </c>
      <c r="W66" t="e">
        <f t="shared" si="1"/>
        <v>#N/A</v>
      </c>
      <c r="X66" s="4" t="e">
        <f t="shared" si="2"/>
        <v>#N/A</v>
      </c>
      <c r="Y66" s="4" t="e">
        <f t="shared" si="3"/>
        <v>#N/A</v>
      </c>
      <c r="Z66" t="e">
        <f t="shared" si="4"/>
        <v>#N/A</v>
      </c>
      <c r="AA66" s="4" t="e">
        <f t="shared" si="5"/>
        <v>#N/A</v>
      </c>
      <c r="AB66" s="4" t="e">
        <f t="shared" si="6"/>
        <v>#N/A</v>
      </c>
      <c r="AC66" s="4" t="e">
        <f t="shared" si="7"/>
        <v>#N/A</v>
      </c>
      <c r="AD66" t="e">
        <f t="shared" si="8"/>
        <v>#N/A</v>
      </c>
      <c r="AE66" s="5" t="e">
        <f t="shared" si="9"/>
        <v>#N/A</v>
      </c>
    </row>
    <row r="67" spans="21:31">
      <c r="U67" t="str">
        <f t="shared" si="10"/>
        <v/>
      </c>
      <c r="V67" s="3" t="b">
        <f t="shared" ref="V67:V87" si="11">IF(A67&lt;&gt;"",RIGHT(A67,2)&amp;"'"&amp;B67,FALSE)</f>
        <v>0</v>
      </c>
      <c r="W67" t="e">
        <f t="shared" ref="W67:W87" si="12">IF($Q$1,IF(C67&lt;&gt;"",C67,NA()),NA())</f>
        <v>#N/A</v>
      </c>
      <c r="X67" s="4" t="e">
        <f t="shared" ref="X67:X87" si="13">IF($Q$2,IF(D67&lt;&gt;"",D67,NA()),NA())</f>
        <v>#N/A</v>
      </c>
      <c r="Y67" s="4" t="e">
        <f t="shared" ref="Y67:Y87" si="14">IF($Q$3,IF(E67&lt;&gt;"",E67,NA()),NA())</f>
        <v>#N/A</v>
      </c>
      <c r="Z67" t="e">
        <f t="shared" ref="Z67:Z87" si="15">IF($Q$4,IF(F67&lt;&gt;"",F67,NA()),NA())</f>
        <v>#N/A</v>
      </c>
      <c r="AA67" s="4" t="e">
        <f t="shared" ref="AA67:AA87" si="16">IF($Q$5,IF(G67&lt;&gt;"",G67,NA()),NA())</f>
        <v>#N/A</v>
      </c>
      <c r="AB67" s="4" t="e">
        <f t="shared" ref="AB67:AB87" si="17">IF($Q$6,IF(H67&lt;&gt;"",H67,NA()),NA())</f>
        <v>#N/A</v>
      </c>
      <c r="AC67" s="4" t="e">
        <f t="shared" ref="AC67:AC87" si="18">IF($Q$7,IF(I67&lt;&gt;"",I67,NA()),NA())</f>
        <v>#N/A</v>
      </c>
      <c r="AD67" t="e">
        <f t="shared" ref="AD67:AD87" si="19">IF($Q$8,IF(J67&lt;&gt;"",J67,NA()),NA())</f>
        <v>#N/A</v>
      </c>
      <c r="AE67" s="5" t="e">
        <f t="shared" ref="AE67:AE87" si="20">IF($Q$9,IF(K67&lt;&gt;"",K67,NA()),NA())</f>
        <v>#N/A</v>
      </c>
    </row>
    <row r="68" spans="21:31">
      <c r="U68" t="str">
        <f t="shared" ref="U68:U87" si="21">IF(V68&lt;&gt;FALSE,U67+1,"")</f>
        <v/>
      </c>
      <c r="V68" s="3" t="b">
        <f t="shared" si="11"/>
        <v>0</v>
      </c>
      <c r="W68" t="e">
        <f t="shared" si="12"/>
        <v>#N/A</v>
      </c>
      <c r="X68" s="4" t="e">
        <f t="shared" si="13"/>
        <v>#N/A</v>
      </c>
      <c r="Y68" s="4" t="e">
        <f t="shared" si="14"/>
        <v>#N/A</v>
      </c>
      <c r="Z68" t="e">
        <f t="shared" si="15"/>
        <v>#N/A</v>
      </c>
      <c r="AA68" s="4" t="e">
        <f t="shared" si="16"/>
        <v>#N/A</v>
      </c>
      <c r="AB68" s="4" t="e">
        <f t="shared" si="17"/>
        <v>#N/A</v>
      </c>
      <c r="AC68" s="4" t="e">
        <f t="shared" si="18"/>
        <v>#N/A</v>
      </c>
      <c r="AD68" t="e">
        <f t="shared" si="19"/>
        <v>#N/A</v>
      </c>
      <c r="AE68" s="5" t="e">
        <f t="shared" si="20"/>
        <v>#N/A</v>
      </c>
    </row>
    <row r="69" spans="21:31">
      <c r="U69" t="str">
        <f t="shared" si="21"/>
        <v/>
      </c>
      <c r="V69" s="3" t="b">
        <f t="shared" si="11"/>
        <v>0</v>
      </c>
      <c r="W69" t="e">
        <f t="shared" si="12"/>
        <v>#N/A</v>
      </c>
      <c r="X69" s="4" t="e">
        <f t="shared" si="13"/>
        <v>#N/A</v>
      </c>
      <c r="Y69" s="4" t="e">
        <f t="shared" si="14"/>
        <v>#N/A</v>
      </c>
      <c r="Z69" t="e">
        <f t="shared" si="15"/>
        <v>#N/A</v>
      </c>
      <c r="AA69" s="4" t="e">
        <f t="shared" si="16"/>
        <v>#N/A</v>
      </c>
      <c r="AB69" s="4" t="e">
        <f t="shared" si="17"/>
        <v>#N/A</v>
      </c>
      <c r="AC69" s="4" t="e">
        <f t="shared" si="18"/>
        <v>#N/A</v>
      </c>
      <c r="AD69" t="e">
        <f t="shared" si="19"/>
        <v>#N/A</v>
      </c>
      <c r="AE69" s="5" t="e">
        <f t="shared" si="20"/>
        <v>#N/A</v>
      </c>
    </row>
    <row r="70" spans="21:31">
      <c r="U70" t="str">
        <f t="shared" si="21"/>
        <v/>
      </c>
      <c r="V70" s="3" t="b">
        <f t="shared" si="11"/>
        <v>0</v>
      </c>
      <c r="W70" t="e">
        <f t="shared" si="12"/>
        <v>#N/A</v>
      </c>
      <c r="X70" s="4" t="e">
        <f t="shared" si="13"/>
        <v>#N/A</v>
      </c>
      <c r="Y70" s="4" t="e">
        <f t="shared" si="14"/>
        <v>#N/A</v>
      </c>
      <c r="Z70" t="e">
        <f t="shared" si="15"/>
        <v>#N/A</v>
      </c>
      <c r="AA70" s="4" t="e">
        <f t="shared" si="16"/>
        <v>#N/A</v>
      </c>
      <c r="AB70" s="4" t="e">
        <f t="shared" si="17"/>
        <v>#N/A</v>
      </c>
      <c r="AC70" s="4" t="e">
        <f t="shared" si="18"/>
        <v>#N/A</v>
      </c>
      <c r="AD70" t="e">
        <f t="shared" si="19"/>
        <v>#N/A</v>
      </c>
      <c r="AE70" s="5" t="e">
        <f t="shared" si="20"/>
        <v>#N/A</v>
      </c>
    </row>
    <row r="71" spans="21:31">
      <c r="U71" t="str">
        <f t="shared" si="21"/>
        <v/>
      </c>
      <c r="V71" s="3" t="b">
        <f t="shared" si="11"/>
        <v>0</v>
      </c>
      <c r="W71" t="e">
        <f t="shared" si="12"/>
        <v>#N/A</v>
      </c>
      <c r="X71" s="4" t="e">
        <f t="shared" si="13"/>
        <v>#N/A</v>
      </c>
      <c r="Y71" s="4" t="e">
        <f t="shared" si="14"/>
        <v>#N/A</v>
      </c>
      <c r="Z71" t="e">
        <f t="shared" si="15"/>
        <v>#N/A</v>
      </c>
      <c r="AA71" s="4" t="e">
        <f t="shared" si="16"/>
        <v>#N/A</v>
      </c>
      <c r="AB71" s="4" t="e">
        <f t="shared" si="17"/>
        <v>#N/A</v>
      </c>
      <c r="AC71" s="4" t="e">
        <f t="shared" si="18"/>
        <v>#N/A</v>
      </c>
      <c r="AD71" t="e">
        <f t="shared" si="19"/>
        <v>#N/A</v>
      </c>
      <c r="AE71" s="5" t="e">
        <f t="shared" si="20"/>
        <v>#N/A</v>
      </c>
    </row>
    <row r="72" spans="21:31">
      <c r="U72" t="str">
        <f t="shared" si="21"/>
        <v/>
      </c>
      <c r="V72" s="3" t="b">
        <f t="shared" si="11"/>
        <v>0</v>
      </c>
      <c r="W72" t="e">
        <f t="shared" si="12"/>
        <v>#N/A</v>
      </c>
      <c r="X72" s="4" t="e">
        <f t="shared" si="13"/>
        <v>#N/A</v>
      </c>
      <c r="Y72" s="4" t="e">
        <f t="shared" si="14"/>
        <v>#N/A</v>
      </c>
      <c r="Z72" t="e">
        <f t="shared" si="15"/>
        <v>#N/A</v>
      </c>
      <c r="AA72" s="4" t="e">
        <f t="shared" si="16"/>
        <v>#N/A</v>
      </c>
      <c r="AB72" s="4" t="e">
        <f t="shared" si="17"/>
        <v>#N/A</v>
      </c>
      <c r="AC72" s="4" t="e">
        <f t="shared" si="18"/>
        <v>#N/A</v>
      </c>
      <c r="AD72" t="e">
        <f t="shared" si="19"/>
        <v>#N/A</v>
      </c>
      <c r="AE72" s="5" t="e">
        <f t="shared" si="20"/>
        <v>#N/A</v>
      </c>
    </row>
    <row r="73" spans="21:31">
      <c r="U73" t="str">
        <f t="shared" si="21"/>
        <v/>
      </c>
      <c r="V73" s="3" t="b">
        <f t="shared" si="11"/>
        <v>0</v>
      </c>
      <c r="W73" t="e">
        <f t="shared" si="12"/>
        <v>#N/A</v>
      </c>
      <c r="X73" s="4" t="e">
        <f t="shared" si="13"/>
        <v>#N/A</v>
      </c>
      <c r="Y73" s="4" t="e">
        <f t="shared" si="14"/>
        <v>#N/A</v>
      </c>
      <c r="Z73" t="e">
        <f t="shared" si="15"/>
        <v>#N/A</v>
      </c>
      <c r="AA73" s="4" t="e">
        <f t="shared" si="16"/>
        <v>#N/A</v>
      </c>
      <c r="AB73" s="4" t="e">
        <f t="shared" si="17"/>
        <v>#N/A</v>
      </c>
      <c r="AC73" s="4" t="e">
        <f t="shared" si="18"/>
        <v>#N/A</v>
      </c>
      <c r="AD73" t="e">
        <f t="shared" si="19"/>
        <v>#N/A</v>
      </c>
      <c r="AE73" s="5" t="e">
        <f t="shared" si="20"/>
        <v>#N/A</v>
      </c>
    </row>
    <row r="74" spans="21:31">
      <c r="U74" t="str">
        <f t="shared" si="21"/>
        <v/>
      </c>
      <c r="V74" s="3" t="b">
        <f t="shared" si="11"/>
        <v>0</v>
      </c>
      <c r="W74" t="e">
        <f t="shared" si="12"/>
        <v>#N/A</v>
      </c>
      <c r="X74" s="4" t="e">
        <f t="shared" si="13"/>
        <v>#N/A</v>
      </c>
      <c r="Y74" s="4" t="e">
        <f t="shared" si="14"/>
        <v>#N/A</v>
      </c>
      <c r="Z74" t="e">
        <f t="shared" si="15"/>
        <v>#N/A</v>
      </c>
      <c r="AA74" s="4" t="e">
        <f t="shared" si="16"/>
        <v>#N/A</v>
      </c>
      <c r="AB74" s="4" t="e">
        <f t="shared" si="17"/>
        <v>#N/A</v>
      </c>
      <c r="AC74" s="4" t="e">
        <f t="shared" si="18"/>
        <v>#N/A</v>
      </c>
      <c r="AD74" t="e">
        <f t="shared" si="19"/>
        <v>#N/A</v>
      </c>
      <c r="AE74" s="5" t="e">
        <f t="shared" si="20"/>
        <v>#N/A</v>
      </c>
    </row>
    <row r="75" spans="21:31">
      <c r="U75" t="str">
        <f t="shared" si="21"/>
        <v/>
      </c>
      <c r="V75" s="3" t="b">
        <f t="shared" si="11"/>
        <v>0</v>
      </c>
      <c r="W75" t="e">
        <f t="shared" si="12"/>
        <v>#N/A</v>
      </c>
      <c r="X75" s="4" t="e">
        <f t="shared" si="13"/>
        <v>#N/A</v>
      </c>
      <c r="Y75" s="4" t="e">
        <f t="shared" si="14"/>
        <v>#N/A</v>
      </c>
      <c r="Z75" t="e">
        <f t="shared" si="15"/>
        <v>#N/A</v>
      </c>
      <c r="AA75" s="4" t="e">
        <f t="shared" si="16"/>
        <v>#N/A</v>
      </c>
      <c r="AB75" s="4" t="e">
        <f t="shared" si="17"/>
        <v>#N/A</v>
      </c>
      <c r="AC75" s="4" t="e">
        <f t="shared" si="18"/>
        <v>#N/A</v>
      </c>
      <c r="AD75" t="e">
        <f t="shared" si="19"/>
        <v>#N/A</v>
      </c>
      <c r="AE75" s="5" t="e">
        <f t="shared" si="20"/>
        <v>#N/A</v>
      </c>
    </row>
    <row r="76" spans="21:31">
      <c r="U76" t="str">
        <f t="shared" si="21"/>
        <v/>
      </c>
      <c r="V76" s="3" t="b">
        <f t="shared" si="11"/>
        <v>0</v>
      </c>
      <c r="W76" t="e">
        <f t="shared" si="12"/>
        <v>#N/A</v>
      </c>
      <c r="X76" s="4" t="e">
        <f t="shared" si="13"/>
        <v>#N/A</v>
      </c>
      <c r="Y76" s="4" t="e">
        <f t="shared" si="14"/>
        <v>#N/A</v>
      </c>
      <c r="Z76" t="e">
        <f t="shared" si="15"/>
        <v>#N/A</v>
      </c>
      <c r="AA76" s="4" t="e">
        <f t="shared" si="16"/>
        <v>#N/A</v>
      </c>
      <c r="AB76" s="4" t="e">
        <f t="shared" si="17"/>
        <v>#N/A</v>
      </c>
      <c r="AC76" s="4" t="e">
        <f t="shared" si="18"/>
        <v>#N/A</v>
      </c>
      <c r="AD76" t="e">
        <f t="shared" si="19"/>
        <v>#N/A</v>
      </c>
      <c r="AE76" s="5" t="e">
        <f t="shared" si="20"/>
        <v>#N/A</v>
      </c>
    </row>
    <row r="77" spans="21:31">
      <c r="U77" t="str">
        <f t="shared" si="21"/>
        <v/>
      </c>
      <c r="V77" s="3" t="b">
        <f t="shared" si="11"/>
        <v>0</v>
      </c>
      <c r="W77" t="e">
        <f t="shared" si="12"/>
        <v>#N/A</v>
      </c>
      <c r="X77" s="4" t="e">
        <f t="shared" si="13"/>
        <v>#N/A</v>
      </c>
      <c r="Y77" s="4" t="e">
        <f t="shared" si="14"/>
        <v>#N/A</v>
      </c>
      <c r="Z77" t="e">
        <f t="shared" si="15"/>
        <v>#N/A</v>
      </c>
      <c r="AA77" s="4" t="e">
        <f t="shared" si="16"/>
        <v>#N/A</v>
      </c>
      <c r="AB77" s="4" t="e">
        <f t="shared" si="17"/>
        <v>#N/A</v>
      </c>
      <c r="AC77" s="4" t="e">
        <f t="shared" si="18"/>
        <v>#N/A</v>
      </c>
      <c r="AD77" t="e">
        <f t="shared" si="19"/>
        <v>#N/A</v>
      </c>
      <c r="AE77" s="5" t="e">
        <f t="shared" si="20"/>
        <v>#N/A</v>
      </c>
    </row>
    <row r="78" spans="21:31">
      <c r="U78" t="str">
        <f t="shared" si="21"/>
        <v/>
      </c>
      <c r="V78" s="3" t="b">
        <f t="shared" si="11"/>
        <v>0</v>
      </c>
      <c r="W78" t="e">
        <f t="shared" si="12"/>
        <v>#N/A</v>
      </c>
      <c r="X78" s="4" t="e">
        <f t="shared" si="13"/>
        <v>#N/A</v>
      </c>
      <c r="Y78" s="4" t="e">
        <f t="shared" si="14"/>
        <v>#N/A</v>
      </c>
      <c r="Z78" t="e">
        <f t="shared" si="15"/>
        <v>#N/A</v>
      </c>
      <c r="AA78" s="4" t="e">
        <f t="shared" si="16"/>
        <v>#N/A</v>
      </c>
      <c r="AB78" s="4" t="e">
        <f t="shared" si="17"/>
        <v>#N/A</v>
      </c>
      <c r="AC78" s="4" t="e">
        <f t="shared" si="18"/>
        <v>#N/A</v>
      </c>
      <c r="AD78" t="e">
        <f t="shared" si="19"/>
        <v>#N/A</v>
      </c>
      <c r="AE78" s="5" t="e">
        <f t="shared" si="20"/>
        <v>#N/A</v>
      </c>
    </row>
    <row r="79" spans="21:31">
      <c r="U79" t="str">
        <f t="shared" si="21"/>
        <v/>
      </c>
      <c r="V79" s="3" t="b">
        <f t="shared" si="11"/>
        <v>0</v>
      </c>
      <c r="W79" t="e">
        <f t="shared" si="12"/>
        <v>#N/A</v>
      </c>
      <c r="X79" s="4" t="e">
        <f t="shared" si="13"/>
        <v>#N/A</v>
      </c>
      <c r="Y79" s="4" t="e">
        <f t="shared" si="14"/>
        <v>#N/A</v>
      </c>
      <c r="Z79" t="e">
        <f t="shared" si="15"/>
        <v>#N/A</v>
      </c>
      <c r="AA79" s="4" t="e">
        <f t="shared" si="16"/>
        <v>#N/A</v>
      </c>
      <c r="AB79" s="4" t="e">
        <f t="shared" si="17"/>
        <v>#N/A</v>
      </c>
      <c r="AC79" s="4" t="e">
        <f t="shared" si="18"/>
        <v>#N/A</v>
      </c>
      <c r="AD79" t="e">
        <f t="shared" si="19"/>
        <v>#N/A</v>
      </c>
      <c r="AE79" s="5" t="e">
        <f t="shared" si="20"/>
        <v>#N/A</v>
      </c>
    </row>
    <row r="80" spans="21:31">
      <c r="U80" t="str">
        <f t="shared" si="21"/>
        <v/>
      </c>
      <c r="V80" s="3" t="b">
        <f t="shared" si="11"/>
        <v>0</v>
      </c>
      <c r="W80" t="e">
        <f t="shared" si="12"/>
        <v>#N/A</v>
      </c>
      <c r="X80" s="4" t="e">
        <f t="shared" si="13"/>
        <v>#N/A</v>
      </c>
      <c r="Y80" s="4" t="e">
        <f t="shared" si="14"/>
        <v>#N/A</v>
      </c>
      <c r="Z80" t="e">
        <f t="shared" si="15"/>
        <v>#N/A</v>
      </c>
      <c r="AA80" s="4" t="e">
        <f t="shared" si="16"/>
        <v>#N/A</v>
      </c>
      <c r="AB80" s="4" t="e">
        <f t="shared" si="17"/>
        <v>#N/A</v>
      </c>
      <c r="AC80" s="4" t="e">
        <f t="shared" si="18"/>
        <v>#N/A</v>
      </c>
      <c r="AD80" t="e">
        <f t="shared" si="19"/>
        <v>#N/A</v>
      </c>
      <c r="AE80" s="5" t="e">
        <f t="shared" si="20"/>
        <v>#N/A</v>
      </c>
    </row>
    <row r="81" spans="21:31">
      <c r="U81" t="str">
        <f t="shared" si="21"/>
        <v/>
      </c>
      <c r="V81" s="3" t="b">
        <f t="shared" si="11"/>
        <v>0</v>
      </c>
      <c r="W81" t="e">
        <f t="shared" si="12"/>
        <v>#N/A</v>
      </c>
      <c r="X81" s="4" t="e">
        <f t="shared" si="13"/>
        <v>#N/A</v>
      </c>
      <c r="Y81" s="4" t="e">
        <f t="shared" si="14"/>
        <v>#N/A</v>
      </c>
      <c r="Z81" t="e">
        <f t="shared" si="15"/>
        <v>#N/A</v>
      </c>
      <c r="AA81" s="4" t="e">
        <f t="shared" si="16"/>
        <v>#N/A</v>
      </c>
      <c r="AB81" s="4" t="e">
        <f t="shared" si="17"/>
        <v>#N/A</v>
      </c>
      <c r="AC81" s="4" t="e">
        <f t="shared" si="18"/>
        <v>#N/A</v>
      </c>
      <c r="AD81" t="e">
        <f t="shared" si="19"/>
        <v>#N/A</v>
      </c>
      <c r="AE81" s="5" t="e">
        <f t="shared" si="20"/>
        <v>#N/A</v>
      </c>
    </row>
    <row r="82" spans="21:31">
      <c r="U82" t="str">
        <f t="shared" si="21"/>
        <v/>
      </c>
      <c r="V82" s="3" t="b">
        <f t="shared" si="11"/>
        <v>0</v>
      </c>
      <c r="W82" t="e">
        <f t="shared" si="12"/>
        <v>#N/A</v>
      </c>
      <c r="X82" s="4" t="e">
        <f t="shared" si="13"/>
        <v>#N/A</v>
      </c>
      <c r="Y82" s="4" t="e">
        <f t="shared" si="14"/>
        <v>#N/A</v>
      </c>
      <c r="Z82" t="e">
        <f t="shared" si="15"/>
        <v>#N/A</v>
      </c>
      <c r="AA82" s="4" t="e">
        <f t="shared" si="16"/>
        <v>#N/A</v>
      </c>
      <c r="AB82" s="4" t="e">
        <f t="shared" si="17"/>
        <v>#N/A</v>
      </c>
      <c r="AC82" s="4" t="e">
        <f t="shared" si="18"/>
        <v>#N/A</v>
      </c>
      <c r="AD82" t="e">
        <f t="shared" si="19"/>
        <v>#N/A</v>
      </c>
      <c r="AE82" s="5" t="e">
        <f t="shared" si="20"/>
        <v>#N/A</v>
      </c>
    </row>
    <row r="83" spans="21:31">
      <c r="U83" t="str">
        <f t="shared" si="21"/>
        <v/>
      </c>
      <c r="V83" s="3" t="b">
        <f t="shared" si="11"/>
        <v>0</v>
      </c>
      <c r="W83" t="e">
        <f t="shared" si="12"/>
        <v>#N/A</v>
      </c>
      <c r="X83" s="4" t="e">
        <f t="shared" si="13"/>
        <v>#N/A</v>
      </c>
      <c r="Y83" s="4" t="e">
        <f t="shared" si="14"/>
        <v>#N/A</v>
      </c>
      <c r="Z83" t="e">
        <f t="shared" si="15"/>
        <v>#N/A</v>
      </c>
      <c r="AA83" s="4" t="e">
        <f t="shared" si="16"/>
        <v>#N/A</v>
      </c>
      <c r="AB83" s="4" t="e">
        <f t="shared" si="17"/>
        <v>#N/A</v>
      </c>
      <c r="AC83" s="4" t="e">
        <f t="shared" si="18"/>
        <v>#N/A</v>
      </c>
      <c r="AD83" t="e">
        <f t="shared" si="19"/>
        <v>#N/A</v>
      </c>
      <c r="AE83" s="5" t="e">
        <f t="shared" si="20"/>
        <v>#N/A</v>
      </c>
    </row>
    <row r="84" spans="21:31">
      <c r="U84" t="str">
        <f t="shared" si="21"/>
        <v/>
      </c>
      <c r="V84" s="3" t="b">
        <f t="shared" si="11"/>
        <v>0</v>
      </c>
      <c r="W84" t="e">
        <f t="shared" si="12"/>
        <v>#N/A</v>
      </c>
      <c r="X84" s="4" t="e">
        <f t="shared" si="13"/>
        <v>#N/A</v>
      </c>
      <c r="Y84" s="4" t="e">
        <f t="shared" si="14"/>
        <v>#N/A</v>
      </c>
      <c r="Z84" t="e">
        <f t="shared" si="15"/>
        <v>#N/A</v>
      </c>
      <c r="AA84" s="4" t="e">
        <f t="shared" si="16"/>
        <v>#N/A</v>
      </c>
      <c r="AB84" s="4" t="e">
        <f t="shared" si="17"/>
        <v>#N/A</v>
      </c>
      <c r="AC84" s="4" t="e">
        <f t="shared" si="18"/>
        <v>#N/A</v>
      </c>
      <c r="AD84" t="e">
        <f t="shared" si="19"/>
        <v>#N/A</v>
      </c>
      <c r="AE84" s="5" t="e">
        <f t="shared" si="20"/>
        <v>#N/A</v>
      </c>
    </row>
    <row r="85" spans="21:31">
      <c r="U85" t="str">
        <f t="shared" si="21"/>
        <v/>
      </c>
      <c r="V85" s="3" t="b">
        <f t="shared" si="11"/>
        <v>0</v>
      </c>
      <c r="W85" t="e">
        <f t="shared" si="12"/>
        <v>#N/A</v>
      </c>
      <c r="X85" s="4" t="e">
        <f t="shared" si="13"/>
        <v>#N/A</v>
      </c>
      <c r="Y85" s="4" t="e">
        <f t="shared" si="14"/>
        <v>#N/A</v>
      </c>
      <c r="Z85" t="e">
        <f t="shared" si="15"/>
        <v>#N/A</v>
      </c>
      <c r="AA85" s="4" t="e">
        <f t="shared" si="16"/>
        <v>#N/A</v>
      </c>
      <c r="AB85" s="4" t="e">
        <f t="shared" si="17"/>
        <v>#N/A</v>
      </c>
      <c r="AC85" s="4" t="e">
        <f t="shared" si="18"/>
        <v>#N/A</v>
      </c>
      <c r="AD85" t="e">
        <f t="shared" si="19"/>
        <v>#N/A</v>
      </c>
      <c r="AE85" s="5" t="e">
        <f t="shared" si="20"/>
        <v>#N/A</v>
      </c>
    </row>
    <row r="86" spans="21:31">
      <c r="U86" t="str">
        <f t="shared" si="21"/>
        <v/>
      </c>
      <c r="V86" s="3" t="b">
        <f t="shared" si="11"/>
        <v>0</v>
      </c>
      <c r="W86" t="e">
        <f t="shared" si="12"/>
        <v>#N/A</v>
      </c>
      <c r="X86" s="4" t="e">
        <f t="shared" si="13"/>
        <v>#N/A</v>
      </c>
      <c r="Y86" s="4" t="e">
        <f t="shared" si="14"/>
        <v>#N/A</v>
      </c>
      <c r="Z86" t="e">
        <f t="shared" si="15"/>
        <v>#N/A</v>
      </c>
      <c r="AA86" s="4" t="e">
        <f t="shared" si="16"/>
        <v>#N/A</v>
      </c>
      <c r="AB86" s="4" t="e">
        <f t="shared" si="17"/>
        <v>#N/A</v>
      </c>
      <c r="AC86" s="4" t="e">
        <f t="shared" si="18"/>
        <v>#N/A</v>
      </c>
      <c r="AD86" t="e">
        <f t="shared" si="19"/>
        <v>#N/A</v>
      </c>
      <c r="AE86" s="5" t="e">
        <f t="shared" si="20"/>
        <v>#N/A</v>
      </c>
    </row>
    <row r="87" spans="21:31">
      <c r="U87" t="str">
        <f t="shared" si="21"/>
        <v/>
      </c>
      <c r="V87" s="3" t="b">
        <f t="shared" si="11"/>
        <v>0</v>
      </c>
      <c r="W87" t="e">
        <f t="shared" si="12"/>
        <v>#N/A</v>
      </c>
      <c r="X87" s="4" t="e">
        <f t="shared" si="13"/>
        <v>#N/A</v>
      </c>
      <c r="Y87" s="4" t="e">
        <f t="shared" si="14"/>
        <v>#N/A</v>
      </c>
      <c r="Z87" t="e">
        <f t="shared" si="15"/>
        <v>#N/A</v>
      </c>
      <c r="AA87" s="4" t="e">
        <f t="shared" si="16"/>
        <v>#N/A</v>
      </c>
      <c r="AB87" s="4" t="e">
        <f t="shared" si="17"/>
        <v>#N/A</v>
      </c>
      <c r="AC87" s="4" t="e">
        <f t="shared" si="18"/>
        <v>#N/A</v>
      </c>
      <c r="AD87" t="e">
        <f t="shared" si="19"/>
        <v>#N/A</v>
      </c>
      <c r="AE87" s="5" t="e">
        <f t="shared" si="20"/>
        <v>#N/A</v>
      </c>
    </row>
  </sheetData>
  <sheetProtection formatCells="0" insertHyperlinks="0" autoFilter="0"/>
  <pageMargins left="0.7" right="0.7" top="0.75" bottom="0.75" header="0.3" footer="0.3"/>
  <pageSetup paperSize="9" orientation="portrait" horizontalDpi="1200" verticalDpi="1200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8:C16"/>
  <sheetViews>
    <sheetView tabSelected="1" workbookViewId="0">
      <selection activeCell="R23" sqref="R23"/>
    </sheetView>
  </sheetViews>
  <sheetFormatPr defaultColWidth="9" defaultRowHeight="14.25" outlineLevelCol="2"/>
  <cols>
    <col min="1" max="1" width="4.375" style="1" customWidth="1"/>
    <col min="2" max="2" width="3.375" style="1" customWidth="1"/>
    <col min="3" max="3" width="21.875" style="1" customWidth="1"/>
    <col min="4" max="16384" width="9" style="1"/>
  </cols>
  <sheetData>
    <row r="8" ht="27.75" customHeight="1" spans="3:3">
      <c r="C8" s="2" t="s">
        <v>134</v>
      </c>
    </row>
    <row r="9" ht="27.75" customHeight="1" spans="3:3">
      <c r="C9" s="2" t="s">
        <v>141</v>
      </c>
    </row>
    <row r="10" ht="27.75" customHeight="1" spans="3:3">
      <c r="C10" s="2" t="s">
        <v>142</v>
      </c>
    </row>
    <row r="11" ht="27.75" customHeight="1" spans="3:3">
      <c r="C11" s="2" t="s">
        <v>137</v>
      </c>
    </row>
    <row r="12" ht="27.75" customHeight="1" spans="3:3">
      <c r="C12" s="2" t="s">
        <v>143</v>
      </c>
    </row>
    <row r="13" ht="27.75" customHeight="1" spans="3:3">
      <c r="C13" s="2" t="s">
        <v>144</v>
      </c>
    </row>
    <row r="14" ht="27.75" customHeight="1" spans="3:3">
      <c r="C14" s="2" t="s">
        <v>145</v>
      </c>
    </row>
    <row r="15" ht="27.75" customHeight="1" spans="3:3">
      <c r="C15" s="2" t="s">
        <v>73</v>
      </c>
    </row>
    <row r="16" ht="27.75" customHeight="1" spans="3:3">
      <c r="C16" s="2" t="s">
        <v>86</v>
      </c>
    </row>
  </sheetData>
  <sheetProtection formatCells="0" insertHyperlinks="0" autoFilter="0"/>
  <conditionalFormatting sqref="C8:C16">
    <cfRule type="expression" dxfId="55" priority="1">
      <formula>month_data!$Q1=TRUE</formula>
    </cfRule>
  </conditionalFormatting>
  <pageMargins left="0.7" right="0.7" top="0.75" bottom="0.75" header="0.3" footer="0.3"/>
  <pageSetup paperSize="9" orientation="portrait"/>
  <headerFooter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3313" name="Check Box 1" r:id="rId3">
              <controlPr defaultSize="0">
                <anchor moveWithCells="1">
                  <from>
                    <xdr:col>1</xdr:col>
                    <xdr:colOff>0</xdr:colOff>
                    <xdr:row>7</xdr:row>
                    <xdr:rowOff>0</xdr:rowOff>
                  </from>
                  <to>
                    <xdr:col>3</xdr:col>
                    <xdr:colOff>0</xdr:colOff>
                    <xdr:row>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14" name="Check Box 2" r:id="rId4">
              <controlPr defaultSize="0">
                <anchor moveWithCells="1">
                  <from>
                    <xdr:col>1</xdr:col>
                    <xdr:colOff>0</xdr:colOff>
                    <xdr:row>8</xdr:row>
                    <xdr:rowOff>0</xdr:rowOff>
                  </from>
                  <to>
                    <xdr:col>3</xdr:col>
                    <xdr:colOff>0</xdr:colOff>
                    <xdr:row>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15" name="Check Box 3" r:id="rId5">
              <controlPr defaultSize="0">
                <anchor moveWithCells="1">
                  <from>
                    <xdr:col>1</xdr:col>
                    <xdr:colOff>0</xdr:colOff>
                    <xdr:row>9</xdr:row>
                    <xdr:rowOff>0</xdr:rowOff>
                  </from>
                  <to>
                    <xdr:col>3</xdr:col>
                    <xdr:colOff>0</xdr:colOff>
                    <xdr:row>10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16" name="Check Box 4" r:id="rId6">
              <controlPr defaultSize="0">
                <anchor moveWithCells="1">
                  <from>
                    <xdr:col>1</xdr:col>
                    <xdr:colOff>0</xdr:colOff>
                    <xdr:row>10</xdr:row>
                    <xdr:rowOff>0</xdr:rowOff>
                  </from>
                  <to>
                    <xdr:col>3</xdr:col>
                    <xdr:colOff>0</xdr:colOff>
                    <xdr:row>11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17" name="Check Box 5" r:id="rId7">
              <controlPr defaultSize="0">
                <anchor moveWithCells="1">
                  <from>
                    <xdr:col>1</xdr:col>
                    <xdr:colOff>0</xdr:colOff>
                    <xdr:row>11</xdr:row>
                    <xdr:rowOff>0</xdr:rowOff>
                  </from>
                  <to>
                    <xdr:col>3</xdr:col>
                    <xdr:colOff>0</xdr:colOff>
                    <xdr:row>12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18" name="Check Box 6" r:id="rId8">
              <controlPr defaultSize="0">
                <anchor moveWithCells="1">
                  <from>
                    <xdr:col>1</xdr:col>
                    <xdr:colOff>0</xdr:colOff>
                    <xdr:row>12</xdr:row>
                    <xdr:rowOff>0</xdr:rowOff>
                  </from>
                  <to>
                    <xdr:col>3</xdr:col>
                    <xdr:colOff>0</xdr:colOff>
                    <xdr:row>13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19" name="Check Box 7" r:id="rId9">
              <controlPr defaultSize="0">
                <anchor moveWithCells="1">
                  <from>
                    <xdr:col>1</xdr:col>
                    <xdr:colOff>0</xdr:colOff>
                    <xdr:row>13</xdr:row>
                    <xdr:rowOff>0</xdr:rowOff>
                  </from>
                  <to>
                    <xdr:col>3</xdr:col>
                    <xdr:colOff>0</xdr:colOff>
                    <xdr:row>14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20" name="Check Box 8" r:id="rId10">
              <controlPr defaultSize="0">
                <anchor moveWithCells="1">
                  <from>
                    <xdr:col>1</xdr:col>
                    <xdr:colOff>0</xdr:colOff>
                    <xdr:row>14</xdr:row>
                    <xdr:rowOff>0</xdr:rowOff>
                  </from>
                  <to>
                    <xdr:col>3</xdr:col>
                    <xdr:colOff>0</xdr:colOff>
                    <xdr:row>15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21" name="Check Box 9" r:id="rId11">
              <controlPr defaultSize="0">
                <anchor moveWithCells="1">
                  <from>
                    <xdr:col>1</xdr:col>
                    <xdr:colOff>0</xdr:colOff>
                    <xdr:row>15</xdr:row>
                    <xdr:rowOff>0</xdr:rowOff>
                  </from>
                  <to>
                    <xdr:col>3</xdr:col>
                    <xdr:colOff>0</xdr:colOff>
                    <xdr:row>16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oProps xmlns="https://web.wps.cn/et/2018/main" xmlns:s="http://schemas.openxmlformats.org/spreadsheetml/2006/main">
  <woSheetsProps>
    <woSheetProps sheetStid="1" interlineOnOff="0" interlineColor="0" isDbSheet="0" isDashBoardSheet="0" isDbDashBoardSheet="0" isFlexPaperSheet="0">
      <cellprotection/>
      <appEtDbRelations/>
    </woSheetProps>
    <woSheetProps sheetStid="6" interlineOnOff="0" interlineColor="0" isDbSheet="0" isDashBoardSheet="0" isDbDashBoardSheet="0" isFlexPaperSheet="0">
      <cellprotection/>
      <appEtDbRelations/>
    </woSheetProps>
    <woSheetProps sheetStid="49" interlineOnOff="0" interlineColor="0" isDbSheet="0" isDashBoardSheet="0" isDbDashBoardSheet="0" isFlexPaperSheet="0">
      <cellprotection/>
      <appEtDbRelations/>
    </woSheetProps>
    <woSheetProps sheetStid="38" interlineOnOff="0" interlineColor="0" isDbSheet="0" isDashBoardSheet="0" isDbDashBoardSheet="0" isFlexPaperSheet="0">
      <pivotTables>
        <pivotTable pivotTableName="数据透视表1" updateTime="-1" sourceDataDirty="0"/>
      </pivotTables>
      <cellprotection/>
      <appEtDbRelations/>
    </woSheetProps>
    <woSheetProps sheetStid="35" interlineOnOff="0" interlineColor="0" isDbSheet="0" isDashBoardSheet="0" isDbDashBoardSheet="0" isFlexPaperSheet="0">
      <cellprotection/>
      <appEtDbRelations/>
    </woSheetProps>
    <woSheetProps sheetStid="39" interlineOnOff="0" interlineColor="0" isDbSheet="0" isDashBoardSheet="0" isDbDashBoardSheet="0" isFlexPaperSheet="0">
      <cellprotection/>
      <appEtDbRelations/>
    </woSheetProps>
    <woSheetProps sheetStid="41" interlineOnOff="0" interlineColor="0" isDbSheet="0" isDashBoardSheet="0" isDbDashBoardSheet="0" isFlexPaperSheet="0">
      <pivotTables>
        <pivotTable pivotTableName="数据透视表1" updateTime="-1" sourceDataDirty="0"/>
      </pivotTables>
      <cellprotection/>
      <appEtDbRelations/>
    </woSheetProps>
    <woSheetProps sheetStid="45" interlineOnOff="0" interlineColor="0" isDbSheet="0" isDashBoardSheet="0" isDbDashBoardSheet="0" isFlexPaperSheet="0">
      <cellprotection/>
      <appEtDbRelations/>
    </woSheetProps>
    <woSheetProps sheetStid="47" interlineOnOff="0" interlineColor="0" isDbSheet="0" isDashBoardSheet="0" isDbDashBoardSheet="0" isFlexPaperSheet="0">
      <cellprotection/>
      <appEtDbRelations/>
    </woSheetProps>
    <woSheetProps sheetStid="48" interlineOnOff="0" interlineColor="0" isDbSheet="0" isDashBoardSheet="0" isDbDashBoardSheet="0" isFlexPaperSheet="0">
      <cellprotection/>
      <appEtDbRelations/>
    </woSheetProps>
  </woSheetsProps>
  <woBookProps>
    <bookSettings fileId="EZPSZPYEUMZAWQEW:41512919171200232492" isFilterShared="1" coreConquerUserId="" isAutoUpdatePaused="0" filterType="conn" isMergeTasksAutoUpdate="0" isInserPicAsAttachment="0"/>
  </woBookProps>
</woProps>
</file>

<file path=customXml/item2.xml><?xml version="1.0" encoding="utf-8"?>
<pixelators xmlns="https://web.wps.cn/et/2018/main" xmlns:s="http://schemas.openxmlformats.org/spreadsheetml/2006/main">
  <pixelatorList sheetStid="1"/>
  <pixelatorList sheetStid="6"/>
  <pixelatorList sheetStid="49"/>
  <pixelatorList sheetStid="38"/>
  <pixelatorList sheetStid="35"/>
  <pixelatorList sheetStid="39"/>
  <pixelatorList sheetStid="41"/>
  <pixelatorList sheetStid="45"/>
  <pixelatorList sheetStid="47"/>
  <pixelatorList sheetStid="48"/>
  <pixelatorList sheetStid="50"/>
</pixelators>
</file>

<file path=customXml/itemProps1.xml><?xml version="1.0" encoding="utf-8"?>
<ds:datastoreItem xmlns:ds="http://schemas.openxmlformats.org/officeDocument/2006/customXml" ds:itemID="{06C82605-B75B-4693-9329-32AAD527C692}">
  <ds:schemaRefs>
    <ds:schemaRef ds:uri="https://web.wps.cn/et/2018/main"/>
    <ds:schemaRef ds:uri="http://schemas.openxmlformats.org/spreadsheetml/2006/main"/>
  </ds:schemaRefs>
</ds:datastoreItem>
</file>

<file path=customXml/itemProps2.xml><?xml version="1.0" encoding="utf-8"?>
<ds:datastoreItem xmlns:ds="http://schemas.openxmlformats.org/officeDocument/2006/customXml" ds:itemID="{224D003E-15C9-4FFE-AB16-9E66474EAE4E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WWO_wpscloud_20250424194432-d21c6c7b9b</Application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源数据</vt:lpstr>
      <vt:lpstr>ASIN码和表格SKU名</vt:lpstr>
      <vt:lpstr>query</vt:lpstr>
      <vt:lpstr>day_data</vt:lpstr>
      <vt:lpstr>day_控件</vt:lpstr>
      <vt:lpstr>多维度分析表（日）</vt:lpstr>
      <vt:lpstr>week_data</vt:lpstr>
      <vt:lpstr>多维度分析表（周）</vt:lpstr>
      <vt:lpstr>month_data</vt:lpstr>
      <vt:lpstr>多维度分析表（月）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Dai</cp:lastModifiedBy>
  <dcterms:created xsi:type="dcterms:W3CDTF">2015-06-06T02:19:00Z</dcterms:created>
  <dcterms:modified xsi:type="dcterms:W3CDTF">2019-01-18T00:01:00Z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