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17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<sst xmlns="http://schemas.openxmlformats.org/spreadsheetml/2006/main" count="93" uniqueCount="71">
  <si>
    <t>准备阶段</t>
  </si>
  <si>
    <t>序号</t>
  </si>
  <si>
    <t>完成时间</t>
  </si>
  <si>
    <t>项目</t>
  </si>
  <si>
    <t>内容</t>
  </si>
  <si>
    <t>负责人</t>
  </si>
  <si>
    <t>/</t>
  </si>
  <si>
    <t>竞品ASIN数据</t>
  </si>
  <si>
    <t>主推关键词</t>
  </si>
  <si>
    <t>卖点挖据</t>
  </si>
  <si>
    <t>类目节点选择及推广目标：</t>
  </si>
  <si>
    <t>前#30</t>
  </si>
  <si>
    <t>发货计划</t>
  </si>
  <si>
    <t>7/10日     100个空运     预计7/20上架
8/10日     200空运       预计8/20上架
8/30日     400空运       预计9/10号上架
9/20日     400空运      预计10/2号上架
10/10日    600空运      预计10/20号上架
中间视上架情况和单量情况做调整</t>
  </si>
  <si>
    <t>2021/4/6-4/15</t>
  </si>
  <si>
    <t>图片，A+，视频制作</t>
  </si>
  <si>
    <t>花费预计1000RMB</t>
  </si>
  <si>
    <t>2021/4-2021/5</t>
  </si>
  <si>
    <t>QA，review准备</t>
  </si>
  <si>
    <t>测评：15个</t>
  </si>
  <si>
    <t>QA数：10个</t>
  </si>
  <si>
    <t>2021/7-2021/10</t>
  </si>
  <si>
    <t>预估销量</t>
  </si>
  <si>
    <t>10-15单/天</t>
  </si>
  <si>
    <t>3个月</t>
  </si>
  <si>
    <t>推广时间</t>
  </si>
  <si>
    <t>2021/7.20-2021/10.20</t>
  </si>
  <si>
    <t>售价进度</t>
  </si>
  <si>
    <t>35.99-39.99</t>
  </si>
  <si>
    <t>利润</t>
  </si>
  <si>
    <t>利润率：空运 33%</t>
  </si>
  <si>
    <t>3个月推广期预算</t>
  </si>
  <si>
    <t>公式</t>
  </si>
  <si>
    <t>售价</t>
  </si>
  <si>
    <t>佣金</t>
  </si>
  <si>
    <t>FBA 费用</t>
  </si>
  <si>
    <t>成本</t>
  </si>
  <si>
    <t>运费$</t>
  </si>
  <si>
    <t>成本rmb</t>
  </si>
  <si>
    <t>运费rmb</t>
  </si>
  <si>
    <t>利润$</t>
  </si>
  <si>
    <t>利润率</t>
  </si>
  <si>
    <t>利润rmb</t>
  </si>
  <si>
    <t xml:space="preserve">快递58/KG </t>
  </si>
  <si>
    <t>三批总数</t>
  </si>
  <si>
    <t>RMB</t>
  </si>
  <si>
    <t>明细美元</t>
  </si>
  <si>
    <t>销售额</t>
  </si>
  <si>
    <t>售价*合计</t>
  </si>
  <si>
    <t>预计利润</t>
  </si>
  <si>
    <t>利润*合计</t>
  </si>
  <si>
    <t>推广预算</t>
  </si>
  <si>
    <t>CPC</t>
  </si>
  <si>
    <t>平均80美金/天</t>
  </si>
  <si>
    <t>测评</t>
  </si>
  <si>
    <t>售价-利润+佣金(预计测评20单）</t>
  </si>
  <si>
    <t>问答</t>
  </si>
  <si>
    <t>5元一组/10组</t>
  </si>
  <si>
    <t>推广预算合计</t>
  </si>
  <si>
    <t>礼品卡回评费</t>
  </si>
  <si>
    <t>退款</t>
  </si>
  <si>
    <t>销售额 5%退款</t>
  </si>
  <si>
    <t>纯利</t>
  </si>
  <si>
    <t>纯利=预计利润-费用预算-退款</t>
  </si>
  <si>
    <t>第一批海运预算</t>
  </si>
  <si>
    <t>第一批空运</t>
  </si>
  <si>
    <t>平均60美金/天</t>
  </si>
  <si>
    <t>售价-利润+佣金(第一个月预计测评10单）</t>
  </si>
  <si>
    <t>5元一组/5组</t>
  </si>
  <si>
    <t>毛利</t>
  </si>
  <si>
    <t>毛利=预计利润-费用预算-退款</t>
  </si>
</sst>
</file>

<file path=xl/styles.xml><?xml version="1.0" encoding="utf-8"?>
<styleSheet xmlns="http://schemas.openxmlformats.org/spreadsheetml/2006/main">
  <numFmts count="38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24" formatCode="\$#,##0_);[Red]\(\$#,##0\)"/>
    <numFmt numFmtId="7" formatCode="&quot;￥&quot;#,##0.00;&quot;￥&quot;\-#,##0.00"/>
    <numFmt numFmtId="178" formatCode="h:mm:ss\ AM/PM"/>
    <numFmt numFmtId="179" formatCode="#\ ?/?"/>
    <numFmt numFmtId="26" formatCode="\$#,##0.00_);[Red]\(\$#,##0.00\)"/>
    <numFmt numFmtId="180" formatCode="#\ ??/??"/>
    <numFmt numFmtId="181" formatCode="[DBNum1][$-804]yyyy&quot;年&quot;m&quot;月&quot;d&quot;日&quot;"/>
    <numFmt numFmtId="5" formatCode="&quot;￥&quot;#,##0;&quot;￥&quot;\-#,##0"/>
    <numFmt numFmtId="182" formatCode="[DBNum1][$-804]m&quot;月&quot;d&quot;日&quot;"/>
    <numFmt numFmtId="183" formatCode="mmmm\-yy"/>
    <numFmt numFmtId="8" formatCode="&quot;￥&quot;#,##0.00;[Red]&quot;￥&quot;\-#,##0.00"/>
    <numFmt numFmtId="184" formatCode="#\ ??"/>
    <numFmt numFmtId="185" formatCode="mm/dd/yy"/>
    <numFmt numFmtId="186" formatCode="yyyy/m/d\ h:mm\ AM/PM"/>
    <numFmt numFmtId="187" formatCode="yy/m/d"/>
    <numFmt numFmtId="188" formatCode="dd\-mmm\-yy"/>
    <numFmt numFmtId="42" formatCode="_ &quot;￥&quot;* #,##0_ ;_ &quot;￥&quot;* \-#,##0_ ;_ &quot;￥&quot;* &quot;-&quot;_ ;_ @_ "/>
    <numFmt numFmtId="189" formatCode="h:mm\ AM/PM"/>
    <numFmt numFmtId="190" formatCode="[DBNum1]上午/下午h&quot;时&quot;mm&quot;分&quot;"/>
    <numFmt numFmtId="23" formatCode="\$#,##0_);\(\$#,##0\)"/>
    <numFmt numFmtId="191" formatCode="0.00_);[Red]\(0.00\)"/>
    <numFmt numFmtId="192" formatCode="[DBNum1]h&quot;时&quot;mm&quot;分&quot;"/>
    <numFmt numFmtId="193" formatCode="\¥#,##0.00;\¥\-#,##0.00"/>
    <numFmt numFmtId="25" formatCode="\$#,##0.00_);\(\$#,##0.00\)"/>
    <numFmt numFmtId="43" formatCode="_ * #,##0.00_ ;_ * \-#,##0.00_ ;_ * &quot;-&quot;??_ ;_ @_ "/>
    <numFmt numFmtId="194" formatCode="m/d"/>
    <numFmt numFmtId="195" formatCode="\¥#,##0;\¥\-#,##0"/>
    <numFmt numFmtId="196" formatCode="mmmmm"/>
    <numFmt numFmtId="197" formatCode="mmmmm\-yy"/>
    <numFmt numFmtId="198" formatCode="[$-804]aaa"/>
    <numFmt numFmtId="199" formatCode="[$-804]aaaa"/>
    <numFmt numFmtId="41" formatCode="_ * #,##0_ ;_ * \-#,##0_ ;_ * &quot;-&quot;_ ;_ @_ "/>
    <numFmt numFmtId="200" formatCode="0.00_ "/>
    <numFmt numFmtId="44" formatCode="_ &quot;￥&quot;* #,##0.00_ ;_ &quot;￥&quot;* \-#,##0.00_ ;_ &quot;￥&quot;* &quot;-&quot;??_ ;_ @_ "/>
    <numFmt numFmtId="201" formatCode="\¥#,##0;[Red]\¥\-#,##0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6" fillId="28" borderId="12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2" borderId="17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</cellStyleXfs>
  <cellXfs count="8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textRotation="255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58" fontId="4" fillId="0" borderId="1" xfId="0" applyNumberFormat="1" applyFont="1" applyFill="1" applyBorder="1" applyAlignment="1">
      <alignment horizontal="center" vertical="center" wrapText="1"/>
    </xf>
    <xf numFmtId="58" fontId="2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91" fontId="1" fillId="0" borderId="1" xfId="0" applyNumberFormat="1" applyFont="1" applyFill="1" applyBorder="1" applyAlignment="1">
      <alignment horizontal="center" vertical="center"/>
    </xf>
    <xf numFmtId="191" fontId="0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200" fontId="5" fillId="2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91" fontId="1" fillId="4" borderId="1" xfId="0" applyNumberFormat="1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191" fontId="0" fillId="4" borderId="1" xfId="0" applyNumberFormat="1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200" fontId="5" fillId="2" borderId="1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191" fontId="0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200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191" fontId="1" fillId="0" borderId="1" xfId="0" applyNumberFormat="1" applyFont="1" applyFill="1" applyBorder="1" applyAlignment="1">
      <alignment horizontal="left" vertical="center"/>
    </xf>
    <xf numFmtId="191" fontId="0" fillId="0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191" fontId="1" fillId="4" borderId="1" xfId="0" applyNumberFormat="1" applyFont="1" applyFill="1" applyBorder="1" applyAlignment="1">
      <alignment horizontal="left" vertical="center"/>
    </xf>
    <xf numFmtId="191" fontId="0" fillId="4" borderId="1" xfId="0" applyNumberFormat="1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 wrapText="1"/>
    </xf>
    <xf numFmtId="0" fontId="0" fillId="2" borderId="1" xfId="0" applyNumberFormat="1" applyFont="1" applyFill="1" applyBorder="1" applyAlignment="1">
      <alignment horizontal="left" vertical="center"/>
    </xf>
    <xf numFmtId="10" fontId="0" fillId="2" borderId="1" xfId="0" applyNumberFormat="1" applyFont="1" applyFill="1" applyBorder="1" applyAlignment="1">
      <alignment horizontal="left" vertical="center"/>
    </xf>
    <xf numFmtId="0" fontId="0" fillId="0" borderId="9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10" fontId="0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0" fontId="0" fillId="0" borderId="0" xfId="0" applyNumberFormat="1" applyFont="1" applyFill="1" applyBorder="1" applyAlignment="1">
      <alignment vertical="center"/>
    </xf>
    <xf numFmtId="200" fontId="0" fillId="0" borderId="0" xfId="0" applyNumberFormat="1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7"/>
  <sheetViews>
    <sheetView tabSelected="1" workbookViewId="0">
      <selection activeCell="F44" sqref="F44:L44"/>
    </sheetView>
  </sheetViews>
  <sheetFormatPr defaultColWidth="9" defaultRowHeight="18" customHeight="1"/>
  <cols>
    <col min="1" max="1" width="5.625" style="3" customWidth="1"/>
    <col min="2" max="2" width="13.25" style="4" customWidth="1"/>
    <col min="3" max="3" width="13.625" style="5" customWidth="1"/>
    <col min="4" max="4" width="17.625" style="4" customWidth="1"/>
    <col min="5" max="5" width="14.625" style="6" customWidth="1"/>
    <col min="6" max="7" width="6.25" style="6" customWidth="1"/>
    <col min="8" max="8" width="8.5" style="6" customWidth="1"/>
    <col min="9" max="9" width="8.25" style="6" customWidth="1"/>
    <col min="10" max="10" width="6.125" style="6" customWidth="1"/>
    <col min="11" max="11" width="8.625" style="6" customWidth="1"/>
    <col min="12" max="12" width="10.125" style="6" customWidth="1"/>
    <col min="13" max="13" width="20" style="4" customWidth="1"/>
    <col min="14" max="14" width="14.375" style="4" customWidth="1"/>
    <col min="15" max="15" width="7.125" style="4" customWidth="1"/>
    <col min="16" max="16" width="5.375" style="4" customWidth="1"/>
    <col min="17" max="17" width="9.625" style="1" customWidth="1"/>
    <col min="18" max="18" width="14.125" style="1" customWidth="1"/>
    <col min="19" max="16384" width="9" style="1"/>
  </cols>
  <sheetData>
    <row r="1" s="1" customFormat="1" customHeight="1" spans="1:16">
      <c r="A1" s="7" t="s">
        <v>0</v>
      </c>
      <c r="B1" s="8" t="s">
        <v>1</v>
      </c>
      <c r="C1" s="9" t="s">
        <v>2</v>
      </c>
      <c r="D1" s="8" t="s">
        <v>3</v>
      </c>
      <c r="E1" s="39" t="s">
        <v>4</v>
      </c>
      <c r="F1" s="40"/>
      <c r="G1" s="40"/>
      <c r="H1" s="40"/>
      <c r="I1" s="40"/>
      <c r="J1" s="40"/>
      <c r="K1" s="40"/>
      <c r="L1" s="68"/>
      <c r="M1" s="4"/>
      <c r="N1" s="4"/>
      <c r="O1" s="4"/>
      <c r="P1" s="4"/>
    </row>
    <row r="2" s="1" customFormat="1" customHeight="1" spans="1:16">
      <c r="A2" s="7"/>
      <c r="B2" s="8"/>
      <c r="C2" s="9" t="s">
        <v>5</v>
      </c>
      <c r="D2" s="8" t="s">
        <v>6</v>
      </c>
      <c r="E2" s="39" t="s">
        <v>6</v>
      </c>
      <c r="F2" s="40"/>
      <c r="G2" s="40"/>
      <c r="H2" s="40"/>
      <c r="I2" s="40"/>
      <c r="J2" s="40"/>
      <c r="K2" s="40"/>
      <c r="L2" s="68"/>
      <c r="M2" s="4"/>
      <c r="N2" s="4"/>
      <c r="O2" s="4"/>
      <c r="P2" s="4"/>
    </row>
    <row r="3" s="1" customFormat="1" customHeight="1" spans="1:16">
      <c r="A3" s="7"/>
      <c r="B3" s="8">
        <v>1</v>
      </c>
      <c r="C3" s="10">
        <v>44382</v>
      </c>
      <c r="D3" s="11" t="s">
        <v>7</v>
      </c>
      <c r="E3" s="39" t="s">
        <v>6</v>
      </c>
      <c r="F3" s="40"/>
      <c r="G3" s="40"/>
      <c r="H3" s="40"/>
      <c r="I3" s="40"/>
      <c r="J3" s="40"/>
      <c r="K3" s="40"/>
      <c r="L3" s="68"/>
      <c r="M3" s="4"/>
      <c r="N3" s="4"/>
      <c r="O3" s="4"/>
      <c r="P3" s="4"/>
    </row>
    <row r="4" s="1" customFormat="1" ht="63" customHeight="1" spans="1:16">
      <c r="A4" s="7"/>
      <c r="B4" s="8">
        <v>2</v>
      </c>
      <c r="C4" s="10">
        <v>44382</v>
      </c>
      <c r="D4" s="11" t="s">
        <v>8</v>
      </c>
      <c r="E4" s="41" t="s">
        <v>6</v>
      </c>
      <c r="F4" s="40"/>
      <c r="G4" s="40"/>
      <c r="H4" s="40"/>
      <c r="I4" s="40"/>
      <c r="J4" s="40"/>
      <c r="K4" s="40"/>
      <c r="L4" s="68"/>
      <c r="M4" s="4"/>
      <c r="N4" s="4"/>
      <c r="O4" s="4"/>
      <c r="P4" s="4"/>
    </row>
    <row r="5" s="1" customFormat="1" ht="22" customHeight="1" spans="1:16">
      <c r="A5" s="7"/>
      <c r="B5" s="12">
        <v>3</v>
      </c>
      <c r="C5" s="10">
        <v>44382</v>
      </c>
      <c r="D5" s="13" t="s">
        <v>9</v>
      </c>
      <c r="E5" s="42" t="s">
        <v>6</v>
      </c>
      <c r="F5" s="43"/>
      <c r="G5" s="43"/>
      <c r="H5" s="43"/>
      <c r="I5" s="43"/>
      <c r="J5" s="43"/>
      <c r="K5" s="43"/>
      <c r="L5" s="69"/>
      <c r="M5" s="4"/>
      <c r="N5" s="4"/>
      <c r="O5" s="4"/>
      <c r="P5" s="4"/>
    </row>
    <row r="6" s="1" customFormat="1" ht="22" customHeight="1" spans="1:16">
      <c r="A6" s="7"/>
      <c r="B6" s="14"/>
      <c r="C6" s="10"/>
      <c r="D6" s="15"/>
      <c r="E6" s="44" t="s">
        <v>6</v>
      </c>
      <c r="F6" s="45"/>
      <c r="G6" s="45"/>
      <c r="H6" s="45"/>
      <c r="I6" s="45"/>
      <c r="J6" s="45"/>
      <c r="K6" s="45"/>
      <c r="L6" s="70"/>
      <c r="M6" s="4"/>
      <c r="N6" s="4"/>
      <c r="O6" s="4"/>
      <c r="P6" s="4"/>
    </row>
    <row r="7" s="1" customFormat="1" customHeight="1" spans="1:16">
      <c r="A7" s="7"/>
      <c r="B7" s="14"/>
      <c r="C7" s="10"/>
      <c r="D7" s="15"/>
      <c r="E7" s="46" t="s">
        <v>6</v>
      </c>
      <c r="F7" s="47"/>
      <c r="G7" s="47"/>
      <c r="H7" s="47"/>
      <c r="I7" s="47"/>
      <c r="J7" s="47"/>
      <c r="K7" s="47"/>
      <c r="L7" s="71"/>
      <c r="M7" s="4"/>
      <c r="N7" s="4"/>
      <c r="O7" s="4"/>
      <c r="P7" s="4"/>
    </row>
    <row r="8" s="1" customFormat="1" ht="28" customHeight="1" spans="1:16">
      <c r="A8" s="7"/>
      <c r="B8" s="8">
        <v>4</v>
      </c>
      <c r="C8" s="10">
        <v>44382</v>
      </c>
      <c r="D8" s="11" t="s">
        <v>10</v>
      </c>
      <c r="E8" s="39" t="s">
        <v>11</v>
      </c>
      <c r="F8" s="40"/>
      <c r="G8" s="40"/>
      <c r="H8" s="40"/>
      <c r="I8" s="40"/>
      <c r="J8" s="40"/>
      <c r="K8" s="40"/>
      <c r="L8" s="68"/>
      <c r="M8" s="4"/>
      <c r="N8" s="4"/>
      <c r="O8" s="4"/>
      <c r="P8" s="4"/>
    </row>
    <row r="9" s="1" customFormat="1" ht="84" customHeight="1" spans="1:16">
      <c r="A9" s="7"/>
      <c r="B9" s="8">
        <v>5</v>
      </c>
      <c r="C9" s="10">
        <v>44387</v>
      </c>
      <c r="D9" s="11" t="s">
        <v>12</v>
      </c>
      <c r="E9" s="41" t="s">
        <v>13</v>
      </c>
      <c r="F9" s="48"/>
      <c r="G9" s="48"/>
      <c r="H9" s="48"/>
      <c r="I9" s="48"/>
      <c r="J9" s="48"/>
      <c r="K9" s="48"/>
      <c r="L9" s="72"/>
      <c r="M9" s="4"/>
      <c r="N9" s="4"/>
      <c r="O9" s="4"/>
      <c r="P9" s="4"/>
    </row>
    <row r="10" s="1" customFormat="1" ht="33" customHeight="1" spans="1:16">
      <c r="A10" s="7"/>
      <c r="B10" s="8">
        <v>6</v>
      </c>
      <c r="C10" s="16" t="s">
        <v>14</v>
      </c>
      <c r="D10" s="11" t="s">
        <v>15</v>
      </c>
      <c r="E10" s="39" t="s">
        <v>16</v>
      </c>
      <c r="F10" s="40"/>
      <c r="G10" s="40"/>
      <c r="H10" s="40"/>
      <c r="I10" s="40"/>
      <c r="J10" s="40"/>
      <c r="K10" s="40"/>
      <c r="L10" s="68"/>
      <c r="M10" s="4"/>
      <c r="N10" s="4"/>
      <c r="O10" s="4"/>
      <c r="P10" s="4"/>
    </row>
    <row r="11" s="1" customFormat="1" customHeight="1" spans="1:16">
      <c r="A11" s="7"/>
      <c r="B11" s="8">
        <v>7</v>
      </c>
      <c r="C11" s="16" t="s">
        <v>17</v>
      </c>
      <c r="D11" s="11" t="s">
        <v>18</v>
      </c>
      <c r="E11" s="39"/>
      <c r="F11" s="40"/>
      <c r="G11" s="40"/>
      <c r="H11" s="40"/>
      <c r="I11" s="40"/>
      <c r="J11" s="40"/>
      <c r="K11" s="40"/>
      <c r="L11" s="68"/>
      <c r="M11" s="4"/>
      <c r="N11" s="4"/>
      <c r="O11" s="4"/>
      <c r="P11" s="4"/>
    </row>
    <row r="12" s="1" customFormat="1" customHeight="1" spans="1:16">
      <c r="A12" s="7"/>
      <c r="B12" s="8"/>
      <c r="C12" s="17"/>
      <c r="D12" s="11"/>
      <c r="E12" s="49" t="s">
        <v>19</v>
      </c>
      <c r="F12" s="40"/>
      <c r="G12" s="40"/>
      <c r="H12" s="40"/>
      <c r="I12" s="40"/>
      <c r="J12" s="40"/>
      <c r="K12" s="40"/>
      <c r="L12" s="68"/>
      <c r="M12" s="4"/>
      <c r="N12" s="4"/>
      <c r="O12" s="4"/>
      <c r="P12" s="4"/>
    </row>
    <row r="13" s="1" customFormat="1" customHeight="1" spans="1:16">
      <c r="A13" s="7"/>
      <c r="B13" s="8"/>
      <c r="C13" s="17"/>
      <c r="D13" s="11"/>
      <c r="E13" s="39" t="s">
        <v>20</v>
      </c>
      <c r="F13" s="40"/>
      <c r="G13" s="40"/>
      <c r="H13" s="40"/>
      <c r="I13" s="40"/>
      <c r="J13" s="40"/>
      <c r="K13" s="40"/>
      <c r="L13" s="68"/>
      <c r="M13" s="4"/>
      <c r="N13" s="4"/>
      <c r="O13" s="4"/>
      <c r="P13" s="4"/>
    </row>
    <row r="14" s="1" customFormat="1" customHeight="1" spans="1:16">
      <c r="A14" s="7"/>
      <c r="B14" s="8"/>
      <c r="C14" s="17"/>
      <c r="D14" s="11"/>
      <c r="E14" s="39"/>
      <c r="F14" s="40"/>
      <c r="G14" s="40"/>
      <c r="H14" s="40"/>
      <c r="I14" s="40"/>
      <c r="J14" s="40"/>
      <c r="K14" s="40"/>
      <c r="L14" s="68"/>
      <c r="M14" s="4"/>
      <c r="N14" s="4"/>
      <c r="O14" s="4"/>
      <c r="P14" s="4"/>
    </row>
    <row r="15" s="1" customFormat="1" customHeight="1" spans="1:16">
      <c r="A15" s="7"/>
      <c r="B15" s="8"/>
      <c r="C15" s="17"/>
      <c r="D15" s="11"/>
      <c r="E15" s="39"/>
      <c r="F15" s="40"/>
      <c r="G15" s="40"/>
      <c r="H15" s="40"/>
      <c r="I15" s="40"/>
      <c r="J15" s="40"/>
      <c r="K15" s="40"/>
      <c r="L15" s="68"/>
      <c r="M15" s="77"/>
      <c r="N15" s="4"/>
      <c r="O15" s="4"/>
      <c r="P15" s="4"/>
    </row>
    <row r="16" s="1" customFormat="1" customHeight="1" spans="1:16">
      <c r="A16" s="7"/>
      <c r="B16" s="8"/>
      <c r="C16" s="17"/>
      <c r="D16" s="11"/>
      <c r="E16" s="39"/>
      <c r="F16" s="40"/>
      <c r="G16" s="40"/>
      <c r="H16" s="40"/>
      <c r="I16" s="40"/>
      <c r="J16" s="40"/>
      <c r="K16" s="40"/>
      <c r="L16" s="68"/>
      <c r="M16" s="77"/>
      <c r="N16" s="4"/>
      <c r="O16" s="4"/>
      <c r="P16" s="4"/>
    </row>
    <row r="17" s="1" customFormat="1" customHeight="1" spans="1:16">
      <c r="A17" s="7"/>
      <c r="B17" s="8">
        <v>8</v>
      </c>
      <c r="C17" s="10" t="s">
        <v>21</v>
      </c>
      <c r="D17" s="11" t="s">
        <v>22</v>
      </c>
      <c r="E17" s="49" t="s">
        <v>23</v>
      </c>
      <c r="F17" s="40"/>
      <c r="G17" s="40"/>
      <c r="H17" s="40"/>
      <c r="I17" s="40"/>
      <c r="J17" s="40"/>
      <c r="K17" s="40"/>
      <c r="L17" s="68"/>
      <c r="M17" s="4"/>
      <c r="N17" s="4"/>
      <c r="O17" s="4"/>
      <c r="P17" s="4"/>
    </row>
    <row r="18" s="1" customFormat="1" customHeight="1" spans="1:16">
      <c r="A18" s="7"/>
      <c r="B18" s="8">
        <v>9</v>
      </c>
      <c r="C18" s="10" t="s">
        <v>24</v>
      </c>
      <c r="D18" s="11" t="s">
        <v>25</v>
      </c>
      <c r="E18" s="39" t="s">
        <v>26</v>
      </c>
      <c r="F18" s="40"/>
      <c r="G18" s="40"/>
      <c r="H18" s="40"/>
      <c r="I18" s="40"/>
      <c r="J18" s="40"/>
      <c r="K18" s="40"/>
      <c r="L18" s="68"/>
      <c r="M18" s="4"/>
      <c r="N18" s="4"/>
      <c r="O18" s="4"/>
      <c r="P18" s="4"/>
    </row>
    <row r="19" s="1" customFormat="1" customHeight="1" spans="1:16">
      <c r="A19" s="7"/>
      <c r="B19" s="8">
        <v>10</v>
      </c>
      <c r="C19" s="10" t="s">
        <v>21</v>
      </c>
      <c r="D19" s="11" t="s">
        <v>27</v>
      </c>
      <c r="E19" s="39" t="s">
        <v>28</v>
      </c>
      <c r="F19" s="40"/>
      <c r="G19" s="40"/>
      <c r="H19" s="40"/>
      <c r="I19" s="40"/>
      <c r="J19" s="40"/>
      <c r="K19" s="40"/>
      <c r="L19" s="68"/>
      <c r="M19" s="4"/>
      <c r="N19" s="4"/>
      <c r="O19" s="4"/>
      <c r="P19" s="4"/>
    </row>
    <row r="20" s="1" customFormat="1" customHeight="1" spans="1:12">
      <c r="A20" s="7"/>
      <c r="B20" s="8">
        <v>11</v>
      </c>
      <c r="C20" s="10" t="s">
        <v>21</v>
      </c>
      <c r="D20" s="11" t="s">
        <v>29</v>
      </c>
      <c r="E20" s="39" t="s">
        <v>30</v>
      </c>
      <c r="F20" s="40"/>
      <c r="G20" s="40"/>
      <c r="H20" s="40"/>
      <c r="I20" s="40"/>
      <c r="J20" s="40"/>
      <c r="K20" s="40"/>
      <c r="L20" s="68"/>
    </row>
    <row r="21" s="1" customFormat="1" customHeight="1" spans="1:12">
      <c r="A21" s="7" t="s">
        <v>31</v>
      </c>
      <c r="B21" s="18" t="s">
        <v>32</v>
      </c>
      <c r="C21" s="19" t="s">
        <v>33</v>
      </c>
      <c r="D21" s="18" t="s">
        <v>34</v>
      </c>
      <c r="E21" s="50" t="s">
        <v>35</v>
      </c>
      <c r="F21" s="50" t="s">
        <v>36</v>
      </c>
      <c r="G21" s="50" t="s">
        <v>37</v>
      </c>
      <c r="H21" s="51" t="s">
        <v>38</v>
      </c>
      <c r="I21" s="51" t="s">
        <v>39</v>
      </c>
      <c r="J21" s="50" t="s">
        <v>40</v>
      </c>
      <c r="K21" s="50" t="s">
        <v>41</v>
      </c>
      <c r="L21" s="50" t="s">
        <v>42</v>
      </c>
    </row>
    <row r="22" s="1" customFormat="1" customHeight="1" spans="1:18">
      <c r="A22" s="7"/>
      <c r="B22" s="20">
        <v>6.5</v>
      </c>
      <c r="C22" s="21">
        <v>35.99</v>
      </c>
      <c r="D22" s="20">
        <f>0.08*C22</f>
        <v>2.8792</v>
      </c>
      <c r="E22" s="52">
        <v>3.58</v>
      </c>
      <c r="F22" s="53">
        <f>H22/B22</f>
        <v>15.6923076923077</v>
      </c>
      <c r="G22" s="53">
        <f>I22/B22</f>
        <v>1.72307692307692</v>
      </c>
      <c r="H22" s="54">
        <v>102</v>
      </c>
      <c r="I22" s="54">
        <v>11.2</v>
      </c>
      <c r="J22" s="73">
        <f>C22-D22-E22-F22-G22</f>
        <v>12.1154153846154</v>
      </c>
      <c r="K22" s="74">
        <f>J22/C22</f>
        <v>0.336632825357471</v>
      </c>
      <c r="L22" s="52">
        <f>C22*K22*B22</f>
        <v>78.7502</v>
      </c>
      <c r="R22" s="79"/>
    </row>
    <row r="23" s="1" customFormat="1" customHeight="1" spans="1:18">
      <c r="A23" s="7"/>
      <c r="B23" s="22"/>
      <c r="C23" s="23"/>
      <c r="D23" s="22"/>
      <c r="E23" s="55"/>
      <c r="F23" s="56"/>
      <c r="G23" s="56"/>
      <c r="H23" s="57"/>
      <c r="I23" s="57" t="s">
        <v>43</v>
      </c>
      <c r="J23" s="56"/>
      <c r="K23" s="56"/>
      <c r="L23" s="56"/>
      <c r="M23" s="4"/>
      <c r="N23" s="4"/>
      <c r="O23" s="4"/>
      <c r="P23" s="4"/>
      <c r="Q23" s="80"/>
      <c r="R23" s="79"/>
    </row>
    <row r="24" s="2" customFormat="1" customHeight="1" spans="1:25">
      <c r="A24" s="7"/>
      <c r="B24" s="24" t="s">
        <v>44</v>
      </c>
      <c r="C24" s="23">
        <v>1700</v>
      </c>
      <c r="D24" s="8"/>
      <c r="E24" s="58"/>
      <c r="F24" s="39"/>
      <c r="G24" s="40"/>
      <c r="H24" s="40"/>
      <c r="I24" s="40"/>
      <c r="J24" s="40"/>
      <c r="K24" s="40"/>
      <c r="L24" s="68"/>
      <c r="M24" s="78"/>
      <c r="N24" s="4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="1" customFormat="1" customHeight="1" spans="1:16">
      <c r="A25" s="7"/>
      <c r="B25" s="8"/>
      <c r="C25" s="23"/>
      <c r="D25" s="8" t="s">
        <v>45</v>
      </c>
      <c r="E25" s="58" t="s">
        <v>46</v>
      </c>
      <c r="F25" s="59"/>
      <c r="G25" s="60"/>
      <c r="H25" s="60"/>
      <c r="I25" s="60"/>
      <c r="J25" s="60"/>
      <c r="K25" s="60"/>
      <c r="L25" s="75"/>
      <c r="M25" s="78"/>
      <c r="N25" s="4"/>
      <c r="O25" s="4"/>
      <c r="P25" s="4"/>
    </row>
    <row r="26" s="1" customFormat="1" customHeight="1" spans="1:16">
      <c r="A26" s="7"/>
      <c r="B26" s="8" t="s">
        <v>47</v>
      </c>
      <c r="C26" s="23"/>
      <c r="D26" s="25">
        <f>E26*B22</f>
        <v>397689.5</v>
      </c>
      <c r="E26" s="61">
        <f>C22*C24</f>
        <v>61183</v>
      </c>
      <c r="F26" s="39" t="s">
        <v>48</v>
      </c>
      <c r="G26" s="40"/>
      <c r="H26" s="40"/>
      <c r="I26" s="40"/>
      <c r="J26" s="40"/>
      <c r="K26" s="40"/>
      <c r="L26" s="68"/>
      <c r="M26" s="4"/>
      <c r="N26" s="78"/>
      <c r="O26" s="4"/>
      <c r="P26" s="4"/>
    </row>
    <row r="27" s="1" customFormat="1" customHeight="1" spans="1:16">
      <c r="A27" s="7"/>
      <c r="B27" s="8" t="s">
        <v>49</v>
      </c>
      <c r="C27" s="23"/>
      <c r="D27" s="25">
        <f>E27*B22</f>
        <v>133875.34</v>
      </c>
      <c r="E27" s="61">
        <f>C24*J22</f>
        <v>20596.2061538462</v>
      </c>
      <c r="F27" s="39" t="s">
        <v>50</v>
      </c>
      <c r="G27" s="40"/>
      <c r="H27" s="40"/>
      <c r="I27" s="40"/>
      <c r="J27" s="40"/>
      <c r="K27" s="40"/>
      <c r="L27" s="68"/>
      <c r="M27" s="4"/>
      <c r="N27" s="78"/>
      <c r="O27" s="4"/>
      <c r="P27" s="4"/>
    </row>
    <row r="28" s="1" customFormat="1" customHeight="1" spans="1:16">
      <c r="A28" s="7"/>
      <c r="B28" s="12" t="s">
        <v>51</v>
      </c>
      <c r="C28" s="9" t="s">
        <v>52</v>
      </c>
      <c r="D28" s="26">
        <f>E28*B22</f>
        <v>46800</v>
      </c>
      <c r="E28" s="62">
        <f>80*90</f>
        <v>7200</v>
      </c>
      <c r="F28" s="39" t="s">
        <v>53</v>
      </c>
      <c r="G28" s="40"/>
      <c r="H28" s="40"/>
      <c r="I28" s="40"/>
      <c r="J28" s="40"/>
      <c r="K28" s="40"/>
      <c r="L28" s="68"/>
      <c r="M28" s="4"/>
      <c r="N28" s="78"/>
      <c r="O28" s="4"/>
      <c r="P28" s="4"/>
    </row>
    <row r="29" s="1" customFormat="1" customHeight="1" spans="1:16">
      <c r="A29" s="7"/>
      <c r="B29" s="14"/>
      <c r="C29" s="9" t="s">
        <v>54</v>
      </c>
      <c r="D29" s="26">
        <f>E29*B22</f>
        <v>4103.696</v>
      </c>
      <c r="E29" s="62">
        <f>((C22-J22)+50/B22)*20</f>
        <v>631.337846153846</v>
      </c>
      <c r="F29" s="39" t="s">
        <v>55</v>
      </c>
      <c r="G29" s="40"/>
      <c r="H29" s="40"/>
      <c r="I29" s="40"/>
      <c r="J29" s="40"/>
      <c r="K29" s="40"/>
      <c r="L29" s="68"/>
      <c r="M29" s="4"/>
      <c r="N29" s="78"/>
      <c r="O29" s="4"/>
      <c r="P29" s="4"/>
    </row>
    <row r="30" s="1" customFormat="1" customHeight="1" spans="1:16">
      <c r="A30" s="7"/>
      <c r="B30" s="14"/>
      <c r="C30" s="9" t="s">
        <v>56</v>
      </c>
      <c r="D30" s="26">
        <f>E30*B22</f>
        <v>50</v>
      </c>
      <c r="E30" s="62">
        <f>5*10/B22</f>
        <v>7.69230769230769</v>
      </c>
      <c r="F30" s="39" t="s">
        <v>57</v>
      </c>
      <c r="G30" s="40"/>
      <c r="H30" s="40"/>
      <c r="I30" s="40"/>
      <c r="J30" s="40"/>
      <c r="K30" s="40"/>
      <c r="L30" s="68"/>
      <c r="M30" s="4"/>
      <c r="N30" s="78"/>
      <c r="O30" s="4"/>
      <c r="P30" s="4"/>
    </row>
    <row r="31" s="1" customFormat="1" customHeight="1" spans="1:16">
      <c r="A31" s="7"/>
      <c r="B31" s="27"/>
      <c r="C31" s="9" t="s">
        <v>58</v>
      </c>
      <c r="D31" s="25">
        <f>SUM(D28:D30)</f>
        <v>50953.696</v>
      </c>
      <c r="E31" s="61">
        <f>SUM(E28:E30)</f>
        <v>7839.03015384615</v>
      </c>
      <c r="F31" s="39"/>
      <c r="G31" s="40"/>
      <c r="H31" s="40"/>
      <c r="I31" s="40"/>
      <c r="J31" s="40"/>
      <c r="K31" s="40"/>
      <c r="L31" s="68"/>
      <c r="M31" s="4"/>
      <c r="N31" s="4"/>
      <c r="O31" s="4"/>
      <c r="P31" s="4"/>
    </row>
    <row r="32" s="1" customFormat="1" customHeight="1" spans="1:16">
      <c r="A32" s="7"/>
      <c r="B32" s="8" t="s">
        <v>59</v>
      </c>
      <c r="C32" s="23"/>
      <c r="D32" s="25">
        <f>E32*B22</f>
        <v>0</v>
      </c>
      <c r="E32" s="61">
        <v>0</v>
      </c>
      <c r="F32" s="39"/>
      <c r="G32" s="40"/>
      <c r="H32" s="40"/>
      <c r="I32" s="40"/>
      <c r="J32" s="40"/>
      <c r="K32" s="40"/>
      <c r="L32" s="68"/>
      <c r="M32" s="4"/>
      <c r="N32" s="78"/>
      <c r="O32" s="4"/>
      <c r="P32" s="4"/>
    </row>
    <row r="33" s="1" customFormat="1" customHeight="1" spans="1:16">
      <c r="A33" s="7"/>
      <c r="B33" s="8" t="s">
        <v>60</v>
      </c>
      <c r="C33" s="23"/>
      <c r="D33" s="25">
        <f>E33*B22</f>
        <v>19884.475</v>
      </c>
      <c r="E33" s="61">
        <f>E26*0.05</f>
        <v>3059.15</v>
      </c>
      <c r="F33" s="39" t="s">
        <v>61</v>
      </c>
      <c r="G33" s="40"/>
      <c r="H33" s="40"/>
      <c r="I33" s="40"/>
      <c r="J33" s="40"/>
      <c r="K33" s="40"/>
      <c r="L33" s="68"/>
      <c r="M33" s="4"/>
      <c r="N33" s="78"/>
      <c r="O33" s="4"/>
      <c r="P33" s="4"/>
    </row>
    <row r="34" s="1" customFormat="1" customHeight="1" spans="1:16">
      <c r="A34" s="7"/>
      <c r="B34" s="18" t="s">
        <v>62</v>
      </c>
      <c r="C34" s="21"/>
      <c r="D34" s="28">
        <f>D27-D31-D32-D33</f>
        <v>63037.1690000001</v>
      </c>
      <c r="E34" s="28">
        <f>E27-E31-E32-E33</f>
        <v>9698.02600000001</v>
      </c>
      <c r="F34" s="39" t="s">
        <v>63</v>
      </c>
      <c r="G34" s="40"/>
      <c r="H34" s="40"/>
      <c r="I34" s="40"/>
      <c r="J34" s="40"/>
      <c r="K34" s="40"/>
      <c r="L34" s="68"/>
      <c r="M34" s="78"/>
      <c r="N34" s="4"/>
      <c r="O34" s="4"/>
      <c r="P34" s="4"/>
    </row>
    <row r="35" s="1" customFormat="1" customHeight="1" spans="1:16">
      <c r="A35" s="7" t="s">
        <v>64</v>
      </c>
      <c r="B35" s="24" t="s">
        <v>65</v>
      </c>
      <c r="C35" s="29">
        <v>100</v>
      </c>
      <c r="D35" s="30" t="s">
        <v>45</v>
      </c>
      <c r="E35" s="63" t="s">
        <v>46</v>
      </c>
      <c r="F35" s="64"/>
      <c r="G35" s="65"/>
      <c r="H35" s="65"/>
      <c r="I35" s="65"/>
      <c r="J35" s="65"/>
      <c r="K35" s="65"/>
      <c r="L35" s="76"/>
      <c r="M35" s="4"/>
      <c r="N35" s="4"/>
      <c r="O35" s="4"/>
      <c r="P35" s="4"/>
    </row>
    <row r="36" s="1" customFormat="1" customHeight="1" spans="1:16">
      <c r="A36" s="7"/>
      <c r="B36" s="31" t="s">
        <v>47</v>
      </c>
      <c r="C36" s="29"/>
      <c r="D36" s="32">
        <f>E36*B22</f>
        <v>23393.5</v>
      </c>
      <c r="E36" s="66">
        <f>C35*C22</f>
        <v>3599</v>
      </c>
      <c r="F36" s="64" t="s">
        <v>48</v>
      </c>
      <c r="G36" s="65"/>
      <c r="H36" s="65"/>
      <c r="I36" s="65"/>
      <c r="J36" s="65"/>
      <c r="K36" s="65"/>
      <c r="L36" s="76"/>
      <c r="M36" s="4"/>
      <c r="N36" s="4"/>
      <c r="O36" s="4"/>
      <c r="P36" s="4"/>
    </row>
    <row r="37" s="1" customFormat="1" customHeight="1" spans="1:16">
      <c r="A37" s="7"/>
      <c r="B37" s="31" t="s">
        <v>49</v>
      </c>
      <c r="C37" s="29"/>
      <c r="D37" s="32">
        <f>E37*B22</f>
        <v>7875.02000000001</v>
      </c>
      <c r="E37" s="66">
        <f>C35*J22</f>
        <v>1211.54153846154</v>
      </c>
      <c r="F37" s="64" t="s">
        <v>50</v>
      </c>
      <c r="G37" s="65"/>
      <c r="H37" s="65"/>
      <c r="I37" s="65"/>
      <c r="J37" s="65"/>
      <c r="K37" s="65"/>
      <c r="L37" s="76"/>
      <c r="M37" s="4"/>
      <c r="N37" s="4"/>
      <c r="O37" s="4"/>
      <c r="P37" s="4"/>
    </row>
    <row r="38" s="1" customFormat="1" customHeight="1" spans="1:16">
      <c r="A38" s="7"/>
      <c r="B38" s="33" t="s">
        <v>51</v>
      </c>
      <c r="C38" s="29" t="s">
        <v>52</v>
      </c>
      <c r="D38" s="34">
        <f>E38*B22</f>
        <v>11700</v>
      </c>
      <c r="E38" s="67">
        <f>60*30</f>
        <v>1800</v>
      </c>
      <c r="F38" s="64" t="s">
        <v>66</v>
      </c>
      <c r="G38" s="65"/>
      <c r="H38" s="65"/>
      <c r="I38" s="65"/>
      <c r="J38" s="65"/>
      <c r="K38" s="65"/>
      <c r="L38" s="76"/>
      <c r="M38" s="4"/>
      <c r="N38" s="4"/>
      <c r="O38" s="4"/>
      <c r="P38" s="4"/>
    </row>
    <row r="39" s="1" customFormat="1" customHeight="1" spans="1:16">
      <c r="A39" s="7"/>
      <c r="B39" s="35"/>
      <c r="C39" s="29" t="s">
        <v>54</v>
      </c>
      <c r="D39" s="34">
        <f>E39*B22</f>
        <v>2051.848</v>
      </c>
      <c r="E39" s="67">
        <f>((C22-J22)+50/B22)*10</f>
        <v>315.668923076923</v>
      </c>
      <c r="F39" s="64" t="s">
        <v>67</v>
      </c>
      <c r="G39" s="65"/>
      <c r="H39" s="65"/>
      <c r="I39" s="65"/>
      <c r="J39" s="65"/>
      <c r="K39" s="65"/>
      <c r="L39" s="76"/>
      <c r="M39" s="4"/>
      <c r="N39" s="4"/>
      <c r="O39" s="4"/>
      <c r="P39" s="4"/>
    </row>
    <row r="40" s="1" customFormat="1" customHeight="1" spans="1:16">
      <c r="A40" s="7"/>
      <c r="B40" s="35"/>
      <c r="C40" s="36" t="s">
        <v>56</v>
      </c>
      <c r="D40" s="34">
        <f>E40*B22</f>
        <v>23.2142857142857</v>
      </c>
      <c r="E40" s="67">
        <f>5*5/7</f>
        <v>3.57142857142857</v>
      </c>
      <c r="F40" s="64" t="s">
        <v>68</v>
      </c>
      <c r="G40" s="65"/>
      <c r="H40" s="65"/>
      <c r="I40" s="65"/>
      <c r="J40" s="65"/>
      <c r="K40" s="65"/>
      <c r="L40" s="76"/>
      <c r="M40" s="4"/>
      <c r="N40" s="4"/>
      <c r="O40" s="4"/>
      <c r="P40" s="4"/>
    </row>
    <row r="41" s="1" customFormat="1" customHeight="1" spans="1:16">
      <c r="A41" s="7"/>
      <c r="B41" s="37"/>
      <c r="C41" s="36" t="s">
        <v>58</v>
      </c>
      <c r="D41" s="32">
        <f>SUM(D38:D40)</f>
        <v>13775.0622857143</v>
      </c>
      <c r="E41" s="66">
        <f>SUM(E38:E40)</f>
        <v>2119.24035164835</v>
      </c>
      <c r="F41" s="64"/>
      <c r="G41" s="65"/>
      <c r="H41" s="65"/>
      <c r="I41" s="65"/>
      <c r="J41" s="65"/>
      <c r="K41" s="65"/>
      <c r="L41" s="76"/>
      <c r="M41" s="4"/>
      <c r="N41" s="4"/>
      <c r="O41" s="4"/>
      <c r="P41" s="4"/>
    </row>
    <row r="42" s="1" customFormat="1" customHeight="1" spans="1:16">
      <c r="A42" s="7"/>
      <c r="B42" s="31" t="s">
        <v>59</v>
      </c>
      <c r="C42" s="36"/>
      <c r="D42" s="32"/>
      <c r="E42" s="66"/>
      <c r="F42" s="64"/>
      <c r="G42" s="65"/>
      <c r="H42" s="65"/>
      <c r="I42" s="65"/>
      <c r="J42" s="65"/>
      <c r="K42" s="65"/>
      <c r="L42" s="76"/>
      <c r="M42" s="4"/>
      <c r="N42" s="4"/>
      <c r="O42" s="4"/>
      <c r="P42" s="4"/>
    </row>
    <row r="43" s="1" customFormat="1" customHeight="1" spans="1:16">
      <c r="A43" s="7"/>
      <c r="B43" s="31" t="s">
        <v>60</v>
      </c>
      <c r="C43" s="29"/>
      <c r="D43" s="32">
        <f>E43*7</f>
        <v>1259.65</v>
      </c>
      <c r="E43" s="66">
        <f>E36*0.05</f>
        <v>179.95</v>
      </c>
      <c r="F43" s="64" t="s">
        <v>61</v>
      </c>
      <c r="G43" s="65"/>
      <c r="H43" s="65"/>
      <c r="I43" s="65"/>
      <c r="J43" s="65"/>
      <c r="K43" s="65"/>
      <c r="L43" s="76"/>
      <c r="M43" s="4"/>
      <c r="N43" s="4"/>
      <c r="O43" s="4"/>
      <c r="P43" s="4"/>
    </row>
    <row r="44" s="1" customFormat="1" customHeight="1" spans="1:16">
      <c r="A44" s="7"/>
      <c r="B44" s="20" t="s">
        <v>69</v>
      </c>
      <c r="C44" s="19"/>
      <c r="D44" s="38">
        <f>D37-D41-D42-D43</f>
        <v>-7159.69228571429</v>
      </c>
      <c r="E44" s="28">
        <f>E37-E41-E42-E43</f>
        <v>-1087.64881318681</v>
      </c>
      <c r="F44" s="64" t="s">
        <v>70</v>
      </c>
      <c r="G44" s="65"/>
      <c r="H44" s="65"/>
      <c r="I44" s="65"/>
      <c r="J44" s="65"/>
      <c r="K44" s="65"/>
      <c r="L44" s="76"/>
      <c r="M44" s="4"/>
      <c r="N44" s="4"/>
      <c r="O44" s="4"/>
      <c r="P44" s="4"/>
    </row>
    <row r="45" s="1" customFormat="1" customHeight="1" spans="2:16">
      <c r="B45" s="4"/>
      <c r="C45" s="5"/>
      <c r="D45" s="4"/>
      <c r="E45" s="6"/>
      <c r="F45" s="6"/>
      <c r="G45" s="6"/>
      <c r="H45" s="6"/>
      <c r="I45" s="6"/>
      <c r="J45" s="6"/>
      <c r="K45" s="6"/>
      <c r="L45" s="6"/>
      <c r="M45" s="4"/>
      <c r="N45" s="4"/>
      <c r="O45" s="4"/>
      <c r="P45" s="4"/>
    </row>
    <row r="46" s="1" customFormat="1" customHeight="1" spans="2:16">
      <c r="B46" s="4"/>
      <c r="C46" s="5"/>
      <c r="D46" s="4"/>
      <c r="E46" s="6"/>
      <c r="F46" s="6"/>
      <c r="G46" s="6"/>
      <c r="H46" s="6"/>
      <c r="I46" s="6"/>
      <c r="J46" s="6"/>
      <c r="K46" s="6"/>
      <c r="L46" s="6"/>
      <c r="M46" s="4"/>
      <c r="N46" s="4"/>
      <c r="O46" s="4"/>
      <c r="P46" s="4"/>
    </row>
    <row r="47" s="1" customFormat="1" customHeight="1" spans="2:16">
      <c r="B47" s="4"/>
      <c r="C47" s="5"/>
      <c r="D47" s="4"/>
      <c r="E47" s="6"/>
      <c r="F47" s="6"/>
      <c r="G47" s="6"/>
      <c r="H47" s="6"/>
      <c r="I47" s="6"/>
      <c r="J47" s="6"/>
      <c r="K47" s="6"/>
      <c r="L47" s="6"/>
      <c r="M47" s="4"/>
      <c r="N47" s="4"/>
      <c r="O47" s="4"/>
      <c r="P47" s="4"/>
    </row>
    <row r="48" s="1" customFormat="1" customHeight="1" spans="2:16">
      <c r="B48" s="4"/>
      <c r="C48" s="5"/>
      <c r="D48" s="4"/>
      <c r="E48" s="6"/>
      <c r="F48" s="6"/>
      <c r="G48" s="6"/>
      <c r="H48" s="6"/>
      <c r="I48" s="6"/>
      <c r="J48" s="6"/>
      <c r="K48" s="6"/>
      <c r="L48" s="6"/>
      <c r="M48" s="4"/>
      <c r="N48" s="4"/>
      <c r="O48" s="4"/>
      <c r="P48" s="4"/>
    </row>
    <row r="49" s="1" customFormat="1" customHeight="1" spans="2:16">
      <c r="B49" s="4"/>
      <c r="C49" s="5"/>
      <c r="D49" s="4"/>
      <c r="E49" s="6"/>
      <c r="F49" s="6"/>
      <c r="G49" s="6"/>
      <c r="H49" s="6"/>
      <c r="I49" s="6"/>
      <c r="J49" s="6"/>
      <c r="K49" s="6"/>
      <c r="L49" s="6"/>
      <c r="M49" s="4"/>
      <c r="N49" s="4"/>
      <c r="O49" s="4"/>
      <c r="P49" s="4"/>
    </row>
    <row r="50" s="1" customFormat="1" customHeight="1" spans="2:16">
      <c r="B50" s="4"/>
      <c r="C50" s="5"/>
      <c r="D50" s="4"/>
      <c r="E50" s="6"/>
      <c r="F50" s="6"/>
      <c r="G50" s="6"/>
      <c r="H50" s="6"/>
      <c r="I50" s="6"/>
      <c r="J50" s="6"/>
      <c r="K50" s="6"/>
      <c r="L50" s="6"/>
      <c r="M50" s="4"/>
      <c r="N50" s="4"/>
      <c r="O50" s="4"/>
      <c r="P50" s="4"/>
    </row>
    <row r="51" s="1" customFormat="1" customHeight="1" spans="2:16">
      <c r="B51" s="4"/>
      <c r="C51" s="5"/>
      <c r="D51" s="4"/>
      <c r="E51" s="6"/>
      <c r="F51" s="6"/>
      <c r="G51" s="6"/>
      <c r="H51" s="6"/>
      <c r="I51" s="6"/>
      <c r="J51" s="6"/>
      <c r="K51" s="6"/>
      <c r="L51" s="6"/>
      <c r="M51" s="4"/>
      <c r="N51" s="4"/>
      <c r="O51" s="4"/>
      <c r="P51" s="4"/>
    </row>
    <row r="52" s="1" customFormat="1" customHeight="1" spans="2:16">
      <c r="B52" s="4"/>
      <c r="C52" s="5"/>
      <c r="D52" s="4"/>
      <c r="E52" s="6"/>
      <c r="F52" s="6"/>
      <c r="G52" s="6"/>
      <c r="H52" s="6"/>
      <c r="I52" s="6"/>
      <c r="J52" s="6"/>
      <c r="K52" s="6"/>
      <c r="L52" s="6"/>
      <c r="M52" s="4"/>
      <c r="N52" s="4"/>
      <c r="O52" s="4"/>
      <c r="P52" s="4"/>
    </row>
    <row r="53" s="1" customFormat="1" customHeight="1" spans="2:16">
      <c r="B53" s="4"/>
      <c r="C53" s="5"/>
      <c r="D53" s="4"/>
      <c r="E53" s="6"/>
      <c r="F53" s="6"/>
      <c r="G53" s="6"/>
      <c r="H53" s="6"/>
      <c r="I53" s="6"/>
      <c r="J53" s="6"/>
      <c r="K53" s="6"/>
      <c r="L53" s="6"/>
      <c r="M53" s="4"/>
      <c r="N53" s="4"/>
      <c r="O53" s="4"/>
      <c r="P53" s="4"/>
    </row>
    <row r="54" s="1" customFormat="1" customHeight="1" spans="2:16">
      <c r="B54" s="4"/>
      <c r="C54" s="5"/>
      <c r="D54" s="4"/>
      <c r="E54" s="6"/>
      <c r="F54" s="6"/>
      <c r="G54" s="6"/>
      <c r="H54" s="6"/>
      <c r="I54" s="6"/>
      <c r="J54" s="6"/>
      <c r="K54" s="6"/>
      <c r="L54" s="6"/>
      <c r="M54" s="4"/>
      <c r="N54" s="4"/>
      <c r="O54" s="4"/>
      <c r="P54" s="4"/>
    </row>
    <row r="55" s="1" customFormat="1" customHeight="1" spans="2:16">
      <c r="B55" s="4"/>
      <c r="C55" s="5"/>
      <c r="D55" s="4"/>
      <c r="E55" s="6"/>
      <c r="F55" s="6"/>
      <c r="G55" s="6"/>
      <c r="H55" s="6"/>
      <c r="I55" s="6"/>
      <c r="J55" s="6"/>
      <c r="K55" s="6"/>
      <c r="L55" s="6"/>
      <c r="M55" s="4"/>
      <c r="N55" s="4"/>
      <c r="O55" s="4"/>
      <c r="P55" s="4"/>
    </row>
    <row r="56" s="1" customFormat="1" customHeight="1" spans="2:16">
      <c r="B56" s="4"/>
      <c r="C56" s="5"/>
      <c r="D56" s="4"/>
      <c r="E56" s="6"/>
      <c r="F56" s="6"/>
      <c r="G56" s="6"/>
      <c r="H56" s="6"/>
      <c r="I56" s="6"/>
      <c r="J56" s="6"/>
      <c r="K56" s="6"/>
      <c r="L56" s="6"/>
      <c r="M56" s="4"/>
      <c r="N56" s="4"/>
      <c r="O56" s="4"/>
      <c r="P56" s="4"/>
    </row>
    <row r="57" s="1" customFormat="1" customHeight="1" spans="2:16">
      <c r="B57" s="4"/>
      <c r="C57" s="5"/>
      <c r="D57" s="4"/>
      <c r="E57" s="6"/>
      <c r="F57" s="6"/>
      <c r="G57" s="6"/>
      <c r="H57" s="6"/>
      <c r="I57" s="6"/>
      <c r="J57" s="6"/>
      <c r="K57" s="6"/>
      <c r="L57" s="6"/>
      <c r="M57" s="4"/>
      <c r="N57" s="4"/>
      <c r="O57" s="4"/>
      <c r="P57" s="4"/>
    </row>
    <row r="58" s="1" customFormat="1" customHeight="1" spans="2:16">
      <c r="B58" s="4"/>
      <c r="C58" s="5"/>
      <c r="D58" s="4"/>
      <c r="E58" s="6"/>
      <c r="F58" s="6"/>
      <c r="G58" s="6"/>
      <c r="H58" s="6"/>
      <c r="I58" s="6"/>
      <c r="J58" s="6"/>
      <c r="K58" s="6"/>
      <c r="L58" s="6"/>
      <c r="M58" s="4"/>
      <c r="N58" s="4"/>
      <c r="O58" s="4"/>
      <c r="P58" s="4"/>
    </row>
    <row r="59" s="1" customFormat="1" customHeight="1" spans="2:16">
      <c r="B59" s="4"/>
      <c r="C59" s="5"/>
      <c r="D59" s="4"/>
      <c r="E59" s="6"/>
      <c r="F59" s="6"/>
      <c r="G59" s="6"/>
      <c r="H59" s="6"/>
      <c r="I59" s="6"/>
      <c r="J59" s="6"/>
      <c r="K59" s="6"/>
      <c r="L59" s="6"/>
      <c r="M59" s="4"/>
      <c r="N59" s="4"/>
      <c r="O59" s="4"/>
      <c r="P59" s="4"/>
    </row>
    <row r="60" s="1" customFormat="1" customHeight="1" spans="2:16">
      <c r="B60" s="4"/>
      <c r="C60" s="5"/>
      <c r="D60" s="4"/>
      <c r="E60" s="6"/>
      <c r="F60" s="6"/>
      <c r="G60" s="6"/>
      <c r="H60" s="6"/>
      <c r="I60" s="6"/>
      <c r="J60" s="6"/>
      <c r="K60" s="6"/>
      <c r="L60" s="6"/>
      <c r="M60" s="4"/>
      <c r="N60" s="4"/>
      <c r="O60" s="4"/>
      <c r="P60" s="4"/>
    </row>
    <row r="61" s="1" customFormat="1" customHeight="1" spans="2:16">
      <c r="B61" s="4"/>
      <c r="C61" s="5"/>
      <c r="D61" s="4"/>
      <c r="E61" s="6"/>
      <c r="F61" s="6"/>
      <c r="G61" s="6"/>
      <c r="H61" s="6"/>
      <c r="I61" s="6"/>
      <c r="J61" s="6"/>
      <c r="K61" s="6"/>
      <c r="L61" s="6"/>
      <c r="M61" s="4"/>
      <c r="N61" s="4"/>
      <c r="O61" s="4"/>
      <c r="P61" s="4"/>
    </row>
    <row r="62" s="1" customFormat="1" customHeight="1" spans="2:16">
      <c r="B62" s="4"/>
      <c r="C62" s="5"/>
      <c r="D62" s="4"/>
      <c r="E62" s="6"/>
      <c r="F62" s="6"/>
      <c r="G62" s="6"/>
      <c r="H62" s="6"/>
      <c r="I62" s="6"/>
      <c r="J62" s="6"/>
      <c r="K62" s="6"/>
      <c r="L62" s="6"/>
      <c r="M62" s="4"/>
      <c r="N62" s="4"/>
      <c r="O62" s="4"/>
      <c r="P62" s="4"/>
    </row>
    <row r="63" s="1" customFormat="1" customHeight="1" spans="2:16">
      <c r="B63" s="4"/>
      <c r="C63" s="5"/>
      <c r="D63" s="4"/>
      <c r="E63" s="6"/>
      <c r="F63" s="6"/>
      <c r="G63" s="6"/>
      <c r="H63" s="6"/>
      <c r="I63" s="6"/>
      <c r="J63" s="6"/>
      <c r="K63" s="6"/>
      <c r="L63" s="6"/>
      <c r="M63" s="4"/>
      <c r="N63" s="4"/>
      <c r="O63" s="4"/>
      <c r="P63" s="4"/>
    </row>
    <row r="64" s="1" customFormat="1" customHeight="1" spans="2:16">
      <c r="B64" s="4"/>
      <c r="C64" s="5"/>
      <c r="D64" s="4"/>
      <c r="E64" s="6"/>
      <c r="F64" s="6"/>
      <c r="G64" s="6"/>
      <c r="H64" s="6"/>
      <c r="I64" s="6"/>
      <c r="J64" s="6"/>
      <c r="K64" s="6"/>
      <c r="L64" s="6"/>
      <c r="M64" s="4"/>
      <c r="N64" s="4"/>
      <c r="O64" s="4"/>
      <c r="P64" s="4"/>
    </row>
    <row r="65" s="1" customFormat="1" customHeight="1" spans="2:16">
      <c r="B65" s="4"/>
      <c r="C65" s="5"/>
      <c r="D65" s="4"/>
      <c r="E65" s="6"/>
      <c r="F65" s="6"/>
      <c r="G65" s="6"/>
      <c r="H65" s="6"/>
      <c r="I65" s="6"/>
      <c r="J65" s="6"/>
      <c r="K65" s="6"/>
      <c r="L65" s="6"/>
      <c r="M65" s="4"/>
      <c r="N65" s="4"/>
      <c r="O65" s="4"/>
      <c r="P65" s="4"/>
    </row>
    <row r="66" s="1" customFormat="1" customHeight="1" spans="2:16">
      <c r="B66" s="4"/>
      <c r="C66" s="5"/>
      <c r="D66" s="4"/>
      <c r="E66" s="6"/>
      <c r="F66" s="6"/>
      <c r="G66" s="6"/>
      <c r="H66" s="6"/>
      <c r="I66" s="6"/>
      <c r="J66" s="6"/>
      <c r="K66" s="6"/>
      <c r="L66" s="6"/>
      <c r="M66" s="4"/>
      <c r="N66" s="4"/>
      <c r="O66" s="4"/>
      <c r="P66" s="4"/>
    </row>
    <row r="67" s="1" customFormat="1" customHeight="1" spans="2:16">
      <c r="B67" s="4"/>
      <c r="C67" s="5"/>
      <c r="D67" s="4"/>
      <c r="E67" s="6"/>
      <c r="F67" s="6"/>
      <c r="G67" s="6"/>
      <c r="H67" s="6"/>
      <c r="I67" s="6"/>
      <c r="J67" s="6"/>
      <c r="K67" s="6"/>
      <c r="L67" s="6"/>
      <c r="M67" s="4"/>
      <c r="N67" s="4"/>
      <c r="O67" s="4"/>
      <c r="P67" s="4"/>
    </row>
    <row r="68" s="1" customFormat="1" customHeight="1" spans="2:16">
      <c r="B68" s="4"/>
      <c r="C68" s="5"/>
      <c r="D68" s="4"/>
      <c r="E68" s="6"/>
      <c r="F68" s="6"/>
      <c r="G68" s="6"/>
      <c r="H68" s="6"/>
      <c r="I68" s="6"/>
      <c r="J68" s="6"/>
      <c r="K68" s="6"/>
      <c r="L68" s="6"/>
      <c r="M68" s="4"/>
      <c r="N68" s="4"/>
      <c r="O68" s="4"/>
      <c r="P68" s="4"/>
    </row>
    <row r="69" s="1" customFormat="1" customHeight="1" spans="2:16">
      <c r="B69" s="4"/>
      <c r="C69" s="5"/>
      <c r="D69" s="4"/>
      <c r="E69" s="6"/>
      <c r="F69" s="6"/>
      <c r="G69" s="6"/>
      <c r="H69" s="6"/>
      <c r="I69" s="6"/>
      <c r="J69" s="6"/>
      <c r="K69" s="6"/>
      <c r="L69" s="6"/>
      <c r="M69" s="4"/>
      <c r="N69" s="4"/>
      <c r="O69" s="4"/>
      <c r="P69" s="4"/>
    </row>
    <row r="70" s="1" customFormat="1" customHeight="1" spans="2:16">
      <c r="B70" s="4"/>
      <c r="C70" s="5"/>
      <c r="D70" s="4"/>
      <c r="E70" s="6"/>
      <c r="F70" s="6"/>
      <c r="G70" s="6"/>
      <c r="H70" s="6"/>
      <c r="I70" s="6"/>
      <c r="J70" s="6"/>
      <c r="K70" s="6"/>
      <c r="L70" s="6"/>
      <c r="M70" s="4"/>
      <c r="N70" s="4"/>
      <c r="O70" s="4"/>
      <c r="P70" s="4"/>
    </row>
    <row r="71" s="1" customFormat="1" customHeight="1" spans="2:16">
      <c r="B71" s="4"/>
      <c r="C71" s="5"/>
      <c r="D71" s="4"/>
      <c r="E71" s="6"/>
      <c r="F71" s="6"/>
      <c r="G71" s="6"/>
      <c r="H71" s="6"/>
      <c r="I71" s="6"/>
      <c r="J71" s="6"/>
      <c r="K71" s="6"/>
      <c r="L71" s="6"/>
      <c r="M71" s="4"/>
      <c r="N71" s="4"/>
      <c r="O71" s="4"/>
      <c r="P71" s="4"/>
    </row>
    <row r="72" s="1" customFormat="1" customHeight="1" spans="2:16">
      <c r="B72" s="4"/>
      <c r="C72" s="5"/>
      <c r="D72" s="4"/>
      <c r="E72" s="6"/>
      <c r="F72" s="6"/>
      <c r="G72" s="6"/>
      <c r="H72" s="6"/>
      <c r="I72" s="6"/>
      <c r="J72" s="6"/>
      <c r="K72" s="6"/>
      <c r="L72" s="6"/>
      <c r="M72" s="4"/>
      <c r="N72" s="4"/>
      <c r="O72" s="4"/>
      <c r="P72" s="4"/>
    </row>
    <row r="73" s="1" customFormat="1" customHeight="1" spans="2:16">
      <c r="B73" s="4"/>
      <c r="C73" s="5"/>
      <c r="D73" s="4"/>
      <c r="E73" s="6"/>
      <c r="F73" s="6"/>
      <c r="G73" s="6"/>
      <c r="H73" s="6"/>
      <c r="I73" s="6"/>
      <c r="J73" s="6"/>
      <c r="K73" s="6"/>
      <c r="L73" s="6"/>
      <c r="M73" s="4"/>
      <c r="N73" s="4"/>
      <c r="O73" s="4"/>
      <c r="P73" s="4"/>
    </row>
    <row r="74" s="1" customFormat="1" customHeight="1" spans="2:16">
      <c r="B74" s="4"/>
      <c r="C74" s="5"/>
      <c r="D74" s="4"/>
      <c r="E74" s="6"/>
      <c r="F74" s="6"/>
      <c r="G74" s="6"/>
      <c r="H74" s="6"/>
      <c r="I74" s="6"/>
      <c r="J74" s="6"/>
      <c r="K74" s="6"/>
      <c r="L74" s="6"/>
      <c r="M74" s="4"/>
      <c r="N74" s="4"/>
      <c r="O74" s="4"/>
      <c r="P74" s="4"/>
    </row>
    <row r="75" s="1" customFormat="1" customHeight="1" spans="2:16">
      <c r="B75" s="4"/>
      <c r="C75" s="5"/>
      <c r="D75" s="4"/>
      <c r="E75" s="6"/>
      <c r="F75" s="6"/>
      <c r="G75" s="6"/>
      <c r="H75" s="6"/>
      <c r="I75" s="6"/>
      <c r="J75" s="6"/>
      <c r="K75" s="6"/>
      <c r="L75" s="6"/>
      <c r="M75" s="4"/>
      <c r="N75" s="4"/>
      <c r="O75" s="4"/>
      <c r="P75" s="4"/>
    </row>
    <row r="76" s="1" customFormat="1" customHeight="1" spans="2:16">
      <c r="B76" s="4"/>
      <c r="C76" s="5"/>
      <c r="D76" s="4"/>
      <c r="E76" s="6"/>
      <c r="F76" s="6"/>
      <c r="G76" s="6"/>
      <c r="H76" s="6"/>
      <c r="I76" s="6"/>
      <c r="J76" s="6"/>
      <c r="K76" s="6"/>
      <c r="L76" s="6"/>
      <c r="M76" s="4"/>
      <c r="N76" s="4"/>
      <c r="O76" s="4"/>
      <c r="P76" s="4"/>
    </row>
    <row r="77" s="1" customFormat="1" customHeight="1" spans="1:16">
      <c r="A77" s="81"/>
      <c r="B77" s="4"/>
      <c r="C77" s="5"/>
      <c r="D77" s="4"/>
      <c r="E77" s="6"/>
      <c r="F77" s="6"/>
      <c r="G77" s="6"/>
      <c r="H77" s="6"/>
      <c r="I77" s="6"/>
      <c r="J77" s="6"/>
      <c r="K77" s="6"/>
      <c r="L77" s="6"/>
      <c r="M77" s="4"/>
      <c r="N77" s="4"/>
      <c r="O77" s="4"/>
      <c r="P77" s="4"/>
    </row>
  </sheetData>
  <sheetProtection formatCells="0" insertHyperlinks="0" autoFilter="0"/>
  <mergeCells count="51">
    <mergeCell ref="E1:L1"/>
    <mergeCell ref="E2:L2"/>
    <mergeCell ref="E3:L3"/>
    <mergeCell ref="E4:L4"/>
    <mergeCell ref="E5:L5"/>
    <mergeCell ref="E6:L6"/>
    <mergeCell ref="E7:L7"/>
    <mergeCell ref="E8:L8"/>
    <mergeCell ref="E9:L9"/>
    <mergeCell ref="E10:L10"/>
    <mergeCell ref="E11:L11"/>
    <mergeCell ref="E12:L12"/>
    <mergeCell ref="E13:L13"/>
    <mergeCell ref="E14:L14"/>
    <mergeCell ref="E15:L15"/>
    <mergeCell ref="E16:L16"/>
    <mergeCell ref="E17:L17"/>
    <mergeCell ref="E18:L18"/>
    <mergeCell ref="E19:L19"/>
    <mergeCell ref="E20:L20"/>
    <mergeCell ref="F24:L24"/>
    <mergeCell ref="F25:L25"/>
    <mergeCell ref="F26:L26"/>
    <mergeCell ref="F27:L27"/>
    <mergeCell ref="F28:L28"/>
    <mergeCell ref="F29:L29"/>
    <mergeCell ref="F30:L30"/>
    <mergeCell ref="F31:L31"/>
    <mergeCell ref="F32:L32"/>
    <mergeCell ref="F33:L33"/>
    <mergeCell ref="F34:L34"/>
    <mergeCell ref="F35:L35"/>
    <mergeCell ref="F36:L36"/>
    <mergeCell ref="F37:L37"/>
    <mergeCell ref="F38:L38"/>
    <mergeCell ref="F39:L39"/>
    <mergeCell ref="F40:L40"/>
    <mergeCell ref="F41:L41"/>
    <mergeCell ref="F42:L42"/>
    <mergeCell ref="F43:L43"/>
    <mergeCell ref="F44:L44"/>
    <mergeCell ref="A1:A20"/>
    <mergeCell ref="A21:A34"/>
    <mergeCell ref="A35:A44"/>
    <mergeCell ref="B5:B7"/>
    <mergeCell ref="B11:B15"/>
    <mergeCell ref="B28:B31"/>
    <mergeCell ref="B38:B41"/>
    <mergeCell ref="C11:C15"/>
    <mergeCell ref="D5:D7"/>
    <mergeCell ref="D11:D1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WWO_wpscloud_20220323154813-d8c01240d3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X-YMX-2</dc:creator>
  <cp:lastModifiedBy>想你</cp:lastModifiedBy>
  <dcterms:created xsi:type="dcterms:W3CDTF">2021-04-22T17:43:00Z</dcterms:created>
  <dcterms:modified xsi:type="dcterms:W3CDTF">2022-02-23T16:09:00Z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444B691243794A52B4C5B388C82CF028</vt:lpwstr>
  </property>
  <property fmtid="{D5CDD505-2E9C-101B-9397-08002B2CF9AE}" pid="3" name="KSOProductBuildVer">
    <vt:lpwstr>2052-0.0.0.0</vt:lpwstr>
  </property>
</Properties>
</file>