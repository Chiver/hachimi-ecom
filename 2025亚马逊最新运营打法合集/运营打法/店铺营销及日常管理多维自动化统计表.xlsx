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店铺日常运营销售日报" sheetId="4" r:id="rId1"/>
  </sheets>
  <externalReferences>
    <externalReference r:id="rId5"/>
  </externalReferences>
  <definedNames>
    <definedName name="今日应办">[1]待办事项列表!$C$3</definedName>
    <definedName name="责任人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O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运营动作/竞品动作/站外deal渠道备注等</t>
        </r>
      </text>
    </comment>
  </commentList>
</comments>
</file>

<file path=xl/sharedStrings.xml><?xml version="1.0" encoding="utf-8"?>
<sst xmlns="http://schemas.openxmlformats.org/spreadsheetml/2006/main" count="115" uniqueCount="92">
  <si>
    <t>店铺销售情况日报</t>
  </si>
  <si>
    <t>店铺</t>
  </si>
  <si>
    <t>出单Units总数</t>
  </si>
  <si>
    <t>销售额</t>
  </si>
  <si>
    <t>店铺总流量</t>
  </si>
  <si>
    <t>店铺总转化率</t>
  </si>
  <si>
    <t>店铺销售情况趋势图</t>
  </si>
  <si>
    <t>WK 1</t>
  </si>
  <si>
    <t>价格</t>
  </si>
  <si>
    <t>总销量</t>
  </si>
  <si>
    <t>流量</t>
  </si>
  <si>
    <t>转化率</t>
  </si>
  <si>
    <t>WK2</t>
  </si>
  <si>
    <t>店铺重点产品销售情况日报</t>
  </si>
  <si>
    <t>ASIN：</t>
  </si>
  <si>
    <t>日期</t>
  </si>
  <si>
    <t>销量数据</t>
  </si>
  <si>
    <t>库存</t>
  </si>
  <si>
    <t>Listing</t>
  </si>
  <si>
    <t>自然排位</t>
  </si>
  <si>
    <t>APA广告</t>
  </si>
  <si>
    <t>广告排位</t>
  </si>
  <si>
    <t>站内促销</t>
  </si>
  <si>
    <t>站外促销</t>
  </si>
  <si>
    <t>日志</t>
  </si>
  <si>
    <t>Weekday</t>
  </si>
  <si>
    <t>价格（美金）</t>
  </si>
  <si>
    <t>销售额（美金）</t>
  </si>
  <si>
    <t>过去7天日销</t>
  </si>
  <si>
    <t>FBA库存</t>
  </si>
  <si>
    <t>在途</t>
  </si>
  <si>
    <t>海外仓库存</t>
  </si>
  <si>
    <t>可销天数基于当天</t>
  </si>
  <si>
    <t>可销天数基于过去7天</t>
  </si>
  <si>
    <t>评分</t>
  </si>
  <si>
    <t>评论数</t>
  </si>
  <si>
    <t>退换货率</t>
  </si>
  <si>
    <t>购物车获得率</t>
  </si>
  <si>
    <t>大类</t>
  </si>
  <si>
    <t>大类排名</t>
  </si>
  <si>
    <t>关键词1</t>
  </si>
  <si>
    <t>关键词2</t>
  </si>
  <si>
    <t>关键词3</t>
  </si>
  <si>
    <t>展示量</t>
  </si>
  <si>
    <t>Click</t>
  </si>
  <si>
    <t>CTR</t>
  </si>
  <si>
    <t>Spend（花费 美金）</t>
  </si>
  <si>
    <t>广告出单（销售额 美金）</t>
  </si>
  <si>
    <t>广告转化ACOS</t>
  </si>
  <si>
    <t>Deal出单（BD/LD/DOTD）</t>
  </si>
  <si>
    <t>Deal费用</t>
  </si>
  <si>
    <t>Deal优惠额</t>
  </si>
  <si>
    <t>coupon设置情况</t>
  </si>
  <si>
    <t>Coupon优惠额</t>
  </si>
  <si>
    <t>其他费用</t>
  </si>
  <si>
    <t>站外促销安排</t>
  </si>
  <si>
    <t>运营日志</t>
  </si>
  <si>
    <t>星期一</t>
  </si>
  <si>
    <t>CE</t>
  </si>
  <si>
    <t>第一页第5个</t>
  </si>
  <si>
    <t>100单 LD</t>
  </si>
  <si>
    <t>40美金</t>
  </si>
  <si>
    <t>8折</t>
  </si>
  <si>
    <t>8折设置一个月</t>
  </si>
  <si>
    <t>联系了一个红人，在2.20日发表促销文章</t>
  </si>
  <si>
    <t>星期二</t>
  </si>
  <si>
    <t>星期三</t>
  </si>
  <si>
    <t>星期四</t>
  </si>
  <si>
    <t>星期五</t>
  </si>
  <si>
    <t>星期六</t>
  </si>
  <si>
    <t>星期日</t>
  </si>
  <si>
    <t>Wk1</t>
  </si>
  <si>
    <t>Wk2</t>
  </si>
  <si>
    <t>WoW</t>
  </si>
  <si>
    <t>店铺重点产品销售额上升下降分析</t>
  </si>
  <si>
    <t>Guidance：</t>
  </si>
  <si>
    <t>1 请根据每周内销售数据曲线以及WoW周对周增幅情况判断问题所在，以及接下来生意改善机会点</t>
  </si>
  <si>
    <t>2 尤其当销量下降时：建议从Listing，自然排位，广告出单，Deal出单，Coupon情况，站外出单等角度去分析，同时建议参考上面树状图查找问题，去完善，做好如下周对周Action Plan</t>
  </si>
  <si>
    <t>店铺重点产品销售额上升下降Action Plan：</t>
  </si>
  <si>
    <t>周重点</t>
  </si>
  <si>
    <t>本周情况（上升下降点）</t>
  </si>
  <si>
    <t>本周遇到的阻力或突发</t>
  </si>
  <si>
    <t>本周重要经验（有助于生意提升）</t>
  </si>
  <si>
    <t>下周计划</t>
  </si>
  <si>
    <t>Owner</t>
  </si>
  <si>
    <t>ETA</t>
  </si>
  <si>
    <t>完成进度（Pending/Process/DONE）</t>
  </si>
  <si>
    <t>Wk3</t>
  </si>
  <si>
    <t>Wk4</t>
  </si>
  <si>
    <t>Wk5</t>
  </si>
  <si>
    <t>Wk6</t>
  </si>
  <si>
    <t>Wk7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</si>
</sst>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€-2]\ #,##0.00"/>
    <numFmt numFmtId="177" formatCode="_(* #,##0.00_);_(* \(#,##0.00\);_(* &quot;-&quot;??_);_(@_)"/>
    <numFmt numFmtId="178" formatCode="0.0%"/>
    <numFmt numFmtId="179" formatCode="[$-804]aaa;@"/>
    <numFmt numFmtId="180" formatCode="_ * #,##0_ ;_ * \-#,##0_ ;_ * &quot;-&quot;??_ ;_ @_ "/>
    <numFmt numFmtId="181" formatCode="0.000%"/>
  </numFmts>
  <fonts count="3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4"/>
      <color theme="1"/>
      <name val="微软雅黑"/>
      <charset val="134"/>
    </font>
    <font>
      <b/>
      <sz val="11"/>
      <color rgb="FF00B0F0"/>
      <name val="微软雅黑"/>
      <charset val="134"/>
    </font>
    <font>
      <b/>
      <sz val="11"/>
      <color theme="5"/>
      <name val="微软雅黑"/>
      <charset val="134"/>
    </font>
    <font>
      <b/>
      <sz val="11"/>
      <color rgb="FFFFC000"/>
      <name val="微软雅黑"/>
      <charset val="134"/>
    </font>
    <font>
      <b/>
      <sz val="11"/>
      <color rgb="FF00B050"/>
      <name val="微软雅黑"/>
      <charset val="134"/>
    </font>
    <font>
      <sz val="1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libri"/>
      <charset val="134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theme="1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16" applyNumberFormat="0" applyAlignment="0" applyProtection="0">
      <alignment vertical="center"/>
    </xf>
    <xf numFmtId="0" fontId="21" fillId="16" borderId="17" applyNumberFormat="0" applyAlignment="0" applyProtection="0">
      <alignment vertical="center"/>
    </xf>
    <xf numFmtId="0" fontId="22" fillId="16" borderId="16" applyNumberFormat="0" applyAlignment="0" applyProtection="0">
      <alignment vertical="center"/>
    </xf>
    <xf numFmtId="0" fontId="23" fillId="17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1" fillId="0" borderId="0"/>
    <xf numFmtId="176" fontId="0" fillId="0" borderId="0">
      <alignment vertical="center"/>
    </xf>
    <xf numFmtId="176" fontId="0" fillId="0" borderId="0">
      <alignment vertical="center"/>
    </xf>
    <xf numFmtId="0" fontId="0" fillId="0" borderId="0"/>
    <xf numFmtId="0" fontId="32" fillId="0" borderId="0"/>
    <xf numFmtId="0" fontId="0" fillId="0" borderId="0">
      <alignment vertical="center"/>
    </xf>
    <xf numFmtId="177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>
      <alignment vertical="center"/>
    </xf>
    <xf numFmtId="0" fontId="1" fillId="0" borderId="0" xfId="0" applyFont="1">
      <alignment vertical="center"/>
    </xf>
    <xf numFmtId="9" fontId="1" fillId="0" borderId="0" xfId="3" applyFont="1">
      <alignment vertical="center"/>
    </xf>
    <xf numFmtId="43" fontId="1" fillId="0" borderId="0" xfId="1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>
      <alignment vertical="center"/>
    </xf>
    <xf numFmtId="14" fontId="4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14" fontId="1" fillId="0" borderId="1" xfId="0" applyNumberFormat="1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4" borderId="7" xfId="0" applyFont="1" applyFill="1" applyBorder="1" applyAlignment="1">
      <alignment horizontal="left" vertical="center"/>
    </xf>
    <xf numFmtId="14" fontId="1" fillId="4" borderId="8" xfId="0" applyNumberFormat="1" applyFont="1" applyFill="1" applyBorder="1">
      <alignment vertical="center"/>
    </xf>
    <xf numFmtId="0" fontId="1" fillId="4" borderId="7" xfId="0" applyFont="1" applyFill="1" applyBorder="1">
      <alignment vertical="center"/>
    </xf>
    <xf numFmtId="0" fontId="1" fillId="4" borderId="8" xfId="0" applyFont="1" applyFill="1" applyBorder="1">
      <alignment vertical="center"/>
    </xf>
    <xf numFmtId="0" fontId="1" fillId="4" borderId="0" xfId="0" applyFont="1" applyFill="1">
      <alignment vertical="center"/>
    </xf>
    <xf numFmtId="178" fontId="1" fillId="4" borderId="8" xfId="3" applyNumberFormat="1" applyFont="1" applyFill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>
      <alignment vertical="center"/>
    </xf>
    <xf numFmtId="0" fontId="1" fillId="4" borderId="5" xfId="0" applyFont="1" applyFill="1" applyBorder="1">
      <alignment vertical="center"/>
    </xf>
    <xf numFmtId="178" fontId="1" fillId="4" borderId="4" xfId="3" applyNumberFormat="1" applyFont="1" applyFill="1" applyBorder="1">
      <alignment vertical="center"/>
    </xf>
    <xf numFmtId="0" fontId="1" fillId="4" borderId="10" xfId="0" applyFont="1" applyFill="1" applyBorder="1" applyAlignment="1">
      <alignment horizontal="left" vertical="center"/>
    </xf>
    <xf numFmtId="14" fontId="1" fillId="4" borderId="11" xfId="0" applyNumberFormat="1" applyFont="1" applyFill="1" applyBorder="1">
      <alignment vertical="center"/>
    </xf>
    <xf numFmtId="0" fontId="1" fillId="4" borderId="10" xfId="0" applyFont="1" applyFill="1" applyBorder="1">
      <alignment vertical="center"/>
    </xf>
    <xf numFmtId="0" fontId="1" fillId="4" borderId="11" xfId="0" applyFont="1" applyFill="1" applyBorder="1">
      <alignment vertical="center"/>
    </xf>
    <xf numFmtId="0" fontId="1" fillId="4" borderId="12" xfId="0" applyFont="1" applyFill="1" applyBorder="1">
      <alignment vertical="center"/>
    </xf>
    <xf numFmtId="178" fontId="1" fillId="4" borderId="11" xfId="3" applyNumberFormat="1" applyFont="1" applyFill="1" applyBorder="1">
      <alignment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9" fillId="0" borderId="1" xfId="3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left" vertical="center"/>
    </xf>
    <xf numFmtId="178" fontId="1" fillId="0" borderId="1" xfId="3" applyNumberFormat="1" applyFont="1" applyBorder="1">
      <alignment vertical="center"/>
    </xf>
    <xf numFmtId="180" fontId="1" fillId="0" borderId="1" xfId="1" applyNumberFormat="1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0" fontId="9" fillId="6" borderId="1" xfId="3" applyNumberFormat="1" applyFont="1" applyFill="1" applyBorder="1" applyAlignment="1">
      <alignment horizontal="center" vertical="center"/>
    </xf>
    <xf numFmtId="181" fontId="9" fillId="6" borderId="1" xfId="3" applyNumberFormat="1" applyFont="1" applyFill="1" applyBorder="1" applyAlignment="1">
      <alignment horizontal="center" vertical="center"/>
    </xf>
    <xf numFmtId="9" fontId="1" fillId="0" borderId="1" xfId="3" applyFont="1" applyBorder="1">
      <alignment vertical="center"/>
    </xf>
    <xf numFmtId="178" fontId="1" fillId="0" borderId="0" xfId="3" applyNumberFormat="1" applyFont="1">
      <alignment vertical="center"/>
    </xf>
    <xf numFmtId="43" fontId="5" fillId="4" borderId="3" xfId="1" applyFont="1" applyFill="1" applyBorder="1" applyAlignment="1">
      <alignment horizontal="center" vertical="center" wrapText="1"/>
    </xf>
    <xf numFmtId="43" fontId="5" fillId="4" borderId="5" xfId="1" applyFont="1" applyFill="1" applyBorder="1" applyAlignment="1">
      <alignment horizontal="center" vertical="center" wrapText="1"/>
    </xf>
    <xf numFmtId="43" fontId="5" fillId="4" borderId="4" xfId="1" applyFont="1" applyFill="1" applyBorder="1" applyAlignment="1">
      <alignment horizontal="center" vertical="center" wrapText="1"/>
    </xf>
    <xf numFmtId="43" fontId="1" fillId="4" borderId="7" xfId="1" applyFont="1" applyFill="1" applyBorder="1" applyAlignment="1">
      <alignment vertical="center" wrapText="1"/>
    </xf>
    <xf numFmtId="43" fontId="1" fillId="4" borderId="0" xfId="1" applyFont="1" applyFill="1" applyAlignment="1">
      <alignment vertical="center" wrapText="1"/>
    </xf>
    <xf numFmtId="43" fontId="1" fillId="4" borderId="8" xfId="1" applyFont="1" applyFill="1" applyBorder="1" applyAlignment="1">
      <alignment vertical="center" wrapText="1"/>
    </xf>
    <xf numFmtId="0" fontId="1" fillId="4" borderId="4" xfId="0" applyFont="1" applyFill="1" applyBorder="1">
      <alignment vertical="center"/>
    </xf>
    <xf numFmtId="43" fontId="1" fillId="4" borderId="3" xfId="1" applyFont="1" applyFill="1" applyBorder="1" applyAlignment="1">
      <alignment vertical="center" wrapText="1"/>
    </xf>
    <xf numFmtId="43" fontId="1" fillId="4" borderId="5" xfId="1" applyFont="1" applyFill="1" applyBorder="1" applyAlignment="1">
      <alignment vertical="center" wrapText="1"/>
    </xf>
    <xf numFmtId="43" fontId="1" fillId="4" borderId="4" xfId="1" applyFont="1" applyFill="1" applyBorder="1" applyAlignment="1">
      <alignment vertical="center" wrapText="1"/>
    </xf>
    <xf numFmtId="43" fontId="1" fillId="4" borderId="10" xfId="1" applyFont="1" applyFill="1" applyBorder="1" applyAlignment="1">
      <alignment vertical="center" wrapText="1"/>
    </xf>
    <xf numFmtId="43" fontId="1" fillId="4" borderId="12" xfId="1" applyFont="1" applyFill="1" applyBorder="1" applyAlignment="1">
      <alignment vertical="center" wrapText="1"/>
    </xf>
    <xf numFmtId="43" fontId="1" fillId="4" borderId="11" xfId="1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43" fontId="1" fillId="0" borderId="1" xfId="1" applyFont="1" applyBorder="1" applyAlignment="1">
      <alignment horizontal="center" vertical="center" wrapText="1"/>
    </xf>
    <xf numFmtId="43" fontId="1" fillId="0" borderId="1" xfId="1" applyFon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9" fontId="1" fillId="0" borderId="1" xfId="3" applyFont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" fillId="13" borderId="1" xfId="0" applyFont="1" applyFill="1" applyBorder="1" applyAlignment="1">
      <alignment vertical="center" wrapText="1"/>
    </xf>
    <xf numFmtId="0" fontId="1" fillId="13" borderId="1" xfId="0" applyFont="1" applyFill="1" applyBorder="1">
      <alignment vertical="center"/>
    </xf>
    <xf numFmtId="43" fontId="1" fillId="0" borderId="0" xfId="1" applyFont="1">
      <alignment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3 2" xfId="50"/>
    <cellStyle name="常规 2 2" xfId="51"/>
    <cellStyle name="常规 2 3" xfId="52"/>
    <cellStyle name="常规 2 3 2" xfId="53"/>
    <cellStyle name="常规 2" xfId="54"/>
    <cellStyle name="常规 3" xfId="55"/>
    <cellStyle name="常规 4" xfId="56"/>
    <cellStyle name="千位分隔 2" xfId="57"/>
    <cellStyle name="超链接 2" xfId="58"/>
  </cellStyles>
  <tableStyles count="0" defaultTableStyle="TableStyleMedium2" defaultPivotStyle="PivotStyleLight16"/>
  <colors>
    <mruColors>
      <color rgb="0033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3587051618548"/>
          <c:y val="0.2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店铺日常运营销售日报!$D$28:$D$34</c:f>
              <c:numCache>
                <c:formatCode>General</c:formatCode>
                <c:ptCount val="7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6000</c:v>
                </c:pt>
                <c:pt idx="4">
                  <c:v>6000</c:v>
                </c:pt>
                <c:pt idx="5">
                  <c:v>8000</c:v>
                </c:pt>
                <c:pt idx="6">
                  <c:v>12000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3587051618548"/>
          <c:y val="0.2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店铺日常运营销售日报!$F$28:$F$34</c:f>
              <c:numCache>
                <c:formatCode>General</c:formatCode>
                <c:ptCount val="7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3000</c:v>
                </c:pt>
                <c:pt idx="4">
                  <c:v>1500</c:v>
                </c:pt>
                <c:pt idx="5">
                  <c:v>2000</c:v>
                </c:pt>
                <c:pt idx="6">
                  <c:v>2000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3450327186199"/>
          <c:y val="0.0685680636602794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店铺日常运营销售日报!$G$28:$G$34</c:f>
              <c:numCache>
                <c:formatCode>0.0%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0.1</c:v>
                </c:pt>
                <c:pt idx="4">
                  <c:v>0.2</c:v>
                </c:pt>
                <c:pt idx="5">
                  <c:v>0.2</c:v>
                </c:pt>
                <c:pt idx="6">
                  <c:v>0.3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3587051618548"/>
          <c:y val="0.2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店铺日常运营销售日报!$C$28:$C$34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3587051618548"/>
          <c:y val="0.2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店铺日常运营销售日报!$E$28:$E$34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400</c:v>
                </c:pt>
                <c:pt idx="6">
                  <c:v>600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3587051618548"/>
          <c:y val="0.2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店铺日常运营销售日报!$D$36:$D$42</c:f>
              <c:numCache>
                <c:formatCode>General</c:formatCode>
                <c:ptCount val="7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6000</c:v>
                </c:pt>
                <c:pt idx="4">
                  <c:v>9000</c:v>
                </c:pt>
                <c:pt idx="5">
                  <c:v>8000</c:v>
                </c:pt>
                <c:pt idx="6">
                  <c:v>10000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3587051618548"/>
          <c:y val="0.2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店铺日常运营销售日报!$F$36:$F$42</c:f>
              <c:numCache>
                <c:formatCode>General</c:formatCode>
                <c:ptCount val="7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3000</c:v>
                </c:pt>
                <c:pt idx="4">
                  <c:v>1500</c:v>
                </c:pt>
                <c:pt idx="5">
                  <c:v>2000</c:v>
                </c:pt>
                <c:pt idx="6">
                  <c:v>1500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3587051618548"/>
          <c:y val="0.2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店铺日常运营销售日报!$G$36:$G$42</c:f>
              <c:numCache>
                <c:formatCode>0.0%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0.1</c:v>
                </c:pt>
                <c:pt idx="4">
                  <c:v>0.2</c:v>
                </c:pt>
                <c:pt idx="5">
                  <c:v>0.2</c:v>
                </c:pt>
                <c:pt idx="6">
                  <c:v>0.333333333333333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3587051618548"/>
          <c:y val="0.2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店铺日常运营销售日报!$C$36:$C$42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30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3587051618548"/>
          <c:y val="0.2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店铺日常运营销售日报!$E$36:$E$42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2" Type="http://schemas.openxmlformats.org/officeDocument/2006/relationships/image" Target="../media/image2.png"/><Relationship Id="rId11" Type="http://schemas.openxmlformats.org/officeDocument/2006/relationships/image" Target="../media/image1.png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107155</xdr:colOff>
      <xdr:row>10</xdr:row>
      <xdr:rowOff>107154</xdr:rowOff>
    </xdr:from>
    <xdr:to>
      <xdr:col>4</xdr:col>
      <xdr:colOff>750093</xdr:colOff>
      <xdr:row>15</xdr:row>
      <xdr:rowOff>95249</xdr:rowOff>
    </xdr:to>
    <xdr:graphicFrame>
      <xdr:nvGraphicFramePr>
        <xdr:cNvPr id="3" name="图表 2"/>
        <xdr:cNvGraphicFramePr/>
      </xdr:nvGraphicFramePr>
      <xdr:xfrm>
        <a:off x="3298825" y="2211705"/>
        <a:ext cx="1608455" cy="1035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10</xdr:row>
      <xdr:rowOff>95249</xdr:rowOff>
    </xdr:from>
    <xdr:to>
      <xdr:col>10</xdr:col>
      <xdr:colOff>809625</xdr:colOff>
      <xdr:row>15</xdr:row>
      <xdr:rowOff>83344</xdr:rowOff>
    </xdr:to>
    <xdr:graphicFrame>
      <xdr:nvGraphicFramePr>
        <xdr:cNvPr id="4" name="图表 3"/>
        <xdr:cNvGraphicFramePr/>
      </xdr:nvGraphicFramePr>
      <xdr:xfrm>
        <a:off x="7477760" y="2199640"/>
        <a:ext cx="1919605" cy="103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154781</xdr:colOff>
      <xdr:row>10</xdr:row>
      <xdr:rowOff>95250</xdr:rowOff>
    </xdr:from>
    <xdr:to>
      <xdr:col>13</xdr:col>
      <xdr:colOff>392906</xdr:colOff>
      <xdr:row>15</xdr:row>
      <xdr:rowOff>95250</xdr:rowOff>
    </xdr:to>
    <xdr:graphicFrame>
      <xdr:nvGraphicFramePr>
        <xdr:cNvPr id="5" name="图表 4"/>
        <xdr:cNvGraphicFramePr/>
      </xdr:nvGraphicFramePr>
      <xdr:xfrm>
        <a:off x="9551670" y="2200275"/>
        <a:ext cx="1888490" cy="1047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83345</xdr:colOff>
      <xdr:row>10</xdr:row>
      <xdr:rowOff>119062</xdr:rowOff>
    </xdr:from>
    <xdr:to>
      <xdr:col>2</xdr:col>
      <xdr:colOff>988558</xdr:colOff>
      <xdr:row>15</xdr:row>
      <xdr:rowOff>91678</xdr:rowOff>
    </xdr:to>
    <xdr:graphicFrame>
      <xdr:nvGraphicFramePr>
        <xdr:cNvPr id="6" name="图表 5"/>
        <xdr:cNvGraphicFramePr/>
      </xdr:nvGraphicFramePr>
      <xdr:xfrm>
        <a:off x="1259840" y="2223770"/>
        <a:ext cx="1932305" cy="1020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166685</xdr:colOff>
      <xdr:row>10</xdr:row>
      <xdr:rowOff>107156</xdr:rowOff>
    </xdr:from>
    <xdr:to>
      <xdr:col>7</xdr:col>
      <xdr:colOff>619124</xdr:colOff>
      <xdr:row>15</xdr:row>
      <xdr:rowOff>79772</xdr:rowOff>
    </xdr:to>
    <xdr:graphicFrame>
      <xdr:nvGraphicFramePr>
        <xdr:cNvPr id="7" name="图表 6"/>
        <xdr:cNvGraphicFramePr/>
      </xdr:nvGraphicFramePr>
      <xdr:xfrm>
        <a:off x="5145405" y="2211705"/>
        <a:ext cx="2153285" cy="1020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48</xdr:row>
      <xdr:rowOff>0</xdr:rowOff>
    </xdr:from>
    <xdr:to>
      <xdr:col>17</xdr:col>
      <xdr:colOff>442794</xdr:colOff>
      <xdr:row>63</xdr:row>
      <xdr:rowOff>126210</xdr:rowOff>
    </xdr:to>
    <xdr:pic>
      <xdr:nvPicPr>
        <xdr:cNvPr id="10" name="图片 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10734675"/>
          <a:ext cx="13996035" cy="3268980"/>
        </a:xfrm>
        <a:prstGeom prst="rect">
          <a:avLst/>
        </a:prstGeom>
      </xdr:spPr>
    </xdr:pic>
    <xdr:clientData/>
  </xdr:twoCellAnchor>
  <xdr:twoCellAnchor>
    <xdr:from>
      <xdr:col>3</xdr:col>
      <xdr:colOff>119062</xdr:colOff>
      <xdr:row>16</xdr:row>
      <xdr:rowOff>130968</xdr:rowOff>
    </xdr:from>
    <xdr:to>
      <xdr:col>4</xdr:col>
      <xdr:colOff>752826</xdr:colOff>
      <xdr:row>21</xdr:row>
      <xdr:rowOff>103584</xdr:rowOff>
    </xdr:to>
    <xdr:graphicFrame>
      <xdr:nvGraphicFramePr>
        <xdr:cNvPr id="11" name="图表 10"/>
        <xdr:cNvGraphicFramePr/>
      </xdr:nvGraphicFramePr>
      <xdr:xfrm>
        <a:off x="3310890" y="3502660"/>
        <a:ext cx="1598930" cy="1020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130968</xdr:colOff>
      <xdr:row>16</xdr:row>
      <xdr:rowOff>154782</xdr:rowOff>
    </xdr:from>
    <xdr:to>
      <xdr:col>10</xdr:col>
      <xdr:colOff>833437</xdr:colOff>
      <xdr:row>21</xdr:row>
      <xdr:rowOff>95251</xdr:rowOff>
    </xdr:to>
    <xdr:graphicFrame>
      <xdr:nvGraphicFramePr>
        <xdr:cNvPr id="12" name="图表 11"/>
        <xdr:cNvGraphicFramePr/>
      </xdr:nvGraphicFramePr>
      <xdr:xfrm>
        <a:off x="7513320" y="3526155"/>
        <a:ext cx="1884045" cy="988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190499</xdr:colOff>
      <xdr:row>16</xdr:row>
      <xdr:rowOff>178592</xdr:rowOff>
    </xdr:from>
    <xdr:to>
      <xdr:col>13</xdr:col>
      <xdr:colOff>381000</xdr:colOff>
      <xdr:row>21</xdr:row>
      <xdr:rowOff>107157</xdr:rowOff>
    </xdr:to>
    <xdr:graphicFrame>
      <xdr:nvGraphicFramePr>
        <xdr:cNvPr id="13" name="图表 12"/>
        <xdr:cNvGraphicFramePr/>
      </xdr:nvGraphicFramePr>
      <xdr:xfrm>
        <a:off x="9587230" y="3550285"/>
        <a:ext cx="1841500" cy="975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83343</xdr:colOff>
      <xdr:row>16</xdr:row>
      <xdr:rowOff>130970</xdr:rowOff>
    </xdr:from>
    <xdr:to>
      <xdr:col>2</xdr:col>
      <xdr:colOff>1000125</xdr:colOff>
      <xdr:row>21</xdr:row>
      <xdr:rowOff>103585</xdr:rowOff>
    </xdr:to>
    <xdr:graphicFrame>
      <xdr:nvGraphicFramePr>
        <xdr:cNvPr id="14" name="图表 13"/>
        <xdr:cNvGraphicFramePr/>
      </xdr:nvGraphicFramePr>
      <xdr:xfrm>
        <a:off x="1259840" y="3502660"/>
        <a:ext cx="1932305" cy="1020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190499</xdr:colOff>
      <xdr:row>16</xdr:row>
      <xdr:rowOff>130970</xdr:rowOff>
    </xdr:from>
    <xdr:to>
      <xdr:col>7</xdr:col>
      <xdr:colOff>642937</xdr:colOff>
      <xdr:row>21</xdr:row>
      <xdr:rowOff>103585</xdr:rowOff>
    </xdr:to>
    <xdr:graphicFrame>
      <xdr:nvGraphicFramePr>
        <xdr:cNvPr id="15" name="图表 14"/>
        <xdr:cNvGraphicFramePr/>
      </xdr:nvGraphicFramePr>
      <xdr:xfrm>
        <a:off x="5168900" y="3502660"/>
        <a:ext cx="2153920" cy="1020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17</xdr:col>
      <xdr:colOff>22860</xdr:colOff>
      <xdr:row>42</xdr:row>
      <xdr:rowOff>73660</xdr:rowOff>
    </xdr:from>
    <xdr:ext cx="11897360" cy="1315720"/>
    <xdr:sp>
      <xdr:nvSpPr>
        <xdr:cNvPr id="2" name="矩形 1"/>
        <xdr:cNvSpPr/>
      </xdr:nvSpPr>
      <xdr:spPr>
        <a:xfrm rot="1260000">
          <a:off x="13576300" y="9551035"/>
          <a:ext cx="11897360" cy="1315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/>
        <a:p>
          <a:pPr algn="ctr"/>
          <a:endParaRPr lang="zh-CN" altLang="en-US" sz="7200" b="1">
            <a:ln w="10160">
              <a:noFill/>
              <a:prstDash val="solid"/>
            </a:ln>
            <a:solidFill>
              <a:schemeClr val="bg2">
                <a:alpha val="39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32</xdr:col>
      <xdr:colOff>676469</xdr:colOff>
      <xdr:row>48</xdr:row>
      <xdr:rowOff>155510</xdr:rowOff>
    </xdr:from>
    <xdr:to>
      <xdr:col>38</xdr:col>
      <xdr:colOff>147810</xdr:colOff>
      <xdr:row>59</xdr:row>
      <xdr:rowOff>122007</xdr:rowOff>
    </xdr:to>
    <xdr:pic>
      <xdr:nvPicPr>
        <xdr:cNvPr id="8" name="图片 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7132915" y="10889615"/>
          <a:ext cx="4576445" cy="22720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ane\Desktop\A&#21697;&#29260;&#39033;&#30446;-Victsing\&#27969;&#31243;\7&#26376;All%20To%20Do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待办事项列表"/>
      <sheetName val="成员信息表"/>
      <sheetName val="常用工具列表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O80"/>
  <sheetViews>
    <sheetView showGridLines="0" tabSelected="1" zoomScale="98" zoomScaleNormal="98" workbookViewId="0">
      <selection activeCell="A48" sqref="A48:D48"/>
    </sheetView>
  </sheetViews>
  <sheetFormatPr defaultColWidth="9" defaultRowHeight="16.5"/>
  <cols>
    <col min="1" max="1" width="15.4416666666667" style="2" customWidth="1"/>
    <col min="2" max="2" width="14.7833333333333" style="3" customWidth="1"/>
    <col min="3" max="3" width="11.6666666666667" style="4" customWidth="1"/>
    <col min="4" max="4" width="12.6666666666667" style="4" customWidth="1"/>
    <col min="5" max="5" width="10.7833333333333" style="4" customWidth="1"/>
    <col min="6" max="6" width="12.1083333333333" style="4" customWidth="1"/>
    <col min="7" max="7" width="10.2166666666667" style="5" customWidth="1"/>
    <col min="8" max="8" width="9.21666666666667" style="4" customWidth="1"/>
    <col min="9" max="9" width="7.44166666666667" style="4" customWidth="1"/>
    <col min="10" max="10" width="8.89166666666667" style="4" customWidth="1"/>
    <col min="11" max="11" width="10.1083333333333" style="6" customWidth="1"/>
    <col min="12" max="12" width="10.4416666666667" style="6" customWidth="1"/>
    <col min="13" max="13" width="11.2166666666667" style="4" customWidth="1"/>
    <col min="14" max="14" width="7.44166666666667" style="4" customWidth="1"/>
    <col min="15" max="15" width="7.33333333333333" style="4" customWidth="1"/>
    <col min="16" max="16" width="9.10833333333333" style="4" customWidth="1"/>
    <col min="17" max="17" width="9" style="4"/>
    <col min="18" max="18" width="9.33333333333333" style="4" customWidth="1"/>
    <col min="19" max="19" width="9.89166666666667" style="4" customWidth="1"/>
    <col min="20" max="20" width="9.33333333333333" style="4" customWidth="1"/>
    <col min="21" max="21" width="7.10833333333333" style="4" customWidth="1"/>
    <col min="22" max="22" width="11.4416666666667" style="4" customWidth="1"/>
    <col min="23" max="23" width="10.7833333333333" style="4" customWidth="1"/>
    <col min="24" max="24" width="9.89166666666667" style="4" customWidth="1"/>
    <col min="25" max="25" width="10.8916666666667" style="5" customWidth="1"/>
    <col min="26" max="26" width="12.6666666666667" style="4" customWidth="1"/>
    <col min="27" max="27" width="14.4416666666667" style="4" customWidth="1"/>
    <col min="28" max="28" width="11.4416666666667" style="4" customWidth="1"/>
    <col min="29" max="29" width="11.1083333333333" style="4" customWidth="1"/>
    <col min="30" max="30" width="11.4416666666667" style="4" customWidth="1"/>
    <col min="31" max="31" width="11.6666666666667" style="4" customWidth="1"/>
    <col min="32" max="32" width="17.8916666666667" style="4" customWidth="1"/>
    <col min="33" max="33" width="13.7833333333333" style="4" customWidth="1"/>
    <col min="34" max="34" width="10" style="4" customWidth="1"/>
    <col min="35" max="35" width="13.4416666666667" style="4" customWidth="1"/>
    <col min="36" max="36" width="11.6666666666667" style="4" customWidth="1"/>
    <col min="37" max="37" width="9.10833333333333" style="4" customWidth="1"/>
    <col min="38" max="38" width="9" style="4" customWidth="1"/>
    <col min="39" max="39" width="6.21666666666667" style="4" customWidth="1"/>
    <col min="40" max="40" width="8" style="4" customWidth="1"/>
    <col min="41" max="41" width="14.4416666666667" style="4" customWidth="1"/>
    <col min="42" max="42" width="16.7833333333333" style="4" customWidth="1"/>
    <col min="43" max="16384" width="9" style="4"/>
  </cols>
  <sheetData>
    <row r="1" customFormat="1" ht="13.5" spans="1:1">
      <c r="A1" s="7"/>
    </row>
    <row r="2" spans="1:4">
      <c r="A2" s="8" t="s">
        <v>0</v>
      </c>
      <c r="B2" s="8"/>
      <c r="C2" s="8"/>
      <c r="D2" s="8"/>
    </row>
    <row r="3" ht="15" spans="1:8">
      <c r="A3" s="9" t="s">
        <v>1</v>
      </c>
      <c r="B3" s="10">
        <v>45292</v>
      </c>
      <c r="C3" s="10">
        <v>45293</v>
      </c>
      <c r="D3" s="10">
        <v>45294</v>
      </c>
      <c r="E3" s="10">
        <v>45295</v>
      </c>
      <c r="F3" s="10">
        <v>45297</v>
      </c>
      <c r="G3" s="10">
        <v>45298</v>
      </c>
      <c r="H3" s="10">
        <v>45299</v>
      </c>
    </row>
    <row r="4" spans="1:8">
      <c r="A4" s="11" t="s">
        <v>2</v>
      </c>
      <c r="B4" s="12"/>
      <c r="C4" s="11"/>
      <c r="D4" s="11"/>
      <c r="E4" s="11"/>
      <c r="F4" s="11"/>
      <c r="G4" s="11"/>
      <c r="H4" s="11"/>
    </row>
    <row r="5" spans="1:8">
      <c r="A5" s="11" t="s">
        <v>3</v>
      </c>
      <c r="B5" s="12"/>
      <c r="C5" s="11"/>
      <c r="D5" s="11"/>
      <c r="E5" s="11"/>
      <c r="F5" s="11"/>
      <c r="G5" s="11"/>
      <c r="H5" s="11"/>
    </row>
    <row r="6" spans="1:8">
      <c r="A6" s="11" t="s">
        <v>4</v>
      </c>
      <c r="B6" s="12"/>
      <c r="C6" s="11"/>
      <c r="D6" s="11"/>
      <c r="E6" s="11"/>
      <c r="F6" s="11"/>
      <c r="G6" s="11"/>
      <c r="H6" s="11"/>
    </row>
    <row r="7" spans="1:8">
      <c r="A7" s="11" t="s">
        <v>5</v>
      </c>
      <c r="B7" s="12"/>
      <c r="C7" s="11"/>
      <c r="D7" s="11"/>
      <c r="E7" s="11"/>
      <c r="F7" s="11"/>
      <c r="G7" s="11"/>
      <c r="H7" s="11"/>
    </row>
    <row r="8" spans="1:7">
      <c r="A8" s="4"/>
      <c r="G8" s="4"/>
    </row>
    <row r="9" ht="17.25" spans="1:7">
      <c r="A9" s="8" t="s">
        <v>6</v>
      </c>
      <c r="B9" s="8"/>
      <c r="C9" s="8"/>
      <c r="D9" s="8"/>
      <c r="G9" s="4"/>
    </row>
    <row r="10" ht="21" spans="1:14">
      <c r="A10" s="13" t="s">
        <v>7</v>
      </c>
      <c r="B10" s="14" t="s">
        <v>8</v>
      </c>
      <c r="C10" s="15"/>
      <c r="D10" s="14" t="s">
        <v>3</v>
      </c>
      <c r="E10" s="15"/>
      <c r="F10" s="14" t="s">
        <v>9</v>
      </c>
      <c r="G10" s="16"/>
      <c r="H10" s="15"/>
      <c r="I10" s="14" t="s">
        <v>10</v>
      </c>
      <c r="J10" s="16"/>
      <c r="K10" s="15"/>
      <c r="L10" s="59" t="s">
        <v>11</v>
      </c>
      <c r="M10" s="60"/>
      <c r="N10" s="61"/>
    </row>
    <row r="11" spans="1:14">
      <c r="A11" s="17"/>
      <c r="B11" s="18"/>
      <c r="C11" s="19"/>
      <c r="D11" s="20"/>
      <c r="E11" s="21"/>
      <c r="F11" s="20"/>
      <c r="G11" s="22"/>
      <c r="H11" s="23"/>
      <c r="I11" s="20"/>
      <c r="J11" s="22"/>
      <c r="K11" s="21"/>
      <c r="L11" s="62"/>
      <c r="M11" s="63"/>
      <c r="N11" s="64"/>
    </row>
    <row r="12" spans="1:14">
      <c r="A12" s="17"/>
      <c r="B12" s="18"/>
      <c r="C12" s="19"/>
      <c r="D12" s="20"/>
      <c r="E12" s="21"/>
      <c r="F12" s="20"/>
      <c r="G12" s="22"/>
      <c r="H12" s="23"/>
      <c r="I12" s="20"/>
      <c r="J12" s="22"/>
      <c r="K12" s="21"/>
      <c r="L12" s="62"/>
      <c r="M12" s="63"/>
      <c r="N12" s="64"/>
    </row>
    <row r="13" spans="1:14">
      <c r="A13" s="17"/>
      <c r="B13" s="18"/>
      <c r="C13" s="19"/>
      <c r="D13" s="20"/>
      <c r="E13" s="21"/>
      <c r="F13" s="20"/>
      <c r="G13" s="22"/>
      <c r="H13" s="23"/>
      <c r="I13" s="20"/>
      <c r="J13" s="22"/>
      <c r="K13" s="21"/>
      <c r="L13" s="62"/>
      <c r="M13" s="63"/>
      <c r="N13" s="64"/>
    </row>
    <row r="14" spans="1:14">
      <c r="A14" s="17"/>
      <c r="B14" s="18"/>
      <c r="C14" s="19"/>
      <c r="D14" s="20"/>
      <c r="E14" s="21"/>
      <c r="F14" s="20"/>
      <c r="G14" s="22"/>
      <c r="H14" s="23"/>
      <c r="I14" s="20"/>
      <c r="J14" s="22"/>
      <c r="K14" s="21"/>
      <c r="L14" s="62"/>
      <c r="M14" s="63"/>
      <c r="N14" s="64"/>
    </row>
    <row r="15" spans="1:14">
      <c r="A15" s="17"/>
      <c r="B15" s="18"/>
      <c r="C15" s="19"/>
      <c r="D15" s="20"/>
      <c r="E15" s="21"/>
      <c r="F15" s="20"/>
      <c r="G15" s="22"/>
      <c r="H15" s="23"/>
      <c r="I15" s="20"/>
      <c r="J15" s="22"/>
      <c r="K15" s="21"/>
      <c r="L15" s="62"/>
      <c r="M15" s="63"/>
      <c r="N15" s="64"/>
    </row>
    <row r="16" ht="17.25" spans="1:14">
      <c r="A16" s="24"/>
      <c r="B16" s="18"/>
      <c r="C16" s="19"/>
      <c r="D16" s="20"/>
      <c r="E16" s="21"/>
      <c r="F16" s="20"/>
      <c r="G16" s="22"/>
      <c r="H16" s="23"/>
      <c r="I16" s="20"/>
      <c r="J16" s="22"/>
      <c r="K16" s="21"/>
      <c r="L16" s="62"/>
      <c r="M16" s="63"/>
      <c r="N16" s="64"/>
    </row>
    <row r="17" spans="1:14">
      <c r="A17" s="13" t="s">
        <v>12</v>
      </c>
      <c r="B17" s="25"/>
      <c r="C17" s="26"/>
      <c r="D17" s="25"/>
      <c r="E17" s="26"/>
      <c r="F17" s="27"/>
      <c r="G17" s="28"/>
      <c r="H17" s="29"/>
      <c r="I17" s="27"/>
      <c r="J17" s="28"/>
      <c r="K17" s="65"/>
      <c r="L17" s="66"/>
      <c r="M17" s="67"/>
      <c r="N17" s="68"/>
    </row>
    <row r="18" spans="1:14">
      <c r="A18" s="17"/>
      <c r="B18" s="18"/>
      <c r="C18" s="19"/>
      <c r="D18" s="20"/>
      <c r="E18" s="21"/>
      <c r="F18" s="20"/>
      <c r="G18" s="22"/>
      <c r="H18" s="23"/>
      <c r="I18" s="20"/>
      <c r="J18" s="22"/>
      <c r="K18" s="21"/>
      <c r="L18" s="62"/>
      <c r="M18" s="63"/>
      <c r="N18" s="64"/>
    </row>
    <row r="19" spans="1:14">
      <c r="A19" s="17"/>
      <c r="B19" s="18"/>
      <c r="C19" s="19"/>
      <c r="D19" s="20"/>
      <c r="E19" s="21"/>
      <c r="F19" s="20"/>
      <c r="G19" s="22"/>
      <c r="H19" s="23"/>
      <c r="I19" s="20"/>
      <c r="J19" s="22"/>
      <c r="K19" s="21"/>
      <c r="L19" s="62"/>
      <c r="M19" s="63"/>
      <c r="N19" s="64"/>
    </row>
    <row r="20" spans="1:14">
      <c r="A20" s="17"/>
      <c r="B20" s="18"/>
      <c r="C20" s="19"/>
      <c r="D20" s="20"/>
      <c r="E20" s="21"/>
      <c r="F20" s="20"/>
      <c r="G20" s="22"/>
      <c r="H20" s="23"/>
      <c r="I20" s="20"/>
      <c r="J20" s="22"/>
      <c r="K20" s="21"/>
      <c r="L20" s="62"/>
      <c r="M20" s="63"/>
      <c r="N20" s="64"/>
    </row>
    <row r="21" spans="1:14">
      <c r="A21" s="17"/>
      <c r="B21" s="18"/>
      <c r="C21" s="19"/>
      <c r="D21" s="20"/>
      <c r="E21" s="21"/>
      <c r="F21" s="20"/>
      <c r="G21" s="22"/>
      <c r="H21" s="23"/>
      <c r="I21" s="20"/>
      <c r="J21" s="22"/>
      <c r="K21" s="21"/>
      <c r="L21" s="62"/>
      <c r="M21" s="63"/>
      <c r="N21" s="64"/>
    </row>
    <row r="22" ht="17.25" spans="1:14">
      <c r="A22" s="24"/>
      <c r="B22" s="30"/>
      <c r="C22" s="31"/>
      <c r="D22" s="32"/>
      <c r="E22" s="33"/>
      <c r="F22" s="32"/>
      <c r="G22" s="34"/>
      <c r="H22" s="35"/>
      <c r="I22" s="32"/>
      <c r="J22" s="34"/>
      <c r="K22" s="33"/>
      <c r="L22" s="69"/>
      <c r="M22" s="70"/>
      <c r="N22" s="71"/>
    </row>
    <row r="23" spans="1:7">
      <c r="A23" s="4"/>
      <c r="G23" s="4"/>
    </row>
    <row r="24" ht="15" spans="1:4">
      <c r="A24" s="8" t="s">
        <v>13</v>
      </c>
      <c r="B24" s="8"/>
      <c r="C24" s="8"/>
      <c r="D24" s="8"/>
    </row>
    <row r="25" ht="15" spans="1:4">
      <c r="A25" s="36" t="s">
        <v>14</v>
      </c>
      <c r="B25" s="37"/>
      <c r="C25" s="36"/>
      <c r="D25" s="36"/>
    </row>
    <row r="26" s="1" customFormat="1" ht="29.25" customHeight="1" spans="1:41">
      <c r="A26" s="38" t="s">
        <v>15</v>
      </c>
      <c r="B26" s="38"/>
      <c r="C26" s="39" t="s">
        <v>16</v>
      </c>
      <c r="D26" s="39"/>
      <c r="E26" s="39"/>
      <c r="F26" s="39"/>
      <c r="G26" s="39"/>
      <c r="H26" s="39"/>
      <c r="I26" s="72" t="s">
        <v>17</v>
      </c>
      <c r="J26" s="72"/>
      <c r="K26" s="72"/>
      <c r="L26" s="72"/>
      <c r="M26" s="72"/>
      <c r="N26" s="73" t="s">
        <v>18</v>
      </c>
      <c r="O26" s="73"/>
      <c r="P26" s="73"/>
      <c r="Q26" s="73"/>
      <c r="R26" s="78" t="s">
        <v>19</v>
      </c>
      <c r="S26" s="78"/>
      <c r="T26" s="78"/>
      <c r="U26" s="78"/>
      <c r="V26" s="78"/>
      <c r="W26" s="79" t="s">
        <v>20</v>
      </c>
      <c r="X26" s="79"/>
      <c r="Y26" s="79"/>
      <c r="Z26" s="79"/>
      <c r="AA26" s="79"/>
      <c r="AB26" s="79"/>
      <c r="AC26" s="80" t="s">
        <v>21</v>
      </c>
      <c r="AD26" s="80"/>
      <c r="AE26" s="80"/>
      <c r="AF26" s="38" t="s">
        <v>22</v>
      </c>
      <c r="AG26" s="38"/>
      <c r="AH26" s="38"/>
      <c r="AI26" s="38"/>
      <c r="AJ26" s="38"/>
      <c r="AK26" s="38"/>
      <c r="AL26" s="82" t="s">
        <v>23</v>
      </c>
      <c r="AM26" s="82"/>
      <c r="AN26" s="82"/>
      <c r="AO26" s="87" t="s">
        <v>24</v>
      </c>
    </row>
    <row r="27" s="1" customFormat="1" ht="41.25" customHeight="1" spans="1:41">
      <c r="A27" s="40" t="s">
        <v>25</v>
      </c>
      <c r="B27" s="41" t="s">
        <v>15</v>
      </c>
      <c r="C27" s="42" t="s">
        <v>26</v>
      </c>
      <c r="D27" s="43" t="s">
        <v>27</v>
      </c>
      <c r="E27" s="44" t="s">
        <v>9</v>
      </c>
      <c r="F27" s="45" t="s">
        <v>10</v>
      </c>
      <c r="G27" s="46" t="s">
        <v>11</v>
      </c>
      <c r="H27" s="40" t="s">
        <v>28</v>
      </c>
      <c r="I27" s="40" t="s">
        <v>29</v>
      </c>
      <c r="J27" s="40" t="s">
        <v>30</v>
      </c>
      <c r="K27" s="40" t="s">
        <v>31</v>
      </c>
      <c r="L27" s="74" t="s">
        <v>32</v>
      </c>
      <c r="M27" s="74" t="s">
        <v>33</v>
      </c>
      <c r="N27" s="40" t="s">
        <v>34</v>
      </c>
      <c r="O27" s="40" t="s">
        <v>35</v>
      </c>
      <c r="P27" s="40" t="s">
        <v>36</v>
      </c>
      <c r="Q27" s="40" t="s">
        <v>37</v>
      </c>
      <c r="R27" s="40" t="s">
        <v>38</v>
      </c>
      <c r="S27" s="40" t="s">
        <v>39</v>
      </c>
      <c r="T27" s="40" t="s">
        <v>40</v>
      </c>
      <c r="U27" s="40" t="s">
        <v>41</v>
      </c>
      <c r="V27" s="40" t="s">
        <v>42</v>
      </c>
      <c r="W27" s="40" t="s">
        <v>43</v>
      </c>
      <c r="X27" s="40" t="s">
        <v>44</v>
      </c>
      <c r="Y27" s="40" t="s">
        <v>45</v>
      </c>
      <c r="Z27" s="40" t="s">
        <v>46</v>
      </c>
      <c r="AA27" s="40" t="s">
        <v>47</v>
      </c>
      <c r="AB27" s="81" t="s">
        <v>48</v>
      </c>
      <c r="AC27" s="40" t="s">
        <v>40</v>
      </c>
      <c r="AD27" s="40" t="s">
        <v>41</v>
      </c>
      <c r="AE27" s="40" t="s">
        <v>42</v>
      </c>
      <c r="AF27" s="40" t="s">
        <v>49</v>
      </c>
      <c r="AG27" s="40" t="s">
        <v>50</v>
      </c>
      <c r="AH27" s="40" t="s">
        <v>51</v>
      </c>
      <c r="AI27" s="83" t="s">
        <v>52</v>
      </c>
      <c r="AJ27" s="83" t="s">
        <v>53</v>
      </c>
      <c r="AK27" s="83" t="s">
        <v>54</v>
      </c>
      <c r="AL27" s="83" t="s">
        <v>55</v>
      </c>
      <c r="AM27" s="83"/>
      <c r="AN27" s="83"/>
      <c r="AO27" s="40" t="s">
        <v>56</v>
      </c>
    </row>
    <row r="28" ht="33" spans="1:41">
      <c r="A28" s="47" t="s">
        <v>57</v>
      </c>
      <c r="B28" s="12">
        <v>45339</v>
      </c>
      <c r="C28" s="11">
        <v>20</v>
      </c>
      <c r="D28" s="11">
        <f>C28*E28</f>
        <v>2000</v>
      </c>
      <c r="E28" s="11">
        <f>F28*G28</f>
        <v>100</v>
      </c>
      <c r="F28" s="11">
        <v>1000</v>
      </c>
      <c r="G28" s="48">
        <v>0.1</v>
      </c>
      <c r="H28" s="11">
        <v>200</v>
      </c>
      <c r="I28" s="11">
        <v>2000</v>
      </c>
      <c r="J28" s="11">
        <v>1000</v>
      </c>
      <c r="K28" s="11">
        <v>500</v>
      </c>
      <c r="L28" s="75">
        <f>(I28+J28+K28)/E28</f>
        <v>35</v>
      </c>
      <c r="M28" s="75">
        <f>(I28+J28+K28)/H28</f>
        <v>17.5</v>
      </c>
      <c r="N28" s="11">
        <v>4</v>
      </c>
      <c r="O28" s="11">
        <v>5</v>
      </c>
      <c r="P28" s="76">
        <v>0.02</v>
      </c>
      <c r="Q28" s="76">
        <v>1</v>
      </c>
      <c r="R28" s="11" t="s">
        <v>58</v>
      </c>
      <c r="S28" s="11">
        <v>400</v>
      </c>
      <c r="T28" s="77" t="s">
        <v>59</v>
      </c>
      <c r="U28" s="77" t="s">
        <v>59</v>
      </c>
      <c r="V28" s="77" t="s">
        <v>59</v>
      </c>
      <c r="W28" s="11">
        <v>1000</v>
      </c>
      <c r="X28" s="11">
        <v>50</v>
      </c>
      <c r="Y28" s="11">
        <f>X28/W28</f>
        <v>0.05</v>
      </c>
      <c r="Z28" s="11">
        <v>50</v>
      </c>
      <c r="AA28" s="11">
        <v>100</v>
      </c>
      <c r="AB28" s="57">
        <f>Z28/AA28</f>
        <v>0.5</v>
      </c>
      <c r="AC28" s="77" t="s">
        <v>59</v>
      </c>
      <c r="AD28" s="77" t="s">
        <v>59</v>
      </c>
      <c r="AE28" s="77" t="s">
        <v>59</v>
      </c>
      <c r="AF28" s="77" t="s">
        <v>60</v>
      </c>
      <c r="AG28" s="11" t="s">
        <v>61</v>
      </c>
      <c r="AH28" s="11" t="s">
        <v>62</v>
      </c>
      <c r="AI28" s="84" t="s">
        <v>63</v>
      </c>
      <c r="AJ28" s="84" t="s">
        <v>62</v>
      </c>
      <c r="AK28" s="84"/>
      <c r="AL28" s="85" t="s">
        <v>64</v>
      </c>
      <c r="AM28" s="85"/>
      <c r="AN28" s="85"/>
      <c r="AO28" s="77"/>
    </row>
    <row r="29" spans="1:41">
      <c r="A29" s="47" t="s">
        <v>65</v>
      </c>
      <c r="B29" s="12">
        <v>45340</v>
      </c>
      <c r="C29" s="11">
        <v>20</v>
      </c>
      <c r="D29" s="11">
        <f t="shared" ref="D29:D34" si="0">C29*E29</f>
        <v>4000</v>
      </c>
      <c r="E29" s="11">
        <f t="shared" ref="E29:E34" si="1">F29*G29</f>
        <v>200</v>
      </c>
      <c r="F29" s="11">
        <v>1000</v>
      </c>
      <c r="G29" s="48">
        <v>0.2</v>
      </c>
      <c r="H29" s="11"/>
      <c r="I29" s="11"/>
      <c r="J29" s="11"/>
      <c r="K29" s="11"/>
      <c r="L29" s="75"/>
      <c r="M29" s="75"/>
      <c r="N29" s="11"/>
      <c r="O29" s="11"/>
      <c r="P29" s="77"/>
      <c r="Q29" s="77"/>
      <c r="R29" s="11"/>
      <c r="S29" s="11"/>
      <c r="T29" s="77"/>
      <c r="U29" s="77"/>
      <c r="V29" s="77"/>
      <c r="W29" s="11"/>
      <c r="X29" s="11"/>
      <c r="Y29" s="11"/>
      <c r="Z29" s="11"/>
      <c r="AA29" s="11"/>
      <c r="AB29" s="57"/>
      <c r="AC29" s="77"/>
      <c r="AD29" s="77"/>
      <c r="AE29" s="77"/>
      <c r="AF29" s="77"/>
      <c r="AG29" s="11"/>
      <c r="AH29" s="11"/>
      <c r="AI29" s="84"/>
      <c r="AJ29" s="84"/>
      <c r="AK29" s="84"/>
      <c r="AL29" s="86"/>
      <c r="AM29" s="86"/>
      <c r="AN29" s="86"/>
      <c r="AO29" s="77"/>
    </row>
    <row r="30" spans="1:41">
      <c r="A30" s="47" t="s">
        <v>66</v>
      </c>
      <c r="B30" s="12">
        <v>45341</v>
      </c>
      <c r="C30" s="11">
        <v>20</v>
      </c>
      <c r="D30" s="11">
        <f t="shared" si="0"/>
        <v>6000</v>
      </c>
      <c r="E30" s="11">
        <f t="shared" si="1"/>
        <v>300</v>
      </c>
      <c r="F30" s="11">
        <v>1000</v>
      </c>
      <c r="G30" s="48">
        <v>0.3</v>
      </c>
      <c r="H30" s="11"/>
      <c r="I30" s="11"/>
      <c r="J30" s="11"/>
      <c r="K30" s="11"/>
      <c r="L30" s="75"/>
      <c r="M30" s="75"/>
      <c r="N30" s="11"/>
      <c r="O30" s="11"/>
      <c r="P30" s="77"/>
      <c r="Q30" s="77"/>
      <c r="R30" s="11"/>
      <c r="S30" s="11"/>
      <c r="T30" s="77"/>
      <c r="U30" s="77"/>
      <c r="V30" s="77"/>
      <c r="W30" s="11"/>
      <c r="X30" s="11"/>
      <c r="Y30" s="11"/>
      <c r="Z30" s="11"/>
      <c r="AA30" s="11"/>
      <c r="AB30" s="57"/>
      <c r="AC30" s="77"/>
      <c r="AD30" s="77"/>
      <c r="AE30" s="77"/>
      <c r="AF30" s="77"/>
      <c r="AG30" s="11"/>
      <c r="AH30" s="11"/>
      <c r="AI30" s="84"/>
      <c r="AJ30" s="84"/>
      <c r="AK30" s="84"/>
      <c r="AL30" s="86"/>
      <c r="AM30" s="86"/>
      <c r="AN30" s="86"/>
      <c r="AO30" s="77"/>
    </row>
    <row r="31" spans="1:41">
      <c r="A31" s="47" t="s">
        <v>67</v>
      </c>
      <c r="B31" s="12">
        <v>45342</v>
      </c>
      <c r="C31" s="11">
        <v>20</v>
      </c>
      <c r="D31" s="11">
        <f t="shared" si="0"/>
        <v>6000</v>
      </c>
      <c r="E31" s="11">
        <f t="shared" si="1"/>
        <v>300</v>
      </c>
      <c r="F31" s="11">
        <v>3000</v>
      </c>
      <c r="G31" s="48">
        <v>0.1</v>
      </c>
      <c r="H31" s="11"/>
      <c r="I31" s="11"/>
      <c r="J31" s="11"/>
      <c r="K31" s="11"/>
      <c r="L31" s="75"/>
      <c r="M31" s="75"/>
      <c r="N31" s="11"/>
      <c r="O31" s="11"/>
      <c r="P31" s="77"/>
      <c r="Q31" s="77"/>
      <c r="R31" s="11"/>
      <c r="S31" s="11"/>
      <c r="T31" s="77"/>
      <c r="U31" s="77"/>
      <c r="V31" s="77"/>
      <c r="W31" s="11"/>
      <c r="X31" s="11"/>
      <c r="Y31" s="11"/>
      <c r="Z31" s="11"/>
      <c r="AA31" s="11"/>
      <c r="AB31" s="57"/>
      <c r="AC31" s="77"/>
      <c r="AD31" s="77"/>
      <c r="AE31" s="77"/>
      <c r="AF31" s="77"/>
      <c r="AG31" s="11"/>
      <c r="AH31" s="11"/>
      <c r="AI31" s="84"/>
      <c r="AJ31" s="84"/>
      <c r="AK31" s="84"/>
      <c r="AL31" s="86"/>
      <c r="AM31" s="86"/>
      <c r="AN31" s="86"/>
      <c r="AO31" s="77"/>
    </row>
    <row r="32" spans="1:41">
      <c r="A32" s="47" t="s">
        <v>68</v>
      </c>
      <c r="B32" s="12">
        <v>45343</v>
      </c>
      <c r="C32" s="11">
        <v>20</v>
      </c>
      <c r="D32" s="11">
        <f t="shared" si="0"/>
        <v>6000</v>
      </c>
      <c r="E32" s="11">
        <f t="shared" si="1"/>
        <v>300</v>
      </c>
      <c r="F32" s="11">
        <v>1500</v>
      </c>
      <c r="G32" s="48">
        <v>0.2</v>
      </c>
      <c r="H32" s="11"/>
      <c r="I32" s="11"/>
      <c r="J32" s="11"/>
      <c r="K32" s="11"/>
      <c r="L32" s="75"/>
      <c r="M32" s="75"/>
      <c r="N32" s="11"/>
      <c r="O32" s="11"/>
      <c r="P32" s="77"/>
      <c r="Q32" s="77"/>
      <c r="R32" s="11"/>
      <c r="S32" s="11"/>
      <c r="T32" s="77"/>
      <c r="U32" s="77"/>
      <c r="V32" s="77"/>
      <c r="W32" s="11"/>
      <c r="X32" s="11"/>
      <c r="Y32" s="11"/>
      <c r="Z32" s="11"/>
      <c r="AA32" s="11"/>
      <c r="AB32" s="57"/>
      <c r="AC32" s="77"/>
      <c r="AD32" s="77"/>
      <c r="AE32" s="77"/>
      <c r="AF32" s="77"/>
      <c r="AG32" s="11"/>
      <c r="AH32" s="11"/>
      <c r="AI32" s="84"/>
      <c r="AJ32" s="84"/>
      <c r="AK32" s="84"/>
      <c r="AL32" s="86"/>
      <c r="AM32" s="86"/>
      <c r="AN32" s="86"/>
      <c r="AO32" s="77"/>
    </row>
    <row r="33" spans="1:41">
      <c r="A33" s="47" t="s">
        <v>69</v>
      </c>
      <c r="B33" s="12">
        <v>45344</v>
      </c>
      <c r="C33" s="11">
        <v>20</v>
      </c>
      <c r="D33" s="11">
        <f t="shared" si="0"/>
        <v>8000</v>
      </c>
      <c r="E33" s="11">
        <f t="shared" si="1"/>
        <v>400</v>
      </c>
      <c r="F33" s="11">
        <v>2000</v>
      </c>
      <c r="G33" s="48">
        <v>0.2</v>
      </c>
      <c r="H33" s="11"/>
      <c r="I33" s="11"/>
      <c r="J33" s="11"/>
      <c r="K33" s="11"/>
      <c r="L33" s="75"/>
      <c r="M33" s="75"/>
      <c r="N33" s="11"/>
      <c r="O33" s="11"/>
      <c r="P33" s="77"/>
      <c r="Q33" s="77"/>
      <c r="R33" s="11"/>
      <c r="S33" s="11"/>
      <c r="T33" s="77"/>
      <c r="U33" s="77"/>
      <c r="V33" s="77"/>
      <c r="W33" s="11"/>
      <c r="X33" s="11"/>
      <c r="Y33" s="11"/>
      <c r="Z33" s="11"/>
      <c r="AA33" s="11"/>
      <c r="AB33" s="57"/>
      <c r="AC33" s="77"/>
      <c r="AD33" s="77"/>
      <c r="AE33" s="77"/>
      <c r="AF33" s="77"/>
      <c r="AG33" s="11"/>
      <c r="AH33" s="11"/>
      <c r="AI33" s="84"/>
      <c r="AJ33" s="84"/>
      <c r="AK33" s="84"/>
      <c r="AL33" s="86"/>
      <c r="AM33" s="86"/>
      <c r="AN33" s="86"/>
      <c r="AO33" s="77"/>
    </row>
    <row r="34" spans="1:41">
      <c r="A34" s="47" t="s">
        <v>70</v>
      </c>
      <c r="B34" s="12">
        <v>45345</v>
      </c>
      <c r="C34" s="11">
        <v>20</v>
      </c>
      <c r="D34" s="11">
        <f t="shared" si="0"/>
        <v>12000</v>
      </c>
      <c r="E34" s="11">
        <f t="shared" si="1"/>
        <v>600</v>
      </c>
      <c r="F34" s="11">
        <v>2000</v>
      </c>
      <c r="G34" s="48">
        <v>0.3</v>
      </c>
      <c r="H34" s="49"/>
      <c r="I34" s="11"/>
      <c r="J34" s="11"/>
      <c r="K34" s="11"/>
      <c r="L34" s="75"/>
      <c r="M34" s="75"/>
      <c r="N34" s="11"/>
      <c r="O34" s="11"/>
      <c r="P34" s="77"/>
      <c r="Q34" s="77"/>
      <c r="R34" s="11"/>
      <c r="S34" s="11"/>
      <c r="T34" s="77"/>
      <c r="U34" s="77"/>
      <c r="V34" s="77"/>
      <c r="W34" s="11"/>
      <c r="X34" s="11"/>
      <c r="Y34" s="11"/>
      <c r="Z34" s="11"/>
      <c r="AA34" s="11"/>
      <c r="AB34" s="57"/>
      <c r="AC34" s="77"/>
      <c r="AD34" s="77"/>
      <c r="AE34" s="77"/>
      <c r="AF34" s="77"/>
      <c r="AG34" s="11"/>
      <c r="AH34" s="11"/>
      <c r="AI34" s="84"/>
      <c r="AJ34" s="84"/>
      <c r="AK34" s="84"/>
      <c r="AL34" s="86"/>
      <c r="AM34" s="86"/>
      <c r="AN34" s="86"/>
      <c r="AO34" s="77"/>
    </row>
    <row r="35" spans="1:41">
      <c r="A35" s="50" t="s">
        <v>71</v>
      </c>
      <c r="B35" s="12"/>
      <c r="C35" s="51">
        <f>AVERAGE(C28:C34)</f>
        <v>20</v>
      </c>
      <c r="D35" s="52">
        <f>SUM(D28:D34)</f>
        <v>44000</v>
      </c>
      <c r="E35" s="53">
        <f>SUM(E28:E34)</f>
        <v>2200</v>
      </c>
      <c r="F35" s="54">
        <f>SUM(F28:F34)</f>
        <v>11500</v>
      </c>
      <c r="G35" s="55">
        <f>E35/F35</f>
        <v>0.191304347826087</v>
      </c>
      <c r="H35" s="11"/>
      <c r="I35" s="11"/>
      <c r="J35" s="11"/>
      <c r="K35" s="11"/>
      <c r="L35" s="75"/>
      <c r="M35" s="75"/>
      <c r="N35" s="11"/>
      <c r="O35" s="11"/>
      <c r="P35" s="77"/>
      <c r="Q35" s="77"/>
      <c r="R35" s="11"/>
      <c r="S35" s="11"/>
      <c r="T35" s="77"/>
      <c r="U35" s="77"/>
      <c r="V35" s="77"/>
      <c r="W35" s="11"/>
      <c r="X35" s="11"/>
      <c r="Y35" s="11"/>
      <c r="Z35" s="11"/>
      <c r="AA35" s="11"/>
      <c r="AB35" s="57"/>
      <c r="AC35" s="77"/>
      <c r="AD35" s="77"/>
      <c r="AE35" s="77"/>
      <c r="AF35" s="77"/>
      <c r="AG35" s="11"/>
      <c r="AH35" s="11"/>
      <c r="AI35" s="84"/>
      <c r="AJ35" s="84"/>
      <c r="AK35" s="84"/>
      <c r="AL35" s="86"/>
      <c r="AM35" s="86"/>
      <c r="AN35" s="86"/>
      <c r="AO35" s="77"/>
    </row>
    <row r="36" spans="1:41">
      <c r="A36" s="47" t="s">
        <v>57</v>
      </c>
      <c r="B36" s="12">
        <v>45346</v>
      </c>
      <c r="C36" s="11">
        <v>20</v>
      </c>
      <c r="D36" s="11">
        <v>2000</v>
      </c>
      <c r="E36" s="11">
        <v>100</v>
      </c>
      <c r="F36" s="11">
        <v>1000</v>
      </c>
      <c r="G36" s="48">
        <f>E36/F36</f>
        <v>0.1</v>
      </c>
      <c r="H36" s="11"/>
      <c r="I36" s="11"/>
      <c r="J36" s="11"/>
      <c r="K36" s="11"/>
      <c r="L36" s="75"/>
      <c r="M36" s="75"/>
      <c r="N36" s="11"/>
      <c r="O36" s="11"/>
      <c r="P36" s="77"/>
      <c r="Q36" s="77"/>
      <c r="R36" s="11"/>
      <c r="S36" s="11"/>
      <c r="T36" s="77"/>
      <c r="U36" s="77"/>
      <c r="V36" s="77"/>
      <c r="W36" s="11"/>
      <c r="X36" s="11"/>
      <c r="Y36" s="11"/>
      <c r="Z36" s="11"/>
      <c r="AA36" s="11"/>
      <c r="AB36" s="57"/>
      <c r="AC36" s="77"/>
      <c r="AD36" s="77"/>
      <c r="AE36" s="77"/>
      <c r="AF36" s="77"/>
      <c r="AG36" s="11"/>
      <c r="AH36" s="11"/>
      <c r="AI36" s="84"/>
      <c r="AJ36" s="84"/>
      <c r="AK36" s="84"/>
      <c r="AL36" s="86"/>
      <c r="AM36" s="86"/>
      <c r="AN36" s="86"/>
      <c r="AO36" s="77"/>
    </row>
    <row r="37" spans="1:41">
      <c r="A37" s="47" t="s">
        <v>65</v>
      </c>
      <c r="B37" s="12">
        <v>45347</v>
      </c>
      <c r="C37" s="11">
        <v>20</v>
      </c>
      <c r="D37" s="11">
        <v>4000</v>
      </c>
      <c r="E37" s="11">
        <v>200</v>
      </c>
      <c r="F37" s="11">
        <v>1000</v>
      </c>
      <c r="G37" s="48">
        <f t="shared" ref="G37:G43" si="2">E37/F37</f>
        <v>0.2</v>
      </c>
      <c r="H37" s="11"/>
      <c r="I37" s="11"/>
      <c r="J37" s="11"/>
      <c r="K37" s="11"/>
      <c r="L37" s="75"/>
      <c r="M37" s="75"/>
      <c r="N37" s="11"/>
      <c r="O37" s="11"/>
      <c r="P37" s="77"/>
      <c r="Q37" s="77"/>
      <c r="R37" s="11"/>
      <c r="S37" s="11"/>
      <c r="T37" s="77"/>
      <c r="U37" s="77"/>
      <c r="V37" s="77"/>
      <c r="W37" s="11"/>
      <c r="X37" s="11"/>
      <c r="Y37" s="11"/>
      <c r="Z37" s="11"/>
      <c r="AA37" s="11"/>
      <c r="AB37" s="57"/>
      <c r="AC37" s="77"/>
      <c r="AD37" s="77"/>
      <c r="AE37" s="77"/>
      <c r="AF37" s="77"/>
      <c r="AG37" s="11"/>
      <c r="AH37" s="11"/>
      <c r="AI37" s="84"/>
      <c r="AJ37" s="84"/>
      <c r="AK37" s="84"/>
      <c r="AL37" s="86"/>
      <c r="AM37" s="86"/>
      <c r="AN37" s="86"/>
      <c r="AO37" s="77"/>
    </row>
    <row r="38" spans="1:41">
      <c r="A38" s="47" t="s">
        <v>66</v>
      </c>
      <c r="B38" s="12">
        <v>45348</v>
      </c>
      <c r="C38" s="11">
        <v>20</v>
      </c>
      <c r="D38" s="11">
        <v>6000</v>
      </c>
      <c r="E38" s="11">
        <v>300</v>
      </c>
      <c r="F38" s="11">
        <v>1000</v>
      </c>
      <c r="G38" s="48">
        <f t="shared" si="2"/>
        <v>0.3</v>
      </c>
      <c r="H38" s="11"/>
      <c r="I38" s="11"/>
      <c r="J38" s="11"/>
      <c r="K38" s="11"/>
      <c r="L38" s="75"/>
      <c r="M38" s="75"/>
      <c r="N38" s="11"/>
      <c r="O38" s="11"/>
      <c r="P38" s="77"/>
      <c r="Q38" s="77"/>
      <c r="R38" s="11"/>
      <c r="S38" s="11"/>
      <c r="T38" s="77"/>
      <c r="U38" s="77"/>
      <c r="V38" s="77"/>
      <c r="W38" s="11"/>
      <c r="X38" s="11"/>
      <c r="Y38" s="11"/>
      <c r="Z38" s="11"/>
      <c r="AA38" s="11"/>
      <c r="AB38" s="57"/>
      <c r="AC38" s="77"/>
      <c r="AD38" s="77"/>
      <c r="AE38" s="77"/>
      <c r="AF38" s="77"/>
      <c r="AG38" s="11"/>
      <c r="AH38" s="11"/>
      <c r="AI38" s="84"/>
      <c r="AJ38" s="84"/>
      <c r="AK38" s="84"/>
      <c r="AL38" s="86"/>
      <c r="AM38" s="86"/>
      <c r="AN38" s="86"/>
      <c r="AO38" s="77"/>
    </row>
    <row r="39" spans="1:41">
      <c r="A39" s="47" t="s">
        <v>67</v>
      </c>
      <c r="B39" s="12">
        <v>45349</v>
      </c>
      <c r="C39" s="11">
        <v>20</v>
      </c>
      <c r="D39" s="11">
        <v>6000</v>
      </c>
      <c r="E39" s="11">
        <v>300</v>
      </c>
      <c r="F39" s="11">
        <v>3000</v>
      </c>
      <c r="G39" s="48">
        <f t="shared" si="2"/>
        <v>0.1</v>
      </c>
      <c r="H39" s="11"/>
      <c r="I39" s="11"/>
      <c r="J39" s="11"/>
      <c r="K39" s="11"/>
      <c r="L39" s="75"/>
      <c r="M39" s="75"/>
      <c r="N39" s="11"/>
      <c r="O39" s="11"/>
      <c r="P39" s="77"/>
      <c r="Q39" s="77"/>
      <c r="R39" s="11"/>
      <c r="S39" s="11"/>
      <c r="T39" s="77"/>
      <c r="U39" s="77"/>
      <c r="V39" s="77"/>
      <c r="W39" s="11"/>
      <c r="X39" s="11"/>
      <c r="Y39" s="11"/>
      <c r="Z39" s="11"/>
      <c r="AA39" s="11"/>
      <c r="AB39" s="57"/>
      <c r="AC39" s="77"/>
      <c r="AD39" s="77"/>
      <c r="AE39" s="77"/>
      <c r="AF39" s="77"/>
      <c r="AG39" s="11"/>
      <c r="AH39" s="11"/>
      <c r="AI39" s="84"/>
      <c r="AJ39" s="84"/>
      <c r="AK39" s="84"/>
      <c r="AL39" s="86"/>
      <c r="AM39" s="86"/>
      <c r="AN39" s="86"/>
      <c r="AO39" s="77"/>
    </row>
    <row r="40" spans="1:41">
      <c r="A40" s="47" t="s">
        <v>68</v>
      </c>
      <c r="B40" s="12">
        <v>45350</v>
      </c>
      <c r="C40" s="11">
        <v>30</v>
      </c>
      <c r="D40" s="11">
        <v>9000</v>
      </c>
      <c r="E40" s="11">
        <v>300</v>
      </c>
      <c r="F40" s="11">
        <v>1500</v>
      </c>
      <c r="G40" s="48">
        <f t="shared" si="2"/>
        <v>0.2</v>
      </c>
      <c r="H40" s="11"/>
      <c r="I40" s="11"/>
      <c r="J40" s="11"/>
      <c r="K40" s="11"/>
      <c r="L40" s="75"/>
      <c r="M40" s="75"/>
      <c r="N40" s="11"/>
      <c r="O40" s="11"/>
      <c r="P40" s="77"/>
      <c r="Q40" s="77"/>
      <c r="R40" s="11"/>
      <c r="S40" s="11"/>
      <c r="T40" s="77"/>
      <c r="U40" s="77"/>
      <c r="V40" s="77"/>
      <c r="W40" s="11"/>
      <c r="X40" s="11"/>
      <c r="Y40" s="11"/>
      <c r="Z40" s="11"/>
      <c r="AA40" s="11"/>
      <c r="AB40" s="57"/>
      <c r="AC40" s="77"/>
      <c r="AD40" s="77"/>
      <c r="AE40" s="77"/>
      <c r="AF40" s="77"/>
      <c r="AG40" s="11"/>
      <c r="AH40" s="11"/>
      <c r="AI40" s="84"/>
      <c r="AJ40" s="84"/>
      <c r="AK40" s="84"/>
      <c r="AL40" s="86"/>
      <c r="AM40" s="86"/>
      <c r="AN40" s="86"/>
      <c r="AO40" s="77"/>
    </row>
    <row r="41" spans="1:41">
      <c r="A41" s="47" t="s">
        <v>69</v>
      </c>
      <c r="B41" s="12">
        <v>45352</v>
      </c>
      <c r="C41" s="11">
        <v>20</v>
      </c>
      <c r="D41" s="11">
        <v>8000</v>
      </c>
      <c r="E41" s="11">
        <v>400</v>
      </c>
      <c r="F41" s="11">
        <v>2000</v>
      </c>
      <c r="G41" s="48">
        <f t="shared" si="2"/>
        <v>0.2</v>
      </c>
      <c r="H41" s="11"/>
      <c r="I41" s="11"/>
      <c r="J41" s="11"/>
      <c r="K41" s="11"/>
      <c r="L41" s="75"/>
      <c r="M41" s="75"/>
      <c r="N41" s="11"/>
      <c r="O41" s="11"/>
      <c r="P41" s="77"/>
      <c r="Q41" s="77"/>
      <c r="R41" s="11"/>
      <c r="S41" s="11"/>
      <c r="T41" s="77"/>
      <c r="U41" s="77"/>
      <c r="V41" s="77"/>
      <c r="W41" s="11"/>
      <c r="X41" s="11"/>
      <c r="Y41" s="11"/>
      <c r="Z41" s="11"/>
      <c r="AA41" s="11"/>
      <c r="AB41" s="57"/>
      <c r="AC41" s="77"/>
      <c r="AD41" s="77"/>
      <c r="AE41" s="77"/>
      <c r="AF41" s="77"/>
      <c r="AG41" s="11"/>
      <c r="AH41" s="11"/>
      <c r="AI41" s="84"/>
      <c r="AJ41" s="84"/>
      <c r="AK41" s="84"/>
      <c r="AL41" s="86"/>
      <c r="AM41" s="86"/>
      <c r="AN41" s="86"/>
      <c r="AO41" s="77"/>
    </row>
    <row r="42" spans="1:41">
      <c r="A42" s="47" t="s">
        <v>70</v>
      </c>
      <c r="B42" s="12">
        <v>45353</v>
      </c>
      <c r="C42" s="11">
        <v>20</v>
      </c>
      <c r="D42" s="11">
        <v>10000</v>
      </c>
      <c r="E42" s="11">
        <v>500</v>
      </c>
      <c r="F42" s="11">
        <v>1500</v>
      </c>
      <c r="G42" s="48">
        <f t="shared" si="2"/>
        <v>0.333333333333333</v>
      </c>
      <c r="H42" s="11"/>
      <c r="I42" s="11"/>
      <c r="J42" s="11"/>
      <c r="K42" s="11"/>
      <c r="L42" s="75"/>
      <c r="M42" s="75"/>
      <c r="N42" s="11"/>
      <c r="O42" s="11"/>
      <c r="P42" s="77"/>
      <c r="Q42" s="77"/>
      <c r="R42" s="11"/>
      <c r="S42" s="11"/>
      <c r="T42" s="77"/>
      <c r="U42" s="77"/>
      <c r="V42" s="77"/>
      <c r="W42" s="11"/>
      <c r="X42" s="11"/>
      <c r="Y42" s="11"/>
      <c r="Z42" s="11"/>
      <c r="AA42" s="11"/>
      <c r="AB42" s="57"/>
      <c r="AC42" s="77"/>
      <c r="AD42" s="77"/>
      <c r="AE42" s="77"/>
      <c r="AF42" s="77"/>
      <c r="AG42" s="11"/>
      <c r="AH42" s="11"/>
      <c r="AI42" s="84"/>
      <c r="AJ42" s="84"/>
      <c r="AK42" s="84"/>
      <c r="AL42" s="86"/>
      <c r="AM42" s="86"/>
      <c r="AN42" s="86"/>
      <c r="AO42" s="77"/>
    </row>
    <row r="43" spans="1:41">
      <c r="A43" s="50" t="s">
        <v>72</v>
      </c>
      <c r="B43" s="12"/>
      <c r="C43" s="51">
        <f>AVERAGE(C36:C42)</f>
        <v>21.4285714285714</v>
      </c>
      <c r="D43" s="52">
        <f>SUM(D36:D42)</f>
        <v>45000</v>
      </c>
      <c r="E43" s="53">
        <f>SUM(E36:E42)</f>
        <v>2100</v>
      </c>
      <c r="F43" s="54">
        <f>SUM(F36:F42)</f>
        <v>11000</v>
      </c>
      <c r="G43" s="56">
        <f t="shared" si="2"/>
        <v>0.190909090909091</v>
      </c>
      <c r="H43" s="11"/>
      <c r="I43" s="11"/>
      <c r="J43" s="11"/>
      <c r="K43" s="11"/>
      <c r="L43" s="75"/>
      <c r="M43" s="75"/>
      <c r="N43" s="11"/>
      <c r="O43" s="11"/>
      <c r="P43" s="77"/>
      <c r="Q43" s="77"/>
      <c r="R43" s="11"/>
      <c r="S43" s="11"/>
      <c r="T43" s="77"/>
      <c r="U43" s="77"/>
      <c r="V43" s="77"/>
      <c r="W43" s="11"/>
      <c r="X43" s="11"/>
      <c r="Y43" s="11"/>
      <c r="Z43" s="11"/>
      <c r="AA43" s="11"/>
      <c r="AB43" s="57"/>
      <c r="AC43" s="77"/>
      <c r="AD43" s="77"/>
      <c r="AE43" s="77"/>
      <c r="AF43" s="77"/>
      <c r="AG43" s="11"/>
      <c r="AH43" s="11"/>
      <c r="AI43" s="84"/>
      <c r="AJ43" s="84"/>
      <c r="AK43" s="84"/>
      <c r="AL43" s="86"/>
      <c r="AM43" s="86"/>
      <c r="AN43" s="86"/>
      <c r="AO43" s="77"/>
    </row>
    <row r="44" spans="1:41">
      <c r="A44" s="50" t="s">
        <v>73</v>
      </c>
      <c r="B44" s="12"/>
      <c r="C44" s="57">
        <f>(C43-C35)/C35</f>
        <v>0.0714285714285714</v>
      </c>
      <c r="D44" s="57">
        <f>(D43-D35)/D35</f>
        <v>0.0227272727272727</v>
      </c>
      <c r="E44" s="57">
        <f>(E43-E35)/E35</f>
        <v>-0.0454545454545455</v>
      </c>
      <c r="F44" s="57">
        <f>(F43-F35)/F35</f>
        <v>-0.0434782608695652</v>
      </c>
      <c r="G44" s="48">
        <f>(G43-G35)/G35</f>
        <v>-0.00206611570247933</v>
      </c>
      <c r="H44" s="11"/>
      <c r="I44" s="11"/>
      <c r="J44" s="11"/>
      <c r="K44" s="11"/>
      <c r="L44" s="75"/>
      <c r="M44" s="75"/>
      <c r="N44" s="11"/>
      <c r="O44" s="11"/>
      <c r="P44" s="77"/>
      <c r="Q44" s="77"/>
      <c r="R44" s="11"/>
      <c r="S44" s="11"/>
      <c r="T44" s="77"/>
      <c r="U44" s="77"/>
      <c r="V44" s="77"/>
      <c r="W44" s="11"/>
      <c r="X44" s="11"/>
      <c r="Y44" s="11"/>
      <c r="Z44" s="11"/>
      <c r="AA44" s="11"/>
      <c r="AB44" s="57"/>
      <c r="AC44" s="77"/>
      <c r="AD44" s="77"/>
      <c r="AE44" s="77"/>
      <c r="AF44" s="77"/>
      <c r="AG44" s="11"/>
      <c r="AH44" s="11"/>
      <c r="AI44" s="84"/>
      <c r="AJ44" s="84"/>
      <c r="AK44" s="84"/>
      <c r="AL44" s="86"/>
      <c r="AM44" s="86"/>
      <c r="AN44" s="86"/>
      <c r="AO44" s="77"/>
    </row>
    <row r="45" spans="7:7">
      <c r="G45" s="58"/>
    </row>
    <row r="46" spans="7:7">
      <c r="G46" s="58"/>
    </row>
    <row r="47" spans="7:7">
      <c r="G47" s="58"/>
    </row>
    <row r="48" spans="1:7">
      <c r="A48" s="8" t="s">
        <v>74</v>
      </c>
      <c r="B48" s="8"/>
      <c r="C48" s="8"/>
      <c r="D48" s="8"/>
      <c r="G48" s="58"/>
    </row>
    <row r="49" spans="7:7">
      <c r="G49" s="58"/>
    </row>
    <row r="50" spans="7:7">
      <c r="G50" s="58"/>
    </row>
    <row r="51" spans="7:7">
      <c r="G51" s="58"/>
    </row>
    <row r="52" spans="7:7">
      <c r="G52" s="58"/>
    </row>
    <row r="65" ht="15" spans="1:4">
      <c r="A65" s="8" t="s">
        <v>75</v>
      </c>
      <c r="B65" s="8"/>
      <c r="C65" s="8"/>
      <c r="D65" s="8"/>
    </row>
    <row r="66" ht="17.25" spans="1:1">
      <c r="A66" s="88" t="s">
        <v>76</v>
      </c>
    </row>
    <row r="67" ht="17.25" spans="1:1">
      <c r="A67" s="88" t="s">
        <v>77</v>
      </c>
    </row>
    <row r="69" ht="15" spans="1:4">
      <c r="A69" s="8" t="s">
        <v>78</v>
      </c>
      <c r="B69" s="8"/>
      <c r="C69" s="8"/>
      <c r="D69" s="8"/>
    </row>
    <row r="70" ht="82.5" spans="1:12">
      <c r="A70" s="50" t="s">
        <v>79</v>
      </c>
      <c r="B70" s="77" t="s">
        <v>80</v>
      </c>
      <c r="C70" s="89" t="s">
        <v>81</v>
      </c>
      <c r="D70" s="89" t="s">
        <v>82</v>
      </c>
      <c r="E70" s="90" t="s">
        <v>83</v>
      </c>
      <c r="F70" s="11" t="s">
        <v>84</v>
      </c>
      <c r="G70" s="11" t="s">
        <v>85</v>
      </c>
      <c r="H70" s="77" t="s">
        <v>86</v>
      </c>
      <c r="K70" s="91"/>
      <c r="L70" s="91"/>
    </row>
    <row r="71" spans="1:12">
      <c r="A71" s="50" t="s">
        <v>71</v>
      </c>
      <c r="B71" s="50"/>
      <c r="C71" s="12"/>
      <c r="D71" s="12"/>
      <c r="E71" s="11"/>
      <c r="F71" s="11"/>
      <c r="G71" s="11"/>
      <c r="H71" s="11"/>
      <c r="K71" s="91"/>
      <c r="L71" s="91"/>
    </row>
    <row r="72" spans="1:12">
      <c r="A72" s="50" t="s">
        <v>72</v>
      </c>
      <c r="B72" s="50"/>
      <c r="C72" s="12"/>
      <c r="D72" s="12"/>
      <c r="E72" s="11"/>
      <c r="F72" s="11"/>
      <c r="G72" s="11"/>
      <c r="H72" s="11"/>
      <c r="K72" s="91"/>
      <c r="L72" s="91"/>
    </row>
    <row r="73" spans="1:12">
      <c r="A73" s="50" t="s">
        <v>87</v>
      </c>
      <c r="B73" s="50"/>
      <c r="C73" s="12"/>
      <c r="D73" s="12"/>
      <c r="E73" s="11"/>
      <c r="F73" s="11"/>
      <c r="G73" s="11"/>
      <c r="H73" s="11"/>
      <c r="K73" s="91"/>
      <c r="L73" s="91"/>
    </row>
    <row r="74" spans="1:12">
      <c r="A74" s="50" t="s">
        <v>88</v>
      </c>
      <c r="B74" s="50"/>
      <c r="C74" s="12"/>
      <c r="D74" s="12"/>
      <c r="E74" s="11"/>
      <c r="F74" s="11"/>
      <c r="G74" s="11"/>
      <c r="H74" s="11"/>
      <c r="K74" s="91"/>
      <c r="L74" s="91"/>
    </row>
    <row r="75" spans="1:12">
      <c r="A75" s="50" t="s">
        <v>89</v>
      </c>
      <c r="B75" s="50"/>
      <c r="C75" s="12"/>
      <c r="D75" s="12"/>
      <c r="E75" s="11"/>
      <c r="F75" s="11"/>
      <c r="G75" s="11"/>
      <c r="H75" s="11"/>
      <c r="K75" s="91"/>
      <c r="L75" s="91"/>
    </row>
    <row r="76" spans="1:12">
      <c r="A76" s="50" t="s">
        <v>90</v>
      </c>
      <c r="B76" s="50"/>
      <c r="C76" s="12"/>
      <c r="D76" s="12"/>
      <c r="E76" s="11"/>
      <c r="F76" s="11"/>
      <c r="G76" s="11"/>
      <c r="H76" s="11"/>
      <c r="K76" s="91"/>
      <c r="L76" s="91"/>
    </row>
    <row r="77" spans="1:12">
      <c r="A77" s="50" t="s">
        <v>91</v>
      </c>
      <c r="B77" s="50"/>
      <c r="C77" s="12"/>
      <c r="D77" s="12"/>
      <c r="E77" s="11"/>
      <c r="F77" s="11"/>
      <c r="G77" s="11"/>
      <c r="H77" s="11"/>
      <c r="K77" s="91"/>
      <c r="L77" s="91"/>
    </row>
    <row r="78" spans="7:12">
      <c r="G78" s="4"/>
      <c r="K78" s="91"/>
      <c r="L78" s="91"/>
    </row>
    <row r="79" spans="7:12">
      <c r="G79" s="4"/>
      <c r="K79" s="91"/>
      <c r="L79" s="91"/>
    </row>
    <row r="80" spans="7:12">
      <c r="G80" s="4"/>
      <c r="K80" s="91"/>
      <c r="L80" s="91"/>
    </row>
  </sheetData>
  <mergeCells count="41">
    <mergeCell ref="A2:D2"/>
    <mergeCell ref="A9:D9"/>
    <mergeCell ref="B10:C10"/>
    <mergeCell ref="D10:E10"/>
    <mergeCell ref="F10:H10"/>
    <mergeCell ref="I10:K10"/>
    <mergeCell ref="L10:N10"/>
    <mergeCell ref="B17:C17"/>
    <mergeCell ref="A24:D24"/>
    <mergeCell ref="A26:B26"/>
    <mergeCell ref="C26:H26"/>
    <mergeCell ref="I26:M26"/>
    <mergeCell ref="N26:Q26"/>
    <mergeCell ref="R26:V26"/>
    <mergeCell ref="W26:AB26"/>
    <mergeCell ref="AC26:AE26"/>
    <mergeCell ref="AF26:AK26"/>
    <mergeCell ref="AL26:AN26"/>
    <mergeCell ref="AL27:AN27"/>
    <mergeCell ref="AL28:AN28"/>
    <mergeCell ref="AL29:AN29"/>
    <mergeCell ref="AL30:AN30"/>
    <mergeCell ref="AL31:AN31"/>
    <mergeCell ref="AL32:AN32"/>
    <mergeCell ref="AL33:AN33"/>
    <mergeCell ref="AL34:AN34"/>
    <mergeCell ref="AL35:AN35"/>
    <mergeCell ref="AL36:AN36"/>
    <mergeCell ref="AL37:AN37"/>
    <mergeCell ref="AL38:AN38"/>
    <mergeCell ref="AL39:AN39"/>
    <mergeCell ref="AL40:AN40"/>
    <mergeCell ref="AL41:AN41"/>
    <mergeCell ref="AL42:AN42"/>
    <mergeCell ref="AL43:AN43"/>
    <mergeCell ref="AL44:AN44"/>
    <mergeCell ref="A48:D48"/>
    <mergeCell ref="A65:D65"/>
    <mergeCell ref="A69:D69"/>
    <mergeCell ref="A10:A16"/>
    <mergeCell ref="A17:A22"/>
  </mergeCells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���ech�e�^�ech0qQ�N�[a��Q�[{|�Wh��
</file>

<file path=customXml/item3.xml>��
</file>

<file path=customXml/itemProps1.xml><?xml version="1.0" encoding="utf-8"?>
<ds:datastoreItem xmlns:ds="http://schemas.openxmlformats.org/officeDocument/2006/customXml" ds:itemID="{2E97B2FD-74C9-41B8-B620-3A0F6BBFB6E9}">
  <ds:schemaRefs/>
</ds:datastoreItem>
</file>

<file path=customXml/itemProps2.xml><?xml version="1.0" encoding="utf-8"?>
<ds:datastoreItem xmlns:ds="http://schemas.openxmlformats.org/officeDocument/2006/customXml" ds:itemID="{23F06479-8084-4753-9ED0-F6FE760D3C04}">
  <ds:schemaRefs/>
</ds:datastoreItem>
</file>

<file path=customXml/itemProps3.xml><?xml version="1.0" encoding="utf-8"?>
<ds:datastoreItem xmlns:ds="http://schemas.openxmlformats.org/officeDocument/2006/customXml" ds:itemID="{07D45404-A290-4DD5-A5A1-368F73A622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店铺日常运营销售日报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</dc:creator>
  <cp:lastModifiedBy>家国</cp:lastModifiedBy>
  <dcterms:created xsi:type="dcterms:W3CDTF">2019-10-21T10:51:00Z</dcterms:created>
  <dcterms:modified xsi:type="dcterms:W3CDTF">2024-03-14T01:42:12Z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ContentTypeId">
    <vt:lpwstr>0x010100F25F8608AEA6F6499EEA17A0531C0198</vt:lpwstr>
  </property>
  <property fmtid="{D5CDD505-2E9C-101B-9397-08002B2CF9AE}" pid="4" name="ICV">
    <vt:lpwstr>39428A86AC12415681EE1AB385520562</vt:lpwstr>
  </property>
</Properties>
</file>