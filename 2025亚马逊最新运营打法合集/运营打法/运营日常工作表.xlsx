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activeTab="1"/>
  </bookViews>
  <sheets>
    <sheet name="每日工作安排" sheetId="2" r:id="rId1"/>
    <sheet name="每日数据统计" sheetId="1" r:id="rId2"/>
    <sheet name="前台评论记录" sheetId="3" r:id="rId3"/>
    <sheet name="关键词记录" sheetId="4" r:id="rId4"/>
    <sheet name="竞品记录" sheetId="5" r:id="rId5"/>
    <sheet name="广告位置数据" sheetId="6" r:id="rId6"/>
    <sheet name="测评记录"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<sst xmlns="http://schemas.openxmlformats.org/spreadsheetml/2006/main" count="291" uniqueCount="192">
  <si>
    <t>时间</t>
  </si>
  <si>
    <t>工作任务</t>
  </si>
  <si>
    <t>工作任务2</t>
  </si>
  <si>
    <t>完成情况</t>
  </si>
  <si>
    <t>回复站内邮件</t>
  </si>
  <si>
    <t>查看业绩通知,买家之声</t>
  </si>
  <si>
    <t>查看自己listing排名，review，QA，购物车等情况</t>
  </si>
  <si>
    <t>跟踪以前安排的测评的上评情况，QA和心愿单</t>
  </si>
  <si>
    <t>查看昨日订单和今天订单</t>
  </si>
  <si>
    <t>查看邮件，处理客户问题</t>
  </si>
  <si>
    <t>上午安排</t>
  </si>
  <si>
    <t>记录listing关键词排名，测评，QA，心愿单安排</t>
  </si>
  <si>
    <t>查看秒杀报名，coupon，促销设置时间等</t>
  </si>
  <si>
    <t>核算产品利润空间设置促销，提升转化</t>
  </si>
  <si>
    <t>记录&amp;分析竞争对手情况</t>
  </si>
  <si>
    <t>进去竞品店铺观察店铺产品类，借鉴优质listing板块优化链接</t>
  </si>
  <si>
    <t>下午安排</t>
  </si>
  <si>
    <t>查看CPC效果情况</t>
  </si>
  <si>
    <t>调整分析优化CPC广告，下载数据报表分析</t>
  </si>
  <si>
    <t>登记新增测评记录</t>
  </si>
  <si>
    <t>有差评的话就差评处理，查找差评邮箱安排</t>
  </si>
  <si>
    <t>论坛学习时间</t>
  </si>
  <si>
    <t>数据登记</t>
  </si>
  <si>
    <t>对比数据，思考销量上升/下降的原因</t>
  </si>
  <si>
    <t>广告学习，测试广告效果</t>
  </si>
  <si>
    <t>每月一次</t>
  </si>
  <si>
    <t>下载后台的库存报告数据，库龄大的做滞销处理</t>
  </si>
  <si>
    <t>每周一次</t>
  </si>
  <si>
    <t>做差评汇总表</t>
  </si>
  <si>
    <t>让供应商尽可能改善产品</t>
  </si>
  <si>
    <t>刷单成本统计</t>
  </si>
  <si>
    <t>分析产品利润</t>
  </si>
  <si>
    <t>后台下载促销报表，没用的促销及时改进</t>
  </si>
  <si>
    <t>下班前</t>
  </si>
  <si>
    <t>再次查看+回复邮件</t>
  </si>
  <si>
    <t>Gumgood000@outlook.com</t>
  </si>
  <si>
    <t>星期</t>
  </si>
  <si>
    <t>店铺信息</t>
  </si>
  <si>
    <t>基础数据</t>
  </si>
  <si>
    <t>排名</t>
  </si>
  <si>
    <t>运营动作</t>
  </si>
  <si>
    <t>销售数据</t>
  </si>
  <si>
    <t>广告数据</t>
  </si>
  <si>
    <t>退款+不良品</t>
  </si>
  <si>
    <t>Date</t>
  </si>
  <si>
    <t>当前库存</t>
  </si>
  <si>
    <t>review数量</t>
  </si>
  <si>
    <t>星级</t>
  </si>
  <si>
    <t>QA数量</t>
  </si>
  <si>
    <t>小类目</t>
  </si>
  <si>
    <t>大类目</t>
  </si>
  <si>
    <t>操作</t>
  </si>
  <si>
    <t>访问量</t>
  </si>
  <si>
    <t>浏览量</t>
  </si>
  <si>
    <t>转化率</t>
  </si>
  <si>
    <t>总订单</t>
  </si>
  <si>
    <t>测评</t>
  </si>
  <si>
    <t>自然订单</t>
  </si>
  <si>
    <t>销售额</t>
  </si>
  <si>
    <t>buy box</t>
  </si>
  <si>
    <t>曝光量</t>
  </si>
  <si>
    <t>点击次数</t>
  </si>
  <si>
    <t>点击率</t>
  </si>
  <si>
    <t>广告订单</t>
  </si>
  <si>
    <t>总花费</t>
  </si>
  <si>
    <t>广告销售额</t>
  </si>
  <si>
    <t>Acos</t>
  </si>
  <si>
    <t>广告订单占比</t>
  </si>
  <si>
    <t>退款数量</t>
  </si>
  <si>
    <t>星期一</t>
  </si>
  <si>
    <t>counpon</t>
  </si>
  <si>
    <t>星期二</t>
  </si>
  <si>
    <t>星期三</t>
  </si>
  <si>
    <t>星期四</t>
  </si>
  <si>
    <t>星期五</t>
  </si>
  <si>
    <t>星期六</t>
  </si>
  <si>
    <t>星期日</t>
  </si>
  <si>
    <t>总计</t>
  </si>
  <si>
    <t>秒杀+counpon</t>
  </si>
  <si>
    <t>秒杀</t>
  </si>
  <si>
    <t>产品</t>
  </si>
  <si>
    <t>评论日期</t>
  </si>
  <si>
    <t>订单号</t>
  </si>
  <si>
    <t>评论人</t>
  </si>
  <si>
    <t>评论人的profile</t>
  </si>
  <si>
    <t>评论链接</t>
  </si>
  <si>
    <t>评论标题</t>
  </si>
  <si>
    <t>评论内容</t>
  </si>
  <si>
    <t>获取渠道</t>
  </si>
  <si>
    <t>截图</t>
  </si>
  <si>
    <t>备注</t>
  </si>
  <si>
    <t>红色为差评
灰色为删评</t>
  </si>
  <si>
    <t>F. Khawaja</t>
  </si>
  <si>
    <t>https://www.amazon.de/gp/profile/amzn1.account.AENCPFO7WZAWYHT7MAGZRTVV5A6A/ref=cm_cr_getr_d_gw_btm?ie=UTF8</t>
  </si>
  <si>
    <t>https://www.amazon.de/gp/customer-reviews/R2SLGLABFSANH0/ref=cm_cr_getr_d_rvw_ttl?ie=UTF8&amp;ASIN=B08K947PVT</t>
  </si>
  <si>
    <t>Tolle tragbare Überwachungskamera</t>
  </si>
  <si>
    <t>Wunderbares Design und robuste Build qualität.
Echt einfach zu bedienen. Aufgrund der Bedienungsanleitung war die Installation sehr einfach. Ich konnte es mit meinem Smartphone verbinden und innerhalb von 2 Minuten nach dem Auspacken Live-Videos darauf ansehen.
Die Bildqualität war sowohl bei Tag als auch bei Nacht in FHD erstaunlich klar und scharf.
Das Gerät wurde schnell aufgeladen und die Akkulaufzeit ist auch sehr gut.
Kurz gesagt, eine sehr gute und kleine tragbare Kamera. Damit kann ich mein Kleinkind im Auge behalten, wenn ich von einem anderen Raum aus arbeite. A Must Have!!!</t>
  </si>
  <si>
    <t>uncinate</t>
  </si>
  <si>
    <t>https://www.amazon.de/gp/profile/amzn1.account.AEB2J7KB23O54JYJMWWKPFQBVUJA/ref=cm_cr_othr_d_gw_tr?ie=UTF8</t>
  </si>
  <si>
    <t>https://www.amazon.de/gp/customer-reviews/R2PDCLHT3O49N6/ref=cm_cr_othr_d_rvw_ttl?ie=UTF8&amp;ASIN=B08K947PVT</t>
  </si>
  <si>
    <t>Kleiner unauffälliger Würfel. Ideal für "versteckte Kamera"</t>
  </si>
  <si>
    <t>Zuerst: Auf Amazon finden sich zahlreiche fast gleich aussehende Produkte. Ich denke nicht, dass die sich viel nehmen. (Preislich liegen die auch alle gleich auf)
Ich hab mich für dieses entschieden, weil es zu dem Zeitpunkt im Angebot war. Lieferung schnell und gut verpackt.
Wenn man über die Übersetzungsfehler der Anleitung hinwegsieht ging die Einrichtung schnell. (Der Bestätigungscode landete bei mir im SPAM-Ordner)
Die Bildqualität ist recht gut für meine Erwartung. Ich habe die Kamera am Strom angeschlossen positioniert. Sie meldet regelmäßig Auffälligkeiten.
Die iOS App funktioniert mit ihren Benachrichtigungen zuverlässig. Mein Huawei verschluckt die Meldung manchmal
Zusammenfassend gutes, unauffälliges Produkt.</t>
  </si>
  <si>
    <t>M.R.</t>
  </si>
  <si>
    <t>https://www.amazon.de/gp/profile/amzn1.account.AGE3GYQRBBXH52SACPZ4Z6VO3DEA/ref=cm_cr_othr_d_gw_tr?ie=UTF8</t>
  </si>
  <si>
    <t>https://www.amazon.de/gp/customer-reviews/R770C5M709NX9/ref=cm_cr_othr_d_rvw_ttl?ie=UTF8&amp;ASIN=B08K947PVT</t>
  </si>
  <si>
    <t>Super kleine Kamera</t>
  </si>
  <si>
    <t>Benötigt wird die Kamera zur Überwachung meines 3D Druckers. Die Kamera ist schön klein und lässt sich im Handumdrehen einrichten. Die Umschaltung in den Nachtmodus funktioniert zügig. Die Aufnahme kann in eine Cloud erfolgen oder auf eine Speicherkarte. Die Übertragung zur App funktioniert bei mir ohne Probleme, kein ruckeln oder Qualitätsverlust. Um unterwegs Datenvolumen zu sparen kann man zwischen verschiedenen Auflösungen zur Übertragung wählen. Die Übertragungsqualität auf mein Handy ist super, ich kann den Druck von Unterwegs perfekt im Blick haben. Befestigt wird die Kamera über Magnet, Ständer oder auch solo steht sie sicher.
Wer Lust hat den Vogel im Vogelhaus mal zu beobachten wird mit der Kamera auch seine Freunde haben, sie besitzt einen internen Akku. Ich finde das kleine Teil echt super und für den Zweck genau passend.</t>
  </si>
  <si>
    <t>Ahmed maatouk</t>
  </si>
  <si>
    <t>https://www.amazon.de/gp/profile/amzn1.account.AEYM44PQ6VBMQ5CEUQ22X3CIFE6A/ref=cm_cr_othr_d_gw_tr?ie=UTF8</t>
  </si>
  <si>
    <t>https://www.amazon.de/gp/customer-reviews/R2JOKR5WCTUER5/ref=cm_cr_othr_d_rvw_ttl?ie=UTF8&amp;ASIN=B08K947PVT</t>
  </si>
  <si>
    <t>Überwachung der Kinder im Schlaf</t>
  </si>
  <si>
    <t>Perfekte Kamera zum überwachen von Dingen wie z.b Tiere Kinder etc. Mit dem mitgelieferten Halterung, mach das installieren Spaß.
Was mich am meisten beeindruckt hat, ist das nachtlicht. Man erkennt auch durch die gute poseziunirung der Kamera alles was man sehen will.
Wird definitiv nochmal gekauft.</t>
  </si>
  <si>
    <t>Amazon Kunde</t>
  </si>
  <si>
    <t>https://www.amazon.de/gp/profile/amzn1.account.AGNCN7Y2MADEB2UT5V6OSQSXTCJA/ref=cm_cr_othr_d_gw_tr?ie=UTF8</t>
  </si>
  <si>
    <t>https://www.amazon.de/gp/customer-reviews/R2QLT6QD1CZ9CT/ref=cm_cr_srp_d_rvw_ttl?ie=UTF8&amp;ASIN=B08K947PVT</t>
  </si>
  <si>
    <t>Ich habe mir die Kamera bestellt um zu schauen was unser Hund in unserer Abwesenheit so treibt. Installation war einfach und die Bildqualität ist sehr ordentlich. Die Kamera ist sehr klein, so dass man die auch gut irgendwo verstecken könnte, wenn man wollte...</t>
  </si>
  <si>
    <t xml:space="preserve">Christina k.
</t>
  </si>
  <si>
    <t>https://www.amazon.de/gp/customer-reviews/R2QLT6QD1CZ9CT/ref=cm_cr_othr_d_rvw_ttl?ie=UTF8&amp;ASIN=B08K947PVT</t>
  </si>
  <si>
    <t>Tolle kleine kamera</t>
  </si>
  <si>
    <t>alex_vectoR</t>
  </si>
  <si>
    <t>https://www.amazon.de/gp/profile/amzn1.account.AHPCR7MSKTM4TNSHEXTJFSP6SYQA/ref=cm_cr_othr_d_gw_tr?ie=UTF8</t>
  </si>
  <si>
    <t>https://www.amazon.de/gp/customer-reviews/R1DBSPOXJ5HSCT/ref=cm_cr_othr_d_rvw_ttl?ie=UTF8&amp;ASIN=B08K947PVT</t>
  </si>
  <si>
    <t>Platzsparende Technik - Top!</t>
  </si>
  <si>
    <t>Ich habe für meine Videoaufzeichnungen noch eine Kamera gebraucht, die vom Winkel her, leider im Bild stehen musste, aber nicht sichtbar sein sollte. Daraufhin habe ich nach einer solch kleinen Kamera umgesehen.
Diese habe ich dann in einem kleinen Dekoschächtelchen versteckt und in der eigentlichen Aufnahme ist sie nicht zu sehen, während sie die Gegenperspektive filmt.
Die Qualität ist besser als gedacht und der Speicherplatz für meine Zwecke ausreichend. Dank austauschbarer SD Karte, gar kein Problem! Dazu musste man bei diesem Preis nicht zweimal überlegen.</t>
  </si>
  <si>
    <t>https://www.amazon.de/gp/profile/amzn1.account.AEEI43UPM57ETLEEHTZ5BUUOHRQQ/ref=cm_cr_othr_d_gw_tr?ie=UTF8</t>
  </si>
  <si>
    <t>https://www.amazon.de/gp/customer-reviews/R306YG6IEF2JFS/ref=cm_cr_othr_d_rvw_ttl?ie=UTF8&amp;ASIN=B08K947PVT</t>
  </si>
  <si>
    <t>Cam</t>
  </si>
  <si>
    <t>Bewegungserkennung funktioniert nicht !!!</t>
  </si>
  <si>
    <t>Kapusniak m.</t>
  </si>
  <si>
    <t>https://www.amazon.de/gp/customer-reviews/R258UHKV6E9NE1/ref=cm_cr_othr_d_rvw_ttl?ie=UTF8&amp;ASIN=B08K947PVT</t>
  </si>
  <si>
    <t>To co potencialny nabywca powinien wiedzieć o kupowanym produkcie !</t>
  </si>
  <si>
    <t>Problem mam bo to urządzenie nie ma aktywnych sterowników na poziomie uruchomienia tego urządzenia , obsługa tego urządzenia wymaga !·Być może ! szczegółowej i klarownej instrukcij !a o tym producent tego urządzenia nie pisze !</t>
  </si>
  <si>
    <t>Ismet Celebi</t>
  </si>
  <si>
    <t>https://www.amazon.de/gp/profile/amzn1.account.AFR65ENKAWZTJLBNZI62YGLJCKOQ/ref=cm_cr_othr_d_gw_tr?ie=UTF8</t>
  </si>
  <si>
    <t>https://www.amazon.de/gp/customer-reviews/R33FPIJO29DA4V/ref=cm_cr_othr_d_rvw_ttl?ie=UTF8&amp;ASIN=B08K947PVT</t>
  </si>
  <si>
    <t>Best window box fan I've ever owned</t>
  </si>
  <si>
    <t>This fan exceeded my highest hopes: Quiet, Powerful (much more than the two previous similar models I've owned), Handsome! I love the "Genesis" logo on the fan, and Smart: Placing the on/off/speed settings on the front of the fan instead of the top allows this fan to fit tightly into a window frame and give access to the settings without having move the window to get to the settings.</t>
  </si>
  <si>
    <t>Galaktus</t>
  </si>
  <si>
    <t>https://www.amazon.de/gp/profile/amzn1.account.AEPYVD7ADKZ36GAIFGVEDWRAIYKA/ref=cm_cr_othr_d_gw_tr?ie=UTF8</t>
  </si>
  <si>
    <t>https://www.amazon.de/gp/customer-reviews/R2TUUT4F0JBTOS/ref=cm_cr_othr_d_rvw_ttl?ie=UTF8&amp;ASIN=B08K947PVT</t>
  </si>
  <si>
    <t>Ich bin absolut begeistert</t>
  </si>
  <si>
    <t>Die Kamera ist idial als winzige überwachungskammera, die überall hinpast.
Die Qulität ist für eine Überwachungskammera und vorallem für so eine kleine unglaublich.
Ich habe die Kamera vorne an eine Vr-Brille geklebt und streme dann auf die Brille. So habe ich eine funktionirendes Nachtsichtgerät mit leichtem Input delay.
Das einzige winzige Problem ist die noch nicht Perfekte app.</t>
  </si>
  <si>
    <t>关键词 页-行-位置</t>
  </si>
  <si>
    <t>mini überwachungskamera mit aufzeichnung</t>
  </si>
  <si>
    <t>mini kamera</t>
  </si>
  <si>
    <t>kleine kamera</t>
  </si>
  <si>
    <t>wlan kamera</t>
  </si>
  <si>
    <t>mini kamera wlan</t>
  </si>
  <si>
    <t>überwachungskamera innen</t>
  </si>
  <si>
    <t>mini wifi kamera</t>
  </si>
  <si>
    <t>mini kamera bewegungserkennung</t>
  </si>
  <si>
    <t xml:space="preserve">mini kamera überwachungskamera mit </t>
  </si>
  <si>
    <t>wlan kamera mit akku</t>
  </si>
  <si>
    <t>mini überwachungskamera innen</t>
  </si>
  <si>
    <t>akku kamera wlan</t>
  </si>
  <si>
    <t>infrarot kamera</t>
  </si>
  <si>
    <t>überwachungskamera mini wlan akku</t>
  </si>
  <si>
    <t>kameras mini</t>
  </si>
  <si>
    <t>mini kamera akku</t>
  </si>
  <si>
    <t>minikamera mit akku</t>
  </si>
  <si>
    <t>überwachungskamera mini</t>
  </si>
  <si>
    <t>mini überwachungskamera</t>
  </si>
  <si>
    <t>magnet mini kamera</t>
  </si>
  <si>
    <t>uberwachungskamera mini</t>
  </si>
  <si>
    <t xml:space="preserve">mini überwachungskamera wlan </t>
  </si>
  <si>
    <t>mini kamera mit speicherkate</t>
  </si>
  <si>
    <t>mini-kamera</t>
  </si>
  <si>
    <t>1080p magnetische wifi mini kamera</t>
  </si>
  <si>
    <t>记录站点</t>
  </si>
  <si>
    <t>类目</t>
  </si>
  <si>
    <t>ASIN</t>
  </si>
  <si>
    <t>售价</t>
  </si>
  <si>
    <t>review星级</t>
  </si>
  <si>
    <t>rank小排名</t>
  </si>
  <si>
    <t>Asin</t>
  </si>
  <si>
    <t>广告位置数据</t>
  </si>
  <si>
    <t>广告位</t>
  </si>
  <si>
    <t>广告活动的竞价策略</t>
  </si>
  <si>
    <t>竞价调整</t>
  </si>
  <si>
    <t>点击率 (CTR)</t>
  </si>
  <si>
    <t>花费</t>
  </si>
  <si>
    <t>CPC</t>
  </si>
  <si>
    <t>订单</t>
  </si>
  <si>
    <t>ROAS</t>
  </si>
  <si>
    <t>2024/2/3/16:00:00</t>
  </si>
  <si>
    <t>搜索结果顶部（首页）</t>
  </si>
  <si>
    <t>固定竞价</t>
  </si>
  <si>
    <t>商品页面</t>
  </si>
  <si>
    <t>搜索结果的其余位置</t>
  </si>
  <si>
    <t>中介</t>
  </si>
  <si>
    <t>送测要求</t>
  </si>
  <si>
    <t>总测评数量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</si>
</sst>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 numFmtId="177" formatCode="yyyy/m/d;@"/>
    <numFmt numFmtId="178" formatCode="h:mm;@"/>
  </numFmts>
  <fonts count="36">
    <font>
      <sz val="11"/>
      <color theme="1"/>
      <name val="宋体"/>
      <charset val="134"/>
      <scheme val="minor"/>
    </font>
    <font>
      <b/>
      <sz val="11"/>
      <color theme="1"/>
      <name val="宋体"/>
      <charset val="134"/>
      <scheme val="minor"/>
    </font>
    <font>
      <b/>
      <sz val="11"/>
      <color rgb="FFFF0000"/>
      <name val="宋体"/>
      <charset val="134"/>
      <scheme val="minor"/>
    </font>
    <font>
      <sz val="11"/>
      <name val="宋体"/>
      <charset val="134"/>
      <scheme val="minor"/>
    </font>
    <font>
      <sz val="11"/>
      <color theme="0"/>
      <name val="宋体"/>
      <charset val="134"/>
      <scheme val="minor"/>
    </font>
    <font>
      <b/>
      <sz val="11"/>
      <name val="宋体"/>
      <charset val="134"/>
      <scheme val="minor"/>
    </font>
    <font>
      <b/>
      <sz val="11"/>
      <color theme="0"/>
      <name val="宋体"/>
      <charset val="134"/>
      <scheme val="minor"/>
    </font>
    <font>
      <b/>
      <sz val="11"/>
      <color theme="2"/>
      <name val="宋体"/>
      <charset val="134"/>
      <scheme val="minor"/>
    </font>
    <font>
      <b/>
      <sz val="14"/>
      <name val="宋体"/>
      <charset val="134"/>
      <scheme val="minor"/>
    </font>
    <font>
      <u/>
      <sz val="11"/>
      <color rgb="FF0000FF"/>
      <name val="宋体"/>
      <charset val="134"/>
      <scheme val="minor"/>
    </font>
    <font>
      <sz val="9.75"/>
      <color rgb="FF0F1111"/>
      <name val="Arial"/>
      <charset val="134"/>
    </font>
    <font>
      <b/>
      <u/>
      <sz val="9.75"/>
      <color rgb="FFC45500"/>
      <name val="Arial"/>
      <charset val="134"/>
    </font>
    <font>
      <b/>
      <sz val="12"/>
      <color theme="0"/>
      <name val="宋体"/>
      <charset val="134"/>
      <scheme val="minor"/>
    </font>
    <font>
      <b/>
      <sz val="14"/>
      <color theme="1"/>
      <name val="宋体"/>
      <charset val="134"/>
      <scheme val="minor"/>
    </font>
    <font>
      <sz val="14"/>
      <color theme="1"/>
      <name val="宋体"/>
      <charset val="134"/>
      <scheme val="minor"/>
    </font>
    <font>
      <sz val="11"/>
      <color theme="1"/>
      <name val="Tahoma"/>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5">
    <fill>
      <patternFill patternType="none"/>
    </fill>
    <fill>
      <patternFill patternType="gray125"/>
    </fill>
    <fill>
      <patternFill patternType="solid">
        <fgColor rgb="FFFFFF00"/>
        <bgColor indexed="64"/>
      </patternFill>
    </fill>
    <fill>
      <patternFill patternType="solid">
        <fgColor theme="8" tint="-0.5"/>
        <bgColor indexed="64"/>
      </patternFill>
    </fill>
    <fill>
      <patternFill patternType="solid">
        <fgColor rgb="FF92D050"/>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rgb="FFFF0000"/>
        <bgColor indexed="64"/>
      </patternFill>
    </fill>
    <fill>
      <patternFill patternType="solid">
        <fgColor rgb="FFC0504D"/>
        <bgColor indexed="64"/>
      </patternFill>
    </fill>
    <fill>
      <patternFill patternType="solid">
        <fgColor rgb="FF95B3D7"/>
        <bgColor indexed="64"/>
      </patternFill>
    </fill>
    <fill>
      <patternFill patternType="solid">
        <fgColor rgb="FF92CDDC"/>
        <bgColor indexed="64"/>
      </patternFill>
    </fill>
    <fill>
      <patternFill patternType="solid">
        <fgColor rgb="FFFFD7B9"/>
        <bgColor indexed="64"/>
      </patternFill>
    </fill>
    <fill>
      <patternFill patternType="solid">
        <fgColor rgb="FFFFC000"/>
        <bgColor indexed="64"/>
      </patternFill>
    </fill>
    <fill>
      <patternFill patternType="solid">
        <fgColor rgb="FFFABF8F"/>
        <bgColor indexed="64"/>
      </patternFill>
    </fill>
    <fill>
      <patternFill patternType="solid">
        <fgColor rgb="FF8064A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2B2B2B"/>
      </left>
      <right style="thin">
        <color rgb="FF2B2B2B"/>
      </right>
      <top style="thin">
        <color rgb="FF2B2B2B"/>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17" borderId="6" applyNumberFormat="0" applyAlignment="0" applyProtection="0">
      <alignment vertical="center"/>
    </xf>
    <xf numFmtId="0" fontId="26" fillId="18" borderId="7" applyNumberFormat="0" applyAlignment="0" applyProtection="0">
      <alignment vertical="center"/>
    </xf>
    <xf numFmtId="0" fontId="27" fillId="18" borderId="6" applyNumberFormat="0" applyAlignment="0" applyProtection="0">
      <alignment vertical="center"/>
    </xf>
    <xf numFmtId="0" fontId="28" fillId="19"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6"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5"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xf numFmtId="0" fontId="34"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cellStyleXfs>
  <cellXfs count="60">
    <xf numFmtId="0" fontId="0" fillId="0" borderId="0" xfId="0">
      <alignment vertical="center"/>
    </xf>
    <xf numFmtId="0" fontId="0" fillId="0" borderId="0" xfId="0" applyFont="1" applyFill="1" applyAlignment="1">
      <alignment horizontal="center" vertical="center"/>
    </xf>
    <xf numFmtId="0" fontId="0" fillId="0"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20" fontId="3"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9" fontId="0" fillId="0" borderId="1" xfId="3" applyNumberFormat="1" applyBorder="1" applyAlignment="1">
      <alignment horizontal="center" vertical="center"/>
    </xf>
    <xf numFmtId="10" fontId="0" fillId="0" borderId="1" xfId="3" applyNumberFormat="1" applyBorder="1" applyAlignment="1">
      <alignment horizontal="center" vertical="center"/>
    </xf>
    <xf numFmtId="26" fontId="0" fillId="0" borderId="1" xfId="0" applyNumberFormat="1" applyFont="1" applyFill="1" applyBorder="1" applyAlignment="1">
      <alignment horizontal="center" vertical="center"/>
    </xf>
    <xf numFmtId="9" fontId="0" fillId="0" borderId="1" xfId="3" applyBorder="1" applyAlignment="1">
      <alignment horizontal="center" vertical="center"/>
    </xf>
    <xf numFmtId="0" fontId="0" fillId="0"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176" fontId="4" fillId="3" borderId="1" xfId="0" applyNumberFormat="1" applyFont="1" applyFill="1" applyBorder="1" applyAlignment="1">
      <alignment horizontal="center" vertical="center" wrapText="1"/>
    </xf>
    <xf numFmtId="0" fontId="0" fillId="4"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righ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right" vertical="center" wrapText="1"/>
    </xf>
    <xf numFmtId="176" fontId="0" fillId="5" borderId="1" xfId="0" applyNumberFormat="1" applyFont="1" applyFill="1" applyBorder="1" applyAlignment="1">
      <alignment horizontal="center" vertical="center" wrapText="1"/>
    </xf>
    <xf numFmtId="0" fontId="0" fillId="6" borderId="1" xfId="0" applyFont="1" applyFill="1" applyBorder="1" applyAlignment="1">
      <alignment horizontal="left" vertical="center"/>
    </xf>
    <xf numFmtId="176" fontId="0" fillId="6" borderId="1" xfId="0" applyNumberFormat="1" applyFont="1" applyFill="1" applyBorder="1" applyAlignment="1">
      <alignment horizontal="left" vertical="center" wrapText="1"/>
    </xf>
    <xf numFmtId="0" fontId="0" fillId="2" borderId="1" xfId="0" applyFont="1" applyFill="1" applyBorder="1" applyAlignment="1">
      <alignment horizontal="left" vertical="center"/>
    </xf>
    <xf numFmtId="177" fontId="0" fillId="0" borderId="1" xfId="0" applyNumberFormat="1" applyFont="1" applyFill="1" applyBorder="1" applyAlignment="1">
      <alignment horizontal="center" vertical="center" wrapText="1"/>
    </xf>
    <xf numFmtId="177" fontId="8" fillId="4"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0" borderId="1" xfId="6" applyFont="1" applyFill="1" applyBorder="1" applyAlignment="1">
      <alignment horizontal="center" vertical="center" wrapText="1"/>
    </xf>
    <xf numFmtId="0" fontId="10" fillId="0" borderId="0" xfId="0" applyFont="1" applyFill="1" applyAlignment="1">
      <alignment vertical="center" wrapText="1"/>
    </xf>
    <xf numFmtId="0" fontId="0" fillId="0" borderId="0" xfId="0" applyFont="1" applyFill="1" applyAlignment="1">
      <alignment vertical="center"/>
    </xf>
    <xf numFmtId="0" fontId="11" fillId="0" borderId="0" xfId="0" applyFont="1" applyFill="1" applyAlignment="1">
      <alignment vertical="center"/>
    </xf>
    <xf numFmtId="0" fontId="12" fillId="7" borderId="1" xfId="0" applyFont="1" applyFill="1" applyBorder="1" applyAlignment="1">
      <alignment horizontal="center" vertical="center" wrapText="1"/>
    </xf>
    <xf numFmtId="0" fontId="13" fillId="4" borderId="2" xfId="0" applyFont="1" applyFill="1" applyBorder="1" applyAlignment="1">
      <alignment horizontal="center" vertical="center"/>
    </xf>
    <xf numFmtId="0" fontId="13" fillId="8" borderId="2" xfId="0" applyFont="1" applyFill="1" applyBorder="1" applyAlignment="1">
      <alignment horizontal="center" vertical="center"/>
    </xf>
    <xf numFmtId="0" fontId="13" fillId="9" borderId="2" xfId="0" applyFont="1" applyFill="1" applyBorder="1" applyAlignment="1">
      <alignment horizontal="center" vertical="center"/>
    </xf>
    <xf numFmtId="0" fontId="13" fillId="10" borderId="2" xfId="0" applyFont="1" applyFill="1" applyBorder="1" applyAlignment="1">
      <alignment horizontal="center" vertical="center"/>
    </xf>
    <xf numFmtId="0" fontId="13" fillId="0" borderId="2" xfId="0" applyFont="1" applyFill="1" applyBorder="1" applyAlignment="1">
      <alignment horizontal="center" vertical="center"/>
    </xf>
    <xf numFmtId="0" fontId="14" fillId="0" borderId="2" xfId="0" applyFont="1" applyFill="1" applyBorder="1" applyAlignment="1">
      <alignment horizontal="center" vertical="center"/>
    </xf>
    <xf numFmtId="14" fontId="14" fillId="0" borderId="2" xfId="0" applyNumberFormat="1" applyFont="1" applyFill="1" applyBorder="1" applyAlignment="1">
      <alignment horizontal="center" vertical="center"/>
    </xf>
    <xf numFmtId="3" fontId="14" fillId="0" borderId="2" xfId="0" applyNumberFormat="1" applyFont="1" applyFill="1" applyBorder="1" applyAlignment="1">
      <alignment horizontal="center" vertical="center"/>
    </xf>
    <xf numFmtId="0" fontId="14" fillId="11" borderId="2" xfId="0" applyFont="1" applyFill="1" applyBorder="1" applyAlignment="1">
      <alignment horizontal="center" vertical="center"/>
    </xf>
    <xf numFmtId="0" fontId="13" fillId="12" borderId="2" xfId="0" applyFont="1" applyFill="1" applyBorder="1" applyAlignment="1">
      <alignment horizontal="center" vertical="center"/>
    </xf>
    <xf numFmtId="0" fontId="13" fillId="2" borderId="2" xfId="0" applyFont="1" applyFill="1" applyBorder="1" applyAlignment="1">
      <alignment horizontal="center" vertical="center"/>
    </xf>
    <xf numFmtId="10" fontId="14" fillId="0" borderId="2" xfId="0" applyNumberFormat="1" applyFont="1" applyFill="1" applyBorder="1" applyAlignment="1">
      <alignment horizontal="center" vertical="center"/>
    </xf>
    <xf numFmtId="10" fontId="14" fillId="11" borderId="2" xfId="0" applyNumberFormat="1" applyFont="1" applyFill="1" applyBorder="1" applyAlignment="1">
      <alignment horizontal="center" vertical="center"/>
    </xf>
    <xf numFmtId="0" fontId="13" fillId="13" borderId="2" xfId="0" applyFont="1" applyFill="1" applyBorder="1" applyAlignment="1">
      <alignment horizontal="center" vertical="center"/>
    </xf>
    <xf numFmtId="10" fontId="14" fillId="11" borderId="2" xfId="0" applyNumberFormat="1" applyFont="1" applyFill="1" applyBorder="1" applyAlignment="1">
      <alignment horizontal="center" vertical="center" wrapText="1"/>
    </xf>
    <xf numFmtId="0" fontId="14" fillId="11" borderId="2" xfId="0" applyFont="1" applyFill="1" applyBorder="1" applyAlignment="1">
      <alignment horizontal="center" vertical="center" wrapText="1"/>
    </xf>
    <xf numFmtId="0" fontId="13" fillId="14" borderId="2" xfId="0" applyFont="1" applyFill="1" applyBorder="1" applyAlignment="1">
      <alignment horizontal="center" vertical="center"/>
    </xf>
    <xf numFmtId="0" fontId="0" fillId="0" borderId="0" xfId="0" applyFont="1" applyFill="1" applyBorder="1" applyAlignment="1">
      <alignment horizontal="left" vertical="center"/>
    </xf>
    <xf numFmtId="178" fontId="0" fillId="0" borderId="0" xfId="0" applyNumberFormat="1" applyFont="1" applyFill="1" applyBorder="1" applyAlignment="1">
      <alignment horizontal="center" vertical="center"/>
    </xf>
    <xf numFmtId="0" fontId="0" fillId="15" borderId="0" xfId="0" applyFont="1" applyFill="1" applyBorder="1" applyAlignment="1">
      <alignment horizontal="left" vertical="center"/>
    </xf>
    <xf numFmtId="178" fontId="15" fillId="0" borderId="0" xfId="0" applyNumberFormat="1" applyFont="1" applyFill="1" applyBorder="1" applyAlignment="1">
      <alignment horizontal="center" vertical="center"/>
    </xf>
    <xf numFmtId="0" fontId="16" fillId="0" borderId="0" xfId="0" applyFont="1" applyFill="1" applyBorder="1" applyAlignment="1">
      <alignment horizontal="left" vertical="center"/>
    </xf>
    <xf numFmtId="178" fontId="0" fillId="0" borderId="1" xfId="0" applyNumberFormat="1" applyFont="1" applyFill="1" applyBorder="1" applyAlignment="1">
      <alignment horizontal="right" vertical="center" wrapText="1"/>
    </xf>
    <xf numFmtId="0" fontId="0" fillId="0" borderId="1" xfId="0" applyFont="1" applyFill="1" applyBorder="1" applyAlignment="1">
      <alignment horizontal="left" vertical="center"/>
    </xf>
    <xf numFmtId="178" fontId="0" fillId="0" borderId="1" xfId="0" applyNumberFormat="1"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7" fillId="0" borderId="1" xfId="6"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363220</xdr:colOff>
          <xdr:row>1</xdr:row>
          <xdr:rowOff>105410</xdr:rowOff>
        </xdr:from>
        <xdr:to>
          <xdr:col>3</xdr:col>
          <xdr:colOff>1039495</xdr:colOff>
          <xdr:row>1</xdr:row>
          <xdr:rowOff>306070</xdr:rowOff>
        </xdr:to>
        <xdr:sp>
          <xdr:nvSpPr>
            <xdr:cNvPr id="1025" name="Check Box 1" hidden="1">
              <a:extLst>
                <a:ext uri="{63B3BB69-23CF-44E3-9099-C40C66FF867C}">
                  <a14:compatExt spid="_x0000_s1025"/>
                </a:ext>
              </a:extLst>
            </xdr:cNvPr>
            <xdr:cNvSpPr/>
          </xdr:nvSpPr>
          <xdr:spPr>
            <a:xfrm>
              <a:off x="10250170" y="51308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8</xdr:row>
          <xdr:rowOff>105410</xdr:rowOff>
        </xdr:from>
        <xdr:to>
          <xdr:col>3</xdr:col>
          <xdr:colOff>1039495</xdr:colOff>
          <xdr:row>8</xdr:row>
          <xdr:rowOff>306070</xdr:rowOff>
        </xdr:to>
        <xdr:sp>
          <xdr:nvSpPr>
            <xdr:cNvPr id="1026" name="Check Box 2" hidden="1">
              <a:extLst>
                <a:ext uri="{63B3BB69-23CF-44E3-9099-C40C66FF867C}">
                  <a14:compatExt spid="_x0000_s1026"/>
                </a:ext>
              </a:extLst>
            </xdr:cNvPr>
            <xdr:cNvSpPr/>
          </xdr:nvSpPr>
          <xdr:spPr>
            <a:xfrm>
              <a:off x="10250170" y="336677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9</xdr:row>
          <xdr:rowOff>105410</xdr:rowOff>
        </xdr:from>
        <xdr:to>
          <xdr:col>3</xdr:col>
          <xdr:colOff>1039495</xdr:colOff>
          <xdr:row>9</xdr:row>
          <xdr:rowOff>306070</xdr:rowOff>
        </xdr:to>
        <xdr:sp>
          <xdr:nvSpPr>
            <xdr:cNvPr id="1027" name="Check Box 3" hidden="1">
              <a:extLst>
                <a:ext uri="{63B3BB69-23CF-44E3-9099-C40C66FF867C}">
                  <a14:compatExt spid="_x0000_s1027"/>
                </a:ext>
              </a:extLst>
            </xdr:cNvPr>
            <xdr:cNvSpPr/>
          </xdr:nvSpPr>
          <xdr:spPr>
            <a:xfrm>
              <a:off x="10250170" y="377444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10</xdr:row>
          <xdr:rowOff>0</xdr:rowOff>
        </xdr:from>
        <xdr:to>
          <xdr:col>3</xdr:col>
          <xdr:colOff>1039495</xdr:colOff>
          <xdr:row>10</xdr:row>
          <xdr:rowOff>200660</xdr:rowOff>
        </xdr:to>
        <xdr:sp>
          <xdr:nvSpPr>
            <xdr:cNvPr id="1028" name="Check Box 4" hidden="1">
              <a:extLst>
                <a:ext uri="{63B3BB69-23CF-44E3-9099-C40C66FF867C}">
                  <a14:compatExt spid="_x0000_s1028"/>
                </a:ext>
              </a:extLst>
            </xdr:cNvPr>
            <xdr:cNvSpPr/>
          </xdr:nvSpPr>
          <xdr:spPr>
            <a:xfrm>
              <a:off x="10250170" y="407670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10</xdr:row>
          <xdr:rowOff>105410</xdr:rowOff>
        </xdr:from>
        <xdr:to>
          <xdr:col>3</xdr:col>
          <xdr:colOff>1039495</xdr:colOff>
          <xdr:row>10</xdr:row>
          <xdr:rowOff>306070</xdr:rowOff>
        </xdr:to>
        <xdr:sp>
          <xdr:nvSpPr>
            <xdr:cNvPr id="1029" name="Check Box 5" hidden="1">
              <a:extLst>
                <a:ext uri="{63B3BB69-23CF-44E3-9099-C40C66FF867C}">
                  <a14:compatExt spid="_x0000_s1029"/>
                </a:ext>
              </a:extLst>
            </xdr:cNvPr>
            <xdr:cNvSpPr/>
          </xdr:nvSpPr>
          <xdr:spPr>
            <a:xfrm>
              <a:off x="10250170" y="418211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11</xdr:row>
          <xdr:rowOff>105410</xdr:rowOff>
        </xdr:from>
        <xdr:to>
          <xdr:col>3</xdr:col>
          <xdr:colOff>1039495</xdr:colOff>
          <xdr:row>11</xdr:row>
          <xdr:rowOff>306070</xdr:rowOff>
        </xdr:to>
        <xdr:sp>
          <xdr:nvSpPr>
            <xdr:cNvPr id="1030" name="Check Box 6" hidden="1">
              <a:extLst>
                <a:ext uri="{63B3BB69-23CF-44E3-9099-C40C66FF867C}">
                  <a14:compatExt spid="_x0000_s1030"/>
                </a:ext>
              </a:extLst>
            </xdr:cNvPr>
            <xdr:cNvSpPr/>
          </xdr:nvSpPr>
          <xdr:spPr>
            <a:xfrm>
              <a:off x="10250170" y="458978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12</xdr:row>
          <xdr:rowOff>105410</xdr:rowOff>
        </xdr:from>
        <xdr:to>
          <xdr:col>3</xdr:col>
          <xdr:colOff>1039495</xdr:colOff>
          <xdr:row>12</xdr:row>
          <xdr:rowOff>306070</xdr:rowOff>
        </xdr:to>
        <xdr:sp>
          <xdr:nvSpPr>
            <xdr:cNvPr id="1031" name="Check Box 7" hidden="1">
              <a:extLst>
                <a:ext uri="{63B3BB69-23CF-44E3-9099-C40C66FF867C}">
                  <a14:compatExt spid="_x0000_s1031"/>
                </a:ext>
              </a:extLst>
            </xdr:cNvPr>
            <xdr:cNvSpPr/>
          </xdr:nvSpPr>
          <xdr:spPr>
            <a:xfrm>
              <a:off x="10250170" y="499745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12</xdr:row>
          <xdr:rowOff>105410</xdr:rowOff>
        </xdr:from>
        <xdr:to>
          <xdr:col>3</xdr:col>
          <xdr:colOff>1039495</xdr:colOff>
          <xdr:row>12</xdr:row>
          <xdr:rowOff>306070</xdr:rowOff>
        </xdr:to>
        <xdr:sp>
          <xdr:nvSpPr>
            <xdr:cNvPr id="1032" name="Check Box 8" hidden="1">
              <a:extLst>
                <a:ext uri="{63B3BB69-23CF-44E3-9099-C40C66FF867C}">
                  <a14:compatExt spid="_x0000_s1032"/>
                </a:ext>
              </a:extLst>
            </xdr:cNvPr>
            <xdr:cNvSpPr/>
          </xdr:nvSpPr>
          <xdr:spPr>
            <a:xfrm>
              <a:off x="10250170" y="499745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2</xdr:row>
          <xdr:rowOff>105410</xdr:rowOff>
        </xdr:from>
        <xdr:to>
          <xdr:col>3</xdr:col>
          <xdr:colOff>1039495</xdr:colOff>
          <xdr:row>2</xdr:row>
          <xdr:rowOff>306070</xdr:rowOff>
        </xdr:to>
        <xdr:sp>
          <xdr:nvSpPr>
            <xdr:cNvPr id="1033" name="Check Box 9" hidden="1">
              <a:extLst>
                <a:ext uri="{63B3BB69-23CF-44E3-9099-C40C66FF867C}">
                  <a14:compatExt spid="_x0000_s1033"/>
                </a:ext>
              </a:extLst>
            </xdr:cNvPr>
            <xdr:cNvSpPr/>
          </xdr:nvSpPr>
          <xdr:spPr>
            <a:xfrm>
              <a:off x="10250170" y="92075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3</xdr:row>
          <xdr:rowOff>105410</xdr:rowOff>
        </xdr:from>
        <xdr:to>
          <xdr:col>3</xdr:col>
          <xdr:colOff>1039495</xdr:colOff>
          <xdr:row>3</xdr:row>
          <xdr:rowOff>306070</xdr:rowOff>
        </xdr:to>
        <xdr:sp>
          <xdr:nvSpPr>
            <xdr:cNvPr id="1034" name="Check Box 10" hidden="1">
              <a:extLst>
                <a:ext uri="{63B3BB69-23CF-44E3-9099-C40C66FF867C}">
                  <a14:compatExt spid="_x0000_s1034"/>
                </a:ext>
              </a:extLst>
            </xdr:cNvPr>
            <xdr:cNvSpPr/>
          </xdr:nvSpPr>
          <xdr:spPr>
            <a:xfrm>
              <a:off x="10250170" y="132842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4</xdr:row>
          <xdr:rowOff>105410</xdr:rowOff>
        </xdr:from>
        <xdr:to>
          <xdr:col>3</xdr:col>
          <xdr:colOff>1039495</xdr:colOff>
          <xdr:row>4</xdr:row>
          <xdr:rowOff>306070</xdr:rowOff>
        </xdr:to>
        <xdr:sp>
          <xdr:nvSpPr>
            <xdr:cNvPr id="1035" name="Check Box 11" hidden="1">
              <a:extLst>
                <a:ext uri="{63B3BB69-23CF-44E3-9099-C40C66FF867C}">
                  <a14:compatExt spid="_x0000_s1035"/>
                </a:ext>
              </a:extLst>
            </xdr:cNvPr>
            <xdr:cNvSpPr/>
          </xdr:nvSpPr>
          <xdr:spPr>
            <a:xfrm>
              <a:off x="10250170" y="173609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5</xdr:row>
          <xdr:rowOff>105410</xdr:rowOff>
        </xdr:from>
        <xdr:to>
          <xdr:col>3</xdr:col>
          <xdr:colOff>1039495</xdr:colOff>
          <xdr:row>5</xdr:row>
          <xdr:rowOff>306070</xdr:rowOff>
        </xdr:to>
        <xdr:sp>
          <xdr:nvSpPr>
            <xdr:cNvPr id="1036" name="Check Box 12" hidden="1">
              <a:extLst>
                <a:ext uri="{63B3BB69-23CF-44E3-9099-C40C66FF867C}">
                  <a14:compatExt spid="_x0000_s1036"/>
                </a:ext>
              </a:extLst>
            </xdr:cNvPr>
            <xdr:cNvSpPr/>
          </xdr:nvSpPr>
          <xdr:spPr>
            <a:xfrm>
              <a:off x="10250170" y="214376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6</xdr:row>
          <xdr:rowOff>105410</xdr:rowOff>
        </xdr:from>
        <xdr:to>
          <xdr:col>3</xdr:col>
          <xdr:colOff>1039495</xdr:colOff>
          <xdr:row>6</xdr:row>
          <xdr:rowOff>306070</xdr:rowOff>
        </xdr:to>
        <xdr:sp>
          <xdr:nvSpPr>
            <xdr:cNvPr id="1037" name="Check Box 13" hidden="1">
              <a:extLst>
                <a:ext uri="{63B3BB69-23CF-44E3-9099-C40C66FF867C}">
                  <a14:compatExt spid="_x0000_s1037"/>
                </a:ext>
              </a:extLst>
            </xdr:cNvPr>
            <xdr:cNvSpPr/>
          </xdr:nvSpPr>
          <xdr:spPr>
            <a:xfrm>
              <a:off x="10250170" y="255143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7</xdr:row>
          <xdr:rowOff>105410</xdr:rowOff>
        </xdr:from>
        <xdr:to>
          <xdr:col>3</xdr:col>
          <xdr:colOff>1039495</xdr:colOff>
          <xdr:row>7</xdr:row>
          <xdr:rowOff>306070</xdr:rowOff>
        </xdr:to>
        <xdr:sp>
          <xdr:nvSpPr>
            <xdr:cNvPr id="1038" name="Check Box 14" hidden="1">
              <a:extLst>
                <a:ext uri="{63B3BB69-23CF-44E3-9099-C40C66FF867C}">
                  <a14:compatExt spid="_x0000_s1038"/>
                </a:ext>
              </a:extLst>
            </xdr:cNvPr>
            <xdr:cNvSpPr/>
          </xdr:nvSpPr>
          <xdr:spPr>
            <a:xfrm>
              <a:off x="10250170" y="295910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13</xdr:row>
          <xdr:rowOff>105410</xdr:rowOff>
        </xdr:from>
        <xdr:to>
          <xdr:col>3</xdr:col>
          <xdr:colOff>1039495</xdr:colOff>
          <xdr:row>13</xdr:row>
          <xdr:rowOff>306070</xdr:rowOff>
        </xdr:to>
        <xdr:sp>
          <xdr:nvSpPr>
            <xdr:cNvPr id="1039" name="Check Box 15" hidden="1">
              <a:extLst>
                <a:ext uri="{63B3BB69-23CF-44E3-9099-C40C66FF867C}">
                  <a14:compatExt spid="_x0000_s1039"/>
                </a:ext>
              </a:extLst>
            </xdr:cNvPr>
            <xdr:cNvSpPr/>
          </xdr:nvSpPr>
          <xdr:spPr>
            <a:xfrm>
              <a:off x="10250170" y="540512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14</xdr:row>
          <xdr:rowOff>105410</xdr:rowOff>
        </xdr:from>
        <xdr:to>
          <xdr:col>3</xdr:col>
          <xdr:colOff>1039495</xdr:colOff>
          <xdr:row>14</xdr:row>
          <xdr:rowOff>306070</xdr:rowOff>
        </xdr:to>
        <xdr:sp>
          <xdr:nvSpPr>
            <xdr:cNvPr id="1040" name="Check Box 16" hidden="1">
              <a:extLst>
                <a:ext uri="{63B3BB69-23CF-44E3-9099-C40C66FF867C}">
                  <a14:compatExt spid="_x0000_s1040"/>
                </a:ext>
              </a:extLst>
            </xdr:cNvPr>
            <xdr:cNvSpPr/>
          </xdr:nvSpPr>
          <xdr:spPr>
            <a:xfrm>
              <a:off x="10250170" y="581279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15</xdr:row>
          <xdr:rowOff>105410</xdr:rowOff>
        </xdr:from>
        <xdr:to>
          <xdr:col>3</xdr:col>
          <xdr:colOff>1039495</xdr:colOff>
          <xdr:row>15</xdr:row>
          <xdr:rowOff>306070</xdr:rowOff>
        </xdr:to>
        <xdr:sp>
          <xdr:nvSpPr>
            <xdr:cNvPr id="1041" name="Check Box 17" hidden="1">
              <a:extLst>
                <a:ext uri="{63B3BB69-23CF-44E3-9099-C40C66FF867C}">
                  <a14:compatExt spid="_x0000_s1041"/>
                </a:ext>
              </a:extLst>
            </xdr:cNvPr>
            <xdr:cNvSpPr/>
          </xdr:nvSpPr>
          <xdr:spPr>
            <a:xfrm>
              <a:off x="10250170" y="622046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363220</xdr:colOff>
          <xdr:row>16</xdr:row>
          <xdr:rowOff>105410</xdr:rowOff>
        </xdr:from>
        <xdr:to>
          <xdr:col>3</xdr:col>
          <xdr:colOff>1039495</xdr:colOff>
          <xdr:row>16</xdr:row>
          <xdr:rowOff>306070</xdr:rowOff>
        </xdr:to>
        <xdr:sp>
          <xdr:nvSpPr>
            <xdr:cNvPr id="1042" name="Check Box 18" hidden="1">
              <a:extLst>
                <a:ext uri="{63B3BB69-23CF-44E3-9099-C40C66FF867C}">
                  <a14:compatExt spid="_x0000_s1042"/>
                </a:ext>
              </a:extLst>
            </xdr:cNvPr>
            <xdr:cNvSpPr/>
          </xdr:nvSpPr>
          <xdr:spPr>
            <a:xfrm>
              <a:off x="10250170" y="6628130"/>
              <a:ext cx="676275" cy="200660"/>
            </a:xfrm>
            <a:prstGeom prst="rect">
              <a:avLst/>
            </a:prstGeom>
          </xdr:spPr>
          <xdr:txBody>
            <a:bodyPr vert="horz" anchor="t"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endParaRPr lang="zh-CN" altLang="en-US"/>
            </a:p>
          </xdr:txBody>
        </xdr:sp>
        <xdr:clientData/>
      </xdr:twoCellAnchor>
    </mc:Choice>
    <mc:Fallback/>
  </mc:AlternateContent>
</xdr:wsDr>
</file>

<file path=xl/tables/table1.xml><?xml version="1.0" encoding="utf-8"?>
<table xmlns="http://schemas.openxmlformats.org/spreadsheetml/2006/main" id="1" name="表1" displayName="表1" ref="A1:D17">
  <tableColumns count="4">
    <tableColumn id="1" name="时间"/>
    <tableColumn id="2" name="工作任务"/>
    <tableColumn id="3" name="工作任务2" totalsRowFunction="count"/>
    <tableColumn id="4" name="完成情况"/>
  </tableColumns>
  <tableStyleInfo name="TableStyleMedium9"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2" Type="http://schemas.openxmlformats.org/officeDocument/2006/relationships/hyperlink" Target="mailto:Gumgood000@outlook.com" TargetMode="External"/><Relationship Id="rId21" Type="http://schemas.openxmlformats.org/officeDocument/2006/relationships/table" Target="../tables/table1.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openxmlformats.org/officeDocument/2006/relationships/hyperlink" Target="https://www.amazon.de/gp/profile/amzn1.account.AGE3GYQRBBXH52SACPZ4Z6VO3DEA/ref=cm_cr_othr_d_gw_tr?ie=UTF8" TargetMode="External"/><Relationship Id="rId8" Type="http://schemas.openxmlformats.org/officeDocument/2006/relationships/hyperlink" Target="https://www.amazon.de/gp/customer-reviews/R770C5M709NX9/ref=cm_cr_othr_d_rvw_ttl?ie=UTF8&amp;ASIN=B08K947PVT" TargetMode="External"/><Relationship Id="rId7" Type="http://schemas.openxmlformats.org/officeDocument/2006/relationships/hyperlink" Target="https://www.amazon.de/gp/customer-reviews/R770C5M709NX9/ref=cm_cr_srp_d_rvw_ttl?ie=UTF8&amp;ASIN=B08K947PVT" TargetMode="External"/><Relationship Id="rId6" Type="http://schemas.openxmlformats.org/officeDocument/2006/relationships/hyperlink" Target="https://www.amazon.de/gp/customer-reviews/R2PDCLHT3O49N6/ref=cm_cr_srp_d_rvw_ttl?ie=UTF8&amp;ASIN=B08K947PVT" TargetMode="External"/><Relationship Id="rId5" Type="http://schemas.openxmlformats.org/officeDocument/2006/relationships/hyperlink" Target="https://www.amazon.de/gp/customer-reviews/R2PDCLHT3O49N6/ref=cm_cr_othr_d_rvw_ttl?ie=UTF8&amp;ASIN=B08K947PVT" TargetMode="External"/><Relationship Id="rId4" Type="http://schemas.openxmlformats.org/officeDocument/2006/relationships/hyperlink" Target="https://www.amazon.de/gp/profile/amzn1.account.AEB2J7KB23O54JYJMWWKPFQBVUJA/ref=cm_cr_othr_d_gw_tr?ie=UTF8" TargetMode="External"/><Relationship Id="rId33" Type="http://schemas.openxmlformats.org/officeDocument/2006/relationships/hyperlink" Target="https://www.amazon.de/gp/profile/amzn1.account.AEPYVD7ADKZ36GAIFGVEDWRAIYKA/ref=cm_cr_srp_d_gw_btm?ie=UTF8" TargetMode="External"/><Relationship Id="rId32" Type="http://schemas.openxmlformats.org/officeDocument/2006/relationships/hyperlink" Target="https://www.amazon.de/gp/customer-reviews/R2TUUT4F0JBTOS/ref=cm_cr_othr_d_rvw_ttl?ie=UTF8&amp;ASIN=B08K947PVT" TargetMode="External"/><Relationship Id="rId31" Type="http://schemas.openxmlformats.org/officeDocument/2006/relationships/hyperlink" Target="https://www.amazon.de/gp/profile/amzn1.account.AEPYVD7ADKZ36GAIFGVEDWRAIYKA/ref=cm_cr_othr_d_gw_tr?ie=UTF8" TargetMode="External"/><Relationship Id="rId30" Type="http://schemas.openxmlformats.org/officeDocument/2006/relationships/hyperlink" Target="https://www.amazon.de/gp/customer-reviews/R33FPIJO29DA4V/ref=cm_cr_othr_d_rvw_ttl?ie=UTF8&amp;ASIN=B08K947PVT" TargetMode="External"/><Relationship Id="rId3" Type="http://schemas.openxmlformats.org/officeDocument/2006/relationships/hyperlink" Target="https://www.amazon.de/gp/profile/amzn1.account.AEB2J7KB23O54JYJMWWKPFQBVUJA/ref=cm_cr_srp_d_gw_btm?ie=UTF8" TargetMode="External"/><Relationship Id="rId29" Type="http://schemas.openxmlformats.org/officeDocument/2006/relationships/hyperlink" Target="https://www.amazon.de/gp/customer-reviews/R33FPIJO29DA4V/ref=cm_cr_srp_d_rvw_ttl?ie=UTF8&amp;ASIN=B08K947PVT" TargetMode="External"/><Relationship Id="rId28" Type="http://schemas.openxmlformats.org/officeDocument/2006/relationships/hyperlink" Target="https://www.amazon.de/gp/profile/amzn1.account.AFR65ENKAWZTJLBNZI62YGLJCKOQ/ref=cm_cr_srp_d_gw_btm?ie=UTF8" TargetMode="External"/><Relationship Id="rId27" Type="http://schemas.openxmlformats.org/officeDocument/2006/relationships/hyperlink" Target="https://www.amazon.de/gp/profile/amzn1.account.AFR65ENKAWZTJLBNZI62YGLJCKOQ/ref=cm_cr_othr_d_gw_tr?ie=UTF8" TargetMode="External"/><Relationship Id="rId26" Type="http://schemas.openxmlformats.org/officeDocument/2006/relationships/hyperlink" Target="https://www.amazon.de/gp/customer-reviews/R258UHKV6E9NE1/ref=cm_cr_srp_d_rvw_ttl?ie=UTF8&amp;ASIN=B08K947PVT" TargetMode="External"/><Relationship Id="rId25" Type="http://schemas.openxmlformats.org/officeDocument/2006/relationships/hyperlink" Target="https://www.amazon.de/gp/profile/amzn1.account.AE67XKHEAW4HJASN3MZZI6K4GPNQ/ref=cm_cr_srp_d_gw_btm?ie=UTF8" TargetMode="External"/><Relationship Id="rId24" Type="http://schemas.openxmlformats.org/officeDocument/2006/relationships/hyperlink" Target="https://www.amazon.de/gp/customer-reviews/R258UHKV6E9NE1/ref=cm_cr_othr_d_rvw_ttl?ie=UTF8&amp;ASIN=B08K947PVT" TargetMode="External"/><Relationship Id="rId23" Type="http://schemas.openxmlformats.org/officeDocument/2006/relationships/hyperlink" Target="https://www.amazon.de/gp/profile/amzn1.account.AEEI43UPM57ETLEEHTZ5BUUOHRQQ/ref=cm_cr_srp_d_gw_btm?ie=UTF8" TargetMode="External"/><Relationship Id="rId22" Type="http://schemas.openxmlformats.org/officeDocument/2006/relationships/hyperlink" Target="https://www.amazon.de/gp/customer-reviews/R306YG6IEF2JFS/ref=cm_cr_othr_d_rvw_ttl?ie=UTF8&amp;ASIN=B08K947PVT" TargetMode="External"/><Relationship Id="rId21" Type="http://schemas.openxmlformats.org/officeDocument/2006/relationships/hyperlink" Target="https://www.amazon.de/gp/profile/amzn1.account.AEEI43UPM57ETLEEHTZ5BUUOHRQQ/ref=cm_cr_othr_d_gw_tr?ie=UTF8" TargetMode="External"/><Relationship Id="rId20" Type="http://schemas.openxmlformats.org/officeDocument/2006/relationships/hyperlink" Target="https://www.amazon.de/gp/profile/amzn1.account.AHPCR7MSKTM4TNSHEXTJFSP6SYQA/ref=cm_cr_srp_d_gw_btm?ie=UTF8" TargetMode="External"/><Relationship Id="rId2" Type="http://schemas.openxmlformats.org/officeDocument/2006/relationships/hyperlink" Target="https://www.amazon.de/gp/customer-reviews/R2SLGLABFSANH0/ref=cm_cr_getr_d_rvw_ttl?ie=UTF8&amp;ASIN=B08K947PVT" TargetMode="External"/><Relationship Id="rId19" Type="http://schemas.openxmlformats.org/officeDocument/2006/relationships/hyperlink" Target="https://www.amazon.de/gp/customer-reviews/R1DBSPOXJ5HSCT/ref=cm_cr_othr_d_rvw_ttl?ie=UTF8&amp;ASIN=B08K947PVT" TargetMode="External"/><Relationship Id="rId18" Type="http://schemas.openxmlformats.org/officeDocument/2006/relationships/hyperlink" Target="https://www.amazon.de/gp/profile/amzn1.account.AHPCR7MSKTM4TNSHEXTJFSP6SYQA/ref=cm_cr_othr_d_gw_tr?ie=UTF8" TargetMode="External"/><Relationship Id="rId17" Type="http://schemas.openxmlformats.org/officeDocument/2006/relationships/hyperlink" Target="https://www.amazon.de/gp/customer-reviews/R2QLT6QD1CZ9CT/ref=cm_cr_othr_d_rvw_ttl?ie=UTF8&amp;ASIN=B08K947PVT" TargetMode="External"/><Relationship Id="rId16" Type="http://schemas.openxmlformats.org/officeDocument/2006/relationships/hyperlink" Target="https://www.amazon.de/gp/customer-reviews/R2QLT6QD1CZ9CT/ref=cm_cr_srp_d_rvw_ttl?ie=UTF8&amp;ASIN=B08K947PVT" TargetMode="External"/><Relationship Id="rId15" Type="http://schemas.openxmlformats.org/officeDocument/2006/relationships/hyperlink" Target="https://www.amazon.de/gp/profile/amzn1.account.AGNCN7Y2MADEB2UT5V6OSQSXTCJA/ref=cm_cr_srp_d_gw_btm?ie=UTF8" TargetMode="External"/><Relationship Id="rId14" Type="http://schemas.openxmlformats.org/officeDocument/2006/relationships/hyperlink" Target="https://www.amazon.de/gp/profile/amzn1.account.AGNCN7Y2MADEB2UT5V6OSQSXTCJA/ref=cm_cr_othr_d_gw_tr?ie=UTF8" TargetMode="External"/><Relationship Id="rId13" Type="http://schemas.openxmlformats.org/officeDocument/2006/relationships/hyperlink" Target="https://www.amazon.de/gp/customer-reviews/R2JOKR5WCTUER5/ref=cm_cr_othr_d_rvw_ttl?ie=UTF8&amp;ASIN=B08K947PVT" TargetMode="External"/><Relationship Id="rId12" Type="http://schemas.openxmlformats.org/officeDocument/2006/relationships/hyperlink" Target="https://www.amazon.de/gp/profile/amzn1.account.AEYM44PQ6VBMQ5CEUQ22X3CIFE6A/ref=cm_cr_othr_d_gw_tr?ie=UTF8" TargetMode="External"/><Relationship Id="rId11" Type="http://schemas.openxmlformats.org/officeDocument/2006/relationships/hyperlink" Target="https://www.amazon.de/gp/profile/amzn1.account.AEYM44PQ6VBMQ5CEUQ22X3CIFE6A/ref=cm_cr_srp_d_gw_btm?ie=UTF8" TargetMode="External"/><Relationship Id="rId10" Type="http://schemas.openxmlformats.org/officeDocument/2006/relationships/hyperlink" Target="https://www.amazon.de/gp/profile/amzn1.account.AGE3GYQRBBXH52SACPZ4Z6VO3DEA/ref=cm_cr_srp_d_gw_btm?ie=UTF8" TargetMode="External"/><Relationship Id="rId1" Type="http://schemas.openxmlformats.org/officeDocument/2006/relationships/hyperlink" Target="https://www.amazon.de/gp/profile/amzn1.account.AENCPFO7WZAWYHT7MAGZRTVV5A6A/ref=cm_cr_getr_d_gw_btm?ie=UTF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workbookViewId="0">
      <selection activeCell="B12" sqref="B12"/>
    </sheetView>
  </sheetViews>
  <sheetFormatPr defaultColWidth="62.625" defaultRowHeight="32.1" customHeight="1"/>
  <cols>
    <col min="1" max="1" width="18.625" style="51" customWidth="1"/>
    <col min="2" max="2" width="48.5" style="50" customWidth="1"/>
    <col min="3" max="8" width="62.625" style="50" customWidth="1"/>
    <col min="9" max="9" width="62.625" style="52" customWidth="1"/>
    <col min="10" max="10" width="62.625" style="50" customWidth="1"/>
    <col min="11" max="16384" width="62.625" style="50"/>
  </cols>
  <sheetData>
    <row r="1" s="50" customFormat="1" customHeight="1" spans="1:9">
      <c r="A1" s="53" t="s">
        <v>0</v>
      </c>
      <c r="B1" s="54" t="s">
        <v>1</v>
      </c>
      <c r="C1" s="54" t="s">
        <v>2</v>
      </c>
      <c r="D1" s="50" t="s">
        <v>3</v>
      </c>
      <c r="I1" s="52"/>
    </row>
    <row r="2" s="50" customFormat="1" customHeight="1" spans="1:9">
      <c r="A2" s="55"/>
      <c r="B2" s="56" t="s">
        <v>4</v>
      </c>
      <c r="C2" s="56" t="s">
        <v>5</v>
      </c>
      <c r="I2" s="52"/>
    </row>
    <row r="3" s="50" customFormat="1" customHeight="1" spans="1:9">
      <c r="A3" s="55"/>
      <c r="B3" s="56" t="s">
        <v>6</v>
      </c>
      <c r="C3" s="56" t="s">
        <v>7</v>
      </c>
      <c r="I3" s="52"/>
    </row>
    <row r="4" s="50" customFormat="1" customHeight="1" spans="1:9">
      <c r="A4" s="55"/>
      <c r="B4" s="56" t="s">
        <v>8</v>
      </c>
      <c r="C4" s="50" t="s">
        <v>9</v>
      </c>
      <c r="I4" s="52"/>
    </row>
    <row r="5" s="50" customFormat="1" customHeight="1" spans="1:9">
      <c r="A5" s="57" t="s">
        <v>10</v>
      </c>
      <c r="B5" s="56" t="s">
        <v>11</v>
      </c>
      <c r="C5" s="56" t="s">
        <v>7</v>
      </c>
      <c r="I5" s="52"/>
    </row>
    <row r="6" s="50" customFormat="1" customHeight="1" spans="1:9">
      <c r="A6" s="55"/>
      <c r="B6" s="50" t="s">
        <v>12</v>
      </c>
      <c r="C6" s="56" t="s">
        <v>13</v>
      </c>
      <c r="I6" s="52"/>
    </row>
    <row r="7" s="50" customFormat="1" customHeight="1" spans="1:9">
      <c r="A7" s="58"/>
      <c r="B7" s="56" t="s">
        <v>14</v>
      </c>
      <c r="C7" s="56" t="s">
        <v>15</v>
      </c>
      <c r="I7" s="52"/>
    </row>
    <row r="8" s="50" customFormat="1" customHeight="1" spans="1:9">
      <c r="A8" s="58" t="s">
        <v>16</v>
      </c>
      <c r="B8" s="56" t="s">
        <v>17</v>
      </c>
      <c r="C8" s="56" t="s">
        <v>18</v>
      </c>
      <c r="I8" s="52"/>
    </row>
    <row r="9" s="50" customFormat="1" customHeight="1" spans="1:9">
      <c r="A9" s="58"/>
      <c r="B9" s="56" t="s">
        <v>19</v>
      </c>
      <c r="C9" s="56" t="s">
        <v>20</v>
      </c>
      <c r="I9" s="52"/>
    </row>
    <row r="10" s="50" customFormat="1" customHeight="1" spans="1:9">
      <c r="A10" s="58"/>
      <c r="B10" s="56" t="s">
        <v>21</v>
      </c>
      <c r="I10" s="52"/>
    </row>
    <row r="11" s="50" customFormat="1" customHeight="1" spans="1:9">
      <c r="A11" s="58"/>
      <c r="B11" s="50" t="s">
        <v>22</v>
      </c>
      <c r="C11" s="56" t="s">
        <v>23</v>
      </c>
      <c r="I11" s="52"/>
    </row>
    <row r="12" s="50" customFormat="1" customHeight="1" spans="1:9">
      <c r="A12" s="58"/>
      <c r="B12" s="50" t="s">
        <v>24</v>
      </c>
      <c r="C12" s="56"/>
      <c r="I12" s="52"/>
    </row>
    <row r="13" s="50" customFormat="1" customHeight="1" spans="1:9">
      <c r="A13" s="58" t="s">
        <v>25</v>
      </c>
      <c r="B13" s="56" t="s">
        <v>26</v>
      </c>
      <c r="C13" s="56"/>
      <c r="I13" s="52"/>
    </row>
    <row r="14" s="50" customFormat="1" customHeight="1" spans="1:9">
      <c r="A14" s="58" t="s">
        <v>27</v>
      </c>
      <c r="B14" s="56" t="s">
        <v>28</v>
      </c>
      <c r="C14" s="56" t="s">
        <v>29</v>
      </c>
      <c r="I14" s="52"/>
    </row>
    <row r="15" s="50" customFormat="1" customHeight="1" spans="1:9">
      <c r="A15" s="58" t="s">
        <v>27</v>
      </c>
      <c r="B15" s="56" t="s">
        <v>30</v>
      </c>
      <c r="C15" s="56" t="s">
        <v>31</v>
      </c>
      <c r="I15" s="52"/>
    </row>
    <row r="16" s="50" customFormat="1" customHeight="1" spans="1:9">
      <c r="A16" s="58" t="s">
        <v>27</v>
      </c>
      <c r="B16" s="56" t="s">
        <v>32</v>
      </c>
      <c r="C16" s="56"/>
      <c r="I16" s="52"/>
    </row>
    <row r="17" s="50" customFormat="1" customHeight="1" spans="1:9">
      <c r="A17" s="58" t="s">
        <v>33</v>
      </c>
      <c r="B17" s="50" t="s">
        <v>34</v>
      </c>
      <c r="C17" s="59" t="s">
        <v>35</v>
      </c>
      <c r="I17" s="52"/>
    </row>
  </sheetData>
  <hyperlinks>
    <hyperlink ref="C17" r:id="rId22" display="Gumgood000@outlook.com"/>
  </hyperlinks>
  <pageMargins left="0.7" right="0.7" top="0.75" bottom="0.75" header="0.3" footer="0.3"/>
  <pageSetup paperSize="9" orientation="portrait"/>
  <headerFooter/>
  <drawing r:id="rId1"/>
  <legacyDrawing r:id="rId2"/>
  <mc:AlternateContent xmlns:mc="http://schemas.openxmlformats.org/markup-compatibility/2006">
    <mc:Choice Requires="x14">
      <controls>
        <mc:AlternateContent xmlns:mc="http://schemas.openxmlformats.org/markup-compatibility/2006">
          <mc:Choice Requires="x14">
            <control shapeId="1025" name="Check Box 1" r:id="rId3">
              <controlPr defaultSize="0">
                <anchor moveWithCells="1">
                  <from>
                    <xdr:col>3</xdr:col>
                    <xdr:colOff>363220</xdr:colOff>
                    <xdr:row>1</xdr:row>
                    <xdr:rowOff>105410</xdr:rowOff>
                  </from>
                  <to>
                    <xdr:col>3</xdr:col>
                    <xdr:colOff>1039495</xdr:colOff>
                    <xdr:row>1</xdr:row>
                    <xdr:rowOff>306070</xdr:rowOff>
                  </to>
                </anchor>
              </controlPr>
            </control>
          </mc:Choice>
        </mc:AlternateContent>
        <mc:AlternateContent xmlns:mc="http://schemas.openxmlformats.org/markup-compatibility/2006">
          <mc:Choice Requires="x14">
            <control shapeId="1026" name="Check Box 2" r:id="rId4">
              <controlPr defaultSize="0">
                <anchor moveWithCells="1">
                  <from>
                    <xdr:col>3</xdr:col>
                    <xdr:colOff>363220</xdr:colOff>
                    <xdr:row>8</xdr:row>
                    <xdr:rowOff>105410</xdr:rowOff>
                  </from>
                  <to>
                    <xdr:col>3</xdr:col>
                    <xdr:colOff>1039495</xdr:colOff>
                    <xdr:row>8</xdr:row>
                    <xdr:rowOff>306070</xdr:rowOff>
                  </to>
                </anchor>
              </controlPr>
            </control>
          </mc:Choice>
        </mc:AlternateContent>
        <mc:AlternateContent xmlns:mc="http://schemas.openxmlformats.org/markup-compatibility/2006">
          <mc:Choice Requires="x14">
            <control shapeId="1027" name="Check Box 3" r:id="rId5">
              <controlPr defaultSize="0">
                <anchor moveWithCells="1">
                  <from>
                    <xdr:col>3</xdr:col>
                    <xdr:colOff>363220</xdr:colOff>
                    <xdr:row>9</xdr:row>
                    <xdr:rowOff>105410</xdr:rowOff>
                  </from>
                  <to>
                    <xdr:col>3</xdr:col>
                    <xdr:colOff>1039495</xdr:colOff>
                    <xdr:row>9</xdr:row>
                    <xdr:rowOff>306070</xdr:rowOff>
                  </to>
                </anchor>
              </controlPr>
            </control>
          </mc:Choice>
        </mc:AlternateContent>
        <mc:AlternateContent xmlns:mc="http://schemas.openxmlformats.org/markup-compatibility/2006">
          <mc:Choice Requires="x14">
            <control shapeId="1028" name="Check Box 4" r:id="rId6">
              <controlPr defaultSize="0">
                <anchor moveWithCells="1">
                  <from>
                    <xdr:col>3</xdr:col>
                    <xdr:colOff>363220</xdr:colOff>
                    <xdr:row>10</xdr:row>
                    <xdr:rowOff>0</xdr:rowOff>
                  </from>
                  <to>
                    <xdr:col>3</xdr:col>
                    <xdr:colOff>1039495</xdr:colOff>
                    <xdr:row>10</xdr:row>
                    <xdr:rowOff>200660</xdr:rowOff>
                  </to>
                </anchor>
              </controlPr>
            </control>
          </mc:Choice>
        </mc:AlternateContent>
        <mc:AlternateContent xmlns:mc="http://schemas.openxmlformats.org/markup-compatibility/2006">
          <mc:Choice Requires="x14">
            <control shapeId="1029" name="Check Box 5" r:id="rId7">
              <controlPr defaultSize="0">
                <anchor moveWithCells="1">
                  <from>
                    <xdr:col>3</xdr:col>
                    <xdr:colOff>363220</xdr:colOff>
                    <xdr:row>10</xdr:row>
                    <xdr:rowOff>105410</xdr:rowOff>
                  </from>
                  <to>
                    <xdr:col>3</xdr:col>
                    <xdr:colOff>1039495</xdr:colOff>
                    <xdr:row>10</xdr:row>
                    <xdr:rowOff>306070</xdr:rowOff>
                  </to>
                </anchor>
              </controlPr>
            </control>
          </mc:Choice>
        </mc:AlternateContent>
        <mc:AlternateContent xmlns:mc="http://schemas.openxmlformats.org/markup-compatibility/2006">
          <mc:Choice Requires="x14">
            <control shapeId="1030" name="Check Box 6" r:id="rId8">
              <controlPr defaultSize="0">
                <anchor moveWithCells="1">
                  <from>
                    <xdr:col>3</xdr:col>
                    <xdr:colOff>363220</xdr:colOff>
                    <xdr:row>11</xdr:row>
                    <xdr:rowOff>105410</xdr:rowOff>
                  </from>
                  <to>
                    <xdr:col>3</xdr:col>
                    <xdr:colOff>1039495</xdr:colOff>
                    <xdr:row>11</xdr:row>
                    <xdr:rowOff>306070</xdr:rowOff>
                  </to>
                </anchor>
              </controlPr>
            </control>
          </mc:Choice>
        </mc:AlternateContent>
        <mc:AlternateContent xmlns:mc="http://schemas.openxmlformats.org/markup-compatibility/2006">
          <mc:Choice Requires="x14">
            <control shapeId="1031" name="Check Box 7" r:id="rId9">
              <controlPr defaultSize="0">
                <anchor moveWithCells="1">
                  <from>
                    <xdr:col>3</xdr:col>
                    <xdr:colOff>363220</xdr:colOff>
                    <xdr:row>12</xdr:row>
                    <xdr:rowOff>105410</xdr:rowOff>
                  </from>
                  <to>
                    <xdr:col>3</xdr:col>
                    <xdr:colOff>1039495</xdr:colOff>
                    <xdr:row>12</xdr:row>
                    <xdr:rowOff>306070</xdr:rowOff>
                  </to>
                </anchor>
              </controlPr>
            </control>
          </mc:Choice>
        </mc:AlternateContent>
        <mc:AlternateContent xmlns:mc="http://schemas.openxmlformats.org/markup-compatibility/2006">
          <mc:Choice Requires="x14">
            <control shapeId="1032" name="Check Box 8" r:id="rId10">
              <controlPr defaultSize="0">
                <anchor moveWithCells="1">
                  <from>
                    <xdr:col>3</xdr:col>
                    <xdr:colOff>363220</xdr:colOff>
                    <xdr:row>12</xdr:row>
                    <xdr:rowOff>105410</xdr:rowOff>
                  </from>
                  <to>
                    <xdr:col>3</xdr:col>
                    <xdr:colOff>1039495</xdr:colOff>
                    <xdr:row>12</xdr:row>
                    <xdr:rowOff>306070</xdr:rowOff>
                  </to>
                </anchor>
              </controlPr>
            </control>
          </mc:Choice>
        </mc:AlternateContent>
        <mc:AlternateContent xmlns:mc="http://schemas.openxmlformats.org/markup-compatibility/2006">
          <mc:Choice Requires="x14">
            <control shapeId="1033" name="Check Box 9" r:id="rId11">
              <controlPr defaultSize="0">
                <anchor moveWithCells="1">
                  <from>
                    <xdr:col>3</xdr:col>
                    <xdr:colOff>363220</xdr:colOff>
                    <xdr:row>2</xdr:row>
                    <xdr:rowOff>105410</xdr:rowOff>
                  </from>
                  <to>
                    <xdr:col>3</xdr:col>
                    <xdr:colOff>1039495</xdr:colOff>
                    <xdr:row>2</xdr:row>
                    <xdr:rowOff>306070</xdr:rowOff>
                  </to>
                </anchor>
              </controlPr>
            </control>
          </mc:Choice>
        </mc:AlternateContent>
        <mc:AlternateContent xmlns:mc="http://schemas.openxmlformats.org/markup-compatibility/2006">
          <mc:Choice Requires="x14">
            <control shapeId="1034" name="Check Box 10" r:id="rId12">
              <controlPr defaultSize="0">
                <anchor moveWithCells="1">
                  <from>
                    <xdr:col>3</xdr:col>
                    <xdr:colOff>363220</xdr:colOff>
                    <xdr:row>3</xdr:row>
                    <xdr:rowOff>105410</xdr:rowOff>
                  </from>
                  <to>
                    <xdr:col>3</xdr:col>
                    <xdr:colOff>1039495</xdr:colOff>
                    <xdr:row>3</xdr:row>
                    <xdr:rowOff>306070</xdr:rowOff>
                  </to>
                </anchor>
              </controlPr>
            </control>
          </mc:Choice>
        </mc:AlternateContent>
        <mc:AlternateContent xmlns:mc="http://schemas.openxmlformats.org/markup-compatibility/2006">
          <mc:Choice Requires="x14">
            <control shapeId="1035" name="Check Box 11" r:id="rId13">
              <controlPr defaultSize="0">
                <anchor moveWithCells="1">
                  <from>
                    <xdr:col>3</xdr:col>
                    <xdr:colOff>363220</xdr:colOff>
                    <xdr:row>4</xdr:row>
                    <xdr:rowOff>105410</xdr:rowOff>
                  </from>
                  <to>
                    <xdr:col>3</xdr:col>
                    <xdr:colOff>1039495</xdr:colOff>
                    <xdr:row>4</xdr:row>
                    <xdr:rowOff>306070</xdr:rowOff>
                  </to>
                </anchor>
              </controlPr>
            </control>
          </mc:Choice>
        </mc:AlternateContent>
        <mc:AlternateContent xmlns:mc="http://schemas.openxmlformats.org/markup-compatibility/2006">
          <mc:Choice Requires="x14">
            <control shapeId="1036" name="Check Box 12" r:id="rId14">
              <controlPr defaultSize="0">
                <anchor moveWithCells="1">
                  <from>
                    <xdr:col>3</xdr:col>
                    <xdr:colOff>363220</xdr:colOff>
                    <xdr:row>5</xdr:row>
                    <xdr:rowOff>105410</xdr:rowOff>
                  </from>
                  <to>
                    <xdr:col>3</xdr:col>
                    <xdr:colOff>1039495</xdr:colOff>
                    <xdr:row>5</xdr:row>
                    <xdr:rowOff>306070</xdr:rowOff>
                  </to>
                </anchor>
              </controlPr>
            </control>
          </mc:Choice>
        </mc:AlternateContent>
        <mc:AlternateContent xmlns:mc="http://schemas.openxmlformats.org/markup-compatibility/2006">
          <mc:Choice Requires="x14">
            <control shapeId="1037" name="Check Box 13" r:id="rId15">
              <controlPr defaultSize="0">
                <anchor moveWithCells="1">
                  <from>
                    <xdr:col>3</xdr:col>
                    <xdr:colOff>363220</xdr:colOff>
                    <xdr:row>6</xdr:row>
                    <xdr:rowOff>105410</xdr:rowOff>
                  </from>
                  <to>
                    <xdr:col>3</xdr:col>
                    <xdr:colOff>1039495</xdr:colOff>
                    <xdr:row>6</xdr:row>
                    <xdr:rowOff>306070</xdr:rowOff>
                  </to>
                </anchor>
              </controlPr>
            </control>
          </mc:Choice>
        </mc:AlternateContent>
        <mc:AlternateContent xmlns:mc="http://schemas.openxmlformats.org/markup-compatibility/2006">
          <mc:Choice Requires="x14">
            <control shapeId="1038" name="Check Box 14" r:id="rId16">
              <controlPr defaultSize="0">
                <anchor moveWithCells="1">
                  <from>
                    <xdr:col>3</xdr:col>
                    <xdr:colOff>363220</xdr:colOff>
                    <xdr:row>7</xdr:row>
                    <xdr:rowOff>105410</xdr:rowOff>
                  </from>
                  <to>
                    <xdr:col>3</xdr:col>
                    <xdr:colOff>1039495</xdr:colOff>
                    <xdr:row>7</xdr:row>
                    <xdr:rowOff>306070</xdr:rowOff>
                  </to>
                </anchor>
              </controlPr>
            </control>
          </mc:Choice>
        </mc:AlternateContent>
        <mc:AlternateContent xmlns:mc="http://schemas.openxmlformats.org/markup-compatibility/2006">
          <mc:Choice Requires="x14">
            <control shapeId="1039" name="Check Box 15" r:id="rId17">
              <controlPr defaultSize="0">
                <anchor moveWithCells="1">
                  <from>
                    <xdr:col>3</xdr:col>
                    <xdr:colOff>363220</xdr:colOff>
                    <xdr:row>13</xdr:row>
                    <xdr:rowOff>105410</xdr:rowOff>
                  </from>
                  <to>
                    <xdr:col>3</xdr:col>
                    <xdr:colOff>1039495</xdr:colOff>
                    <xdr:row>13</xdr:row>
                    <xdr:rowOff>306070</xdr:rowOff>
                  </to>
                </anchor>
              </controlPr>
            </control>
          </mc:Choice>
        </mc:AlternateContent>
        <mc:AlternateContent xmlns:mc="http://schemas.openxmlformats.org/markup-compatibility/2006">
          <mc:Choice Requires="x14">
            <control shapeId="1040" name="Check Box 16" r:id="rId18">
              <controlPr defaultSize="0">
                <anchor moveWithCells="1">
                  <from>
                    <xdr:col>3</xdr:col>
                    <xdr:colOff>363220</xdr:colOff>
                    <xdr:row>14</xdr:row>
                    <xdr:rowOff>105410</xdr:rowOff>
                  </from>
                  <to>
                    <xdr:col>3</xdr:col>
                    <xdr:colOff>1039495</xdr:colOff>
                    <xdr:row>14</xdr:row>
                    <xdr:rowOff>306070</xdr:rowOff>
                  </to>
                </anchor>
              </controlPr>
            </control>
          </mc:Choice>
        </mc:AlternateContent>
        <mc:AlternateContent xmlns:mc="http://schemas.openxmlformats.org/markup-compatibility/2006">
          <mc:Choice Requires="x14">
            <control shapeId="1041" name="Check Box 17" r:id="rId19">
              <controlPr defaultSize="0">
                <anchor moveWithCells="1">
                  <from>
                    <xdr:col>3</xdr:col>
                    <xdr:colOff>363220</xdr:colOff>
                    <xdr:row>15</xdr:row>
                    <xdr:rowOff>105410</xdr:rowOff>
                  </from>
                  <to>
                    <xdr:col>3</xdr:col>
                    <xdr:colOff>1039495</xdr:colOff>
                    <xdr:row>15</xdr:row>
                    <xdr:rowOff>306070</xdr:rowOff>
                  </to>
                </anchor>
              </controlPr>
            </control>
          </mc:Choice>
        </mc:AlternateContent>
        <mc:AlternateContent xmlns:mc="http://schemas.openxmlformats.org/markup-compatibility/2006">
          <mc:Choice Requires="x14">
            <control shapeId="1042" name="Check Box 18" r:id="rId20">
              <controlPr defaultSize="0">
                <anchor moveWithCells="1">
                  <from>
                    <xdr:col>3</xdr:col>
                    <xdr:colOff>363220</xdr:colOff>
                    <xdr:row>16</xdr:row>
                    <xdr:rowOff>105410</xdr:rowOff>
                  </from>
                  <to>
                    <xdr:col>3</xdr:col>
                    <xdr:colOff>1039495</xdr:colOff>
                    <xdr:row>16</xdr:row>
                    <xdr:rowOff>306070</xdr:rowOff>
                  </to>
                </anchor>
              </controlPr>
            </control>
          </mc:Choice>
        </mc:AlternateContent>
      </controls>
    </mc:Choice>
  </mc:AlternateContent>
  <tableParts count="1">
    <tablePart r:id="rId2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93"/>
  <sheetViews>
    <sheetView tabSelected="1" workbookViewId="0">
      <selection activeCell="D26" sqref="D26"/>
    </sheetView>
  </sheetViews>
  <sheetFormatPr defaultColWidth="9" defaultRowHeight="13.5"/>
  <cols>
    <col min="1" max="1" width="9" style="30"/>
    <col min="2" max="2" width="13.75" style="30" customWidth="1"/>
    <col min="3" max="3" width="11.875" style="30" customWidth="1"/>
    <col min="4" max="4" width="15.5" style="30" customWidth="1"/>
    <col min="5" max="8" width="9" style="30"/>
    <col min="9" max="9" width="10.75" style="30" customWidth="1"/>
    <col min="10" max="11" width="9" style="30"/>
    <col min="12" max="12" width="10.375" style="30"/>
    <col min="13" max="15" width="9" style="30"/>
    <col min="16" max="17" width="10.375" style="30"/>
    <col min="18" max="18" width="9.125" style="30"/>
    <col min="19" max="19" width="9" style="30"/>
    <col min="20" max="20" width="10.375" style="30"/>
    <col min="21" max="21" width="9" style="30"/>
    <col min="22" max="23" width="9.125" style="30"/>
    <col min="24" max="24" width="15.875" style="30"/>
    <col min="25" max="25" width="10.375" style="30"/>
    <col min="26" max="26" width="10.5" style="30" customWidth="1"/>
    <col min="27" max="16384" width="9" style="30"/>
  </cols>
  <sheetData>
    <row r="1" s="30" customFormat="1" ht="18.75" customHeight="1" spans="1:26">
      <c r="A1" s="33" t="s">
        <v>36</v>
      </c>
      <c r="B1" s="34" t="s">
        <v>37</v>
      </c>
      <c r="C1" s="34"/>
      <c r="D1" s="35" t="s">
        <v>38</v>
      </c>
      <c r="E1" s="35"/>
      <c r="F1" s="35"/>
      <c r="G1" s="36" t="s">
        <v>39</v>
      </c>
      <c r="H1" s="36"/>
      <c r="I1" s="42" t="s">
        <v>40</v>
      </c>
      <c r="J1" s="43" t="s">
        <v>41</v>
      </c>
      <c r="K1" s="43"/>
      <c r="L1" s="43"/>
      <c r="M1" s="43"/>
      <c r="N1" s="43"/>
      <c r="O1" s="43"/>
      <c r="P1" s="43"/>
      <c r="Q1" s="43"/>
      <c r="R1" s="46" t="s">
        <v>42</v>
      </c>
      <c r="S1" s="46"/>
      <c r="T1" s="46"/>
      <c r="U1" s="46"/>
      <c r="V1" s="46"/>
      <c r="W1" s="46"/>
      <c r="X1" s="46"/>
      <c r="Y1" s="46"/>
      <c r="Z1" s="49" t="s">
        <v>43</v>
      </c>
    </row>
    <row r="2" s="30" customFormat="1" ht="18.75" spans="1:26">
      <c r="A2" s="33"/>
      <c r="B2" s="37" t="s">
        <v>44</v>
      </c>
      <c r="C2" s="37" t="s">
        <v>45</v>
      </c>
      <c r="D2" s="37" t="s">
        <v>46</v>
      </c>
      <c r="E2" s="37" t="s">
        <v>47</v>
      </c>
      <c r="F2" s="37" t="s">
        <v>48</v>
      </c>
      <c r="G2" s="37" t="s">
        <v>49</v>
      </c>
      <c r="H2" s="37" t="s">
        <v>50</v>
      </c>
      <c r="I2" s="37" t="s">
        <v>51</v>
      </c>
      <c r="J2" s="37" t="s">
        <v>52</v>
      </c>
      <c r="K2" s="37" t="s">
        <v>53</v>
      </c>
      <c r="L2" s="37" t="s">
        <v>54</v>
      </c>
      <c r="M2" s="37" t="s">
        <v>55</v>
      </c>
      <c r="N2" s="37" t="s">
        <v>56</v>
      </c>
      <c r="O2" s="37" t="s">
        <v>57</v>
      </c>
      <c r="P2" s="37" t="s">
        <v>58</v>
      </c>
      <c r="Q2" s="37" t="s">
        <v>59</v>
      </c>
      <c r="R2" s="37" t="s">
        <v>60</v>
      </c>
      <c r="S2" s="37" t="s">
        <v>61</v>
      </c>
      <c r="T2" s="37" t="s">
        <v>62</v>
      </c>
      <c r="U2" s="37" t="s">
        <v>63</v>
      </c>
      <c r="V2" s="37" t="s">
        <v>64</v>
      </c>
      <c r="W2" s="37" t="s">
        <v>65</v>
      </c>
      <c r="X2" s="37" t="s">
        <v>66</v>
      </c>
      <c r="Y2" s="37" t="s">
        <v>67</v>
      </c>
      <c r="Z2" s="37" t="s">
        <v>68</v>
      </c>
    </row>
    <row r="3" s="30" customFormat="1" ht="18.75" spans="1:26">
      <c r="A3" s="38" t="s">
        <v>69</v>
      </c>
      <c r="B3" s="39">
        <v>45352</v>
      </c>
      <c r="C3" s="38">
        <v>360</v>
      </c>
      <c r="D3" s="38">
        <v>111</v>
      </c>
      <c r="E3" s="38">
        <v>3.7</v>
      </c>
      <c r="F3" s="38">
        <v>52</v>
      </c>
      <c r="G3" s="38">
        <v>86</v>
      </c>
      <c r="H3" s="40">
        <v>8615</v>
      </c>
      <c r="I3" s="38" t="s">
        <v>70</v>
      </c>
      <c r="J3" s="38">
        <v>121</v>
      </c>
      <c r="K3" s="38">
        <v>164</v>
      </c>
      <c r="L3" s="44">
        <f t="shared" ref="L3:L9" si="0">M3/J3</f>
        <v>0.0578512396694215</v>
      </c>
      <c r="M3" s="38">
        <v>7</v>
      </c>
      <c r="N3" s="38">
        <v>1</v>
      </c>
      <c r="O3" s="38">
        <v>6</v>
      </c>
      <c r="P3" s="38">
        <v>346.73</v>
      </c>
      <c r="Q3" s="44">
        <v>1</v>
      </c>
      <c r="R3" s="38">
        <v>15985</v>
      </c>
      <c r="S3" s="38">
        <v>45</v>
      </c>
      <c r="T3" s="44">
        <f t="shared" ref="T3:T9" si="1">S3/R3</f>
        <v>0.00281513919299343</v>
      </c>
      <c r="U3" s="38">
        <v>0</v>
      </c>
      <c r="V3" s="38">
        <v>10.63</v>
      </c>
      <c r="W3" s="38">
        <v>0</v>
      </c>
      <c r="X3" s="38" t="e">
        <f t="shared" ref="X3:X9" si="2">V3/W3</f>
        <v>#DIV/0!</v>
      </c>
      <c r="Y3" s="44">
        <f t="shared" ref="Y3:Y9" si="3">U3/M3</f>
        <v>0</v>
      </c>
      <c r="Z3" s="38">
        <v>1</v>
      </c>
    </row>
    <row r="4" s="30" customFormat="1" ht="18.75" spans="1:26">
      <c r="A4" s="38" t="s">
        <v>71</v>
      </c>
      <c r="B4" s="39">
        <v>45353</v>
      </c>
      <c r="C4" s="38">
        <v>343</v>
      </c>
      <c r="D4" s="38">
        <v>117</v>
      </c>
      <c r="E4" s="38">
        <v>3.7</v>
      </c>
      <c r="F4" s="38">
        <v>52</v>
      </c>
      <c r="G4" s="38">
        <v>146</v>
      </c>
      <c r="H4" s="38">
        <v>10048</v>
      </c>
      <c r="I4" s="38" t="s">
        <v>70</v>
      </c>
      <c r="J4" s="38">
        <v>121</v>
      </c>
      <c r="K4" s="38">
        <v>157</v>
      </c>
      <c r="L4" s="44">
        <f t="shared" si="0"/>
        <v>0.140495867768595</v>
      </c>
      <c r="M4" s="38">
        <v>17</v>
      </c>
      <c r="N4" s="38">
        <v>1</v>
      </c>
      <c r="O4" s="38">
        <v>16</v>
      </c>
      <c r="P4" s="38">
        <v>846.63</v>
      </c>
      <c r="Q4" s="44">
        <v>1</v>
      </c>
      <c r="R4" s="38">
        <v>23374</v>
      </c>
      <c r="S4" s="38">
        <v>57</v>
      </c>
      <c r="T4" s="44">
        <f t="shared" si="1"/>
        <v>0.00243860699922991</v>
      </c>
      <c r="U4" s="38">
        <v>1</v>
      </c>
      <c r="V4" s="38">
        <v>18.54</v>
      </c>
      <c r="W4" s="38">
        <v>42.01</v>
      </c>
      <c r="X4" s="38">
        <f t="shared" si="2"/>
        <v>0.441323494406094</v>
      </c>
      <c r="Y4" s="44">
        <f t="shared" si="3"/>
        <v>0.0588235294117647</v>
      </c>
      <c r="Z4" s="38">
        <v>3</v>
      </c>
    </row>
    <row r="5" s="30" customFormat="1" ht="18.75" spans="1:26">
      <c r="A5" s="38" t="s">
        <v>72</v>
      </c>
      <c r="B5" s="39">
        <v>45354</v>
      </c>
      <c r="C5" s="38">
        <v>323</v>
      </c>
      <c r="D5" s="38">
        <v>115</v>
      </c>
      <c r="E5" s="38">
        <v>3.7</v>
      </c>
      <c r="F5" s="38">
        <v>51</v>
      </c>
      <c r="G5" s="38">
        <v>110</v>
      </c>
      <c r="H5" s="38">
        <v>10048</v>
      </c>
      <c r="I5" s="38" t="s">
        <v>70</v>
      </c>
      <c r="J5" s="38">
        <v>150</v>
      </c>
      <c r="K5" s="38">
        <v>217</v>
      </c>
      <c r="L5" s="44">
        <f t="shared" si="0"/>
        <v>0.126666666666667</v>
      </c>
      <c r="M5" s="38">
        <v>19</v>
      </c>
      <c r="N5" s="38">
        <v>1</v>
      </c>
      <c r="O5" s="38">
        <v>18</v>
      </c>
      <c r="P5" s="38">
        <v>945.01</v>
      </c>
      <c r="Q5" s="44">
        <v>1</v>
      </c>
      <c r="R5" s="38">
        <v>16135</v>
      </c>
      <c r="S5" s="38">
        <v>59</v>
      </c>
      <c r="T5" s="44">
        <f t="shared" si="1"/>
        <v>0.00365664704059498</v>
      </c>
      <c r="U5" s="38">
        <v>2</v>
      </c>
      <c r="V5" s="38">
        <v>19.97</v>
      </c>
      <c r="W5" s="38">
        <v>84.02</v>
      </c>
      <c r="X5" s="38">
        <f t="shared" si="2"/>
        <v>0.237681504403713</v>
      </c>
      <c r="Y5" s="44">
        <f t="shared" si="3"/>
        <v>0.105263157894737</v>
      </c>
      <c r="Z5" s="38">
        <v>2</v>
      </c>
    </row>
    <row r="6" s="30" customFormat="1" ht="18.75" spans="1:26">
      <c r="A6" s="38" t="s">
        <v>73</v>
      </c>
      <c r="B6" s="39">
        <v>45355</v>
      </c>
      <c r="C6" s="38">
        <v>310</v>
      </c>
      <c r="D6" s="38">
        <v>118</v>
      </c>
      <c r="E6" s="38">
        <v>3.7</v>
      </c>
      <c r="F6" s="38">
        <v>51</v>
      </c>
      <c r="G6" s="38">
        <v>85</v>
      </c>
      <c r="H6" s="38">
        <v>7118</v>
      </c>
      <c r="I6" s="38" t="s">
        <v>70</v>
      </c>
      <c r="J6" s="38">
        <v>160</v>
      </c>
      <c r="K6" s="38">
        <v>222</v>
      </c>
      <c r="L6" s="44">
        <f t="shared" si="0"/>
        <v>0.06875</v>
      </c>
      <c r="M6" s="38">
        <v>11</v>
      </c>
      <c r="N6" s="38">
        <v>3</v>
      </c>
      <c r="O6" s="38">
        <v>8</v>
      </c>
      <c r="P6" s="38">
        <v>439.53</v>
      </c>
      <c r="Q6" s="44">
        <v>1</v>
      </c>
      <c r="R6" s="38">
        <v>17653</v>
      </c>
      <c r="S6" s="38">
        <v>66</v>
      </c>
      <c r="T6" s="44">
        <f t="shared" si="1"/>
        <v>0.00373874129043222</v>
      </c>
      <c r="U6" s="38">
        <v>5</v>
      </c>
      <c r="V6" s="38">
        <v>20.93</v>
      </c>
      <c r="W6" s="38">
        <v>210.05</v>
      </c>
      <c r="X6" s="38">
        <f t="shared" si="2"/>
        <v>0.0996429421566294</v>
      </c>
      <c r="Y6" s="44">
        <f t="shared" si="3"/>
        <v>0.454545454545455</v>
      </c>
      <c r="Z6" s="38">
        <v>2</v>
      </c>
    </row>
    <row r="7" s="30" customFormat="1" ht="18.75" spans="1:26">
      <c r="A7" s="38" t="s">
        <v>74</v>
      </c>
      <c r="B7" s="39">
        <v>45356</v>
      </c>
      <c r="C7" s="38">
        <v>1496</v>
      </c>
      <c r="D7" s="38">
        <v>119</v>
      </c>
      <c r="E7" s="38">
        <v>3.8</v>
      </c>
      <c r="F7" s="38">
        <v>51</v>
      </c>
      <c r="G7" s="38">
        <v>97</v>
      </c>
      <c r="H7" s="38">
        <v>7452</v>
      </c>
      <c r="I7" s="38" t="s">
        <v>70</v>
      </c>
      <c r="J7" s="38">
        <v>194</v>
      </c>
      <c r="K7" s="38">
        <v>246</v>
      </c>
      <c r="L7" s="44">
        <f t="shared" si="0"/>
        <v>0.118556701030928</v>
      </c>
      <c r="M7" s="38">
        <v>23</v>
      </c>
      <c r="N7" s="38">
        <v>6</v>
      </c>
      <c r="O7" s="38">
        <v>17</v>
      </c>
      <c r="P7" s="38">
        <v>1092.74</v>
      </c>
      <c r="Q7" s="44">
        <v>1</v>
      </c>
      <c r="R7" s="38">
        <v>37594</v>
      </c>
      <c r="S7" s="38">
        <v>151</v>
      </c>
      <c r="T7" s="44">
        <f t="shared" si="1"/>
        <v>0.00401659839336064</v>
      </c>
      <c r="U7" s="38">
        <v>3</v>
      </c>
      <c r="V7" s="38">
        <v>56.35</v>
      </c>
      <c r="W7" s="38">
        <v>168.04</v>
      </c>
      <c r="X7" s="38">
        <f t="shared" si="2"/>
        <v>0.33533682456558</v>
      </c>
      <c r="Y7" s="44">
        <f t="shared" si="3"/>
        <v>0.130434782608696</v>
      </c>
      <c r="Z7" s="38">
        <v>0</v>
      </c>
    </row>
    <row r="8" s="30" customFormat="1" ht="18.75" spans="1:26">
      <c r="A8" s="38" t="s">
        <v>75</v>
      </c>
      <c r="B8" s="39">
        <v>45357</v>
      </c>
      <c r="C8" s="38">
        <v>1473</v>
      </c>
      <c r="D8" s="38">
        <v>119</v>
      </c>
      <c r="E8" s="38">
        <v>3.8</v>
      </c>
      <c r="F8" s="38">
        <v>52</v>
      </c>
      <c r="G8" s="38">
        <v>84</v>
      </c>
      <c r="H8" s="38">
        <v>7438</v>
      </c>
      <c r="I8" s="38" t="s">
        <v>70</v>
      </c>
      <c r="J8" s="38">
        <v>167</v>
      </c>
      <c r="K8" s="38">
        <v>209</v>
      </c>
      <c r="L8" s="44">
        <f t="shared" si="0"/>
        <v>0.0479041916167665</v>
      </c>
      <c r="M8" s="38">
        <v>8</v>
      </c>
      <c r="N8" s="38">
        <v>2</v>
      </c>
      <c r="O8" s="38">
        <v>6</v>
      </c>
      <c r="P8" s="38">
        <v>396.8</v>
      </c>
      <c r="Q8" s="44">
        <v>1</v>
      </c>
      <c r="R8" s="38">
        <v>35194</v>
      </c>
      <c r="S8" s="38">
        <v>138</v>
      </c>
      <c r="T8" s="44">
        <f t="shared" si="1"/>
        <v>0.00392112291867932</v>
      </c>
      <c r="U8" s="38">
        <v>3</v>
      </c>
      <c r="V8" s="38">
        <v>49.12</v>
      </c>
      <c r="W8" s="38">
        <v>126.03</v>
      </c>
      <c r="X8" s="38">
        <f t="shared" si="2"/>
        <v>0.389748472585892</v>
      </c>
      <c r="Y8" s="44">
        <f t="shared" si="3"/>
        <v>0.375</v>
      </c>
      <c r="Z8" s="38">
        <v>0</v>
      </c>
    </row>
    <row r="9" s="30" customFormat="1" ht="18.75" spans="1:26">
      <c r="A9" s="38" t="s">
        <v>76</v>
      </c>
      <c r="B9" s="39">
        <v>45358</v>
      </c>
      <c r="C9" s="38">
        <v>1465</v>
      </c>
      <c r="D9" s="38">
        <v>121</v>
      </c>
      <c r="E9" s="38">
        <v>3.7</v>
      </c>
      <c r="F9" s="38">
        <v>52</v>
      </c>
      <c r="G9" s="38">
        <v>84</v>
      </c>
      <c r="H9" s="38">
        <v>7438</v>
      </c>
      <c r="I9" s="38" t="s">
        <v>70</v>
      </c>
      <c r="J9" s="38">
        <v>228</v>
      </c>
      <c r="K9" s="38">
        <v>317</v>
      </c>
      <c r="L9" s="44">
        <f t="shared" si="0"/>
        <v>0.0833333333333333</v>
      </c>
      <c r="M9" s="38">
        <v>19</v>
      </c>
      <c r="N9" s="38">
        <v>2</v>
      </c>
      <c r="O9" s="38">
        <v>17</v>
      </c>
      <c r="P9" s="38">
        <v>941.49</v>
      </c>
      <c r="Q9" s="44">
        <v>1</v>
      </c>
      <c r="R9" s="38">
        <v>53471</v>
      </c>
      <c r="S9" s="38">
        <v>188</v>
      </c>
      <c r="T9" s="44">
        <f t="shared" si="1"/>
        <v>0.00351592451983318</v>
      </c>
      <c r="U9" s="38">
        <v>6</v>
      </c>
      <c r="V9" s="38">
        <v>59.69</v>
      </c>
      <c r="W9" s="38">
        <v>285.24</v>
      </c>
      <c r="X9" s="38">
        <f t="shared" si="2"/>
        <v>0.209262375543402</v>
      </c>
      <c r="Y9" s="44">
        <f t="shared" si="3"/>
        <v>0.315789473684211</v>
      </c>
      <c r="Z9" s="38">
        <v>1</v>
      </c>
    </row>
    <row r="10" s="30" customFormat="1" ht="18.75" spans="1:26">
      <c r="A10" s="41" t="s">
        <v>77</v>
      </c>
      <c r="B10" s="41"/>
      <c r="C10" s="41"/>
      <c r="D10" s="41"/>
      <c r="E10" s="41"/>
      <c r="F10" s="41"/>
      <c r="G10" s="41"/>
      <c r="H10" s="41"/>
      <c r="I10" s="41"/>
      <c r="J10" s="41">
        <v>1141</v>
      </c>
      <c r="K10" s="41">
        <v>1532</v>
      </c>
      <c r="L10" s="45">
        <f>AVERAGE(L3:L9)</f>
        <v>0.0919368571551016</v>
      </c>
      <c r="M10" s="41">
        <v>104</v>
      </c>
      <c r="N10" s="41">
        <v>16</v>
      </c>
      <c r="O10" s="41">
        <v>88</v>
      </c>
      <c r="P10" s="41">
        <v>5008.93</v>
      </c>
      <c r="Q10" s="47">
        <v>1</v>
      </c>
      <c r="R10" s="41">
        <v>199406</v>
      </c>
      <c r="S10" s="41">
        <v>704</v>
      </c>
      <c r="T10" s="47">
        <f t="shared" ref="T10:Y10" si="4">AVERAGE(T3:T9)</f>
        <v>0.00344325433644624</v>
      </c>
      <c r="U10" s="41">
        <v>20</v>
      </c>
      <c r="V10" s="41">
        <v>235.23</v>
      </c>
      <c r="W10" s="41">
        <v>915.39</v>
      </c>
      <c r="X10" s="48" t="e">
        <f t="shared" si="4"/>
        <v>#DIV/0!</v>
      </c>
      <c r="Y10" s="47">
        <f t="shared" si="4"/>
        <v>0.205693771163552</v>
      </c>
      <c r="Z10" s="41">
        <v>9</v>
      </c>
    </row>
    <row r="11" s="30" customFormat="1" ht="18.75" spans="1:26">
      <c r="A11" s="38" t="s">
        <v>69</v>
      </c>
      <c r="B11" s="39">
        <v>45359</v>
      </c>
      <c r="C11" s="38">
        <v>1454</v>
      </c>
      <c r="D11" s="38">
        <v>121</v>
      </c>
      <c r="E11" s="38">
        <v>3.7</v>
      </c>
      <c r="F11" s="38">
        <v>56</v>
      </c>
      <c r="G11" s="38">
        <v>73</v>
      </c>
      <c r="H11" s="38">
        <v>7239</v>
      </c>
      <c r="I11" s="38" t="s">
        <v>78</v>
      </c>
      <c r="J11" s="38">
        <v>253</v>
      </c>
      <c r="K11" s="38">
        <v>336</v>
      </c>
      <c r="L11" s="44">
        <f t="shared" ref="L11:L17" si="5">M11/J11</f>
        <v>0.146245059288538</v>
      </c>
      <c r="M11" s="38">
        <v>37</v>
      </c>
      <c r="N11" s="38">
        <v>3</v>
      </c>
      <c r="O11" s="38">
        <v>37</v>
      </c>
      <c r="P11" s="38">
        <v>1373.33</v>
      </c>
      <c r="Q11" s="44">
        <v>1</v>
      </c>
      <c r="R11" s="38">
        <v>43273</v>
      </c>
      <c r="S11" s="38">
        <v>207</v>
      </c>
      <c r="T11" s="44">
        <f t="shared" ref="T11:T17" si="6">S11/R11</f>
        <v>0.00478358329674393</v>
      </c>
      <c r="U11" s="38">
        <v>7</v>
      </c>
      <c r="V11" s="38">
        <v>76.24</v>
      </c>
      <c r="W11" s="38">
        <v>265.44</v>
      </c>
      <c r="X11" s="44">
        <f t="shared" ref="X11:X17" si="7">V11/W11</f>
        <v>0.287221217600964</v>
      </c>
      <c r="Y11" s="44">
        <f t="shared" ref="Y11:Y17" si="8">U11/M11</f>
        <v>0.189189189189189</v>
      </c>
      <c r="Z11" s="38">
        <v>1</v>
      </c>
    </row>
    <row r="12" s="30" customFormat="1" ht="18.75" spans="1:26">
      <c r="A12" s="38" t="s">
        <v>71</v>
      </c>
      <c r="B12" s="39">
        <v>45360</v>
      </c>
      <c r="C12" s="38">
        <v>1420</v>
      </c>
      <c r="D12" s="38">
        <v>122</v>
      </c>
      <c r="E12" s="38">
        <v>3.7</v>
      </c>
      <c r="F12" s="38">
        <v>56</v>
      </c>
      <c r="G12" s="38">
        <v>50</v>
      </c>
      <c r="H12" s="38">
        <v>3579</v>
      </c>
      <c r="I12" s="38" t="s">
        <v>78</v>
      </c>
      <c r="J12" s="38">
        <v>313</v>
      </c>
      <c r="K12" s="38">
        <v>419</v>
      </c>
      <c r="L12" s="44">
        <f t="shared" si="5"/>
        <v>0.150159744408946</v>
      </c>
      <c r="M12" s="38">
        <v>47</v>
      </c>
      <c r="N12" s="38">
        <v>4</v>
      </c>
      <c r="O12" s="38">
        <v>45</v>
      </c>
      <c r="P12" s="38">
        <v>1651.64</v>
      </c>
      <c r="Q12" s="44">
        <v>1</v>
      </c>
      <c r="R12" s="38">
        <v>38359</v>
      </c>
      <c r="S12" s="38">
        <v>244</v>
      </c>
      <c r="T12" s="44">
        <f t="shared" si="6"/>
        <v>0.00636095831486744</v>
      </c>
      <c r="U12" s="38">
        <v>9</v>
      </c>
      <c r="V12" s="38">
        <v>89.46</v>
      </c>
      <c r="W12" s="38">
        <v>331.8</v>
      </c>
      <c r="X12" s="44">
        <f t="shared" si="7"/>
        <v>0.269620253164557</v>
      </c>
      <c r="Y12" s="44">
        <f t="shared" si="8"/>
        <v>0.191489361702128</v>
      </c>
      <c r="Z12" s="38">
        <v>0</v>
      </c>
    </row>
    <row r="13" s="30" customFormat="1" ht="18.75" spans="1:26">
      <c r="A13" s="38" t="s">
        <v>72</v>
      </c>
      <c r="B13" s="39">
        <v>45361</v>
      </c>
      <c r="C13" s="38">
        <v>1373</v>
      </c>
      <c r="D13" s="38">
        <v>122</v>
      </c>
      <c r="E13" s="38">
        <v>3.7</v>
      </c>
      <c r="F13" s="38">
        <v>58</v>
      </c>
      <c r="G13" s="38">
        <v>29</v>
      </c>
      <c r="H13" s="38">
        <v>2726</v>
      </c>
      <c r="I13" s="38" t="s">
        <v>78</v>
      </c>
      <c r="J13" s="38"/>
      <c r="K13" s="38"/>
      <c r="L13" s="44" t="e">
        <f t="shared" si="5"/>
        <v>#DIV/0!</v>
      </c>
      <c r="M13" s="38"/>
      <c r="N13" s="38">
        <v>1</v>
      </c>
      <c r="O13" s="38">
        <v>0</v>
      </c>
      <c r="P13" s="38"/>
      <c r="Q13" s="38"/>
      <c r="R13" s="38"/>
      <c r="S13" s="38"/>
      <c r="T13" s="44" t="e">
        <f t="shared" si="6"/>
        <v>#DIV/0!</v>
      </c>
      <c r="U13" s="38"/>
      <c r="V13" s="38"/>
      <c r="W13" s="38"/>
      <c r="X13" s="44" t="e">
        <f t="shared" si="7"/>
        <v>#DIV/0!</v>
      </c>
      <c r="Y13" s="44" t="e">
        <f t="shared" si="8"/>
        <v>#DIV/0!</v>
      </c>
      <c r="Z13" s="38">
        <v>1</v>
      </c>
    </row>
    <row r="14" s="30" customFormat="1" ht="18.75" spans="1:26">
      <c r="A14" s="38" t="s">
        <v>73</v>
      </c>
      <c r="B14" s="39">
        <v>45362</v>
      </c>
      <c r="C14" s="38"/>
      <c r="D14" s="38"/>
      <c r="E14" s="38"/>
      <c r="F14" s="38"/>
      <c r="G14" s="38"/>
      <c r="H14" s="38"/>
      <c r="I14" s="38" t="s">
        <v>79</v>
      </c>
      <c r="J14" s="38"/>
      <c r="K14" s="38"/>
      <c r="L14" s="44" t="e">
        <f t="shared" si="5"/>
        <v>#DIV/0!</v>
      </c>
      <c r="M14" s="38"/>
      <c r="N14" s="38">
        <v>1</v>
      </c>
      <c r="O14" s="38">
        <v>0</v>
      </c>
      <c r="P14" s="38"/>
      <c r="Q14" s="38"/>
      <c r="R14" s="38"/>
      <c r="S14" s="38"/>
      <c r="T14" s="44" t="e">
        <f t="shared" si="6"/>
        <v>#DIV/0!</v>
      </c>
      <c r="U14" s="38"/>
      <c r="V14" s="38"/>
      <c r="W14" s="38"/>
      <c r="X14" s="44" t="e">
        <f t="shared" si="7"/>
        <v>#DIV/0!</v>
      </c>
      <c r="Y14" s="44" t="e">
        <f t="shared" si="8"/>
        <v>#DIV/0!</v>
      </c>
      <c r="Z14" s="38"/>
    </row>
    <row r="15" s="30" customFormat="1" ht="18.75" spans="1:26">
      <c r="A15" s="38" t="s">
        <v>74</v>
      </c>
      <c r="B15" s="39">
        <v>45363</v>
      </c>
      <c r="C15" s="38"/>
      <c r="D15" s="38"/>
      <c r="E15" s="38"/>
      <c r="F15" s="38"/>
      <c r="G15" s="38"/>
      <c r="H15" s="38"/>
      <c r="I15" s="38" t="s">
        <v>79</v>
      </c>
      <c r="J15" s="38"/>
      <c r="K15" s="38"/>
      <c r="L15" s="44" t="e">
        <f t="shared" si="5"/>
        <v>#DIV/0!</v>
      </c>
      <c r="M15" s="38"/>
      <c r="N15" s="38"/>
      <c r="O15" s="38">
        <v>0</v>
      </c>
      <c r="P15" s="38"/>
      <c r="Q15" s="38"/>
      <c r="R15" s="38"/>
      <c r="S15" s="38"/>
      <c r="T15" s="44" t="e">
        <f t="shared" si="6"/>
        <v>#DIV/0!</v>
      </c>
      <c r="U15" s="38"/>
      <c r="V15" s="38"/>
      <c r="W15" s="38"/>
      <c r="X15" s="44" t="e">
        <f t="shared" si="7"/>
        <v>#DIV/0!</v>
      </c>
      <c r="Y15" s="44" t="e">
        <f t="shared" si="8"/>
        <v>#DIV/0!</v>
      </c>
      <c r="Z15" s="38"/>
    </row>
    <row r="16" s="30" customFormat="1" ht="18.75" spans="1:26">
      <c r="A16" s="38" t="s">
        <v>75</v>
      </c>
      <c r="B16" s="39">
        <v>45364</v>
      </c>
      <c r="C16" s="38"/>
      <c r="D16" s="38"/>
      <c r="E16" s="38"/>
      <c r="F16" s="38"/>
      <c r="G16" s="38"/>
      <c r="H16" s="38"/>
      <c r="I16" s="38" t="s">
        <v>79</v>
      </c>
      <c r="J16" s="38"/>
      <c r="K16" s="38"/>
      <c r="L16" s="44" t="e">
        <f t="shared" si="5"/>
        <v>#DIV/0!</v>
      </c>
      <c r="M16" s="38"/>
      <c r="N16" s="38"/>
      <c r="O16" s="38">
        <v>0</v>
      </c>
      <c r="P16" s="38"/>
      <c r="Q16" s="38"/>
      <c r="R16" s="38"/>
      <c r="S16" s="38"/>
      <c r="T16" s="44" t="e">
        <f t="shared" si="6"/>
        <v>#DIV/0!</v>
      </c>
      <c r="U16" s="38"/>
      <c r="V16" s="38"/>
      <c r="W16" s="38"/>
      <c r="X16" s="44" t="e">
        <f t="shared" si="7"/>
        <v>#DIV/0!</v>
      </c>
      <c r="Y16" s="44" t="e">
        <f t="shared" si="8"/>
        <v>#DIV/0!</v>
      </c>
      <c r="Z16" s="38"/>
    </row>
    <row r="17" s="30" customFormat="1" ht="18.75" spans="1:26">
      <c r="A17" s="38" t="s">
        <v>76</v>
      </c>
      <c r="B17" s="39">
        <v>45365</v>
      </c>
      <c r="C17" s="38"/>
      <c r="D17" s="38"/>
      <c r="E17" s="38"/>
      <c r="F17" s="38"/>
      <c r="G17" s="38"/>
      <c r="H17" s="38"/>
      <c r="I17" s="38"/>
      <c r="J17" s="38"/>
      <c r="K17" s="38"/>
      <c r="L17" s="44" t="e">
        <f t="shared" si="5"/>
        <v>#DIV/0!</v>
      </c>
      <c r="M17" s="38"/>
      <c r="N17" s="38"/>
      <c r="O17" s="38">
        <v>0</v>
      </c>
      <c r="P17" s="38"/>
      <c r="Q17" s="38"/>
      <c r="R17" s="38"/>
      <c r="S17" s="38"/>
      <c r="T17" s="44" t="e">
        <f t="shared" si="6"/>
        <v>#DIV/0!</v>
      </c>
      <c r="U17" s="38"/>
      <c r="V17" s="38"/>
      <c r="W17" s="38"/>
      <c r="X17" s="44" t="e">
        <f t="shared" si="7"/>
        <v>#DIV/0!</v>
      </c>
      <c r="Y17" s="44" t="e">
        <f t="shared" si="8"/>
        <v>#DIV/0!</v>
      </c>
      <c r="Z17" s="38"/>
    </row>
    <row r="18" s="30" customFormat="1" ht="18.75" spans="1:26">
      <c r="A18" s="41" t="s">
        <v>77</v>
      </c>
      <c r="B18" s="41"/>
      <c r="C18" s="41"/>
      <c r="D18" s="41"/>
      <c r="E18" s="41"/>
      <c r="F18" s="41"/>
      <c r="G18" s="41"/>
      <c r="H18" s="41"/>
      <c r="I18" s="41"/>
      <c r="J18" s="41">
        <v>1141</v>
      </c>
      <c r="K18" s="41">
        <v>1532</v>
      </c>
      <c r="L18" s="45" t="e">
        <f>AVERAGE(L11:L17)</f>
        <v>#DIV/0!</v>
      </c>
      <c r="M18" s="41">
        <v>104</v>
      </c>
      <c r="N18" s="41">
        <v>16</v>
      </c>
      <c r="O18" s="41">
        <v>88</v>
      </c>
      <c r="P18" s="41">
        <v>5008.93</v>
      </c>
      <c r="Q18" s="47">
        <v>1</v>
      </c>
      <c r="R18" s="41">
        <v>199406</v>
      </c>
      <c r="S18" s="41">
        <v>704</v>
      </c>
      <c r="T18" s="47" t="e">
        <f t="shared" ref="T18:Y18" si="9">AVERAGE(T11:T17)</f>
        <v>#DIV/0!</v>
      </c>
      <c r="U18" s="41">
        <v>20</v>
      </c>
      <c r="V18" s="41">
        <v>235.23</v>
      </c>
      <c r="W18" s="41">
        <v>915.39</v>
      </c>
      <c r="X18" s="48" t="e">
        <f t="shared" si="9"/>
        <v>#DIV/0!</v>
      </c>
      <c r="Y18" s="47" t="e">
        <f t="shared" si="9"/>
        <v>#DIV/0!</v>
      </c>
      <c r="Z18" s="41">
        <v>9</v>
      </c>
    </row>
    <row r="19" s="30" customFormat="1" ht="18.75" spans="1:26">
      <c r="A19" s="38" t="s">
        <v>69</v>
      </c>
      <c r="B19" s="39">
        <v>45366</v>
      </c>
      <c r="C19" s="38"/>
      <c r="D19" s="38"/>
      <c r="E19" s="38"/>
      <c r="F19" s="38"/>
      <c r="G19" s="38"/>
      <c r="H19" s="38"/>
      <c r="I19" s="38"/>
      <c r="J19" s="38"/>
      <c r="K19" s="38"/>
      <c r="L19" s="38"/>
      <c r="M19" s="38"/>
      <c r="N19" s="38"/>
      <c r="O19" s="38"/>
      <c r="P19" s="38"/>
      <c r="Q19" s="38"/>
      <c r="R19" s="38"/>
      <c r="S19" s="38"/>
      <c r="T19" s="38"/>
      <c r="U19" s="38"/>
      <c r="V19" s="38"/>
      <c r="W19" s="38"/>
      <c r="X19" s="38"/>
      <c r="Y19" s="38"/>
      <c r="Z19" s="38"/>
    </row>
    <row r="20" s="30" customFormat="1" ht="18.75" spans="1:26">
      <c r="A20" s="38" t="s">
        <v>71</v>
      </c>
      <c r="B20" s="39">
        <v>45367</v>
      </c>
      <c r="C20" s="38"/>
      <c r="D20" s="38"/>
      <c r="E20" s="38"/>
      <c r="F20" s="38"/>
      <c r="G20" s="38"/>
      <c r="H20" s="38"/>
      <c r="I20" s="38"/>
      <c r="J20" s="38"/>
      <c r="K20" s="38"/>
      <c r="L20" s="38"/>
      <c r="M20" s="38"/>
      <c r="N20" s="38"/>
      <c r="O20" s="38"/>
      <c r="P20" s="38"/>
      <c r="Q20" s="38"/>
      <c r="R20" s="38"/>
      <c r="S20" s="38"/>
      <c r="T20" s="38"/>
      <c r="U20" s="38"/>
      <c r="V20" s="38"/>
      <c r="W20" s="38"/>
      <c r="X20" s="38"/>
      <c r="Y20" s="38"/>
      <c r="Z20" s="38"/>
    </row>
    <row r="21" s="30" customFormat="1" ht="18.75" spans="1:26">
      <c r="A21" s="38" t="s">
        <v>72</v>
      </c>
      <c r="B21" s="39">
        <v>45368</v>
      </c>
      <c r="C21" s="38"/>
      <c r="D21" s="38"/>
      <c r="E21" s="38"/>
      <c r="F21" s="38"/>
      <c r="G21" s="38"/>
      <c r="H21" s="38"/>
      <c r="I21" s="38"/>
      <c r="J21" s="38"/>
      <c r="K21" s="38"/>
      <c r="L21" s="38"/>
      <c r="M21" s="38"/>
      <c r="N21" s="38"/>
      <c r="O21" s="38"/>
      <c r="P21" s="38"/>
      <c r="Q21" s="38"/>
      <c r="R21" s="38"/>
      <c r="S21" s="38"/>
      <c r="T21" s="38"/>
      <c r="U21" s="38"/>
      <c r="V21" s="38"/>
      <c r="W21" s="38"/>
      <c r="X21" s="38"/>
      <c r="Y21" s="38"/>
      <c r="Z21" s="38"/>
    </row>
    <row r="22" s="30" customFormat="1" ht="18.75" spans="1:26">
      <c r="A22" s="38" t="s">
        <v>73</v>
      </c>
      <c r="B22" s="39">
        <v>45369</v>
      </c>
      <c r="C22" s="38"/>
      <c r="D22" s="38"/>
      <c r="E22" s="38"/>
      <c r="F22" s="38"/>
      <c r="G22" s="38"/>
      <c r="H22" s="38"/>
      <c r="I22" s="38"/>
      <c r="J22" s="38"/>
      <c r="K22" s="38"/>
      <c r="L22" s="38"/>
      <c r="M22" s="38"/>
      <c r="N22" s="38"/>
      <c r="O22" s="38"/>
      <c r="P22" s="38"/>
      <c r="Q22" s="38"/>
      <c r="R22" s="38"/>
      <c r="S22" s="38"/>
      <c r="T22" s="38"/>
      <c r="U22" s="38"/>
      <c r="V22" s="38"/>
      <c r="W22" s="38"/>
      <c r="X22" s="38"/>
      <c r="Y22" s="38"/>
      <c r="Z22" s="38"/>
    </row>
    <row r="23" s="30" customFormat="1" ht="18.75" spans="1:26">
      <c r="A23" s="38" t="s">
        <v>74</v>
      </c>
      <c r="B23" s="39">
        <v>45370</v>
      </c>
      <c r="C23" s="38"/>
      <c r="D23" s="38"/>
      <c r="E23" s="38"/>
      <c r="F23" s="38"/>
      <c r="G23" s="38"/>
      <c r="H23" s="38"/>
      <c r="I23" s="38"/>
      <c r="J23" s="38"/>
      <c r="K23" s="38"/>
      <c r="L23" s="38"/>
      <c r="M23" s="38"/>
      <c r="N23" s="38"/>
      <c r="O23" s="38"/>
      <c r="P23" s="38"/>
      <c r="Q23" s="38"/>
      <c r="R23" s="38"/>
      <c r="S23" s="38"/>
      <c r="T23" s="38"/>
      <c r="U23" s="38"/>
      <c r="V23" s="38"/>
      <c r="W23" s="38"/>
      <c r="X23" s="38"/>
      <c r="Y23" s="38"/>
      <c r="Z23" s="38"/>
    </row>
    <row r="24" s="30" customFormat="1" ht="18.75" spans="1:26">
      <c r="A24" s="38" t="s">
        <v>75</v>
      </c>
      <c r="B24" s="39">
        <v>45371</v>
      </c>
      <c r="C24" s="38"/>
      <c r="D24" s="38"/>
      <c r="E24" s="38"/>
      <c r="F24" s="38"/>
      <c r="G24" s="38"/>
      <c r="H24" s="38"/>
      <c r="I24" s="38"/>
      <c r="J24" s="38"/>
      <c r="K24" s="38"/>
      <c r="L24" s="38"/>
      <c r="M24" s="38"/>
      <c r="N24" s="38"/>
      <c r="O24" s="38"/>
      <c r="P24" s="38"/>
      <c r="Q24" s="38"/>
      <c r="R24" s="38"/>
      <c r="S24" s="38"/>
      <c r="T24" s="38"/>
      <c r="U24" s="38"/>
      <c r="V24" s="38"/>
      <c r="W24" s="38"/>
      <c r="X24" s="38"/>
      <c r="Y24" s="38"/>
      <c r="Z24" s="38"/>
    </row>
    <row r="25" s="30" customFormat="1" ht="18.75" spans="1:26">
      <c r="A25" s="38" t="s">
        <v>76</v>
      </c>
      <c r="B25" s="39">
        <v>45372</v>
      </c>
      <c r="C25" s="38"/>
      <c r="D25" s="38"/>
      <c r="E25" s="38"/>
      <c r="F25" s="38"/>
      <c r="G25" s="38"/>
      <c r="H25" s="38"/>
      <c r="I25" s="38"/>
      <c r="J25" s="38"/>
      <c r="K25" s="38"/>
      <c r="L25" s="38"/>
      <c r="M25" s="38"/>
      <c r="N25" s="38"/>
      <c r="O25" s="38"/>
      <c r="P25" s="38"/>
      <c r="Q25" s="38"/>
      <c r="R25" s="38"/>
      <c r="S25" s="38"/>
      <c r="T25" s="38"/>
      <c r="U25" s="38"/>
      <c r="V25" s="38"/>
      <c r="W25" s="38"/>
      <c r="X25" s="38"/>
      <c r="Y25" s="38"/>
      <c r="Z25" s="38"/>
    </row>
    <row r="26" s="30" customFormat="1" ht="18.75" spans="1:26">
      <c r="A26" s="41" t="s">
        <v>77</v>
      </c>
      <c r="B26" s="41"/>
      <c r="C26" s="41"/>
      <c r="D26" s="41"/>
      <c r="E26" s="41"/>
      <c r="F26" s="41"/>
      <c r="G26" s="41"/>
      <c r="H26" s="41"/>
      <c r="I26" s="41"/>
      <c r="J26" s="41">
        <v>1141</v>
      </c>
      <c r="K26" s="41">
        <v>1532</v>
      </c>
      <c r="L26" s="45" t="e">
        <f>AVERAGE(L19:L25)</f>
        <v>#DIV/0!</v>
      </c>
      <c r="M26" s="41">
        <v>104</v>
      </c>
      <c r="N26" s="41">
        <v>16</v>
      </c>
      <c r="O26" s="41">
        <v>88</v>
      </c>
      <c r="P26" s="41">
        <v>5008.93</v>
      </c>
      <c r="Q26" s="47">
        <v>1</v>
      </c>
      <c r="R26" s="41">
        <v>199406</v>
      </c>
      <c r="S26" s="41">
        <v>704</v>
      </c>
      <c r="T26" s="47" t="e">
        <f t="shared" ref="T26:Y26" si="10">AVERAGE(T19:T25)</f>
        <v>#DIV/0!</v>
      </c>
      <c r="U26" s="41">
        <v>20</v>
      </c>
      <c r="V26" s="41">
        <v>235.23</v>
      </c>
      <c r="W26" s="41">
        <v>915.39</v>
      </c>
      <c r="X26" s="48" t="e">
        <f t="shared" si="10"/>
        <v>#DIV/0!</v>
      </c>
      <c r="Y26" s="47" t="e">
        <f t="shared" si="10"/>
        <v>#DIV/0!</v>
      </c>
      <c r="Z26" s="41">
        <v>9</v>
      </c>
    </row>
    <row r="27" s="30" customFormat="1" ht="18.75" spans="1:26">
      <c r="A27" s="38" t="s">
        <v>69</v>
      </c>
      <c r="B27" s="39">
        <v>45373</v>
      </c>
      <c r="C27" s="38"/>
      <c r="D27" s="38"/>
      <c r="E27" s="38"/>
      <c r="F27" s="38"/>
      <c r="G27" s="38"/>
      <c r="H27" s="38"/>
      <c r="I27" s="38"/>
      <c r="J27" s="38"/>
      <c r="K27" s="38"/>
      <c r="L27" s="38"/>
      <c r="M27" s="38"/>
      <c r="N27" s="38"/>
      <c r="O27" s="38"/>
      <c r="P27" s="38"/>
      <c r="Q27" s="38"/>
      <c r="R27" s="38"/>
      <c r="S27" s="38"/>
      <c r="T27" s="38"/>
      <c r="U27" s="38"/>
      <c r="V27" s="38"/>
      <c r="W27" s="38"/>
      <c r="X27" s="38"/>
      <c r="Y27" s="38"/>
      <c r="Z27" s="38"/>
    </row>
    <row r="28" s="30" customFormat="1" ht="18.75" spans="1:26">
      <c r="A28" s="38" t="s">
        <v>71</v>
      </c>
      <c r="B28" s="39">
        <v>45374</v>
      </c>
      <c r="C28" s="38"/>
      <c r="D28" s="38"/>
      <c r="E28" s="38"/>
      <c r="F28" s="38"/>
      <c r="G28" s="38"/>
      <c r="H28" s="38"/>
      <c r="I28" s="38"/>
      <c r="J28" s="38"/>
      <c r="K28" s="38"/>
      <c r="L28" s="38"/>
      <c r="M28" s="38"/>
      <c r="N28" s="38"/>
      <c r="O28" s="38"/>
      <c r="P28" s="38"/>
      <c r="Q28" s="38"/>
      <c r="R28" s="38"/>
      <c r="S28" s="38"/>
      <c r="T28" s="38"/>
      <c r="U28" s="38"/>
      <c r="V28" s="38"/>
      <c r="W28" s="38"/>
      <c r="X28" s="38"/>
      <c r="Y28" s="38"/>
      <c r="Z28" s="38"/>
    </row>
    <row r="29" s="30" customFormat="1" ht="18.75" spans="1:26">
      <c r="A29" s="38" t="s">
        <v>72</v>
      </c>
      <c r="B29" s="39">
        <v>45375</v>
      </c>
      <c r="C29" s="38"/>
      <c r="D29" s="38"/>
      <c r="E29" s="38"/>
      <c r="F29" s="38"/>
      <c r="G29" s="38"/>
      <c r="H29" s="38"/>
      <c r="I29" s="38"/>
      <c r="J29" s="38"/>
      <c r="K29" s="38"/>
      <c r="L29" s="38"/>
      <c r="M29" s="38"/>
      <c r="N29" s="38"/>
      <c r="O29" s="38"/>
      <c r="P29" s="38"/>
      <c r="Q29" s="38"/>
      <c r="R29" s="38"/>
      <c r="S29" s="38"/>
      <c r="T29" s="38"/>
      <c r="U29" s="38"/>
      <c r="V29" s="38"/>
      <c r="W29" s="38"/>
      <c r="X29" s="38"/>
      <c r="Y29" s="38"/>
      <c r="Z29" s="38"/>
    </row>
    <row r="30" s="30" customFormat="1" ht="18.75" spans="1:26">
      <c r="A30" s="38" t="s">
        <v>73</v>
      </c>
      <c r="B30" s="39">
        <v>45376</v>
      </c>
      <c r="C30" s="38"/>
      <c r="D30" s="38"/>
      <c r="E30" s="38"/>
      <c r="F30" s="38"/>
      <c r="G30" s="38"/>
      <c r="H30" s="38"/>
      <c r="I30" s="38"/>
      <c r="J30" s="38"/>
      <c r="K30" s="38"/>
      <c r="L30" s="38"/>
      <c r="M30" s="38"/>
      <c r="N30" s="38"/>
      <c r="O30" s="38"/>
      <c r="P30" s="38"/>
      <c r="Q30" s="38"/>
      <c r="R30" s="38"/>
      <c r="S30" s="38"/>
      <c r="T30" s="38"/>
      <c r="U30" s="38"/>
      <c r="V30" s="38"/>
      <c r="W30" s="38"/>
      <c r="X30" s="38"/>
      <c r="Y30" s="38"/>
      <c r="Z30" s="38"/>
    </row>
    <row r="31" s="30" customFormat="1" ht="18.75" spans="1:26">
      <c r="A31" s="38" t="s">
        <v>74</v>
      </c>
      <c r="B31" s="39">
        <v>45377</v>
      </c>
      <c r="C31" s="38"/>
      <c r="D31" s="38"/>
      <c r="E31" s="38"/>
      <c r="F31" s="38"/>
      <c r="G31" s="38"/>
      <c r="H31" s="38"/>
      <c r="I31" s="38"/>
      <c r="J31" s="38"/>
      <c r="K31" s="38"/>
      <c r="L31" s="38"/>
      <c r="M31" s="38"/>
      <c r="N31" s="38"/>
      <c r="O31" s="38"/>
      <c r="P31" s="38"/>
      <c r="Q31" s="38"/>
      <c r="R31" s="38"/>
      <c r="S31" s="38"/>
      <c r="T31" s="38"/>
      <c r="U31" s="38"/>
      <c r="V31" s="38"/>
      <c r="W31" s="38"/>
      <c r="X31" s="38"/>
      <c r="Y31" s="38"/>
      <c r="Z31" s="38"/>
    </row>
    <row r="32" s="30" customFormat="1" ht="18.75" spans="1:26">
      <c r="A32" s="38" t="s">
        <v>75</v>
      </c>
      <c r="B32" s="39">
        <v>45378</v>
      </c>
      <c r="C32" s="38"/>
      <c r="D32" s="38"/>
      <c r="E32" s="38"/>
      <c r="F32" s="38"/>
      <c r="G32" s="38"/>
      <c r="H32" s="38"/>
      <c r="I32" s="38"/>
      <c r="J32" s="38"/>
      <c r="K32" s="38"/>
      <c r="L32" s="38"/>
      <c r="M32" s="38"/>
      <c r="N32" s="38"/>
      <c r="O32" s="38"/>
      <c r="P32" s="38"/>
      <c r="Q32" s="38"/>
      <c r="R32" s="38"/>
      <c r="S32" s="38"/>
      <c r="T32" s="38"/>
      <c r="U32" s="38"/>
      <c r="V32" s="38"/>
      <c r="W32" s="38"/>
      <c r="X32" s="38"/>
      <c r="Y32" s="38"/>
      <c r="Z32" s="38"/>
    </row>
    <row r="33" s="30" customFormat="1" ht="18.75" spans="1:26">
      <c r="A33" s="38" t="s">
        <v>76</v>
      </c>
      <c r="B33" s="39">
        <v>45379</v>
      </c>
      <c r="C33" s="38"/>
      <c r="D33" s="38"/>
      <c r="E33" s="38"/>
      <c r="F33" s="38"/>
      <c r="G33" s="38"/>
      <c r="H33" s="38"/>
      <c r="I33" s="38"/>
      <c r="J33" s="38"/>
      <c r="K33" s="38"/>
      <c r="L33" s="38"/>
      <c r="M33" s="38"/>
      <c r="N33" s="38"/>
      <c r="O33" s="38"/>
      <c r="P33" s="38"/>
      <c r="Q33" s="38"/>
      <c r="R33" s="38"/>
      <c r="S33" s="38"/>
      <c r="T33" s="38"/>
      <c r="U33" s="38"/>
      <c r="V33" s="38"/>
      <c r="W33" s="38"/>
      <c r="X33" s="38"/>
      <c r="Y33" s="38"/>
      <c r="Z33" s="38"/>
    </row>
    <row r="34" s="30" customFormat="1" ht="18.75" spans="1:26">
      <c r="A34" s="41" t="s">
        <v>77</v>
      </c>
      <c r="B34" s="41"/>
      <c r="C34" s="41"/>
      <c r="D34" s="41"/>
      <c r="E34" s="41"/>
      <c r="F34" s="41"/>
      <c r="G34" s="41"/>
      <c r="H34" s="41"/>
      <c r="I34" s="41"/>
      <c r="J34" s="41">
        <v>1141</v>
      </c>
      <c r="K34" s="41">
        <v>1532</v>
      </c>
      <c r="L34" s="45" t="e">
        <f>AVERAGE(L27:L33)</f>
        <v>#DIV/0!</v>
      </c>
      <c r="M34" s="41">
        <v>104</v>
      </c>
      <c r="N34" s="41">
        <v>16</v>
      </c>
      <c r="O34" s="41">
        <v>88</v>
      </c>
      <c r="P34" s="41">
        <v>5008.93</v>
      </c>
      <c r="Q34" s="47">
        <v>1</v>
      </c>
      <c r="R34" s="41">
        <v>199406</v>
      </c>
      <c r="S34" s="41">
        <v>704</v>
      </c>
      <c r="T34" s="47" t="e">
        <f t="shared" ref="T34:Y34" si="11">AVERAGE(T27:T33)</f>
        <v>#DIV/0!</v>
      </c>
      <c r="U34" s="41">
        <v>20</v>
      </c>
      <c r="V34" s="41">
        <v>235.23</v>
      </c>
      <c r="W34" s="41">
        <v>915.39</v>
      </c>
      <c r="X34" s="48" t="e">
        <f t="shared" si="11"/>
        <v>#DIV/0!</v>
      </c>
      <c r="Y34" s="47" t="e">
        <f t="shared" si="11"/>
        <v>#DIV/0!</v>
      </c>
      <c r="Z34" s="41">
        <v>9</v>
      </c>
    </row>
    <row r="35" s="30" customFormat="1" ht="18.75" spans="1:26">
      <c r="A35" s="38" t="s">
        <v>69</v>
      </c>
      <c r="B35" s="39">
        <v>45380</v>
      </c>
      <c r="C35" s="38"/>
      <c r="D35" s="38"/>
      <c r="E35" s="38"/>
      <c r="F35" s="38"/>
      <c r="G35" s="38"/>
      <c r="H35" s="38"/>
      <c r="I35" s="38"/>
      <c r="J35" s="38"/>
      <c r="K35" s="38"/>
      <c r="L35" s="38"/>
      <c r="M35" s="38"/>
      <c r="N35" s="38"/>
      <c r="O35" s="38"/>
      <c r="P35" s="38"/>
      <c r="Q35" s="38"/>
      <c r="R35" s="38"/>
      <c r="S35" s="38"/>
      <c r="T35" s="38"/>
      <c r="U35" s="38"/>
      <c r="V35" s="38"/>
      <c r="W35" s="38"/>
      <c r="X35" s="38"/>
      <c r="Y35" s="38"/>
      <c r="Z35" s="38"/>
    </row>
    <row r="36" s="30" customFormat="1" ht="18.75" spans="1:26">
      <c r="A36" s="38" t="s">
        <v>71</v>
      </c>
      <c r="B36" s="39">
        <v>45381</v>
      </c>
      <c r="C36" s="38"/>
      <c r="D36" s="38"/>
      <c r="E36" s="38"/>
      <c r="F36" s="38"/>
      <c r="G36" s="38"/>
      <c r="H36" s="38"/>
      <c r="I36" s="38"/>
      <c r="J36" s="38"/>
      <c r="K36" s="38"/>
      <c r="L36" s="38"/>
      <c r="M36" s="38"/>
      <c r="N36" s="38"/>
      <c r="O36" s="38"/>
      <c r="P36" s="38"/>
      <c r="Q36" s="38"/>
      <c r="R36" s="38"/>
      <c r="S36" s="38"/>
      <c r="T36" s="38"/>
      <c r="U36" s="38"/>
      <c r="V36" s="38"/>
      <c r="W36" s="38"/>
      <c r="X36" s="38"/>
      <c r="Y36" s="38"/>
      <c r="Z36" s="38"/>
    </row>
    <row r="37" s="30" customFormat="1" ht="18.75" spans="1:26">
      <c r="A37" s="38" t="s">
        <v>72</v>
      </c>
      <c r="B37" s="39">
        <v>45382</v>
      </c>
      <c r="C37" s="38"/>
      <c r="D37" s="38"/>
      <c r="E37" s="38"/>
      <c r="F37" s="38"/>
      <c r="G37" s="38"/>
      <c r="H37" s="38"/>
      <c r="I37" s="38"/>
      <c r="J37" s="38"/>
      <c r="K37" s="38"/>
      <c r="L37" s="38"/>
      <c r="M37" s="38"/>
      <c r="N37" s="38"/>
      <c r="O37" s="38"/>
      <c r="P37" s="38"/>
      <c r="Q37" s="38"/>
      <c r="R37" s="38"/>
      <c r="S37" s="38"/>
      <c r="T37" s="38"/>
      <c r="U37" s="38"/>
      <c r="V37" s="38"/>
      <c r="W37" s="38"/>
      <c r="X37" s="38"/>
      <c r="Y37" s="38"/>
      <c r="Z37" s="38"/>
    </row>
    <row r="38" s="30" customFormat="1" ht="18.75" spans="1:26">
      <c r="A38" s="38" t="s">
        <v>73</v>
      </c>
      <c r="B38" s="39">
        <v>45383</v>
      </c>
      <c r="C38" s="38"/>
      <c r="D38" s="38"/>
      <c r="E38" s="38"/>
      <c r="F38" s="38"/>
      <c r="G38" s="38"/>
      <c r="H38" s="38"/>
      <c r="I38" s="38"/>
      <c r="J38" s="38"/>
      <c r="K38" s="38"/>
      <c r="L38" s="38"/>
      <c r="M38" s="38"/>
      <c r="N38" s="38"/>
      <c r="O38" s="38"/>
      <c r="P38" s="38"/>
      <c r="Q38" s="38"/>
      <c r="R38" s="38"/>
      <c r="S38" s="38"/>
      <c r="T38" s="38"/>
      <c r="U38" s="38"/>
      <c r="V38" s="38"/>
      <c r="W38" s="38"/>
      <c r="X38" s="38"/>
      <c r="Y38" s="38"/>
      <c r="Z38" s="38"/>
    </row>
    <row r="39" s="30" customFormat="1" ht="18.75" spans="1:26">
      <c r="A39" s="38" t="s">
        <v>74</v>
      </c>
      <c r="B39" s="39">
        <v>45384</v>
      </c>
      <c r="C39" s="38"/>
      <c r="D39" s="38"/>
      <c r="E39" s="38"/>
      <c r="F39" s="38"/>
      <c r="G39" s="38"/>
      <c r="H39" s="38"/>
      <c r="I39" s="38"/>
      <c r="J39" s="38"/>
      <c r="K39" s="38"/>
      <c r="L39" s="38"/>
      <c r="M39" s="38"/>
      <c r="N39" s="38"/>
      <c r="O39" s="38"/>
      <c r="P39" s="38"/>
      <c r="Q39" s="38"/>
      <c r="R39" s="38"/>
      <c r="S39" s="38"/>
      <c r="T39" s="38"/>
      <c r="U39" s="38"/>
      <c r="V39" s="38"/>
      <c r="W39" s="38"/>
      <c r="X39" s="38"/>
      <c r="Y39" s="38"/>
      <c r="Z39" s="38"/>
    </row>
    <row r="40" s="30" customFormat="1" ht="18.75" spans="1:26">
      <c r="A40" s="38" t="s">
        <v>75</v>
      </c>
      <c r="B40" s="39">
        <v>45385</v>
      </c>
      <c r="C40" s="38"/>
      <c r="D40" s="38"/>
      <c r="E40" s="38"/>
      <c r="F40" s="38"/>
      <c r="G40" s="38"/>
      <c r="H40" s="38"/>
      <c r="I40" s="38"/>
      <c r="J40" s="38"/>
      <c r="K40" s="38"/>
      <c r="L40" s="38"/>
      <c r="M40" s="38"/>
      <c r="N40" s="38"/>
      <c r="O40" s="38"/>
      <c r="P40" s="38"/>
      <c r="Q40" s="38"/>
      <c r="R40" s="38"/>
      <c r="S40" s="38"/>
      <c r="T40" s="38"/>
      <c r="U40" s="38"/>
      <c r="V40" s="38"/>
      <c r="W40" s="38"/>
      <c r="X40" s="38"/>
      <c r="Y40" s="38"/>
      <c r="Z40" s="38"/>
    </row>
    <row r="41" s="30" customFormat="1" ht="18.75" spans="1:26">
      <c r="A41" s="38" t="s">
        <v>76</v>
      </c>
      <c r="B41" s="39">
        <v>45386</v>
      </c>
      <c r="C41" s="38"/>
      <c r="D41" s="38"/>
      <c r="E41" s="38"/>
      <c r="F41" s="38"/>
      <c r="G41" s="38"/>
      <c r="H41" s="38"/>
      <c r="I41" s="38"/>
      <c r="J41" s="38"/>
      <c r="K41" s="38"/>
      <c r="L41" s="38"/>
      <c r="M41" s="38"/>
      <c r="N41" s="38"/>
      <c r="O41" s="38"/>
      <c r="P41" s="38"/>
      <c r="Q41" s="38"/>
      <c r="R41" s="38"/>
      <c r="S41" s="38"/>
      <c r="T41" s="38"/>
      <c r="U41" s="38"/>
      <c r="V41" s="38"/>
      <c r="W41" s="38"/>
      <c r="X41" s="38"/>
      <c r="Y41" s="38"/>
      <c r="Z41" s="38"/>
    </row>
    <row r="42" s="30" customFormat="1" ht="18.75" spans="1:26">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30" customFormat="1" ht="18.75" spans="1:26">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30" customFormat="1" ht="18.75" spans="1:26">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30" customFormat="1" ht="18.75" spans="1:26">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30" customFormat="1" ht="18.75" spans="1:2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30" customFormat="1" ht="18.75" spans="1:26">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30" customFormat="1" ht="18.75" spans="1:26">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30" customFormat="1" ht="18.75" spans="1:26">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30" customFormat="1" ht="18.75" spans="1:26">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30" customFormat="1" ht="18.75" spans="1:26">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30" customFormat="1" ht="18.75" spans="1:26">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30" customFormat="1" ht="18.75" spans="1:26">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30" customFormat="1" ht="18.75" spans="1:26">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30" customFormat="1" ht="18.75" spans="1:26">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30" customFormat="1" ht="18.75" spans="1:2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30" customFormat="1" ht="18.75" spans="1:26">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30" customFormat="1" ht="18.75" spans="1:26">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30" customFormat="1" ht="18.75" spans="1:26">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30" customFormat="1" ht="18.75" spans="1:26">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30" customFormat="1" ht="18.75" spans="1:26">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30" customFormat="1" ht="18.75" spans="1:26">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30" customFormat="1" ht="18.75" spans="1:26">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30" customFormat="1" ht="18.75" spans="1:26">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30" customFormat="1" ht="18.75" spans="1:26">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30" customFormat="1" ht="18.75" spans="1:2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30" customFormat="1" ht="18.75" spans="1:26">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30" customFormat="1" ht="18.75" spans="1:26">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30" customFormat="1" ht="18.75" spans="1:26">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30" customFormat="1" ht="18.75" spans="1:26">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30" customFormat="1" ht="18.75" spans="1:26">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30" customFormat="1" ht="18.75" spans="1:26">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30" customFormat="1" ht="18.75" spans="1:26">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30" customFormat="1" ht="18.75" spans="1:26">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30" customFormat="1" ht="18.75" spans="1:26">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30" customFormat="1" ht="18.75" spans="1:2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30" customFormat="1" ht="18.75" spans="1:26">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30" customFormat="1" ht="18.75" spans="1:26">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30" customFormat="1" ht="18.75" spans="1:26">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30" customFormat="1" ht="18.75" spans="1:26">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30" customFormat="1" ht="18.75" spans="1:26">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30" customFormat="1" ht="18.75" spans="1:26">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30" customFormat="1" ht="18.75" spans="1:26">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30" customFormat="1" ht="18.75" spans="1:26">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30" customFormat="1" ht="18.75" spans="1:26">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30" customFormat="1" ht="18.75" spans="1:2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30" customFormat="1" ht="18.75" spans="1:26">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30" customFormat="1" ht="18.75" spans="1:26">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30" customFormat="1" ht="18.75" spans="1:26">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30" customFormat="1" ht="18.75" spans="1:26">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30" customFormat="1" ht="18.75" spans="1:26">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30" customFormat="1" ht="18.75" spans="1:26">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30" customFormat="1" ht="18.75" spans="1:26">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30" customFormat="1" ht="18.75" spans="1:26">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30" customFormat="1" ht="18.75" spans="1:26">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30" customFormat="1" ht="18.75" spans="1:2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30" customFormat="1" ht="18.75" spans="1:26">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30" customFormat="1" ht="18.75" spans="1:26">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30" customFormat="1" ht="18.75" spans="1:26">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30" customFormat="1" ht="18.75" spans="1:26">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30" customFormat="1" ht="18.75" spans="1:26">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30" customFormat="1" ht="18.75" spans="1:26">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30" customFormat="1" ht="18.75" spans="1:26">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30" customFormat="1" ht="18.75" spans="1:26">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30" customFormat="1" ht="18.75" spans="1:26">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30" customFormat="1" ht="18.75" spans="1:2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30" customFormat="1" ht="18.75" spans="1:26">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30" customFormat="1" ht="18.75" spans="1:26">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30" customFormat="1" ht="18.75" spans="1:26">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30" customFormat="1" ht="18.75" spans="1:26">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30" customFormat="1" ht="18.75" spans="1:26">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30" customFormat="1" ht="18.75" spans="1:26">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30" customFormat="1" ht="18.75" spans="1:26">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30" customFormat="1" ht="18.75" spans="1:26">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30" customFormat="1" ht="18.75" spans="1:26">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30" customFormat="1" ht="18.75" spans="1:2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30" customFormat="1" ht="18.75" spans="1:26">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30" customFormat="1" ht="18.75" spans="1:26">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30" customFormat="1" ht="18.75" spans="1:26">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30" customFormat="1" ht="18.75" spans="1:26">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30" customFormat="1" ht="18.75" spans="1:26">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30" customFormat="1" ht="18.75" spans="1:26">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30" customFormat="1" ht="18.75" spans="1:26">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30" customFormat="1" ht="18.75" spans="1:26">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30" customFormat="1" ht="18.75" spans="1:26">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30" customFormat="1" ht="18.75" spans="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30" customFormat="1" ht="18.75" spans="1:26">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30" customFormat="1" ht="18.75" spans="1:26">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30" customFormat="1" ht="18.75" spans="1:26">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30" customFormat="1" ht="18.75" spans="1:26">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30" customFormat="1" ht="18.75" spans="1:26">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30" customFormat="1" ht="18.75" spans="1:26">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30" customFormat="1" ht="18.75" spans="1:26">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30" customFormat="1" ht="18.75" spans="1:26">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30" customFormat="1" ht="18.75" spans="1:26">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30" customFormat="1" ht="18.75" spans="1:2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30" customFormat="1" ht="18.75" spans="1:26">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30" customFormat="1" ht="18.75" spans="1:26">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30" customFormat="1" ht="18.75" spans="1:26">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30" customFormat="1" ht="18.75" spans="1:26">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30" customFormat="1" ht="18.75" spans="1:26">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30" customFormat="1" ht="18.75" spans="1:26">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30" customFormat="1" ht="18.75" spans="1:26">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30" customFormat="1" ht="18.75" spans="1:26">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30" customFormat="1" ht="18.75" spans="1:26">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30" customFormat="1" ht="18.75" spans="1:2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30" customFormat="1" ht="18.75" spans="1:26">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30" customFormat="1" ht="18.75" spans="1:26">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30" customFormat="1" ht="18.75" spans="1:26">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30" customFormat="1" ht="18.75" spans="1:26">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30" customFormat="1" ht="18.75" spans="1:26">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30" customFormat="1" ht="18.75" spans="1:26">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30" customFormat="1" ht="18.75" spans="1:26">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30" customFormat="1" ht="18.75" spans="1:26">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30" customFormat="1" ht="18.75" spans="1:26">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30" customFormat="1" ht="18.75" spans="1:2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30" customFormat="1" ht="18.75" spans="1:26">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30" customFormat="1" ht="18.75" spans="1:26">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30" customFormat="1" ht="18.75" spans="1:26">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30" customFormat="1" ht="18.75" spans="1:26">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30" customFormat="1" ht="18.75" spans="1:26">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30" customFormat="1" ht="18.75" spans="1:26">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30" customFormat="1" ht="18.75" spans="1:26">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30" customFormat="1" ht="18.75" spans="1:26">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30" customFormat="1" ht="18.75" spans="1:26">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30" customFormat="1" ht="18.75" spans="1:2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30" customFormat="1" ht="18.75" spans="1:26">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30" customFormat="1" ht="18.75" spans="1:26">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30" customFormat="1" ht="18.75" spans="1:26">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30" customFormat="1" ht="18.75" spans="1:26">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30" customFormat="1" ht="18.75" spans="1:26">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30" customFormat="1" ht="18.75" spans="1:26">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30" customFormat="1" ht="18.75" spans="1:26">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30" customFormat="1" ht="18.75" spans="1:26">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30" customFormat="1" ht="18.75" spans="1:26">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30" customFormat="1" ht="18.75" spans="1:2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30" customFormat="1" ht="18.75" spans="1:26">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30" customFormat="1" ht="18.75" spans="1:26">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30" customFormat="1" ht="18.75" spans="1:26">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30" customFormat="1" ht="18.75" spans="1:26">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30" customFormat="1" ht="18.75" spans="1:26">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30" customFormat="1" ht="18.75" spans="1:26">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30" customFormat="1" ht="18.75" spans="1:26">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30" customFormat="1" ht="18.75" spans="1:26">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30" customFormat="1" ht="18.75" spans="1:26">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30" customFormat="1" ht="18.75" spans="1:2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30" customFormat="1" ht="18.75" spans="1:26">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30" customFormat="1" ht="18.75" spans="1:26">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30" customFormat="1" ht="18.75" spans="1:26">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30" customFormat="1" ht="18.75" spans="1:26">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30" customFormat="1" ht="18.75" spans="1:26">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30" customFormat="1" ht="18.75" spans="1:26">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30" customFormat="1" ht="18.75" spans="1:26">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sheetData>
  <mergeCells count="6">
    <mergeCell ref="B1:C1"/>
    <mergeCell ref="D1:F1"/>
    <mergeCell ref="G1:H1"/>
    <mergeCell ref="J1:Q1"/>
    <mergeCell ref="R1:Y1"/>
    <mergeCell ref="A1:A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
  <sheetViews>
    <sheetView workbookViewId="0">
      <selection activeCell="K3" sqref="K3"/>
    </sheetView>
  </sheetViews>
  <sheetFormatPr defaultColWidth="20" defaultRowHeight="39.95" customHeight="1"/>
  <cols>
    <col min="1" max="1" width="13.3833333333333" style="12" customWidth="1"/>
    <col min="2" max="3" width="20" style="25" customWidth="1"/>
    <col min="4" max="4" width="20" style="12" customWidth="1"/>
    <col min="5" max="5" width="23.2333333333333" style="12" customWidth="1"/>
    <col min="6" max="6" width="13.0833333333333" style="12" customWidth="1"/>
    <col min="7" max="7" width="29.5583333333333" style="12" customWidth="1"/>
    <col min="8" max="16384" width="20" style="12"/>
  </cols>
  <sheetData>
    <row r="1" s="12" customFormat="1" customHeight="1" spans="1:13">
      <c r="A1" s="26" t="s">
        <v>80</v>
      </c>
      <c r="B1" s="26" t="s">
        <v>81</v>
      </c>
      <c r="C1" s="26" t="s">
        <v>82</v>
      </c>
      <c r="D1" s="27" t="s">
        <v>83</v>
      </c>
      <c r="E1" s="27" t="s">
        <v>84</v>
      </c>
      <c r="F1" s="27" t="s">
        <v>47</v>
      </c>
      <c r="G1" s="27" t="s">
        <v>85</v>
      </c>
      <c r="H1" s="27" t="s">
        <v>86</v>
      </c>
      <c r="I1" s="27" t="s">
        <v>87</v>
      </c>
      <c r="J1" s="27" t="s">
        <v>88</v>
      </c>
      <c r="K1" s="27" t="s">
        <v>89</v>
      </c>
      <c r="L1" s="27" t="s">
        <v>90</v>
      </c>
      <c r="M1" s="32" t="s">
        <v>91</v>
      </c>
    </row>
    <row r="2" s="12" customFormat="1" customHeight="1" spans="2:9">
      <c r="B2" s="25">
        <v>45352</v>
      </c>
      <c r="C2" s="25"/>
      <c r="D2" s="12" t="s">
        <v>92</v>
      </c>
      <c r="E2" s="28" t="s">
        <v>93</v>
      </c>
      <c r="F2" s="12">
        <v>5</v>
      </c>
      <c r="G2" s="28" t="s">
        <v>94</v>
      </c>
      <c r="H2" s="12" t="s">
        <v>95</v>
      </c>
      <c r="I2" s="12" t="s">
        <v>96</v>
      </c>
    </row>
    <row r="3" s="12" customFormat="1" customHeight="1" spans="2:9">
      <c r="B3" s="25">
        <v>45352</v>
      </c>
      <c r="C3" s="25"/>
      <c r="D3" s="29" t="s">
        <v>97</v>
      </c>
      <c r="E3" s="30" t="s">
        <v>98</v>
      </c>
      <c r="F3" s="12">
        <v>5</v>
      </c>
      <c r="G3" s="30" t="s">
        <v>99</v>
      </c>
      <c r="H3" s="31" t="s">
        <v>100</v>
      </c>
      <c r="I3" s="12" t="s">
        <v>101</v>
      </c>
    </row>
    <row r="4" s="12" customFormat="1" customHeight="1" spans="2:9">
      <c r="B4" s="25">
        <v>45353</v>
      </c>
      <c r="C4" s="25"/>
      <c r="D4" s="29" t="s">
        <v>102</v>
      </c>
      <c r="E4" s="28" t="s">
        <v>103</v>
      </c>
      <c r="F4" s="12">
        <v>5</v>
      </c>
      <c r="G4" s="28" t="s">
        <v>104</v>
      </c>
      <c r="H4" s="31" t="s">
        <v>105</v>
      </c>
      <c r="I4" s="12" t="s">
        <v>106</v>
      </c>
    </row>
    <row r="5" s="12" customFormat="1" customHeight="1" spans="2:9">
      <c r="B5" s="25">
        <v>45353</v>
      </c>
      <c r="C5" s="25"/>
      <c r="D5" s="29" t="s">
        <v>107</v>
      </c>
      <c r="E5" s="28" t="s">
        <v>108</v>
      </c>
      <c r="F5" s="12">
        <v>5</v>
      </c>
      <c r="G5" s="28" t="s">
        <v>109</v>
      </c>
      <c r="H5" s="12" t="s">
        <v>110</v>
      </c>
      <c r="I5" s="12" t="s">
        <v>111</v>
      </c>
    </row>
    <row r="6" s="12" customFormat="1" customHeight="1" spans="2:9">
      <c r="B6" s="25">
        <v>45353</v>
      </c>
      <c r="C6" s="25"/>
      <c r="D6" s="29" t="s">
        <v>112</v>
      </c>
      <c r="E6" s="30" t="s">
        <v>113</v>
      </c>
      <c r="F6" s="12">
        <v>5</v>
      </c>
      <c r="G6" s="28" t="s">
        <v>114</v>
      </c>
      <c r="H6" s="29" t="s">
        <v>112</v>
      </c>
      <c r="I6" s="12" t="s">
        <v>115</v>
      </c>
    </row>
    <row r="7" s="12" customFormat="1" customHeight="1" spans="2:9">
      <c r="B7" s="25">
        <v>45353</v>
      </c>
      <c r="C7" s="25"/>
      <c r="D7" s="12" t="s">
        <v>116</v>
      </c>
      <c r="E7" s="30" t="s">
        <v>113</v>
      </c>
      <c r="F7" s="12">
        <v>5</v>
      </c>
      <c r="G7" s="28" t="s">
        <v>117</v>
      </c>
      <c r="H7" s="12" t="s">
        <v>118</v>
      </c>
      <c r="I7" s="12" t="s">
        <v>115</v>
      </c>
    </row>
    <row r="8" s="12" customFormat="1" customHeight="1" spans="2:9">
      <c r="B8" s="25">
        <v>45353</v>
      </c>
      <c r="C8" s="25"/>
      <c r="D8" s="29" t="s">
        <v>119</v>
      </c>
      <c r="E8" s="28" t="s">
        <v>120</v>
      </c>
      <c r="F8" s="12">
        <v>5</v>
      </c>
      <c r="G8" s="28" t="s">
        <v>121</v>
      </c>
      <c r="H8" s="12" t="s">
        <v>122</v>
      </c>
      <c r="I8" s="12" t="s">
        <v>123</v>
      </c>
    </row>
    <row r="9" s="12" customFormat="1" customHeight="1" spans="2:9">
      <c r="B9" s="25">
        <v>45355</v>
      </c>
      <c r="C9" s="25"/>
      <c r="D9" s="29" t="s">
        <v>112</v>
      </c>
      <c r="E9" s="30" t="s">
        <v>124</v>
      </c>
      <c r="F9" s="12">
        <v>1</v>
      </c>
      <c r="G9" s="28" t="s">
        <v>125</v>
      </c>
      <c r="H9" s="12" t="s">
        <v>126</v>
      </c>
      <c r="I9" s="12" t="s">
        <v>127</v>
      </c>
    </row>
    <row r="10" s="12" customFormat="1" customHeight="1" spans="2:9">
      <c r="B10" s="25">
        <v>45356</v>
      </c>
      <c r="C10" s="25"/>
      <c r="D10" s="29" t="s">
        <v>128</v>
      </c>
      <c r="E10" s="30" t="s">
        <v>129</v>
      </c>
      <c r="F10" s="12">
        <v>1</v>
      </c>
      <c r="G10" s="28" t="s">
        <v>129</v>
      </c>
      <c r="H10" s="31" t="s">
        <v>130</v>
      </c>
      <c r="I10" s="12" t="s">
        <v>131</v>
      </c>
    </row>
    <row r="11" s="12" customFormat="1" customHeight="1" spans="2:9">
      <c r="B11" s="25">
        <v>45357</v>
      </c>
      <c r="C11" s="25"/>
      <c r="D11" s="29" t="s">
        <v>132</v>
      </c>
      <c r="E11" s="28" t="s">
        <v>133</v>
      </c>
      <c r="F11" s="12">
        <v>5</v>
      </c>
      <c r="G11" s="30" t="s">
        <v>134</v>
      </c>
      <c r="H11" s="31" t="s">
        <v>135</v>
      </c>
      <c r="I11" s="12" t="s">
        <v>136</v>
      </c>
    </row>
    <row r="12" s="12" customFormat="1" customHeight="1" spans="2:9">
      <c r="B12" s="25">
        <v>45360</v>
      </c>
      <c r="C12" s="25"/>
      <c r="D12" s="29" t="s">
        <v>137</v>
      </c>
      <c r="E12" s="28" t="s">
        <v>138</v>
      </c>
      <c r="F12" s="12">
        <v>5</v>
      </c>
      <c r="G12" s="28" t="s">
        <v>139</v>
      </c>
      <c r="H12" s="12" t="s">
        <v>140</v>
      </c>
      <c r="I12" s="12" t="s">
        <v>141</v>
      </c>
    </row>
  </sheetData>
  <hyperlinks>
    <hyperlink ref="E2" r:id="rId1" display="https://www.amazon.de/gp/profile/amzn1.account.AENCPFO7WZAWYHT7MAGZRTVV5A6A/ref=cm_cr_getr_d_gw_btm?ie=UTF8"/>
    <hyperlink ref="G2" r:id="rId2" display="https://www.amazon.de/gp/customer-reviews/R2SLGLABFSANH0/ref=cm_cr_getr_d_rvw_ttl?ie=UTF8&amp;ASIN=B08K947PVT"/>
    <hyperlink ref="D3" r:id="rId3" display="uncinate" tooltip="https://www.amazon.de/gp/profile/amzn1.account.AEB2J7KB23O54JYJMWWKPFQBVUJA/ref=cm_cr_srp_d_gw_btm?ie=UTF8"/>
    <hyperlink ref="E3" r:id="rId4" display="https://www.amazon.de/gp/profile/amzn1.account.AEB2J7KB23O54JYJMWWKPFQBVUJA/ref=cm_cr_othr_d_gw_tr?ie=UTF8" tooltip="https://www.amazon.de/gp/profile/amzn1.account.AEB2J7KB23O54JYJMWWKPFQBVUJA/ref=cm_cr_othr_d_gw_tr?ie=UTF8"/>
    <hyperlink ref="G3" r:id="rId5" display="https://www.amazon.de/gp/customer-reviews/R2PDCLHT3O49N6/ref=cm_cr_othr_d_rvw_ttl?ie=UTF8&amp;ASIN=B08K947PVT" tooltip="https://www.amazon.de/gp/customer-reviews/R2PDCLHT3O49N6/ref=cm_cr_othr_d_rvw_ttl?ie=UTF8&amp;ASIN=B08K947PVT"/>
    <hyperlink ref="H3" r:id="rId6" display="Kleiner unauffälliger Würfel. Ideal für &quot;versteckte Kamera&quot;" tooltip="https://www.amazon.de/gp/customer-reviews/R2PDCLHT3O49N6/ref=cm_cr_srp_d_rvw_ttl?ie=UTF8&amp;ASIN=B08K947PVT"/>
    <hyperlink ref="H4" r:id="rId7" display="Super kleine Kamera" tooltip="https://www.amazon.de/gp/customer-reviews/R770C5M709NX9/ref=cm_cr_srp_d_rvw_ttl?ie=UTF8&amp;ASIN=B08K947PVT"/>
    <hyperlink ref="G4" r:id="rId8" display="https://www.amazon.de/gp/customer-reviews/R770C5M709NX9/ref=cm_cr_othr_d_rvw_ttl?ie=UTF8&amp;ASIN=B08K947PVT"/>
    <hyperlink ref="E4" r:id="rId9" display="https://www.amazon.de/gp/profile/amzn1.account.AGE3GYQRBBXH52SACPZ4Z6VO3DEA/ref=cm_cr_othr_d_gw_tr?ie=UTF8"/>
    <hyperlink ref="D4" r:id="rId10" display="M.R." tooltip="https://www.amazon.de/gp/profile/amzn1.account.AGE3GYQRBBXH52SACPZ4Z6VO3DEA/ref=cm_cr_srp_d_gw_btm?ie=UTF8"/>
    <hyperlink ref="D5" r:id="rId11" display="Ahmed maatouk" tooltip="https://www.amazon.de/gp/profile/amzn1.account.AEYM44PQ6VBMQ5CEUQ22X3CIFE6A/ref=cm_cr_srp_d_gw_btm?ie=UTF8"/>
    <hyperlink ref="E5" r:id="rId12" display="https://www.amazon.de/gp/profile/amzn1.account.AEYM44PQ6VBMQ5CEUQ22X3CIFE6A/ref=cm_cr_othr_d_gw_tr?ie=UTF8"/>
    <hyperlink ref="G5" r:id="rId13" display="https://www.amazon.de/gp/customer-reviews/R2JOKR5WCTUER5/ref=cm_cr_othr_d_rvw_ttl?ie=UTF8&amp;ASIN=B08K947PVT"/>
    <hyperlink ref="E6" r:id="rId14" display="https://www.amazon.de/gp/profile/amzn1.account.AGNCN7Y2MADEB2UT5V6OSQSXTCJA/ref=cm_cr_othr_d_gw_tr?ie=UTF8" tooltip="https://www.amazon.de/gp/profile/amzn1.account.AGNCN7Y2MADEB2UT5V6OSQSXTCJA/ref=cm_cr_othr_d_gw_tr?ie=UTF8"/>
    <hyperlink ref="D6" r:id="rId15" display="Amazon Kunde" tooltip="https://www.amazon.de/gp/profile/amzn1.account.AGNCN7Y2MADEB2UT5V6OSQSXTCJA/ref=cm_cr_srp_d_gw_btm?ie=UTF8"/>
    <hyperlink ref="H6" r:id="rId15" display="Amazon Kunde" tooltip="https://www.amazon.de/gp/profile/amzn1.account.AGNCN7Y2MADEB2UT5V6OSQSXTCJA/ref=cm_cr_srp_d_gw_btm?ie=UTF8"/>
    <hyperlink ref="G6" r:id="rId16" display="https://www.amazon.de/gp/customer-reviews/R2QLT6QD1CZ9CT/ref=cm_cr_srp_d_rvw_ttl?ie=UTF8&amp;ASIN=B08K947PVT"/>
    <hyperlink ref="E7" r:id="rId14" display="https://www.amazon.de/gp/profile/amzn1.account.AGNCN7Y2MADEB2UT5V6OSQSXTCJA/ref=cm_cr_othr_d_gw_tr?ie=UTF8" tooltip="https://www.amazon.de/gp/profile/amzn1.account.AGNCN7Y2MADEB2UT5V6OSQSXTCJA/ref=cm_cr_othr_d_gw_tr?ie=UTF8"/>
    <hyperlink ref="G7" r:id="rId17" display="https://www.amazon.de/gp/customer-reviews/R2QLT6QD1CZ9CT/ref=cm_cr_othr_d_rvw_ttl?ie=UTF8&amp;ASIN=B08K947PVT"/>
    <hyperlink ref="E8" r:id="rId18" display="https://www.amazon.de/gp/profile/amzn1.account.AHPCR7MSKTM4TNSHEXTJFSP6SYQA/ref=cm_cr_othr_d_gw_tr?ie=UTF8"/>
    <hyperlink ref="G8" r:id="rId19" display="https://www.amazon.de/gp/customer-reviews/R1DBSPOXJ5HSCT/ref=cm_cr_othr_d_rvw_ttl?ie=UTF8&amp;ASIN=B08K947PVT"/>
    <hyperlink ref="D8" r:id="rId20" display="alex_vectoR" tooltip="https://www.amazon.de/gp/profile/amzn1.account.AHPCR7MSKTM4TNSHEXTJFSP6SYQA/ref=cm_cr_srp_d_gw_btm?ie=UTF8"/>
    <hyperlink ref="E9" r:id="rId21" display="https://www.amazon.de/gp/profile/amzn1.account.AEEI43UPM57ETLEEHTZ5BUUOHRQQ/ref=cm_cr_othr_d_gw_tr?ie=UTF8" tooltip="https://www.amazon.de/gp/profile/amzn1.account.AEEI43UPM57ETLEEHTZ5BUUOHRQQ/ref=cm_cr_othr_d_gw_tr?ie=UTF8"/>
    <hyperlink ref="G9" r:id="rId22" display="https://www.amazon.de/gp/customer-reviews/R306YG6IEF2JFS/ref=cm_cr_othr_d_rvw_ttl?ie=UTF8&amp;ASIN=B08K947PVT"/>
    <hyperlink ref="D9" r:id="rId23" display="Amazon Kunde" tooltip="https://www.amazon.de/gp/profile/amzn1.account.AEEI43UPM57ETLEEHTZ5BUUOHRQQ/ref=cm_cr_srp_d_gw_btm?ie=UTF8"/>
    <hyperlink ref="E10" r:id="rId24" display="https://www.amazon.de/gp/customer-reviews/R258UHKV6E9NE1/ref=cm_cr_othr_d_rvw_ttl?ie=UTF8&amp;ASIN=B08K947PVT" tooltip="https://www.amazon.de/gp/customer-reviews/R258UHKV6E9NE1/ref=cm_cr_othr_d_rvw_ttl?ie=UTF8&amp;ASIN=B08K947PVT"/>
    <hyperlink ref="D10" r:id="rId25" display="Kapusniak m." tooltip="https://www.amazon.de/gp/profile/amzn1.account.AE67XKHEAW4HJASN3MZZI6K4GPNQ/ref=cm_cr_srp_d_gw_btm?ie=UTF8"/>
    <hyperlink ref="H10" r:id="rId26" display="To co potencialny nabywca powinien wiedzieć o kupowanym produkcie !" tooltip="https://www.amazon.de/gp/customer-reviews/R258UHKV6E9NE1/ref=cm_cr_srp_d_rvw_ttl?ie=UTF8&amp;ASIN=B08K947PVT"/>
    <hyperlink ref="G10" r:id="rId24" display="https://www.amazon.de/gp/customer-reviews/R258UHKV6E9NE1/ref=cm_cr_othr_d_rvw_ttl?ie=UTF8&amp;ASIN=B08K947PVT"/>
    <hyperlink ref="E11" r:id="rId27" display="https://www.amazon.de/gp/profile/amzn1.account.AFR65ENKAWZTJLBNZI62YGLJCKOQ/ref=cm_cr_othr_d_gw_tr?ie=UTF8"/>
    <hyperlink ref="D11" r:id="rId28" display="Ismet Celebi" tooltip="https://www.amazon.de/gp/profile/amzn1.account.AFR65ENKAWZTJLBNZI62YGLJCKOQ/ref=cm_cr_srp_d_gw_btm?ie=UTF8"/>
    <hyperlink ref="H11" r:id="rId29" display="Best window box fan I've ever owned" tooltip="https://www.amazon.de/gp/customer-reviews/R33FPIJO29DA4V/ref=cm_cr_srp_d_rvw_ttl?ie=UTF8&amp;ASIN=B08K947PVT"/>
    <hyperlink ref="G11" r:id="rId30" display="https://www.amazon.de/gp/customer-reviews/R33FPIJO29DA4V/ref=cm_cr_othr_d_rvw_ttl?ie=UTF8&amp;ASIN=B08K947PVT" tooltip="https://www.amazon.de/gp/customer-reviews/R33FPIJO29DA4V/ref=cm_cr_othr_d_rvw_ttl?ie=UTF8&amp;ASIN=B08K947PVT"/>
    <hyperlink ref="E12" r:id="rId31" display="https://www.amazon.de/gp/profile/amzn1.account.AEPYVD7ADKZ36GAIFGVEDWRAIYKA/ref=cm_cr_othr_d_gw_tr?ie=UTF8"/>
    <hyperlink ref="G12" r:id="rId32" display="https://www.amazon.de/gp/customer-reviews/R2TUUT4F0JBTOS/ref=cm_cr_othr_d_rvw_ttl?ie=UTF8&amp;ASIN=B08K947PVT"/>
    <hyperlink ref="D12" r:id="rId33" display="Galaktus" tooltip="https://www.amazon.de/gp/profile/amzn1.account.AEPYVD7ADKZ36GAIFGVEDWRAIYKA/ref=cm_cr_srp_d_gw_btm?ie=UTF8"/>
  </hyperlink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workbookViewId="0">
      <selection activeCell="N7" sqref="N7"/>
    </sheetView>
  </sheetViews>
  <sheetFormatPr defaultColWidth="10.375" defaultRowHeight="23.1" customHeight="1"/>
  <cols>
    <col min="1" max="1" width="41" style="22" customWidth="1"/>
    <col min="2" max="16316" width="10.375" style="2"/>
  </cols>
  <sheetData>
    <row r="1" s="21" customFormat="1" ht="36" customHeight="1" spans="1:14">
      <c r="A1" s="23" t="s">
        <v>142</v>
      </c>
      <c r="B1" s="21">
        <v>43834</v>
      </c>
      <c r="C1" s="21">
        <v>43835</v>
      </c>
      <c r="D1" s="21">
        <v>43836</v>
      </c>
      <c r="E1" s="21">
        <v>43837</v>
      </c>
      <c r="F1" s="21">
        <v>43838</v>
      </c>
      <c r="G1" s="21">
        <v>43841</v>
      </c>
      <c r="H1" s="21">
        <v>43842</v>
      </c>
      <c r="I1" s="21">
        <v>43843</v>
      </c>
      <c r="J1" s="21">
        <v>44251</v>
      </c>
      <c r="K1" s="21">
        <v>44253</v>
      </c>
      <c r="L1" s="21">
        <v>44256</v>
      </c>
      <c r="M1" s="21">
        <v>44263</v>
      </c>
      <c r="N1" s="21">
        <v>44264</v>
      </c>
    </row>
    <row r="2" s="2" customFormat="1" customHeight="1" spans="1:13">
      <c r="A2" s="24" t="s">
        <v>143</v>
      </c>
      <c r="B2" s="2">
        <v>105</v>
      </c>
      <c r="C2" s="2">
        <v>101</v>
      </c>
      <c r="D2" s="2">
        <v>105</v>
      </c>
      <c r="E2" s="2">
        <v>105</v>
      </c>
      <c r="F2" s="2">
        <v>104</v>
      </c>
      <c r="G2" s="2">
        <v>-105</v>
      </c>
      <c r="H2" s="2">
        <v>108</v>
      </c>
      <c r="I2" s="2">
        <v>106</v>
      </c>
      <c r="J2" s="2">
        <v>101</v>
      </c>
      <c r="K2" s="2">
        <v>101</v>
      </c>
      <c r="L2" s="2">
        <v>103</v>
      </c>
      <c r="M2" s="2">
        <v>-107</v>
      </c>
    </row>
    <row r="3" s="2" customFormat="1" customHeight="1" spans="1:13">
      <c r="A3" s="24" t="s">
        <v>144</v>
      </c>
      <c r="B3" s="2">
        <v>109</v>
      </c>
      <c r="C3" s="2">
        <v>109</v>
      </c>
      <c r="D3" s="2">
        <v>109</v>
      </c>
      <c r="E3" s="2">
        <v>108</v>
      </c>
      <c r="F3" s="2">
        <v>108</v>
      </c>
      <c r="G3" s="2">
        <v>-114</v>
      </c>
      <c r="H3" s="2">
        <v>-122</v>
      </c>
      <c r="I3" s="2">
        <v>121</v>
      </c>
      <c r="J3" s="2">
        <v>116</v>
      </c>
      <c r="K3" s="2">
        <v>-118</v>
      </c>
      <c r="L3" s="2">
        <v>113</v>
      </c>
      <c r="M3" s="2">
        <v>-116</v>
      </c>
    </row>
    <row r="4" s="2" customFormat="1" customHeight="1" spans="1:13">
      <c r="A4" s="22" t="s">
        <v>145</v>
      </c>
      <c r="B4" s="2">
        <v>113</v>
      </c>
      <c r="C4" s="2">
        <v>109</v>
      </c>
      <c r="D4" s="2">
        <v>107</v>
      </c>
      <c r="E4" s="2">
        <v>106</v>
      </c>
      <c r="F4" s="2">
        <v>-109</v>
      </c>
      <c r="G4" s="2">
        <v>-111</v>
      </c>
      <c r="H4" s="2">
        <v>-112</v>
      </c>
      <c r="I4" s="2">
        <v>112</v>
      </c>
      <c r="J4" s="2">
        <v>104</v>
      </c>
      <c r="K4" s="2">
        <v>-111</v>
      </c>
      <c r="L4" s="2">
        <v>111</v>
      </c>
      <c r="M4" s="2">
        <v>-113</v>
      </c>
    </row>
    <row r="5" s="2" customFormat="1" customHeight="1" spans="1:13">
      <c r="A5" s="22" t="s">
        <v>146</v>
      </c>
      <c r="B5" s="2">
        <v>115</v>
      </c>
      <c r="C5" s="2">
        <v>106</v>
      </c>
      <c r="D5" s="2">
        <v>105</v>
      </c>
      <c r="E5" s="2">
        <v>104</v>
      </c>
      <c r="F5" s="2">
        <v>-109</v>
      </c>
      <c r="G5" s="2">
        <v>103</v>
      </c>
      <c r="H5" s="2">
        <v>-214</v>
      </c>
      <c r="I5" s="2">
        <v>-215</v>
      </c>
      <c r="J5" s="2">
        <v>147</v>
      </c>
      <c r="K5" s="2">
        <v>139</v>
      </c>
      <c r="L5" s="2">
        <v>-207</v>
      </c>
      <c r="M5" s="2">
        <v>143</v>
      </c>
    </row>
    <row r="6" s="2" customFormat="1" customHeight="1" spans="1:13">
      <c r="A6" s="24" t="s">
        <v>147</v>
      </c>
      <c r="B6" s="2">
        <v>108</v>
      </c>
      <c r="C6" s="2">
        <v>107</v>
      </c>
      <c r="D6" s="2">
        <v>-108</v>
      </c>
      <c r="E6" s="2">
        <v>108</v>
      </c>
      <c r="F6" s="2">
        <v>106</v>
      </c>
      <c r="G6" s="2">
        <v>-112</v>
      </c>
      <c r="H6" s="2">
        <v>-113</v>
      </c>
      <c r="I6" s="2">
        <v>110</v>
      </c>
      <c r="J6" s="2">
        <v>109</v>
      </c>
      <c r="K6" s="2">
        <v>-110</v>
      </c>
      <c r="L6" s="2">
        <v>110</v>
      </c>
      <c r="M6" s="2">
        <v>103</v>
      </c>
    </row>
    <row r="7" s="2" customFormat="1" customHeight="1" spans="1:13">
      <c r="A7" s="22" t="s">
        <v>148</v>
      </c>
      <c r="B7" s="2">
        <v>126</v>
      </c>
      <c r="C7" s="2">
        <v>125</v>
      </c>
      <c r="D7" s="2">
        <v>124</v>
      </c>
      <c r="E7" s="2">
        <v>-125</v>
      </c>
      <c r="F7" s="2">
        <v>-403</v>
      </c>
      <c r="G7" s="2">
        <v>206</v>
      </c>
      <c r="H7" s="2">
        <v>156</v>
      </c>
      <c r="I7" s="2">
        <v>155</v>
      </c>
      <c r="J7" s="2">
        <v>126</v>
      </c>
      <c r="K7" s="2">
        <v>124</v>
      </c>
      <c r="L7" s="2">
        <v>-204</v>
      </c>
      <c r="M7" s="2">
        <v>112</v>
      </c>
    </row>
    <row r="8" s="2" customFormat="1" customHeight="1" spans="1:13">
      <c r="A8" s="24" t="s">
        <v>149</v>
      </c>
      <c r="B8" s="2">
        <v>107</v>
      </c>
      <c r="C8" s="2">
        <v>107</v>
      </c>
      <c r="D8" s="2">
        <v>107</v>
      </c>
      <c r="E8" s="2">
        <v>107</v>
      </c>
      <c r="F8" s="2">
        <v>104</v>
      </c>
      <c r="G8" s="2">
        <v>-111</v>
      </c>
      <c r="H8" s="2">
        <v>-112</v>
      </c>
      <c r="I8" s="2">
        <v>112</v>
      </c>
      <c r="J8" s="2">
        <v>111</v>
      </c>
      <c r="K8" s="2">
        <v>111</v>
      </c>
      <c r="L8" s="2">
        <v>111</v>
      </c>
      <c r="M8" s="2">
        <v>111</v>
      </c>
    </row>
    <row r="9" s="2" customFormat="1" customHeight="1" spans="1:13">
      <c r="A9" s="22" t="s">
        <v>150</v>
      </c>
      <c r="B9" s="2">
        <v>127</v>
      </c>
      <c r="C9" s="2">
        <v>-128</v>
      </c>
      <c r="D9" s="2">
        <v>-131</v>
      </c>
      <c r="E9" s="2">
        <v>122</v>
      </c>
      <c r="F9" s="2">
        <v>-213</v>
      </c>
      <c r="G9" s="2">
        <v>136</v>
      </c>
      <c r="H9" s="2">
        <v>136</v>
      </c>
      <c r="I9" s="2">
        <v>135</v>
      </c>
      <c r="J9" s="2">
        <v>128</v>
      </c>
      <c r="K9" s="2">
        <v>-134</v>
      </c>
      <c r="L9" s="2">
        <v>-315</v>
      </c>
      <c r="M9" s="2">
        <v>-127</v>
      </c>
    </row>
    <row r="10" s="2" customFormat="1" customHeight="1" spans="1:13">
      <c r="A10" s="24" t="s">
        <v>151</v>
      </c>
      <c r="B10" s="2">
        <v>206</v>
      </c>
      <c r="C10" s="2">
        <v>128</v>
      </c>
      <c r="D10" s="2">
        <v>205</v>
      </c>
      <c r="E10" s="2">
        <v>204</v>
      </c>
      <c r="F10" s="2">
        <v>-213</v>
      </c>
      <c r="G10" s="2">
        <v>209</v>
      </c>
      <c r="H10" s="2">
        <v>113</v>
      </c>
      <c r="I10" s="2">
        <v>115</v>
      </c>
      <c r="J10" s="2">
        <v>106</v>
      </c>
      <c r="K10" s="2">
        <v>105</v>
      </c>
      <c r="L10" s="2">
        <v>104</v>
      </c>
      <c r="M10" s="2">
        <v>-112</v>
      </c>
    </row>
    <row r="11" s="2" customFormat="1" customHeight="1" spans="1:13">
      <c r="A11" s="22" t="s">
        <v>152</v>
      </c>
      <c r="B11" s="2">
        <v>122</v>
      </c>
      <c r="C11" s="2">
        <v>-125</v>
      </c>
      <c r="D11" s="2">
        <v>122</v>
      </c>
      <c r="E11" s="2">
        <v>121</v>
      </c>
      <c r="F11" s="2">
        <v>119</v>
      </c>
      <c r="G11" s="2">
        <v>-129</v>
      </c>
      <c r="H11" s="2">
        <v>129</v>
      </c>
      <c r="I11" s="2">
        <v>131</v>
      </c>
      <c r="J11" s="2">
        <v>122</v>
      </c>
      <c r="K11" s="2">
        <v>-137</v>
      </c>
      <c r="L11" s="2">
        <v>-510</v>
      </c>
      <c r="M11" s="2">
        <v>125</v>
      </c>
    </row>
    <row r="12" s="2" customFormat="1" customHeight="1" spans="1:13">
      <c r="A12" s="22" t="s">
        <v>153</v>
      </c>
      <c r="B12" s="2">
        <v>115</v>
      </c>
      <c r="C12" s="2">
        <v>115</v>
      </c>
      <c r="D12" s="2">
        <v>-116</v>
      </c>
      <c r="E12" s="2">
        <v>114</v>
      </c>
      <c r="F12" s="2">
        <v>-119</v>
      </c>
      <c r="G12" s="2">
        <v>-125</v>
      </c>
      <c r="H12" s="2">
        <v>118</v>
      </c>
      <c r="I12" s="2">
        <v>117</v>
      </c>
      <c r="J12" s="2">
        <v>111</v>
      </c>
      <c r="K12" s="2">
        <v>-117</v>
      </c>
      <c r="L12" s="2">
        <v>-219</v>
      </c>
      <c r="M12" s="2">
        <v>114</v>
      </c>
    </row>
    <row r="13" s="2" customFormat="1" customHeight="1" spans="1:13">
      <c r="A13" s="22" t="s">
        <v>154</v>
      </c>
      <c r="B13" s="2">
        <v>114</v>
      </c>
      <c r="C13" s="2">
        <v>112</v>
      </c>
      <c r="D13" s="2">
        <v>111</v>
      </c>
      <c r="E13" s="2">
        <v>-112</v>
      </c>
      <c r="F13" s="2">
        <v>-114</v>
      </c>
      <c r="G13" s="2">
        <v>-120</v>
      </c>
      <c r="H13" s="2">
        <v>120</v>
      </c>
      <c r="I13" s="2">
        <v>-124</v>
      </c>
      <c r="J13" s="2">
        <v>122</v>
      </c>
      <c r="K13" s="2">
        <v>-138</v>
      </c>
      <c r="L13" s="2">
        <v>-413</v>
      </c>
      <c r="M13" s="2">
        <v>116</v>
      </c>
    </row>
    <row r="14" s="2" customFormat="1" customHeight="1" spans="1:13">
      <c r="A14" s="22" t="s">
        <v>155</v>
      </c>
      <c r="B14" s="2">
        <v>105</v>
      </c>
      <c r="C14" s="2">
        <v>105</v>
      </c>
      <c r="D14" s="2">
        <v>105</v>
      </c>
      <c r="E14" s="2">
        <v>105</v>
      </c>
      <c r="F14" s="2">
        <v>104</v>
      </c>
      <c r="G14" s="2">
        <v>-106</v>
      </c>
      <c r="H14" s="2">
        <v>-109</v>
      </c>
      <c r="I14" s="2">
        <v>108</v>
      </c>
      <c r="J14" s="2">
        <v>103</v>
      </c>
      <c r="K14" s="2">
        <v>101</v>
      </c>
      <c r="L14" s="2">
        <v>103</v>
      </c>
      <c r="M14" s="2">
        <v>-109</v>
      </c>
    </row>
    <row r="15" s="2" customFormat="1" customHeight="1" spans="1:13">
      <c r="A15" s="22" t="s">
        <v>156</v>
      </c>
      <c r="B15" s="2">
        <v>105</v>
      </c>
      <c r="C15" s="2">
        <v>105</v>
      </c>
      <c r="D15" s="2">
        <v>105</v>
      </c>
      <c r="E15" s="2">
        <v>105</v>
      </c>
      <c r="F15" s="2">
        <v>103</v>
      </c>
      <c r="G15" s="2">
        <v>-105</v>
      </c>
      <c r="H15" s="2">
        <v>105</v>
      </c>
      <c r="I15" s="2">
        <v>105</v>
      </c>
      <c r="J15" s="2">
        <v>101</v>
      </c>
      <c r="K15" s="2">
        <v>101</v>
      </c>
      <c r="L15" s="2">
        <v>103</v>
      </c>
      <c r="M15" s="2">
        <v>-105</v>
      </c>
    </row>
    <row r="16" s="2" customFormat="1" customHeight="1" spans="1:13">
      <c r="A16" s="22" t="s">
        <v>157</v>
      </c>
      <c r="B16" s="2">
        <v>110</v>
      </c>
      <c r="C16" s="2">
        <v>-113</v>
      </c>
      <c r="D16" s="2">
        <v>-206</v>
      </c>
      <c r="E16" s="2">
        <v>-208</v>
      </c>
      <c r="F16" s="2">
        <v>-215</v>
      </c>
      <c r="G16" s="2">
        <v>209</v>
      </c>
      <c r="H16" s="2">
        <v>-211</v>
      </c>
      <c r="I16" s="2">
        <v>-217</v>
      </c>
      <c r="J16" s="2">
        <v>135</v>
      </c>
      <c r="K16" s="2">
        <v>121</v>
      </c>
      <c r="L16" s="2">
        <v>-215</v>
      </c>
      <c r="M16" s="2">
        <v>137</v>
      </c>
    </row>
    <row r="17" s="2" customFormat="1" customHeight="1" spans="1:13">
      <c r="A17" s="22" t="s">
        <v>158</v>
      </c>
      <c r="B17" s="2">
        <v>108</v>
      </c>
      <c r="C17" s="2">
        <v>-112</v>
      </c>
      <c r="D17" s="2">
        <v>-113</v>
      </c>
      <c r="E17" s="2">
        <v>111</v>
      </c>
      <c r="F17" s="2">
        <v>-112</v>
      </c>
      <c r="G17" s="2">
        <v>-118</v>
      </c>
      <c r="H17" s="2">
        <v>116</v>
      </c>
      <c r="I17" s="2">
        <v>115</v>
      </c>
      <c r="J17" s="2">
        <v>112</v>
      </c>
      <c r="K17" s="2">
        <v>-121</v>
      </c>
      <c r="L17" s="2">
        <v>-217</v>
      </c>
      <c r="M17" s="2">
        <v>106</v>
      </c>
    </row>
    <row r="18" s="2" customFormat="1" customHeight="1" spans="1:13">
      <c r="A18" s="22" t="s">
        <v>159</v>
      </c>
      <c r="B18" s="2">
        <v>107</v>
      </c>
      <c r="C18" s="2">
        <v>107</v>
      </c>
      <c r="D18" s="2">
        <v>106</v>
      </c>
      <c r="E18" s="2">
        <v>106</v>
      </c>
      <c r="F18" s="2">
        <v>103</v>
      </c>
      <c r="G18" s="2">
        <v>-106</v>
      </c>
      <c r="H18" s="2">
        <v>106</v>
      </c>
      <c r="I18" s="2">
        <v>-107</v>
      </c>
      <c r="J18" s="2">
        <v>105</v>
      </c>
      <c r="K18" s="2">
        <v>-106</v>
      </c>
      <c r="L18" s="2">
        <v>103</v>
      </c>
      <c r="M18" s="2">
        <v>-108</v>
      </c>
    </row>
    <row r="19" s="2" customFormat="1" customHeight="1" spans="1:13">
      <c r="A19" s="22" t="s">
        <v>160</v>
      </c>
      <c r="B19" s="2">
        <v>137</v>
      </c>
      <c r="C19" s="2">
        <v>119</v>
      </c>
      <c r="D19" s="2">
        <v>-136</v>
      </c>
      <c r="E19" s="2">
        <v>-137</v>
      </c>
      <c r="F19" s="2">
        <v>-216</v>
      </c>
      <c r="G19" s="2">
        <v>140</v>
      </c>
      <c r="H19" s="2">
        <v>-144</v>
      </c>
      <c r="I19" s="2">
        <v>144</v>
      </c>
      <c r="J19" s="2">
        <v>139</v>
      </c>
      <c r="K19" s="2">
        <v>137</v>
      </c>
      <c r="L19" s="2">
        <v>120</v>
      </c>
      <c r="M19" s="2">
        <v>-137</v>
      </c>
    </row>
    <row r="20" s="2" customFormat="1" customHeight="1" spans="1:13">
      <c r="A20" s="24" t="s">
        <v>161</v>
      </c>
      <c r="B20" s="2">
        <v>137</v>
      </c>
      <c r="C20" s="2">
        <v>119</v>
      </c>
      <c r="D20" s="2">
        <v>-138</v>
      </c>
      <c r="E20" s="2">
        <v>138</v>
      </c>
      <c r="F20" s="2">
        <v>108</v>
      </c>
      <c r="G20" s="2">
        <v>-121</v>
      </c>
      <c r="H20" s="2">
        <v>-123</v>
      </c>
      <c r="I20" s="2">
        <v>-125</v>
      </c>
      <c r="J20" s="2">
        <v>112</v>
      </c>
      <c r="K20" s="2">
        <v>108</v>
      </c>
      <c r="L20" s="2">
        <v>108</v>
      </c>
      <c r="M20" s="2">
        <v>-112</v>
      </c>
    </row>
    <row r="21" s="2" customFormat="1" customHeight="1" spans="1:13">
      <c r="A21" s="22" t="s">
        <v>162</v>
      </c>
      <c r="B21" s="2">
        <v>105</v>
      </c>
      <c r="C21" s="2">
        <v>-108</v>
      </c>
      <c r="D21" s="2">
        <v>-109</v>
      </c>
      <c r="E21" s="2">
        <v>106</v>
      </c>
      <c r="F21" s="2">
        <v>-216</v>
      </c>
      <c r="G21" s="2">
        <v>116</v>
      </c>
      <c r="H21" s="2">
        <v>114</v>
      </c>
      <c r="I21" s="2">
        <v>113</v>
      </c>
      <c r="J21" s="2">
        <v>104</v>
      </c>
      <c r="K21" s="2">
        <v>-108</v>
      </c>
      <c r="L21" s="2">
        <v>105</v>
      </c>
      <c r="M21" s="2">
        <v>-108</v>
      </c>
    </row>
    <row r="22" s="2" customFormat="1" customHeight="1" spans="1:13">
      <c r="A22" s="22" t="s">
        <v>163</v>
      </c>
      <c r="B22" s="2">
        <v>136</v>
      </c>
      <c r="C22" s="2">
        <v>135</v>
      </c>
      <c r="D22" s="2">
        <v>-136</v>
      </c>
      <c r="E22" s="2">
        <v>-137</v>
      </c>
      <c r="F22" s="2">
        <v>-216</v>
      </c>
      <c r="G22" s="2">
        <v>139</v>
      </c>
      <c r="H22" s="2">
        <v>-145</v>
      </c>
      <c r="I22" s="2">
        <v>144</v>
      </c>
      <c r="J22" s="2">
        <v>139</v>
      </c>
      <c r="K22" s="2">
        <v>137</v>
      </c>
      <c r="L22" s="2">
        <v>-220</v>
      </c>
      <c r="M22" s="2">
        <v>135</v>
      </c>
    </row>
    <row r="23" s="2" customFormat="1" customHeight="1" spans="1:13">
      <c r="A23" s="22" t="s">
        <v>164</v>
      </c>
      <c r="B23" s="2">
        <v>107</v>
      </c>
      <c r="C23" s="2">
        <v>107</v>
      </c>
      <c r="D23" s="2">
        <v>107</v>
      </c>
      <c r="E23" s="2">
        <v>106</v>
      </c>
      <c r="F23" s="2">
        <v>105</v>
      </c>
      <c r="G23" s="2">
        <v>-108</v>
      </c>
      <c r="H23" s="2">
        <v>108</v>
      </c>
      <c r="I23" s="2">
        <v>108</v>
      </c>
      <c r="J23" s="2">
        <v>106</v>
      </c>
      <c r="K23" s="2">
        <v>105</v>
      </c>
      <c r="L23" s="2">
        <v>-108</v>
      </c>
      <c r="M23" s="2">
        <v>108</v>
      </c>
    </row>
    <row r="24" s="2" customFormat="1" customHeight="1" spans="1:13">
      <c r="A24" s="22" t="s">
        <v>165</v>
      </c>
      <c r="B24" s="2">
        <v>113</v>
      </c>
      <c r="C24" s="2">
        <v>-115</v>
      </c>
      <c r="D24" s="2">
        <v>-116</v>
      </c>
      <c r="E24" s="2">
        <v>115</v>
      </c>
      <c r="F24" s="2">
        <v>-207</v>
      </c>
      <c r="G24" s="2">
        <v>108</v>
      </c>
      <c r="H24" s="2">
        <v>-120</v>
      </c>
      <c r="I24" s="2">
        <v>118</v>
      </c>
      <c r="J24" s="2">
        <v>117</v>
      </c>
      <c r="K24" s="2">
        <v>117</v>
      </c>
      <c r="L24" s="2">
        <v>-308</v>
      </c>
      <c r="M24" s="2">
        <v>120</v>
      </c>
    </row>
    <row r="25" s="2" customFormat="1" customHeight="1" spans="1:13">
      <c r="A25" s="22" t="s">
        <v>166</v>
      </c>
      <c r="B25" s="2">
        <v>205</v>
      </c>
      <c r="C25" s="2">
        <v>203</v>
      </c>
      <c r="D25" s="2">
        <v>121</v>
      </c>
      <c r="E25" s="2">
        <v>-203</v>
      </c>
      <c r="F25" s="2">
        <v>-209</v>
      </c>
      <c r="G25" s="2">
        <v>209</v>
      </c>
      <c r="H25" s="2">
        <v>207</v>
      </c>
      <c r="I25" s="2">
        <v>118</v>
      </c>
      <c r="J25" s="2">
        <v>116</v>
      </c>
      <c r="K25" s="2">
        <v>-134</v>
      </c>
      <c r="L25" s="2">
        <v>-210</v>
      </c>
      <c r="M25" s="2">
        <v>129</v>
      </c>
    </row>
    <row r="26" s="2" customFormat="1" customHeight="1" spans="1:13">
      <c r="A26" s="24" t="s">
        <v>167</v>
      </c>
      <c r="B26" s="2">
        <v>109</v>
      </c>
      <c r="C26" s="2">
        <v>-110</v>
      </c>
      <c r="D26" s="2">
        <v>-111</v>
      </c>
      <c r="E26" s="2">
        <v>110</v>
      </c>
      <c r="F26" s="2">
        <v>-111</v>
      </c>
      <c r="G26" s="2">
        <v>-209</v>
      </c>
      <c r="H26" s="2">
        <v>121</v>
      </c>
      <c r="I26" s="2">
        <v>-122</v>
      </c>
      <c r="J26" s="2">
        <v>116</v>
      </c>
      <c r="K26" s="2">
        <v>-121</v>
      </c>
      <c r="L26" s="2">
        <v>-203</v>
      </c>
      <c r="M26" s="2">
        <v>104</v>
      </c>
    </row>
  </sheetData>
  <conditionalFormatting sqref="A2:A17 B2:XFD18">
    <cfRule type="iconSet" priority="4">
      <iconSet iconSet="3Arrows">
        <cfvo type="percent" val="0"/>
        <cfvo type="num" val="0" gte="0"/>
        <cfvo type="num" val="0"/>
      </iconSet>
    </cfRule>
  </conditionalFormatting>
  <conditionalFormatting sqref="$A2:$XFD1048576">
    <cfRule type="iconSet" priority="3">
      <iconSet iconSet="3Arrows">
        <cfvo type="percent" val="0"/>
        <cfvo type="num" val="0"/>
        <cfvo type="num" val="0"/>
      </iconSet>
    </cfRule>
    <cfRule type="iconSet" priority="1">
      <iconSet iconSet="3Arrows">
        <cfvo type="percent" val="0"/>
        <cfvo type="num" val="0"/>
        <cfvo type="num" val="0"/>
      </iconSet>
    </cfRule>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
  <sheetViews>
    <sheetView topLeftCell="A3" workbookViewId="0">
      <selection activeCell="C11" sqref="C11"/>
    </sheetView>
  </sheetViews>
  <sheetFormatPr defaultColWidth="14.375" defaultRowHeight="21" customHeight="1" outlineLevelRow="2"/>
  <cols>
    <col min="1" max="1" width="14.375" style="14" customWidth="1"/>
    <col min="2" max="3" width="16.25" style="12" customWidth="1"/>
    <col min="4" max="6" width="14.375" style="12" customWidth="1"/>
    <col min="7" max="7" width="1.875" style="15" customWidth="1"/>
    <col min="8" max="12" width="14.375" style="12" customWidth="1"/>
    <col min="13" max="13" width="1.875" style="15" customWidth="1"/>
    <col min="14" max="18" width="14.375" style="12" customWidth="1"/>
    <col min="19" max="19" width="2.5" style="15" customWidth="1"/>
    <col min="20" max="24" width="14.375" style="12" customWidth="1"/>
    <col min="25" max="25" width="2.5" style="15" customWidth="1"/>
    <col min="26" max="30" width="14.375" style="12" customWidth="1"/>
    <col min="31" max="31" width="2.75" style="15" customWidth="1"/>
    <col min="32" max="32" width="16" style="12" customWidth="1"/>
    <col min="33" max="33" width="14.375" style="12" customWidth="1"/>
    <col min="34" max="36" width="14.375" style="12"/>
    <col min="37" max="37" width="3" style="15" customWidth="1"/>
    <col min="38" max="42" width="14.375" style="12"/>
    <col min="43" max="43" width="3" style="15" customWidth="1"/>
    <col min="44" max="48" width="14.375" style="12"/>
    <col min="49" max="49" width="3" style="15" customWidth="1"/>
    <col min="50" max="16384" width="14.375" style="12"/>
  </cols>
  <sheetData>
    <row r="1" s="12" customFormat="1" customHeight="1" spans="1:49">
      <c r="A1" s="16" t="s">
        <v>168</v>
      </c>
      <c r="B1" s="17" t="s">
        <v>169</v>
      </c>
      <c r="C1" s="17"/>
      <c r="G1" s="15"/>
      <c r="M1" s="15"/>
      <c r="S1" s="15"/>
      <c r="Y1" s="15"/>
      <c r="AE1" s="15"/>
      <c r="AK1" s="15"/>
      <c r="AQ1" s="15"/>
      <c r="AW1" s="15"/>
    </row>
    <row r="2" s="12" customFormat="1" customHeight="1" spans="1:49">
      <c r="A2" s="16"/>
      <c r="B2" s="17"/>
      <c r="C2" s="17"/>
      <c r="G2" s="15"/>
      <c r="M2" s="15"/>
      <c r="S2" s="15"/>
      <c r="Y2" s="15"/>
      <c r="AE2" s="15"/>
      <c r="AK2" s="15"/>
      <c r="AQ2" s="15"/>
      <c r="AW2" s="15"/>
    </row>
    <row r="3" s="13" customFormat="1" ht="36.95" customHeight="1" spans="1:54">
      <c r="A3" s="14"/>
      <c r="B3" s="18" t="s">
        <v>170</v>
      </c>
      <c r="C3" s="19" t="s">
        <v>171</v>
      </c>
      <c r="D3" s="19" t="s">
        <v>46</v>
      </c>
      <c r="E3" s="19" t="s">
        <v>172</v>
      </c>
      <c r="F3" s="19" t="s">
        <v>173</v>
      </c>
      <c r="G3" s="15"/>
      <c r="H3" s="18" t="s">
        <v>170</v>
      </c>
      <c r="I3" s="19" t="s">
        <v>171</v>
      </c>
      <c r="J3" s="19" t="s">
        <v>46</v>
      </c>
      <c r="K3" s="19" t="s">
        <v>172</v>
      </c>
      <c r="L3" s="19" t="s">
        <v>173</v>
      </c>
      <c r="M3" s="15"/>
      <c r="N3" s="18" t="s">
        <v>174</v>
      </c>
      <c r="O3" s="19" t="s">
        <v>171</v>
      </c>
      <c r="P3" s="19" t="s">
        <v>46</v>
      </c>
      <c r="Q3" s="19" t="s">
        <v>172</v>
      </c>
      <c r="R3" s="19" t="s">
        <v>173</v>
      </c>
      <c r="S3" s="15"/>
      <c r="T3" s="18" t="s">
        <v>174</v>
      </c>
      <c r="U3" s="19" t="s">
        <v>171</v>
      </c>
      <c r="V3" s="19" t="s">
        <v>46</v>
      </c>
      <c r="W3" s="19" t="s">
        <v>172</v>
      </c>
      <c r="X3" s="19" t="s">
        <v>173</v>
      </c>
      <c r="Y3" s="15"/>
      <c r="Z3" s="18" t="s">
        <v>174</v>
      </c>
      <c r="AA3" s="19" t="s">
        <v>171</v>
      </c>
      <c r="AB3" s="19" t="s">
        <v>46</v>
      </c>
      <c r="AC3" s="19" t="s">
        <v>172</v>
      </c>
      <c r="AD3" s="19" t="s">
        <v>173</v>
      </c>
      <c r="AE3" s="15"/>
      <c r="AF3" s="20" t="s">
        <v>174</v>
      </c>
      <c r="AG3" s="19" t="s">
        <v>171</v>
      </c>
      <c r="AH3" s="19" t="s">
        <v>46</v>
      </c>
      <c r="AI3" s="19" t="s">
        <v>172</v>
      </c>
      <c r="AJ3" s="19" t="s">
        <v>173</v>
      </c>
      <c r="AK3" s="15"/>
      <c r="AL3" s="20" t="s">
        <v>174</v>
      </c>
      <c r="AM3" s="19" t="s">
        <v>171</v>
      </c>
      <c r="AN3" s="19" t="s">
        <v>46</v>
      </c>
      <c r="AO3" s="19" t="s">
        <v>172</v>
      </c>
      <c r="AP3" s="19" t="s">
        <v>173</v>
      </c>
      <c r="AQ3" s="15"/>
      <c r="AR3" s="20" t="s">
        <v>174</v>
      </c>
      <c r="AS3" s="19" t="s">
        <v>171</v>
      </c>
      <c r="AT3" s="19" t="s">
        <v>46</v>
      </c>
      <c r="AU3" s="19" t="s">
        <v>172</v>
      </c>
      <c r="AV3" s="19" t="s">
        <v>173</v>
      </c>
      <c r="AW3" s="15"/>
      <c r="AX3" s="20" t="s">
        <v>174</v>
      </c>
      <c r="AY3" s="19" t="s">
        <v>171</v>
      </c>
      <c r="AZ3" s="19" t="s">
        <v>46</v>
      </c>
      <c r="BA3" s="19" t="s">
        <v>172</v>
      </c>
      <c r="BB3" s="19" t="s">
        <v>173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
  <sheetViews>
    <sheetView workbookViewId="0">
      <selection activeCell="F16" sqref="F16"/>
    </sheetView>
  </sheetViews>
  <sheetFormatPr defaultColWidth="9" defaultRowHeight="25" customHeight="1" outlineLevelRow="3"/>
  <cols>
    <col min="1" max="1" width="19.375" style="2" customWidth="1"/>
    <col min="2" max="2" width="21.25" style="2" customWidth="1"/>
    <col min="3" max="3" width="19.125" style="2" customWidth="1"/>
    <col min="4" max="4" width="21.25" style="2" customWidth="1"/>
    <col min="5" max="5" width="9" style="2"/>
    <col min="6" max="6" width="15.375" style="2" customWidth="1"/>
    <col min="7" max="7" width="13.375" style="2" customWidth="1"/>
    <col min="8" max="8" width="9.25" style="2"/>
    <col min="9" max="10" width="9" style="2"/>
    <col min="11" max="11" width="9.375" style="2"/>
    <col min="12" max="16384" width="9" style="2"/>
  </cols>
  <sheetData>
    <row r="1" s="2" customFormat="1" customHeight="1" spans="1:12">
      <c r="A1" s="5" t="s">
        <v>175</v>
      </c>
      <c r="B1" s="5" t="s">
        <v>176</v>
      </c>
      <c r="C1" s="5" t="s">
        <v>177</v>
      </c>
      <c r="D1" s="5" t="s">
        <v>178</v>
      </c>
      <c r="E1" s="5" t="s">
        <v>60</v>
      </c>
      <c r="F1" s="5" t="s">
        <v>61</v>
      </c>
      <c r="G1" s="5" t="s">
        <v>179</v>
      </c>
      <c r="H1" s="5" t="s">
        <v>180</v>
      </c>
      <c r="I1" s="5" t="s">
        <v>181</v>
      </c>
      <c r="J1" s="5" t="s">
        <v>182</v>
      </c>
      <c r="K1" s="5" t="s">
        <v>58</v>
      </c>
      <c r="L1" s="5" t="s">
        <v>183</v>
      </c>
    </row>
    <row r="2" s="2" customFormat="1" customHeight="1" spans="1:12">
      <c r="A2" s="6" t="s">
        <v>184</v>
      </c>
      <c r="B2" s="7" t="s">
        <v>185</v>
      </c>
      <c r="C2" s="2" t="s">
        <v>186</v>
      </c>
      <c r="D2" s="8">
        <v>0</v>
      </c>
      <c r="E2" s="2">
        <v>216</v>
      </c>
      <c r="F2" s="2">
        <v>13</v>
      </c>
      <c r="G2" s="9">
        <v>0.0602</v>
      </c>
      <c r="H2" s="10">
        <v>9.1</v>
      </c>
      <c r="I2" s="10">
        <v>0.7</v>
      </c>
      <c r="J2" s="2">
        <v>2</v>
      </c>
      <c r="K2" s="10">
        <v>101.98</v>
      </c>
      <c r="L2" s="2">
        <v>11.21</v>
      </c>
    </row>
    <row r="3" s="2" customFormat="1" customHeight="1" spans="1:12">
      <c r="A3" s="6" t="s">
        <v>184</v>
      </c>
      <c r="B3" s="7" t="s">
        <v>187</v>
      </c>
      <c r="C3" s="2" t="s">
        <v>186</v>
      </c>
      <c r="D3" s="11">
        <v>0</v>
      </c>
      <c r="E3" s="2">
        <v>1930</v>
      </c>
      <c r="F3" s="2">
        <v>9</v>
      </c>
      <c r="G3" s="9">
        <v>0.0047</v>
      </c>
      <c r="H3" s="10">
        <v>5.12</v>
      </c>
      <c r="I3" s="10">
        <v>0.57</v>
      </c>
      <c r="J3" s="2">
        <v>0</v>
      </c>
      <c r="K3" s="10">
        <v>0</v>
      </c>
      <c r="L3" s="2">
        <v>0</v>
      </c>
    </row>
    <row r="4" s="2" customFormat="1" customHeight="1" spans="1:12">
      <c r="A4" s="6" t="s">
        <v>184</v>
      </c>
      <c r="B4" s="7" t="s">
        <v>188</v>
      </c>
      <c r="C4" s="2" t="s">
        <v>186</v>
      </c>
      <c r="D4" s="11">
        <v>0</v>
      </c>
      <c r="E4" s="2">
        <v>29</v>
      </c>
      <c r="F4" s="2">
        <v>2</v>
      </c>
      <c r="G4" s="9">
        <v>0.069</v>
      </c>
      <c r="H4" s="10">
        <v>1.1</v>
      </c>
      <c r="I4" s="10">
        <v>0.55</v>
      </c>
      <c r="J4" s="2">
        <v>1</v>
      </c>
      <c r="K4" s="10">
        <v>50.99</v>
      </c>
      <c r="L4" s="2">
        <v>46.35</v>
      </c>
    </row>
  </sheetData>
  <dataValidations count="2">
    <dataValidation type="list" allowBlank="1" showInputMessage="1" showErrorMessage="1" sqref="B2:B1048576">
      <formula1>"搜索结果顶部（首页）,商品页面,搜索结果的其余位置"</formula1>
    </dataValidation>
    <dataValidation type="list" allowBlank="1" showInputMessage="1" showErrorMessage="1" sqref="C2:C1048576">
      <formula1>"固定竞价,动态竞价-只降低,动态竞价-提高和降低"</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E6" sqref="E6"/>
    </sheetView>
  </sheetViews>
  <sheetFormatPr defaultColWidth="27.875" defaultRowHeight="30" customHeight="1" outlineLevelCol="4"/>
  <cols>
    <col min="1" max="4" width="27.875" style="2" customWidth="1"/>
    <col min="5" max="16384" width="27.875" style="1" customWidth="1"/>
  </cols>
  <sheetData>
    <row r="1" s="1" customFormat="1" customHeight="1" spans="1:5">
      <c r="A1" s="3" t="s">
        <v>80</v>
      </c>
      <c r="B1" s="3" t="s">
        <v>189</v>
      </c>
      <c r="C1" s="3" t="s">
        <v>0</v>
      </c>
      <c r="D1" s="3" t="s">
        <v>190</v>
      </c>
      <c r="E1" s="4" t="s">
        <v>191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每日工作安排</vt:lpstr>
      <vt:lpstr>每日数据统计</vt:lpstr>
      <vt:lpstr>前台评论记录</vt:lpstr>
      <vt:lpstr>关键词记录</vt:lpstr>
      <vt:lpstr>竞品记录</vt:lpstr>
      <vt:lpstr>广告位置数据</vt:lpstr>
      <vt:lpstr>测评记录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家国</cp:lastModifiedBy>
  <dcterms:created xsi:type="dcterms:W3CDTF">2021-03-11T07:55:00Z</dcterms:created>
  <dcterms:modified xsi:type="dcterms:W3CDTF">2024-03-28T01:47:21Z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2052-12.1.0.16417</vt:lpwstr>
  </property>
  <property fmtid="{D5CDD505-2E9C-101B-9397-08002B2CF9AE}" pid="3" name="ICV">
    <vt:lpwstr>43B3B0F8ECB04E818FC6737E946406AA_12</vt:lpwstr>
  </property>
</Properties>
</file>