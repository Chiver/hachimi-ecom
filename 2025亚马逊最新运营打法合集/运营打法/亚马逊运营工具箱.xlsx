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ng_\OneDrive\Store\Amazon\工具表格\"/>
    </mc:Choice>
  </mc:AlternateContent>
  <xr:revisionPtr revIDLastSave="6" documentId="11_A96F98BA279424D3BC7F2D0AE7EEF2456353B82F" xr6:coauthVersionLast="43" xr6:coauthVersionMax="43" xr10:uidLastSave="{9FEA207E-EC79-4119-BF48-2E376E141BB2}"/>
  <bookViews>
    <workbookView xWindow="-120" yWindow="-120" windowWidth="29040" windowHeight="15840" xr2:uid="{00000000-000D-0000-FFFF-FFFF00000000}"/>
  </bookViews>
  <sheets>
    <sheet name="工具箱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4" i="1" l="1"/>
  <c r="L14" i="1"/>
  <c r="P15" i="1"/>
  <c r="O15" i="1"/>
  <c r="N15" i="1"/>
  <c r="M15" i="1"/>
  <c r="L15" i="1"/>
  <c r="Q16" i="1"/>
  <c r="M14" i="1"/>
  <c r="O14" i="1"/>
  <c r="N14" i="1"/>
  <c r="P14" i="1"/>
  <c r="H15" i="1"/>
  <c r="H16" i="1"/>
  <c r="H13" i="1"/>
  <c r="D14" i="1"/>
  <c r="D15" i="1"/>
</calcChain>
</file>

<file path=xl/sharedStrings.xml><?xml version="1.0" encoding="utf-8"?>
<sst xmlns="http://schemas.openxmlformats.org/spreadsheetml/2006/main" count="27" uniqueCount="26">
  <si>
    <t>关键词</t>
    <phoneticPr fontId="2" type="noConversion"/>
  </si>
  <si>
    <t>预估竞价</t>
    <phoneticPr fontId="2" type="noConversion"/>
  </si>
  <si>
    <t>利润率</t>
    <phoneticPr fontId="2" type="noConversion"/>
  </si>
  <si>
    <t>ACOS</t>
    <phoneticPr fontId="2" type="noConversion"/>
  </si>
  <si>
    <t>产品单价</t>
    <phoneticPr fontId="2" type="noConversion"/>
  </si>
  <si>
    <t>产品转化率</t>
    <phoneticPr fontId="2" type="noConversion"/>
  </si>
  <si>
    <t>ACOS计算器</t>
    <phoneticPr fontId="2" type="noConversion"/>
  </si>
  <si>
    <t>产品利润计算器</t>
    <phoneticPr fontId="2" type="noConversion"/>
  </si>
  <si>
    <t>拿货价</t>
    <phoneticPr fontId="2" type="noConversion"/>
  </si>
  <si>
    <t>运费</t>
    <phoneticPr fontId="2" type="noConversion"/>
  </si>
  <si>
    <t>汇率</t>
    <phoneticPr fontId="2" type="noConversion"/>
  </si>
  <si>
    <t>配送费</t>
    <phoneticPr fontId="2" type="noConversion"/>
  </si>
  <si>
    <t>最低售价</t>
    <phoneticPr fontId="2" type="noConversion"/>
  </si>
  <si>
    <t>当前售价</t>
    <phoneticPr fontId="2" type="noConversion"/>
  </si>
  <si>
    <t>利润</t>
    <phoneticPr fontId="2" type="noConversion"/>
  </si>
  <si>
    <t>目标分数</t>
    <phoneticPr fontId="2" type="noConversion"/>
  </si>
  <si>
    <t>当前分数</t>
    <phoneticPr fontId="2" type="noConversion"/>
  </si>
  <si>
    <t>需补五星</t>
    <phoneticPr fontId="2" type="noConversion"/>
  </si>
  <si>
    <r>
      <t xml:space="preserve">Power by </t>
    </r>
    <r>
      <rPr>
        <sz val="11"/>
        <color theme="0" tint="-0.14999847407452621"/>
        <rFont val="宋体"/>
        <family val="3"/>
        <charset val="134"/>
        <scheme val="major"/>
      </rPr>
      <t>一只大禽兽</t>
    </r>
    <phoneticPr fontId="2" type="noConversion"/>
  </si>
  <si>
    <t>REVIEW评分计算器</t>
    <phoneticPr fontId="2" type="noConversion"/>
  </si>
  <si>
    <t>5 stars</t>
    <phoneticPr fontId="2" type="noConversion"/>
  </si>
  <si>
    <t>4 stars</t>
    <phoneticPr fontId="2" type="noConversion"/>
  </si>
  <si>
    <t>3 stars</t>
    <phoneticPr fontId="2" type="noConversion"/>
  </si>
  <si>
    <t>2 stars</t>
  </si>
  <si>
    <t>1 stars</t>
  </si>
  <si>
    <t xml:space="preserve">        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</si>
</sst>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\$#,##0.00;\-\$#,##0.00"/>
    <numFmt numFmtId="177" formatCode="0.0%"/>
    <numFmt numFmtId="178" formatCode="0.0"/>
  </numFmts>
  <fonts count="1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20"/>
      <color theme="4" tint="-0.249977111117893"/>
      <name val="微软雅黑"/>
      <family val="2"/>
      <charset val="134"/>
    </font>
    <font>
      <sz val="20"/>
      <color theme="5"/>
      <name val="微软雅黑"/>
      <family val="2"/>
      <charset val="134"/>
    </font>
    <font>
      <b/>
      <sz val="14"/>
      <color theme="1"/>
      <name val="等线"/>
      <family val="3"/>
      <charset val="134"/>
    </font>
    <font>
      <sz val="20"/>
      <color theme="0"/>
      <name val="微软雅黑"/>
      <family val="2"/>
      <charset val="134"/>
    </font>
    <font>
      <sz val="11"/>
      <color theme="0" tint="-0.14999847407452621"/>
      <name val="等线"/>
      <family val="3"/>
      <charset val="134"/>
    </font>
    <font>
      <sz val="11"/>
      <color theme="0" tint="-0.14999847407452621"/>
      <name val="宋体"/>
      <family val="3"/>
      <charset val="134"/>
      <scheme val="major"/>
    </font>
    <font>
      <sz val="11"/>
      <color theme="0" tint="-4.9989318521683403E-2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theme="0" tint="-0.14993743705557422"/>
      </left>
      <right/>
      <top style="double">
        <color theme="0" tint="-0.14993743705557422"/>
      </top>
      <bottom style="double">
        <color theme="0" tint="-0.14993743705557422"/>
      </bottom>
      <diagonal/>
    </border>
    <border>
      <left/>
      <right/>
      <top style="double">
        <color theme="0" tint="-0.14993743705557422"/>
      </top>
      <bottom style="double">
        <color theme="0" tint="-0.14993743705557422"/>
      </bottom>
      <diagonal/>
    </border>
    <border>
      <left/>
      <right style="double">
        <color theme="0" tint="-0.14993743705557422"/>
      </right>
      <top style="double">
        <color theme="0" tint="-0.14993743705557422"/>
      </top>
      <bottom style="double">
        <color theme="0" tint="-0.149937437055574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 applyProtection="1">
      <alignment vertical="center"/>
    </xf>
    <xf numFmtId="176" fontId="3" fillId="3" borderId="0" xfId="0" applyNumberFormat="1" applyFont="1" applyFill="1" applyBorder="1" applyProtection="1">
      <alignment vertical="center"/>
    </xf>
    <xf numFmtId="7" fontId="3" fillId="3" borderId="0" xfId="0" applyNumberFormat="1" applyFont="1" applyFill="1" applyBorder="1" applyProtection="1">
      <alignment vertical="center"/>
    </xf>
    <xf numFmtId="177" fontId="3" fillId="3" borderId="0" xfId="1" applyNumberFormat="1" applyFont="1" applyFill="1" applyBorder="1" applyProtection="1">
      <alignment vertical="center"/>
    </xf>
    <xf numFmtId="178" fontId="3" fillId="3" borderId="0" xfId="0" applyNumberFormat="1" applyFont="1" applyFill="1" applyBorder="1" applyAlignment="1" applyProtection="1">
      <alignment horizontal="right" vertical="center"/>
    </xf>
    <xf numFmtId="1" fontId="3" fillId="3" borderId="0" xfId="0" applyNumberFormat="1" applyFont="1" applyFill="1" applyBorder="1" applyAlignment="1" applyProtection="1">
      <alignment horizontal="right" vertical="center"/>
    </xf>
    <xf numFmtId="0" fontId="7" fillId="4" borderId="0" xfId="0" applyFont="1" applyFill="1" applyBorder="1" applyProtection="1">
      <alignment vertical="center"/>
    </xf>
    <xf numFmtId="0" fontId="3" fillId="3" borderId="0" xfId="0" applyFont="1" applyFill="1" applyBorder="1" applyProtection="1">
      <alignment vertical="center"/>
    </xf>
    <xf numFmtId="0" fontId="3" fillId="3" borderId="4" xfId="0" applyFont="1" applyFill="1" applyBorder="1" applyProtection="1">
      <alignment vertical="center"/>
    </xf>
    <xf numFmtId="0" fontId="3" fillId="3" borderId="2" xfId="0" applyFont="1" applyFill="1" applyBorder="1" applyProtection="1">
      <alignment vertical="center"/>
    </xf>
    <xf numFmtId="0" fontId="3" fillId="3" borderId="5" xfId="0" applyFont="1" applyFill="1" applyBorder="1" applyProtection="1">
      <alignment vertical="center"/>
    </xf>
    <xf numFmtId="0" fontId="3" fillId="3" borderId="6" xfId="0" applyFont="1" applyFill="1" applyBorder="1" applyProtection="1">
      <alignment vertical="center"/>
    </xf>
    <xf numFmtId="0" fontId="3" fillId="3" borderId="7" xfId="0" applyFont="1" applyFill="1" applyBorder="1" applyProtection="1">
      <alignment vertical="center"/>
    </xf>
    <xf numFmtId="0" fontId="3" fillId="3" borderId="3" xfId="0" applyFont="1" applyFill="1" applyBorder="1" applyProtection="1">
      <alignment vertical="center"/>
    </xf>
    <xf numFmtId="0" fontId="4" fillId="5" borderId="1" xfId="0" applyFont="1" applyFill="1" applyBorder="1" applyProtection="1">
      <alignment vertical="center"/>
    </xf>
    <xf numFmtId="0" fontId="3" fillId="4" borderId="0" xfId="0" applyFont="1" applyFill="1" applyBorder="1" applyProtection="1">
      <alignment vertical="center"/>
    </xf>
    <xf numFmtId="0" fontId="3" fillId="3" borderId="8" xfId="0" applyFont="1" applyFill="1" applyBorder="1" applyProtection="1">
      <alignment vertical="center"/>
    </xf>
    <xf numFmtId="0" fontId="3" fillId="3" borderId="1" xfId="0" applyFont="1" applyFill="1" applyBorder="1" applyProtection="1">
      <alignment vertical="center"/>
    </xf>
    <xf numFmtId="0" fontId="3" fillId="3" borderId="9" xfId="0" applyFont="1" applyFill="1" applyBorder="1" applyProtection="1">
      <alignment vertical="center"/>
    </xf>
    <xf numFmtId="0" fontId="8" fillId="0" borderId="0" xfId="0" applyFont="1" applyAlignment="1" applyProtection="1">
      <alignment horizontal="right" vertical="center"/>
    </xf>
    <xf numFmtId="178" fontId="10" fillId="3" borderId="0" xfId="0" applyNumberFormat="1" applyFont="1" applyFill="1" applyBorder="1" applyAlignment="1" applyProtection="1">
      <alignment horizontal="right" vertical="center"/>
    </xf>
    <xf numFmtId="0" fontId="5" fillId="2" borderId="1" xfId="0" applyFont="1" applyFill="1" applyBorder="1" applyAlignment="1" applyProtection="1">
      <alignment vertical="center"/>
    </xf>
    <xf numFmtId="0" fontId="10" fillId="3" borderId="0" xfId="0" applyFont="1" applyFill="1" applyBorder="1" applyProtection="1">
      <alignment vertical="center"/>
    </xf>
    <xf numFmtId="7" fontId="3" fillId="6" borderId="13" xfId="0" applyNumberFormat="1" applyFont="1" applyFill="1" applyBorder="1" applyProtection="1">
      <alignment vertical="center"/>
      <protection locked="0"/>
    </xf>
    <xf numFmtId="0" fontId="5" fillId="3" borderId="0" xfId="0" applyFont="1" applyFill="1" applyBorder="1" applyAlignment="1" applyProtection="1">
      <alignment vertical="center"/>
    </xf>
    <xf numFmtId="0" fontId="4" fillId="3" borderId="0" xfId="0" applyFont="1" applyFill="1" applyBorder="1" applyProtection="1">
      <alignment vertical="center"/>
    </xf>
    <xf numFmtId="0" fontId="7" fillId="3" borderId="0" xfId="0" applyFont="1" applyFill="1" applyBorder="1" applyProtection="1">
      <alignment vertical="center"/>
    </xf>
    <xf numFmtId="176" fontId="3" fillId="6" borderId="13" xfId="0" applyNumberFormat="1" applyFont="1" applyFill="1" applyBorder="1" applyProtection="1">
      <alignment vertical="center"/>
      <protection locked="0"/>
    </xf>
    <xf numFmtId="10" fontId="3" fillId="6" borderId="13" xfId="1" applyNumberFormat="1" applyFont="1" applyFill="1" applyBorder="1" applyProtection="1">
      <alignment vertical="center"/>
      <protection locked="0"/>
    </xf>
    <xf numFmtId="10" fontId="3" fillId="3" borderId="0" xfId="1" applyNumberFormat="1" applyFont="1" applyFill="1" applyBorder="1" applyAlignment="1" applyProtection="1">
      <alignment horizontal="right" vertical="center"/>
    </xf>
    <xf numFmtId="0" fontId="3" fillId="6" borderId="13" xfId="0" applyFont="1" applyFill="1" applyBorder="1" applyProtection="1">
      <alignment vertical="center"/>
      <protection locked="0"/>
    </xf>
    <xf numFmtId="0" fontId="6" fillId="3" borderId="0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3" fillId="6" borderId="10" xfId="0" applyNumberFormat="1" applyFont="1" applyFill="1" applyBorder="1" applyAlignment="1" applyProtection="1">
      <alignment horizontal="right"/>
      <protection locked="0"/>
    </xf>
    <xf numFmtId="0" fontId="3" fillId="6" borderId="11" xfId="0" applyNumberFormat="1" applyFont="1" applyFill="1" applyBorder="1" applyAlignment="1" applyProtection="1">
      <alignment horizontal="right"/>
      <protection locked="0"/>
    </xf>
    <xf numFmtId="0" fontId="3" fillId="6" borderId="12" xfId="0" applyNumberFormat="1" applyFont="1" applyFill="1" applyBorder="1" applyAlignment="1" applyProtection="1">
      <alignment horizontal="right"/>
      <protection locked="0"/>
    </xf>
  </cellXfs>
  <cellStyles count="2">
    <cellStyle name="百分比" xfId="1" builtinId="5"/>
    <cellStyle name="常规" xfId="0" builtinId="0"/>
  </cellStyles>
  <dxfs count="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</dxf>
    <dxf>
      <font>
        <color theme="9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tencent://AddContact/?fromId=45&amp;fromSubId=1&amp;subcmd=all&amp;uin=635943996&amp;website=www.oicqzon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579782</xdr:colOff>
      <xdr:row>22</xdr:row>
      <xdr:rowOff>33130</xdr:rowOff>
    </xdr:from>
    <xdr:to>
      <xdr:col>17</xdr:col>
      <xdr:colOff>679175</xdr:colOff>
      <xdr:row>23</xdr:row>
      <xdr:rowOff>57977</xdr:rowOff>
    </xdr:to>
    <xdr:sp macro="" textlink="">
      <xdr:nvSpPr>
        <xdr:cNvPr id="4" name="矩形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8B1CF0-3855-42BE-B5F6-1D75DD18251D}"/>
            </a:ext>
          </a:extLst>
        </xdr:cNvPr>
        <xdr:cNvSpPr/>
      </xdr:nvSpPr>
      <xdr:spPr>
        <a:xfrm>
          <a:off x="9268239" y="4240695"/>
          <a:ext cx="745436" cy="207065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u="sng">
              <a:solidFill>
                <a:schemeClr val="bg1">
                  <a:lumMod val="85000"/>
                </a:schemeClr>
              </a:solidFill>
            </a:rPr>
            <a:t>点此联系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4:R23"/>
  <sheetViews>
    <sheetView showGridLines="0" tabSelected="1" zoomScale="115" zoomScaleNormal="115" workbookViewId="0">
      <selection activeCell="D9" sqref="D9"/>
    </sheetView>
  </sheetViews>
  <sheetFormatPr defaultRowHeight="14.25" x14ac:dyDescent="0.15"/>
  <cols>
    <col min="1" max="2" width="9" style="1"/>
    <col min="3" max="3" width="10.375" style="1" customWidth="1"/>
    <col min="4" max="4" width="19.875" style="1" customWidth="1"/>
    <col min="5" max="5" width="3.625" style="1" customWidth="1"/>
    <col min="6" max="6" width="3.75" style="1" customWidth="1"/>
    <col min="7" max="7" width="14.125" style="1" customWidth="1"/>
    <col min="8" max="8" width="14" style="1" customWidth="1"/>
    <col min="9" max="9" width="3.75" style="1" customWidth="1"/>
    <col min="10" max="10" width="4" style="1" customWidth="1"/>
    <col min="11" max="11" width="8.75" style="1" customWidth="1"/>
    <col min="12" max="16" width="2.75" style="1" customWidth="1"/>
    <col min="17" max="17" width="8.5" style="1" customWidth="1"/>
    <col min="18" max="16384" width="9" style="1"/>
  </cols>
  <sheetData>
    <row r="4" spans="2:18" ht="15" thickBot="1" x14ac:dyDescent="0.2"/>
    <row r="5" spans="2:18" x14ac:dyDescent="0.1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</row>
    <row r="6" spans="2:18" x14ac:dyDescent="0.15">
      <c r="B6" s="1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3"/>
    </row>
    <row r="7" spans="2:18" ht="28.5" thickBot="1" x14ac:dyDescent="0.2">
      <c r="B7" s="12"/>
      <c r="C7" s="22" t="s">
        <v>6</v>
      </c>
      <c r="D7" s="22"/>
      <c r="E7" s="8"/>
      <c r="F7" s="14"/>
      <c r="G7" s="15" t="s">
        <v>7</v>
      </c>
      <c r="H7" s="15"/>
      <c r="I7" s="8"/>
      <c r="J7" s="14"/>
      <c r="K7" s="7" t="s">
        <v>19</v>
      </c>
      <c r="L7" s="16"/>
      <c r="M7" s="16"/>
      <c r="N7" s="16"/>
      <c r="O7" s="16"/>
      <c r="P7" s="16"/>
      <c r="Q7" s="16"/>
      <c r="R7" s="13"/>
    </row>
    <row r="8" spans="2:18" ht="5.25" customHeight="1" thickBot="1" x14ac:dyDescent="0.2">
      <c r="B8" s="12"/>
      <c r="C8" s="25"/>
      <c r="D8" s="25"/>
      <c r="E8" s="8"/>
      <c r="F8" s="14"/>
      <c r="G8" s="26"/>
      <c r="H8" s="8"/>
      <c r="I8" s="8"/>
      <c r="J8" s="14"/>
      <c r="K8" s="27"/>
      <c r="L8" s="8"/>
      <c r="M8" s="8"/>
      <c r="N8" s="8"/>
      <c r="O8" s="8"/>
      <c r="P8" s="8"/>
      <c r="Q8" s="8"/>
      <c r="R8" s="13"/>
    </row>
    <row r="9" spans="2:18" ht="15.75" thickTop="1" thickBot="1" x14ac:dyDescent="0.25">
      <c r="B9" s="12"/>
      <c r="C9" s="8" t="s">
        <v>0</v>
      </c>
      <c r="D9" s="24"/>
      <c r="E9" s="8"/>
      <c r="F9" s="14"/>
      <c r="G9" s="8" t="s">
        <v>8</v>
      </c>
      <c r="H9" s="24">
        <v>500</v>
      </c>
      <c r="I9" s="8"/>
      <c r="J9" s="14"/>
      <c r="K9" s="8" t="s">
        <v>20</v>
      </c>
      <c r="L9" s="34">
        <v>55</v>
      </c>
      <c r="M9" s="35"/>
      <c r="N9" s="35"/>
      <c r="O9" s="35"/>
      <c r="P9" s="35"/>
      <c r="Q9" s="36"/>
      <c r="R9" s="13"/>
    </row>
    <row r="10" spans="2:18" ht="15.75" thickTop="1" thickBot="1" x14ac:dyDescent="0.25">
      <c r="B10" s="12"/>
      <c r="C10" s="8" t="s">
        <v>1</v>
      </c>
      <c r="D10" s="28">
        <v>0.5</v>
      </c>
      <c r="E10" s="8"/>
      <c r="F10" s="14"/>
      <c r="G10" s="8" t="s">
        <v>9</v>
      </c>
      <c r="H10" s="24">
        <v>125</v>
      </c>
      <c r="I10" s="8"/>
      <c r="J10" s="14"/>
      <c r="K10" s="8" t="s">
        <v>21</v>
      </c>
      <c r="L10" s="34">
        <v>14</v>
      </c>
      <c r="M10" s="35"/>
      <c r="N10" s="35"/>
      <c r="O10" s="35"/>
      <c r="P10" s="35"/>
      <c r="Q10" s="36"/>
      <c r="R10" s="13"/>
    </row>
    <row r="11" spans="2:18" ht="15.75" thickTop="1" thickBot="1" x14ac:dyDescent="0.25">
      <c r="B11" s="12"/>
      <c r="C11" s="8" t="s">
        <v>4</v>
      </c>
      <c r="D11" s="28">
        <v>8.99</v>
      </c>
      <c r="E11" s="8"/>
      <c r="F11" s="14"/>
      <c r="G11" s="8" t="s">
        <v>10</v>
      </c>
      <c r="H11" s="24">
        <v>6.9</v>
      </c>
      <c r="I11" s="8"/>
      <c r="J11" s="14"/>
      <c r="K11" s="8" t="s">
        <v>22</v>
      </c>
      <c r="L11" s="34">
        <v>11</v>
      </c>
      <c r="M11" s="35"/>
      <c r="N11" s="35"/>
      <c r="O11" s="35"/>
      <c r="P11" s="35"/>
      <c r="Q11" s="36"/>
      <c r="R11" s="13"/>
    </row>
    <row r="12" spans="2:18" ht="15.75" thickTop="1" thickBot="1" x14ac:dyDescent="0.25">
      <c r="B12" s="12"/>
      <c r="C12" s="8" t="s">
        <v>5</v>
      </c>
      <c r="D12" s="29">
        <v>0.2</v>
      </c>
      <c r="E12" s="8"/>
      <c r="F12" s="14"/>
      <c r="G12" s="8" t="s">
        <v>11</v>
      </c>
      <c r="H12" s="28">
        <v>22</v>
      </c>
      <c r="I12" s="8"/>
      <c r="J12" s="14"/>
      <c r="K12" s="8" t="s">
        <v>23</v>
      </c>
      <c r="L12" s="34">
        <v>7</v>
      </c>
      <c r="M12" s="35"/>
      <c r="N12" s="35"/>
      <c r="O12" s="35"/>
      <c r="P12" s="35"/>
      <c r="Q12" s="36"/>
      <c r="R12" s="13"/>
    </row>
    <row r="13" spans="2:18" ht="15.75" thickTop="1" thickBot="1" x14ac:dyDescent="0.25">
      <c r="B13" s="12"/>
      <c r="C13" s="8" t="s">
        <v>2</v>
      </c>
      <c r="D13" s="29">
        <v>0.3</v>
      </c>
      <c r="E13" s="8"/>
      <c r="F13" s="14"/>
      <c r="G13" s="8" t="s">
        <v>12</v>
      </c>
      <c r="H13" s="2">
        <f>((H9+H10)/H11+H12)/0.85</f>
        <v>132.44671781756182</v>
      </c>
      <c r="I13" s="8"/>
      <c r="J13" s="14"/>
      <c r="K13" s="8" t="s">
        <v>24</v>
      </c>
      <c r="L13" s="34">
        <v>13</v>
      </c>
      <c r="M13" s="35"/>
      <c r="N13" s="35"/>
      <c r="O13" s="35"/>
      <c r="P13" s="35"/>
      <c r="Q13" s="36"/>
      <c r="R13" s="13"/>
    </row>
    <row r="14" spans="2:18" ht="15.75" thickTop="1" thickBot="1" x14ac:dyDescent="0.2">
      <c r="B14" s="12"/>
      <c r="C14" s="8" t="s">
        <v>3</v>
      </c>
      <c r="D14" s="30">
        <f>D10/D11/D12</f>
        <v>0.27808676307007785</v>
      </c>
      <c r="E14" s="8"/>
      <c r="F14" s="14"/>
      <c r="G14" s="8" t="s">
        <v>13</v>
      </c>
      <c r="H14" s="28">
        <v>299</v>
      </c>
      <c r="I14" s="8"/>
      <c r="J14" s="14"/>
      <c r="K14" s="8" t="s">
        <v>16</v>
      </c>
      <c r="L14" s="21">
        <f t="shared" ref="L14" si="0">Q14</f>
        <v>3.91</v>
      </c>
      <c r="M14" s="21">
        <f>Q14</f>
        <v>3.91</v>
      </c>
      <c r="N14" s="21">
        <f>Q14</f>
        <v>3.91</v>
      </c>
      <c r="O14" s="21">
        <f>Q14</f>
        <v>3.91</v>
      </c>
      <c r="P14" s="21">
        <f>Q14</f>
        <v>3.91</v>
      </c>
      <c r="Q14" s="5">
        <f>IFERROR((L9*5+L10*4+L11*3+L12*2+L13*1)/SUM(L9:Q13),"数据有误")</f>
        <v>3.91</v>
      </c>
      <c r="R14" s="13"/>
    </row>
    <row r="15" spans="2:18" ht="14.25" customHeight="1" thickTop="1" thickBot="1" x14ac:dyDescent="0.2">
      <c r="B15" s="12"/>
      <c r="C15" s="8"/>
      <c r="D15" s="32" t="str">
        <f>IF(D14&lt;=D13,"推荐","不推荐")</f>
        <v>推荐</v>
      </c>
      <c r="E15" s="8"/>
      <c r="F15" s="14"/>
      <c r="G15" s="8" t="s">
        <v>14</v>
      </c>
      <c r="H15" s="3">
        <f>(H14*0.85-H12)*H11-H10-H9</f>
        <v>976.83500000000004</v>
      </c>
      <c r="I15" s="8"/>
      <c r="J15" s="14"/>
      <c r="K15" s="8" t="s">
        <v>15</v>
      </c>
      <c r="L15" s="23">
        <f>Q15</f>
        <v>4.5</v>
      </c>
      <c r="M15" s="21">
        <f>Q15</f>
        <v>4.5</v>
      </c>
      <c r="N15" s="23">
        <f>Q15</f>
        <v>4.5</v>
      </c>
      <c r="O15" s="23">
        <f>Q15</f>
        <v>4.5</v>
      </c>
      <c r="P15" s="23">
        <f>Q15</f>
        <v>4.5</v>
      </c>
      <c r="Q15" s="31">
        <v>4.5</v>
      </c>
      <c r="R15" s="13"/>
    </row>
    <row r="16" spans="2:18" ht="15.75" thickTop="1" thickBot="1" x14ac:dyDescent="0.2">
      <c r="B16" s="12"/>
      <c r="C16" s="8"/>
      <c r="D16" s="33"/>
      <c r="E16" s="8"/>
      <c r="F16" s="14"/>
      <c r="G16" s="8" t="s">
        <v>2</v>
      </c>
      <c r="H16" s="4">
        <f>H15/H11/H14</f>
        <v>0.47347923028452332</v>
      </c>
      <c r="I16" s="8"/>
      <c r="J16" s="14"/>
      <c r="K16" s="8" t="s">
        <v>17</v>
      </c>
      <c r="L16" s="6"/>
      <c r="M16" s="6"/>
      <c r="N16" s="6"/>
      <c r="O16" s="6"/>
      <c r="P16" s="6"/>
      <c r="Q16" s="6">
        <f>IF(Q15&gt;Q14,IFERROR((Q15*SUM(L10:L13)-L10*4-L11*3-L12*2-L13*1)/(5-Q15)-L9,"数据有误"),"不需要")</f>
        <v>118</v>
      </c>
      <c r="R16" s="13"/>
    </row>
    <row r="17" spans="2:18" x14ac:dyDescent="0.15"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3"/>
    </row>
    <row r="18" spans="2:18" x14ac:dyDescent="0.15"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3"/>
    </row>
    <row r="19" spans="2:18" x14ac:dyDescent="0.15"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3"/>
    </row>
    <row r="20" spans="2:18" ht="15" thickBot="1" x14ac:dyDescent="0.2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9"/>
    </row>
    <row r="22" spans="2:18" x14ac:dyDescent="0.15">
      <c r="R22" s="20" t="s">
        <v>18</v>
      </c>
    </row>
    <row r="23" spans="2:18" x14ac:dyDescent="0.15">
      <c r="Q23" s="1" t="s">
        <v>25</v>
      </c>
    </row>
  </sheetData>
  <sheetProtection algorithmName="SHA-512" hashValue="YBYF97bYbouycPCvc/nPEkdCm6SrcA2u5rseaxosCcsLPnsL8zg7RPZL/ycXHxc8BOcMlMVXpUQOOJYG4hj9Yw==" saltValue="wuxEnilVHEfVJDzM9qH77w==" spinCount="100000" sheet="1" objects="1" scenarios="1" selectLockedCells="1"/>
  <mergeCells count="6">
    <mergeCell ref="D15:D16"/>
    <mergeCell ref="L9:Q9"/>
    <mergeCell ref="L10:Q10"/>
    <mergeCell ref="L11:Q11"/>
    <mergeCell ref="L12:Q12"/>
    <mergeCell ref="L13:Q13"/>
  </mergeCells>
  <phoneticPr fontId="2" type="noConversion"/>
  <conditionalFormatting sqref="D15">
    <cfRule type="cellIs" dxfId="5" priority="41" operator="equal">
      <formula>"不推荐"</formula>
    </cfRule>
    <cfRule type="cellIs" dxfId="4" priority="42" operator="equal">
      <formula>"推荐"</formula>
    </cfRule>
  </conditionalFormatting>
  <conditionalFormatting sqref="L9">
    <cfRule type="dataBar" priority="19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{D66E2D4C-7A87-49EE-B2FE-BB12E4A05E69}</x14:id>
        </ext>
      </extLst>
    </cfRule>
    <cfRule type="dataBar" priority="20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{3F64203A-48F6-4C2A-8DC9-FAF279431E46}</x14:id>
        </ext>
      </extLst>
    </cfRule>
  </conditionalFormatting>
  <conditionalFormatting sqref="L14:Q16">
    <cfRule type="containsText" dxfId="3" priority="17" operator="containsText" text="检查">
      <formula>NOT(ISERROR(SEARCH("检查",L14)))</formula>
    </cfRule>
  </conditionalFormatting>
  <conditionalFormatting sqref="Q1:Q9 Q14:Q1048576">
    <cfRule type="containsText" dxfId="2" priority="5" operator="containsText" text="有误">
      <formula>NOT(ISERROR(SEARCH("有误",Q1)))</formula>
    </cfRule>
  </conditionalFormatting>
  <conditionalFormatting sqref="Q16">
    <cfRule type="cellIs" dxfId="1" priority="4" operator="equal">
      <formula>"不需要"</formula>
    </cfRule>
  </conditionalFormatting>
  <conditionalFormatting sqref="L10:L13">
    <cfRule type="dataBar" priority="2">
      <dataBar>
        <cfvo type="num" val="0"/>
        <cfvo type="num" val="SUM($L$9:$L$13)"/>
        <color rgb="FFFFC000"/>
      </dataBar>
      <extLst>
        <ext xmlns:x14="http://schemas.microsoft.com/office/spreadsheetml/2009/9/main" uri="{B025F937-C7B1-47D3-B67F-A62EFF666E3E}">
          <x14:id>{5F4ED9B7-15FA-459A-B205-FC04FC780849}</x14:id>
        </ext>
      </extLst>
    </cfRule>
    <cfRule type="dataBar" priority="3">
      <dataBar>
        <cfvo type="num" val="0"/>
        <cfvo type="num" val="SUM($L$9:$L$13)"/>
        <color rgb="FF638EC6"/>
      </dataBar>
      <extLst>
        <ext xmlns:x14="http://schemas.microsoft.com/office/spreadsheetml/2009/9/main" uri="{B025F937-C7B1-47D3-B67F-A62EFF666E3E}">
          <x14:id>{82AAFC7A-713D-4FBE-ACE6-DDAE781FE51C}</x14:id>
        </ext>
      </extLst>
    </cfRule>
  </conditionalFormatting>
  <conditionalFormatting sqref="Q10:Q13">
    <cfRule type="containsText" dxfId="0" priority="1" operator="containsText" text="有误">
      <formula>NOT(ISERROR(SEARCH("有误",Q10)))</formula>
    </cfRule>
  </conditionalFormatting>
  <dataValidations count="1">
    <dataValidation type="custom" allowBlank="1" showInputMessage="1" showErrorMessage="1" sqref="L9:Q13" xr:uid="{00000000-0002-0000-0000-000000000000}">
      <formula1>ISNUMBER(Q9)</formula1>
    </dataValidation>
  </dataValidations>
  <pageMargins left="0.7" right="0.7" top="0.75" bottom="0.75" header="0.3" footer="0.3"/>
  <pageSetup paperSize="256" orientation="portrait" horizontalDpi="203" verticalDpi="20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6E2D4C-7A87-49EE-B2FE-BB12E4A05E69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3F64203A-48F6-4C2A-8DC9-FAF279431E46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F4ED9B7-15FA-459A-B205-FC04FC780849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14:cfRule type="dataBar" id="{82AAFC7A-713D-4FBE-ACE6-DDAE781FE51C}">
            <x14:dataBar minLength="0" maxLength="100" gradient="0">
              <x14:cfvo type="num">
                <xm:f>0</xm:f>
              </x14:cfvo>
              <x14:cfvo type="num">
                <xm:f>SUM($L$9:$L$13)</xm:f>
              </x14:cfvo>
              <x14:negativeFillColor rgb="FFFF0000"/>
              <x14:axisColor rgb="FF000000"/>
            </x14:dataBar>
          </x14:cfRule>
          <xm:sqref>L10:L13</xm:sqref>
        </x14:conditionalFormatting>
        <x14:conditionalFormatting xmlns:xm="http://schemas.microsoft.com/office/excel/2006/main">
          <x14:cfRule type="iconSet" priority="14" id="{2678C7FB-891A-484C-AAEE-D3AF9FABEDDE}">
            <x14:iconSet iconSet="3Stars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14:cfRule type="iconSet" priority="15" id="{D1D7ADBC-9679-4C88-99E3-E9A1ADE7E199}">
            <x14:iconSet iconSet="3Stars">
              <x14:cfvo type="percent">
                <xm:f>0</xm:f>
              </x14:cfvo>
              <x14:cfvo type="percent">
                <xm:f>0.5</xm:f>
              </x14:cfvo>
              <x14:cfvo type="percent">
                <xm:f>1</xm:f>
              </x14:cfvo>
            </x14:iconSet>
          </x14:cfRule>
          <x14:cfRule type="iconSet" priority="16" id="{37D6EC85-2CB8-4825-91B3-7ACA659F3B48}">
            <x14:iconSet custom="1">
              <x14:cfvo type="percent">
                <xm:f>0</xm:f>
              </x14:cfvo>
              <x14:cfvo type="percent">
                <xm:f>33</xm:f>
              </x14:cfvo>
              <x14:cfvo type="num">
                <xm:f>$Q$14</xm:f>
              </x14:cfvo>
              <x14:cfIcon iconSet="3TrafficLights1" iconId="0"/>
              <x14:cfIcon iconSet="3TrafficLights1" iconId="1"/>
              <x14:cfIcon iconSet="3Star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13" id="{92DCF88D-FAC6-4B90-945B-8079FE844D15}">
            <x14:iconSet iconSet="3Stars">
              <x14:cfvo type="percent">
                <xm:f>0</xm:f>
              </x14:cfvo>
              <x14:cfvo type="num">
                <xm:f>0.3</xm:f>
              </x14:cfvo>
              <x14:cfvo type="num">
                <xm:f>0.7</xm:f>
              </x14:cfvo>
            </x14:iconSet>
          </x14:cfRule>
          <xm:sqref>L14:L15</xm:sqref>
        </x14:conditionalFormatting>
        <x14:conditionalFormatting xmlns:xm="http://schemas.microsoft.com/office/excel/2006/main">
          <x14:cfRule type="iconSet" priority="12" id="{FB76E5CE-2008-4125-A8EA-B4F080905EDA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M14:M15</xm:sqref>
        </x14:conditionalFormatting>
        <x14:conditionalFormatting xmlns:xm="http://schemas.microsoft.com/office/excel/2006/main">
          <x14:cfRule type="iconSet" priority="11" id="{A121AA6C-A123-46D6-A104-7DE8B375A2DF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M15</xm:sqref>
        </x14:conditionalFormatting>
        <x14:conditionalFormatting xmlns:xm="http://schemas.microsoft.com/office/excel/2006/main">
          <x14:cfRule type="iconSet" priority="9" id="{24912AEF-63FE-4FA6-9009-02ABF93D7845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14:cfRule type="iconSet" priority="10" id="{81BA8EBF-E309-4A3E-A9DA-ED9777E59C6C}">
            <x14:iconSet iconSet="3Stars">
              <x14:cfvo type="percent">
                <xm:f>0</xm:f>
              </x14:cfvo>
              <x14:cfvo type="num">
                <xm:f>1.3</xm:f>
              </x14:cfvo>
              <x14:cfvo type="num">
                <xm:f>1.7</xm:f>
              </x14:cfvo>
            </x14:iconSet>
          </x14:cfRule>
          <xm:sqref>M14</xm:sqref>
        </x14:conditionalFormatting>
        <x14:conditionalFormatting xmlns:xm="http://schemas.microsoft.com/office/excel/2006/main">
          <x14:cfRule type="iconSet" priority="8" id="{D8D199C8-365D-466B-9C3E-8FC9CA356ED1}">
            <x14:iconSet iconSet="3Stars">
              <x14:cfvo type="percent">
                <xm:f>0</xm:f>
              </x14:cfvo>
              <x14:cfvo type="num">
                <xm:f>2.2999999999999998</xm:f>
              </x14:cfvo>
              <x14:cfvo type="num">
                <xm:f>2.7</xm:f>
              </x14:cfvo>
            </x14:iconSet>
          </x14:cfRule>
          <xm:sqref>N14:N15</xm:sqref>
        </x14:conditionalFormatting>
        <x14:conditionalFormatting xmlns:xm="http://schemas.microsoft.com/office/excel/2006/main">
          <x14:cfRule type="iconSet" priority="7" id="{7E3DF87E-F552-4A25-AB03-4A26120EEF32}">
            <x14:iconSet iconSet="3Stars">
              <x14:cfvo type="percent">
                <xm:f>0</xm:f>
              </x14:cfvo>
              <x14:cfvo type="num">
                <xm:f>3.3</xm:f>
              </x14:cfvo>
              <x14:cfvo type="num">
                <xm:f>3.7</xm:f>
              </x14:cfvo>
            </x14:iconSet>
          </x14:cfRule>
          <xm:sqref>O14:O15</xm:sqref>
        </x14:conditionalFormatting>
        <x14:conditionalFormatting xmlns:xm="http://schemas.microsoft.com/office/excel/2006/main">
          <x14:cfRule type="iconSet" priority="6" id="{B787A6FA-1A9F-4C53-93DB-BF174D9E0669}">
            <x14:iconSet iconSet="3Stars">
              <x14:cfvo type="percent">
                <xm:f>0</xm:f>
              </x14:cfvo>
              <x14:cfvo type="num">
                <xm:f>4.3</xm:f>
              </x14:cfvo>
              <x14:cfvo type="num">
                <xm:f>4.7</xm:f>
              </x14:cfvo>
            </x14:iconSet>
          </x14:cfRule>
          <xm:sqref>P14:P15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工具箱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nan jing</cp:lastModifiedBy>
  <dcterms:created xsi:type="dcterms:W3CDTF">2018-08-15T03:21:54Z</dcterms:created>
  <dcterms:modified xsi:type="dcterms:W3CDTF">2019-04-16T04:18:47Z</dcterms:modified>
</cp:coreProperties>
</file>