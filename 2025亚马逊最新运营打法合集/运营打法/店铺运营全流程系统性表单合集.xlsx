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 firstSheet="1" activeTab="3"/>
  </bookViews>
  <sheets>
    <sheet name="Sheet1年度销售额计划及月度产品上线规划" sheetId="1" r:id="rId1"/>
    <sheet name="Sheet2店铺日常运营销售日报" sheetId="2" r:id="rId2"/>
    <sheet name="Sheet3重点产品运营策略" sheetId="3" r:id="rId3"/>
    <sheet name="Sheet4跟踪产品页面差评反馈" sheetId="4" r:id="rId4"/>
  </sheets>
  <externalReferences>
    <externalReference r:id="rId8"/>
  </externalReferences>
  <definedNames>
    <definedName name="今日应办">[1]待办事项列表!$C$3</definedName>
    <definedName name="责任人">#REF!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O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运营动作/竞品动作/站外deal渠道备注等</t>
        </r>
      </text>
    </comment>
  </commentList>
</comments>
</file>

<file path=xl/sharedStrings.xml><?xml version="1.0" encoding="utf-8"?>
<sst xmlns="http://schemas.openxmlformats.org/spreadsheetml/2006/main" count="610" uniqueCount="367">
  <si>
    <t>2020店铺销售目标金额(美金)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</si>
  <si>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</si>
  <si>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</si>
  <si>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</si>
  <si>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</si>
  <si>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</si>
  <si>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</si>
  <si>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</si>
  <si>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</si>
  <si>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</si>
  <si>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</si>
  <si>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</si>
  <si>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</si>
  <si>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2020年汇总</t>
  </si>
  <si>
    <t>每月具体销量计划(美金)</t>
  </si>
  <si>
    <t>1月份</t>
  </si>
  <si>
    <t>1月营业额</t>
  </si>
  <si>
    <t>2月份</t>
  </si>
  <si>
    <t>2月营业额</t>
  </si>
  <si>
    <t>3月份</t>
  </si>
  <si>
    <t>3月营业额</t>
  </si>
  <si>
    <t>4月份</t>
  </si>
  <si>
    <t>4月营业额</t>
  </si>
  <si>
    <t>5月份</t>
  </si>
  <si>
    <t>5月营业额</t>
  </si>
  <si>
    <t>6月份</t>
  </si>
  <si>
    <t>6月营业额</t>
  </si>
  <si>
    <t>7月份</t>
  </si>
  <si>
    <t>7月营业额</t>
  </si>
  <si>
    <t>8月份</t>
  </si>
  <si>
    <t>8月营业额</t>
  </si>
  <si>
    <t>9月份</t>
  </si>
  <si>
    <t>9月营业额</t>
  </si>
  <si>
    <t>10月份</t>
  </si>
  <si>
    <t>10月营业额</t>
  </si>
  <si>
    <t>11月份</t>
  </si>
  <si>
    <t>11月营业额</t>
  </si>
  <si>
    <t>12月份</t>
  </si>
  <si>
    <t>12月营业额</t>
  </si>
  <si>
    <t>例如：耳机A</t>
  </si>
  <si>
    <t>耳机A</t>
  </si>
  <si>
    <t>加湿器A</t>
  </si>
  <si>
    <t>耳机B</t>
  </si>
  <si>
    <t>耳机C</t>
  </si>
  <si>
    <t>耳机D</t>
  </si>
  <si>
    <t>蓝牙耳机B</t>
  </si>
  <si>
    <t>加湿器B</t>
  </si>
  <si>
    <t>床垫A</t>
  </si>
  <si>
    <t>床垫B</t>
  </si>
  <si>
    <t>电风扇A</t>
  </si>
  <si>
    <t>睡袋A</t>
  </si>
  <si>
    <t>电风扇B</t>
  </si>
  <si>
    <t>折叠凳A</t>
  </si>
  <si>
    <t>电风扇C</t>
  </si>
  <si>
    <t>感应灯A</t>
  </si>
  <si>
    <t>感应灯2</t>
  </si>
  <si>
    <t>暖风机A</t>
  </si>
  <si>
    <t>圣诞灯A</t>
  </si>
  <si>
    <t>充电宝A</t>
  </si>
  <si>
    <t>1月营业额汇总</t>
  </si>
  <si>
    <t>2月营业额汇总</t>
  </si>
  <si>
    <t>3月营业额汇总</t>
  </si>
  <si>
    <t>4月营业额汇总</t>
  </si>
  <si>
    <t>5月营业额汇总</t>
  </si>
  <si>
    <t>6月营业额汇总</t>
  </si>
  <si>
    <t>7月营业额汇总</t>
  </si>
  <si>
    <t>8月营业额汇总</t>
  </si>
  <si>
    <t>9月营业额汇总</t>
  </si>
  <si>
    <t>10月营业额汇总</t>
  </si>
  <si>
    <t>11月营业额汇总</t>
  </si>
  <si>
    <t>12月营业额汇总</t>
  </si>
  <si>
    <t>店铺销售情况日报</t>
  </si>
  <si>
    <t>店铺</t>
  </si>
  <si>
    <t>出单Units总数</t>
  </si>
  <si>
    <t>销售额</t>
  </si>
  <si>
    <t>店铺总流量</t>
  </si>
  <si>
    <t>店铺总转化率</t>
  </si>
  <si>
    <t>店铺销售情况趋势图</t>
  </si>
  <si>
    <t>WK 1</t>
  </si>
  <si>
    <t>价格</t>
  </si>
  <si>
    <t>总销量</t>
  </si>
  <si>
    <t>流量</t>
  </si>
  <si>
    <t>转化率</t>
  </si>
  <si>
    <t>WK2</t>
  </si>
  <si>
    <t>店铺重点产品销售情况日报</t>
  </si>
  <si>
    <t>ASIN：</t>
  </si>
  <si>
    <t>日期</t>
  </si>
  <si>
    <t>销量数据</t>
  </si>
  <si>
    <t>库存</t>
  </si>
  <si>
    <t>Listing</t>
  </si>
  <si>
    <t>自然排位</t>
  </si>
  <si>
    <t>APA广告</t>
  </si>
  <si>
    <t>广告排位</t>
  </si>
  <si>
    <t>站内促销</t>
  </si>
  <si>
    <t>站外促销</t>
  </si>
  <si>
    <t>日志</t>
  </si>
  <si>
    <t>Weekday</t>
  </si>
  <si>
    <t>价格（美金）</t>
  </si>
  <si>
    <t>销售额（美金）</t>
  </si>
  <si>
    <t>过去7天日销</t>
  </si>
  <si>
    <t>FBA库存</t>
  </si>
  <si>
    <t>在途</t>
  </si>
  <si>
    <t>海外仓库存</t>
  </si>
  <si>
    <t>可销天数基于当天</t>
  </si>
  <si>
    <t>可销天数基于过去7天</t>
  </si>
  <si>
    <t>评分</t>
  </si>
  <si>
    <t>评论数</t>
  </si>
  <si>
    <t>退换货率</t>
  </si>
  <si>
    <t>购物车获得率</t>
  </si>
  <si>
    <t>大类</t>
  </si>
  <si>
    <t>大类排名</t>
  </si>
  <si>
    <t>关键词1</t>
  </si>
  <si>
    <t>关键词2</t>
  </si>
  <si>
    <t>关键词3</t>
  </si>
  <si>
    <t>展示量</t>
  </si>
  <si>
    <t>Click</t>
  </si>
  <si>
    <t>CTR</t>
  </si>
  <si>
    <t>Spend（花费 美金）</t>
  </si>
  <si>
    <t>广告出单（销售额 美金）</t>
  </si>
  <si>
    <t>广告转化ACOS</t>
  </si>
  <si>
    <t>Deal出单（BD/LD/DOTD）</t>
  </si>
  <si>
    <t>Deal费用</t>
  </si>
  <si>
    <t>Deal优惠额</t>
  </si>
  <si>
    <t>coupon设置情况</t>
  </si>
  <si>
    <t>Coupon优惠额</t>
  </si>
  <si>
    <t>其他费用</t>
  </si>
  <si>
    <t>站外促销安排</t>
  </si>
  <si>
    <t>运营日志</t>
  </si>
  <si>
    <t>星期一</t>
  </si>
  <si>
    <t>CE</t>
  </si>
  <si>
    <t>第一页第5个</t>
  </si>
  <si>
    <t>100单 LD</t>
  </si>
  <si>
    <t>40美金</t>
  </si>
  <si>
    <t>8折</t>
  </si>
  <si>
    <t>8折设置一个月</t>
  </si>
  <si>
    <t>联系了一个红人，在2.20日发表促销文章</t>
  </si>
  <si>
    <t>星期二</t>
  </si>
  <si>
    <t>星期三</t>
  </si>
  <si>
    <t>星期四</t>
  </si>
  <si>
    <t>星期五</t>
  </si>
  <si>
    <t>星期六</t>
  </si>
  <si>
    <t>星期日</t>
  </si>
  <si>
    <t>Wk1</t>
  </si>
  <si>
    <t>Wk2</t>
  </si>
  <si>
    <t>WoW</t>
  </si>
  <si>
    <t>店铺重点产品销售额上升下降分析</t>
  </si>
  <si>
    <t>Guidance：</t>
  </si>
  <si>
    <t>1 请根据每周内销售数据曲线以及WoW周对周增幅情况判断问题所在，以及接下来生意改善机会点</t>
  </si>
  <si>
    <t>2 尤其当销量下降时：建议从Listing，自然排位，广告出单，Deal出单，Coupon情况，站外出单等角度去分析，同时建议参考上面树状图查找问题，去完善，做好如下周对周Action Plan</t>
  </si>
  <si>
    <t>店铺重点产品销售额上升下降Action Plan：</t>
  </si>
  <si>
    <t>周重点</t>
  </si>
  <si>
    <t>本周情况（上升下降点）</t>
  </si>
  <si>
    <t>本周遇到的阻力或突发</t>
  </si>
  <si>
    <t>本周重要经验（有助于生意提升）</t>
  </si>
  <si>
    <t>下周计划</t>
  </si>
  <si>
    <t>Owner</t>
  </si>
  <si>
    <t>ETA</t>
  </si>
  <si>
    <t>完成进度（Pending/Process/DONE）</t>
  </si>
  <si>
    <t>Wk3</t>
  </si>
  <si>
    <t>Wk4</t>
  </si>
  <si>
    <t>Wk5</t>
  </si>
  <si>
    <t>Wk6</t>
  </si>
  <si>
    <t>Wk7</t>
  </si>
  <si>
    <t>竞品与我方重点产品对标分析</t>
  </si>
  <si>
    <t>对象</t>
  </si>
  <si>
    <t>品牌</t>
  </si>
  <si>
    <t>标题</t>
  </si>
  <si>
    <t>ASIN</t>
  </si>
  <si>
    <t>Link</t>
  </si>
  <si>
    <t>图片</t>
  </si>
  <si>
    <t>核心关键词</t>
  </si>
  <si>
    <t>上线日期</t>
  </si>
  <si>
    <t>Review Rating</t>
  </si>
  <si>
    <t>Review数量</t>
  </si>
  <si>
    <t>常规价</t>
  </si>
  <si>
    <t>Deal价格</t>
  </si>
  <si>
    <t>前期推广手段</t>
  </si>
  <si>
    <t>大类类目</t>
  </si>
  <si>
    <t>三级类目</t>
  </si>
  <si>
    <t>三级类目排名</t>
  </si>
  <si>
    <t>主关键词自然搜索排名</t>
  </si>
  <si>
    <t>主关键词广告搜索排名</t>
  </si>
  <si>
    <t>日销</t>
  </si>
  <si>
    <t>优点与痛点</t>
  </si>
  <si>
    <t>竞方</t>
  </si>
  <si>
    <t>我方</t>
  </si>
  <si>
    <t>重点产品运营策略截点</t>
  </si>
  <si>
    <t>阶段</t>
  </si>
  <si>
    <t>Date</t>
  </si>
  <si>
    <t>Review 数量</t>
  </si>
  <si>
    <t>定价Price计划</t>
  </si>
  <si>
    <t>库存计划</t>
  </si>
  <si>
    <t>站内外促销计划</t>
  </si>
  <si>
    <t>目标大类排名</t>
  </si>
  <si>
    <t>目标三级类目排名</t>
  </si>
  <si>
    <t>广告计划</t>
  </si>
  <si>
    <t>目标日销量</t>
  </si>
  <si>
    <t>广告日预算</t>
  </si>
  <si>
    <t>广告流量</t>
  </si>
  <si>
    <t>CVR</t>
  </si>
  <si>
    <t>广告订单</t>
  </si>
  <si>
    <t>ACOS</t>
  </si>
  <si>
    <t>第一阶段：完善listing页面</t>
  </si>
  <si>
    <t>第二阶段：迅速激活、扩充流量，提高转化率</t>
  </si>
  <si>
    <t>第三阶段：争取站内外流量资源，提高排名，稳定坑位</t>
  </si>
  <si>
    <t>重点产品运营策略细项</t>
  </si>
  <si>
    <t>模块</t>
  </si>
  <si>
    <t>分类</t>
  </si>
  <si>
    <t>日销目标</t>
  </si>
  <si>
    <t>预计推广时间</t>
  </si>
  <si>
    <t>计划行动措施</t>
  </si>
  <si>
    <t>所需支持</t>
  </si>
  <si>
    <t>Owner负责人</t>
  </si>
  <si>
    <t>目标计划达成情况</t>
  </si>
  <si>
    <t>当阶段操作遇到阻力或其他突发</t>
  </si>
  <si>
    <t>各部门下阶段任务（支持）</t>
  </si>
  <si>
    <t>重要经验记录</t>
  </si>
  <si>
    <t>listing准备期
（Wk1）</t>
  </si>
  <si>
    <t>准备listing</t>
  </si>
  <si>
    <t>熟悉产品 提取亮点</t>
  </si>
  <si>
    <t>6.15发货及到货前期间</t>
  </si>
  <si>
    <t>文案组图片需求准备；                               设计师沟通与运营确认图片；                    计划端配货</t>
  </si>
  <si>
    <t xml:space="preserve">文案组图片需求准备；                                 设计师沟通与运营确认图片；          </t>
  </si>
  <si>
    <t>**</t>
  </si>
  <si>
    <t>1. 日销达到15单
2. 推广动作：vine测评回评率80%导入3个review
3. 关键要务达成情况： 文案已经上架，配货已经发走</t>
  </si>
  <si>
    <t>1. 海运因为假期延迟
2. 文案编辑延迟</t>
  </si>
  <si>
    <t>1. 采购寻找工厂提供产品支持
2. 品质联合技术彻查灯光突然变黑原因
3. 设计需要重新设计包装
4. 项目跟进好迭代款进度，需要提前一周上线
5. 销售支持需要提高VINE回评率</t>
  </si>
  <si>
    <t xml:space="preserve">1. 大假期前物流会塞车
2. 10月后入库开始变慢
</t>
  </si>
  <si>
    <t>创建listing，lisitng准备</t>
  </si>
  <si>
    <t>文案/图片</t>
  </si>
  <si>
    <t>发货</t>
  </si>
  <si>
    <t>站外联系</t>
  </si>
  <si>
    <t>早期评论人 VINE</t>
  </si>
  <si>
    <t>大力推广期
（Wk2-Wk4）</t>
  </si>
  <si>
    <t>提高转化率</t>
  </si>
  <si>
    <t>广告转化</t>
  </si>
  <si>
    <t>FAQ维护</t>
  </si>
  <si>
    <t>Coupon Promotion等（JP 积分）</t>
  </si>
  <si>
    <t>Review分析</t>
  </si>
  <si>
    <t>优化listing</t>
  </si>
  <si>
    <t>增加流量</t>
  </si>
  <si>
    <t>search term 关键词等</t>
  </si>
  <si>
    <t>广告设置</t>
  </si>
  <si>
    <t>稳定期
（Wk5-Wk6）</t>
  </si>
  <si>
    <t>listing优化</t>
  </si>
  <si>
    <t>title</t>
  </si>
  <si>
    <t>5条描述，A+</t>
  </si>
  <si>
    <t>图片，视频，360度</t>
  </si>
  <si>
    <t>Review</t>
  </si>
  <si>
    <t>Review 分析</t>
  </si>
  <si>
    <t>广告优化</t>
  </si>
  <si>
    <t>SP、头条广告 DSP等</t>
  </si>
  <si>
    <t>站内Deal</t>
  </si>
  <si>
    <t>LD DOTD BD 优惠券</t>
  </si>
  <si>
    <t>品牌备案</t>
  </si>
  <si>
    <t>BR2.0注册品牌备案</t>
  </si>
  <si>
    <t>站外Deal</t>
  </si>
  <si>
    <t>站外Deal联系申请</t>
  </si>
  <si>
    <t>Amazon Choice</t>
  </si>
  <si>
    <t>Amazon Choice获得</t>
  </si>
  <si>
    <t>primeday</t>
  </si>
  <si>
    <t>活动申报</t>
  </si>
  <si>
    <t>后台以及经理资源申报</t>
  </si>
  <si>
    <t>库存发货</t>
  </si>
  <si>
    <t>站内广告</t>
  </si>
  <si>
    <t>站外宣传</t>
  </si>
  <si>
    <t>站外宣传联系</t>
  </si>
  <si>
    <t>cybermonday</t>
  </si>
  <si>
    <t>Black Friday</t>
  </si>
  <si>
    <t>日本站全年大活动一览</t>
  </si>
  <si>
    <t>Monthly Deal
(每月大促)</t>
  </si>
  <si>
    <t>Monthly Deal 时间：每月月底或月初，通常为期三天
2020年上半年的Monthly Deal日历为：
1/3 9:00-1/6 23:59 
2/1 9:00-2/3 23:59 
2/29 9:00-3/2 23:59 
3/27 9:00-3/30 23:59 
4/18 9:00-4/20 23:59 
5/16 9:00-5/18 23:59 
6/6 9:00-6/8 23:59
Deal 类型：DOTD/LD
申报途径:
DOTD: 客户经理邀请申报
LD申报：卖家后台 广告-秒杀处申请大促时段秒杀</t>
  </si>
  <si>
    <t>Prime Day
(会员日)</t>
  </si>
  <si>
    <t xml:space="preserve">Prime Day 时间：7月中旬
Deal 类型：DOTD/LD
申报途径:
DOTD:客户经理邀请申报，5月结果确定
LD申报：4-5月 卖家后台 广告-秒杀处申请Prime Day时段秒杀
建议FBA入仓时间：6月底
</t>
  </si>
  <si>
    <t>Black Friday
(黑色星期五)</t>
  </si>
  <si>
    <t xml:space="preserve">Black Friday 时间：2019年11.22-11.24为日本站第一次黑五主题大促，效果为期三天，申报规则和每月大促一样。
Deal 类型：DOTD/LD
申报途径:
DOTD: 客户经理邀请申报
LD申报：卖家后台 广告-秒杀处申请大促时段秒杀
</t>
  </si>
  <si>
    <t>Cyber Monday
(网购星期一)</t>
  </si>
  <si>
    <t>Cyber Monday 时间：12月初
Deal 类型：DOTD/LD
申报途径:
DOTD:客户经理邀请申报，11月结果确定
LD申报：9-10月 卖家后台 广告-秒杀处申请Prime Day时段秒杀
建议FBA入仓时间：11月底日前</t>
  </si>
  <si>
    <t>营销月历</t>
  </si>
  <si>
    <t>月份</t>
  </si>
  <si>
    <t>节日/活动</t>
  </si>
  <si>
    <t>选品推荐</t>
  </si>
  <si>
    <t>新年/成人节</t>
  </si>
  <si>
    <t>新年/成人节：</t>
  </si>
  <si>
    <t>清洁打扫工具， 贺卡 /日式传统服饰</t>
  </si>
  <si>
    <t>情人节</t>
  </si>
  <si>
    <t>情人节：</t>
  </si>
  <si>
    <t>女生赠送男生：男性相关礼品3C，时尚类</t>
  </si>
  <si>
    <t>白色情人节/开学季/求职季/樱花季</t>
  </si>
  <si>
    <t>男生赠送女生相关礼品：配饰/永生花/时尚类                                 家居，文具，正装服饰类/户外野餐垫，保鲜盒</t>
  </si>
  <si>
    <t>母亲节/梅雨季</t>
  </si>
  <si>
    <t>母亲节/梅雨季：</t>
  </si>
  <si>
    <t>永生花，美容仪，首饰等/雨具，家居，防潮类产品</t>
  </si>
  <si>
    <t>父亲节/梅雨季</t>
  </si>
  <si>
    <t>父亲节/梅雨季：</t>
  </si>
  <si>
    <t>皮带，钱包，鞋等/雨具，家居，防潮类产品</t>
  </si>
  <si>
    <t>花火大会/梅雨季</t>
  </si>
  <si>
    <t>花火大会/梅雨季：</t>
  </si>
  <si>
    <t>户外野餐垫，保鲜盒，小风扇，充电宝/雨具，家居，防潮类产品</t>
  </si>
  <si>
    <t>盂兰盆节/暑假</t>
  </si>
  <si>
    <t>盂兰盆节：</t>
  </si>
  <si>
    <t>美容脱毛仪，小风扇，遮阳伞</t>
  </si>
  <si>
    <t>敬老日/秋季运动会/红叶季</t>
  </si>
  <si>
    <t>敬老日/秋季运动会/红叶季：</t>
  </si>
  <si>
    <t>按摩仪，男士钱包及服饰/儿童运动鞋服，汗巾，文具 摄像产品/ 户外登山类产品，摄影拍照器材</t>
  </si>
  <si>
    <t>万圣节/红叶季</t>
  </si>
  <si>
    <t>万圣节/红叶季：</t>
  </si>
  <si>
    <t>装饰类产品，cos服饰道具/户外登山类产品，摄影拍照器材</t>
  </si>
  <si>
    <t>七五三节/红叶季</t>
  </si>
  <si>
    <t>七五三节/红叶季：</t>
  </si>
  <si>
    <t>传统或西式儿童套装/户外登山类产品，摄影拍照器材</t>
  </si>
  <si>
    <t>圣诞节</t>
  </si>
  <si>
    <t>圣诞节/新年：</t>
  </si>
  <si>
    <t>圣诞装饰产品/烘焙膜具/礼品</t>
  </si>
  <si>
    <t>美国站全年大活动一览</t>
  </si>
  <si>
    <t xml:space="preserve">Prime Day 时间：7月中旬
申报途径:
DOTD:客户经理邀请申报，5月结果确定
后台自助申报：4-5月 卖家后台 广告-秒杀处申请Prime Day时段秒杀
建议FBA入仓时间：6月底
</t>
  </si>
  <si>
    <t xml:space="preserve">Black Friday 时间：11月底
申报途径:
DOTD: 客户经理邀请申报，11月结果确定
后台自助申报：9月 -10月卖家后台 广告-秒杀处申请黑五时间段
建议FBA入仓时间：10月底
</t>
  </si>
  <si>
    <t>Cyber Monday 时间：12月初
申报途径:
DOTD:客户经理邀请申报，11月结果确定
后台自助申报：9月 -10月卖家后台 广告-秒杀处申请网一时间段
建议FBA入仓时间：10月底</t>
  </si>
  <si>
    <t>新年</t>
  </si>
  <si>
    <t>食品酒水，玩具，办公用品和文具</t>
  </si>
  <si>
    <t>食品酒水，玩具，办公用品和文具，美妆，饰品</t>
  </si>
  <si>
    <t>春季促销</t>
  </si>
  <si>
    <t>玩具，首饰，家居和厨具，活动和聚会用品，婴儿衣物，女士服饰，儿童青少年服饰</t>
  </si>
  <si>
    <t>复活节</t>
  </si>
  <si>
    <t>食品酒水，玩具，家居和厨具，园艺和户外，办公用品和文具</t>
  </si>
  <si>
    <t>母亲节</t>
  </si>
  <si>
    <t xml:space="preserve">食品酒水，玩具，办公用品和文具，服饰和配饰，家居和厨具，园艺和户外，文具和办公用品，服饰，鞋类和珠宝，奢侈品/美妆，聚会用品 </t>
  </si>
  <si>
    <t>父亲节</t>
  </si>
  <si>
    <t>玩具，服饰，鞋类箱包，钟表，家居和厨具，运动和户外，电子产品，男士服饰/洗漱用品</t>
  </si>
  <si>
    <t>美国独立日/Prime Day</t>
  </si>
  <si>
    <t>全品类</t>
  </si>
  <si>
    <t>返校日</t>
  </si>
  <si>
    <t>电子产品，计算机和办公设备，儿童青少年服饰，办公设备和学校用品</t>
  </si>
  <si>
    <t>劳动节</t>
  </si>
  <si>
    <t>电子产品，计算机和办公设备，儿童/青少年服饰，办公和学校用品</t>
  </si>
  <si>
    <t>万圣节</t>
  </si>
  <si>
    <t>感恩节/黑五</t>
  </si>
  <si>
    <t>网一/光明节/圣诞节</t>
  </si>
  <si>
    <t>欧洲站全年大活动一览</t>
  </si>
  <si>
    <t>周</t>
  </si>
  <si>
    <t>国家-asin</t>
  </si>
  <si>
    <t>国家</t>
  </si>
  <si>
    <t>asin</t>
  </si>
  <si>
    <t>评价日期</t>
  </si>
  <si>
    <t>Review星级</t>
  </si>
  <si>
    <t>问题类型</t>
  </si>
  <si>
    <t>描述（中文）</t>
  </si>
  <si>
    <t>数量</t>
  </si>
  <si>
    <t>原文</t>
  </si>
  <si>
    <t>跟进建议（产品经理或工厂给出方案）</t>
  </si>
  <si>
    <t>ES-***</t>
  </si>
  <si>
    <t>ES</t>
  </si>
  <si>
    <t>*** </t>
  </si>
  <si>
    <t>****</t>
  </si>
  <si>
    <t>电池</t>
  </si>
  <si>
    <t>电池持续时间短</t>
  </si>
  <si>
    <t>*****</t>
  </si>
  <si>
    <t>解决电池问题，已经向工厂反馈，下一批加强质检</t>
  </si>
  <si>
    <t>蓝牙</t>
  </si>
  <si>
    <t>行标签</t>
  </si>
  <si>
    <t>求和项:数量</t>
  </si>
  <si>
    <t>占比</t>
  </si>
  <si>
    <t>寿命</t>
  </si>
  <si>
    <t>体验</t>
  </si>
  <si>
    <t>音量</t>
  </si>
  <si>
    <t>音质</t>
  </si>
  <si>
    <t>总计</t>
  </si>
</sst>
</file>

<file path=xl/styles.xml><?xml version="1.0" encoding="utf-8"?>
<styleSheet xmlns="http://schemas.openxmlformats.org/spreadsheetml/2006/main">
  <numFmts count="10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41" formatCode="_ * #,##0_ ;_ * \-#,##0_ ;_ * &quot;-&quot;_ ;_ @_ "/>
    <numFmt numFmtId="177" formatCode="[$-804]aaa;@"/>
    <numFmt numFmtId="178" formatCode="0.0%"/>
    <numFmt numFmtId="179" formatCode="_ * #,##0_ ;_ * \-#,##0_ ;_ * &quot;-&quot;??_ ;_ @_ "/>
    <numFmt numFmtId="180" formatCode="0.000%"/>
    <numFmt numFmtId="181" formatCode="yyyy\-mm"/>
  </numFmts>
  <fonts count="44">
    <font>
      <sz val="11"/>
      <name val="宋体"/>
      <charset val="134"/>
    </font>
    <font>
      <sz val="11"/>
      <color rgb="FF000000"/>
      <name val="微软雅黑"/>
      <charset val="134"/>
    </font>
    <font>
      <b/>
      <sz val="11"/>
      <color rgb="FF000000"/>
      <name val="宋体"/>
      <charset val="134"/>
    </font>
    <font>
      <b/>
      <sz val="11"/>
      <color rgb="FF000000"/>
      <name val="微软雅黑"/>
      <charset val="134"/>
    </font>
    <font>
      <u/>
      <sz val="11"/>
      <color rgb="FF0000FF"/>
      <name val="微软雅黑"/>
      <charset val="134"/>
    </font>
    <font>
      <sz val="11"/>
      <color rgb="FF000000"/>
      <name val="宋体"/>
      <charset val="134"/>
    </font>
    <font>
      <b/>
      <sz val="11"/>
      <color rgb="FFFFFFFF"/>
      <name val="微软雅黑"/>
      <charset val="134"/>
    </font>
    <font>
      <sz val="9"/>
      <color rgb="FF000000"/>
      <name val="微软雅黑"/>
      <charset val="134"/>
    </font>
    <font>
      <b/>
      <sz val="11"/>
      <name val="微软雅黑"/>
      <charset val="134"/>
    </font>
    <font>
      <b/>
      <sz val="16"/>
      <color rgb="FFFFC000"/>
      <name val="微软雅黑"/>
      <charset val="134"/>
    </font>
    <font>
      <b/>
      <sz val="11"/>
      <color rgb="FFFF0000"/>
      <name val="微软雅黑"/>
      <charset val="134"/>
    </font>
    <font>
      <b/>
      <sz val="10"/>
      <color rgb="FF000000"/>
      <name val="微软雅黑"/>
      <charset val="134"/>
    </font>
    <font>
      <b/>
      <sz val="14"/>
      <color rgb="FF000000"/>
      <name val="微软雅黑"/>
      <charset val="134"/>
    </font>
    <font>
      <b/>
      <sz val="11"/>
      <color rgb="FF00B0F0"/>
      <name val="微软雅黑"/>
      <charset val="134"/>
    </font>
    <font>
      <b/>
      <sz val="11"/>
      <color rgb="FFC0514D"/>
      <name val="微软雅黑"/>
      <charset val="134"/>
    </font>
    <font>
      <b/>
      <sz val="11"/>
      <color rgb="FFFFC000"/>
      <name val="微软雅黑"/>
      <charset val="134"/>
    </font>
    <font>
      <b/>
      <sz val="11"/>
      <color rgb="FF00B050"/>
      <name val="微软雅黑"/>
      <charset val="134"/>
    </font>
    <font>
      <sz val="11"/>
      <name val="微软雅黑"/>
      <charset val="134"/>
    </font>
    <font>
      <sz val="12"/>
      <color rgb="FF000000"/>
      <name val="微软雅黑"/>
      <charset val="134"/>
    </font>
    <font>
      <sz val="11"/>
      <color rgb="FFFFFFFF"/>
      <name val="微软雅黑"/>
      <charset val="134"/>
    </font>
    <font>
      <sz val="11"/>
      <color indexed="8"/>
      <name val="微软雅黑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134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indexed="8"/>
      <name val="宋体"/>
      <charset val="134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51">
    <fill>
      <patternFill patternType="none"/>
    </fill>
    <fill>
      <patternFill patternType="gray125"/>
    </fill>
    <fill>
      <patternFill patternType="solid">
        <fgColor rgb="FFA9D08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CE5F1"/>
        <bgColor rgb="FFDCE5F1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4A7E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rgb="FF4CACC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637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2A1C6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36B0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rgb="FF96B3D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22" fillId="0" borderId="0" applyFont="0" applyFill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30" fillId="26" borderId="37" applyNumberFormat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43" fontId="5" fillId="0" borderId="0">
      <alignment vertical="top"/>
      <protection locked="0"/>
    </xf>
    <xf numFmtId="0" fontId="28" fillId="30" borderId="0" applyNumberFormat="0" applyBorder="0" applyAlignment="0" applyProtection="0">
      <alignment vertical="center"/>
    </xf>
    <xf numFmtId="0" fontId="24" fillId="0" borderId="0">
      <alignment vertical="top"/>
      <protection locked="0"/>
    </xf>
    <xf numFmtId="9" fontId="5" fillId="0" borderId="0">
      <alignment vertical="top"/>
      <protection locked="0"/>
    </xf>
    <xf numFmtId="0" fontId="21" fillId="0" borderId="0" applyNumberFormat="0" applyFill="0" applyBorder="0" applyAlignment="0" applyProtection="0">
      <alignment vertical="center"/>
    </xf>
    <xf numFmtId="0" fontId="22" fillId="31" borderId="39" applyNumberFormat="0" applyFont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4" fillId="0" borderId="38" applyNumberFormat="0" applyFill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24" borderId="36" applyNumberFormat="0" applyAlignment="0" applyProtection="0">
      <alignment vertical="center"/>
    </xf>
    <xf numFmtId="0" fontId="31" fillId="24" borderId="37" applyNumberFormat="0" applyAlignment="0" applyProtection="0">
      <alignment vertical="center"/>
    </xf>
    <xf numFmtId="0" fontId="40" fillId="37" borderId="41" applyNumberFormat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0" borderId="35" applyNumberFormat="0" applyFill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5" fillId="0" borderId="0">
      <protection locked="0"/>
    </xf>
    <xf numFmtId="0" fontId="28" fillId="34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5" fillId="0" borderId="0">
      <protection locked="0"/>
    </xf>
    <xf numFmtId="176" fontId="33" fillId="0" borderId="0">
      <alignment vertical="top"/>
      <protection locked="0"/>
    </xf>
  </cellStyleXfs>
  <cellXfs count="200">
    <xf numFmtId="0" fontId="0" fillId="0" borderId="0" xfId="0">
      <alignment vertical="center"/>
    </xf>
    <xf numFmtId="0" fontId="1" fillId="0" borderId="0" xfId="50" applyFont="1" applyAlignment="1" applyProtection="1">
      <alignment vertical="center" wrapText="1"/>
    </xf>
    <xf numFmtId="0" fontId="1" fillId="0" borderId="0" xfId="50" applyFont="1" applyAlignment="1" applyProtection="1">
      <alignment vertical="center"/>
    </xf>
    <xf numFmtId="0" fontId="2" fillId="0" borderId="0" xfId="0" applyFont="1" applyAlignment="1">
      <alignment horizontal="left" vertical="center"/>
    </xf>
    <xf numFmtId="0" fontId="3" fillId="2" borderId="0" xfId="50" applyFont="1" applyFill="1" applyAlignment="1" applyProtection="1">
      <alignment horizontal="left" vertical="center" wrapText="1"/>
    </xf>
    <xf numFmtId="0" fontId="3" fillId="3" borderId="0" xfId="50" applyFont="1" applyFill="1" applyAlignment="1" applyProtection="1">
      <alignment vertical="center" wrapText="1"/>
    </xf>
    <xf numFmtId="0" fontId="3" fillId="3" borderId="0" xfId="50" applyFont="1" applyFill="1" applyAlignment="1" applyProtection="1">
      <alignment horizontal="center" vertical="center" wrapText="1"/>
    </xf>
    <xf numFmtId="14" fontId="1" fillId="0" borderId="0" xfId="50" applyNumberFormat="1" applyFont="1" applyAlignment="1" applyProtection="1">
      <alignment vertical="center" wrapText="1"/>
    </xf>
    <xf numFmtId="14" fontId="1" fillId="0" borderId="0" xfId="50" applyNumberFormat="1" applyFont="1" applyAlignment="1" applyProtection="1">
      <alignment vertical="center"/>
    </xf>
    <xf numFmtId="0" fontId="4" fillId="0" borderId="0" xfId="10" applyFont="1" applyAlignment="1" applyProtection="1">
      <alignment vertical="center"/>
    </xf>
    <xf numFmtId="0" fontId="1" fillId="4" borderId="1" xfId="50" applyFont="1" applyFill="1" applyBorder="1" applyAlignment="1" applyProtection="1">
      <alignment vertical="center"/>
    </xf>
    <xf numFmtId="0" fontId="5" fillId="0" borderId="0" xfId="0" applyFont="1" applyAlignment="1">
      <alignment horizontal="left" vertical="center"/>
    </xf>
    <xf numFmtId="10" fontId="1" fillId="0" borderId="0" xfId="50" applyNumberFormat="1" applyFont="1" applyAlignment="1" applyProtection="1">
      <alignment vertical="center"/>
    </xf>
    <xf numFmtId="0" fontId="1" fillId="0" borderId="0" xfId="50" applyFont="1" applyAlignment="1" applyProtection="1">
      <alignment horizontal="right" vertical="center"/>
    </xf>
    <xf numFmtId="0" fontId="1" fillId="0" borderId="0" xfId="40" applyFont="1" applyAlignment="1" applyProtection="1">
      <alignment vertical="center"/>
    </xf>
    <xf numFmtId="0" fontId="3" fillId="5" borderId="0" xfId="40" applyFont="1" applyFill="1" applyAlignment="1" applyProtection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3" fillId="0" borderId="2" xfId="40" applyFont="1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40" applyFont="1" applyBorder="1" applyAlignment="1" applyProtection="1">
      <alignment vertical="center"/>
    </xf>
    <xf numFmtId="0" fontId="3" fillId="0" borderId="0" xfId="0" applyFont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6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 wrapText="1"/>
    </xf>
    <xf numFmtId="0" fontId="6" fillId="6" borderId="3" xfId="40" applyFont="1" applyFill="1" applyBorder="1" applyAlignment="1" applyProtection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4" xfId="40" applyFont="1" applyFill="1" applyBorder="1" applyAlignment="1" applyProtection="1">
      <alignment horizontal="center" vertical="center"/>
    </xf>
    <xf numFmtId="0" fontId="3" fillId="7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left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1" fillId="8" borderId="5" xfId="0" applyFont="1" applyFill="1" applyBorder="1" applyAlignment="1">
      <alignment horizontal="left" vertical="center" wrapText="1"/>
    </xf>
    <xf numFmtId="0" fontId="7" fillId="8" borderId="5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" fillId="8" borderId="4" xfId="0" applyFont="1" applyFill="1" applyBorder="1" applyAlignment="1">
      <alignment horizontal="left" vertical="center" wrapText="1"/>
    </xf>
    <xf numFmtId="0" fontId="7" fillId="8" borderId="4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8" fillId="0" borderId="2" xfId="40" applyFont="1" applyBorder="1" applyAlignment="1" applyProtection="1">
      <alignment horizontal="center" vertical="center"/>
    </xf>
    <xf numFmtId="0" fontId="3" fillId="0" borderId="3" xfId="40" applyFont="1" applyBorder="1" applyAlignment="1" applyProtection="1">
      <alignment horizontal="center" vertical="center"/>
    </xf>
    <xf numFmtId="0" fontId="3" fillId="0" borderId="5" xfId="40" applyFont="1" applyBorder="1" applyAlignment="1" applyProtection="1">
      <alignment horizontal="center" vertical="center"/>
    </xf>
    <xf numFmtId="0" fontId="3" fillId="0" borderId="4" xfId="40" applyFont="1" applyBorder="1" applyAlignment="1" applyProtection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8" borderId="3" xfId="40" applyFont="1" applyFill="1" applyBorder="1" applyAlignment="1" applyProtection="1">
      <alignment horizontal="left" vertical="center" wrapText="1"/>
    </xf>
    <xf numFmtId="0" fontId="7" fillId="8" borderId="5" xfId="40" applyFont="1" applyFill="1" applyBorder="1" applyAlignment="1" applyProtection="1">
      <alignment horizontal="left" vertical="center" wrapText="1"/>
    </xf>
    <xf numFmtId="0" fontId="7" fillId="8" borderId="4" xfId="40" applyFont="1" applyFill="1" applyBorder="1" applyAlignment="1" applyProtection="1">
      <alignment horizontal="left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left" vertical="center" wrapText="1"/>
    </xf>
    <xf numFmtId="0" fontId="11" fillId="7" borderId="2" xfId="0" applyFont="1" applyFill="1" applyBorder="1" applyAlignment="1">
      <alignment horizontal="left" vertical="center"/>
    </xf>
    <xf numFmtId="0" fontId="11" fillId="7" borderId="3" xfId="0" applyFont="1" applyFill="1" applyBorder="1" applyAlignment="1">
      <alignment horizontal="left" vertical="top" wrapText="1"/>
    </xf>
    <xf numFmtId="0" fontId="11" fillId="7" borderId="5" xfId="0" applyFont="1" applyFill="1" applyBorder="1" applyAlignment="1">
      <alignment horizontal="left" vertical="top"/>
    </xf>
    <xf numFmtId="0" fontId="11" fillId="7" borderId="4" xfId="0" applyFont="1" applyFill="1" applyBorder="1" applyAlignment="1">
      <alignment horizontal="left" vertical="top"/>
    </xf>
    <xf numFmtId="0" fontId="11" fillId="7" borderId="2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top"/>
    </xf>
    <xf numFmtId="0" fontId="11" fillId="7" borderId="9" xfId="0" applyFont="1" applyFill="1" applyBorder="1" applyAlignment="1">
      <alignment horizontal="center" vertical="top"/>
    </xf>
    <xf numFmtId="0" fontId="11" fillId="7" borderId="10" xfId="0" applyFont="1" applyFill="1" applyBorder="1" applyAlignment="1">
      <alignment horizontal="center" vertical="center" wrapText="1"/>
    </xf>
    <xf numFmtId="0" fontId="11" fillId="7" borderId="11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top" wrapText="1"/>
    </xf>
    <xf numFmtId="0" fontId="11" fillId="7" borderId="12" xfId="0" applyFont="1" applyFill="1" applyBorder="1" applyAlignment="1">
      <alignment horizontal="center" vertical="top" wrapText="1"/>
    </xf>
    <xf numFmtId="0" fontId="11" fillId="7" borderId="13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top" wrapText="1"/>
    </xf>
    <xf numFmtId="0" fontId="11" fillId="7" borderId="15" xfId="0" applyFont="1" applyFill="1" applyBorder="1" applyAlignment="1">
      <alignment horizontal="center" vertical="top" wrapText="1"/>
    </xf>
    <xf numFmtId="0" fontId="11" fillId="7" borderId="7" xfId="0" applyFont="1" applyFill="1" applyBorder="1" applyAlignment="1">
      <alignment horizontal="center" vertical="top" wrapText="1"/>
    </xf>
    <xf numFmtId="0" fontId="11" fillId="7" borderId="9" xfId="0" applyFont="1" applyFill="1" applyBorder="1" applyAlignment="1">
      <alignment horizontal="center" vertical="top" wrapText="1"/>
    </xf>
    <xf numFmtId="0" fontId="9" fillId="9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left" vertical="top" wrapText="1"/>
    </xf>
    <xf numFmtId="0" fontId="11" fillId="7" borderId="2" xfId="0" applyFont="1" applyFill="1" applyBorder="1" applyAlignment="1">
      <alignment horizontal="left" vertical="top"/>
    </xf>
    <xf numFmtId="0" fontId="11" fillId="7" borderId="2" xfId="0" applyFont="1" applyFill="1" applyBorder="1" applyAlignment="1">
      <alignment horizontal="center" vertical="top"/>
    </xf>
    <xf numFmtId="0" fontId="11" fillId="7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top" wrapText="1"/>
    </xf>
    <xf numFmtId="0" fontId="11" fillId="7" borderId="8" xfId="0" applyFont="1" applyFill="1" applyBorder="1" applyAlignment="1">
      <alignment horizontal="center" vertical="top"/>
    </xf>
    <xf numFmtId="0" fontId="11" fillId="7" borderId="11" xfId="0" applyFont="1" applyFill="1" applyBorder="1" applyAlignment="1">
      <alignment horizontal="center" vertical="top" wrapText="1"/>
    </xf>
    <xf numFmtId="0" fontId="11" fillId="7" borderId="14" xfId="0" applyFont="1" applyFill="1" applyBorder="1" applyAlignment="1">
      <alignment horizontal="center" vertical="top" wrapText="1"/>
    </xf>
    <xf numFmtId="0" fontId="11" fillId="7" borderId="8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>
      <alignment vertical="center"/>
    </xf>
    <xf numFmtId="0" fontId="1" fillId="0" borderId="0" xfId="0" applyFont="1">
      <alignment vertical="center"/>
    </xf>
    <xf numFmtId="9" fontId="1" fillId="0" borderId="0" xfId="11" applyFont="1" applyAlignment="1" applyProtection="1">
      <alignment vertical="center"/>
    </xf>
    <xf numFmtId="43" fontId="1" fillId="0" borderId="0" xfId="8" applyFont="1" applyAlignment="1" applyProtection="1">
      <alignment vertical="center" wrapText="1"/>
    </xf>
    <xf numFmtId="0" fontId="3" fillId="5" borderId="0" xfId="0" applyFont="1" applyFill="1" applyAlignment="1">
      <alignment horizontal="center" vertical="center"/>
    </xf>
    <xf numFmtId="0" fontId="6" fillId="6" borderId="2" xfId="0" applyFont="1" applyFill="1" applyBorder="1">
      <alignment vertical="center"/>
    </xf>
    <xf numFmtId="14" fontId="6" fillId="6" borderId="2" xfId="0" applyNumberFormat="1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14" fontId="1" fillId="0" borderId="2" xfId="0" applyNumberFormat="1" applyFont="1" applyBorder="1">
      <alignment vertical="center"/>
    </xf>
    <xf numFmtId="0" fontId="1" fillId="0" borderId="16" xfId="0" applyFont="1" applyBorder="1" applyAlignment="1">
      <alignment horizontal="center" vertical="center"/>
    </xf>
    <xf numFmtId="0" fontId="12" fillId="10" borderId="17" xfId="0" applyFont="1" applyFill="1" applyBorder="1" applyAlignment="1">
      <alignment horizontal="center" vertical="center"/>
    </xf>
    <xf numFmtId="0" fontId="12" fillId="10" borderId="18" xfId="0" applyFont="1" applyFill="1" applyBorder="1" applyAlignment="1">
      <alignment horizontal="center" vertical="center"/>
    </xf>
    <xf numFmtId="0" fontId="12" fillId="10" borderId="19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10" borderId="21" xfId="0" applyFont="1" applyFill="1" applyBorder="1" applyAlignment="1">
      <alignment horizontal="left" vertical="center"/>
    </xf>
    <xf numFmtId="14" fontId="1" fillId="10" borderId="22" xfId="0" applyNumberFormat="1" applyFont="1" applyFill="1" applyBorder="1">
      <alignment vertical="center"/>
    </xf>
    <xf numFmtId="0" fontId="1" fillId="10" borderId="21" xfId="0" applyFont="1" applyFill="1" applyBorder="1">
      <alignment vertical="center"/>
    </xf>
    <xf numFmtId="0" fontId="1" fillId="10" borderId="22" xfId="0" applyFont="1" applyFill="1" applyBorder="1">
      <alignment vertical="center"/>
    </xf>
    <xf numFmtId="0" fontId="1" fillId="10" borderId="0" xfId="0" applyFont="1" applyFill="1">
      <alignment vertical="center"/>
    </xf>
    <xf numFmtId="178" fontId="1" fillId="10" borderId="22" xfId="11" applyNumberFormat="1" applyFont="1" applyFill="1" applyBorder="1" applyAlignment="1" applyProtection="1">
      <alignment vertical="center"/>
    </xf>
    <xf numFmtId="0" fontId="1" fillId="0" borderId="23" xfId="0" applyFont="1" applyBorder="1" applyAlignment="1">
      <alignment horizontal="center" vertical="center"/>
    </xf>
    <xf numFmtId="0" fontId="1" fillId="10" borderId="17" xfId="0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 vertical="center"/>
    </xf>
    <xf numFmtId="0" fontId="1" fillId="10" borderId="17" xfId="0" applyFont="1" applyFill="1" applyBorder="1">
      <alignment vertical="center"/>
    </xf>
    <xf numFmtId="0" fontId="1" fillId="10" borderId="19" xfId="0" applyFont="1" applyFill="1" applyBorder="1">
      <alignment vertical="center"/>
    </xf>
    <xf numFmtId="178" fontId="1" fillId="10" borderId="18" xfId="11" applyNumberFormat="1" applyFont="1" applyFill="1" applyBorder="1" applyAlignment="1" applyProtection="1">
      <alignment vertical="center"/>
    </xf>
    <xf numFmtId="0" fontId="1" fillId="10" borderId="24" xfId="0" applyFont="1" applyFill="1" applyBorder="1" applyAlignment="1">
      <alignment horizontal="left" vertical="center"/>
    </xf>
    <xf numFmtId="14" fontId="1" fillId="10" borderId="25" xfId="0" applyNumberFormat="1" applyFont="1" applyFill="1" applyBorder="1">
      <alignment vertical="center"/>
    </xf>
    <xf numFmtId="0" fontId="1" fillId="10" borderId="24" xfId="0" applyFont="1" applyFill="1" applyBorder="1">
      <alignment vertical="center"/>
    </xf>
    <xf numFmtId="0" fontId="1" fillId="10" borderId="25" xfId="0" applyFont="1" applyFill="1" applyBorder="1">
      <alignment vertical="center"/>
    </xf>
    <xf numFmtId="0" fontId="1" fillId="10" borderId="26" xfId="0" applyFont="1" applyFill="1" applyBorder="1">
      <alignment vertical="center"/>
    </xf>
    <xf numFmtId="178" fontId="1" fillId="10" borderId="25" xfId="11" applyNumberFormat="1" applyFont="1" applyFill="1" applyBorder="1" applyAlignment="1" applyProtection="1">
      <alignment vertical="center"/>
    </xf>
    <xf numFmtId="14" fontId="3" fillId="0" borderId="0" xfId="0" applyNumberFormat="1" applyFont="1" applyAlignment="1">
      <alignment horizontal="center" vertical="center"/>
    </xf>
    <xf numFmtId="0" fontId="6" fillId="11" borderId="2" xfId="0" applyFont="1" applyFill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9" fontId="16" fillId="0" borderId="2" xfId="11" applyFont="1" applyBorder="1" applyAlignment="1" applyProtection="1">
      <alignment horizontal="center" vertical="center" wrapText="1"/>
    </xf>
    <xf numFmtId="177" fontId="1" fillId="0" borderId="2" xfId="0" applyNumberFormat="1" applyFont="1" applyBorder="1" applyAlignment="1">
      <alignment horizontal="left" vertical="center"/>
    </xf>
    <xf numFmtId="178" fontId="1" fillId="0" borderId="2" xfId="11" applyNumberFormat="1" applyFont="1" applyBorder="1" applyAlignment="1" applyProtection="1">
      <alignment vertical="center"/>
    </xf>
    <xf numFmtId="179" fontId="1" fillId="0" borderId="2" xfId="8" applyNumberFormat="1" applyFont="1" applyBorder="1" applyAlignment="1" applyProtection="1">
      <alignment vertical="center"/>
    </xf>
    <xf numFmtId="0" fontId="1" fillId="0" borderId="2" xfId="0" applyFont="1" applyBorder="1" applyAlignment="1">
      <alignment horizontal="left" vertical="center"/>
    </xf>
    <xf numFmtId="0" fontId="3" fillId="12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10" fontId="16" fillId="12" borderId="2" xfId="11" applyNumberFormat="1" applyFont="1" applyFill="1" applyBorder="1" applyAlignment="1" applyProtection="1">
      <alignment horizontal="center" vertical="center"/>
    </xf>
    <xf numFmtId="180" fontId="16" fillId="12" borderId="2" xfId="11" applyNumberFormat="1" applyFont="1" applyFill="1" applyBorder="1" applyAlignment="1" applyProtection="1">
      <alignment horizontal="center" vertical="center"/>
    </xf>
    <xf numFmtId="9" fontId="1" fillId="0" borderId="2" xfId="11" applyFont="1" applyBorder="1" applyAlignment="1" applyProtection="1">
      <alignment vertical="center"/>
    </xf>
    <xf numFmtId="178" fontId="1" fillId="0" borderId="0" xfId="11" applyNumberFormat="1" applyFont="1" applyAlignment="1" applyProtection="1">
      <alignment vertical="center"/>
    </xf>
    <xf numFmtId="43" fontId="12" fillId="10" borderId="17" xfId="8" applyFont="1" applyFill="1" applyBorder="1" applyAlignment="1" applyProtection="1">
      <alignment horizontal="center" vertical="center" wrapText="1"/>
    </xf>
    <xf numFmtId="43" fontId="12" fillId="10" borderId="19" xfId="8" applyFont="1" applyFill="1" applyBorder="1" applyAlignment="1" applyProtection="1">
      <alignment horizontal="center" vertical="center" wrapText="1"/>
    </xf>
    <xf numFmtId="43" fontId="12" fillId="10" borderId="18" xfId="8" applyFont="1" applyFill="1" applyBorder="1" applyAlignment="1" applyProtection="1">
      <alignment horizontal="center" vertical="center" wrapText="1"/>
    </xf>
    <xf numFmtId="43" fontId="1" fillId="10" borderId="21" xfId="8" applyFont="1" applyFill="1" applyBorder="1" applyAlignment="1" applyProtection="1">
      <alignment vertical="center" wrapText="1"/>
    </xf>
    <xf numFmtId="43" fontId="1" fillId="10" borderId="0" xfId="8" applyFont="1" applyFill="1" applyAlignment="1" applyProtection="1">
      <alignment vertical="center" wrapText="1"/>
    </xf>
    <xf numFmtId="43" fontId="1" fillId="10" borderId="22" xfId="8" applyFont="1" applyFill="1" applyBorder="1" applyAlignment="1" applyProtection="1">
      <alignment vertical="center" wrapText="1"/>
    </xf>
    <xf numFmtId="0" fontId="1" fillId="10" borderId="18" xfId="0" applyFont="1" applyFill="1" applyBorder="1">
      <alignment vertical="center"/>
    </xf>
    <xf numFmtId="43" fontId="1" fillId="10" borderId="17" xfId="8" applyFont="1" applyFill="1" applyBorder="1" applyAlignment="1" applyProtection="1">
      <alignment vertical="center" wrapText="1"/>
    </xf>
    <xf numFmtId="43" fontId="1" fillId="10" borderId="19" xfId="8" applyFont="1" applyFill="1" applyBorder="1" applyAlignment="1" applyProtection="1">
      <alignment vertical="center" wrapText="1"/>
    </xf>
    <xf numFmtId="43" fontId="1" fillId="10" borderId="18" xfId="8" applyFont="1" applyFill="1" applyBorder="1" applyAlignment="1" applyProtection="1">
      <alignment vertical="center" wrapText="1"/>
    </xf>
    <xf numFmtId="43" fontId="1" fillId="10" borderId="24" xfId="8" applyFont="1" applyFill="1" applyBorder="1" applyAlignment="1" applyProtection="1">
      <alignment vertical="center" wrapText="1"/>
    </xf>
    <xf numFmtId="43" fontId="1" fillId="10" borderId="26" xfId="8" applyFont="1" applyFill="1" applyBorder="1" applyAlignment="1" applyProtection="1">
      <alignment vertical="center" wrapText="1"/>
    </xf>
    <xf numFmtId="43" fontId="1" fillId="10" borderId="25" xfId="8" applyFont="1" applyFill="1" applyBorder="1" applyAlignment="1" applyProtection="1">
      <alignment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 wrapText="1"/>
    </xf>
    <xf numFmtId="43" fontId="1" fillId="0" borderId="2" xfId="8" applyFont="1" applyBorder="1" applyAlignment="1" applyProtection="1">
      <alignment horizontal="center" vertical="center" wrapText="1"/>
    </xf>
    <xf numFmtId="43" fontId="1" fillId="0" borderId="2" xfId="8" applyFont="1" applyBorder="1" applyAlignment="1" applyProtection="1">
      <alignment vertical="center" wrapText="1"/>
    </xf>
    <xf numFmtId="9" fontId="1" fillId="0" borderId="2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6" fillId="15" borderId="2" xfId="0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9" fontId="1" fillId="0" borderId="2" xfId="11" applyFont="1" applyBorder="1" applyAlignment="1" applyProtection="1">
      <alignment horizontal="center" vertical="center" wrapText="1"/>
    </xf>
    <xf numFmtId="0" fontId="6" fillId="18" borderId="2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Border="1">
      <alignment vertical="center"/>
    </xf>
    <xf numFmtId="0" fontId="17" fillId="0" borderId="2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1" fillId="19" borderId="2" xfId="0" applyFont="1" applyFill="1" applyBorder="1" applyAlignment="1">
      <alignment vertical="center" wrapText="1"/>
    </xf>
    <xf numFmtId="0" fontId="1" fillId="19" borderId="2" xfId="0" applyFont="1" applyFill="1" applyBorder="1">
      <alignment vertical="center"/>
    </xf>
    <xf numFmtId="43" fontId="1" fillId="0" borderId="0" xfId="8" applyFont="1" applyAlignment="1" applyProtection="1">
      <alignment vertical="center"/>
    </xf>
    <xf numFmtId="0" fontId="3" fillId="5" borderId="2" xfId="40" applyFont="1" applyFill="1" applyBorder="1" applyAlignment="1" applyProtection="1">
      <alignment horizontal="center" vertical="center"/>
    </xf>
    <xf numFmtId="0" fontId="19" fillId="0" borderId="0" xfId="0" applyFont="1" applyAlignment="1">
      <alignment horizontal="center" vertical="center"/>
    </xf>
    <xf numFmtId="176" fontId="20" fillId="0" borderId="2" xfId="51" applyFont="1" applyBorder="1" applyAlignment="1" applyProtection="1">
      <alignment vertical="center" shrinkToFit="1"/>
    </xf>
    <xf numFmtId="0" fontId="10" fillId="0" borderId="0" xfId="0" applyFont="1">
      <alignment vertical="center"/>
    </xf>
    <xf numFmtId="181" fontId="20" fillId="0" borderId="2" xfId="0" applyNumberFormat="1" applyFont="1" applyBorder="1" applyAlignment="1">
      <alignment horizontal="left" vertical="center"/>
    </xf>
    <xf numFmtId="181" fontId="20" fillId="0" borderId="0" xfId="0" applyNumberFormat="1" applyFont="1" applyAlignment="1">
      <alignment horizontal="center" vertical="center"/>
    </xf>
    <xf numFmtId="176" fontId="20" fillId="0" borderId="0" xfId="51" applyFont="1" applyAlignment="1" applyProtection="1">
      <alignment vertical="center" shrinkToFit="1"/>
    </xf>
    <xf numFmtId="0" fontId="3" fillId="5" borderId="26" xfId="40" applyFont="1" applyFill="1" applyBorder="1" applyAlignment="1" applyProtection="1">
      <alignment horizontal="center" vertical="center"/>
    </xf>
    <xf numFmtId="0" fontId="6" fillId="6" borderId="27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/>
    </xf>
    <xf numFmtId="0" fontId="1" fillId="0" borderId="29" xfId="0" applyFont="1" applyBorder="1">
      <alignment vertical="center"/>
    </xf>
    <xf numFmtId="0" fontId="1" fillId="0" borderId="31" xfId="0" applyFont="1" applyBorder="1">
      <alignment vertical="center"/>
    </xf>
    <xf numFmtId="0" fontId="1" fillId="0" borderId="3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6" fillId="6" borderId="33" xfId="0" applyFont="1" applyFill="1" applyBorder="1" applyAlignment="1">
      <alignment horizontal="center" vertical="center"/>
    </xf>
    <xf numFmtId="0" fontId="1" fillId="0" borderId="34" xfId="0" applyFont="1" applyBorder="1">
      <alignment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常规 3 2" xfId="40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4" xfId="50"/>
    <cellStyle name="千位分隔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53587051618548"/>
          <c:y val="0.2"/>
          <c:w val="0.890196850393701"/>
          <c:h val="0.71574876057159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Sheet2店铺日常运营销售日报!$D$28:$D$34</c:f>
              <c:numCache>
                <c:formatCode>General</c:formatCode>
                <c:ptCount val="7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6000</c:v>
                </c:pt>
                <c:pt idx="4">
                  <c:v>6000</c:v>
                </c:pt>
                <c:pt idx="5">
                  <c:v>8000</c:v>
                </c:pt>
                <c:pt idx="6">
                  <c:v>12000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45311448"/>
        <c:axId val="445306528"/>
      </c:lineChart>
      <c:catAx>
        <c:axId val="445311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06528"/>
        <c:crosses val="autoZero"/>
        <c:auto val="1"/>
        <c:lblAlgn val="ctr"/>
        <c:lblOffset val="100"/>
        <c:noMultiLvlLbl val="0"/>
      </c:catAx>
      <c:valAx>
        <c:axId val="44530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11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53587051618548"/>
          <c:y val="0.2"/>
          <c:w val="0.890196850393701"/>
          <c:h val="0.71574876057159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Sheet2店铺日常运营销售日报!$F$28:$F$34</c:f>
              <c:numCache>
                <c:formatCode>General</c:formatCode>
                <c:ptCount val="7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3000</c:v>
                </c:pt>
                <c:pt idx="4">
                  <c:v>1500</c:v>
                </c:pt>
                <c:pt idx="5">
                  <c:v>2000</c:v>
                </c:pt>
                <c:pt idx="6">
                  <c:v>2000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45311448"/>
        <c:axId val="445306528"/>
      </c:lineChart>
      <c:catAx>
        <c:axId val="445311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06528"/>
        <c:crosses val="autoZero"/>
        <c:auto val="1"/>
        <c:lblAlgn val="ctr"/>
        <c:lblOffset val="100"/>
        <c:noMultiLvlLbl val="0"/>
      </c:catAx>
      <c:valAx>
        <c:axId val="44530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11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3450327186199"/>
          <c:y val="0.0685680636602794"/>
          <c:w val="0.890196850393701"/>
          <c:h val="0.71574876057159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Sheet2店铺日常运营销售日报!$G$28:$G$34</c:f>
              <c:numCache>
                <c:formatCode>0.0%</c:formatCode>
                <c:ptCount val="7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0.1</c:v>
                </c:pt>
                <c:pt idx="4">
                  <c:v>0.2</c:v>
                </c:pt>
                <c:pt idx="5">
                  <c:v>0.2</c:v>
                </c:pt>
                <c:pt idx="6">
                  <c:v>0.3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45311448"/>
        <c:axId val="445306528"/>
      </c:lineChart>
      <c:catAx>
        <c:axId val="445311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06528"/>
        <c:crosses val="autoZero"/>
        <c:auto val="1"/>
        <c:lblAlgn val="ctr"/>
        <c:lblOffset val="100"/>
        <c:noMultiLvlLbl val="0"/>
      </c:catAx>
      <c:valAx>
        <c:axId val="44530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11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53587051618548"/>
          <c:y val="0.2"/>
          <c:w val="0.890196850393701"/>
          <c:h val="0.71574876057159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Sheet2店铺日常运营销售日报!$C$28:$C$34</c:f>
              <c:numCache>
                <c:formatCode>General</c:formatCode>
                <c:ptCount val="7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45311448"/>
        <c:axId val="445306528"/>
      </c:lineChart>
      <c:catAx>
        <c:axId val="445311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06528"/>
        <c:crosses val="autoZero"/>
        <c:auto val="1"/>
        <c:lblAlgn val="ctr"/>
        <c:lblOffset val="100"/>
        <c:noMultiLvlLbl val="0"/>
      </c:catAx>
      <c:valAx>
        <c:axId val="44530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11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53587051618548"/>
          <c:y val="0.2"/>
          <c:w val="0.890196850393701"/>
          <c:h val="0.71574876057159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Sheet2店铺日常运营销售日报!$E$28:$E$34</c:f>
              <c:numCache>
                <c:formatCode>General</c:formatCode>
                <c:ptCount val="7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400</c:v>
                </c:pt>
                <c:pt idx="6">
                  <c:v>600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45311448"/>
        <c:axId val="445306528"/>
      </c:lineChart>
      <c:catAx>
        <c:axId val="445311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06528"/>
        <c:crosses val="autoZero"/>
        <c:auto val="1"/>
        <c:lblAlgn val="ctr"/>
        <c:lblOffset val="100"/>
        <c:noMultiLvlLbl val="0"/>
      </c:catAx>
      <c:valAx>
        <c:axId val="44530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11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53587051618548"/>
          <c:y val="0.2"/>
          <c:w val="0.890196850393701"/>
          <c:h val="0.71574876057159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Sheet2店铺日常运营销售日报!$D$36:$D$42</c:f>
              <c:numCache>
                <c:formatCode>General</c:formatCode>
                <c:ptCount val="7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6000</c:v>
                </c:pt>
                <c:pt idx="4">
                  <c:v>9000</c:v>
                </c:pt>
                <c:pt idx="5">
                  <c:v>8000</c:v>
                </c:pt>
                <c:pt idx="6">
                  <c:v>10000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45311448"/>
        <c:axId val="445306528"/>
      </c:lineChart>
      <c:catAx>
        <c:axId val="445311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06528"/>
        <c:crosses val="autoZero"/>
        <c:auto val="1"/>
        <c:lblAlgn val="ctr"/>
        <c:lblOffset val="100"/>
        <c:noMultiLvlLbl val="0"/>
      </c:catAx>
      <c:valAx>
        <c:axId val="44530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11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53587051618548"/>
          <c:y val="0.2"/>
          <c:w val="0.890196850393701"/>
          <c:h val="0.71574876057159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Sheet2店铺日常运营销售日报!$F$36:$F$42</c:f>
              <c:numCache>
                <c:formatCode>General</c:formatCode>
                <c:ptCount val="7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3000</c:v>
                </c:pt>
                <c:pt idx="4">
                  <c:v>1500</c:v>
                </c:pt>
                <c:pt idx="5">
                  <c:v>2000</c:v>
                </c:pt>
                <c:pt idx="6">
                  <c:v>1500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45311448"/>
        <c:axId val="445306528"/>
      </c:lineChart>
      <c:catAx>
        <c:axId val="445311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06528"/>
        <c:crosses val="autoZero"/>
        <c:auto val="1"/>
        <c:lblAlgn val="ctr"/>
        <c:lblOffset val="100"/>
        <c:noMultiLvlLbl val="0"/>
      </c:catAx>
      <c:valAx>
        <c:axId val="44530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11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53587051618548"/>
          <c:y val="0.2"/>
          <c:w val="0.890196850393701"/>
          <c:h val="0.71574876057159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Sheet2店铺日常运营销售日报!$G$36:$G$42</c:f>
              <c:numCache>
                <c:formatCode>0.0%</c:formatCode>
                <c:ptCount val="7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0.1</c:v>
                </c:pt>
                <c:pt idx="4">
                  <c:v>0.2</c:v>
                </c:pt>
                <c:pt idx="5">
                  <c:v>0.2</c:v>
                </c:pt>
                <c:pt idx="6">
                  <c:v>0.333333333333333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45311448"/>
        <c:axId val="445306528"/>
      </c:lineChart>
      <c:catAx>
        <c:axId val="445311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06528"/>
        <c:crosses val="autoZero"/>
        <c:auto val="1"/>
        <c:lblAlgn val="ctr"/>
        <c:lblOffset val="100"/>
        <c:noMultiLvlLbl val="0"/>
      </c:catAx>
      <c:valAx>
        <c:axId val="44530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11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53587051618548"/>
          <c:y val="0.2"/>
          <c:w val="0.890196850393701"/>
          <c:h val="0.71574876057159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Sheet2店铺日常运营销售日报!$C$36:$C$42</c:f>
              <c:numCache>
                <c:formatCode>General</c:formatCode>
                <c:ptCount val="7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30</c:v>
                </c:pt>
                <c:pt idx="5">
                  <c:v>20</c:v>
                </c:pt>
                <c:pt idx="6">
                  <c:v>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45311448"/>
        <c:axId val="445306528"/>
      </c:lineChart>
      <c:catAx>
        <c:axId val="445311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06528"/>
        <c:crosses val="autoZero"/>
        <c:auto val="1"/>
        <c:lblAlgn val="ctr"/>
        <c:lblOffset val="100"/>
        <c:noMultiLvlLbl val="0"/>
      </c:catAx>
      <c:valAx>
        <c:axId val="44530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11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53587051618548"/>
          <c:y val="0.2"/>
          <c:w val="0.890196850393701"/>
          <c:h val="0.71574876057159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Sheet2店铺日常运营销售日报!$E$36:$E$42</c:f>
              <c:numCache>
                <c:formatCode>General</c:formatCode>
                <c:ptCount val="7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45311448"/>
        <c:axId val="445306528"/>
      </c:lineChart>
      <c:catAx>
        <c:axId val="445311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06528"/>
        <c:crosses val="autoZero"/>
        <c:auto val="1"/>
        <c:lblAlgn val="ctr"/>
        <c:lblOffset val="100"/>
        <c:noMultiLvlLbl val="0"/>
      </c:catAx>
      <c:valAx>
        <c:axId val="44530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311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1" Type="http://schemas.openxmlformats.org/officeDocument/2006/relationships/image" Target="../media/image1.png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934233</xdr:colOff>
      <xdr:row>42</xdr:row>
      <xdr:rowOff>25375</xdr:rowOff>
    </xdr:from>
    <xdr:to>
      <xdr:col>7</xdr:col>
      <xdr:colOff>624411</xdr:colOff>
      <xdr:row>48</xdr:row>
      <xdr:rowOff>192360</xdr:rowOff>
    </xdr:to>
    <xdr:sp>
      <xdr:nvSpPr>
        <xdr:cNvPr id="2" name="rect"/>
        <xdr:cNvSpPr/>
      </xdr:nvSpPr>
      <xdr:spPr>
        <a:xfrm rot="1260000">
          <a:off x="934085" y="8778240"/>
          <a:ext cx="8926195" cy="142430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endParaRPr lang="en-US" altLang="zh-CN" sz="7200" b="1">
            <a:solidFill>
              <a:srgbClr val="FFFFCC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106599</xdr:colOff>
      <xdr:row>10</xdr:row>
      <xdr:rowOff>101500</xdr:rowOff>
    </xdr:from>
    <xdr:to>
      <xdr:col>4</xdr:col>
      <xdr:colOff>749342</xdr:colOff>
      <xdr:row>15</xdr:row>
      <xdr:rowOff>88143</xdr:rowOff>
    </xdr:to>
    <xdr:graphicFrame>
      <xdr:nvGraphicFramePr>
        <xdr:cNvPr id="2" name="图表 1"/>
        <xdr:cNvGraphicFramePr/>
      </xdr:nvGraphicFramePr>
      <xdr:xfrm>
        <a:off x="3297555" y="2186940"/>
        <a:ext cx="1608455" cy="1034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95055</xdr:colOff>
      <xdr:row>10</xdr:row>
      <xdr:rowOff>88403</xdr:rowOff>
    </xdr:from>
    <xdr:to>
      <xdr:col>10</xdr:col>
      <xdr:colOff>763321</xdr:colOff>
      <xdr:row>15</xdr:row>
      <xdr:rowOff>76162</xdr:rowOff>
    </xdr:to>
    <xdr:graphicFrame>
      <xdr:nvGraphicFramePr>
        <xdr:cNvPr id="3" name="图表 2"/>
        <xdr:cNvGraphicFramePr/>
      </xdr:nvGraphicFramePr>
      <xdr:xfrm>
        <a:off x="7475855" y="2174240"/>
        <a:ext cx="1912620" cy="1035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154192</xdr:colOff>
      <xdr:row>10</xdr:row>
      <xdr:rowOff>88403</xdr:rowOff>
    </xdr:from>
    <xdr:to>
      <xdr:col>13</xdr:col>
      <xdr:colOff>392309</xdr:colOff>
      <xdr:row>15</xdr:row>
      <xdr:rowOff>88143</xdr:rowOff>
    </xdr:to>
    <xdr:graphicFrame>
      <xdr:nvGraphicFramePr>
        <xdr:cNvPr id="4" name="图表 3"/>
        <xdr:cNvGraphicFramePr/>
      </xdr:nvGraphicFramePr>
      <xdr:xfrm>
        <a:off x="9549130" y="2174240"/>
        <a:ext cx="1888490" cy="1047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82903</xdr:colOff>
      <xdr:row>10</xdr:row>
      <xdr:rowOff>113779</xdr:rowOff>
    </xdr:from>
    <xdr:to>
      <xdr:col>2</xdr:col>
      <xdr:colOff>881050</xdr:colOff>
      <xdr:row>15</xdr:row>
      <xdr:rowOff>88143</xdr:rowOff>
    </xdr:to>
    <xdr:graphicFrame>
      <xdr:nvGraphicFramePr>
        <xdr:cNvPr id="5" name="图表 4"/>
        <xdr:cNvGraphicFramePr/>
      </xdr:nvGraphicFramePr>
      <xdr:xfrm>
        <a:off x="1259205" y="2199640"/>
        <a:ext cx="1924050" cy="102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166253</xdr:colOff>
      <xdr:row>10</xdr:row>
      <xdr:rowOff>101500</xdr:rowOff>
    </xdr:from>
    <xdr:to>
      <xdr:col>7</xdr:col>
      <xdr:colOff>618482</xdr:colOff>
      <xdr:row>15</xdr:row>
      <xdr:rowOff>76162</xdr:rowOff>
    </xdr:to>
    <xdr:graphicFrame>
      <xdr:nvGraphicFramePr>
        <xdr:cNvPr id="6" name="图表 5"/>
        <xdr:cNvGraphicFramePr/>
      </xdr:nvGraphicFramePr>
      <xdr:xfrm>
        <a:off x="5143500" y="2186940"/>
        <a:ext cx="2153285" cy="1022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48</xdr:row>
      <xdr:rowOff>0</xdr:rowOff>
    </xdr:from>
    <xdr:to>
      <xdr:col>17</xdr:col>
      <xdr:colOff>442370</xdr:colOff>
      <xdr:row>63</xdr:row>
      <xdr:rowOff>113779</xdr:rowOff>
    </xdr:to>
    <xdr:pic>
      <xdr:nvPicPr>
        <xdr:cNvPr id="7" name="图片 9" descr=" "/>
        <xdr:cNvPicPr/>
      </xdr:nvPicPr>
      <xdr:blipFill>
        <a:blip r:embed="rId11"/>
        <a:srcRect/>
        <a:stretch>
          <a:fillRect/>
        </a:stretch>
      </xdr:blipFill>
      <xdr:spPr>
        <a:xfrm>
          <a:off x="0" y="10715625"/>
          <a:ext cx="13993495" cy="325691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118755</xdr:colOff>
      <xdr:row>16</xdr:row>
      <xdr:rowOff>126875</xdr:rowOff>
    </xdr:from>
    <xdr:to>
      <xdr:col>4</xdr:col>
      <xdr:colOff>752524</xdr:colOff>
      <xdr:row>21</xdr:row>
      <xdr:rowOff>100979</xdr:rowOff>
    </xdr:to>
    <xdr:graphicFrame>
      <xdr:nvGraphicFramePr>
        <xdr:cNvPr id="8" name="图表 7"/>
        <xdr:cNvGraphicFramePr/>
      </xdr:nvGraphicFramePr>
      <xdr:xfrm>
        <a:off x="3310255" y="3479165"/>
        <a:ext cx="1598930" cy="1022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130769</xdr:colOff>
      <xdr:row>16</xdr:row>
      <xdr:rowOff>152251</xdr:rowOff>
    </xdr:from>
    <xdr:to>
      <xdr:col>10</xdr:col>
      <xdr:colOff>763321</xdr:colOff>
      <xdr:row>21</xdr:row>
      <xdr:rowOff>88143</xdr:rowOff>
    </xdr:to>
    <xdr:graphicFrame>
      <xdr:nvGraphicFramePr>
        <xdr:cNvPr id="9" name="图表 8"/>
        <xdr:cNvGraphicFramePr/>
      </xdr:nvGraphicFramePr>
      <xdr:xfrm>
        <a:off x="7511415" y="3504565"/>
        <a:ext cx="1877060" cy="983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190428</xdr:colOff>
      <xdr:row>16</xdr:row>
      <xdr:rowOff>177626</xdr:rowOff>
    </xdr:from>
    <xdr:to>
      <xdr:col>13</xdr:col>
      <xdr:colOff>380770</xdr:colOff>
      <xdr:row>21</xdr:row>
      <xdr:rowOff>100979</xdr:rowOff>
    </xdr:to>
    <xdr:graphicFrame>
      <xdr:nvGraphicFramePr>
        <xdr:cNvPr id="10" name="图表 9"/>
        <xdr:cNvGraphicFramePr/>
      </xdr:nvGraphicFramePr>
      <xdr:xfrm>
        <a:off x="9585325" y="3529965"/>
        <a:ext cx="1840865" cy="971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82903</xdr:colOff>
      <xdr:row>16</xdr:row>
      <xdr:rowOff>126875</xdr:rowOff>
    </xdr:from>
    <xdr:to>
      <xdr:col>2</xdr:col>
      <xdr:colOff>881050</xdr:colOff>
      <xdr:row>21</xdr:row>
      <xdr:rowOff>100979</xdr:rowOff>
    </xdr:to>
    <xdr:graphicFrame>
      <xdr:nvGraphicFramePr>
        <xdr:cNvPr id="11" name="图表 10"/>
        <xdr:cNvGraphicFramePr/>
      </xdr:nvGraphicFramePr>
      <xdr:xfrm>
        <a:off x="1259205" y="3479165"/>
        <a:ext cx="1924050" cy="1022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190386</xdr:colOff>
      <xdr:row>16</xdr:row>
      <xdr:rowOff>126875</xdr:rowOff>
    </xdr:from>
    <xdr:to>
      <xdr:col>7</xdr:col>
      <xdr:colOff>642296</xdr:colOff>
      <xdr:row>21</xdr:row>
      <xdr:rowOff>100979</xdr:rowOff>
    </xdr:to>
    <xdr:graphicFrame>
      <xdr:nvGraphicFramePr>
        <xdr:cNvPr id="12" name="图表 11"/>
        <xdr:cNvGraphicFramePr/>
      </xdr:nvGraphicFramePr>
      <xdr:xfrm>
        <a:off x="5167630" y="3479165"/>
        <a:ext cx="2153285" cy="1022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17</xdr:col>
      <xdr:colOff>22738</xdr:colOff>
      <xdr:row>42</xdr:row>
      <xdr:rowOff>63028</xdr:rowOff>
    </xdr:from>
    <xdr:to>
      <xdr:col>28</xdr:col>
      <xdr:colOff>16399</xdr:colOff>
      <xdr:row>49</xdr:row>
      <xdr:rowOff>20463</xdr:rowOff>
    </xdr:to>
    <xdr:sp>
      <xdr:nvSpPr>
        <xdr:cNvPr id="13" name="rect"/>
        <xdr:cNvSpPr/>
      </xdr:nvSpPr>
      <xdr:spPr>
        <a:xfrm rot="1260000">
          <a:off x="13573760" y="9521190"/>
          <a:ext cx="8923655" cy="142430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endParaRPr lang="en-US" altLang="zh-CN" sz="7200" b="1">
            <a:solidFill>
              <a:srgbClr val="FFFFCC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5</xdr:row>
      <xdr:rowOff>0</xdr:rowOff>
    </xdr:from>
    <xdr:to>
      <xdr:col>1</xdr:col>
      <xdr:colOff>303573</xdr:colOff>
      <xdr:row>6</xdr:row>
      <xdr:rowOff>0</xdr:rowOff>
    </xdr:to>
    <xdr:sp>
      <xdr:nvSpPr>
        <xdr:cNvPr id="2" name="rect"/>
        <xdr:cNvSpPr/>
      </xdr:nvSpPr>
      <xdr:spPr>
        <a:xfrm>
          <a:off x="2124710" y="1268730"/>
          <a:ext cx="303530" cy="3048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3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4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5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6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7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8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9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10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11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12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13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14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15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16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17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18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19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20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21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22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23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24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25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26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27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28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29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30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31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32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33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34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35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36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37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38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39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40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41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42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43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44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45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46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47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48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49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50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51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52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53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54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55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56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</xdr:col>
      <xdr:colOff>303573</xdr:colOff>
      <xdr:row>6</xdr:row>
      <xdr:rowOff>0</xdr:rowOff>
    </xdr:to>
    <xdr:sp>
      <xdr:nvSpPr>
        <xdr:cNvPr id="57" name="rect"/>
        <xdr:cNvSpPr/>
      </xdr:nvSpPr>
      <xdr:spPr>
        <a:xfrm>
          <a:off x="2124710" y="1268730"/>
          <a:ext cx="303530" cy="3048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58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59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60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61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62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63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64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65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66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67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68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69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70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71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72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73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74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75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76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77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78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79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80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81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82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83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84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85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86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87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88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89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90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91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92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93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94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95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96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97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98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99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100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101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102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103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104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105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106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107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108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109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110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225947</xdr:colOff>
      <xdr:row>6</xdr:row>
      <xdr:rowOff>2976</xdr:rowOff>
    </xdr:to>
    <xdr:sp>
      <xdr:nvSpPr>
        <xdr:cNvPr id="111" name="rect"/>
        <xdr:cNvSpPr/>
      </xdr:nvSpPr>
      <xdr:spPr>
        <a:xfrm>
          <a:off x="2124710" y="1268730"/>
          <a:ext cx="225425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8</xdr:col>
      <xdr:colOff>809714</xdr:colOff>
      <xdr:row>42</xdr:row>
      <xdr:rowOff>37951</xdr:rowOff>
    </xdr:from>
    <xdr:to>
      <xdr:col>15</xdr:col>
      <xdr:colOff>491205</xdr:colOff>
      <xdr:row>49</xdr:row>
      <xdr:rowOff>128736</xdr:rowOff>
    </xdr:to>
    <xdr:sp>
      <xdr:nvSpPr>
        <xdr:cNvPr id="112" name="rect"/>
        <xdr:cNvSpPr/>
      </xdr:nvSpPr>
      <xdr:spPr>
        <a:xfrm rot="1260000">
          <a:off x="13829665" y="10697845"/>
          <a:ext cx="8925560" cy="142430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endParaRPr lang="en-US" altLang="zh-CN" sz="7200" b="1">
            <a:solidFill>
              <a:srgbClr val="FFFFCC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325198</xdr:colOff>
      <xdr:row>19</xdr:row>
      <xdr:rowOff>139154</xdr:rowOff>
    </xdr:from>
    <xdr:to>
      <xdr:col>12</xdr:col>
      <xdr:colOff>1652024</xdr:colOff>
      <xdr:row>26</xdr:row>
      <xdr:rowOff>13915</xdr:rowOff>
    </xdr:to>
    <xdr:sp>
      <xdr:nvSpPr>
        <xdr:cNvPr id="2" name="rect"/>
        <xdr:cNvSpPr/>
      </xdr:nvSpPr>
      <xdr:spPr>
        <a:xfrm rot="1260000">
          <a:off x="4201795" y="4253865"/>
          <a:ext cx="8005445" cy="134112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endParaRPr lang="en-US" altLang="zh-CN" sz="7200" b="1">
            <a:solidFill>
              <a:srgbClr val="FFFFCC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ane\Desktop\A&#21697;&#29260;&#39033;&#30446;-Victsing\&#27969;&#31243;\7&#26376;All%20To%20Do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待办事项列表"/>
      <sheetName val="成员信息表"/>
      <sheetName val="常用工具列表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X39"/>
  <sheetViews>
    <sheetView showGridLines="0" zoomScale="55" zoomScaleNormal="55" workbookViewId="0">
      <selection activeCell="M48" sqref="M48"/>
    </sheetView>
  </sheetViews>
  <sheetFormatPr defaultColWidth="9" defaultRowHeight="16.5"/>
  <cols>
    <col min="1" max="1" width="14.1083333333333" style="97" customWidth="1"/>
    <col min="2" max="2" width="15.1083333333333" style="97" customWidth="1"/>
    <col min="3" max="3" width="15.4416666666667" style="97" customWidth="1"/>
    <col min="4" max="4" width="18.6666666666667" style="97" customWidth="1"/>
    <col min="5" max="5" width="14.8833333333333" style="97" customWidth="1"/>
    <col min="6" max="6" width="10.6666666666667" style="97" customWidth="1"/>
    <col min="7" max="7" width="32.3333333333333" style="97" customWidth="1"/>
    <col min="8" max="8" width="10.6666666666667" style="97" customWidth="1"/>
    <col min="9" max="9" width="14.8833333333333" style="97" customWidth="1"/>
    <col min="10" max="10" width="10.6666666666667" style="97" customWidth="1"/>
    <col min="11" max="11" width="14.8833333333333" style="97" customWidth="1"/>
    <col min="12" max="12" width="10.6666666666667" style="97" customWidth="1"/>
    <col min="13" max="13" width="14.8833333333333" style="97" customWidth="1"/>
    <col min="14" max="14" width="10.6666666666667" style="97" customWidth="1"/>
    <col min="15" max="15" width="14.8833333333333" style="97" customWidth="1"/>
    <col min="16" max="16" width="10.6666666666667" style="97" customWidth="1"/>
    <col min="17" max="17" width="14.8833333333333" style="97" customWidth="1"/>
    <col min="18" max="18" width="10.6666666666667" style="97" customWidth="1"/>
    <col min="19" max="19" width="16.1083333333333" style="97" customWidth="1"/>
    <col min="20" max="20" width="11.8833333333333" style="97" customWidth="1"/>
    <col min="21" max="21" width="16.1083333333333" style="97" customWidth="1"/>
    <col min="22" max="22" width="11.8833333333333" style="97" customWidth="1"/>
    <col min="23" max="23" width="16.1083333333333" style="97" customWidth="1"/>
    <col min="24" max="24" width="11.8833333333333" style="97" customWidth="1"/>
    <col min="25" max="16384" width="9" style="97"/>
  </cols>
  <sheetData>
    <row r="1" customFormat="1" ht="13.5" spans="1:1">
      <c r="A1" s="3"/>
    </row>
    <row r="2" spans="1:7">
      <c r="A2" s="180" t="s">
        <v>0</v>
      </c>
      <c r="B2" s="180"/>
      <c r="C2" s="181"/>
      <c r="D2" s="181"/>
      <c r="E2" s="181"/>
      <c r="G2" s="181"/>
    </row>
    <row r="3" spans="1:2">
      <c r="A3" s="103" t="s">
        <v>1</v>
      </c>
      <c r="B3" s="182"/>
    </row>
    <row r="4" spans="1:2">
      <c r="A4" s="103" t="s">
        <v>2</v>
      </c>
      <c r="B4" s="182"/>
    </row>
    <row r="5" spans="1:2">
      <c r="A5" s="103" t="s">
        <v>3</v>
      </c>
      <c r="B5" s="182"/>
    </row>
    <row r="6" spans="1:2">
      <c r="A6" s="103" t="s">
        <v>4</v>
      </c>
      <c r="B6" s="182"/>
    </row>
    <row r="7" spans="1:5">
      <c r="A7" s="103" t="s">
        <v>5</v>
      </c>
      <c r="B7" s="182"/>
      <c r="C7" s="181"/>
      <c r="D7" s="181"/>
      <c r="E7" s="181"/>
    </row>
    <row r="8" spans="1:2">
      <c r="A8" s="103" t="s">
        <v>6</v>
      </c>
      <c r="B8" s="182"/>
    </row>
    <row r="9" spans="1:2">
      <c r="A9" s="103" t="s">
        <v>7</v>
      </c>
      <c r="B9" s="182"/>
    </row>
    <row r="10" spans="1:7">
      <c r="A10" s="103" t="s">
        <v>8</v>
      </c>
      <c r="B10" s="182"/>
      <c r="C10" s="183"/>
      <c r="D10" s="183"/>
      <c r="E10" s="183"/>
      <c r="F10" s="183"/>
      <c r="G10" s="183"/>
    </row>
    <row r="11" spans="1:2">
      <c r="A11" s="103" t="s">
        <v>9</v>
      </c>
      <c r="B11" s="182"/>
    </row>
    <row r="12" spans="1:3">
      <c r="A12" s="103" t="s">
        <v>10</v>
      </c>
      <c r="B12" s="182"/>
      <c r="C12" s="183"/>
    </row>
    <row r="13" spans="1:3">
      <c r="A13" s="103" t="s">
        <v>11</v>
      </c>
      <c r="B13" s="182"/>
      <c r="C13" s="183"/>
    </row>
    <row r="14" spans="1:3">
      <c r="A14" s="103" t="s">
        <v>12</v>
      </c>
      <c r="B14" s="182"/>
      <c r="C14" s="183"/>
    </row>
    <row r="15" spans="1:3">
      <c r="A15" s="184" t="s">
        <v>13</v>
      </c>
      <c r="B15" s="182"/>
      <c r="C15" s="183"/>
    </row>
    <row r="16" spans="1:2">
      <c r="A16" s="185"/>
      <c r="B16" s="186"/>
    </row>
    <row r="17" ht="15.75" spans="1:24">
      <c r="A17" s="187" t="s">
        <v>14</v>
      </c>
      <c r="B17" s="187"/>
      <c r="C17" s="187"/>
      <c r="D17" s="187"/>
      <c r="E17" s="187"/>
      <c r="F17" s="187"/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</row>
    <row r="18" ht="15" spans="1:24">
      <c r="A18" s="188" t="s">
        <v>15</v>
      </c>
      <c r="B18" s="189" t="s">
        <v>16</v>
      </c>
      <c r="C18" s="188" t="s">
        <v>17</v>
      </c>
      <c r="D18" s="189" t="s">
        <v>18</v>
      </c>
      <c r="E18" s="188" t="s">
        <v>19</v>
      </c>
      <c r="F18" s="189" t="s">
        <v>20</v>
      </c>
      <c r="G18" s="188" t="s">
        <v>21</v>
      </c>
      <c r="H18" s="189" t="s">
        <v>22</v>
      </c>
      <c r="I18" s="188" t="s">
        <v>23</v>
      </c>
      <c r="J18" s="189" t="s">
        <v>24</v>
      </c>
      <c r="K18" s="188" t="s">
        <v>25</v>
      </c>
      <c r="L18" s="189" t="s">
        <v>26</v>
      </c>
      <c r="M18" s="188" t="s">
        <v>27</v>
      </c>
      <c r="N18" s="189" t="s">
        <v>28</v>
      </c>
      <c r="O18" s="188" t="s">
        <v>29</v>
      </c>
      <c r="P18" s="189" t="s">
        <v>30</v>
      </c>
      <c r="Q18" s="188" t="s">
        <v>31</v>
      </c>
      <c r="R18" s="189" t="s">
        <v>32</v>
      </c>
      <c r="S18" s="188" t="s">
        <v>33</v>
      </c>
      <c r="T18" s="189" t="s">
        <v>34</v>
      </c>
      <c r="U18" s="188" t="s">
        <v>35</v>
      </c>
      <c r="V18" s="189" t="s">
        <v>36</v>
      </c>
      <c r="W18" s="188" t="s">
        <v>37</v>
      </c>
      <c r="X18" s="189" t="s">
        <v>38</v>
      </c>
    </row>
    <row r="19" spans="1:24">
      <c r="A19" s="190" t="s">
        <v>39</v>
      </c>
      <c r="B19" s="191"/>
      <c r="C19" s="190" t="s">
        <v>40</v>
      </c>
      <c r="D19" s="191"/>
      <c r="E19" s="192" t="s">
        <v>40</v>
      </c>
      <c r="F19" s="191"/>
      <c r="G19" s="192" t="s">
        <v>40</v>
      </c>
      <c r="H19" s="191"/>
      <c r="I19" s="192" t="s">
        <v>40</v>
      </c>
      <c r="J19" s="191"/>
      <c r="K19" s="192" t="s">
        <v>40</v>
      </c>
      <c r="L19" s="191"/>
      <c r="M19" s="192" t="s">
        <v>40</v>
      </c>
      <c r="N19" s="191"/>
      <c r="O19" s="192" t="s">
        <v>40</v>
      </c>
      <c r="P19" s="191"/>
      <c r="Q19" s="192" t="s">
        <v>40</v>
      </c>
      <c r="R19" s="191"/>
      <c r="S19" s="192" t="s">
        <v>40</v>
      </c>
      <c r="T19" s="191"/>
      <c r="U19" s="192" t="s">
        <v>40</v>
      </c>
      <c r="V19" s="191"/>
      <c r="W19" s="192" t="s">
        <v>40</v>
      </c>
      <c r="X19" s="191"/>
    </row>
    <row r="20" spans="1:24">
      <c r="A20" s="190" t="s">
        <v>41</v>
      </c>
      <c r="B20" s="191"/>
      <c r="C20" s="190" t="s">
        <v>41</v>
      </c>
      <c r="D20" s="191"/>
      <c r="E20" s="192" t="s">
        <v>41</v>
      </c>
      <c r="F20" s="191"/>
      <c r="G20" s="192" t="s">
        <v>41</v>
      </c>
      <c r="H20" s="191"/>
      <c r="I20" s="192" t="s">
        <v>41</v>
      </c>
      <c r="J20" s="191"/>
      <c r="K20" s="192" t="s">
        <v>41</v>
      </c>
      <c r="L20" s="191"/>
      <c r="M20" s="192" t="s">
        <v>41</v>
      </c>
      <c r="N20" s="191"/>
      <c r="O20" s="192" t="s">
        <v>41</v>
      </c>
      <c r="P20" s="191"/>
      <c r="Q20" s="192" t="s">
        <v>41</v>
      </c>
      <c r="R20" s="191"/>
      <c r="S20" s="192" t="s">
        <v>41</v>
      </c>
      <c r="T20" s="191"/>
      <c r="U20" s="192" t="s">
        <v>41</v>
      </c>
      <c r="V20" s="191"/>
      <c r="W20" s="192" t="s">
        <v>41</v>
      </c>
      <c r="X20" s="191"/>
    </row>
    <row r="21" spans="1:24">
      <c r="A21" s="190" t="s">
        <v>42</v>
      </c>
      <c r="B21" s="191"/>
      <c r="C21" s="190" t="s">
        <v>42</v>
      </c>
      <c r="D21" s="191"/>
      <c r="E21" s="192" t="s">
        <v>42</v>
      </c>
      <c r="F21" s="191"/>
      <c r="G21" s="192" t="s">
        <v>42</v>
      </c>
      <c r="H21" s="191"/>
      <c r="I21" s="192" t="s">
        <v>42</v>
      </c>
      <c r="J21" s="191"/>
      <c r="K21" s="192" t="s">
        <v>42</v>
      </c>
      <c r="L21" s="191"/>
      <c r="M21" s="192" t="s">
        <v>42</v>
      </c>
      <c r="N21" s="191"/>
      <c r="O21" s="192" t="s">
        <v>42</v>
      </c>
      <c r="P21" s="191"/>
      <c r="Q21" s="192" t="s">
        <v>42</v>
      </c>
      <c r="R21" s="191"/>
      <c r="S21" s="192" t="s">
        <v>42</v>
      </c>
      <c r="T21" s="191"/>
      <c r="U21" s="192" t="s">
        <v>42</v>
      </c>
      <c r="V21" s="191"/>
      <c r="W21" s="192" t="s">
        <v>42</v>
      </c>
      <c r="X21" s="191"/>
    </row>
    <row r="22" spans="1:24">
      <c r="A22" s="190" t="s">
        <v>43</v>
      </c>
      <c r="B22" s="191"/>
      <c r="C22" s="190" t="s">
        <v>43</v>
      </c>
      <c r="D22" s="191"/>
      <c r="E22" s="192" t="s">
        <v>43</v>
      </c>
      <c r="F22" s="191"/>
      <c r="G22" s="192" t="s">
        <v>43</v>
      </c>
      <c r="H22" s="191"/>
      <c r="I22" s="192" t="s">
        <v>43</v>
      </c>
      <c r="J22" s="191"/>
      <c r="K22" s="192" t="s">
        <v>43</v>
      </c>
      <c r="L22" s="191"/>
      <c r="M22" s="192" t="s">
        <v>43</v>
      </c>
      <c r="N22" s="191"/>
      <c r="O22" s="192" t="s">
        <v>43</v>
      </c>
      <c r="P22" s="191"/>
      <c r="Q22" s="192" t="s">
        <v>43</v>
      </c>
      <c r="R22" s="191"/>
      <c r="S22" s="192" t="s">
        <v>43</v>
      </c>
      <c r="T22" s="191"/>
      <c r="U22" s="192" t="s">
        <v>43</v>
      </c>
      <c r="V22" s="191"/>
      <c r="W22" s="192" t="s">
        <v>43</v>
      </c>
      <c r="X22" s="191"/>
    </row>
    <row r="23" spans="1:24">
      <c r="A23" s="190" t="s">
        <v>44</v>
      </c>
      <c r="B23" s="191"/>
      <c r="C23" s="190" t="s">
        <v>44</v>
      </c>
      <c r="D23" s="191"/>
      <c r="E23" s="192" t="s">
        <v>44</v>
      </c>
      <c r="F23" s="191"/>
      <c r="G23" s="192" t="s">
        <v>44</v>
      </c>
      <c r="H23" s="191"/>
      <c r="I23" s="192" t="s">
        <v>44</v>
      </c>
      <c r="J23" s="191"/>
      <c r="K23" s="192" t="s">
        <v>44</v>
      </c>
      <c r="L23" s="191"/>
      <c r="M23" s="192" t="s">
        <v>44</v>
      </c>
      <c r="N23" s="191"/>
      <c r="O23" s="192" t="s">
        <v>44</v>
      </c>
      <c r="P23" s="191"/>
      <c r="Q23" s="192" t="s">
        <v>44</v>
      </c>
      <c r="R23" s="191"/>
      <c r="S23" s="192" t="s">
        <v>44</v>
      </c>
      <c r="T23" s="191"/>
      <c r="U23" s="192" t="s">
        <v>44</v>
      </c>
      <c r="V23" s="191"/>
      <c r="W23" s="192" t="s">
        <v>44</v>
      </c>
      <c r="X23" s="191"/>
    </row>
    <row r="24" spans="1:24">
      <c r="A24" s="190"/>
      <c r="B24" s="191"/>
      <c r="C24" s="190" t="s">
        <v>45</v>
      </c>
      <c r="D24" s="191"/>
      <c r="E24" s="192" t="s">
        <v>45</v>
      </c>
      <c r="F24" s="191"/>
      <c r="G24" s="192" t="s">
        <v>45</v>
      </c>
      <c r="H24" s="191"/>
      <c r="I24" s="192" t="s">
        <v>45</v>
      </c>
      <c r="J24" s="191"/>
      <c r="K24" s="192" t="s">
        <v>45</v>
      </c>
      <c r="L24" s="191"/>
      <c r="M24" s="192" t="s">
        <v>45</v>
      </c>
      <c r="N24" s="191"/>
      <c r="O24" s="192" t="s">
        <v>45</v>
      </c>
      <c r="P24" s="191"/>
      <c r="Q24" s="192" t="s">
        <v>45</v>
      </c>
      <c r="R24" s="191"/>
      <c r="S24" s="192" t="s">
        <v>45</v>
      </c>
      <c r="T24" s="191"/>
      <c r="U24" s="192" t="s">
        <v>45</v>
      </c>
      <c r="V24" s="191"/>
      <c r="W24" s="192" t="s">
        <v>45</v>
      </c>
      <c r="X24" s="191"/>
    </row>
    <row r="25" spans="1:24">
      <c r="A25" s="193"/>
      <c r="B25" s="191"/>
      <c r="C25" s="190" t="s">
        <v>46</v>
      </c>
      <c r="D25" s="191"/>
      <c r="E25" s="192" t="s">
        <v>46</v>
      </c>
      <c r="F25" s="191"/>
      <c r="G25" s="192" t="s">
        <v>46</v>
      </c>
      <c r="H25" s="191"/>
      <c r="I25" s="192" t="s">
        <v>46</v>
      </c>
      <c r="J25" s="191"/>
      <c r="K25" s="192" t="s">
        <v>46</v>
      </c>
      <c r="L25" s="191"/>
      <c r="M25" s="192" t="s">
        <v>46</v>
      </c>
      <c r="N25" s="191"/>
      <c r="O25" s="192" t="s">
        <v>46</v>
      </c>
      <c r="P25" s="191"/>
      <c r="Q25" s="192" t="s">
        <v>46</v>
      </c>
      <c r="R25" s="191"/>
      <c r="S25" s="192" t="s">
        <v>46</v>
      </c>
      <c r="T25" s="191"/>
      <c r="U25" s="192" t="s">
        <v>46</v>
      </c>
      <c r="V25" s="191"/>
      <c r="W25" s="192" t="s">
        <v>46</v>
      </c>
      <c r="X25" s="191"/>
    </row>
    <row r="26" spans="1:24">
      <c r="A26" s="193"/>
      <c r="B26" s="191"/>
      <c r="C26" s="190"/>
      <c r="D26" s="191"/>
      <c r="E26" s="192" t="s">
        <v>47</v>
      </c>
      <c r="F26" s="191"/>
      <c r="G26" s="192" t="s">
        <v>47</v>
      </c>
      <c r="H26" s="191"/>
      <c r="I26" s="192" t="s">
        <v>47</v>
      </c>
      <c r="J26" s="191"/>
      <c r="K26" s="192" t="s">
        <v>47</v>
      </c>
      <c r="L26" s="191"/>
      <c r="M26" s="192" t="s">
        <v>47</v>
      </c>
      <c r="N26" s="191"/>
      <c r="O26" s="192" t="s">
        <v>47</v>
      </c>
      <c r="P26" s="191"/>
      <c r="Q26" s="192" t="s">
        <v>47</v>
      </c>
      <c r="R26" s="191"/>
      <c r="S26" s="192" t="s">
        <v>47</v>
      </c>
      <c r="T26" s="191"/>
      <c r="U26" s="192" t="s">
        <v>47</v>
      </c>
      <c r="V26" s="191"/>
      <c r="W26" s="192" t="s">
        <v>47</v>
      </c>
      <c r="X26" s="191"/>
    </row>
    <row r="27" spans="1:24">
      <c r="A27" s="193"/>
      <c r="B27" s="191"/>
      <c r="C27" s="190"/>
      <c r="D27" s="191"/>
      <c r="E27" s="192"/>
      <c r="F27" s="191"/>
      <c r="G27" s="190" t="s">
        <v>48</v>
      </c>
      <c r="H27" s="191"/>
      <c r="I27" s="190" t="s">
        <v>48</v>
      </c>
      <c r="J27" s="191"/>
      <c r="K27" s="190" t="s">
        <v>48</v>
      </c>
      <c r="L27" s="191"/>
      <c r="M27" s="190" t="s">
        <v>48</v>
      </c>
      <c r="N27" s="191"/>
      <c r="O27" s="190" t="s">
        <v>48</v>
      </c>
      <c r="P27" s="191"/>
      <c r="Q27" s="190" t="s">
        <v>48</v>
      </c>
      <c r="R27" s="191"/>
      <c r="S27" s="190" t="s">
        <v>48</v>
      </c>
      <c r="T27" s="191"/>
      <c r="U27" s="190" t="s">
        <v>48</v>
      </c>
      <c r="V27" s="191"/>
      <c r="W27" s="190" t="s">
        <v>48</v>
      </c>
      <c r="X27" s="191"/>
    </row>
    <row r="28" spans="1:24">
      <c r="A28" s="193"/>
      <c r="B28" s="191"/>
      <c r="C28" s="190"/>
      <c r="D28" s="191"/>
      <c r="E28" s="192"/>
      <c r="F28" s="191"/>
      <c r="G28" s="190"/>
      <c r="H28" s="191"/>
      <c r="I28" s="190" t="s">
        <v>49</v>
      </c>
      <c r="J28" s="191"/>
      <c r="K28" s="190" t="s">
        <v>49</v>
      </c>
      <c r="L28" s="191"/>
      <c r="M28" s="190" t="s">
        <v>49</v>
      </c>
      <c r="N28" s="191"/>
      <c r="O28" s="190" t="s">
        <v>49</v>
      </c>
      <c r="P28" s="191"/>
      <c r="Q28" s="190" t="s">
        <v>49</v>
      </c>
      <c r="R28" s="191"/>
      <c r="S28" s="190" t="s">
        <v>49</v>
      </c>
      <c r="T28" s="191"/>
      <c r="U28" s="190" t="s">
        <v>49</v>
      </c>
      <c r="V28" s="191"/>
      <c r="W28" s="190" t="s">
        <v>49</v>
      </c>
      <c r="X28" s="191"/>
    </row>
    <row r="29" spans="1:24">
      <c r="A29" s="193"/>
      <c r="B29" s="191"/>
      <c r="C29" s="190"/>
      <c r="D29" s="191"/>
      <c r="E29" s="192"/>
      <c r="F29" s="191"/>
      <c r="G29" s="190"/>
      <c r="H29" s="191"/>
      <c r="I29" s="190" t="s">
        <v>50</v>
      </c>
      <c r="J29" s="191"/>
      <c r="K29" s="190" t="s">
        <v>50</v>
      </c>
      <c r="L29" s="191"/>
      <c r="M29" s="190" t="s">
        <v>50</v>
      </c>
      <c r="N29" s="191"/>
      <c r="O29" s="190" t="s">
        <v>50</v>
      </c>
      <c r="P29" s="191"/>
      <c r="Q29" s="190" t="s">
        <v>50</v>
      </c>
      <c r="R29" s="191"/>
      <c r="S29" s="190" t="s">
        <v>50</v>
      </c>
      <c r="T29" s="191"/>
      <c r="U29" s="190" t="s">
        <v>50</v>
      </c>
      <c r="V29" s="191"/>
      <c r="W29" s="190" t="s">
        <v>50</v>
      </c>
      <c r="X29" s="191"/>
    </row>
    <row r="30" spans="1:24">
      <c r="A30" s="193"/>
      <c r="B30" s="191"/>
      <c r="C30" s="190"/>
      <c r="D30" s="191"/>
      <c r="E30" s="192"/>
      <c r="F30" s="191"/>
      <c r="G30" s="190"/>
      <c r="H30" s="191"/>
      <c r="I30" s="190"/>
      <c r="J30" s="191"/>
      <c r="K30" s="190" t="s">
        <v>51</v>
      </c>
      <c r="L30" s="191"/>
      <c r="M30" s="190" t="s">
        <v>51</v>
      </c>
      <c r="N30" s="191"/>
      <c r="O30" s="190" t="s">
        <v>51</v>
      </c>
      <c r="P30" s="191"/>
      <c r="Q30" s="190" t="s">
        <v>51</v>
      </c>
      <c r="R30" s="191"/>
      <c r="S30" s="190" t="s">
        <v>51</v>
      </c>
      <c r="T30" s="191"/>
      <c r="U30" s="190" t="s">
        <v>51</v>
      </c>
      <c r="V30" s="191"/>
      <c r="W30" s="190" t="s">
        <v>51</v>
      </c>
      <c r="X30" s="191"/>
    </row>
    <row r="31" spans="1:24">
      <c r="A31" s="193"/>
      <c r="B31" s="191"/>
      <c r="C31" s="190"/>
      <c r="D31" s="191"/>
      <c r="E31" s="192"/>
      <c r="F31" s="191"/>
      <c r="G31" s="190"/>
      <c r="H31" s="191"/>
      <c r="I31" s="190"/>
      <c r="J31" s="191"/>
      <c r="K31" s="190" t="s">
        <v>52</v>
      </c>
      <c r="L31" s="191"/>
      <c r="M31" s="190" t="s">
        <v>52</v>
      </c>
      <c r="N31" s="191"/>
      <c r="O31" s="190" t="s">
        <v>52</v>
      </c>
      <c r="P31" s="191"/>
      <c r="Q31" s="190" t="s">
        <v>52</v>
      </c>
      <c r="R31" s="191"/>
      <c r="S31" s="190" t="s">
        <v>52</v>
      </c>
      <c r="T31" s="191"/>
      <c r="U31" s="190" t="s">
        <v>52</v>
      </c>
      <c r="V31" s="191"/>
      <c r="W31" s="190" t="s">
        <v>52</v>
      </c>
      <c r="X31" s="191"/>
    </row>
    <row r="32" spans="1:24">
      <c r="A32" s="193"/>
      <c r="B32" s="191"/>
      <c r="C32" s="190"/>
      <c r="D32" s="191"/>
      <c r="E32" s="192"/>
      <c r="F32" s="191"/>
      <c r="G32" s="190"/>
      <c r="H32" s="191"/>
      <c r="I32" s="190"/>
      <c r="J32" s="191"/>
      <c r="K32" s="190"/>
      <c r="L32" s="191"/>
      <c r="M32" s="190" t="s">
        <v>53</v>
      </c>
      <c r="N32" s="191"/>
      <c r="O32" s="190" t="s">
        <v>53</v>
      </c>
      <c r="P32" s="191"/>
      <c r="Q32" s="190" t="s">
        <v>53</v>
      </c>
      <c r="R32" s="191"/>
      <c r="S32" s="190" t="s">
        <v>53</v>
      </c>
      <c r="T32" s="191"/>
      <c r="U32" s="190" t="s">
        <v>53</v>
      </c>
      <c r="V32" s="191"/>
      <c r="W32" s="190" t="s">
        <v>53</v>
      </c>
      <c r="X32" s="191"/>
    </row>
    <row r="33" spans="1:24">
      <c r="A33" s="193"/>
      <c r="B33" s="191"/>
      <c r="C33" s="193"/>
      <c r="D33" s="191"/>
      <c r="E33" s="192"/>
      <c r="F33" s="191"/>
      <c r="G33" s="190"/>
      <c r="H33" s="191"/>
      <c r="I33" s="190"/>
      <c r="J33" s="191"/>
      <c r="K33" s="190"/>
      <c r="L33" s="191"/>
      <c r="M33" s="190"/>
      <c r="N33" s="191"/>
      <c r="O33" s="190" t="s">
        <v>54</v>
      </c>
      <c r="P33" s="191"/>
      <c r="Q33" s="190" t="s">
        <v>54</v>
      </c>
      <c r="R33" s="191"/>
      <c r="S33" s="190" t="s">
        <v>54</v>
      </c>
      <c r="T33" s="191"/>
      <c r="U33" s="190" t="s">
        <v>54</v>
      </c>
      <c r="V33" s="191"/>
      <c r="W33" s="190" t="s">
        <v>54</v>
      </c>
      <c r="X33" s="191"/>
    </row>
    <row r="34" spans="1:24">
      <c r="A34" s="193"/>
      <c r="B34" s="191"/>
      <c r="C34" s="193"/>
      <c r="D34" s="191"/>
      <c r="E34" s="192"/>
      <c r="F34" s="191"/>
      <c r="G34" s="190"/>
      <c r="H34" s="191"/>
      <c r="I34" s="190"/>
      <c r="J34" s="191"/>
      <c r="K34" s="190"/>
      <c r="L34" s="191"/>
      <c r="M34" s="190"/>
      <c r="N34" s="191"/>
      <c r="O34" s="190"/>
      <c r="P34" s="191"/>
      <c r="Q34" s="190" t="s">
        <v>55</v>
      </c>
      <c r="R34" s="191"/>
      <c r="S34" s="190" t="s">
        <v>55</v>
      </c>
      <c r="T34" s="191"/>
      <c r="U34" s="190" t="s">
        <v>55</v>
      </c>
      <c r="V34" s="191"/>
      <c r="W34" s="190" t="s">
        <v>55</v>
      </c>
      <c r="X34" s="191"/>
    </row>
    <row r="35" spans="1:24">
      <c r="A35" s="193"/>
      <c r="B35" s="191"/>
      <c r="C35" s="193"/>
      <c r="D35" s="191"/>
      <c r="E35" s="192"/>
      <c r="F35" s="191"/>
      <c r="G35" s="190"/>
      <c r="H35" s="191"/>
      <c r="I35" s="190"/>
      <c r="J35" s="191"/>
      <c r="K35" s="190"/>
      <c r="L35" s="191"/>
      <c r="M35" s="190"/>
      <c r="N35" s="191"/>
      <c r="O35" s="190"/>
      <c r="P35" s="191"/>
      <c r="Q35" s="190"/>
      <c r="R35" s="191"/>
      <c r="S35" s="190" t="s">
        <v>56</v>
      </c>
      <c r="T35" s="191"/>
      <c r="U35" s="190" t="s">
        <v>56</v>
      </c>
      <c r="V35" s="191"/>
      <c r="W35" s="190" t="s">
        <v>56</v>
      </c>
      <c r="X35" s="191"/>
    </row>
    <row r="36" spans="1:24">
      <c r="A36" s="193"/>
      <c r="B36" s="191"/>
      <c r="C36" s="193"/>
      <c r="D36" s="191"/>
      <c r="E36" s="192"/>
      <c r="F36" s="191"/>
      <c r="G36" s="190"/>
      <c r="H36" s="191"/>
      <c r="I36" s="190"/>
      <c r="J36" s="191"/>
      <c r="K36" s="190"/>
      <c r="L36" s="191"/>
      <c r="M36" s="190"/>
      <c r="N36" s="191"/>
      <c r="O36" s="190"/>
      <c r="P36" s="191"/>
      <c r="Q36" s="190"/>
      <c r="R36" s="191"/>
      <c r="S36" s="190"/>
      <c r="T36" s="191"/>
      <c r="U36" s="190" t="s">
        <v>57</v>
      </c>
      <c r="V36" s="191"/>
      <c r="W36" s="190" t="s">
        <v>57</v>
      </c>
      <c r="X36" s="191"/>
    </row>
    <row r="37" spans="1:24">
      <c r="A37" s="193"/>
      <c r="B37" s="191"/>
      <c r="C37" s="193"/>
      <c r="D37" s="191"/>
      <c r="E37" s="192"/>
      <c r="F37" s="191"/>
      <c r="G37" s="190"/>
      <c r="H37" s="191"/>
      <c r="I37" s="190"/>
      <c r="J37" s="191"/>
      <c r="K37" s="190"/>
      <c r="L37" s="191"/>
      <c r="M37" s="190"/>
      <c r="N37" s="191"/>
      <c r="O37" s="190"/>
      <c r="P37" s="191"/>
      <c r="Q37" s="190"/>
      <c r="R37" s="191"/>
      <c r="S37" s="190"/>
      <c r="T37" s="191"/>
      <c r="U37" s="190"/>
      <c r="V37" s="191"/>
      <c r="W37" s="190" t="s">
        <v>58</v>
      </c>
      <c r="X37" s="191"/>
    </row>
    <row r="38" ht="17.25" spans="1:24">
      <c r="A38" s="194"/>
      <c r="B38" s="195"/>
      <c r="C38" s="194"/>
      <c r="D38" s="195"/>
      <c r="E38" s="196"/>
      <c r="F38" s="195"/>
      <c r="G38" s="197"/>
      <c r="H38" s="195"/>
      <c r="I38" s="197"/>
      <c r="J38" s="195"/>
      <c r="K38" s="197"/>
      <c r="L38" s="195"/>
      <c r="M38" s="197"/>
      <c r="N38" s="195"/>
      <c r="O38" s="197"/>
      <c r="P38" s="195"/>
      <c r="Q38" s="197"/>
      <c r="R38" s="195"/>
      <c r="S38" s="197"/>
      <c r="T38" s="195"/>
      <c r="U38" s="197"/>
      <c r="V38" s="195"/>
      <c r="W38" s="197"/>
      <c r="X38" s="195"/>
    </row>
    <row r="39" ht="17.25" spans="1:24">
      <c r="A39" s="198" t="s">
        <v>59</v>
      </c>
      <c r="B39" s="199">
        <f>SUM(B19:B38)</f>
        <v>0</v>
      </c>
      <c r="C39" s="198" t="s">
        <v>60</v>
      </c>
      <c r="D39" s="199">
        <f>SUM(D19:D38)</f>
        <v>0</v>
      </c>
      <c r="E39" s="198" t="s">
        <v>61</v>
      </c>
      <c r="F39" s="199">
        <f>SUM(F19:F38)</f>
        <v>0</v>
      </c>
      <c r="G39" s="198" t="s">
        <v>62</v>
      </c>
      <c r="H39" s="199">
        <f>SUM(H19:H38)</f>
        <v>0</v>
      </c>
      <c r="I39" s="198" t="s">
        <v>63</v>
      </c>
      <c r="J39" s="199">
        <f>SUM(J19:J38)</f>
        <v>0</v>
      </c>
      <c r="K39" s="198" t="s">
        <v>64</v>
      </c>
      <c r="L39" s="199">
        <f>SUM(L19:L38)</f>
        <v>0</v>
      </c>
      <c r="M39" s="198" t="s">
        <v>65</v>
      </c>
      <c r="N39" s="199">
        <f>SUM(N19:N38)</f>
        <v>0</v>
      </c>
      <c r="O39" s="198" t="s">
        <v>66</v>
      </c>
      <c r="P39" s="199">
        <f>SUM(P19:P38)</f>
        <v>0</v>
      </c>
      <c r="Q39" s="198" t="s">
        <v>67</v>
      </c>
      <c r="R39" s="199">
        <f>SUM(R19:R38)</f>
        <v>0</v>
      </c>
      <c r="S39" s="198" t="s">
        <v>68</v>
      </c>
      <c r="T39" s="199">
        <f>SUM(T19:T38)</f>
        <v>0</v>
      </c>
      <c r="U39" s="198" t="s">
        <v>69</v>
      </c>
      <c r="V39" s="199">
        <f>SUM(V19:V38)</f>
        <v>0</v>
      </c>
      <c r="W39" s="198" t="s">
        <v>70</v>
      </c>
      <c r="X39" s="199">
        <f>SUM(X19:X38)</f>
        <v>0</v>
      </c>
    </row>
  </sheetData>
  <mergeCells count="3">
    <mergeCell ref="A2:B2"/>
    <mergeCell ref="C7:E7"/>
    <mergeCell ref="A17:X17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O80"/>
  <sheetViews>
    <sheetView showGridLines="0" zoomScale="40" zoomScaleNormal="40" topLeftCell="A22" workbookViewId="0">
      <selection activeCell="Q70" sqref="Q70"/>
    </sheetView>
  </sheetViews>
  <sheetFormatPr defaultColWidth="9" defaultRowHeight="16.5"/>
  <cols>
    <col min="1" max="1" width="15.4416666666667" style="95" customWidth="1"/>
    <col min="2" max="2" width="14.775" style="96" customWidth="1"/>
    <col min="3" max="3" width="11.6666666666667" style="97" customWidth="1"/>
    <col min="4" max="4" width="12.6666666666667" style="97" customWidth="1"/>
    <col min="5" max="5" width="10.775" style="97" customWidth="1"/>
    <col min="6" max="6" width="12.1083333333333" style="97" customWidth="1"/>
    <col min="7" max="7" width="10.2166666666667" style="98" customWidth="1"/>
    <col min="8" max="8" width="9.21666666666667" style="97" customWidth="1"/>
    <col min="9" max="9" width="7.44166666666667" style="97" customWidth="1"/>
    <col min="10" max="10" width="8.88333333333333" style="97" customWidth="1"/>
    <col min="11" max="11" width="10.1083333333333" style="99" customWidth="1"/>
    <col min="12" max="12" width="10.4416666666667" style="99" customWidth="1"/>
    <col min="13" max="13" width="11.2166666666667" style="97" customWidth="1"/>
    <col min="14" max="14" width="7.44166666666667" style="97" customWidth="1"/>
    <col min="15" max="15" width="7.33333333333333" style="97" customWidth="1"/>
    <col min="16" max="16" width="9.10833333333333" style="97" customWidth="1"/>
    <col min="17" max="17" width="9" style="97"/>
    <col min="18" max="18" width="9.33333333333333" style="97" customWidth="1"/>
    <col min="19" max="19" width="9.88333333333333" style="97" customWidth="1"/>
    <col min="20" max="20" width="9.33333333333333" style="97" customWidth="1"/>
    <col min="21" max="21" width="7.10833333333333" style="97" customWidth="1"/>
    <col min="22" max="22" width="11.4416666666667" style="97" customWidth="1"/>
    <col min="23" max="23" width="10.775" style="97" customWidth="1"/>
    <col min="24" max="24" width="9.88333333333333" style="97" customWidth="1"/>
    <col min="25" max="25" width="10.8833333333333" style="98" customWidth="1"/>
    <col min="26" max="26" width="12.6666666666667" style="97" customWidth="1"/>
    <col min="27" max="27" width="14.4416666666667" style="97" customWidth="1"/>
    <col min="28" max="28" width="11.4416666666667" style="97" customWidth="1"/>
    <col min="29" max="29" width="11.1083333333333" style="97" customWidth="1"/>
    <col min="30" max="30" width="11.4416666666667" style="97" customWidth="1"/>
    <col min="31" max="31" width="11.6666666666667" style="97" customWidth="1"/>
    <col min="32" max="32" width="17.8833333333333" style="97" customWidth="1"/>
    <col min="33" max="33" width="13.775" style="97" customWidth="1"/>
    <col min="34" max="34" width="10" style="97" customWidth="1"/>
    <col min="35" max="35" width="13.4416666666667" style="97" customWidth="1"/>
    <col min="36" max="36" width="11.6666666666667" style="97" customWidth="1"/>
    <col min="37" max="37" width="9.10833333333333" style="97" customWidth="1"/>
    <col min="38" max="38" width="9" style="97" customWidth="1"/>
    <col min="39" max="39" width="6.21666666666667" style="97" customWidth="1"/>
    <col min="40" max="40" width="8" style="97" customWidth="1"/>
    <col min="41" max="41" width="14.4416666666667" style="97" customWidth="1"/>
    <col min="42" max="42" width="16.775" style="97" customWidth="1"/>
    <col min="43" max="16384" width="9" style="97"/>
  </cols>
  <sheetData>
    <row r="1" customFormat="1" ht="13.5" spans="1:1">
      <c r="A1" s="3"/>
    </row>
    <row r="2" ht="15" spans="1:4">
      <c r="A2" s="100" t="s">
        <v>71</v>
      </c>
      <c r="B2" s="100"/>
      <c r="C2" s="100"/>
      <c r="D2" s="100"/>
    </row>
    <row r="3" ht="15" spans="1:8">
      <c r="A3" s="101" t="s">
        <v>72</v>
      </c>
      <c r="B3" s="102">
        <v>43831</v>
      </c>
      <c r="C3" s="102">
        <v>43832</v>
      </c>
      <c r="D3" s="102">
        <v>43833</v>
      </c>
      <c r="E3" s="102">
        <v>43834</v>
      </c>
      <c r="F3" s="102">
        <v>43836</v>
      </c>
      <c r="G3" s="102">
        <v>43837</v>
      </c>
      <c r="H3" s="102">
        <v>43838</v>
      </c>
    </row>
    <row r="4" spans="1:8">
      <c r="A4" s="103" t="s">
        <v>73</v>
      </c>
      <c r="B4" s="104"/>
      <c r="C4" s="103"/>
      <c r="D4" s="103"/>
      <c r="E4" s="103"/>
      <c r="F4" s="103"/>
      <c r="G4" s="103"/>
      <c r="H4" s="103"/>
    </row>
    <row r="5" spans="1:8">
      <c r="A5" s="103" t="s">
        <v>74</v>
      </c>
      <c r="B5" s="104"/>
      <c r="C5" s="103"/>
      <c r="D5" s="103"/>
      <c r="E5" s="103"/>
      <c r="F5" s="103"/>
      <c r="G5" s="103"/>
      <c r="H5" s="103"/>
    </row>
    <row r="6" spans="1:8">
      <c r="A6" s="103" t="s">
        <v>75</v>
      </c>
      <c r="B6" s="104"/>
      <c r="C6" s="103"/>
      <c r="D6" s="103"/>
      <c r="E6" s="103"/>
      <c r="F6" s="103"/>
      <c r="G6" s="103"/>
      <c r="H6" s="103"/>
    </row>
    <row r="7" spans="1:8">
      <c r="A7" s="103" t="s">
        <v>76</v>
      </c>
      <c r="B7" s="104"/>
      <c r="C7" s="103"/>
      <c r="D7" s="103"/>
      <c r="E7" s="103"/>
      <c r="F7" s="103"/>
      <c r="G7" s="103"/>
      <c r="H7" s="103"/>
    </row>
    <row r="8" spans="1:7">
      <c r="A8" s="97"/>
      <c r="G8" s="97"/>
    </row>
    <row r="9" ht="17.25" spans="1:7">
      <c r="A9" s="100" t="s">
        <v>77</v>
      </c>
      <c r="B9" s="100"/>
      <c r="C9" s="100"/>
      <c r="D9" s="100"/>
      <c r="G9" s="97"/>
    </row>
    <row r="10" ht="21" spans="1:14">
      <c r="A10" s="105" t="s">
        <v>78</v>
      </c>
      <c r="B10" s="106" t="s">
        <v>79</v>
      </c>
      <c r="C10" s="107"/>
      <c r="D10" s="106" t="s">
        <v>74</v>
      </c>
      <c r="E10" s="107"/>
      <c r="F10" s="106" t="s">
        <v>80</v>
      </c>
      <c r="G10" s="108"/>
      <c r="H10" s="107"/>
      <c r="I10" s="106" t="s">
        <v>81</v>
      </c>
      <c r="J10" s="108"/>
      <c r="K10" s="107"/>
      <c r="L10" s="147" t="s">
        <v>82</v>
      </c>
      <c r="M10" s="148"/>
      <c r="N10" s="149"/>
    </row>
    <row r="11" spans="1:14">
      <c r="A11" s="109"/>
      <c r="B11" s="110"/>
      <c r="C11" s="111"/>
      <c r="D11" s="112"/>
      <c r="E11" s="113"/>
      <c r="F11" s="112"/>
      <c r="G11" s="114"/>
      <c r="H11" s="115"/>
      <c r="I11" s="112"/>
      <c r="J11" s="114"/>
      <c r="K11" s="113"/>
      <c r="L11" s="150"/>
      <c r="M11" s="151"/>
      <c r="N11" s="152"/>
    </row>
    <row r="12" spans="1:14">
      <c r="A12" s="109"/>
      <c r="B12" s="110"/>
      <c r="C12" s="111"/>
      <c r="D12" s="112"/>
      <c r="E12" s="113"/>
      <c r="F12" s="112"/>
      <c r="G12" s="114"/>
      <c r="H12" s="115"/>
      <c r="I12" s="112"/>
      <c r="J12" s="114"/>
      <c r="K12" s="113"/>
      <c r="L12" s="150"/>
      <c r="M12" s="151"/>
      <c r="N12" s="152"/>
    </row>
    <row r="13" spans="1:14">
      <c r="A13" s="109"/>
      <c r="B13" s="110"/>
      <c r="C13" s="111"/>
      <c r="D13" s="112"/>
      <c r="E13" s="113"/>
      <c r="F13" s="112"/>
      <c r="G13" s="114"/>
      <c r="H13" s="115"/>
      <c r="I13" s="112"/>
      <c r="J13" s="114"/>
      <c r="K13" s="113"/>
      <c r="L13" s="150"/>
      <c r="M13" s="151"/>
      <c r="N13" s="152"/>
    </row>
    <row r="14" spans="1:14">
      <c r="A14" s="109"/>
      <c r="B14" s="110"/>
      <c r="C14" s="111"/>
      <c r="D14" s="112"/>
      <c r="E14" s="113"/>
      <c r="F14" s="112"/>
      <c r="G14" s="114"/>
      <c r="H14" s="115"/>
      <c r="I14" s="112"/>
      <c r="J14" s="114"/>
      <c r="K14" s="113"/>
      <c r="L14" s="150"/>
      <c r="M14" s="151"/>
      <c r="N14" s="152"/>
    </row>
    <row r="15" spans="1:14">
      <c r="A15" s="109"/>
      <c r="B15" s="110"/>
      <c r="C15" s="111"/>
      <c r="D15" s="112"/>
      <c r="E15" s="113"/>
      <c r="F15" s="112"/>
      <c r="G15" s="114"/>
      <c r="H15" s="115"/>
      <c r="I15" s="112"/>
      <c r="J15" s="114"/>
      <c r="K15" s="113"/>
      <c r="L15" s="150"/>
      <c r="M15" s="151"/>
      <c r="N15" s="152"/>
    </row>
    <row r="16" ht="17.25" spans="1:14">
      <c r="A16" s="116"/>
      <c r="B16" s="110"/>
      <c r="C16" s="111"/>
      <c r="D16" s="112"/>
      <c r="E16" s="113"/>
      <c r="F16" s="112"/>
      <c r="G16" s="114"/>
      <c r="H16" s="115"/>
      <c r="I16" s="112"/>
      <c r="J16" s="114"/>
      <c r="K16" s="113"/>
      <c r="L16" s="150"/>
      <c r="M16" s="151"/>
      <c r="N16" s="152"/>
    </row>
    <row r="17" spans="1:14">
      <c r="A17" s="105" t="s">
        <v>83</v>
      </c>
      <c r="B17" s="117"/>
      <c r="C17" s="118"/>
      <c r="D17" s="117"/>
      <c r="E17" s="118"/>
      <c r="F17" s="119"/>
      <c r="G17" s="120"/>
      <c r="H17" s="121"/>
      <c r="I17" s="119"/>
      <c r="J17" s="120"/>
      <c r="K17" s="153"/>
      <c r="L17" s="154"/>
      <c r="M17" s="155"/>
      <c r="N17" s="156"/>
    </row>
    <row r="18" spans="1:14">
      <c r="A18" s="109"/>
      <c r="B18" s="110"/>
      <c r="C18" s="111"/>
      <c r="D18" s="112"/>
      <c r="E18" s="113"/>
      <c r="F18" s="112"/>
      <c r="G18" s="114"/>
      <c r="H18" s="115"/>
      <c r="I18" s="112"/>
      <c r="J18" s="114"/>
      <c r="K18" s="113"/>
      <c r="L18" s="150"/>
      <c r="M18" s="151"/>
      <c r="N18" s="152"/>
    </row>
    <row r="19" spans="1:14">
      <c r="A19" s="109"/>
      <c r="B19" s="110"/>
      <c r="C19" s="111"/>
      <c r="D19" s="112"/>
      <c r="E19" s="113"/>
      <c r="F19" s="112"/>
      <c r="G19" s="114"/>
      <c r="H19" s="115"/>
      <c r="I19" s="112"/>
      <c r="J19" s="114"/>
      <c r="K19" s="113"/>
      <c r="L19" s="150"/>
      <c r="M19" s="151"/>
      <c r="N19" s="152"/>
    </row>
    <row r="20" spans="1:14">
      <c r="A20" s="109"/>
      <c r="B20" s="110"/>
      <c r="C20" s="111"/>
      <c r="D20" s="112"/>
      <c r="E20" s="113"/>
      <c r="F20" s="112"/>
      <c r="G20" s="114"/>
      <c r="H20" s="115"/>
      <c r="I20" s="112"/>
      <c r="J20" s="114"/>
      <c r="K20" s="113"/>
      <c r="L20" s="150"/>
      <c r="M20" s="151"/>
      <c r="N20" s="152"/>
    </row>
    <row r="21" spans="1:14">
      <c r="A21" s="109"/>
      <c r="B21" s="110"/>
      <c r="C21" s="111"/>
      <c r="D21" s="112"/>
      <c r="E21" s="113"/>
      <c r="F21" s="112"/>
      <c r="G21" s="114"/>
      <c r="H21" s="115"/>
      <c r="I21" s="112"/>
      <c r="J21" s="114"/>
      <c r="K21" s="113"/>
      <c r="L21" s="150"/>
      <c r="M21" s="151"/>
      <c r="N21" s="152"/>
    </row>
    <row r="22" ht="17.25" spans="1:14">
      <c r="A22" s="116"/>
      <c r="B22" s="122"/>
      <c r="C22" s="123"/>
      <c r="D22" s="124"/>
      <c r="E22" s="125"/>
      <c r="F22" s="124"/>
      <c r="G22" s="126"/>
      <c r="H22" s="127"/>
      <c r="I22" s="124"/>
      <c r="J22" s="126"/>
      <c r="K22" s="125"/>
      <c r="L22" s="157"/>
      <c r="M22" s="158"/>
      <c r="N22" s="159"/>
    </row>
    <row r="23" spans="1:7">
      <c r="A23" s="97"/>
      <c r="G23" s="97"/>
    </row>
    <row r="24" ht="15" spans="1:4">
      <c r="A24" s="100" t="s">
        <v>84</v>
      </c>
      <c r="B24" s="100"/>
      <c r="C24" s="100"/>
      <c r="D24" s="100"/>
    </row>
    <row r="25" ht="15" spans="1:4">
      <c r="A25" s="20" t="s">
        <v>85</v>
      </c>
      <c r="B25" s="128"/>
      <c r="C25" s="20"/>
      <c r="D25" s="20"/>
    </row>
    <row r="26" s="94" customFormat="1" ht="29.25" customHeight="1" spans="1:41">
      <c r="A26" s="21" t="s">
        <v>86</v>
      </c>
      <c r="B26" s="21"/>
      <c r="C26" s="129" t="s">
        <v>87</v>
      </c>
      <c r="D26" s="129"/>
      <c r="E26" s="129"/>
      <c r="F26" s="129"/>
      <c r="G26" s="129"/>
      <c r="H26" s="129"/>
      <c r="I26" s="160" t="s">
        <v>88</v>
      </c>
      <c r="J26" s="160"/>
      <c r="K26" s="160"/>
      <c r="L26" s="160"/>
      <c r="M26" s="160"/>
      <c r="N26" s="161" t="s">
        <v>89</v>
      </c>
      <c r="O26" s="161"/>
      <c r="P26" s="161"/>
      <c r="Q26" s="161"/>
      <c r="R26" s="166" t="s">
        <v>90</v>
      </c>
      <c r="S26" s="166"/>
      <c r="T26" s="166"/>
      <c r="U26" s="166"/>
      <c r="V26" s="166"/>
      <c r="W26" s="167" t="s">
        <v>91</v>
      </c>
      <c r="X26" s="167"/>
      <c r="Y26" s="167"/>
      <c r="Z26" s="167"/>
      <c r="AA26" s="167"/>
      <c r="AB26" s="167"/>
      <c r="AC26" s="168" t="s">
        <v>92</v>
      </c>
      <c r="AD26" s="168"/>
      <c r="AE26" s="168"/>
      <c r="AF26" s="21" t="s">
        <v>93</v>
      </c>
      <c r="AG26" s="21"/>
      <c r="AH26" s="21"/>
      <c r="AI26" s="21"/>
      <c r="AJ26" s="21"/>
      <c r="AK26" s="21"/>
      <c r="AL26" s="170" t="s">
        <v>94</v>
      </c>
      <c r="AM26" s="170"/>
      <c r="AN26" s="170"/>
      <c r="AO26" s="175" t="s">
        <v>95</v>
      </c>
    </row>
    <row r="27" s="94" customFormat="1" ht="41.25" customHeight="1" spans="1:41">
      <c r="A27" s="23" t="s">
        <v>96</v>
      </c>
      <c r="B27" s="130" t="s">
        <v>86</v>
      </c>
      <c r="C27" s="22" t="s">
        <v>97</v>
      </c>
      <c r="D27" s="131" t="s">
        <v>98</v>
      </c>
      <c r="E27" s="132" t="s">
        <v>80</v>
      </c>
      <c r="F27" s="133" t="s">
        <v>81</v>
      </c>
      <c r="G27" s="134" t="s">
        <v>82</v>
      </c>
      <c r="H27" s="23" t="s">
        <v>99</v>
      </c>
      <c r="I27" s="23" t="s">
        <v>100</v>
      </c>
      <c r="J27" s="23" t="s">
        <v>101</v>
      </c>
      <c r="K27" s="23" t="s">
        <v>102</v>
      </c>
      <c r="L27" s="162" t="s">
        <v>103</v>
      </c>
      <c r="M27" s="162" t="s">
        <v>104</v>
      </c>
      <c r="N27" s="23" t="s">
        <v>105</v>
      </c>
      <c r="O27" s="23" t="s">
        <v>106</v>
      </c>
      <c r="P27" s="23" t="s">
        <v>107</v>
      </c>
      <c r="Q27" s="23" t="s">
        <v>108</v>
      </c>
      <c r="R27" s="23" t="s">
        <v>109</v>
      </c>
      <c r="S27" s="23" t="s">
        <v>110</v>
      </c>
      <c r="T27" s="23" t="s">
        <v>111</v>
      </c>
      <c r="U27" s="23" t="s">
        <v>112</v>
      </c>
      <c r="V27" s="23" t="s">
        <v>113</v>
      </c>
      <c r="W27" s="23" t="s">
        <v>114</v>
      </c>
      <c r="X27" s="23" t="s">
        <v>115</v>
      </c>
      <c r="Y27" s="23" t="s">
        <v>116</v>
      </c>
      <c r="Z27" s="23" t="s">
        <v>117</v>
      </c>
      <c r="AA27" s="23" t="s">
        <v>118</v>
      </c>
      <c r="AB27" s="169" t="s">
        <v>119</v>
      </c>
      <c r="AC27" s="23" t="s">
        <v>111</v>
      </c>
      <c r="AD27" s="23" t="s">
        <v>112</v>
      </c>
      <c r="AE27" s="23" t="s">
        <v>113</v>
      </c>
      <c r="AF27" s="23" t="s">
        <v>120</v>
      </c>
      <c r="AG27" s="23" t="s">
        <v>121</v>
      </c>
      <c r="AH27" s="23" t="s">
        <v>122</v>
      </c>
      <c r="AI27" s="171" t="s">
        <v>123</v>
      </c>
      <c r="AJ27" s="171" t="s">
        <v>124</v>
      </c>
      <c r="AK27" s="171" t="s">
        <v>125</v>
      </c>
      <c r="AL27" s="171" t="s">
        <v>126</v>
      </c>
      <c r="AM27" s="171"/>
      <c r="AN27" s="171"/>
      <c r="AO27" s="23" t="s">
        <v>127</v>
      </c>
    </row>
    <row r="28" ht="33" spans="1:41">
      <c r="A28" s="135" t="s">
        <v>128</v>
      </c>
      <c r="B28" s="104">
        <v>43878</v>
      </c>
      <c r="C28" s="103">
        <v>20</v>
      </c>
      <c r="D28" s="103">
        <f>C28*E28</f>
        <v>2000</v>
      </c>
      <c r="E28" s="103">
        <f>F28*G28</f>
        <v>100</v>
      </c>
      <c r="F28" s="103">
        <v>1000</v>
      </c>
      <c r="G28" s="136">
        <v>0.1</v>
      </c>
      <c r="H28" s="103">
        <v>200</v>
      </c>
      <c r="I28" s="103">
        <v>2000</v>
      </c>
      <c r="J28" s="103">
        <v>1000</v>
      </c>
      <c r="K28" s="103">
        <v>500</v>
      </c>
      <c r="L28" s="163">
        <f>(I28+J28+K28)/E28</f>
        <v>35</v>
      </c>
      <c r="M28" s="163">
        <f>(I28+J28+K28)/H28</f>
        <v>17.5</v>
      </c>
      <c r="N28" s="103">
        <v>4</v>
      </c>
      <c r="O28" s="103">
        <v>5</v>
      </c>
      <c r="P28" s="164">
        <v>0.02</v>
      </c>
      <c r="Q28" s="164">
        <v>1</v>
      </c>
      <c r="R28" s="103" t="s">
        <v>129</v>
      </c>
      <c r="S28" s="103">
        <v>400</v>
      </c>
      <c r="T28" s="165" t="s">
        <v>130</v>
      </c>
      <c r="U28" s="165" t="s">
        <v>130</v>
      </c>
      <c r="V28" s="165" t="s">
        <v>130</v>
      </c>
      <c r="W28" s="103">
        <v>1000</v>
      </c>
      <c r="X28" s="103">
        <v>50</v>
      </c>
      <c r="Y28" s="103">
        <f>X28/W28</f>
        <v>0.05</v>
      </c>
      <c r="Z28" s="103">
        <v>50</v>
      </c>
      <c r="AA28" s="103">
        <v>100</v>
      </c>
      <c r="AB28" s="145">
        <f>Z28/AA28</f>
        <v>0.5</v>
      </c>
      <c r="AC28" s="165" t="s">
        <v>130</v>
      </c>
      <c r="AD28" s="165" t="s">
        <v>130</v>
      </c>
      <c r="AE28" s="165" t="s">
        <v>130</v>
      </c>
      <c r="AF28" s="165" t="s">
        <v>131</v>
      </c>
      <c r="AG28" s="103" t="s">
        <v>132</v>
      </c>
      <c r="AH28" s="103" t="s">
        <v>133</v>
      </c>
      <c r="AI28" s="172" t="s">
        <v>134</v>
      </c>
      <c r="AJ28" s="172" t="s">
        <v>133</v>
      </c>
      <c r="AK28" s="172"/>
      <c r="AL28" s="173" t="s">
        <v>135</v>
      </c>
      <c r="AM28" s="173"/>
      <c r="AN28" s="173"/>
      <c r="AO28" s="165"/>
    </row>
    <row r="29" spans="1:41">
      <c r="A29" s="135" t="s">
        <v>136</v>
      </c>
      <c r="B29" s="104">
        <v>43879</v>
      </c>
      <c r="C29" s="103">
        <v>20</v>
      </c>
      <c r="D29" s="103">
        <f t="shared" ref="D29:D34" si="0">C29*E29</f>
        <v>4000</v>
      </c>
      <c r="E29" s="103">
        <f t="shared" ref="E29:E34" si="1">F29*G29</f>
        <v>200</v>
      </c>
      <c r="F29" s="103">
        <v>1000</v>
      </c>
      <c r="G29" s="136">
        <v>0.2</v>
      </c>
      <c r="H29" s="103"/>
      <c r="I29" s="103"/>
      <c r="J29" s="103"/>
      <c r="K29" s="103"/>
      <c r="L29" s="163"/>
      <c r="M29" s="163"/>
      <c r="N29" s="103"/>
      <c r="O29" s="103"/>
      <c r="P29" s="165"/>
      <c r="Q29" s="165"/>
      <c r="R29" s="103"/>
      <c r="S29" s="103"/>
      <c r="T29" s="165"/>
      <c r="U29" s="165"/>
      <c r="V29" s="165"/>
      <c r="W29" s="103"/>
      <c r="X29" s="103"/>
      <c r="Y29" s="103"/>
      <c r="Z29" s="103"/>
      <c r="AA29" s="103"/>
      <c r="AB29" s="145"/>
      <c r="AC29" s="165"/>
      <c r="AD29" s="165"/>
      <c r="AE29" s="165"/>
      <c r="AF29" s="165"/>
      <c r="AG29" s="103"/>
      <c r="AH29" s="103"/>
      <c r="AI29" s="172"/>
      <c r="AJ29" s="172"/>
      <c r="AK29" s="172"/>
      <c r="AL29" s="174"/>
      <c r="AM29" s="174"/>
      <c r="AN29" s="174"/>
      <c r="AO29" s="165"/>
    </row>
    <row r="30" spans="1:41">
      <c r="A30" s="135" t="s">
        <v>137</v>
      </c>
      <c r="B30" s="104">
        <v>43880</v>
      </c>
      <c r="C30" s="103">
        <v>20</v>
      </c>
      <c r="D30" s="103">
        <f t="shared" si="0"/>
        <v>6000</v>
      </c>
      <c r="E30" s="103">
        <f t="shared" si="1"/>
        <v>300</v>
      </c>
      <c r="F30" s="103">
        <v>1000</v>
      </c>
      <c r="G30" s="136">
        <v>0.3</v>
      </c>
      <c r="H30" s="103"/>
      <c r="I30" s="103"/>
      <c r="J30" s="103"/>
      <c r="K30" s="103"/>
      <c r="L30" s="163"/>
      <c r="M30" s="163"/>
      <c r="N30" s="103"/>
      <c r="O30" s="103"/>
      <c r="P30" s="165"/>
      <c r="Q30" s="165"/>
      <c r="R30" s="103"/>
      <c r="S30" s="103"/>
      <c r="T30" s="165"/>
      <c r="U30" s="165"/>
      <c r="V30" s="165"/>
      <c r="W30" s="103"/>
      <c r="X30" s="103"/>
      <c r="Y30" s="103"/>
      <c r="Z30" s="103"/>
      <c r="AA30" s="103"/>
      <c r="AB30" s="145"/>
      <c r="AC30" s="165"/>
      <c r="AD30" s="165"/>
      <c r="AE30" s="165"/>
      <c r="AF30" s="165"/>
      <c r="AG30" s="103"/>
      <c r="AH30" s="103"/>
      <c r="AI30" s="172"/>
      <c r="AJ30" s="172"/>
      <c r="AK30" s="172"/>
      <c r="AL30" s="174"/>
      <c r="AM30" s="174"/>
      <c r="AN30" s="174"/>
      <c r="AO30" s="165"/>
    </row>
    <row r="31" spans="1:41">
      <c r="A31" s="135" t="s">
        <v>138</v>
      </c>
      <c r="B31" s="104">
        <v>43881</v>
      </c>
      <c r="C31" s="103">
        <v>20</v>
      </c>
      <c r="D31" s="103">
        <f t="shared" si="0"/>
        <v>6000</v>
      </c>
      <c r="E31" s="103">
        <f t="shared" si="1"/>
        <v>300</v>
      </c>
      <c r="F31" s="103">
        <v>3000</v>
      </c>
      <c r="G31" s="136">
        <v>0.1</v>
      </c>
      <c r="H31" s="103"/>
      <c r="I31" s="103"/>
      <c r="J31" s="103"/>
      <c r="K31" s="103"/>
      <c r="L31" s="163"/>
      <c r="M31" s="163"/>
      <c r="N31" s="103"/>
      <c r="O31" s="103"/>
      <c r="P31" s="165"/>
      <c r="Q31" s="165"/>
      <c r="R31" s="103"/>
      <c r="S31" s="103"/>
      <c r="T31" s="165"/>
      <c r="U31" s="165"/>
      <c r="V31" s="165"/>
      <c r="W31" s="103"/>
      <c r="X31" s="103"/>
      <c r="Y31" s="103"/>
      <c r="Z31" s="103"/>
      <c r="AA31" s="103"/>
      <c r="AB31" s="145"/>
      <c r="AC31" s="165"/>
      <c r="AD31" s="165"/>
      <c r="AE31" s="165"/>
      <c r="AF31" s="165"/>
      <c r="AG31" s="103"/>
      <c r="AH31" s="103"/>
      <c r="AI31" s="172"/>
      <c r="AJ31" s="172"/>
      <c r="AK31" s="172"/>
      <c r="AL31" s="174"/>
      <c r="AM31" s="174"/>
      <c r="AN31" s="174"/>
      <c r="AO31" s="165"/>
    </row>
    <row r="32" spans="1:41">
      <c r="A32" s="135" t="s">
        <v>139</v>
      </c>
      <c r="B32" s="104">
        <v>43882</v>
      </c>
      <c r="C32" s="103">
        <v>20</v>
      </c>
      <c r="D32" s="103">
        <f t="shared" si="0"/>
        <v>6000</v>
      </c>
      <c r="E32" s="103">
        <f t="shared" si="1"/>
        <v>300</v>
      </c>
      <c r="F32" s="103">
        <v>1500</v>
      </c>
      <c r="G32" s="136">
        <v>0.2</v>
      </c>
      <c r="H32" s="103"/>
      <c r="I32" s="103"/>
      <c r="J32" s="103"/>
      <c r="K32" s="103"/>
      <c r="L32" s="163"/>
      <c r="M32" s="163"/>
      <c r="N32" s="103"/>
      <c r="O32" s="103"/>
      <c r="P32" s="165"/>
      <c r="Q32" s="165"/>
      <c r="R32" s="103"/>
      <c r="S32" s="103"/>
      <c r="T32" s="165"/>
      <c r="U32" s="165"/>
      <c r="V32" s="165"/>
      <c r="W32" s="103"/>
      <c r="X32" s="103"/>
      <c r="Y32" s="103"/>
      <c r="Z32" s="103"/>
      <c r="AA32" s="103"/>
      <c r="AB32" s="145"/>
      <c r="AC32" s="165"/>
      <c r="AD32" s="165"/>
      <c r="AE32" s="165"/>
      <c r="AF32" s="165"/>
      <c r="AG32" s="103"/>
      <c r="AH32" s="103"/>
      <c r="AI32" s="172"/>
      <c r="AJ32" s="172"/>
      <c r="AK32" s="172"/>
      <c r="AL32" s="174"/>
      <c r="AM32" s="174"/>
      <c r="AN32" s="174"/>
      <c r="AO32" s="165"/>
    </row>
    <row r="33" spans="1:41">
      <c r="A33" s="135" t="s">
        <v>140</v>
      </c>
      <c r="B33" s="104">
        <v>43883</v>
      </c>
      <c r="C33" s="103">
        <v>20</v>
      </c>
      <c r="D33" s="103">
        <f t="shared" si="0"/>
        <v>8000</v>
      </c>
      <c r="E33" s="103">
        <f t="shared" si="1"/>
        <v>400</v>
      </c>
      <c r="F33" s="103">
        <v>2000</v>
      </c>
      <c r="G33" s="136">
        <v>0.2</v>
      </c>
      <c r="H33" s="103"/>
      <c r="I33" s="103"/>
      <c r="J33" s="103"/>
      <c r="K33" s="103"/>
      <c r="L33" s="163"/>
      <c r="M33" s="163"/>
      <c r="N33" s="103"/>
      <c r="O33" s="103"/>
      <c r="P33" s="165"/>
      <c r="Q33" s="165"/>
      <c r="R33" s="103"/>
      <c r="S33" s="103"/>
      <c r="T33" s="165"/>
      <c r="U33" s="165"/>
      <c r="V33" s="165"/>
      <c r="W33" s="103"/>
      <c r="X33" s="103"/>
      <c r="Y33" s="103"/>
      <c r="Z33" s="103"/>
      <c r="AA33" s="103"/>
      <c r="AB33" s="145"/>
      <c r="AC33" s="165"/>
      <c r="AD33" s="165"/>
      <c r="AE33" s="165"/>
      <c r="AF33" s="165"/>
      <c r="AG33" s="103"/>
      <c r="AH33" s="103"/>
      <c r="AI33" s="172"/>
      <c r="AJ33" s="172"/>
      <c r="AK33" s="172"/>
      <c r="AL33" s="174"/>
      <c r="AM33" s="174"/>
      <c r="AN33" s="174"/>
      <c r="AO33" s="165"/>
    </row>
    <row r="34" spans="1:41">
      <c r="A34" s="135" t="s">
        <v>141</v>
      </c>
      <c r="B34" s="104">
        <v>43884</v>
      </c>
      <c r="C34" s="103">
        <v>20</v>
      </c>
      <c r="D34" s="103">
        <f t="shared" si="0"/>
        <v>12000</v>
      </c>
      <c r="E34" s="103">
        <f t="shared" si="1"/>
        <v>600</v>
      </c>
      <c r="F34" s="103">
        <v>2000</v>
      </c>
      <c r="G34" s="136">
        <v>0.3</v>
      </c>
      <c r="H34" s="137"/>
      <c r="I34" s="103"/>
      <c r="J34" s="103"/>
      <c r="K34" s="103"/>
      <c r="L34" s="163"/>
      <c r="M34" s="163"/>
      <c r="N34" s="103"/>
      <c r="O34" s="103"/>
      <c r="P34" s="165"/>
      <c r="Q34" s="165"/>
      <c r="R34" s="103"/>
      <c r="S34" s="103"/>
      <c r="T34" s="165"/>
      <c r="U34" s="165"/>
      <c r="V34" s="165"/>
      <c r="W34" s="103"/>
      <c r="X34" s="103"/>
      <c r="Y34" s="103"/>
      <c r="Z34" s="103"/>
      <c r="AA34" s="103"/>
      <c r="AB34" s="145"/>
      <c r="AC34" s="165"/>
      <c r="AD34" s="165"/>
      <c r="AE34" s="165"/>
      <c r="AF34" s="165"/>
      <c r="AG34" s="103"/>
      <c r="AH34" s="103"/>
      <c r="AI34" s="172"/>
      <c r="AJ34" s="172"/>
      <c r="AK34" s="172"/>
      <c r="AL34" s="174"/>
      <c r="AM34" s="174"/>
      <c r="AN34" s="174"/>
      <c r="AO34" s="165"/>
    </row>
    <row r="35" spans="1:41">
      <c r="A35" s="138" t="s">
        <v>142</v>
      </c>
      <c r="B35" s="104"/>
      <c r="C35" s="139">
        <f>AVERAGE(C28:C34)</f>
        <v>20</v>
      </c>
      <c r="D35" s="140">
        <f>SUM(D28:D34)</f>
        <v>44000</v>
      </c>
      <c r="E35" s="141">
        <f>SUM(E28:E34)</f>
        <v>2200</v>
      </c>
      <c r="F35" s="142">
        <f>SUM(F28:F34)</f>
        <v>11500</v>
      </c>
      <c r="G35" s="143">
        <f>E35/F35</f>
        <v>0.191304347826087</v>
      </c>
      <c r="H35" s="103"/>
      <c r="I35" s="103"/>
      <c r="J35" s="103"/>
      <c r="K35" s="103"/>
      <c r="L35" s="163"/>
      <c r="M35" s="163"/>
      <c r="N35" s="103"/>
      <c r="O35" s="103"/>
      <c r="P35" s="165"/>
      <c r="Q35" s="165"/>
      <c r="R35" s="103"/>
      <c r="S35" s="103"/>
      <c r="T35" s="165"/>
      <c r="U35" s="165"/>
      <c r="V35" s="165"/>
      <c r="W35" s="103"/>
      <c r="X35" s="103"/>
      <c r="Y35" s="103"/>
      <c r="Z35" s="103"/>
      <c r="AA35" s="103"/>
      <c r="AB35" s="145"/>
      <c r="AC35" s="165"/>
      <c r="AD35" s="165"/>
      <c r="AE35" s="165"/>
      <c r="AF35" s="165"/>
      <c r="AG35" s="103"/>
      <c r="AH35" s="103"/>
      <c r="AI35" s="172"/>
      <c r="AJ35" s="172"/>
      <c r="AK35" s="172"/>
      <c r="AL35" s="174"/>
      <c r="AM35" s="174"/>
      <c r="AN35" s="174"/>
      <c r="AO35" s="165"/>
    </row>
    <row r="36" spans="1:41">
      <c r="A36" s="135" t="s">
        <v>128</v>
      </c>
      <c r="B36" s="104">
        <v>43885</v>
      </c>
      <c r="C36" s="103">
        <v>20</v>
      </c>
      <c r="D36" s="103">
        <v>2000</v>
      </c>
      <c r="E36" s="103">
        <v>100</v>
      </c>
      <c r="F36" s="103">
        <v>1000</v>
      </c>
      <c r="G36" s="136">
        <f>E36/F36</f>
        <v>0.1</v>
      </c>
      <c r="H36" s="103"/>
      <c r="I36" s="103"/>
      <c r="J36" s="103"/>
      <c r="K36" s="103"/>
      <c r="L36" s="163"/>
      <c r="M36" s="163"/>
      <c r="N36" s="103"/>
      <c r="O36" s="103"/>
      <c r="P36" s="165"/>
      <c r="Q36" s="165"/>
      <c r="R36" s="103"/>
      <c r="S36" s="103"/>
      <c r="T36" s="165"/>
      <c r="U36" s="165"/>
      <c r="V36" s="165"/>
      <c r="W36" s="103"/>
      <c r="X36" s="103"/>
      <c r="Y36" s="103"/>
      <c r="Z36" s="103"/>
      <c r="AA36" s="103"/>
      <c r="AB36" s="145"/>
      <c r="AC36" s="165"/>
      <c r="AD36" s="165"/>
      <c r="AE36" s="165"/>
      <c r="AF36" s="165"/>
      <c r="AG36" s="103"/>
      <c r="AH36" s="103"/>
      <c r="AI36" s="172"/>
      <c r="AJ36" s="172"/>
      <c r="AK36" s="172"/>
      <c r="AL36" s="174"/>
      <c r="AM36" s="174"/>
      <c r="AN36" s="174"/>
      <c r="AO36" s="165"/>
    </row>
    <row r="37" spans="1:41">
      <c r="A37" s="135" t="s">
        <v>136</v>
      </c>
      <c r="B37" s="104">
        <v>43886</v>
      </c>
      <c r="C37" s="103">
        <v>20</v>
      </c>
      <c r="D37" s="103">
        <v>4000</v>
      </c>
      <c r="E37" s="103">
        <v>200</v>
      </c>
      <c r="F37" s="103">
        <v>1000</v>
      </c>
      <c r="G37" s="136">
        <f t="shared" ref="G37:G43" si="2">E37/F37</f>
        <v>0.2</v>
      </c>
      <c r="H37" s="103"/>
      <c r="I37" s="103"/>
      <c r="J37" s="103"/>
      <c r="K37" s="103"/>
      <c r="L37" s="163"/>
      <c r="M37" s="163"/>
      <c r="N37" s="103"/>
      <c r="O37" s="103"/>
      <c r="P37" s="165"/>
      <c r="Q37" s="165"/>
      <c r="R37" s="103"/>
      <c r="S37" s="103"/>
      <c r="T37" s="165"/>
      <c r="U37" s="165"/>
      <c r="V37" s="165"/>
      <c r="W37" s="103"/>
      <c r="X37" s="103"/>
      <c r="Y37" s="103"/>
      <c r="Z37" s="103"/>
      <c r="AA37" s="103"/>
      <c r="AB37" s="145"/>
      <c r="AC37" s="165"/>
      <c r="AD37" s="165"/>
      <c r="AE37" s="165"/>
      <c r="AF37" s="165"/>
      <c r="AG37" s="103"/>
      <c r="AH37" s="103"/>
      <c r="AI37" s="172"/>
      <c r="AJ37" s="172"/>
      <c r="AK37" s="172"/>
      <c r="AL37" s="174"/>
      <c r="AM37" s="174"/>
      <c r="AN37" s="174"/>
      <c r="AO37" s="165"/>
    </row>
    <row r="38" spans="1:41">
      <c r="A38" s="135" t="s">
        <v>137</v>
      </c>
      <c r="B38" s="104">
        <v>43887</v>
      </c>
      <c r="C38" s="103">
        <v>20</v>
      </c>
      <c r="D38" s="103">
        <v>6000</v>
      </c>
      <c r="E38" s="103">
        <v>300</v>
      </c>
      <c r="F38" s="103">
        <v>1000</v>
      </c>
      <c r="G38" s="136">
        <f t="shared" si="2"/>
        <v>0.3</v>
      </c>
      <c r="H38" s="103"/>
      <c r="I38" s="103"/>
      <c r="J38" s="103"/>
      <c r="K38" s="103"/>
      <c r="L38" s="163"/>
      <c r="M38" s="163"/>
      <c r="N38" s="103"/>
      <c r="O38" s="103"/>
      <c r="P38" s="165"/>
      <c r="Q38" s="165"/>
      <c r="R38" s="103"/>
      <c r="S38" s="103"/>
      <c r="T38" s="165"/>
      <c r="U38" s="165"/>
      <c r="V38" s="165"/>
      <c r="W38" s="103"/>
      <c r="X38" s="103"/>
      <c r="Y38" s="103"/>
      <c r="Z38" s="103"/>
      <c r="AA38" s="103"/>
      <c r="AB38" s="145"/>
      <c r="AC38" s="165"/>
      <c r="AD38" s="165"/>
      <c r="AE38" s="165"/>
      <c r="AF38" s="165"/>
      <c r="AG38" s="103"/>
      <c r="AH38" s="103"/>
      <c r="AI38" s="172"/>
      <c r="AJ38" s="172"/>
      <c r="AK38" s="172"/>
      <c r="AL38" s="174"/>
      <c r="AM38" s="174"/>
      <c r="AN38" s="174"/>
      <c r="AO38" s="165"/>
    </row>
    <row r="39" spans="1:41">
      <c r="A39" s="135" t="s">
        <v>138</v>
      </c>
      <c r="B39" s="104">
        <v>43888</v>
      </c>
      <c r="C39" s="103">
        <v>20</v>
      </c>
      <c r="D39" s="103">
        <v>6000</v>
      </c>
      <c r="E39" s="103">
        <v>300</v>
      </c>
      <c r="F39" s="103">
        <v>3000</v>
      </c>
      <c r="G39" s="136">
        <f t="shared" si="2"/>
        <v>0.1</v>
      </c>
      <c r="H39" s="103"/>
      <c r="I39" s="103"/>
      <c r="J39" s="103"/>
      <c r="K39" s="103"/>
      <c r="L39" s="163"/>
      <c r="M39" s="163"/>
      <c r="N39" s="103"/>
      <c r="O39" s="103"/>
      <c r="P39" s="165"/>
      <c r="Q39" s="165"/>
      <c r="R39" s="103"/>
      <c r="S39" s="103"/>
      <c r="T39" s="165"/>
      <c r="U39" s="165"/>
      <c r="V39" s="165"/>
      <c r="W39" s="103"/>
      <c r="X39" s="103"/>
      <c r="Y39" s="103"/>
      <c r="Z39" s="103"/>
      <c r="AA39" s="103"/>
      <c r="AB39" s="145"/>
      <c r="AC39" s="165"/>
      <c r="AD39" s="165"/>
      <c r="AE39" s="165"/>
      <c r="AF39" s="165"/>
      <c r="AG39" s="103"/>
      <c r="AH39" s="103"/>
      <c r="AI39" s="172"/>
      <c r="AJ39" s="172"/>
      <c r="AK39" s="172"/>
      <c r="AL39" s="174"/>
      <c r="AM39" s="174"/>
      <c r="AN39" s="174"/>
      <c r="AO39" s="165"/>
    </row>
    <row r="40" spans="1:41">
      <c r="A40" s="135" t="s">
        <v>139</v>
      </c>
      <c r="B40" s="104">
        <v>43889</v>
      </c>
      <c r="C40" s="103">
        <v>30</v>
      </c>
      <c r="D40" s="103">
        <v>9000</v>
      </c>
      <c r="E40" s="103">
        <v>300</v>
      </c>
      <c r="F40" s="103">
        <v>1500</v>
      </c>
      <c r="G40" s="136">
        <f t="shared" si="2"/>
        <v>0.2</v>
      </c>
      <c r="H40" s="103"/>
      <c r="I40" s="103"/>
      <c r="J40" s="103"/>
      <c r="K40" s="103"/>
      <c r="L40" s="163"/>
      <c r="M40" s="163"/>
      <c r="N40" s="103"/>
      <c r="O40" s="103"/>
      <c r="P40" s="165"/>
      <c r="Q40" s="165"/>
      <c r="R40" s="103"/>
      <c r="S40" s="103"/>
      <c r="T40" s="165"/>
      <c r="U40" s="165"/>
      <c r="V40" s="165"/>
      <c r="W40" s="103"/>
      <c r="X40" s="103"/>
      <c r="Y40" s="103"/>
      <c r="Z40" s="103"/>
      <c r="AA40" s="103"/>
      <c r="AB40" s="145"/>
      <c r="AC40" s="165"/>
      <c r="AD40" s="165"/>
      <c r="AE40" s="165"/>
      <c r="AF40" s="165"/>
      <c r="AG40" s="103"/>
      <c r="AH40" s="103"/>
      <c r="AI40" s="172"/>
      <c r="AJ40" s="172"/>
      <c r="AK40" s="172"/>
      <c r="AL40" s="174"/>
      <c r="AM40" s="174"/>
      <c r="AN40" s="174"/>
      <c r="AO40" s="165"/>
    </row>
    <row r="41" spans="1:41">
      <c r="A41" s="135" t="s">
        <v>140</v>
      </c>
      <c r="B41" s="104">
        <v>43890</v>
      </c>
      <c r="C41" s="103">
        <v>20</v>
      </c>
      <c r="D41" s="103">
        <v>8000</v>
      </c>
      <c r="E41" s="103">
        <v>400</v>
      </c>
      <c r="F41" s="103">
        <v>2000</v>
      </c>
      <c r="G41" s="136">
        <f t="shared" si="2"/>
        <v>0.2</v>
      </c>
      <c r="H41" s="103"/>
      <c r="I41" s="103"/>
      <c r="J41" s="103"/>
      <c r="K41" s="103"/>
      <c r="L41" s="163"/>
      <c r="M41" s="163"/>
      <c r="N41" s="103"/>
      <c r="O41" s="103"/>
      <c r="P41" s="165"/>
      <c r="Q41" s="165"/>
      <c r="R41" s="103"/>
      <c r="S41" s="103"/>
      <c r="T41" s="165"/>
      <c r="U41" s="165"/>
      <c r="V41" s="165"/>
      <c r="W41" s="103"/>
      <c r="X41" s="103"/>
      <c r="Y41" s="103"/>
      <c r="Z41" s="103"/>
      <c r="AA41" s="103"/>
      <c r="AB41" s="145"/>
      <c r="AC41" s="165"/>
      <c r="AD41" s="165"/>
      <c r="AE41" s="165"/>
      <c r="AF41" s="165"/>
      <c r="AG41" s="103"/>
      <c r="AH41" s="103"/>
      <c r="AI41" s="172"/>
      <c r="AJ41" s="172"/>
      <c r="AK41" s="172"/>
      <c r="AL41" s="174"/>
      <c r="AM41" s="174"/>
      <c r="AN41" s="174"/>
      <c r="AO41" s="165"/>
    </row>
    <row r="42" spans="1:41">
      <c r="A42" s="135" t="s">
        <v>141</v>
      </c>
      <c r="B42" s="104">
        <v>43891</v>
      </c>
      <c r="C42" s="103">
        <v>20</v>
      </c>
      <c r="D42" s="103">
        <v>10000</v>
      </c>
      <c r="E42" s="103">
        <v>500</v>
      </c>
      <c r="F42" s="103">
        <v>1500</v>
      </c>
      <c r="G42" s="136">
        <f t="shared" si="2"/>
        <v>0.333333333333333</v>
      </c>
      <c r="H42" s="103"/>
      <c r="I42" s="103"/>
      <c r="J42" s="103"/>
      <c r="K42" s="103"/>
      <c r="L42" s="163"/>
      <c r="M42" s="163"/>
      <c r="N42" s="103"/>
      <c r="O42" s="103"/>
      <c r="P42" s="165"/>
      <c r="Q42" s="165"/>
      <c r="R42" s="103"/>
      <c r="S42" s="103"/>
      <c r="T42" s="165"/>
      <c r="U42" s="165"/>
      <c r="V42" s="165"/>
      <c r="W42" s="103"/>
      <c r="X42" s="103"/>
      <c r="Y42" s="103"/>
      <c r="Z42" s="103"/>
      <c r="AA42" s="103"/>
      <c r="AB42" s="145"/>
      <c r="AC42" s="165"/>
      <c r="AD42" s="165"/>
      <c r="AE42" s="165"/>
      <c r="AF42" s="165"/>
      <c r="AG42" s="103"/>
      <c r="AH42" s="103"/>
      <c r="AI42" s="172"/>
      <c r="AJ42" s="172"/>
      <c r="AK42" s="172"/>
      <c r="AL42" s="174"/>
      <c r="AM42" s="174"/>
      <c r="AN42" s="174"/>
      <c r="AO42" s="165"/>
    </row>
    <row r="43" spans="1:41">
      <c r="A43" s="138" t="s">
        <v>143</v>
      </c>
      <c r="B43" s="104"/>
      <c r="C43" s="139">
        <f>AVERAGE(C36:C42)</f>
        <v>21.4285714285714</v>
      </c>
      <c r="D43" s="140">
        <f>SUM(D36:D42)</f>
        <v>45000</v>
      </c>
      <c r="E43" s="141">
        <f>SUM(E36:E42)</f>
        <v>2100</v>
      </c>
      <c r="F43" s="142">
        <f>SUM(F36:F42)</f>
        <v>11000</v>
      </c>
      <c r="G43" s="144">
        <f t="shared" si="2"/>
        <v>0.190909090909091</v>
      </c>
      <c r="H43" s="103"/>
      <c r="I43" s="103"/>
      <c r="J43" s="103"/>
      <c r="K43" s="103"/>
      <c r="L43" s="163"/>
      <c r="M43" s="163"/>
      <c r="N43" s="103"/>
      <c r="O43" s="103"/>
      <c r="P43" s="165"/>
      <c r="Q43" s="165"/>
      <c r="R43" s="103"/>
      <c r="S43" s="103"/>
      <c r="T43" s="165"/>
      <c r="U43" s="165"/>
      <c r="V43" s="165"/>
      <c r="W43" s="103"/>
      <c r="X43" s="103"/>
      <c r="Y43" s="103"/>
      <c r="Z43" s="103"/>
      <c r="AA43" s="103"/>
      <c r="AB43" s="145"/>
      <c r="AC43" s="165"/>
      <c r="AD43" s="165"/>
      <c r="AE43" s="165"/>
      <c r="AF43" s="165"/>
      <c r="AG43" s="103"/>
      <c r="AH43" s="103"/>
      <c r="AI43" s="172"/>
      <c r="AJ43" s="172"/>
      <c r="AK43" s="172"/>
      <c r="AL43" s="174"/>
      <c r="AM43" s="174"/>
      <c r="AN43" s="174"/>
      <c r="AO43" s="165"/>
    </row>
    <row r="44" spans="1:41">
      <c r="A44" s="138" t="s">
        <v>144</v>
      </c>
      <c r="B44" s="104"/>
      <c r="C44" s="145">
        <f>(C43-C35)/C35</f>
        <v>0.0714285714285714</v>
      </c>
      <c r="D44" s="145">
        <f>(D43-D35)/D35</f>
        <v>0.0227272727272727</v>
      </c>
      <c r="E44" s="145">
        <f>(E43-E35)/E35</f>
        <v>-0.0454545454545455</v>
      </c>
      <c r="F44" s="145">
        <f>(F43-F35)/F35</f>
        <v>-0.0434782608695652</v>
      </c>
      <c r="G44" s="136">
        <f>(G43-G35)/G35</f>
        <v>-0.00206611570247933</v>
      </c>
      <c r="H44" s="103"/>
      <c r="I44" s="103"/>
      <c r="J44" s="103"/>
      <c r="K44" s="103"/>
      <c r="L44" s="163"/>
      <c r="M44" s="163"/>
      <c r="N44" s="103"/>
      <c r="O44" s="103"/>
      <c r="P44" s="165"/>
      <c r="Q44" s="165"/>
      <c r="R44" s="103"/>
      <c r="S44" s="103"/>
      <c r="T44" s="165"/>
      <c r="U44" s="165"/>
      <c r="V44" s="165"/>
      <c r="W44" s="103"/>
      <c r="X44" s="103"/>
      <c r="Y44" s="103"/>
      <c r="Z44" s="103"/>
      <c r="AA44" s="103"/>
      <c r="AB44" s="145"/>
      <c r="AC44" s="165"/>
      <c r="AD44" s="165"/>
      <c r="AE44" s="165"/>
      <c r="AF44" s="165"/>
      <c r="AG44" s="103"/>
      <c r="AH44" s="103"/>
      <c r="AI44" s="172"/>
      <c r="AJ44" s="172"/>
      <c r="AK44" s="172"/>
      <c r="AL44" s="174"/>
      <c r="AM44" s="174"/>
      <c r="AN44" s="174"/>
      <c r="AO44" s="165"/>
    </row>
    <row r="45" spans="7:7">
      <c r="G45" s="146"/>
    </row>
    <row r="46" spans="7:7">
      <c r="G46" s="146"/>
    </row>
    <row r="47" spans="7:7">
      <c r="G47" s="146"/>
    </row>
    <row r="48" spans="1:7">
      <c r="A48" s="100" t="s">
        <v>145</v>
      </c>
      <c r="B48" s="100"/>
      <c r="C48" s="100"/>
      <c r="D48" s="100"/>
      <c r="G48" s="146"/>
    </row>
    <row r="49" spans="7:7">
      <c r="G49" s="146"/>
    </row>
    <row r="50" spans="7:7">
      <c r="G50" s="146"/>
    </row>
    <row r="51" spans="7:7">
      <c r="G51" s="146"/>
    </row>
    <row r="52" spans="7:7">
      <c r="G52" s="146"/>
    </row>
    <row r="65" ht="15" spans="1:4">
      <c r="A65" s="100" t="s">
        <v>146</v>
      </c>
      <c r="B65" s="100"/>
      <c r="C65" s="100"/>
      <c r="D65" s="100"/>
    </row>
    <row r="66" ht="17.25" spans="1:1">
      <c r="A66" s="176" t="s">
        <v>147</v>
      </c>
    </row>
    <row r="67" ht="17.25" spans="1:1">
      <c r="A67" s="176" t="s">
        <v>148</v>
      </c>
    </row>
    <row r="69" ht="15" spans="1:4">
      <c r="A69" s="100" t="s">
        <v>149</v>
      </c>
      <c r="B69" s="100"/>
      <c r="C69" s="100"/>
      <c r="D69" s="100"/>
    </row>
    <row r="70" ht="82.5" spans="1:12">
      <c r="A70" s="138" t="s">
        <v>150</v>
      </c>
      <c r="B70" s="165" t="s">
        <v>151</v>
      </c>
      <c r="C70" s="177" t="s">
        <v>152</v>
      </c>
      <c r="D70" s="177" t="s">
        <v>153</v>
      </c>
      <c r="E70" s="178" t="s">
        <v>154</v>
      </c>
      <c r="F70" s="103" t="s">
        <v>155</v>
      </c>
      <c r="G70" s="103" t="s">
        <v>156</v>
      </c>
      <c r="H70" s="165" t="s">
        <v>157</v>
      </c>
      <c r="K70" s="179"/>
      <c r="L70" s="179"/>
    </row>
    <row r="71" spans="1:12">
      <c r="A71" s="138" t="s">
        <v>142</v>
      </c>
      <c r="B71" s="138"/>
      <c r="C71" s="104"/>
      <c r="D71" s="104"/>
      <c r="E71" s="103"/>
      <c r="F71" s="103"/>
      <c r="G71" s="103"/>
      <c r="H71" s="103"/>
      <c r="K71" s="179"/>
      <c r="L71" s="179"/>
    </row>
    <row r="72" spans="1:12">
      <c r="A72" s="138" t="s">
        <v>143</v>
      </c>
      <c r="B72" s="138"/>
      <c r="C72" s="104"/>
      <c r="D72" s="104"/>
      <c r="E72" s="103"/>
      <c r="F72" s="103"/>
      <c r="G72" s="103"/>
      <c r="H72" s="103"/>
      <c r="K72" s="179"/>
      <c r="L72" s="179"/>
    </row>
    <row r="73" spans="1:12">
      <c r="A73" s="138" t="s">
        <v>158</v>
      </c>
      <c r="B73" s="138"/>
      <c r="C73" s="104"/>
      <c r="D73" s="104"/>
      <c r="E73" s="103"/>
      <c r="F73" s="103"/>
      <c r="G73" s="103"/>
      <c r="H73" s="103"/>
      <c r="K73" s="179"/>
      <c r="L73" s="179"/>
    </row>
    <row r="74" spans="1:12">
      <c r="A74" s="138" t="s">
        <v>159</v>
      </c>
      <c r="B74" s="138"/>
      <c r="C74" s="104"/>
      <c r="D74" s="104"/>
      <c r="E74" s="103"/>
      <c r="F74" s="103"/>
      <c r="G74" s="103"/>
      <c r="H74" s="103"/>
      <c r="K74" s="179"/>
      <c r="L74" s="179"/>
    </row>
    <row r="75" spans="1:12">
      <c r="A75" s="138" t="s">
        <v>160</v>
      </c>
      <c r="B75" s="138"/>
      <c r="C75" s="104"/>
      <c r="D75" s="104"/>
      <c r="E75" s="103"/>
      <c r="F75" s="103"/>
      <c r="G75" s="103"/>
      <c r="H75" s="103"/>
      <c r="K75" s="179"/>
      <c r="L75" s="179"/>
    </row>
    <row r="76" spans="1:12">
      <c r="A76" s="138" t="s">
        <v>161</v>
      </c>
      <c r="B76" s="138"/>
      <c r="C76" s="104"/>
      <c r="D76" s="104"/>
      <c r="E76" s="103"/>
      <c r="F76" s="103"/>
      <c r="G76" s="103"/>
      <c r="H76" s="103"/>
      <c r="K76" s="179"/>
      <c r="L76" s="179"/>
    </row>
    <row r="77" spans="1:12">
      <c r="A77" s="138" t="s">
        <v>162</v>
      </c>
      <c r="B77" s="138"/>
      <c r="C77" s="104"/>
      <c r="D77" s="104"/>
      <c r="E77" s="103"/>
      <c r="F77" s="103"/>
      <c r="G77" s="103"/>
      <c r="H77" s="103"/>
      <c r="K77" s="179"/>
      <c r="L77" s="179"/>
    </row>
    <row r="78" spans="7:12">
      <c r="G78" s="97"/>
      <c r="K78" s="179"/>
      <c r="L78" s="179"/>
    </row>
    <row r="79" spans="7:12">
      <c r="G79" s="97"/>
      <c r="K79" s="179"/>
      <c r="L79" s="179"/>
    </row>
    <row r="80" spans="7:12">
      <c r="G80" s="97"/>
      <c r="K80" s="179"/>
      <c r="L80" s="179"/>
    </row>
  </sheetData>
  <mergeCells count="41">
    <mergeCell ref="A2:D2"/>
    <mergeCell ref="A9:D9"/>
    <mergeCell ref="B10:C10"/>
    <mergeCell ref="D10:E10"/>
    <mergeCell ref="F10:H10"/>
    <mergeCell ref="I10:K10"/>
    <mergeCell ref="L10:N10"/>
    <mergeCell ref="B17:C17"/>
    <mergeCell ref="A24:D24"/>
    <mergeCell ref="A26:B26"/>
    <mergeCell ref="C26:H26"/>
    <mergeCell ref="I26:M26"/>
    <mergeCell ref="N26:Q26"/>
    <mergeCell ref="R26:V26"/>
    <mergeCell ref="W26:AB26"/>
    <mergeCell ref="AC26:AE26"/>
    <mergeCell ref="AF26:AK26"/>
    <mergeCell ref="AL26:AN26"/>
    <mergeCell ref="AL27:AN27"/>
    <mergeCell ref="AL28:AN28"/>
    <mergeCell ref="AL29:AN29"/>
    <mergeCell ref="AL30:AN30"/>
    <mergeCell ref="AL31:AN31"/>
    <mergeCell ref="AL32:AN32"/>
    <mergeCell ref="AL33:AN33"/>
    <mergeCell ref="AL34:AN34"/>
    <mergeCell ref="AL35:AN35"/>
    <mergeCell ref="AL36:AN36"/>
    <mergeCell ref="AL37:AN37"/>
    <mergeCell ref="AL38:AN38"/>
    <mergeCell ref="AL39:AN39"/>
    <mergeCell ref="AL40:AN40"/>
    <mergeCell ref="AL41:AN41"/>
    <mergeCell ref="AL42:AN42"/>
    <mergeCell ref="AL43:AN43"/>
    <mergeCell ref="AL44:AN44"/>
    <mergeCell ref="A48:D48"/>
    <mergeCell ref="A65:D65"/>
    <mergeCell ref="A69:D69"/>
    <mergeCell ref="A10:A16"/>
    <mergeCell ref="A17:A22"/>
  </mergeCells>
  <pageMargins left="0.699305555555556" right="0.699305555555556" top="0.75" bottom="0.75" header="0.3" footer="0.3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U164"/>
  <sheetViews>
    <sheetView showGridLines="0" zoomScale="88" zoomScaleNormal="88" topLeftCell="A106" workbookViewId="0">
      <selection activeCell="Q27" sqref="Q27"/>
    </sheetView>
  </sheetViews>
  <sheetFormatPr defaultColWidth="9" defaultRowHeight="16.5"/>
  <cols>
    <col min="1" max="1" width="27.8833333333333" style="14" customWidth="1"/>
    <col min="2" max="2" width="18.775" style="14" customWidth="1"/>
    <col min="3" max="3" width="26.6666666666667" style="14" customWidth="1"/>
    <col min="4" max="4" width="23.8833333333333" style="14" customWidth="1"/>
    <col min="5" max="5" width="19.1083333333333" style="14" customWidth="1"/>
    <col min="6" max="6" width="15.3333333333333" style="14" customWidth="1"/>
    <col min="7" max="7" width="17.1083333333333" style="14" customWidth="1"/>
    <col min="8" max="8" width="22.1083333333333" style="14" customWidth="1"/>
    <col min="9" max="9" width="17.775" style="14" customWidth="1"/>
    <col min="10" max="10" width="22.1083333333333" style="14" customWidth="1"/>
    <col min="11" max="11" width="20.6666666666667" style="14" customWidth="1"/>
    <col min="12" max="12" width="17.8833333333333" style="14" customWidth="1"/>
    <col min="13" max="13" width="15.2166666666667" style="14" customWidth="1"/>
    <col min="14" max="14" width="14" style="14" customWidth="1"/>
    <col min="15" max="15" width="13.6666666666667" style="14" customWidth="1"/>
    <col min="16" max="16" width="14.2166666666667" style="14" customWidth="1"/>
    <col min="17" max="17" width="16.6666666666667" style="14" customWidth="1"/>
    <col min="18" max="18" width="27.6666666666667" style="14" customWidth="1"/>
    <col min="19" max="19" width="25.3333333333333" style="14" customWidth="1"/>
    <col min="20" max="20" width="21.2166666666667" style="14" customWidth="1"/>
    <col min="21" max="21" width="19" style="14" customWidth="1"/>
    <col min="22" max="22" width="18.4416666666667" style="14" customWidth="1"/>
    <col min="23" max="16384" width="9" style="14"/>
  </cols>
  <sheetData>
    <row r="1" customFormat="1" ht="13.5" spans="1:1">
      <c r="A1" s="3"/>
    </row>
    <row r="2" ht="21.9" customHeight="1" spans="1:2">
      <c r="A2" s="15" t="s">
        <v>163</v>
      </c>
      <c r="B2" s="15"/>
    </row>
    <row r="3" ht="24.75" customHeight="1" spans="1:21">
      <c r="A3" s="16" t="s">
        <v>164</v>
      </c>
      <c r="B3" s="16" t="s">
        <v>165</v>
      </c>
      <c r="C3" s="16" t="s">
        <v>166</v>
      </c>
      <c r="D3" s="16" t="s">
        <v>167</v>
      </c>
      <c r="E3" s="16" t="s">
        <v>168</v>
      </c>
      <c r="F3" s="16" t="s">
        <v>169</v>
      </c>
      <c r="G3" s="16" t="s">
        <v>170</v>
      </c>
      <c r="H3" s="16" t="s">
        <v>171</v>
      </c>
      <c r="I3" s="21" t="s">
        <v>172</v>
      </c>
      <c r="J3" s="16" t="s">
        <v>173</v>
      </c>
      <c r="K3" s="16" t="s">
        <v>174</v>
      </c>
      <c r="L3" s="16" t="s">
        <v>175</v>
      </c>
      <c r="M3" s="21" t="s">
        <v>176</v>
      </c>
      <c r="N3" s="16" t="s">
        <v>177</v>
      </c>
      <c r="O3" s="16" t="s">
        <v>178</v>
      </c>
      <c r="P3" s="16" t="s">
        <v>110</v>
      </c>
      <c r="Q3" s="16" t="s">
        <v>179</v>
      </c>
      <c r="R3" s="21" t="s">
        <v>180</v>
      </c>
      <c r="S3" s="21" t="s">
        <v>181</v>
      </c>
      <c r="T3" s="62" t="s">
        <v>182</v>
      </c>
      <c r="U3" s="62" t="s">
        <v>183</v>
      </c>
    </row>
    <row r="4" ht="23.25" customHeight="1" spans="1:21">
      <c r="A4" s="17" t="s">
        <v>184</v>
      </c>
      <c r="B4" s="18"/>
      <c r="C4" s="18"/>
      <c r="D4" s="18"/>
      <c r="E4" s="18"/>
      <c r="F4" s="18"/>
      <c r="G4" s="18"/>
      <c r="H4" s="18"/>
      <c r="I4" s="18"/>
      <c r="J4" s="56"/>
      <c r="K4" s="18"/>
      <c r="L4" s="18"/>
      <c r="M4" s="22"/>
      <c r="N4" s="18"/>
      <c r="O4" s="18"/>
      <c r="P4" s="18"/>
      <c r="Q4" s="18"/>
      <c r="R4" s="18"/>
      <c r="S4" s="18"/>
      <c r="T4" s="56"/>
      <c r="U4" s="22"/>
    </row>
    <row r="5" spans="1:21">
      <c r="A5" s="17" t="s">
        <v>185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</row>
    <row r="6" ht="24" customHeight="1" spans="2:15">
      <c r="B6" s="20"/>
      <c r="C6" s="20"/>
      <c r="D6" s="20"/>
      <c r="E6" s="20"/>
      <c r="F6" s="20"/>
      <c r="G6" s="20"/>
      <c r="H6" s="20"/>
      <c r="I6" s="20"/>
      <c r="J6" s="57"/>
      <c r="K6" s="57"/>
      <c r="L6" s="58"/>
      <c r="M6" s="20"/>
      <c r="N6" s="20"/>
      <c r="O6" s="58"/>
    </row>
    <row r="7" ht="15" spans="1:2">
      <c r="A7" s="15" t="s">
        <v>186</v>
      </c>
      <c r="B7" s="15"/>
    </row>
    <row r="8" ht="12" customHeight="1" spans="1:18">
      <c r="A8" s="21" t="s">
        <v>187</v>
      </c>
      <c r="B8" s="21" t="s">
        <v>188</v>
      </c>
      <c r="C8" s="21" t="s">
        <v>172</v>
      </c>
      <c r="D8" s="21" t="s">
        <v>189</v>
      </c>
      <c r="E8" s="21" t="s">
        <v>190</v>
      </c>
      <c r="F8" s="21" t="s">
        <v>191</v>
      </c>
      <c r="G8" s="21" t="s">
        <v>192</v>
      </c>
      <c r="H8" s="21" t="s">
        <v>193</v>
      </c>
      <c r="I8" s="21" t="s">
        <v>194</v>
      </c>
      <c r="J8" s="21" t="s">
        <v>180</v>
      </c>
      <c r="K8" s="21" t="s">
        <v>181</v>
      </c>
      <c r="L8" s="21" t="s">
        <v>195</v>
      </c>
      <c r="M8" s="21"/>
      <c r="N8" s="21"/>
      <c r="O8" s="21"/>
      <c r="P8" s="21"/>
      <c r="Q8" s="21" t="s">
        <v>196</v>
      </c>
      <c r="R8" s="58"/>
    </row>
    <row r="9" ht="18.75" customHeight="1" spans="1:17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 t="s">
        <v>197</v>
      </c>
      <c r="M9" s="21" t="s">
        <v>198</v>
      </c>
      <c r="N9" s="21" t="s">
        <v>199</v>
      </c>
      <c r="O9" s="21" t="s">
        <v>200</v>
      </c>
      <c r="P9" s="21" t="s">
        <v>201</v>
      </c>
      <c r="Q9" s="21"/>
    </row>
    <row r="10" spans="1:17">
      <c r="A10" s="22" t="s">
        <v>202</v>
      </c>
      <c r="B10" s="22" t="s">
        <v>142</v>
      </c>
      <c r="C10" s="23"/>
      <c r="D10" s="23"/>
      <c r="E10" s="23"/>
      <c r="F10" s="24"/>
      <c r="G10" s="24"/>
      <c r="H10" s="23"/>
      <c r="I10" s="23"/>
      <c r="J10" s="23"/>
      <c r="K10" s="23"/>
      <c r="L10" s="23"/>
      <c r="M10" s="23"/>
      <c r="N10" s="23"/>
      <c r="O10" s="23"/>
      <c r="P10" s="23"/>
      <c r="Q10" s="23"/>
    </row>
    <row r="11" ht="15" customHeight="1" spans="1:17">
      <c r="A11" s="22" t="s">
        <v>203</v>
      </c>
      <c r="B11" s="22" t="s">
        <v>143</v>
      </c>
      <c r="C11" s="23"/>
      <c r="D11" s="23"/>
      <c r="E11" s="23"/>
      <c r="F11" s="24"/>
      <c r="G11" s="24"/>
      <c r="H11" s="23"/>
      <c r="I11" s="23"/>
      <c r="J11" s="23"/>
      <c r="K11" s="23"/>
      <c r="L11" s="23"/>
      <c r="M11" s="23"/>
      <c r="N11" s="23"/>
      <c r="O11" s="23"/>
      <c r="P11" s="23"/>
      <c r="Q11" s="23"/>
    </row>
    <row r="12" spans="1:17">
      <c r="A12" s="22"/>
      <c r="B12" s="22" t="s">
        <v>158</v>
      </c>
      <c r="C12" s="23"/>
      <c r="D12" s="23"/>
      <c r="E12" s="23"/>
      <c r="F12" s="24"/>
      <c r="G12" s="24"/>
      <c r="H12" s="23"/>
      <c r="I12" s="23"/>
      <c r="J12" s="23"/>
      <c r="K12" s="23"/>
      <c r="L12" s="23"/>
      <c r="M12" s="23"/>
      <c r="N12" s="23"/>
      <c r="O12" s="23"/>
      <c r="P12" s="23"/>
      <c r="Q12" s="23"/>
    </row>
    <row r="13" ht="42.75" customHeight="1" spans="1:17">
      <c r="A13" s="22"/>
      <c r="B13" s="22" t="s">
        <v>159</v>
      </c>
      <c r="C13" s="23"/>
      <c r="D13" s="23"/>
      <c r="E13" s="23"/>
      <c r="F13" s="24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</row>
    <row r="14" ht="29.25" customHeight="1" spans="1:17">
      <c r="A14" s="22" t="s">
        <v>204</v>
      </c>
      <c r="B14" s="22" t="s">
        <v>160</v>
      </c>
      <c r="C14" s="23"/>
      <c r="D14" s="23"/>
      <c r="E14" s="23"/>
      <c r="F14" s="24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</row>
    <row r="15" spans="1:17">
      <c r="A15" s="22"/>
      <c r="B15" s="22" t="s">
        <v>161</v>
      </c>
      <c r="C15" s="23"/>
      <c r="D15" s="23"/>
      <c r="E15" s="23"/>
      <c r="F15" s="24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</row>
    <row r="18" ht="24.75" customHeight="1" spans="1:2">
      <c r="A18" s="15" t="s">
        <v>205</v>
      </c>
      <c r="B18" s="15"/>
    </row>
    <row r="19" ht="13.5" spans="1:12">
      <c r="A19" s="16" t="s">
        <v>187</v>
      </c>
      <c r="B19" s="16" t="s">
        <v>206</v>
      </c>
      <c r="C19" s="16" t="s">
        <v>207</v>
      </c>
      <c r="D19" s="25" t="s">
        <v>208</v>
      </c>
      <c r="E19" s="26" t="s">
        <v>209</v>
      </c>
      <c r="F19" s="27" t="s">
        <v>210</v>
      </c>
      <c r="G19" s="27" t="s">
        <v>211</v>
      </c>
      <c r="H19" s="21" t="s">
        <v>212</v>
      </c>
      <c r="I19" s="21" t="s">
        <v>213</v>
      </c>
      <c r="J19" s="21" t="s">
        <v>214</v>
      </c>
      <c r="K19" s="21" t="s">
        <v>215</v>
      </c>
      <c r="L19" s="21" t="s">
        <v>216</v>
      </c>
    </row>
    <row r="20" ht="13.5" spans="1:12">
      <c r="A20" s="16"/>
      <c r="B20" s="16"/>
      <c r="C20" s="16"/>
      <c r="D20" s="28"/>
      <c r="E20" s="29"/>
      <c r="F20" s="30"/>
      <c r="G20" s="30"/>
      <c r="H20" s="26"/>
      <c r="I20" s="26"/>
      <c r="J20" s="26"/>
      <c r="K20" s="26"/>
      <c r="L20" s="26"/>
    </row>
    <row r="21" ht="76.5" customHeight="1" spans="1:12">
      <c r="A21" s="31" t="s">
        <v>217</v>
      </c>
      <c r="B21" s="32" t="s">
        <v>218</v>
      </c>
      <c r="C21" s="18" t="s">
        <v>219</v>
      </c>
      <c r="D21" s="33">
        <v>15</v>
      </c>
      <c r="E21" s="34" t="s">
        <v>220</v>
      </c>
      <c r="F21" s="34" t="s">
        <v>221</v>
      </c>
      <c r="G21" s="34" t="s">
        <v>222</v>
      </c>
      <c r="H21" s="34" t="s">
        <v>223</v>
      </c>
      <c r="I21" s="59" t="s">
        <v>224</v>
      </c>
      <c r="J21" s="59" t="s">
        <v>225</v>
      </c>
      <c r="K21" s="59" t="s">
        <v>226</v>
      </c>
      <c r="L21" s="59" t="s">
        <v>227</v>
      </c>
    </row>
    <row r="22" ht="15" spans="1:12">
      <c r="A22" s="35"/>
      <c r="B22" s="36"/>
      <c r="C22" s="18" t="s">
        <v>228</v>
      </c>
      <c r="D22" s="37"/>
      <c r="E22" s="38"/>
      <c r="F22" s="38"/>
      <c r="G22" s="38"/>
      <c r="H22" s="38"/>
      <c r="I22" s="60"/>
      <c r="J22" s="60"/>
      <c r="K22" s="60"/>
      <c r="L22" s="60"/>
    </row>
    <row r="23" ht="15" spans="1:12">
      <c r="A23" s="35"/>
      <c r="B23" s="36"/>
      <c r="C23" s="18" t="s">
        <v>229</v>
      </c>
      <c r="D23" s="37"/>
      <c r="E23" s="38"/>
      <c r="F23" s="38"/>
      <c r="G23" s="38"/>
      <c r="H23" s="38"/>
      <c r="I23" s="60"/>
      <c r="J23" s="60"/>
      <c r="K23" s="60"/>
      <c r="L23" s="60"/>
    </row>
    <row r="24" ht="15" spans="1:12">
      <c r="A24" s="35"/>
      <c r="B24" s="36"/>
      <c r="C24" s="18" t="s">
        <v>230</v>
      </c>
      <c r="D24" s="37"/>
      <c r="E24" s="38"/>
      <c r="F24" s="38"/>
      <c r="G24" s="38"/>
      <c r="H24" s="38"/>
      <c r="I24" s="60"/>
      <c r="J24" s="60"/>
      <c r="K24" s="60"/>
      <c r="L24" s="60"/>
    </row>
    <row r="25" ht="15" spans="1:12">
      <c r="A25" s="35"/>
      <c r="B25" s="36"/>
      <c r="C25" s="18" t="s">
        <v>231</v>
      </c>
      <c r="D25" s="37"/>
      <c r="E25" s="38"/>
      <c r="F25" s="38"/>
      <c r="G25" s="38"/>
      <c r="H25" s="38"/>
      <c r="I25" s="60"/>
      <c r="J25" s="60"/>
      <c r="K25" s="60"/>
      <c r="L25" s="60"/>
    </row>
    <row r="26" ht="15" spans="1:12">
      <c r="A26" s="39"/>
      <c r="B26" s="40"/>
      <c r="C26" s="18" t="s">
        <v>232</v>
      </c>
      <c r="D26" s="41"/>
      <c r="E26" s="42"/>
      <c r="F26" s="42"/>
      <c r="G26" s="42"/>
      <c r="H26" s="42"/>
      <c r="I26" s="61"/>
      <c r="J26" s="61"/>
      <c r="K26" s="61"/>
      <c r="L26" s="61"/>
    </row>
    <row r="27" customHeight="1" spans="1:12">
      <c r="A27" s="22" t="s">
        <v>233</v>
      </c>
      <c r="B27" s="22" t="s">
        <v>234</v>
      </c>
      <c r="C27" s="18" t="s">
        <v>235</v>
      </c>
      <c r="D27" s="43"/>
      <c r="E27" s="43"/>
      <c r="F27" s="43"/>
      <c r="G27" s="43"/>
      <c r="H27" s="43"/>
      <c r="I27" s="43"/>
      <c r="J27" s="43"/>
      <c r="K27" s="43"/>
      <c r="L27" s="43"/>
    </row>
    <row r="28" ht="15" spans="1:12">
      <c r="A28" s="22"/>
      <c r="B28" s="22"/>
      <c r="C28" s="18" t="s">
        <v>236</v>
      </c>
      <c r="D28" s="44"/>
      <c r="E28" s="44"/>
      <c r="F28" s="44"/>
      <c r="G28" s="44"/>
      <c r="H28" s="44"/>
      <c r="I28" s="44"/>
      <c r="J28" s="44"/>
      <c r="K28" s="44"/>
      <c r="L28" s="44"/>
    </row>
    <row r="29" ht="15" spans="1:12">
      <c r="A29" s="22"/>
      <c r="B29" s="22"/>
      <c r="C29" s="22" t="s">
        <v>237</v>
      </c>
      <c r="D29" s="44"/>
      <c r="E29" s="44"/>
      <c r="F29" s="44"/>
      <c r="G29" s="44"/>
      <c r="H29" s="44"/>
      <c r="I29" s="44"/>
      <c r="J29" s="44"/>
      <c r="K29" s="44"/>
      <c r="L29" s="44"/>
    </row>
    <row r="30" ht="15" spans="1:12">
      <c r="A30" s="22"/>
      <c r="B30" s="22"/>
      <c r="C30" s="22"/>
      <c r="D30" s="44"/>
      <c r="E30" s="44"/>
      <c r="F30" s="44"/>
      <c r="G30" s="44"/>
      <c r="H30" s="44"/>
      <c r="I30" s="44"/>
      <c r="J30" s="44"/>
      <c r="K30" s="44"/>
      <c r="L30" s="44"/>
    </row>
    <row r="31" ht="15" spans="1:12">
      <c r="A31" s="22"/>
      <c r="B31" s="22"/>
      <c r="C31" s="22"/>
      <c r="D31" s="44"/>
      <c r="E31" s="44"/>
      <c r="F31" s="44"/>
      <c r="G31" s="44"/>
      <c r="H31" s="44"/>
      <c r="I31" s="44"/>
      <c r="J31" s="44"/>
      <c r="K31" s="44"/>
      <c r="L31" s="44"/>
    </row>
    <row r="32" ht="15" spans="1:12">
      <c r="A32" s="22"/>
      <c r="B32" s="22"/>
      <c r="C32" s="22"/>
      <c r="D32" s="44"/>
      <c r="E32" s="44"/>
      <c r="F32" s="44"/>
      <c r="G32" s="44"/>
      <c r="H32" s="44"/>
      <c r="I32" s="44"/>
      <c r="J32" s="44"/>
      <c r="K32" s="44"/>
      <c r="L32" s="44"/>
    </row>
    <row r="33" ht="15" spans="1:12">
      <c r="A33" s="22"/>
      <c r="B33" s="22"/>
      <c r="C33" s="18" t="s">
        <v>238</v>
      </c>
      <c r="D33" s="44"/>
      <c r="E33" s="44"/>
      <c r="F33" s="44"/>
      <c r="G33" s="44"/>
      <c r="H33" s="44"/>
      <c r="I33" s="44"/>
      <c r="J33" s="44"/>
      <c r="K33" s="44"/>
      <c r="L33" s="44"/>
    </row>
    <row r="34" ht="15" spans="1:12">
      <c r="A34" s="22"/>
      <c r="B34" s="22"/>
      <c r="C34" s="18"/>
      <c r="D34" s="44"/>
      <c r="E34" s="44"/>
      <c r="F34" s="44"/>
      <c r="G34" s="44"/>
      <c r="H34" s="44"/>
      <c r="I34" s="44"/>
      <c r="J34" s="44"/>
      <c r="K34" s="44"/>
      <c r="L34" s="44"/>
    </row>
    <row r="35" ht="15" spans="1:12">
      <c r="A35" s="22"/>
      <c r="B35" s="22"/>
      <c r="C35" s="18"/>
      <c r="D35" s="44"/>
      <c r="E35" s="44"/>
      <c r="F35" s="44"/>
      <c r="G35" s="44"/>
      <c r="H35" s="44"/>
      <c r="I35" s="44"/>
      <c r="J35" s="44"/>
      <c r="K35" s="44"/>
      <c r="L35" s="44"/>
    </row>
    <row r="36" ht="15" spans="1:12">
      <c r="A36" s="22"/>
      <c r="B36" s="22"/>
      <c r="C36" s="18" t="s">
        <v>239</v>
      </c>
      <c r="D36" s="45"/>
      <c r="E36" s="45"/>
      <c r="F36" s="45"/>
      <c r="G36" s="45"/>
      <c r="H36" s="45"/>
      <c r="I36" s="45"/>
      <c r="J36" s="45"/>
      <c r="K36" s="45"/>
      <c r="L36" s="45"/>
    </row>
    <row r="37" ht="15" spans="1:12">
      <c r="A37" s="22"/>
      <c r="B37" s="18" t="s">
        <v>240</v>
      </c>
      <c r="C37" s="18" t="s">
        <v>241</v>
      </c>
      <c r="D37" s="43"/>
      <c r="E37" s="43"/>
      <c r="F37" s="43"/>
      <c r="G37" s="43"/>
      <c r="H37" s="43"/>
      <c r="I37" s="43"/>
      <c r="J37" s="43"/>
      <c r="K37" s="43"/>
      <c r="L37" s="43"/>
    </row>
    <row r="38" ht="15" spans="1:12">
      <c r="A38" s="22"/>
      <c r="B38" s="18"/>
      <c r="C38" s="18" t="s">
        <v>242</v>
      </c>
      <c r="D38" s="44"/>
      <c r="E38" s="44"/>
      <c r="F38" s="44"/>
      <c r="G38" s="44"/>
      <c r="H38" s="44"/>
      <c r="I38" s="44"/>
      <c r="J38" s="44"/>
      <c r="K38" s="44"/>
      <c r="L38" s="44"/>
    </row>
    <row r="39" ht="69" customHeight="1" spans="1:12">
      <c r="A39" s="22"/>
      <c r="B39" s="18"/>
      <c r="C39" s="18"/>
      <c r="D39" s="44"/>
      <c r="E39" s="44"/>
      <c r="F39" s="44"/>
      <c r="G39" s="44"/>
      <c r="H39" s="44"/>
      <c r="I39" s="44"/>
      <c r="J39" s="44"/>
      <c r="K39" s="44"/>
      <c r="L39" s="44"/>
    </row>
    <row r="40" ht="15" spans="1:12">
      <c r="A40" s="22"/>
      <c r="B40" s="18"/>
      <c r="C40" s="18"/>
      <c r="D40" s="45"/>
      <c r="E40" s="45"/>
      <c r="F40" s="45"/>
      <c r="G40" s="45"/>
      <c r="H40" s="45"/>
      <c r="I40" s="45"/>
      <c r="J40" s="45"/>
      <c r="K40" s="45"/>
      <c r="L40" s="45"/>
    </row>
    <row r="41" customHeight="1" spans="1:12">
      <c r="A41" s="46" t="s">
        <v>243</v>
      </c>
      <c r="B41" s="18" t="s">
        <v>244</v>
      </c>
      <c r="C41" s="18" t="s">
        <v>245</v>
      </c>
      <c r="D41" s="43"/>
      <c r="E41" s="43"/>
      <c r="F41" s="43"/>
      <c r="G41" s="43"/>
      <c r="H41" s="43"/>
      <c r="I41" s="43"/>
      <c r="J41" s="43"/>
      <c r="K41" s="43"/>
      <c r="L41" s="43"/>
    </row>
    <row r="42" ht="15" spans="1:12">
      <c r="A42" s="47"/>
      <c r="B42" s="18"/>
      <c r="C42" s="18" t="s">
        <v>246</v>
      </c>
      <c r="D42" s="44"/>
      <c r="E42" s="44"/>
      <c r="F42" s="44"/>
      <c r="G42" s="44"/>
      <c r="H42" s="44"/>
      <c r="I42" s="44"/>
      <c r="J42" s="44"/>
      <c r="K42" s="44"/>
      <c r="L42" s="44"/>
    </row>
    <row r="43" ht="15" spans="1:12">
      <c r="A43" s="47"/>
      <c r="B43" s="18"/>
      <c r="C43" s="18" t="s">
        <v>247</v>
      </c>
      <c r="D43" s="44"/>
      <c r="E43" s="44"/>
      <c r="F43" s="44"/>
      <c r="G43" s="44"/>
      <c r="H43" s="44"/>
      <c r="I43" s="44"/>
      <c r="J43" s="44"/>
      <c r="K43" s="44"/>
      <c r="L43" s="44"/>
    </row>
    <row r="44" ht="15" spans="1:12">
      <c r="A44" s="47"/>
      <c r="B44" s="18"/>
      <c r="C44" s="18"/>
      <c r="D44" s="44"/>
      <c r="E44" s="44"/>
      <c r="F44" s="44"/>
      <c r="G44" s="44"/>
      <c r="H44" s="44"/>
      <c r="I44" s="44"/>
      <c r="J44" s="44"/>
      <c r="K44" s="44"/>
      <c r="L44" s="44"/>
    </row>
    <row r="45" ht="15" spans="1:12">
      <c r="A45" s="47"/>
      <c r="B45" s="18" t="s">
        <v>248</v>
      </c>
      <c r="C45" s="18" t="s">
        <v>249</v>
      </c>
      <c r="D45" s="44"/>
      <c r="E45" s="44"/>
      <c r="F45" s="44"/>
      <c r="G45" s="44"/>
      <c r="H45" s="44"/>
      <c r="I45" s="44"/>
      <c r="J45" s="44"/>
      <c r="K45" s="44"/>
      <c r="L45" s="44"/>
    </row>
    <row r="46" ht="15" spans="1:12">
      <c r="A46" s="47"/>
      <c r="B46" s="18" t="s">
        <v>250</v>
      </c>
      <c r="C46" s="18" t="s">
        <v>251</v>
      </c>
      <c r="D46" s="44"/>
      <c r="E46" s="44"/>
      <c r="F46" s="44"/>
      <c r="G46" s="44"/>
      <c r="H46" s="44"/>
      <c r="I46" s="44"/>
      <c r="J46" s="44"/>
      <c r="K46" s="44"/>
      <c r="L46" s="44"/>
    </row>
    <row r="47" ht="15" spans="1:12">
      <c r="A47" s="47"/>
      <c r="B47" s="18" t="s">
        <v>252</v>
      </c>
      <c r="C47" s="18" t="s">
        <v>253</v>
      </c>
      <c r="D47" s="44"/>
      <c r="E47" s="44"/>
      <c r="F47" s="44"/>
      <c r="G47" s="44"/>
      <c r="H47" s="44"/>
      <c r="I47" s="44"/>
      <c r="J47" s="44"/>
      <c r="K47" s="44"/>
      <c r="L47" s="44"/>
    </row>
    <row r="48" ht="15" spans="1:12">
      <c r="A48" s="47"/>
      <c r="B48" s="18" t="s">
        <v>254</v>
      </c>
      <c r="C48" s="18" t="s">
        <v>255</v>
      </c>
      <c r="D48" s="44"/>
      <c r="E48" s="44"/>
      <c r="F48" s="44"/>
      <c r="G48" s="44"/>
      <c r="H48" s="44"/>
      <c r="I48" s="44"/>
      <c r="J48" s="44"/>
      <c r="K48" s="44"/>
      <c r="L48" s="44"/>
    </row>
    <row r="49" ht="15" spans="1:12">
      <c r="A49" s="47"/>
      <c r="B49" s="18" t="s">
        <v>256</v>
      </c>
      <c r="C49" s="18" t="s">
        <v>257</v>
      </c>
      <c r="D49" s="44"/>
      <c r="E49" s="44"/>
      <c r="F49" s="44"/>
      <c r="G49" s="44"/>
      <c r="H49" s="44"/>
      <c r="I49" s="44"/>
      <c r="J49" s="44"/>
      <c r="K49" s="44"/>
      <c r="L49" s="44"/>
    </row>
    <row r="50" ht="15" spans="1:12">
      <c r="A50" s="48"/>
      <c r="B50" s="18" t="s">
        <v>258</v>
      </c>
      <c r="C50" s="18" t="s">
        <v>259</v>
      </c>
      <c r="D50" s="45"/>
      <c r="E50" s="45"/>
      <c r="F50" s="45"/>
      <c r="G50" s="45"/>
      <c r="H50" s="45"/>
      <c r="I50" s="45"/>
      <c r="J50" s="45"/>
      <c r="K50" s="45"/>
      <c r="L50" s="45"/>
    </row>
    <row r="51" ht="15" spans="1:12">
      <c r="A51" s="32" t="s">
        <v>260</v>
      </c>
      <c r="B51" s="18" t="s">
        <v>261</v>
      </c>
      <c r="C51" s="18" t="s">
        <v>262</v>
      </c>
      <c r="D51" s="49"/>
      <c r="E51" s="49"/>
      <c r="F51" s="49"/>
      <c r="G51" s="46"/>
      <c r="H51" s="49"/>
      <c r="I51" s="49"/>
      <c r="J51" s="49"/>
      <c r="K51" s="49"/>
      <c r="L51" s="49"/>
    </row>
    <row r="52" ht="15" spans="1:12">
      <c r="A52" s="36"/>
      <c r="B52" s="50" t="s">
        <v>191</v>
      </c>
      <c r="C52" s="50" t="s">
        <v>263</v>
      </c>
      <c r="D52" s="49"/>
      <c r="E52" s="49"/>
      <c r="F52" s="49"/>
      <c r="G52" s="47"/>
      <c r="H52" s="49"/>
      <c r="I52" s="49"/>
      <c r="J52" s="49"/>
      <c r="K52" s="49"/>
      <c r="L52" s="49"/>
    </row>
    <row r="53" ht="15" spans="1:12">
      <c r="A53" s="36"/>
      <c r="B53" s="50" t="s">
        <v>264</v>
      </c>
      <c r="C53" s="50" t="s">
        <v>250</v>
      </c>
      <c r="D53" s="49"/>
      <c r="E53" s="49"/>
      <c r="F53" s="49"/>
      <c r="G53" s="47"/>
      <c r="H53" s="49"/>
      <c r="I53" s="49"/>
      <c r="J53" s="49"/>
      <c r="K53" s="49"/>
      <c r="L53" s="49"/>
    </row>
    <row r="54" ht="15" spans="1:12">
      <c r="A54" s="40"/>
      <c r="B54" s="50" t="s">
        <v>265</v>
      </c>
      <c r="C54" s="50" t="s">
        <v>266</v>
      </c>
      <c r="D54" s="49"/>
      <c r="E54" s="49"/>
      <c r="F54" s="49"/>
      <c r="G54" s="48"/>
      <c r="H54" s="49"/>
      <c r="I54" s="49"/>
      <c r="J54" s="49"/>
      <c r="K54" s="49"/>
      <c r="L54" s="49"/>
    </row>
    <row r="55" ht="15" spans="1:12">
      <c r="A55" s="51" t="s">
        <v>267</v>
      </c>
      <c r="B55" s="18" t="s">
        <v>261</v>
      </c>
      <c r="C55" s="18" t="s">
        <v>262</v>
      </c>
      <c r="D55" s="44"/>
      <c r="E55" s="44"/>
      <c r="F55" s="44"/>
      <c r="G55" s="44"/>
      <c r="H55" s="44"/>
      <c r="I55" s="44"/>
      <c r="J55" s="44"/>
      <c r="K55" s="44"/>
      <c r="L55" s="44"/>
    </row>
    <row r="56" ht="15" spans="1:12">
      <c r="A56" s="52"/>
      <c r="B56" s="50" t="s">
        <v>191</v>
      </c>
      <c r="C56" s="50" t="s">
        <v>263</v>
      </c>
      <c r="D56" s="44"/>
      <c r="E56" s="44"/>
      <c r="F56" s="44"/>
      <c r="G56" s="44"/>
      <c r="H56" s="44"/>
      <c r="I56" s="44"/>
      <c r="J56" s="44"/>
      <c r="K56" s="44"/>
      <c r="L56" s="44"/>
    </row>
    <row r="57" ht="15" spans="1:12">
      <c r="A57" s="52"/>
      <c r="B57" s="50" t="s">
        <v>264</v>
      </c>
      <c r="C57" s="50" t="s">
        <v>250</v>
      </c>
      <c r="D57" s="44"/>
      <c r="E57" s="44"/>
      <c r="F57" s="44"/>
      <c r="G57" s="44"/>
      <c r="H57" s="44"/>
      <c r="I57" s="44"/>
      <c r="J57" s="44"/>
      <c r="K57" s="44"/>
      <c r="L57" s="44"/>
    </row>
    <row r="58" ht="15" spans="1:12">
      <c r="A58" s="53"/>
      <c r="B58" s="50" t="s">
        <v>265</v>
      </c>
      <c r="C58" s="50" t="s">
        <v>266</v>
      </c>
      <c r="D58" s="45"/>
      <c r="E58" s="45"/>
      <c r="F58" s="45"/>
      <c r="G58" s="45"/>
      <c r="H58" s="45"/>
      <c r="I58" s="45"/>
      <c r="J58" s="45"/>
      <c r="K58" s="45"/>
      <c r="L58" s="45"/>
    </row>
    <row r="59" ht="15" spans="1:12">
      <c r="A59" s="51" t="s">
        <v>268</v>
      </c>
      <c r="B59" s="18" t="s">
        <v>261</v>
      </c>
      <c r="C59" s="18" t="s">
        <v>262</v>
      </c>
      <c r="D59" s="43"/>
      <c r="E59" s="43"/>
      <c r="F59" s="43"/>
      <c r="G59" s="43"/>
      <c r="H59" s="43"/>
      <c r="I59" s="43"/>
      <c r="J59" s="43"/>
      <c r="K59" s="43"/>
      <c r="L59" s="43"/>
    </row>
    <row r="60" ht="15" spans="1:12">
      <c r="A60" s="52"/>
      <c r="B60" s="50" t="s">
        <v>191</v>
      </c>
      <c r="C60" s="50" t="s">
        <v>263</v>
      </c>
      <c r="D60" s="44"/>
      <c r="E60" s="44"/>
      <c r="F60" s="44"/>
      <c r="G60" s="44"/>
      <c r="H60" s="44"/>
      <c r="I60" s="44"/>
      <c r="J60" s="44"/>
      <c r="K60" s="44"/>
      <c r="L60" s="44"/>
    </row>
    <row r="61" ht="15" spans="1:12">
      <c r="A61" s="52"/>
      <c r="B61" s="50" t="s">
        <v>264</v>
      </c>
      <c r="C61" s="50" t="s">
        <v>250</v>
      </c>
      <c r="D61" s="44"/>
      <c r="E61" s="44"/>
      <c r="F61" s="44"/>
      <c r="G61" s="44"/>
      <c r="H61" s="44"/>
      <c r="I61" s="44"/>
      <c r="J61" s="44"/>
      <c r="K61" s="44"/>
      <c r="L61" s="44"/>
    </row>
    <row r="62" ht="15" spans="1:12">
      <c r="A62" s="53"/>
      <c r="B62" s="50" t="s">
        <v>265</v>
      </c>
      <c r="C62" s="50" t="s">
        <v>266</v>
      </c>
      <c r="D62" s="45"/>
      <c r="E62" s="45"/>
      <c r="F62" s="45"/>
      <c r="G62" s="45"/>
      <c r="H62" s="45"/>
      <c r="I62" s="45"/>
      <c r="J62" s="45"/>
      <c r="K62" s="45"/>
      <c r="L62" s="45"/>
    </row>
    <row r="64" ht="22.5" spans="1:12">
      <c r="A64" s="54" t="s">
        <v>269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</row>
    <row r="65" ht="13.5" spans="1:12">
      <c r="A65" s="63" t="s">
        <v>270</v>
      </c>
      <c r="B65" s="63" t="s">
        <v>271</v>
      </c>
      <c r="C65" s="63"/>
      <c r="D65" s="63"/>
      <c r="E65" s="63"/>
      <c r="F65" s="63"/>
      <c r="G65" s="63"/>
      <c r="H65" s="63"/>
      <c r="I65" s="63"/>
      <c r="J65" s="63"/>
      <c r="K65" s="63"/>
      <c r="L65" s="63"/>
    </row>
    <row r="66" ht="13.5" spans="1:12">
      <c r="A66" s="64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</row>
    <row r="67" ht="13.5" spans="1:12">
      <c r="A67" s="64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</row>
    <row r="68" ht="13.5" spans="1:12">
      <c r="A68" s="64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</row>
    <row r="69" ht="13.5" spans="1:12">
      <c r="A69" s="64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</row>
    <row r="70" ht="13.5" spans="1:12">
      <c r="A70" s="64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</row>
    <row r="71" ht="13.5" spans="1:12">
      <c r="A71" s="64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</row>
    <row r="72" ht="13.5" spans="1:12">
      <c r="A72" s="64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</row>
    <row r="73" ht="111" customHeight="1" spans="1:12">
      <c r="A73" s="64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</row>
    <row r="74" ht="13.5" spans="1:12">
      <c r="A74" s="63" t="s">
        <v>272</v>
      </c>
      <c r="B74" s="63" t="s">
        <v>273</v>
      </c>
      <c r="C74" s="63"/>
      <c r="D74" s="63"/>
      <c r="E74" s="63"/>
      <c r="F74" s="63"/>
      <c r="G74" s="63"/>
      <c r="H74" s="63"/>
      <c r="I74" s="63"/>
      <c r="J74" s="63"/>
      <c r="K74" s="63"/>
      <c r="L74" s="63"/>
    </row>
    <row r="75" ht="13.5" spans="1:12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</row>
    <row r="76" ht="84.75" customHeight="1" spans="1:12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</row>
    <row r="77" ht="13.5" spans="1:12">
      <c r="A77" s="63" t="s">
        <v>274</v>
      </c>
      <c r="B77" s="63" t="s">
        <v>275</v>
      </c>
      <c r="C77" s="63"/>
      <c r="D77" s="63"/>
      <c r="E77" s="63"/>
      <c r="F77" s="63"/>
      <c r="G77" s="63"/>
      <c r="H77" s="63"/>
      <c r="I77" s="63"/>
      <c r="J77" s="63"/>
      <c r="K77" s="63"/>
      <c r="L77" s="63"/>
    </row>
    <row r="78" ht="13.5" spans="1:12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</row>
    <row r="79" ht="13.5" spans="1:12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</row>
    <row r="80" ht="13.5" spans="1:12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</row>
    <row r="81" ht="58.5" customHeight="1" spans="1:12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</row>
    <row r="82" ht="13.5" spans="1:12">
      <c r="A82" s="65" t="s">
        <v>276</v>
      </c>
      <c r="B82" s="63" t="s">
        <v>277</v>
      </c>
      <c r="C82" s="63"/>
      <c r="D82" s="63"/>
      <c r="E82" s="63"/>
      <c r="F82" s="63"/>
      <c r="G82" s="63"/>
      <c r="H82" s="63"/>
      <c r="I82" s="63"/>
      <c r="J82" s="63"/>
      <c r="K82" s="63"/>
      <c r="L82" s="63"/>
    </row>
    <row r="83" ht="13.5" spans="1:12">
      <c r="A83" s="66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</row>
    <row r="84" ht="13.5" spans="1:12">
      <c r="A84" s="66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</row>
    <row r="85" ht="73.5" customHeight="1" spans="1:12">
      <c r="A85" s="67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</row>
    <row r="86" spans="1:12">
      <c r="A86" s="63" t="s">
        <v>278</v>
      </c>
      <c r="B86" s="68" t="s">
        <v>279</v>
      </c>
      <c r="C86" s="69" t="s">
        <v>280</v>
      </c>
      <c r="D86" s="70"/>
      <c r="E86" s="69" t="s">
        <v>281</v>
      </c>
      <c r="F86" s="71"/>
      <c r="G86" s="71"/>
      <c r="H86" s="71"/>
      <c r="I86" s="71"/>
      <c r="J86" s="71"/>
      <c r="K86" s="71"/>
      <c r="L86" s="70"/>
    </row>
    <row r="87" spans="1:12">
      <c r="A87" s="63"/>
      <c r="B87" s="68">
        <v>1</v>
      </c>
      <c r="C87" s="69" t="s">
        <v>282</v>
      </c>
      <c r="D87" s="70" t="s">
        <v>283</v>
      </c>
      <c r="E87" s="72" t="s">
        <v>284</v>
      </c>
      <c r="F87" s="73"/>
      <c r="G87" s="73"/>
      <c r="H87" s="73"/>
      <c r="I87" s="73"/>
      <c r="J87" s="73"/>
      <c r="K87" s="73"/>
      <c r="L87" s="90"/>
    </row>
    <row r="88" spans="1:12">
      <c r="A88" s="63"/>
      <c r="B88" s="68">
        <v>2</v>
      </c>
      <c r="C88" s="69" t="s">
        <v>285</v>
      </c>
      <c r="D88" s="70" t="s">
        <v>286</v>
      </c>
      <c r="E88" s="72" t="s">
        <v>287</v>
      </c>
      <c r="F88" s="73"/>
      <c r="G88" s="73"/>
      <c r="H88" s="73"/>
      <c r="I88" s="73"/>
      <c r="J88" s="73"/>
      <c r="K88" s="73"/>
      <c r="L88" s="90"/>
    </row>
    <row r="89" spans="1:12">
      <c r="A89" s="63"/>
      <c r="B89" s="68">
        <v>3</v>
      </c>
      <c r="C89" s="74" t="s">
        <v>288</v>
      </c>
      <c r="D89" s="75"/>
      <c r="E89" s="76" t="s">
        <v>289</v>
      </c>
      <c r="F89" s="77"/>
      <c r="G89" s="77"/>
      <c r="H89" s="77"/>
      <c r="I89" s="77"/>
      <c r="J89" s="77"/>
      <c r="K89" s="77"/>
      <c r="L89" s="91"/>
    </row>
    <row r="90" spans="1:12">
      <c r="A90" s="63"/>
      <c r="B90" s="68">
        <v>4</v>
      </c>
      <c r="C90" s="78"/>
      <c r="D90" s="79"/>
      <c r="E90" s="80"/>
      <c r="F90" s="81"/>
      <c r="G90" s="81"/>
      <c r="H90" s="81"/>
      <c r="I90" s="81"/>
      <c r="J90" s="81"/>
      <c r="K90" s="81"/>
      <c r="L90" s="92"/>
    </row>
    <row r="91" spans="1:12">
      <c r="A91" s="63"/>
      <c r="B91" s="68">
        <v>5</v>
      </c>
      <c r="C91" s="69" t="s">
        <v>290</v>
      </c>
      <c r="D91" s="70" t="s">
        <v>291</v>
      </c>
      <c r="E91" s="72" t="s">
        <v>292</v>
      </c>
      <c r="F91" s="73"/>
      <c r="G91" s="73"/>
      <c r="H91" s="73"/>
      <c r="I91" s="73"/>
      <c r="J91" s="73"/>
      <c r="K91" s="73"/>
      <c r="L91" s="90"/>
    </row>
    <row r="92" spans="1:12">
      <c r="A92" s="63"/>
      <c r="B92" s="68">
        <v>6</v>
      </c>
      <c r="C92" s="69" t="s">
        <v>293</v>
      </c>
      <c r="D92" s="70" t="s">
        <v>294</v>
      </c>
      <c r="E92" s="72" t="s">
        <v>295</v>
      </c>
      <c r="F92" s="73"/>
      <c r="G92" s="73"/>
      <c r="H92" s="73"/>
      <c r="I92" s="73"/>
      <c r="J92" s="73"/>
      <c r="K92" s="73"/>
      <c r="L92" s="90"/>
    </row>
    <row r="93" spans="1:12">
      <c r="A93" s="63"/>
      <c r="B93" s="68">
        <v>7</v>
      </c>
      <c r="C93" s="69" t="s">
        <v>296</v>
      </c>
      <c r="D93" s="70" t="s">
        <v>297</v>
      </c>
      <c r="E93" s="72" t="s">
        <v>298</v>
      </c>
      <c r="F93" s="73"/>
      <c r="G93" s="73"/>
      <c r="H93" s="73"/>
      <c r="I93" s="73"/>
      <c r="J93" s="73"/>
      <c r="K93" s="73"/>
      <c r="L93" s="90"/>
    </row>
    <row r="94" spans="1:12">
      <c r="A94" s="63"/>
      <c r="B94" s="68">
        <v>8</v>
      </c>
      <c r="C94" s="69" t="s">
        <v>299</v>
      </c>
      <c r="D94" s="70" t="s">
        <v>300</v>
      </c>
      <c r="E94" s="72" t="s">
        <v>301</v>
      </c>
      <c r="F94" s="73"/>
      <c r="G94" s="73"/>
      <c r="H94" s="73"/>
      <c r="I94" s="73"/>
      <c r="J94" s="73"/>
      <c r="K94" s="73"/>
      <c r="L94" s="90"/>
    </row>
    <row r="95" spans="1:12">
      <c r="A95" s="63"/>
      <c r="B95" s="68">
        <v>9</v>
      </c>
      <c r="C95" s="69" t="s">
        <v>302</v>
      </c>
      <c r="D95" s="70" t="s">
        <v>303</v>
      </c>
      <c r="E95" s="82" t="s">
        <v>304</v>
      </c>
      <c r="F95" s="83"/>
      <c r="G95" s="83"/>
      <c r="H95" s="83"/>
      <c r="I95" s="83"/>
      <c r="J95" s="83"/>
      <c r="K95" s="83"/>
      <c r="L95" s="93"/>
    </row>
    <row r="96" spans="1:12">
      <c r="A96" s="63"/>
      <c r="B96" s="68">
        <v>10</v>
      </c>
      <c r="C96" s="69" t="s">
        <v>305</v>
      </c>
      <c r="D96" s="70" t="s">
        <v>306</v>
      </c>
      <c r="E96" s="72" t="s">
        <v>307</v>
      </c>
      <c r="F96" s="73"/>
      <c r="G96" s="73"/>
      <c r="H96" s="73"/>
      <c r="I96" s="73"/>
      <c r="J96" s="73"/>
      <c r="K96" s="73"/>
      <c r="L96" s="90"/>
    </row>
    <row r="97" spans="1:12">
      <c r="A97" s="63"/>
      <c r="B97" s="68">
        <v>11</v>
      </c>
      <c r="C97" s="69" t="s">
        <v>308</v>
      </c>
      <c r="D97" s="70" t="s">
        <v>309</v>
      </c>
      <c r="E97" s="72" t="s">
        <v>310</v>
      </c>
      <c r="F97" s="73"/>
      <c r="G97" s="73"/>
      <c r="H97" s="73"/>
      <c r="I97" s="73"/>
      <c r="J97" s="73"/>
      <c r="K97" s="73"/>
      <c r="L97" s="90"/>
    </row>
    <row r="98" spans="1:12">
      <c r="A98" s="63"/>
      <c r="B98" s="68">
        <v>12</v>
      </c>
      <c r="C98" s="69" t="s">
        <v>311</v>
      </c>
      <c r="D98" s="70" t="s">
        <v>312</v>
      </c>
      <c r="E98" s="72" t="s">
        <v>313</v>
      </c>
      <c r="F98" s="73"/>
      <c r="G98" s="73"/>
      <c r="H98" s="73"/>
      <c r="I98" s="73"/>
      <c r="J98" s="73"/>
      <c r="K98" s="73"/>
      <c r="L98" s="90"/>
    </row>
    <row r="100" ht="22.5" spans="1:11">
      <c r="A100" s="84" t="s">
        <v>314</v>
      </c>
      <c r="B100" s="84"/>
      <c r="C100" s="84"/>
      <c r="D100" s="84"/>
      <c r="E100" s="84"/>
      <c r="F100" s="84"/>
      <c r="G100" s="84"/>
      <c r="H100" s="84"/>
      <c r="I100" s="84"/>
      <c r="J100" s="84"/>
      <c r="K100" s="84"/>
    </row>
    <row r="101" ht="13.5" spans="1:11">
      <c r="A101" s="63" t="s">
        <v>272</v>
      </c>
      <c r="B101" s="85" t="s">
        <v>315</v>
      </c>
      <c r="C101" s="85"/>
      <c r="D101" s="85"/>
      <c r="E101" s="85"/>
      <c r="F101" s="85"/>
      <c r="G101" s="85"/>
      <c r="H101" s="85"/>
      <c r="I101" s="85"/>
      <c r="J101" s="85"/>
      <c r="K101" s="85"/>
    </row>
    <row r="102" ht="13.5" spans="1:11">
      <c r="A102" s="63"/>
      <c r="B102" s="85"/>
      <c r="C102" s="85"/>
      <c r="D102" s="85"/>
      <c r="E102" s="85"/>
      <c r="F102" s="85"/>
      <c r="G102" s="85"/>
      <c r="H102" s="85"/>
      <c r="I102" s="85"/>
      <c r="J102" s="85"/>
      <c r="K102" s="85"/>
    </row>
    <row r="103" ht="13.5" spans="1:11">
      <c r="A103" s="63"/>
      <c r="B103" s="85"/>
      <c r="C103" s="85"/>
      <c r="D103" s="85"/>
      <c r="E103" s="85"/>
      <c r="F103" s="85"/>
      <c r="G103" s="85"/>
      <c r="H103" s="85"/>
      <c r="I103" s="85"/>
      <c r="J103" s="85"/>
      <c r="K103" s="85"/>
    </row>
    <row r="104" ht="13.5" spans="1:11">
      <c r="A104" s="63"/>
      <c r="B104" s="85"/>
      <c r="C104" s="85"/>
      <c r="D104" s="85"/>
      <c r="E104" s="85"/>
      <c r="F104" s="85"/>
      <c r="G104" s="85"/>
      <c r="H104" s="85"/>
      <c r="I104" s="85"/>
      <c r="J104" s="85"/>
      <c r="K104" s="85"/>
    </row>
    <row r="105" ht="13.5" spans="1:11">
      <c r="A105" s="63"/>
      <c r="B105" s="85"/>
      <c r="C105" s="85"/>
      <c r="D105" s="85"/>
      <c r="E105" s="85"/>
      <c r="F105" s="85"/>
      <c r="G105" s="85"/>
      <c r="H105" s="85"/>
      <c r="I105" s="85"/>
      <c r="J105" s="85"/>
      <c r="K105" s="85"/>
    </row>
    <row r="106" ht="13.5" spans="1:11">
      <c r="A106" s="63"/>
      <c r="B106" s="85"/>
      <c r="C106" s="85"/>
      <c r="D106" s="85"/>
      <c r="E106" s="85"/>
      <c r="F106" s="85"/>
      <c r="G106" s="85"/>
      <c r="H106" s="85"/>
      <c r="I106" s="85"/>
      <c r="J106" s="85"/>
      <c r="K106" s="85"/>
    </row>
    <row r="107" ht="13.5" spans="1:11">
      <c r="A107" s="63" t="s">
        <v>274</v>
      </c>
      <c r="B107" s="85" t="s">
        <v>316</v>
      </c>
      <c r="C107" s="85"/>
      <c r="D107" s="85"/>
      <c r="E107" s="85"/>
      <c r="F107" s="85"/>
      <c r="G107" s="85"/>
      <c r="H107" s="85"/>
      <c r="I107" s="85"/>
      <c r="J107" s="85"/>
      <c r="K107" s="85"/>
    </row>
    <row r="108" ht="13.5" spans="1:11">
      <c r="A108" s="63"/>
      <c r="B108" s="85"/>
      <c r="C108" s="85"/>
      <c r="D108" s="85"/>
      <c r="E108" s="85"/>
      <c r="F108" s="85"/>
      <c r="G108" s="85"/>
      <c r="H108" s="85"/>
      <c r="I108" s="85"/>
      <c r="J108" s="85"/>
      <c r="K108" s="85"/>
    </row>
    <row r="109" ht="13.5" spans="1:11">
      <c r="A109" s="63"/>
      <c r="B109" s="85"/>
      <c r="C109" s="85"/>
      <c r="D109" s="85"/>
      <c r="E109" s="85"/>
      <c r="F109" s="85"/>
      <c r="G109" s="85"/>
      <c r="H109" s="85"/>
      <c r="I109" s="85"/>
      <c r="J109" s="85"/>
      <c r="K109" s="85"/>
    </row>
    <row r="110" ht="13.5" spans="1:11">
      <c r="A110" s="63"/>
      <c r="B110" s="85"/>
      <c r="C110" s="85"/>
      <c r="D110" s="85"/>
      <c r="E110" s="85"/>
      <c r="F110" s="85"/>
      <c r="G110" s="85"/>
      <c r="H110" s="85"/>
      <c r="I110" s="85"/>
      <c r="J110" s="85"/>
      <c r="K110" s="85"/>
    </row>
    <row r="111" ht="13.5" spans="1:11">
      <c r="A111" s="63"/>
      <c r="B111" s="85"/>
      <c r="C111" s="85"/>
      <c r="D111" s="85"/>
      <c r="E111" s="85"/>
      <c r="F111" s="85"/>
      <c r="G111" s="85"/>
      <c r="H111" s="85"/>
      <c r="I111" s="85"/>
      <c r="J111" s="85"/>
      <c r="K111" s="85"/>
    </row>
    <row r="112" ht="13.5" spans="1:11">
      <c r="A112" s="63"/>
      <c r="B112" s="85"/>
      <c r="C112" s="85"/>
      <c r="D112" s="85"/>
      <c r="E112" s="85"/>
      <c r="F112" s="85"/>
      <c r="G112" s="85"/>
      <c r="H112" s="85"/>
      <c r="I112" s="85"/>
      <c r="J112" s="85"/>
      <c r="K112" s="85"/>
    </row>
    <row r="113" ht="13.5" spans="1:11">
      <c r="A113" s="85" t="s">
        <v>276</v>
      </c>
      <c r="B113" s="85" t="s">
        <v>317</v>
      </c>
      <c r="C113" s="85"/>
      <c r="D113" s="85"/>
      <c r="E113" s="85"/>
      <c r="F113" s="85"/>
      <c r="G113" s="85"/>
      <c r="H113" s="85"/>
      <c r="I113" s="85"/>
      <c r="J113" s="85"/>
      <c r="K113" s="85"/>
    </row>
    <row r="114" ht="13.5" spans="1:1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</row>
    <row r="115" ht="13.5" spans="1:1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</row>
    <row r="116" ht="13.5" spans="1:1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</row>
    <row r="117" ht="13.5" spans="1:11">
      <c r="A117" s="86"/>
      <c r="B117" s="85"/>
      <c r="C117" s="85"/>
      <c r="D117" s="85"/>
      <c r="E117" s="85"/>
      <c r="F117" s="85"/>
      <c r="G117" s="85"/>
      <c r="H117" s="85"/>
      <c r="I117" s="85"/>
      <c r="J117" s="85"/>
      <c r="K117" s="85"/>
    </row>
    <row r="118" ht="13.5" spans="1:11">
      <c r="A118" s="86"/>
      <c r="B118" s="85"/>
      <c r="C118" s="85"/>
      <c r="D118" s="85"/>
      <c r="E118" s="85"/>
      <c r="F118" s="85"/>
      <c r="G118" s="85"/>
      <c r="H118" s="85"/>
      <c r="I118" s="85"/>
      <c r="J118" s="85"/>
      <c r="K118" s="85"/>
    </row>
    <row r="119" spans="1:11">
      <c r="A119" s="63" t="s">
        <v>278</v>
      </c>
      <c r="B119" s="68" t="s">
        <v>279</v>
      </c>
      <c r="C119" s="68" t="s">
        <v>280</v>
      </c>
      <c r="D119" s="68" t="s">
        <v>281</v>
      </c>
      <c r="E119" s="68"/>
      <c r="F119" s="68"/>
      <c r="G119" s="68"/>
      <c r="H119" s="68"/>
      <c r="I119" s="68"/>
      <c r="J119" s="68"/>
      <c r="K119" s="68"/>
    </row>
    <row r="120" spans="1:11">
      <c r="A120" s="63"/>
      <c r="B120" s="68">
        <v>1</v>
      </c>
      <c r="C120" s="68" t="s">
        <v>318</v>
      </c>
      <c r="D120" s="87" t="s">
        <v>319</v>
      </c>
      <c r="E120" s="87"/>
      <c r="F120" s="87"/>
      <c r="G120" s="87"/>
      <c r="H120" s="87"/>
      <c r="I120" s="87"/>
      <c r="J120" s="87"/>
      <c r="K120" s="87"/>
    </row>
    <row r="121" spans="1:11">
      <c r="A121" s="63"/>
      <c r="B121" s="68">
        <v>2</v>
      </c>
      <c r="C121" s="68" t="s">
        <v>285</v>
      </c>
      <c r="D121" s="87" t="s">
        <v>320</v>
      </c>
      <c r="E121" s="87"/>
      <c r="F121" s="87"/>
      <c r="G121" s="87"/>
      <c r="H121" s="87"/>
      <c r="I121" s="87"/>
      <c r="J121" s="87"/>
      <c r="K121" s="87"/>
    </row>
    <row r="122" spans="1:11">
      <c r="A122" s="63"/>
      <c r="B122" s="68">
        <v>3</v>
      </c>
      <c r="C122" s="88" t="s">
        <v>321</v>
      </c>
      <c r="D122" s="82" t="s">
        <v>322</v>
      </c>
      <c r="E122" s="83"/>
      <c r="F122" s="83"/>
      <c r="G122" s="83"/>
      <c r="H122" s="83"/>
      <c r="I122" s="83"/>
      <c r="J122" s="83"/>
      <c r="K122" s="93"/>
    </row>
    <row r="123" spans="1:11">
      <c r="A123" s="63"/>
      <c r="B123" s="68">
        <v>4</v>
      </c>
      <c r="C123" s="88" t="s">
        <v>323</v>
      </c>
      <c r="D123" s="82" t="s">
        <v>324</v>
      </c>
      <c r="E123" s="83"/>
      <c r="F123" s="83"/>
      <c r="G123" s="83"/>
      <c r="H123" s="83"/>
      <c r="I123" s="83"/>
      <c r="J123" s="83"/>
      <c r="K123" s="93"/>
    </row>
    <row r="124" spans="1:11">
      <c r="A124" s="63"/>
      <c r="B124" s="68">
        <v>5</v>
      </c>
      <c r="C124" s="68" t="s">
        <v>325</v>
      </c>
      <c r="D124" s="89" t="s">
        <v>326</v>
      </c>
      <c r="E124" s="89"/>
      <c r="F124" s="89"/>
      <c r="G124" s="89"/>
      <c r="H124" s="89"/>
      <c r="I124" s="89"/>
      <c r="J124" s="89"/>
      <c r="K124" s="89"/>
    </row>
    <row r="125" spans="1:11">
      <c r="A125" s="63"/>
      <c r="B125" s="68">
        <v>6</v>
      </c>
      <c r="C125" s="68" t="s">
        <v>327</v>
      </c>
      <c r="D125" s="89" t="s">
        <v>328</v>
      </c>
      <c r="E125" s="89"/>
      <c r="F125" s="89"/>
      <c r="G125" s="89"/>
      <c r="H125" s="89"/>
      <c r="I125" s="89"/>
      <c r="J125" s="89"/>
      <c r="K125" s="89"/>
    </row>
    <row r="126" spans="1:11">
      <c r="A126" s="63"/>
      <c r="B126" s="68">
        <v>7</v>
      </c>
      <c r="C126" s="68" t="s">
        <v>329</v>
      </c>
      <c r="D126" s="87" t="s">
        <v>330</v>
      </c>
      <c r="E126" s="87"/>
      <c r="F126" s="87"/>
      <c r="G126" s="87"/>
      <c r="H126" s="87"/>
      <c r="I126" s="87"/>
      <c r="J126" s="87"/>
      <c r="K126" s="87"/>
    </row>
    <row r="127" spans="1:11">
      <c r="A127" s="63"/>
      <c r="B127" s="68">
        <v>8</v>
      </c>
      <c r="C127" s="68" t="s">
        <v>331</v>
      </c>
      <c r="D127" s="87" t="s">
        <v>332</v>
      </c>
      <c r="E127" s="87"/>
      <c r="F127" s="87"/>
      <c r="G127" s="87"/>
      <c r="H127" s="87"/>
      <c r="I127" s="87"/>
      <c r="J127" s="87"/>
      <c r="K127" s="87"/>
    </row>
    <row r="128" spans="1:11">
      <c r="A128" s="63"/>
      <c r="B128" s="68">
        <v>9</v>
      </c>
      <c r="C128" s="68" t="s">
        <v>333</v>
      </c>
      <c r="D128" s="89" t="s">
        <v>334</v>
      </c>
      <c r="E128" s="89"/>
      <c r="F128" s="89"/>
      <c r="G128" s="89"/>
      <c r="H128" s="89"/>
      <c r="I128" s="89"/>
      <c r="J128" s="89"/>
      <c r="K128" s="89"/>
    </row>
    <row r="129" spans="1:11">
      <c r="A129" s="63"/>
      <c r="B129" s="68">
        <v>10</v>
      </c>
      <c r="C129" s="68" t="s">
        <v>335</v>
      </c>
      <c r="D129" s="87" t="s">
        <v>322</v>
      </c>
      <c r="E129" s="87"/>
      <c r="F129" s="87"/>
      <c r="G129" s="87"/>
      <c r="H129" s="87"/>
      <c r="I129" s="87"/>
      <c r="J129" s="87"/>
      <c r="K129" s="87"/>
    </row>
    <row r="130" spans="1:11">
      <c r="A130" s="63"/>
      <c r="B130" s="68">
        <v>11</v>
      </c>
      <c r="C130" s="68" t="s">
        <v>336</v>
      </c>
      <c r="D130" s="87" t="s">
        <v>330</v>
      </c>
      <c r="E130" s="87"/>
      <c r="F130" s="87"/>
      <c r="G130" s="87"/>
      <c r="H130" s="87"/>
      <c r="I130" s="87"/>
      <c r="J130" s="87"/>
      <c r="K130" s="87"/>
    </row>
    <row r="131" spans="1:11">
      <c r="A131" s="63"/>
      <c r="B131" s="68">
        <v>12</v>
      </c>
      <c r="C131" s="68" t="s">
        <v>337</v>
      </c>
      <c r="D131" s="87" t="s">
        <v>313</v>
      </c>
      <c r="E131" s="87"/>
      <c r="F131" s="87"/>
      <c r="G131" s="87"/>
      <c r="H131" s="87"/>
      <c r="I131" s="87"/>
      <c r="J131" s="87"/>
      <c r="K131" s="87"/>
    </row>
    <row r="133" ht="22.5" spans="1:11">
      <c r="A133" s="84" t="s">
        <v>338</v>
      </c>
      <c r="B133" s="84"/>
      <c r="C133" s="84"/>
      <c r="D133" s="84"/>
      <c r="E133" s="84"/>
      <c r="F133" s="84"/>
      <c r="G133" s="84"/>
      <c r="H133" s="84"/>
      <c r="I133" s="84"/>
      <c r="J133" s="84"/>
      <c r="K133" s="84"/>
    </row>
    <row r="134" ht="13.5" spans="1:11">
      <c r="A134" s="63" t="s">
        <v>272</v>
      </c>
      <c r="B134" s="85" t="s">
        <v>315</v>
      </c>
      <c r="C134" s="85"/>
      <c r="D134" s="85"/>
      <c r="E134" s="85"/>
      <c r="F134" s="85"/>
      <c r="G134" s="85"/>
      <c r="H134" s="85"/>
      <c r="I134" s="85"/>
      <c r="J134" s="85"/>
      <c r="K134" s="85"/>
    </row>
    <row r="135" ht="13.5" spans="1:11">
      <c r="A135" s="63"/>
      <c r="B135" s="85"/>
      <c r="C135" s="85"/>
      <c r="D135" s="85"/>
      <c r="E135" s="85"/>
      <c r="F135" s="85"/>
      <c r="G135" s="85"/>
      <c r="H135" s="85"/>
      <c r="I135" s="85"/>
      <c r="J135" s="85"/>
      <c r="K135" s="85"/>
    </row>
    <row r="136" ht="13.5" spans="1:11">
      <c r="A136" s="63"/>
      <c r="B136" s="85"/>
      <c r="C136" s="85"/>
      <c r="D136" s="85"/>
      <c r="E136" s="85"/>
      <c r="F136" s="85"/>
      <c r="G136" s="85"/>
      <c r="H136" s="85"/>
      <c r="I136" s="85"/>
      <c r="J136" s="85"/>
      <c r="K136" s="85"/>
    </row>
    <row r="137" ht="13.5" spans="1:11">
      <c r="A137" s="63"/>
      <c r="B137" s="85"/>
      <c r="C137" s="85"/>
      <c r="D137" s="85"/>
      <c r="E137" s="85"/>
      <c r="F137" s="85"/>
      <c r="G137" s="85"/>
      <c r="H137" s="85"/>
      <c r="I137" s="85"/>
      <c r="J137" s="85"/>
      <c r="K137" s="85"/>
    </row>
    <row r="138" ht="13.5" spans="1:11">
      <c r="A138" s="63"/>
      <c r="B138" s="85"/>
      <c r="C138" s="85"/>
      <c r="D138" s="85"/>
      <c r="E138" s="85"/>
      <c r="F138" s="85"/>
      <c r="G138" s="85"/>
      <c r="H138" s="85"/>
      <c r="I138" s="85"/>
      <c r="J138" s="85"/>
      <c r="K138" s="85"/>
    </row>
    <row r="139" ht="13.5" spans="1:11">
      <c r="A139" s="63"/>
      <c r="B139" s="85"/>
      <c r="C139" s="85"/>
      <c r="D139" s="85"/>
      <c r="E139" s="85"/>
      <c r="F139" s="85"/>
      <c r="G139" s="85"/>
      <c r="H139" s="85"/>
      <c r="I139" s="85"/>
      <c r="J139" s="85"/>
      <c r="K139" s="85"/>
    </row>
    <row r="140" ht="13.5" spans="1:11">
      <c r="A140" s="63" t="s">
        <v>274</v>
      </c>
      <c r="B140" s="85" t="s">
        <v>316</v>
      </c>
      <c r="C140" s="85"/>
      <c r="D140" s="85"/>
      <c r="E140" s="85"/>
      <c r="F140" s="85"/>
      <c r="G140" s="85"/>
      <c r="H140" s="85"/>
      <c r="I140" s="85"/>
      <c r="J140" s="85"/>
      <c r="K140" s="85"/>
    </row>
    <row r="141" ht="13.5" spans="1:11">
      <c r="A141" s="63"/>
      <c r="B141" s="85"/>
      <c r="C141" s="85"/>
      <c r="D141" s="85"/>
      <c r="E141" s="85"/>
      <c r="F141" s="85"/>
      <c r="G141" s="85"/>
      <c r="H141" s="85"/>
      <c r="I141" s="85"/>
      <c r="J141" s="85"/>
      <c r="K141" s="85"/>
    </row>
    <row r="142" ht="13.5" spans="1:11">
      <c r="A142" s="63"/>
      <c r="B142" s="85"/>
      <c r="C142" s="85"/>
      <c r="D142" s="85"/>
      <c r="E142" s="85"/>
      <c r="F142" s="85"/>
      <c r="G142" s="85"/>
      <c r="H142" s="85"/>
      <c r="I142" s="85"/>
      <c r="J142" s="85"/>
      <c r="K142" s="85"/>
    </row>
    <row r="143" ht="13.5" spans="1:11">
      <c r="A143" s="63"/>
      <c r="B143" s="85"/>
      <c r="C143" s="85"/>
      <c r="D143" s="85"/>
      <c r="E143" s="85"/>
      <c r="F143" s="85"/>
      <c r="G143" s="85"/>
      <c r="H143" s="85"/>
      <c r="I143" s="85"/>
      <c r="J143" s="85"/>
      <c r="K143" s="85"/>
    </row>
    <row r="144" ht="13.5" spans="1:11">
      <c r="A144" s="63"/>
      <c r="B144" s="85"/>
      <c r="C144" s="85"/>
      <c r="D144" s="85"/>
      <c r="E144" s="85"/>
      <c r="F144" s="85"/>
      <c r="G144" s="85"/>
      <c r="H144" s="85"/>
      <c r="I144" s="85"/>
      <c r="J144" s="85"/>
      <c r="K144" s="85"/>
    </row>
    <row r="145" ht="13.5" spans="1:11">
      <c r="A145" s="63"/>
      <c r="B145" s="85"/>
      <c r="C145" s="85"/>
      <c r="D145" s="85"/>
      <c r="E145" s="85"/>
      <c r="F145" s="85"/>
      <c r="G145" s="85"/>
      <c r="H145" s="85"/>
      <c r="I145" s="85"/>
      <c r="J145" s="85"/>
      <c r="K145" s="85"/>
    </row>
    <row r="146" ht="13.5" spans="1:11">
      <c r="A146" s="85" t="s">
        <v>276</v>
      </c>
      <c r="B146" s="85" t="s">
        <v>317</v>
      </c>
      <c r="C146" s="85"/>
      <c r="D146" s="85"/>
      <c r="E146" s="85"/>
      <c r="F146" s="85"/>
      <c r="G146" s="85"/>
      <c r="H146" s="85"/>
      <c r="I146" s="85"/>
      <c r="J146" s="85"/>
      <c r="K146" s="85"/>
    </row>
    <row r="147" ht="13.5" spans="1:1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</row>
    <row r="148" ht="13.5" spans="1:1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</row>
    <row r="149" ht="13.5" spans="1:1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</row>
    <row r="150" ht="13.5" spans="1:11">
      <c r="A150" s="86"/>
      <c r="B150" s="85"/>
      <c r="C150" s="85"/>
      <c r="D150" s="85"/>
      <c r="E150" s="85"/>
      <c r="F150" s="85"/>
      <c r="G150" s="85"/>
      <c r="H150" s="85"/>
      <c r="I150" s="85"/>
      <c r="J150" s="85"/>
      <c r="K150" s="85"/>
    </row>
    <row r="151" ht="13.5" spans="1:11">
      <c r="A151" s="86"/>
      <c r="B151" s="85"/>
      <c r="C151" s="85"/>
      <c r="D151" s="85"/>
      <c r="E151" s="85"/>
      <c r="F151" s="85"/>
      <c r="G151" s="85"/>
      <c r="H151" s="85"/>
      <c r="I151" s="85"/>
      <c r="J151" s="85"/>
      <c r="K151" s="85"/>
    </row>
    <row r="152" spans="1:11">
      <c r="A152" s="63" t="s">
        <v>278</v>
      </c>
      <c r="B152" s="68" t="s">
        <v>279</v>
      </c>
      <c r="C152" s="68" t="s">
        <v>280</v>
      </c>
      <c r="D152" s="68" t="s">
        <v>281</v>
      </c>
      <c r="E152" s="68"/>
      <c r="F152" s="68"/>
      <c r="G152" s="68"/>
      <c r="H152" s="68"/>
      <c r="I152" s="68"/>
      <c r="J152" s="68"/>
      <c r="K152" s="68"/>
    </row>
    <row r="153" spans="1:11">
      <c r="A153" s="63"/>
      <c r="B153" s="68">
        <v>1</v>
      </c>
      <c r="C153" s="68" t="s">
        <v>318</v>
      </c>
      <c r="D153" s="87" t="s">
        <v>319</v>
      </c>
      <c r="E153" s="87"/>
      <c r="F153" s="87"/>
      <c r="G153" s="87"/>
      <c r="H153" s="87"/>
      <c r="I153" s="87"/>
      <c r="J153" s="87"/>
      <c r="K153" s="87"/>
    </row>
    <row r="154" spans="1:11">
      <c r="A154" s="63"/>
      <c r="B154" s="68">
        <v>2</v>
      </c>
      <c r="C154" s="68" t="s">
        <v>285</v>
      </c>
      <c r="D154" s="87" t="s">
        <v>320</v>
      </c>
      <c r="E154" s="87"/>
      <c r="F154" s="87"/>
      <c r="G154" s="87"/>
      <c r="H154" s="87"/>
      <c r="I154" s="87"/>
      <c r="J154" s="87"/>
      <c r="K154" s="87"/>
    </row>
    <row r="155" spans="1:11">
      <c r="A155" s="63"/>
      <c r="B155" s="68">
        <v>3</v>
      </c>
      <c r="C155" s="88" t="s">
        <v>321</v>
      </c>
      <c r="D155" s="82" t="s">
        <v>322</v>
      </c>
      <c r="E155" s="83"/>
      <c r="F155" s="83"/>
      <c r="G155" s="83"/>
      <c r="H155" s="83"/>
      <c r="I155" s="83"/>
      <c r="J155" s="83"/>
      <c r="K155" s="93"/>
    </row>
    <row r="156" spans="1:11">
      <c r="A156" s="63"/>
      <c r="B156" s="68">
        <v>4</v>
      </c>
      <c r="C156" s="88" t="s">
        <v>323</v>
      </c>
      <c r="D156" s="82" t="s">
        <v>324</v>
      </c>
      <c r="E156" s="83"/>
      <c r="F156" s="83"/>
      <c r="G156" s="83"/>
      <c r="H156" s="83"/>
      <c r="I156" s="83"/>
      <c r="J156" s="83"/>
      <c r="K156" s="93"/>
    </row>
    <row r="157" spans="1:11">
      <c r="A157" s="63"/>
      <c r="B157" s="68">
        <v>5</v>
      </c>
      <c r="C157" s="68" t="s">
        <v>325</v>
      </c>
      <c r="D157" s="89" t="s">
        <v>326</v>
      </c>
      <c r="E157" s="89"/>
      <c r="F157" s="89"/>
      <c r="G157" s="89"/>
      <c r="H157" s="89"/>
      <c r="I157" s="89"/>
      <c r="J157" s="89"/>
      <c r="K157" s="89"/>
    </row>
    <row r="158" spans="1:11">
      <c r="A158" s="63"/>
      <c r="B158" s="68">
        <v>6</v>
      </c>
      <c r="C158" s="68" t="s">
        <v>327</v>
      </c>
      <c r="D158" s="89" t="s">
        <v>328</v>
      </c>
      <c r="E158" s="89"/>
      <c r="F158" s="89"/>
      <c r="G158" s="89"/>
      <c r="H158" s="89"/>
      <c r="I158" s="89"/>
      <c r="J158" s="89"/>
      <c r="K158" s="89"/>
    </row>
    <row r="159" spans="1:11">
      <c r="A159" s="63"/>
      <c r="B159" s="68">
        <v>7</v>
      </c>
      <c r="C159" s="68" t="s">
        <v>329</v>
      </c>
      <c r="D159" s="87" t="s">
        <v>330</v>
      </c>
      <c r="E159" s="87"/>
      <c r="F159" s="87"/>
      <c r="G159" s="87"/>
      <c r="H159" s="87"/>
      <c r="I159" s="87"/>
      <c r="J159" s="87"/>
      <c r="K159" s="87"/>
    </row>
    <row r="160" spans="1:11">
      <c r="A160" s="63"/>
      <c r="B160" s="68">
        <v>8</v>
      </c>
      <c r="C160" s="68" t="s">
        <v>331</v>
      </c>
      <c r="D160" s="87" t="s">
        <v>332</v>
      </c>
      <c r="E160" s="87"/>
      <c r="F160" s="87"/>
      <c r="G160" s="87"/>
      <c r="H160" s="87"/>
      <c r="I160" s="87"/>
      <c r="J160" s="87"/>
      <c r="K160" s="87"/>
    </row>
    <row r="161" spans="1:11">
      <c r="A161" s="63"/>
      <c r="B161" s="68">
        <v>9</v>
      </c>
      <c r="C161" s="68" t="s">
        <v>333</v>
      </c>
      <c r="D161" s="89" t="s">
        <v>334</v>
      </c>
      <c r="E161" s="89"/>
      <c r="F161" s="89"/>
      <c r="G161" s="89"/>
      <c r="H161" s="89"/>
      <c r="I161" s="89"/>
      <c r="J161" s="89"/>
      <c r="K161" s="89"/>
    </row>
    <row r="162" spans="1:11">
      <c r="A162" s="63"/>
      <c r="B162" s="68">
        <v>10</v>
      </c>
      <c r="C162" s="68" t="s">
        <v>335</v>
      </c>
      <c r="D162" s="87" t="s">
        <v>322</v>
      </c>
      <c r="E162" s="87"/>
      <c r="F162" s="87"/>
      <c r="G162" s="87"/>
      <c r="H162" s="87"/>
      <c r="I162" s="87"/>
      <c r="J162" s="87"/>
      <c r="K162" s="87"/>
    </row>
    <row r="163" spans="1:11">
      <c r="A163" s="63"/>
      <c r="B163" s="68">
        <v>11</v>
      </c>
      <c r="C163" s="68" t="s">
        <v>336</v>
      </c>
      <c r="D163" s="87" t="s">
        <v>330</v>
      </c>
      <c r="E163" s="87"/>
      <c r="F163" s="87"/>
      <c r="G163" s="87"/>
      <c r="H163" s="87"/>
      <c r="I163" s="87"/>
      <c r="J163" s="87"/>
      <c r="K163" s="87"/>
    </row>
    <row r="164" spans="1:11">
      <c r="A164" s="63"/>
      <c r="B164" s="68">
        <v>12</v>
      </c>
      <c r="C164" s="68" t="s">
        <v>337</v>
      </c>
      <c r="D164" s="87" t="s">
        <v>313</v>
      </c>
      <c r="E164" s="87"/>
      <c r="F164" s="87"/>
      <c r="G164" s="87"/>
      <c r="H164" s="87"/>
      <c r="I164" s="87"/>
      <c r="J164" s="87"/>
      <c r="K164" s="87"/>
    </row>
  </sheetData>
  <mergeCells count="178">
    <mergeCell ref="A2:B2"/>
    <mergeCell ref="A7:B7"/>
    <mergeCell ref="L8:P8"/>
    <mergeCell ref="A18:B18"/>
    <mergeCell ref="A64:L64"/>
    <mergeCell ref="C86:D86"/>
    <mergeCell ref="E86:L86"/>
    <mergeCell ref="C87:D87"/>
    <mergeCell ref="E87:L87"/>
    <mergeCell ref="C88:D88"/>
    <mergeCell ref="E88:L88"/>
    <mergeCell ref="C91:D91"/>
    <mergeCell ref="E91:L91"/>
    <mergeCell ref="C92:D92"/>
    <mergeCell ref="E92:L92"/>
    <mergeCell ref="C93:D93"/>
    <mergeCell ref="E93:L93"/>
    <mergeCell ref="C94:D94"/>
    <mergeCell ref="E94:L94"/>
    <mergeCell ref="C95:D95"/>
    <mergeCell ref="E95:L95"/>
    <mergeCell ref="C96:D96"/>
    <mergeCell ref="E96:L96"/>
    <mergeCell ref="C97:D97"/>
    <mergeCell ref="E97:L97"/>
    <mergeCell ref="C98:D98"/>
    <mergeCell ref="E98:L98"/>
    <mergeCell ref="A100:K100"/>
    <mergeCell ref="D119:K119"/>
    <mergeCell ref="D120:K120"/>
    <mergeCell ref="D121:K121"/>
    <mergeCell ref="D122:K122"/>
    <mergeCell ref="D123:K123"/>
    <mergeCell ref="D124:K124"/>
    <mergeCell ref="D125:K125"/>
    <mergeCell ref="D126:K126"/>
    <mergeCell ref="D127:K127"/>
    <mergeCell ref="D128:K128"/>
    <mergeCell ref="D129:K129"/>
    <mergeCell ref="D130:K130"/>
    <mergeCell ref="D131:K131"/>
    <mergeCell ref="A133:K133"/>
    <mergeCell ref="D152:K152"/>
    <mergeCell ref="D153:K153"/>
    <mergeCell ref="D154:K154"/>
    <mergeCell ref="D155:K155"/>
    <mergeCell ref="D156:K156"/>
    <mergeCell ref="D157:K157"/>
    <mergeCell ref="D158:K158"/>
    <mergeCell ref="D159:K159"/>
    <mergeCell ref="D160:K160"/>
    <mergeCell ref="D161:K161"/>
    <mergeCell ref="D162:K162"/>
    <mergeCell ref="D163:K163"/>
    <mergeCell ref="D164:K164"/>
    <mergeCell ref="A8:A9"/>
    <mergeCell ref="A11:A13"/>
    <mergeCell ref="A14:A15"/>
    <mergeCell ref="A19:A20"/>
    <mergeCell ref="A21:A26"/>
    <mergeCell ref="A27:A40"/>
    <mergeCell ref="A41:A50"/>
    <mergeCell ref="A51:A54"/>
    <mergeCell ref="A55:A58"/>
    <mergeCell ref="A59:A62"/>
    <mergeCell ref="A65:A73"/>
    <mergeCell ref="A74:A76"/>
    <mergeCell ref="A77:A81"/>
    <mergeCell ref="A82:A85"/>
    <mergeCell ref="A86:A98"/>
    <mergeCell ref="A101:A106"/>
    <mergeCell ref="A107:A112"/>
    <mergeCell ref="A113:A118"/>
    <mergeCell ref="A119:A131"/>
    <mergeCell ref="A134:A139"/>
    <mergeCell ref="A140:A145"/>
    <mergeCell ref="A146:A151"/>
    <mergeCell ref="A152:A164"/>
    <mergeCell ref="B8:B9"/>
    <mergeCell ref="B19:B20"/>
    <mergeCell ref="B21:B26"/>
    <mergeCell ref="B27:B36"/>
    <mergeCell ref="B37:B40"/>
    <mergeCell ref="B41:B44"/>
    <mergeCell ref="C8:C9"/>
    <mergeCell ref="C19:C20"/>
    <mergeCell ref="C29:C32"/>
    <mergeCell ref="C33:C35"/>
    <mergeCell ref="C38:C40"/>
    <mergeCell ref="C43:C44"/>
    <mergeCell ref="D8:D9"/>
    <mergeCell ref="D19:D20"/>
    <mergeCell ref="D21:D26"/>
    <mergeCell ref="D27:D36"/>
    <mergeCell ref="D37:D40"/>
    <mergeCell ref="D41:D50"/>
    <mergeCell ref="D51:D54"/>
    <mergeCell ref="D55:D58"/>
    <mergeCell ref="D59:D62"/>
    <mergeCell ref="E8:E9"/>
    <mergeCell ref="E19:E20"/>
    <mergeCell ref="E21:E26"/>
    <mergeCell ref="E27:E36"/>
    <mergeCell ref="E37:E40"/>
    <mergeCell ref="E41:E50"/>
    <mergeCell ref="E51:E54"/>
    <mergeCell ref="E55:E58"/>
    <mergeCell ref="E59:E62"/>
    <mergeCell ref="F8:F9"/>
    <mergeCell ref="F19:F20"/>
    <mergeCell ref="F21:F26"/>
    <mergeCell ref="F27:F36"/>
    <mergeCell ref="F37:F40"/>
    <mergeCell ref="F41:F50"/>
    <mergeCell ref="F51:F54"/>
    <mergeCell ref="F55:F58"/>
    <mergeCell ref="F59:F62"/>
    <mergeCell ref="G8:G9"/>
    <mergeCell ref="G19:G20"/>
    <mergeCell ref="G21:G26"/>
    <mergeCell ref="G51:G54"/>
    <mergeCell ref="H8:H9"/>
    <mergeCell ref="H19:H20"/>
    <mergeCell ref="H21:H26"/>
    <mergeCell ref="H27:H36"/>
    <mergeCell ref="H37:H40"/>
    <mergeCell ref="H41:H50"/>
    <mergeCell ref="H51:H54"/>
    <mergeCell ref="H55:H58"/>
    <mergeCell ref="H59:H62"/>
    <mergeCell ref="I8:I9"/>
    <mergeCell ref="I19:I20"/>
    <mergeCell ref="I21:I26"/>
    <mergeCell ref="I27:I36"/>
    <mergeCell ref="I37:I40"/>
    <mergeCell ref="I41:I50"/>
    <mergeCell ref="I51:I54"/>
    <mergeCell ref="I55:I58"/>
    <mergeCell ref="I59:I62"/>
    <mergeCell ref="J8:J9"/>
    <mergeCell ref="J19:J20"/>
    <mergeCell ref="J21:J26"/>
    <mergeCell ref="J27:J36"/>
    <mergeCell ref="J37:J40"/>
    <mergeCell ref="J41:J50"/>
    <mergeCell ref="J51:J54"/>
    <mergeCell ref="J55:J58"/>
    <mergeCell ref="J59:J62"/>
    <mergeCell ref="K8:K9"/>
    <mergeCell ref="K19:K20"/>
    <mergeCell ref="K21:K26"/>
    <mergeCell ref="K27:K36"/>
    <mergeCell ref="K37:K40"/>
    <mergeCell ref="K41:K50"/>
    <mergeCell ref="K51:K54"/>
    <mergeCell ref="K55:K58"/>
    <mergeCell ref="K59:K62"/>
    <mergeCell ref="L19:L20"/>
    <mergeCell ref="L21:L26"/>
    <mergeCell ref="L27:L36"/>
    <mergeCell ref="L37:L40"/>
    <mergeCell ref="L41:L50"/>
    <mergeCell ref="L51:L54"/>
    <mergeCell ref="L55:L58"/>
    <mergeCell ref="L59:L62"/>
    <mergeCell ref="Q8:Q9"/>
    <mergeCell ref="B146:K151"/>
    <mergeCell ref="B82:L85"/>
    <mergeCell ref="E89:L90"/>
    <mergeCell ref="B77:L81"/>
    <mergeCell ref="B65:L73"/>
    <mergeCell ref="B74:L76"/>
    <mergeCell ref="B140:K145"/>
    <mergeCell ref="B134:K139"/>
    <mergeCell ref="B107:K112"/>
    <mergeCell ref="B113:K118"/>
    <mergeCell ref="B101:K106"/>
    <mergeCell ref="C89:D9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M38"/>
  <sheetViews>
    <sheetView tabSelected="1" zoomScale="55" zoomScaleNormal="55" workbookViewId="0">
      <selection activeCell="O22" sqref="O22"/>
    </sheetView>
  </sheetViews>
  <sheetFormatPr defaultColWidth="9" defaultRowHeight="16.5"/>
  <cols>
    <col min="1" max="1" width="9.775" style="2" customWidth="1"/>
    <col min="2" max="2" width="13.1083333333333" style="2" customWidth="1"/>
    <col min="3" max="3" width="19.2166666666667" style="2" customWidth="1"/>
    <col min="4" max="5" width="8.775" style="2"/>
    <col min="6" max="6" width="16" style="2" customWidth="1"/>
    <col min="7" max="9" width="8.775" style="2"/>
    <col min="10" max="10" width="19.6666666666667" style="2" customWidth="1"/>
    <col min="11" max="11" width="8.10833333333333" style="2" customWidth="1"/>
    <col min="12" max="12" width="8.775" style="2"/>
    <col min="13" max="13" width="42.2166666666667" style="1" customWidth="1"/>
    <col min="14" max="16384" width="8.775" style="2"/>
  </cols>
  <sheetData>
    <row r="1" customFormat="1" ht="13.5" spans="1:1">
      <c r="A1" s="3"/>
    </row>
    <row r="2" s="1" customFormat="1" ht="30" spans="1:13">
      <c r="A2" s="4" t="s">
        <v>279</v>
      </c>
      <c r="B2" s="4" t="s">
        <v>339</v>
      </c>
      <c r="C2" s="4" t="s">
        <v>340</v>
      </c>
      <c r="D2" s="5" t="s">
        <v>341</v>
      </c>
      <c r="E2" s="5" t="s">
        <v>342</v>
      </c>
      <c r="F2" s="5" t="s">
        <v>343</v>
      </c>
      <c r="G2" s="6" t="s">
        <v>344</v>
      </c>
      <c r="H2" s="5" t="s">
        <v>168</v>
      </c>
      <c r="I2" s="6" t="s">
        <v>345</v>
      </c>
      <c r="J2" s="5" t="s">
        <v>346</v>
      </c>
      <c r="K2" s="5" t="s">
        <v>347</v>
      </c>
      <c r="L2" s="5" t="s">
        <v>348</v>
      </c>
      <c r="M2" s="5" t="s">
        <v>349</v>
      </c>
    </row>
    <row r="3" s="1" customFormat="1" spans="1:13">
      <c r="A3" s="1">
        <v>1</v>
      </c>
      <c r="B3" s="1">
        <v>3</v>
      </c>
      <c r="C3" s="1" t="s">
        <v>350</v>
      </c>
      <c r="D3" s="1" t="s">
        <v>351</v>
      </c>
      <c r="E3" s="1" t="s">
        <v>352</v>
      </c>
      <c r="F3" s="7">
        <v>43667</v>
      </c>
      <c r="G3" s="1">
        <v>2</v>
      </c>
      <c r="H3" t="s">
        <v>353</v>
      </c>
      <c r="I3" s="1" t="s">
        <v>354</v>
      </c>
      <c r="J3" s="1" t="s">
        <v>355</v>
      </c>
      <c r="K3" s="1">
        <v>1</v>
      </c>
      <c r="L3" s="1" t="s">
        <v>356</v>
      </c>
      <c r="M3" s="1" t="s">
        <v>357</v>
      </c>
    </row>
    <row r="4" spans="6:11">
      <c r="F4" s="8"/>
      <c r="H4" s="9"/>
      <c r="I4" s="2" t="s">
        <v>354</v>
      </c>
      <c r="K4" s="2">
        <v>1</v>
      </c>
    </row>
    <row r="5" spans="3:11">
      <c r="C5" s="8"/>
      <c r="F5" s="8"/>
      <c r="H5" s="9"/>
      <c r="I5" s="2" t="s">
        <v>79</v>
      </c>
      <c r="K5" s="2">
        <v>1</v>
      </c>
    </row>
    <row r="6" spans="3:13">
      <c r="C6" s="8"/>
      <c r="E6" s="9"/>
      <c r="I6" s="2" t="s">
        <v>358</v>
      </c>
      <c r="K6" s="2">
        <v>1</v>
      </c>
      <c r="M6" s="2"/>
    </row>
    <row r="7" spans="1:13">
      <c r="A7" t="s">
        <v>359</v>
      </c>
      <c r="B7" t="s">
        <v>360</v>
      </c>
      <c r="C7" s="10" t="s">
        <v>361</v>
      </c>
      <c r="E7" s="9"/>
      <c r="I7" s="2" t="s">
        <v>358</v>
      </c>
      <c r="K7" s="2">
        <v>1</v>
      </c>
      <c r="M7" s="2"/>
    </row>
    <row r="8" spans="1:13">
      <c r="A8" s="11" t="s">
        <v>354</v>
      </c>
      <c r="B8">
        <v>2</v>
      </c>
      <c r="C8" s="12">
        <v>0.181818181818182</v>
      </c>
      <c r="E8" s="9"/>
      <c r="I8" s="2" t="s">
        <v>362</v>
      </c>
      <c r="K8" s="2">
        <v>1</v>
      </c>
      <c r="M8" s="2"/>
    </row>
    <row r="9" spans="1:13">
      <c r="A9" s="11" t="s">
        <v>79</v>
      </c>
      <c r="B9">
        <v>1</v>
      </c>
      <c r="C9" s="12">
        <v>0.0909090909090909</v>
      </c>
      <c r="E9" s="9"/>
      <c r="I9" s="2" t="s">
        <v>362</v>
      </c>
      <c r="K9" s="2">
        <v>1</v>
      </c>
      <c r="M9" s="2"/>
    </row>
    <row r="10" spans="1:13">
      <c r="A10" s="11" t="s">
        <v>358</v>
      </c>
      <c r="B10">
        <v>2</v>
      </c>
      <c r="C10" s="12">
        <v>0.181818181818182</v>
      </c>
      <c r="E10" s="9"/>
      <c r="I10" s="2" t="s">
        <v>363</v>
      </c>
      <c r="K10" s="2">
        <v>1</v>
      </c>
      <c r="M10" s="2"/>
    </row>
    <row r="11" spans="1:13">
      <c r="A11" s="11" t="s">
        <v>362</v>
      </c>
      <c r="B11">
        <v>2</v>
      </c>
      <c r="C11" s="12">
        <v>0.181818181818182</v>
      </c>
      <c r="E11" s="9"/>
      <c r="I11" s="2" t="s">
        <v>364</v>
      </c>
      <c r="K11" s="2">
        <v>1</v>
      </c>
      <c r="M11" s="2"/>
    </row>
    <row r="12" spans="1:13">
      <c r="A12" s="11" t="s">
        <v>363</v>
      </c>
      <c r="B12">
        <v>1</v>
      </c>
      <c r="C12" s="12">
        <v>0.0909090909090909</v>
      </c>
      <c r="E12" s="9"/>
      <c r="I12" s="2" t="s">
        <v>365</v>
      </c>
      <c r="K12" s="2">
        <v>1</v>
      </c>
      <c r="M12" s="2"/>
    </row>
    <row r="13" spans="1:13">
      <c r="A13" s="11" t="s">
        <v>364</v>
      </c>
      <c r="B13">
        <v>1</v>
      </c>
      <c r="C13" s="12">
        <v>0.0909090909090909</v>
      </c>
      <c r="E13" s="9"/>
      <c r="I13" s="2" t="s">
        <v>365</v>
      </c>
      <c r="K13" s="2">
        <v>1</v>
      </c>
      <c r="M13" s="2"/>
    </row>
    <row r="14" spans="1:13">
      <c r="A14" s="11" t="s">
        <v>365</v>
      </c>
      <c r="B14">
        <v>2</v>
      </c>
      <c r="C14" s="12">
        <v>0.181818181818182</v>
      </c>
      <c r="E14" s="9"/>
      <c r="F14" s="1"/>
      <c r="M14" s="2"/>
    </row>
    <row r="15" spans="1:13">
      <c r="A15" s="11" t="s">
        <v>366</v>
      </c>
      <c r="B15">
        <v>11</v>
      </c>
      <c r="C15" s="12">
        <v>1</v>
      </c>
      <c r="E15" s="9"/>
      <c r="F15" s="1"/>
      <c r="M15" s="2"/>
    </row>
    <row r="16" spans="3:13">
      <c r="C16" s="8"/>
      <c r="E16" s="9"/>
      <c r="F16" s="1"/>
      <c r="M16" s="2"/>
    </row>
    <row r="17" spans="3:13">
      <c r="C17" s="8"/>
      <c r="E17" s="9"/>
      <c r="F17" s="1"/>
      <c r="M17" s="2"/>
    </row>
    <row r="18" spans="3:13">
      <c r="C18" s="8"/>
      <c r="E18" s="9"/>
      <c r="F18" s="1"/>
      <c r="M18" s="2"/>
    </row>
    <row r="19" spans="3:13">
      <c r="C19" s="8"/>
      <c r="D19" s="9"/>
      <c r="M19" s="2"/>
    </row>
    <row r="20" spans="3:13">
      <c r="C20" s="8"/>
      <c r="D20" s="9"/>
      <c r="M20" s="2"/>
    </row>
    <row r="21" spans="3:13">
      <c r="C21" s="8"/>
      <c r="D21" s="9"/>
      <c r="M21" s="2"/>
    </row>
    <row r="22" spans="3:13">
      <c r="C22" s="8"/>
      <c r="D22" s="9"/>
      <c r="M22" s="2"/>
    </row>
    <row r="23" spans="3:13">
      <c r="C23" s="8"/>
      <c r="D23" s="9"/>
      <c r="M23" s="2"/>
    </row>
    <row r="24" spans="4:13">
      <c r="D24" s="9"/>
      <c r="M24" s="2"/>
    </row>
    <row r="25" spans="4:13">
      <c r="D25" s="9"/>
      <c r="M25" s="2"/>
    </row>
    <row r="26" spans="4:13">
      <c r="D26" s="9"/>
      <c r="M26" s="2"/>
    </row>
    <row r="27" spans="4:13">
      <c r="D27" s="9"/>
      <c r="M27" s="2"/>
    </row>
    <row r="28" spans="5:13">
      <c r="E28" s="9"/>
      <c r="F28" s="1"/>
      <c r="M28" s="2"/>
    </row>
    <row r="29" spans="5:13">
      <c r="E29" s="9"/>
      <c r="F29" s="1"/>
      <c r="M29" s="2"/>
    </row>
    <row r="30" spans="5:13">
      <c r="E30" s="9"/>
      <c r="J30" s="1"/>
      <c r="M30" s="2"/>
    </row>
    <row r="31" spans="5:13">
      <c r="E31" s="9"/>
      <c r="J31" s="1"/>
      <c r="M31" s="2"/>
    </row>
    <row r="32" spans="5:13">
      <c r="E32" s="9"/>
      <c r="J32" s="1"/>
      <c r="M32" s="2"/>
    </row>
    <row r="33" spans="5:13">
      <c r="E33" s="9"/>
      <c r="J33" s="1"/>
      <c r="M33" s="2"/>
    </row>
    <row r="34" spans="5:13">
      <c r="E34" s="9"/>
      <c r="J34" s="1"/>
      <c r="M34" s="2"/>
    </row>
    <row r="35" spans="5:13">
      <c r="E35" s="9"/>
      <c r="J35" s="1"/>
      <c r="M35" s="2"/>
    </row>
    <row r="36" spans="1:8">
      <c r="A36"/>
      <c r="B36"/>
      <c r="C36"/>
      <c r="F36" s="8"/>
      <c r="H36" s="9"/>
    </row>
    <row r="37" spans="1:8">
      <c r="A37" s="13"/>
      <c r="F37" s="8"/>
      <c r="H37" s="9"/>
    </row>
    <row r="38" spans="1:8">
      <c r="A38" s="13"/>
      <c r="F38" s="8"/>
      <c r="H38" s="9"/>
    </row>
  </sheetData>
  <conditionalFormatting sqref="C8:C15">
    <cfRule type="dataBar" priority="32767">
      <dataBar>
        <cfvo type="min"/>
        <cfvo type="max"/>
        <color rgb="FF000000"/>
      </dataBar>
      <extLst>
        <ext xmlns:x14="http://schemas.microsoft.com/office/spreadsheetml/2009/9/main" uri="{B025F937-C7B1-47D3-B67F-A62EFF666E3E}">
          <x14:id>{ae89d427-485f-4112-80cf-0c336d4400a2}</x14:id>
        </ext>
      </extLst>
    </cfRule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{5b2f1b3b-adb0-41a8-a6ea-6b0a7f9770a9}</x14:id>
        </ext>
      </extLst>
    </cfRule>
  </conditionalFormatting>
  <pageMargins left="0.699305555555556" right="0.699305555555556" top="0.75" bottom="0.75" header="0.3" footer="0.3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89d427-485f-4112-80cf-0c336d4400a2}">
            <x14:dataBar minLength="10" maxLength="90" negativeBarColorSameAsPositive="1" axisPosition="none">
              <x14:cfvo type="autoMin"/>
              <x14:cfvo type="autoMax"/>
              <x14:axisColor indexed="65"/>
            </x14:dataBar>
          </x14:cfRule>
          <x14:cfRule type="dataBar" id="{5b2f1b3b-adb0-41a8-a6ea-6b0a7f9770a9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C8:C15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���ech�e�^�ech0qQ�N�[a��Q�[{|�Wh��
</file>

<file path=customXml/item3.xml>��
</file>

<file path=customXml/itemProps1.xml><?xml version="1.0" encoding="utf-8"?>
<ds:datastoreItem xmlns:ds="http://schemas.openxmlformats.org/officeDocument/2006/customXml" ds:itemID="{07D45404-A290-4DD5-A5A1-368F73A6228B}">
  <ds:schemaRefs/>
</ds:datastoreItem>
</file>

<file path=customXml/itemProps2.xml><?xml version="1.0" encoding="utf-8"?>
<ds:datastoreItem xmlns:ds="http://schemas.openxmlformats.org/officeDocument/2006/customXml" ds:itemID="{23F06479-8084-4753-9ED0-F6FE760D3C04}">
  <ds:schemaRefs/>
</ds:datastoreItem>
</file>

<file path=customXml/itemProps3.xml><?xml version="1.0" encoding="utf-8"?>
<ds:datastoreItem xmlns:ds="http://schemas.openxmlformats.org/officeDocument/2006/customXml" ds:itemID="{2E97B2FD-74C9-41B8-B620-3A0F6BBFB6E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Kingsoft Office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Sheet1年度销售额计划及月度产品上线规划</vt:lpstr>
      <vt:lpstr>Sheet2店铺日常运营销售日报</vt:lpstr>
      <vt:lpstr>Sheet3重点产品运营策略</vt:lpstr>
      <vt:lpstr>Sheet4跟踪产品页面差评反馈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China</dc:creator>
  <cp:lastModifiedBy>CurlyPeng</cp:lastModifiedBy>
  <dcterms:created xsi:type="dcterms:W3CDTF">2019-10-21T02:51:00Z</dcterms:created>
  <dcterms:modified xsi:type="dcterms:W3CDTF">2021-08-19T03:54:44Z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0x010100F25F8608AEA6F6499EEA17A0531C0198</vt:lpwstr>
  </property>
  <property fmtid="{D5CDD505-2E9C-101B-9397-08002B2CF9AE}" pid="3" name="KSOProductBuildVer">
    <vt:lpwstr>2052-11.1.0.10700</vt:lpwstr>
  </property>
  <property fmtid="{D5CDD505-2E9C-101B-9397-08002B2CF9AE}" pid="4" name="ICV">
    <vt:lpwstr>D7F770FAF6C6406FBED0417F811B3B48</vt:lpwstr>
  </property>
</Properties>
</file>