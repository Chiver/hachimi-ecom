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<sst xmlns="http://schemas.openxmlformats.org/spreadsheetml/2006/main" count="21" uniqueCount="20">
  <si>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填表日期</t>
  </si>
  <si>
    <t>最近一批到货日期</t>
  </si>
  <si>
    <t>保证不断货到这天</t>
  </si>
  <si>
    <t>（填亚马逊后台）</t>
  </si>
  <si>
    <t>断货日期</t>
  </si>
  <si>
    <t>（填货件所含个数）</t>
  </si>
  <si>
    <t>若之前未卖空</t>
  </si>
  <si>
    <t>若之前已卖空</t>
  </si>
  <si>
    <t>保证不断货所需可售天数</t>
  </si>
  <si>
    <t>补货数量</t>
  </si>
  <si>
    <t>SKU</t>
  </si>
  <si>
    <t>7天销量</t>
  </si>
  <si>
    <t>平均日销量</t>
  </si>
  <si>
    <t>现有库存</t>
  </si>
  <si>
    <t>预计可售天数</t>
  </si>
  <si>
    <t>补货库存</t>
  </si>
  <si>
    <t>预估届时库存</t>
  </si>
  <si>
    <t>预计届时可售天数</t>
  </si>
  <si>
    <t>预计届时断货日期</t>
  </si>
  <si>
    <t>取整数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</si>
</sst>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  <numFmt numFmtId="177" formatCode="0_);[Red]\(0\)"/>
    <numFmt numFmtId="178" formatCode="0_ "/>
  </numFmts>
  <fonts count="24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829096346934"/>
        <bgColor indexed="64"/>
      </patternFill>
    </fill>
    <fill>
      <patternFill patternType="solid">
        <fgColor theme="4" tint="0.399822992645039"/>
        <bgColor indexed="64"/>
      </patternFill>
    </fill>
    <fill>
      <patternFill patternType="solid">
        <fgColor theme="0" tint="-0.149845881527146"/>
        <bgColor indexed="64"/>
      </patternFill>
    </fill>
    <fill>
      <patternFill patternType="solid">
        <fgColor theme="5" tint="0.79979857783745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399822992645039"/>
        <bgColor indexed="64"/>
      </patternFill>
    </fill>
    <fill>
      <patternFill patternType="solid">
        <fgColor theme="5" tint="0.3998535111545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3" borderId="1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4" borderId="16" applyNumberFormat="0" applyAlignment="0" applyProtection="0">
      <alignment vertical="center"/>
    </xf>
    <xf numFmtId="0" fontId="14" fillId="15" borderId="17" applyNumberFormat="0" applyAlignment="0" applyProtection="0">
      <alignment vertical="center"/>
    </xf>
    <xf numFmtId="0" fontId="15" fillId="15" borderId="16" applyNumberFormat="0" applyAlignment="0" applyProtection="0">
      <alignment vertical="center"/>
    </xf>
    <xf numFmtId="0" fontId="16" fillId="16" borderId="18" applyNumberFormat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14" fontId="0" fillId="3" borderId="1" xfId="0" applyNumberFormat="1" applyFill="1" applyBorder="1" applyAlignment="1">
      <alignment horizontal="center" vertical="center"/>
    </xf>
    <xf numFmtId="14" fontId="0" fillId="3" borderId="1" xfId="0" applyNumberFormat="1" applyFont="1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4" fontId="2" fillId="3" borderId="3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4" fontId="0" fillId="5" borderId="5" xfId="0" applyNumberForma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14" fontId="0" fillId="5" borderId="9" xfId="0" applyNumberForma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3" fillId="7" borderId="10" xfId="0" applyFont="1" applyFill="1" applyBorder="1" applyAlignment="1">
      <alignment horizontal="center" vertical="center"/>
    </xf>
    <xf numFmtId="0" fontId="4" fillId="7" borderId="0" xfId="0" applyFont="1" applyFill="1" applyBorder="1" applyAlignment="1">
      <alignment horizontal="center" vertical="center"/>
    </xf>
    <xf numFmtId="1" fontId="4" fillId="7" borderId="11" xfId="0" applyNumberFormat="1" applyFont="1" applyFill="1" applyBorder="1" applyAlignment="1">
      <alignment horizontal="center" vertical="center"/>
    </xf>
    <xf numFmtId="14" fontId="3" fillId="7" borderId="12" xfId="0" applyNumberFormat="1" applyFont="1" applyFill="1" applyBorder="1" applyAlignment="1">
      <alignment horizontal="center" vertical="center"/>
    </xf>
    <xf numFmtId="1" fontId="4" fillId="7" borderId="12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0" fontId="3" fillId="7" borderId="0" xfId="0" applyFont="1" applyFill="1" applyBorder="1" applyAlignment="1">
      <alignment horizontal="center" vertical="center"/>
    </xf>
    <xf numFmtId="14" fontId="3" fillId="8" borderId="12" xfId="0" applyNumberFormat="1" applyFont="1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3" fillId="9" borderId="0" xfId="0" applyFont="1" applyFill="1" applyBorder="1" applyAlignment="1">
      <alignment horizontal="center" vertical="center"/>
    </xf>
    <xf numFmtId="1" fontId="2" fillId="9" borderId="11" xfId="0" applyNumberFormat="1" applyFont="1" applyFill="1" applyBorder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14" fontId="0" fillId="9" borderId="12" xfId="0" applyNumberFormat="1" applyFill="1" applyBorder="1" applyAlignment="1">
      <alignment horizontal="center" vertical="center"/>
    </xf>
    <xf numFmtId="1" fontId="2" fillId="9" borderId="12" xfId="0" applyNumberFormat="1" applyFont="1" applyFill="1" applyBorder="1" applyAlignment="1">
      <alignment horizontal="center" vertical="center"/>
    </xf>
    <xf numFmtId="1" fontId="2" fillId="9" borderId="10" xfId="0" applyNumberFormat="1" applyFont="1" applyFill="1" applyBorder="1" applyAlignment="1">
      <alignment horizontal="center" vertical="center"/>
    </xf>
    <xf numFmtId="1" fontId="4" fillId="9" borderId="12" xfId="0" applyNumberFormat="1" applyFont="1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1" fontId="2" fillId="10" borderId="11" xfId="0" applyNumberFormat="1" applyFont="1" applyFill="1" applyBorder="1" applyAlignment="1">
      <alignment horizontal="center" vertical="center"/>
    </xf>
    <xf numFmtId="0" fontId="1" fillId="10" borderId="10" xfId="0" applyFont="1" applyFill="1" applyBorder="1" applyAlignment="1">
      <alignment horizontal="center" vertical="center"/>
    </xf>
    <xf numFmtId="14" fontId="0" fillId="8" borderId="12" xfId="0" applyNumberFormat="1" applyFill="1" applyBorder="1" applyAlignment="1">
      <alignment horizontal="center" vertical="center"/>
    </xf>
    <xf numFmtId="1" fontId="4" fillId="10" borderId="12" xfId="0" applyNumberFormat="1" applyFont="1" applyFill="1" applyBorder="1" applyAlignment="1">
      <alignment horizontal="center" vertical="center"/>
    </xf>
    <xf numFmtId="1" fontId="2" fillId="10" borderId="10" xfId="0" applyNumberFormat="1" applyFont="1" applyFill="1" applyBorder="1" applyAlignment="1">
      <alignment horizontal="center" vertical="center"/>
    </xf>
    <xf numFmtId="14" fontId="0" fillId="10" borderId="12" xfId="0" applyNumberFormat="1" applyFill="1" applyBorder="1" applyAlignment="1">
      <alignment horizontal="center" vertical="center"/>
    </xf>
    <xf numFmtId="14" fontId="3" fillId="10" borderId="12" xfId="0" applyNumberFormat="1" applyFont="1" applyFill="1" applyBorder="1" applyAlignment="1">
      <alignment horizontal="center" vertical="center"/>
    </xf>
    <xf numFmtId="176" fontId="2" fillId="10" borderId="11" xfId="0" applyNumberFormat="1" applyFont="1" applyFill="1" applyBorder="1" applyAlignment="1">
      <alignment horizontal="center" vertical="center"/>
    </xf>
    <xf numFmtId="14" fontId="0" fillId="5" borderId="5" xfId="0" applyNumberFormat="1" applyFill="1" applyBorder="1" applyAlignment="1">
      <alignment horizontal="center" vertical="center" wrapText="1"/>
    </xf>
    <xf numFmtId="0" fontId="0" fillId="11" borderId="5" xfId="0" applyFill="1" applyBorder="1" applyAlignment="1">
      <alignment horizontal="center" vertical="center"/>
    </xf>
    <xf numFmtId="14" fontId="0" fillId="5" borderId="9" xfId="0" applyNumberFormat="1" applyFill="1" applyBorder="1" applyAlignment="1">
      <alignment horizontal="center" vertical="center" wrapText="1"/>
    </xf>
    <xf numFmtId="0" fontId="0" fillId="11" borderId="9" xfId="0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77" fontId="0" fillId="7" borderId="10" xfId="0" applyNumberFormat="1" applyFill="1" applyBorder="1" applyAlignment="1">
      <alignment horizontal="center" vertical="center"/>
    </xf>
    <xf numFmtId="178" fontId="0" fillId="7" borderId="12" xfId="0" applyNumberForma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177" fontId="1" fillId="7" borderId="10" xfId="0" applyNumberFormat="1" applyFont="1" applyFill="1" applyBorder="1" applyAlignment="1">
      <alignment horizontal="center" vertical="center"/>
    </xf>
    <xf numFmtId="178" fontId="1" fillId="7" borderId="12" xfId="0" applyNumberFormat="1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" fillId="0" borderId="0" xfId="0" applyFont="1" applyFill="1">
      <alignment vertical="center"/>
    </xf>
    <xf numFmtId="0" fontId="0" fillId="7" borderId="12" xfId="0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177" fontId="0" fillId="9" borderId="10" xfId="0" applyNumberFormat="1" applyFill="1" applyBorder="1" applyAlignment="1">
      <alignment horizontal="center" vertical="center"/>
    </xf>
    <xf numFmtId="178" fontId="0" fillId="12" borderId="12" xfId="0" applyNumberFormat="1" applyFill="1" applyBorder="1" applyAlignment="1">
      <alignment horizontal="center" vertical="center"/>
    </xf>
    <xf numFmtId="177" fontId="0" fillId="10" borderId="10" xfId="0" applyNumberFormat="1" applyFill="1" applyBorder="1" applyAlignment="1">
      <alignment horizontal="center" vertical="center"/>
    </xf>
    <xf numFmtId="178" fontId="0" fillId="10" borderId="12" xfId="0" applyNumberForma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75"/>
  <sheetViews>
    <sheetView tabSelected="1" workbookViewId="0">
      <pane xSplit="1" ySplit="5" topLeftCell="B52" activePane="bottomRight" state="frozen"/>
      <selection/>
      <selection pane="topRight"/>
      <selection pane="bottomLeft"/>
      <selection pane="bottomRight" activeCell="B3" sqref="B3"/>
    </sheetView>
  </sheetViews>
  <sheetFormatPr defaultColWidth="8.83333333333333" defaultRowHeight="13.5"/>
  <cols>
    <col min="1" max="1" width="15" customWidth="1"/>
    <col min="2" max="2" width="15" style="4" customWidth="1"/>
    <col min="3" max="5" width="15" customWidth="1"/>
    <col min="6" max="6" width="15" style="5" customWidth="1"/>
    <col min="7" max="11" width="19.1666666666667" customWidth="1"/>
    <col min="12" max="12" width="17.1666666666667" style="5" customWidth="1"/>
    <col min="13" max="13" width="11.6666666666667" style="4" customWidth="1"/>
    <col min="15" max="24" width="8.83333333333333" style="5"/>
  </cols>
  <sheetData>
    <row r="1" ht="25" customHeight="1"/>
    <row r="2" ht="40" customHeight="1" spans="2:12">
      <c r="B2" s="6" t="s">
        <v>0</v>
      </c>
      <c r="G2" s="7" t="s">
        <v>1</v>
      </c>
      <c r="L2" s="7" t="s">
        <v>2</v>
      </c>
    </row>
    <row r="3" ht="40" customHeight="1" spans="2:12">
      <c r="B3" s="8">
        <v>45178</v>
      </c>
      <c r="F3"/>
      <c r="G3" s="8"/>
      <c r="L3" s="8"/>
    </row>
    <row r="4" ht="30" customHeight="1" spans="1:13">
      <c r="A4" s="9"/>
      <c r="B4" s="10"/>
      <c r="C4" s="11"/>
      <c r="D4" s="9" t="s">
        <v>3</v>
      </c>
      <c r="E4" s="11"/>
      <c r="F4" s="12" t="s">
        <v>4</v>
      </c>
      <c r="G4" s="13" t="s">
        <v>5</v>
      </c>
      <c r="H4" s="13" t="s">
        <v>6</v>
      </c>
      <c r="I4" s="13" t="s">
        <v>7</v>
      </c>
      <c r="J4" s="13"/>
      <c r="K4" s="13"/>
      <c r="L4" s="46" t="s">
        <v>8</v>
      </c>
      <c r="M4" s="47" t="s">
        <v>9</v>
      </c>
    </row>
    <row r="5" ht="30" customHeight="1" spans="1:14">
      <c r="A5" s="14" t="s">
        <v>10</v>
      </c>
      <c r="B5" s="15" t="s">
        <v>11</v>
      </c>
      <c r="C5" s="16" t="s">
        <v>12</v>
      </c>
      <c r="D5" s="14" t="s">
        <v>13</v>
      </c>
      <c r="E5" s="16" t="s">
        <v>14</v>
      </c>
      <c r="F5" s="17"/>
      <c r="G5" s="18" t="s">
        <v>15</v>
      </c>
      <c r="H5" s="18" t="s">
        <v>16</v>
      </c>
      <c r="I5" s="18" t="s">
        <v>16</v>
      </c>
      <c r="J5" s="18" t="s">
        <v>17</v>
      </c>
      <c r="K5" s="18" t="s">
        <v>18</v>
      </c>
      <c r="L5" s="48"/>
      <c r="M5" s="49"/>
      <c r="N5" s="50" t="s">
        <v>19</v>
      </c>
    </row>
    <row r="6" s="1" customFormat="1" spans="1:24">
      <c r="A6" s="19"/>
      <c r="B6" s="20">
        <v>12</v>
      </c>
      <c r="C6" s="21">
        <f>B6/7</f>
        <v>1.71428571428571</v>
      </c>
      <c r="D6" s="19">
        <v>164</v>
      </c>
      <c r="E6" s="21">
        <f>D6/C6</f>
        <v>95.6666666666667</v>
      </c>
      <c r="F6" s="22">
        <f>$B$3+E6</f>
        <v>45273.6666666667</v>
      </c>
      <c r="G6" s="23">
        <v>96</v>
      </c>
      <c r="H6" s="24"/>
      <c r="I6" s="24">
        <f>G6</f>
        <v>96</v>
      </c>
      <c r="J6" s="24">
        <f>I6/C6</f>
        <v>56</v>
      </c>
      <c r="K6" s="22">
        <f>$G$3+J6</f>
        <v>56</v>
      </c>
      <c r="L6" s="51">
        <f>$L$3-K6</f>
        <v>-56</v>
      </c>
      <c r="M6" s="52">
        <f t="shared" ref="M6:M25" si="0">C6*L6</f>
        <v>-96</v>
      </c>
      <c r="N6" s="53">
        <v>130</v>
      </c>
      <c r="O6" s="5"/>
      <c r="P6" s="5"/>
      <c r="Q6" s="5"/>
      <c r="R6" s="5"/>
      <c r="S6" s="5"/>
      <c r="T6" s="5"/>
      <c r="U6" s="5"/>
      <c r="V6" s="5"/>
      <c r="W6" s="5"/>
      <c r="X6" s="5"/>
    </row>
    <row r="7" s="2" customFormat="1" spans="1:24">
      <c r="A7" s="19"/>
      <c r="B7" s="20">
        <v>17</v>
      </c>
      <c r="C7" s="21">
        <f t="shared" ref="C7:C39" si="1">B7/7</f>
        <v>2.42857142857143</v>
      </c>
      <c r="D7" s="19">
        <v>142</v>
      </c>
      <c r="E7" s="21">
        <f t="shared" ref="E7:E25" si="2">D7/C7</f>
        <v>58.4705882352941</v>
      </c>
      <c r="F7" s="22">
        <f t="shared" ref="F7:F25" si="3">$B$3+E7</f>
        <v>45236.4705882353</v>
      </c>
      <c r="G7" s="23">
        <v>16</v>
      </c>
      <c r="H7" s="24">
        <f>D7-C7*($G$3-$B$3)</f>
        <v>109860</v>
      </c>
      <c r="I7" s="24"/>
      <c r="J7" s="24">
        <f>H7/C7</f>
        <v>45236.4705882353</v>
      </c>
      <c r="K7" s="22">
        <f t="shared" ref="K7:K17" si="4">$G$3+J7</f>
        <v>45236.4705882353</v>
      </c>
      <c r="L7" s="54">
        <f t="shared" ref="L7:L17" si="5">$L$3-K7</f>
        <v>-45236.4705882353</v>
      </c>
      <c r="M7" s="55">
        <f t="shared" si="0"/>
        <v>-109860</v>
      </c>
      <c r="N7" s="56">
        <v>80</v>
      </c>
      <c r="O7" s="57"/>
      <c r="P7" s="57"/>
      <c r="Q7" s="57"/>
      <c r="R7" s="57"/>
      <c r="S7" s="57"/>
      <c r="T7" s="57"/>
      <c r="U7" s="57"/>
      <c r="V7" s="57"/>
      <c r="W7" s="57"/>
      <c r="X7" s="57"/>
    </row>
    <row r="8" s="2" customFormat="1" spans="1:24">
      <c r="A8" s="19"/>
      <c r="B8" s="20">
        <v>14</v>
      </c>
      <c r="C8" s="21">
        <f t="shared" si="1"/>
        <v>2</v>
      </c>
      <c r="D8" s="19">
        <v>161</v>
      </c>
      <c r="E8" s="21">
        <f t="shared" si="2"/>
        <v>80.5</v>
      </c>
      <c r="F8" s="22">
        <f t="shared" si="3"/>
        <v>45258.5</v>
      </c>
      <c r="G8" s="23">
        <v>35</v>
      </c>
      <c r="H8" s="24"/>
      <c r="I8" s="24">
        <f>G8</f>
        <v>35</v>
      </c>
      <c r="J8" s="24">
        <f>I8/C8</f>
        <v>17.5</v>
      </c>
      <c r="K8" s="22">
        <f t="shared" si="4"/>
        <v>17.5</v>
      </c>
      <c r="L8" s="54">
        <f t="shared" si="5"/>
        <v>-17.5</v>
      </c>
      <c r="M8" s="55">
        <f t="shared" si="0"/>
        <v>-35</v>
      </c>
      <c r="N8" s="56">
        <v>230</v>
      </c>
      <c r="O8" s="57"/>
      <c r="P8" s="57"/>
      <c r="Q8" s="57"/>
      <c r="R8" s="57"/>
      <c r="S8" s="57"/>
      <c r="T8" s="57"/>
      <c r="U8" s="57"/>
      <c r="V8" s="57"/>
      <c r="W8" s="57"/>
      <c r="X8" s="57"/>
    </row>
    <row r="9" spans="1:14">
      <c r="A9" s="19"/>
      <c r="B9" s="20">
        <v>17</v>
      </c>
      <c r="C9" s="21">
        <f t="shared" si="1"/>
        <v>2.42857142857143</v>
      </c>
      <c r="D9" s="19">
        <v>174</v>
      </c>
      <c r="E9" s="21">
        <f t="shared" si="2"/>
        <v>71.6470588235294</v>
      </c>
      <c r="F9" s="22">
        <f t="shared" si="3"/>
        <v>45249.6470588235</v>
      </c>
      <c r="G9" s="23">
        <v>75</v>
      </c>
      <c r="H9" s="24">
        <f>D9-C9*($G$3-$B$3)</f>
        <v>109892</v>
      </c>
      <c r="I9" s="24"/>
      <c r="J9" s="24">
        <f>H9/C9</f>
        <v>45249.6470588235</v>
      </c>
      <c r="K9" s="22">
        <f t="shared" si="4"/>
        <v>45249.6470588235</v>
      </c>
      <c r="L9" s="51">
        <f t="shared" si="5"/>
        <v>-45249.6470588235</v>
      </c>
      <c r="M9" s="52">
        <f t="shared" si="0"/>
        <v>-109892</v>
      </c>
      <c r="N9" s="58">
        <v>130</v>
      </c>
    </row>
    <row r="10" s="1" customFormat="1" spans="1:24">
      <c r="A10" s="19"/>
      <c r="B10" s="25">
        <v>8</v>
      </c>
      <c r="C10" s="21">
        <f t="shared" si="1"/>
        <v>1.14285714285714</v>
      </c>
      <c r="D10" s="19">
        <v>93</v>
      </c>
      <c r="E10" s="21">
        <f t="shared" si="2"/>
        <v>81.375</v>
      </c>
      <c r="F10" s="22">
        <f t="shared" si="3"/>
        <v>45259.375</v>
      </c>
      <c r="G10" s="23">
        <v>65</v>
      </c>
      <c r="H10" s="24"/>
      <c r="I10" s="24">
        <f>G10</f>
        <v>65</v>
      </c>
      <c r="J10" s="24">
        <f>I10/C10</f>
        <v>56.875</v>
      </c>
      <c r="K10" s="22">
        <f t="shared" si="4"/>
        <v>56.875</v>
      </c>
      <c r="L10" s="51">
        <f t="shared" si="5"/>
        <v>-56.875</v>
      </c>
      <c r="M10" s="52">
        <f t="shared" si="0"/>
        <v>-65</v>
      </c>
      <c r="N10" s="58">
        <v>160</v>
      </c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="2" customFormat="1" spans="1:24">
      <c r="A11" s="19"/>
      <c r="B11" s="25">
        <v>13</v>
      </c>
      <c r="C11" s="21">
        <f t="shared" si="1"/>
        <v>1.85714285714286</v>
      </c>
      <c r="D11" s="19">
        <v>33</v>
      </c>
      <c r="E11" s="21">
        <f t="shared" si="2"/>
        <v>17.7692307692308</v>
      </c>
      <c r="F11" s="26">
        <f t="shared" si="3"/>
        <v>45195.7692307692</v>
      </c>
      <c r="G11" s="23">
        <v>0</v>
      </c>
      <c r="H11" s="24"/>
      <c r="I11" s="24">
        <f>G11</f>
        <v>0</v>
      </c>
      <c r="J11" s="24">
        <f>I11/C11</f>
        <v>0</v>
      </c>
      <c r="K11" s="22">
        <f t="shared" si="4"/>
        <v>0</v>
      </c>
      <c r="L11" s="54">
        <f t="shared" si="5"/>
        <v>0</v>
      </c>
      <c r="M11" s="55">
        <f t="shared" si="0"/>
        <v>0</v>
      </c>
      <c r="N11" s="56">
        <v>350</v>
      </c>
      <c r="O11" s="57"/>
      <c r="P11" s="57"/>
      <c r="Q11" s="57"/>
      <c r="R11" s="57"/>
      <c r="S11" s="57"/>
      <c r="T11" s="57"/>
      <c r="U11" s="57"/>
      <c r="V11" s="57"/>
      <c r="W11" s="57"/>
      <c r="X11" s="57"/>
    </row>
    <row r="12" s="1" customFormat="1" spans="1:24">
      <c r="A12" s="19"/>
      <c r="B12" s="25">
        <v>7</v>
      </c>
      <c r="C12" s="21">
        <f t="shared" si="1"/>
        <v>1</v>
      </c>
      <c r="D12" s="19">
        <v>250</v>
      </c>
      <c r="E12" s="21">
        <f t="shared" si="2"/>
        <v>250</v>
      </c>
      <c r="F12" s="22">
        <f t="shared" si="3"/>
        <v>45428</v>
      </c>
      <c r="G12" s="23">
        <v>78</v>
      </c>
      <c r="H12" s="24">
        <f>D12-C12*($G$3-$B$3)</f>
        <v>45428</v>
      </c>
      <c r="I12" s="24"/>
      <c r="J12" s="24">
        <f>H12/C12</f>
        <v>45428</v>
      </c>
      <c r="K12" s="22">
        <f t="shared" si="4"/>
        <v>45428</v>
      </c>
      <c r="L12" s="51">
        <f t="shared" si="5"/>
        <v>-45428</v>
      </c>
      <c r="M12" s="52">
        <f t="shared" si="0"/>
        <v>-45428</v>
      </c>
      <c r="N12" s="58">
        <v>50</v>
      </c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="2" customFormat="1" spans="1:24">
      <c r="A13" s="19"/>
      <c r="B13" s="25">
        <v>15</v>
      </c>
      <c r="C13" s="21">
        <f t="shared" si="1"/>
        <v>2.14285714285714</v>
      </c>
      <c r="D13" s="19">
        <v>74</v>
      </c>
      <c r="E13" s="21">
        <f t="shared" si="2"/>
        <v>34.5333333333333</v>
      </c>
      <c r="F13" s="26">
        <f t="shared" si="3"/>
        <v>45212.5333333333</v>
      </c>
      <c r="G13" s="23">
        <v>13</v>
      </c>
      <c r="H13" s="24"/>
      <c r="I13" s="24">
        <f>G13</f>
        <v>13</v>
      </c>
      <c r="J13" s="24">
        <f>I13/C13</f>
        <v>6.06666666666667</v>
      </c>
      <c r="K13" s="22">
        <f t="shared" si="4"/>
        <v>6.06666666666667</v>
      </c>
      <c r="L13" s="54">
        <f t="shared" si="5"/>
        <v>-6.06666666666667</v>
      </c>
      <c r="M13" s="55">
        <f t="shared" si="0"/>
        <v>-13</v>
      </c>
      <c r="N13" s="56">
        <v>370</v>
      </c>
      <c r="O13" s="57"/>
      <c r="P13" s="57"/>
      <c r="Q13" s="57"/>
      <c r="R13" s="57"/>
      <c r="S13" s="57"/>
      <c r="T13" s="57"/>
      <c r="U13" s="57"/>
      <c r="V13" s="57"/>
      <c r="W13" s="57"/>
      <c r="X13" s="57"/>
    </row>
    <row r="14" spans="1:14">
      <c r="A14" s="19"/>
      <c r="B14" s="25">
        <v>15</v>
      </c>
      <c r="C14" s="21">
        <f t="shared" si="1"/>
        <v>2.14285714285714</v>
      </c>
      <c r="D14" s="19">
        <v>80</v>
      </c>
      <c r="E14" s="21">
        <f t="shared" si="2"/>
        <v>37.3333333333333</v>
      </c>
      <c r="F14" s="26">
        <f t="shared" si="3"/>
        <v>45215.3333333333</v>
      </c>
      <c r="G14" s="23">
        <v>69</v>
      </c>
      <c r="H14" s="24"/>
      <c r="I14" s="24">
        <f>G14</f>
        <v>69</v>
      </c>
      <c r="J14" s="24">
        <f>I14/C14</f>
        <v>32.2</v>
      </c>
      <c r="K14" s="22">
        <f t="shared" si="4"/>
        <v>32.2</v>
      </c>
      <c r="L14" s="51">
        <f t="shared" si="5"/>
        <v>-32.2</v>
      </c>
      <c r="M14" s="52">
        <f t="shared" si="0"/>
        <v>-69</v>
      </c>
      <c r="N14" s="58">
        <v>140</v>
      </c>
    </row>
    <row r="15" spans="1:14">
      <c r="A15" s="19"/>
      <c r="B15" s="25">
        <v>11</v>
      </c>
      <c r="C15" s="21">
        <f t="shared" si="1"/>
        <v>1.57142857142857</v>
      </c>
      <c r="D15" s="19">
        <v>119</v>
      </c>
      <c r="E15" s="21">
        <f t="shared" si="2"/>
        <v>75.7272727272727</v>
      </c>
      <c r="F15" s="22">
        <f t="shared" si="3"/>
        <v>45253.7272727273</v>
      </c>
      <c r="G15" s="23">
        <v>70</v>
      </c>
      <c r="H15" s="24"/>
      <c r="I15" s="24">
        <f>G15</f>
        <v>70</v>
      </c>
      <c r="J15" s="24">
        <f>I15/C15</f>
        <v>44.5454545454545</v>
      </c>
      <c r="K15" s="22">
        <f t="shared" si="4"/>
        <v>44.5454545454545</v>
      </c>
      <c r="L15" s="51">
        <f t="shared" si="5"/>
        <v>-44.5454545454545</v>
      </c>
      <c r="M15" s="52">
        <f t="shared" si="0"/>
        <v>-70</v>
      </c>
      <c r="N15" s="58">
        <v>160</v>
      </c>
    </row>
    <row r="16" s="3" customFormat="1" spans="1:24">
      <c r="A16" s="19"/>
      <c r="B16" s="25">
        <v>7</v>
      </c>
      <c r="C16" s="21">
        <f t="shared" si="1"/>
        <v>1</v>
      </c>
      <c r="D16" s="19">
        <v>194</v>
      </c>
      <c r="E16" s="21">
        <f t="shared" si="2"/>
        <v>194</v>
      </c>
      <c r="F16" s="22">
        <f t="shared" si="3"/>
        <v>45372</v>
      </c>
      <c r="G16" s="23">
        <v>42</v>
      </c>
      <c r="H16" s="24">
        <f>D16-C16*($G$3-$B$3)</f>
        <v>45372</v>
      </c>
      <c r="I16" s="24"/>
      <c r="J16" s="24">
        <f>H16/C16</f>
        <v>45372</v>
      </c>
      <c r="K16" s="22">
        <f t="shared" si="4"/>
        <v>45372</v>
      </c>
      <c r="L16" s="54">
        <f t="shared" si="5"/>
        <v>-45372</v>
      </c>
      <c r="M16" s="55">
        <f t="shared" si="0"/>
        <v>-45372</v>
      </c>
      <c r="N16" s="56">
        <v>170</v>
      </c>
      <c r="O16" s="57"/>
      <c r="P16" s="57"/>
      <c r="Q16" s="57"/>
      <c r="R16" s="57"/>
      <c r="S16" s="57"/>
      <c r="T16" s="57"/>
      <c r="U16" s="57"/>
      <c r="V16" s="57"/>
      <c r="W16" s="57"/>
      <c r="X16" s="57"/>
    </row>
    <row r="17" s="3" customFormat="1" ht="14.25" spans="1:24">
      <c r="A17" s="19"/>
      <c r="B17" s="25">
        <v>10</v>
      </c>
      <c r="C17" s="21">
        <f t="shared" si="1"/>
        <v>1.42857142857143</v>
      </c>
      <c r="D17" s="19">
        <v>126</v>
      </c>
      <c r="E17" s="21">
        <f t="shared" si="2"/>
        <v>88.2</v>
      </c>
      <c r="F17" s="22">
        <f t="shared" si="3"/>
        <v>45266.2</v>
      </c>
      <c r="G17" s="23">
        <v>33</v>
      </c>
      <c r="H17" s="24">
        <f>D17-C17*($G$3-$B$3)</f>
        <v>64666</v>
      </c>
      <c r="I17" s="24"/>
      <c r="J17" s="24">
        <f>H17/C17</f>
        <v>45266.2</v>
      </c>
      <c r="K17" s="22">
        <f t="shared" si="4"/>
        <v>45266.2</v>
      </c>
      <c r="L17" s="54">
        <f t="shared" si="5"/>
        <v>-45266.2</v>
      </c>
      <c r="M17" s="55">
        <f t="shared" si="0"/>
        <v>-64666</v>
      </c>
      <c r="N17" s="59">
        <v>130</v>
      </c>
      <c r="O17" s="57"/>
      <c r="P17" s="57"/>
      <c r="Q17" s="57"/>
      <c r="R17" s="57"/>
      <c r="S17" s="57"/>
      <c r="T17" s="57"/>
      <c r="U17" s="57"/>
      <c r="V17" s="57"/>
      <c r="W17" s="57"/>
      <c r="X17" s="57"/>
    </row>
    <row r="18" spans="1:13">
      <c r="A18" s="27"/>
      <c r="B18" s="28">
        <v>7</v>
      </c>
      <c r="C18" s="29">
        <f t="shared" si="1"/>
        <v>1</v>
      </c>
      <c r="D18" s="30">
        <v>0</v>
      </c>
      <c r="E18" s="29">
        <f t="shared" si="2"/>
        <v>0</v>
      </c>
      <c r="F18" s="31">
        <f t="shared" si="3"/>
        <v>45178</v>
      </c>
      <c r="G18" s="32"/>
      <c r="H18" s="33"/>
      <c r="I18" s="33">
        <f t="shared" ref="I18:I25" si="6">G18</f>
        <v>0</v>
      </c>
      <c r="J18" s="33">
        <f t="shared" ref="J18:J25" si="7">I18/C18</f>
        <v>0</v>
      </c>
      <c r="K18" s="31">
        <f t="shared" ref="K18:K25" si="8">$G$3+J18</f>
        <v>0</v>
      </c>
      <c r="L18" s="60">
        <f t="shared" ref="L18:L25" si="9">$L$3-K18</f>
        <v>0</v>
      </c>
      <c r="M18" s="61">
        <f t="shared" si="0"/>
        <v>0</v>
      </c>
    </row>
    <row r="19" spans="1:13">
      <c r="A19" s="27"/>
      <c r="B19" s="28">
        <v>8</v>
      </c>
      <c r="C19" s="29">
        <f t="shared" si="1"/>
        <v>1.14285714285714</v>
      </c>
      <c r="D19" s="30">
        <v>0</v>
      </c>
      <c r="E19" s="29">
        <f t="shared" si="2"/>
        <v>0</v>
      </c>
      <c r="F19" s="31">
        <f t="shared" si="3"/>
        <v>45178</v>
      </c>
      <c r="G19" s="32"/>
      <c r="H19" s="33"/>
      <c r="I19" s="33">
        <f t="shared" si="6"/>
        <v>0</v>
      </c>
      <c r="J19" s="33">
        <f t="shared" si="7"/>
        <v>0</v>
      </c>
      <c r="K19" s="31">
        <f t="shared" si="8"/>
        <v>0</v>
      </c>
      <c r="L19" s="60">
        <f t="shared" si="9"/>
        <v>0</v>
      </c>
      <c r="M19" s="61">
        <f t="shared" si="0"/>
        <v>0</v>
      </c>
    </row>
    <row r="20" spans="1:13">
      <c r="A20" s="27"/>
      <c r="B20" s="28">
        <v>8</v>
      </c>
      <c r="C20" s="29">
        <f t="shared" si="1"/>
        <v>1.14285714285714</v>
      </c>
      <c r="D20" s="30">
        <v>0</v>
      </c>
      <c r="E20" s="29">
        <f t="shared" si="2"/>
        <v>0</v>
      </c>
      <c r="F20" s="31">
        <f t="shared" si="3"/>
        <v>45178</v>
      </c>
      <c r="G20" s="32"/>
      <c r="H20" s="33"/>
      <c r="I20" s="33">
        <f t="shared" si="6"/>
        <v>0</v>
      </c>
      <c r="J20" s="33">
        <f t="shared" si="7"/>
        <v>0</v>
      </c>
      <c r="K20" s="31">
        <f t="shared" si="8"/>
        <v>0</v>
      </c>
      <c r="L20" s="60">
        <f t="shared" si="9"/>
        <v>0</v>
      </c>
      <c r="M20" s="61">
        <f t="shared" si="0"/>
        <v>0</v>
      </c>
    </row>
    <row r="21" spans="1:13">
      <c r="A21" s="27"/>
      <c r="B21" s="28">
        <v>5</v>
      </c>
      <c r="C21" s="29">
        <f t="shared" si="1"/>
        <v>0.714285714285714</v>
      </c>
      <c r="D21" s="30">
        <v>0</v>
      </c>
      <c r="E21" s="29">
        <f t="shared" si="2"/>
        <v>0</v>
      </c>
      <c r="F21" s="31">
        <f t="shared" si="3"/>
        <v>45178</v>
      </c>
      <c r="G21" s="34"/>
      <c r="H21" s="33"/>
      <c r="I21" s="33">
        <f t="shared" si="6"/>
        <v>0</v>
      </c>
      <c r="J21" s="33">
        <f t="shared" si="7"/>
        <v>0</v>
      </c>
      <c r="K21" s="31">
        <f t="shared" si="8"/>
        <v>0</v>
      </c>
      <c r="L21" s="60">
        <f t="shared" si="9"/>
        <v>0</v>
      </c>
      <c r="M21" s="61">
        <f t="shared" si="0"/>
        <v>0</v>
      </c>
    </row>
    <row r="22" spans="1:13">
      <c r="A22" s="27"/>
      <c r="B22" s="28">
        <v>4</v>
      </c>
      <c r="C22" s="29">
        <f t="shared" si="1"/>
        <v>0.571428571428571</v>
      </c>
      <c r="D22" s="30">
        <v>0</v>
      </c>
      <c r="E22" s="29">
        <f t="shared" si="2"/>
        <v>0</v>
      </c>
      <c r="F22" s="31">
        <f t="shared" si="3"/>
        <v>45178</v>
      </c>
      <c r="G22" s="32"/>
      <c r="H22" s="33"/>
      <c r="I22" s="33">
        <f t="shared" si="6"/>
        <v>0</v>
      </c>
      <c r="J22" s="33">
        <f t="shared" si="7"/>
        <v>0</v>
      </c>
      <c r="K22" s="31">
        <f t="shared" si="8"/>
        <v>0</v>
      </c>
      <c r="L22" s="60">
        <f t="shared" si="9"/>
        <v>0</v>
      </c>
      <c r="M22" s="61">
        <f t="shared" si="0"/>
        <v>0</v>
      </c>
    </row>
    <row r="23" spans="1:13">
      <c r="A23" s="27"/>
      <c r="B23" s="28">
        <v>6</v>
      </c>
      <c r="C23" s="29">
        <f t="shared" si="1"/>
        <v>0.857142857142857</v>
      </c>
      <c r="D23" s="30">
        <v>0</v>
      </c>
      <c r="E23" s="29">
        <f t="shared" si="2"/>
        <v>0</v>
      </c>
      <c r="F23" s="31">
        <f t="shared" si="3"/>
        <v>45178</v>
      </c>
      <c r="G23" s="32"/>
      <c r="H23" s="33"/>
      <c r="I23" s="33">
        <f t="shared" si="6"/>
        <v>0</v>
      </c>
      <c r="J23" s="33">
        <f t="shared" si="7"/>
        <v>0</v>
      </c>
      <c r="K23" s="31">
        <f t="shared" si="8"/>
        <v>0</v>
      </c>
      <c r="L23" s="60">
        <f t="shared" si="9"/>
        <v>0</v>
      </c>
      <c r="M23" s="61">
        <f t="shared" si="0"/>
        <v>0</v>
      </c>
    </row>
    <row r="24" spans="1:13">
      <c r="A24" s="27"/>
      <c r="B24" s="28">
        <v>5</v>
      </c>
      <c r="C24" s="29">
        <f t="shared" si="1"/>
        <v>0.714285714285714</v>
      </c>
      <c r="D24" s="30">
        <v>0</v>
      </c>
      <c r="E24" s="29">
        <f t="shared" si="2"/>
        <v>0</v>
      </c>
      <c r="F24" s="31">
        <f t="shared" si="3"/>
        <v>45178</v>
      </c>
      <c r="G24" s="32"/>
      <c r="H24" s="33"/>
      <c r="I24" s="33">
        <f t="shared" si="6"/>
        <v>0</v>
      </c>
      <c r="J24" s="33">
        <f t="shared" si="7"/>
        <v>0</v>
      </c>
      <c r="K24" s="31">
        <f t="shared" si="8"/>
        <v>0</v>
      </c>
      <c r="L24" s="60">
        <f t="shared" si="9"/>
        <v>0</v>
      </c>
      <c r="M24" s="61">
        <f t="shared" si="0"/>
        <v>0</v>
      </c>
    </row>
    <row r="25" spans="1:13">
      <c r="A25" s="27"/>
      <c r="B25" s="28">
        <v>4</v>
      </c>
      <c r="C25" s="29">
        <f t="shared" si="1"/>
        <v>0.571428571428571</v>
      </c>
      <c r="D25" s="30">
        <v>0</v>
      </c>
      <c r="E25" s="29">
        <f t="shared" si="2"/>
        <v>0</v>
      </c>
      <c r="F25" s="31">
        <f t="shared" si="3"/>
        <v>45178</v>
      </c>
      <c r="G25" s="34"/>
      <c r="H25" s="33"/>
      <c r="I25" s="33">
        <f t="shared" si="6"/>
        <v>0</v>
      </c>
      <c r="J25" s="33">
        <f t="shared" si="7"/>
        <v>0</v>
      </c>
      <c r="K25" s="31">
        <f t="shared" si="8"/>
        <v>0</v>
      </c>
      <c r="L25" s="60">
        <f t="shared" si="9"/>
        <v>0</v>
      </c>
      <c r="M25" s="61">
        <f t="shared" si="0"/>
        <v>0</v>
      </c>
    </row>
    <row r="26" spans="1:13">
      <c r="A26" s="27"/>
      <c r="B26" s="35">
        <v>3</v>
      </c>
      <c r="C26" s="29">
        <f t="shared" si="1"/>
        <v>0.428571428571429</v>
      </c>
      <c r="D26" s="30">
        <v>2</v>
      </c>
      <c r="E26" s="29">
        <f t="shared" ref="E26:E39" si="10">D26/C26</f>
        <v>4.66666666666667</v>
      </c>
      <c r="F26" s="31">
        <f t="shared" ref="F26:F39" si="11">$B$3+E26</f>
        <v>45182.6666666667</v>
      </c>
      <c r="G26" s="34"/>
      <c r="H26" s="33"/>
      <c r="I26" s="33">
        <f t="shared" ref="I26:I39" si="12">G26</f>
        <v>0</v>
      </c>
      <c r="J26" s="33">
        <f t="shared" ref="J26:J39" si="13">I26/C26</f>
        <v>0</v>
      </c>
      <c r="K26" s="31">
        <f t="shared" ref="K26:K39" si="14">$G$3+J26</f>
        <v>0</v>
      </c>
      <c r="L26" s="60">
        <f t="shared" ref="L26:L39" si="15">$L$3-K26</f>
        <v>0</v>
      </c>
      <c r="M26" s="61">
        <f t="shared" ref="M26:M39" si="16">C26*L26</f>
        <v>0</v>
      </c>
    </row>
    <row r="27" spans="1:13">
      <c r="A27" s="27"/>
      <c r="B27" s="35">
        <v>4</v>
      </c>
      <c r="C27" s="29">
        <f t="shared" si="1"/>
        <v>0.571428571428571</v>
      </c>
      <c r="D27" s="30">
        <v>11</v>
      </c>
      <c r="E27" s="29">
        <f t="shared" si="10"/>
        <v>19.25</v>
      </c>
      <c r="F27" s="31">
        <f t="shared" si="11"/>
        <v>45197.25</v>
      </c>
      <c r="G27" s="34"/>
      <c r="H27" s="33"/>
      <c r="I27" s="33">
        <f t="shared" si="12"/>
        <v>0</v>
      </c>
      <c r="J27" s="33">
        <f t="shared" si="13"/>
        <v>0</v>
      </c>
      <c r="K27" s="31">
        <f t="shared" si="14"/>
        <v>0</v>
      </c>
      <c r="L27" s="60">
        <f t="shared" si="15"/>
        <v>0</v>
      </c>
      <c r="M27" s="61">
        <f t="shared" si="16"/>
        <v>0</v>
      </c>
    </row>
    <row r="28" spans="1:13">
      <c r="A28" s="27"/>
      <c r="B28" s="35">
        <v>2</v>
      </c>
      <c r="C28" s="29">
        <f t="shared" si="1"/>
        <v>0.285714285714286</v>
      </c>
      <c r="D28" s="30">
        <v>21</v>
      </c>
      <c r="E28" s="29">
        <f t="shared" si="10"/>
        <v>73.5</v>
      </c>
      <c r="F28" s="31">
        <f t="shared" si="11"/>
        <v>45251.5</v>
      </c>
      <c r="G28" s="34"/>
      <c r="H28" s="33"/>
      <c r="I28" s="33">
        <f t="shared" si="12"/>
        <v>0</v>
      </c>
      <c r="J28" s="33">
        <f t="shared" si="13"/>
        <v>0</v>
      </c>
      <c r="K28" s="31">
        <f t="shared" si="14"/>
        <v>0</v>
      </c>
      <c r="L28" s="60">
        <f t="shared" si="15"/>
        <v>0</v>
      </c>
      <c r="M28" s="61">
        <f t="shared" si="16"/>
        <v>0</v>
      </c>
    </row>
    <row r="29" spans="1:13">
      <c r="A29" s="27"/>
      <c r="B29" s="35">
        <v>2</v>
      </c>
      <c r="C29" s="29">
        <f t="shared" si="1"/>
        <v>0.285714285714286</v>
      </c>
      <c r="D29" s="30">
        <v>14</v>
      </c>
      <c r="E29" s="29">
        <f t="shared" si="10"/>
        <v>49</v>
      </c>
      <c r="F29" s="31">
        <f t="shared" si="11"/>
        <v>45227</v>
      </c>
      <c r="G29" s="34"/>
      <c r="H29" s="33"/>
      <c r="I29" s="33">
        <f t="shared" si="12"/>
        <v>0</v>
      </c>
      <c r="J29" s="33">
        <f t="shared" si="13"/>
        <v>0</v>
      </c>
      <c r="K29" s="31">
        <f t="shared" si="14"/>
        <v>0</v>
      </c>
      <c r="L29" s="60">
        <f t="shared" si="15"/>
        <v>0</v>
      </c>
      <c r="M29" s="61">
        <f t="shared" si="16"/>
        <v>0</v>
      </c>
    </row>
    <row r="30" spans="1:13">
      <c r="A30" s="27"/>
      <c r="B30" s="35">
        <v>2</v>
      </c>
      <c r="C30" s="29">
        <f t="shared" si="1"/>
        <v>0.285714285714286</v>
      </c>
      <c r="D30" s="30">
        <v>2</v>
      </c>
      <c r="E30" s="29">
        <f t="shared" si="10"/>
        <v>7</v>
      </c>
      <c r="F30" s="31">
        <f t="shared" si="11"/>
        <v>45185</v>
      </c>
      <c r="G30" s="34"/>
      <c r="H30" s="33"/>
      <c r="I30" s="33">
        <f t="shared" si="12"/>
        <v>0</v>
      </c>
      <c r="J30" s="33">
        <f t="shared" si="13"/>
        <v>0</v>
      </c>
      <c r="K30" s="31">
        <f t="shared" si="14"/>
        <v>0</v>
      </c>
      <c r="L30" s="60">
        <f t="shared" si="15"/>
        <v>0</v>
      </c>
      <c r="M30" s="61">
        <f t="shared" si="16"/>
        <v>0</v>
      </c>
    </row>
    <row r="31" spans="1:13">
      <c r="A31" s="27"/>
      <c r="B31" s="35">
        <v>1</v>
      </c>
      <c r="C31" s="29">
        <f t="shared" si="1"/>
        <v>0.142857142857143</v>
      </c>
      <c r="D31" s="30">
        <v>18</v>
      </c>
      <c r="E31" s="29">
        <f t="shared" si="10"/>
        <v>126</v>
      </c>
      <c r="F31" s="31">
        <f t="shared" si="11"/>
        <v>45304</v>
      </c>
      <c r="G31" s="34"/>
      <c r="H31" s="33"/>
      <c r="I31" s="33">
        <f t="shared" si="12"/>
        <v>0</v>
      </c>
      <c r="J31" s="33">
        <f t="shared" si="13"/>
        <v>0</v>
      </c>
      <c r="K31" s="31">
        <f t="shared" si="14"/>
        <v>0</v>
      </c>
      <c r="L31" s="60">
        <f t="shared" si="15"/>
        <v>0</v>
      </c>
      <c r="M31" s="61">
        <f t="shared" si="16"/>
        <v>0</v>
      </c>
    </row>
    <row r="32" spans="1:13">
      <c r="A32" s="27"/>
      <c r="B32" s="35">
        <v>2</v>
      </c>
      <c r="C32" s="29">
        <f t="shared" si="1"/>
        <v>0.285714285714286</v>
      </c>
      <c r="D32" s="30">
        <v>13</v>
      </c>
      <c r="E32" s="29">
        <f t="shared" si="10"/>
        <v>45.5</v>
      </c>
      <c r="F32" s="31">
        <f t="shared" si="11"/>
        <v>45223.5</v>
      </c>
      <c r="G32" s="34"/>
      <c r="H32" s="33"/>
      <c r="I32" s="33">
        <f t="shared" si="12"/>
        <v>0</v>
      </c>
      <c r="J32" s="33">
        <f t="shared" si="13"/>
        <v>0</v>
      </c>
      <c r="K32" s="31">
        <f t="shared" si="14"/>
        <v>0</v>
      </c>
      <c r="L32" s="60">
        <f t="shared" si="15"/>
        <v>0</v>
      </c>
      <c r="M32" s="61">
        <f t="shared" si="16"/>
        <v>0</v>
      </c>
    </row>
    <row r="33" spans="1:13">
      <c r="A33" s="27"/>
      <c r="B33" s="35">
        <v>8</v>
      </c>
      <c r="C33" s="29">
        <f t="shared" si="1"/>
        <v>1.14285714285714</v>
      </c>
      <c r="D33" s="30">
        <v>0</v>
      </c>
      <c r="E33" s="29">
        <f t="shared" si="10"/>
        <v>0</v>
      </c>
      <c r="F33" s="31">
        <f t="shared" si="11"/>
        <v>45178</v>
      </c>
      <c r="G33" s="34"/>
      <c r="H33" s="33"/>
      <c r="I33" s="33">
        <f t="shared" si="12"/>
        <v>0</v>
      </c>
      <c r="J33" s="33">
        <f t="shared" si="13"/>
        <v>0</v>
      </c>
      <c r="K33" s="31">
        <f t="shared" si="14"/>
        <v>0</v>
      </c>
      <c r="L33" s="60">
        <f t="shared" si="15"/>
        <v>0</v>
      </c>
      <c r="M33" s="61">
        <f t="shared" si="16"/>
        <v>0</v>
      </c>
    </row>
    <row r="34" spans="1:13">
      <c r="A34" s="27"/>
      <c r="B34" s="35">
        <v>5</v>
      </c>
      <c r="C34" s="29">
        <f t="shared" si="1"/>
        <v>0.714285714285714</v>
      </c>
      <c r="D34" s="30">
        <v>8</v>
      </c>
      <c r="E34" s="29">
        <f t="shared" si="10"/>
        <v>11.2</v>
      </c>
      <c r="F34" s="31">
        <f t="shared" si="11"/>
        <v>45189.2</v>
      </c>
      <c r="G34" s="34"/>
      <c r="H34" s="33"/>
      <c r="I34" s="33">
        <f t="shared" si="12"/>
        <v>0</v>
      </c>
      <c r="J34" s="33">
        <f t="shared" si="13"/>
        <v>0</v>
      </c>
      <c r="K34" s="31">
        <f t="shared" si="14"/>
        <v>0</v>
      </c>
      <c r="L34" s="60">
        <f t="shared" si="15"/>
        <v>0</v>
      </c>
      <c r="M34" s="61">
        <f t="shared" si="16"/>
        <v>0</v>
      </c>
    </row>
    <row r="35" spans="1:13">
      <c r="A35" s="27"/>
      <c r="B35" s="35">
        <v>2</v>
      </c>
      <c r="C35" s="29">
        <f t="shared" si="1"/>
        <v>0.285714285714286</v>
      </c>
      <c r="D35" s="30">
        <v>5</v>
      </c>
      <c r="E35" s="29">
        <f t="shared" si="10"/>
        <v>17.5</v>
      </c>
      <c r="F35" s="31">
        <f t="shared" si="11"/>
        <v>45195.5</v>
      </c>
      <c r="G35" s="34"/>
      <c r="H35" s="33"/>
      <c r="I35" s="33">
        <f t="shared" si="12"/>
        <v>0</v>
      </c>
      <c r="J35" s="33">
        <f t="shared" si="13"/>
        <v>0</v>
      </c>
      <c r="K35" s="31">
        <f t="shared" si="14"/>
        <v>0</v>
      </c>
      <c r="L35" s="60">
        <f t="shared" si="15"/>
        <v>0</v>
      </c>
      <c r="M35" s="61">
        <f t="shared" si="16"/>
        <v>0</v>
      </c>
    </row>
    <row r="36" spans="1:13">
      <c r="A36" s="36"/>
      <c r="B36" s="37">
        <v>14</v>
      </c>
      <c r="C36" s="38">
        <f t="shared" si="1"/>
        <v>2</v>
      </c>
      <c r="D36" s="39">
        <v>21</v>
      </c>
      <c r="E36" s="38">
        <f t="shared" si="10"/>
        <v>10.5</v>
      </c>
      <c r="F36" s="40">
        <f t="shared" si="11"/>
        <v>45188.5</v>
      </c>
      <c r="G36" s="41"/>
      <c r="H36" s="42"/>
      <c r="I36" s="42">
        <f t="shared" si="12"/>
        <v>0</v>
      </c>
      <c r="J36" s="42">
        <f t="shared" si="13"/>
        <v>0</v>
      </c>
      <c r="K36" s="43">
        <f t="shared" si="14"/>
        <v>0</v>
      </c>
      <c r="L36" s="62">
        <f t="shared" si="15"/>
        <v>0</v>
      </c>
      <c r="M36" s="63">
        <f t="shared" si="16"/>
        <v>0</v>
      </c>
    </row>
    <row r="37" spans="1:13">
      <c r="A37" s="36"/>
      <c r="B37" s="37">
        <v>10</v>
      </c>
      <c r="C37" s="38">
        <f t="shared" si="1"/>
        <v>1.42857142857143</v>
      </c>
      <c r="D37" s="39">
        <v>27</v>
      </c>
      <c r="E37" s="38">
        <f t="shared" si="10"/>
        <v>18.9</v>
      </c>
      <c r="F37" s="40">
        <f t="shared" si="11"/>
        <v>45196.9</v>
      </c>
      <c r="G37" s="41"/>
      <c r="H37" s="42"/>
      <c r="I37" s="42">
        <f t="shared" si="12"/>
        <v>0</v>
      </c>
      <c r="J37" s="42">
        <f t="shared" si="13"/>
        <v>0</v>
      </c>
      <c r="K37" s="43">
        <f t="shared" si="14"/>
        <v>0</v>
      </c>
      <c r="L37" s="62">
        <f t="shared" si="15"/>
        <v>0</v>
      </c>
      <c r="M37" s="63">
        <f t="shared" si="16"/>
        <v>0</v>
      </c>
    </row>
    <row r="38" spans="1:13">
      <c r="A38" s="36"/>
      <c r="B38" s="37">
        <v>4</v>
      </c>
      <c r="C38" s="38">
        <f t="shared" si="1"/>
        <v>0.571428571428571</v>
      </c>
      <c r="D38" s="39">
        <v>33</v>
      </c>
      <c r="E38" s="38">
        <f t="shared" si="10"/>
        <v>57.75</v>
      </c>
      <c r="F38" s="43">
        <f t="shared" si="11"/>
        <v>45235.75</v>
      </c>
      <c r="G38" s="41"/>
      <c r="H38" s="42"/>
      <c r="I38" s="42">
        <f t="shared" si="12"/>
        <v>0</v>
      </c>
      <c r="J38" s="42">
        <f t="shared" si="13"/>
        <v>0</v>
      </c>
      <c r="K38" s="43">
        <f t="shared" si="14"/>
        <v>0</v>
      </c>
      <c r="L38" s="62">
        <f t="shared" si="15"/>
        <v>0</v>
      </c>
      <c r="M38" s="63">
        <f t="shared" si="16"/>
        <v>0</v>
      </c>
    </row>
    <row r="39" spans="1:13">
      <c r="A39" s="36"/>
      <c r="B39" s="37">
        <v>5</v>
      </c>
      <c r="C39" s="38">
        <f t="shared" si="1"/>
        <v>0.714285714285714</v>
      </c>
      <c r="D39" s="39">
        <v>42</v>
      </c>
      <c r="E39" s="38">
        <f t="shared" si="10"/>
        <v>58.8</v>
      </c>
      <c r="F39" s="43">
        <f t="shared" si="11"/>
        <v>45236.8</v>
      </c>
      <c r="G39" s="41"/>
      <c r="H39" s="42"/>
      <c r="I39" s="42">
        <f t="shared" si="12"/>
        <v>0</v>
      </c>
      <c r="J39" s="42">
        <f t="shared" si="13"/>
        <v>0</v>
      </c>
      <c r="K39" s="43">
        <f t="shared" si="14"/>
        <v>0</v>
      </c>
      <c r="L39" s="62">
        <f t="shared" si="15"/>
        <v>0</v>
      </c>
      <c r="M39" s="63">
        <f t="shared" si="16"/>
        <v>0</v>
      </c>
    </row>
    <row r="40" spans="1:13">
      <c r="A40" s="36"/>
      <c r="B40" s="37">
        <v>9</v>
      </c>
      <c r="C40" s="38">
        <f t="shared" ref="C40:C55" si="17">B40/7</f>
        <v>1.28571428571429</v>
      </c>
      <c r="D40" s="39">
        <v>21</v>
      </c>
      <c r="E40" s="38">
        <f t="shared" ref="E40:E55" si="18">D40/C40</f>
        <v>16.3333333333333</v>
      </c>
      <c r="F40" s="40">
        <f t="shared" ref="F40:F55" si="19">$B$3+E40</f>
        <v>45194.3333333333</v>
      </c>
      <c r="G40" s="41"/>
      <c r="H40" s="42"/>
      <c r="I40" s="42">
        <f t="shared" ref="I40:I55" si="20">G40</f>
        <v>0</v>
      </c>
      <c r="J40" s="42">
        <f t="shared" ref="J40:J55" si="21">I40/C40</f>
        <v>0</v>
      </c>
      <c r="K40" s="43">
        <f t="shared" ref="K40:K55" si="22">$G$3+J40</f>
        <v>0</v>
      </c>
      <c r="L40" s="62">
        <f t="shared" ref="L40:L43" si="23">$L$3-K40</f>
        <v>0</v>
      </c>
      <c r="M40" s="63">
        <f t="shared" ref="M40:M55" si="24">C40*L40</f>
        <v>0</v>
      </c>
    </row>
    <row r="41" spans="1:13">
      <c r="A41" s="36"/>
      <c r="B41" s="37">
        <v>9</v>
      </c>
      <c r="C41" s="38">
        <f t="shared" si="17"/>
        <v>1.28571428571429</v>
      </c>
      <c r="D41" s="39">
        <v>25</v>
      </c>
      <c r="E41" s="38">
        <f t="shared" si="18"/>
        <v>19.4444444444444</v>
      </c>
      <c r="F41" s="40">
        <f t="shared" si="19"/>
        <v>45197.4444444444</v>
      </c>
      <c r="G41" s="41"/>
      <c r="H41" s="42"/>
      <c r="I41" s="42">
        <f t="shared" si="20"/>
        <v>0</v>
      </c>
      <c r="J41" s="42">
        <f t="shared" si="21"/>
        <v>0</v>
      </c>
      <c r="K41" s="43">
        <f t="shared" si="22"/>
        <v>0</v>
      </c>
      <c r="L41" s="62">
        <f t="shared" si="23"/>
        <v>0</v>
      </c>
      <c r="M41" s="63">
        <f t="shared" si="24"/>
        <v>0</v>
      </c>
    </row>
    <row r="42" spans="1:13">
      <c r="A42" s="36"/>
      <c r="B42" s="37">
        <v>3</v>
      </c>
      <c r="C42" s="38">
        <f t="shared" si="17"/>
        <v>0.428571428571429</v>
      </c>
      <c r="D42" s="39">
        <v>10</v>
      </c>
      <c r="E42" s="38">
        <f t="shared" si="18"/>
        <v>23.3333333333333</v>
      </c>
      <c r="F42" s="40">
        <f t="shared" si="19"/>
        <v>45201.3333333333</v>
      </c>
      <c r="G42" s="41"/>
      <c r="H42" s="42"/>
      <c r="I42" s="42">
        <f t="shared" si="20"/>
        <v>0</v>
      </c>
      <c r="J42" s="42">
        <f t="shared" si="21"/>
        <v>0</v>
      </c>
      <c r="K42" s="43">
        <f t="shared" si="22"/>
        <v>0</v>
      </c>
      <c r="L42" s="62">
        <f t="shared" si="23"/>
        <v>0</v>
      </c>
      <c r="M42" s="63">
        <f t="shared" si="24"/>
        <v>0</v>
      </c>
    </row>
    <row r="43" spans="1:13">
      <c r="A43" s="36"/>
      <c r="B43" s="37">
        <v>2</v>
      </c>
      <c r="C43" s="38">
        <f t="shared" si="17"/>
        <v>0.285714285714286</v>
      </c>
      <c r="D43" s="39">
        <v>31</v>
      </c>
      <c r="E43" s="38">
        <f t="shared" si="18"/>
        <v>108.5</v>
      </c>
      <c r="F43" s="44">
        <f t="shared" si="19"/>
        <v>45286.5</v>
      </c>
      <c r="G43" s="41"/>
      <c r="H43" s="42"/>
      <c r="I43" s="42">
        <f t="shared" si="20"/>
        <v>0</v>
      </c>
      <c r="J43" s="42">
        <f t="shared" si="21"/>
        <v>0</v>
      </c>
      <c r="K43" s="43">
        <f t="shared" si="22"/>
        <v>0</v>
      </c>
      <c r="L43" s="62">
        <f t="shared" si="23"/>
        <v>0</v>
      </c>
      <c r="M43" s="63">
        <f t="shared" si="24"/>
        <v>0</v>
      </c>
    </row>
    <row r="44" s="1" customFormat="1" spans="1:24">
      <c r="A44" s="36"/>
      <c r="B44" s="37">
        <v>0</v>
      </c>
      <c r="C44" s="45">
        <f t="shared" si="17"/>
        <v>0</v>
      </c>
      <c r="D44" s="39">
        <v>0</v>
      </c>
      <c r="E44" s="38" t="e">
        <f t="shared" si="18"/>
        <v>#DIV/0!</v>
      </c>
      <c r="F44" s="26" t="e">
        <f t="shared" si="19"/>
        <v>#DIV/0!</v>
      </c>
      <c r="G44" s="41"/>
      <c r="H44" s="42"/>
      <c r="I44" s="42">
        <f t="shared" si="20"/>
        <v>0</v>
      </c>
      <c r="J44" s="42" t="e">
        <f t="shared" si="21"/>
        <v>#DIV/0!</v>
      </c>
      <c r="K44" s="43" t="e">
        <f t="shared" si="22"/>
        <v>#DIV/0!</v>
      </c>
      <c r="L44" s="62" t="e">
        <f>$L$3-F44</f>
        <v>#DIV/0!</v>
      </c>
      <c r="M44" s="63" t="e">
        <f t="shared" si="24"/>
        <v>#DIV/0!</v>
      </c>
      <c r="N44" s="1">
        <v>80</v>
      </c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13">
      <c r="A45" s="36"/>
      <c r="B45" s="37">
        <v>8</v>
      </c>
      <c r="C45" s="38">
        <f t="shared" si="17"/>
        <v>1.14285714285714</v>
      </c>
      <c r="D45" s="39">
        <v>51</v>
      </c>
      <c r="E45" s="38">
        <f t="shared" si="18"/>
        <v>44.625</v>
      </c>
      <c r="F45" s="26">
        <f t="shared" si="19"/>
        <v>45222.625</v>
      </c>
      <c r="G45" s="41"/>
      <c r="H45" s="42"/>
      <c r="I45" s="42">
        <f t="shared" si="20"/>
        <v>0</v>
      </c>
      <c r="J45" s="42">
        <f t="shared" si="21"/>
        <v>0</v>
      </c>
      <c r="K45" s="43">
        <f t="shared" si="22"/>
        <v>0</v>
      </c>
      <c r="L45" s="62">
        <f t="shared" ref="L45:L55" si="25">$L$3-F45</f>
        <v>-45222.625</v>
      </c>
      <c r="M45" s="63">
        <f t="shared" si="24"/>
        <v>-51683</v>
      </c>
    </row>
    <row r="46" s="1" customFormat="1" spans="1:24">
      <c r="A46" s="36"/>
      <c r="B46" s="37">
        <v>6</v>
      </c>
      <c r="C46" s="38">
        <f t="shared" si="17"/>
        <v>0.857142857142857</v>
      </c>
      <c r="D46" s="39">
        <v>45</v>
      </c>
      <c r="E46" s="38">
        <f t="shared" si="18"/>
        <v>52.5</v>
      </c>
      <c r="F46" s="44">
        <f t="shared" si="19"/>
        <v>45230.5</v>
      </c>
      <c r="G46" s="41"/>
      <c r="H46" s="42"/>
      <c r="I46" s="42">
        <f t="shared" si="20"/>
        <v>0</v>
      </c>
      <c r="J46" s="42">
        <f t="shared" si="21"/>
        <v>0</v>
      </c>
      <c r="K46" s="43">
        <f t="shared" si="22"/>
        <v>0</v>
      </c>
      <c r="L46" s="62">
        <f t="shared" si="25"/>
        <v>-45230.5</v>
      </c>
      <c r="M46" s="63">
        <f t="shared" si="24"/>
        <v>-38769</v>
      </c>
      <c r="N46" s="1">
        <v>80</v>
      </c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13">
      <c r="A47" s="36"/>
      <c r="B47" s="37">
        <v>4</v>
      </c>
      <c r="C47" s="38">
        <f t="shared" si="17"/>
        <v>0.571428571428571</v>
      </c>
      <c r="D47" s="39">
        <v>51</v>
      </c>
      <c r="E47" s="38">
        <f t="shared" si="18"/>
        <v>89.25</v>
      </c>
      <c r="F47" s="44">
        <f t="shared" si="19"/>
        <v>45267.25</v>
      </c>
      <c r="G47" s="41"/>
      <c r="H47" s="42"/>
      <c r="I47" s="42">
        <f t="shared" si="20"/>
        <v>0</v>
      </c>
      <c r="J47" s="42">
        <f t="shared" si="21"/>
        <v>0</v>
      </c>
      <c r="K47" s="43">
        <f t="shared" si="22"/>
        <v>0</v>
      </c>
      <c r="L47" s="62">
        <f t="shared" si="25"/>
        <v>-45267.25</v>
      </c>
      <c r="M47" s="63">
        <f t="shared" si="24"/>
        <v>-25867</v>
      </c>
    </row>
    <row r="48" s="1" customFormat="1" spans="1:24">
      <c r="A48" s="36"/>
      <c r="B48" s="37">
        <v>14</v>
      </c>
      <c r="C48" s="38">
        <f t="shared" si="17"/>
        <v>2</v>
      </c>
      <c r="D48" s="39">
        <v>31</v>
      </c>
      <c r="E48" s="38">
        <f t="shared" si="18"/>
        <v>15.5</v>
      </c>
      <c r="F48" s="26">
        <f t="shared" si="19"/>
        <v>45193.5</v>
      </c>
      <c r="G48" s="41"/>
      <c r="H48" s="42"/>
      <c r="I48" s="42">
        <f t="shared" si="20"/>
        <v>0</v>
      </c>
      <c r="J48" s="42">
        <f t="shared" si="21"/>
        <v>0</v>
      </c>
      <c r="K48" s="43">
        <f t="shared" si="22"/>
        <v>0</v>
      </c>
      <c r="L48" s="62">
        <f t="shared" si="25"/>
        <v>-45193.5</v>
      </c>
      <c r="M48" s="63">
        <f t="shared" si="24"/>
        <v>-90387</v>
      </c>
      <c r="N48" s="1">
        <v>350</v>
      </c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="1" customFormat="1" spans="1:24">
      <c r="A49" s="36"/>
      <c r="B49" s="37">
        <v>46</v>
      </c>
      <c r="C49" s="38">
        <f t="shared" si="17"/>
        <v>6.57142857142857</v>
      </c>
      <c r="D49" s="39">
        <v>67</v>
      </c>
      <c r="E49" s="38">
        <f t="shared" si="18"/>
        <v>10.195652173913</v>
      </c>
      <c r="F49" s="26">
        <f t="shared" si="19"/>
        <v>45188.1956521739</v>
      </c>
      <c r="G49" s="41"/>
      <c r="H49" s="42"/>
      <c r="I49" s="42">
        <f t="shared" si="20"/>
        <v>0</v>
      </c>
      <c r="J49" s="42">
        <f t="shared" si="21"/>
        <v>0</v>
      </c>
      <c r="K49" s="43">
        <f t="shared" si="22"/>
        <v>0</v>
      </c>
      <c r="L49" s="62">
        <f t="shared" si="25"/>
        <v>-45188.1956521739</v>
      </c>
      <c r="M49" s="63">
        <f t="shared" si="24"/>
        <v>-296951</v>
      </c>
      <c r="N49" s="1">
        <v>400</v>
      </c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14">
      <c r="A50" s="36"/>
      <c r="B50" s="37">
        <v>39</v>
      </c>
      <c r="C50" s="38">
        <f t="shared" si="17"/>
        <v>5.57142857142857</v>
      </c>
      <c r="D50" s="39">
        <v>190</v>
      </c>
      <c r="E50" s="38">
        <f t="shared" si="18"/>
        <v>34.1025641025641</v>
      </c>
      <c r="F50" s="26">
        <f t="shared" si="19"/>
        <v>45212.1025641026</v>
      </c>
      <c r="G50" s="41"/>
      <c r="H50" s="42"/>
      <c r="I50" s="42">
        <f t="shared" si="20"/>
        <v>0</v>
      </c>
      <c r="J50" s="42">
        <f t="shared" si="21"/>
        <v>0</v>
      </c>
      <c r="K50" s="43">
        <f t="shared" si="22"/>
        <v>0</v>
      </c>
      <c r="L50" s="62">
        <f t="shared" si="25"/>
        <v>-45212.1025641026</v>
      </c>
      <c r="M50" s="63">
        <f t="shared" si="24"/>
        <v>-251896</v>
      </c>
      <c r="N50">
        <v>150</v>
      </c>
    </row>
    <row r="51" s="1" customFormat="1" spans="1:24">
      <c r="A51" s="36"/>
      <c r="B51" s="37">
        <v>35</v>
      </c>
      <c r="C51" s="38">
        <f t="shared" si="17"/>
        <v>5</v>
      </c>
      <c r="D51" s="39">
        <v>127</v>
      </c>
      <c r="E51" s="38">
        <f t="shared" si="18"/>
        <v>25.4</v>
      </c>
      <c r="F51" s="26">
        <f t="shared" si="19"/>
        <v>45203.4</v>
      </c>
      <c r="G51" s="41"/>
      <c r="H51" s="42"/>
      <c r="I51" s="42">
        <f t="shared" si="20"/>
        <v>0</v>
      </c>
      <c r="J51" s="42">
        <f t="shared" si="21"/>
        <v>0</v>
      </c>
      <c r="K51" s="43">
        <f t="shared" si="22"/>
        <v>0</v>
      </c>
      <c r="L51" s="62">
        <f t="shared" si="25"/>
        <v>-45203.4</v>
      </c>
      <c r="M51" s="63">
        <f t="shared" si="24"/>
        <v>-226017</v>
      </c>
      <c r="N51" s="1">
        <v>500</v>
      </c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="1" customFormat="1" spans="1:24">
      <c r="A52" s="36"/>
      <c r="B52" s="37">
        <v>8</v>
      </c>
      <c r="C52" s="38">
        <f t="shared" si="17"/>
        <v>1.14285714285714</v>
      </c>
      <c r="D52" s="39">
        <v>37</v>
      </c>
      <c r="E52" s="38">
        <f t="shared" si="18"/>
        <v>32.375</v>
      </c>
      <c r="F52" s="26">
        <f t="shared" si="19"/>
        <v>45210.375</v>
      </c>
      <c r="G52" s="41"/>
      <c r="H52" s="42"/>
      <c r="I52" s="42">
        <f t="shared" si="20"/>
        <v>0</v>
      </c>
      <c r="J52" s="42">
        <f t="shared" si="21"/>
        <v>0</v>
      </c>
      <c r="K52" s="43">
        <f t="shared" si="22"/>
        <v>0</v>
      </c>
      <c r="L52" s="62">
        <f t="shared" si="25"/>
        <v>-45210.375</v>
      </c>
      <c r="M52" s="63">
        <f t="shared" si="24"/>
        <v>-51669</v>
      </c>
      <c r="N52" s="1">
        <v>700</v>
      </c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14">
      <c r="A53" s="36"/>
      <c r="B53" s="37">
        <v>35</v>
      </c>
      <c r="C53" s="38">
        <f t="shared" si="17"/>
        <v>5</v>
      </c>
      <c r="D53" s="39">
        <v>219</v>
      </c>
      <c r="E53" s="38">
        <f t="shared" si="18"/>
        <v>43.8</v>
      </c>
      <c r="F53" s="40">
        <f t="shared" si="19"/>
        <v>45221.8</v>
      </c>
      <c r="G53" s="41"/>
      <c r="H53" s="42"/>
      <c r="I53" s="42">
        <f t="shared" si="20"/>
        <v>0</v>
      </c>
      <c r="J53" s="42">
        <f t="shared" si="21"/>
        <v>0</v>
      </c>
      <c r="K53" s="43">
        <f t="shared" si="22"/>
        <v>0</v>
      </c>
      <c r="L53" s="62">
        <f t="shared" si="25"/>
        <v>-45221.8</v>
      </c>
      <c r="M53" s="63">
        <f t="shared" si="24"/>
        <v>-226109</v>
      </c>
      <c r="N53">
        <v>150</v>
      </c>
    </row>
    <row r="54" spans="1:13">
      <c r="A54" s="36"/>
      <c r="B54" s="37">
        <v>20</v>
      </c>
      <c r="C54" s="38">
        <f t="shared" si="17"/>
        <v>2.85714285714286</v>
      </c>
      <c r="D54" s="39">
        <v>355</v>
      </c>
      <c r="E54" s="38">
        <f t="shared" si="18"/>
        <v>124.25</v>
      </c>
      <c r="F54" s="43">
        <f t="shared" si="19"/>
        <v>45302.25</v>
      </c>
      <c r="G54" s="41"/>
      <c r="H54" s="42"/>
      <c r="I54" s="42">
        <f t="shared" si="20"/>
        <v>0</v>
      </c>
      <c r="J54" s="42">
        <f t="shared" si="21"/>
        <v>0</v>
      </c>
      <c r="K54" s="43">
        <f t="shared" si="22"/>
        <v>0</v>
      </c>
      <c r="L54" s="62">
        <f t="shared" si="25"/>
        <v>-45302.25</v>
      </c>
      <c r="M54" s="63">
        <f t="shared" si="24"/>
        <v>-129435</v>
      </c>
    </row>
    <row r="55" spans="1:13">
      <c r="A55" s="36"/>
      <c r="B55" s="37">
        <v>19</v>
      </c>
      <c r="C55" s="38">
        <f t="shared" si="17"/>
        <v>2.71428571428571</v>
      </c>
      <c r="D55" s="39">
        <v>234</v>
      </c>
      <c r="E55" s="38">
        <f t="shared" si="18"/>
        <v>86.2105263157895</v>
      </c>
      <c r="F55" s="43">
        <f t="shared" si="19"/>
        <v>45264.2105263158</v>
      </c>
      <c r="G55" s="41"/>
      <c r="H55" s="42"/>
      <c r="I55" s="42">
        <f t="shared" si="20"/>
        <v>0</v>
      </c>
      <c r="J55" s="42">
        <f t="shared" si="21"/>
        <v>0</v>
      </c>
      <c r="K55" s="43">
        <f t="shared" si="22"/>
        <v>0</v>
      </c>
      <c r="L55" s="62">
        <f t="shared" si="25"/>
        <v>-45264.2105263158</v>
      </c>
      <c r="M55" s="63">
        <f t="shared" si="24"/>
        <v>-122860</v>
      </c>
    </row>
    <row r="56" spans="1:13">
      <c r="A56" s="27"/>
      <c r="B56" s="35">
        <v>0</v>
      </c>
      <c r="C56" s="29">
        <f t="shared" ref="C56:C67" si="26">B56/7</f>
        <v>0</v>
      </c>
      <c r="D56" s="30">
        <v>0</v>
      </c>
      <c r="E56" s="29" t="e">
        <f t="shared" ref="E56:E67" si="27">D56/C56</f>
        <v>#DIV/0!</v>
      </c>
      <c r="F56" s="31" t="e">
        <f t="shared" ref="F56:F67" si="28">$B$3+E56</f>
        <v>#DIV/0!</v>
      </c>
      <c r="G56" s="34"/>
      <c r="H56" s="33"/>
      <c r="I56" s="33">
        <f t="shared" ref="I56:I67" si="29">G56</f>
        <v>0</v>
      </c>
      <c r="J56" s="33" t="e">
        <f t="shared" ref="J56:J67" si="30">I56/C56</f>
        <v>#DIV/0!</v>
      </c>
      <c r="K56" s="31" t="e">
        <f t="shared" ref="K56:K67" si="31">$G$3+J56</f>
        <v>#DIV/0!</v>
      </c>
      <c r="L56" s="60" t="e">
        <f t="shared" ref="L56:L67" si="32">$L$3-K56</f>
        <v>#DIV/0!</v>
      </c>
      <c r="M56" s="61" t="e">
        <f t="shared" ref="M56:M67" si="33">C56*L56</f>
        <v>#DIV/0!</v>
      </c>
    </row>
    <row r="57" spans="1:13">
      <c r="A57" s="27"/>
      <c r="B57" s="35">
        <v>7</v>
      </c>
      <c r="C57" s="29">
        <f t="shared" si="26"/>
        <v>1</v>
      </c>
      <c r="D57" s="30">
        <v>93</v>
      </c>
      <c r="E57" s="29">
        <f t="shared" si="27"/>
        <v>93</v>
      </c>
      <c r="F57" s="31">
        <f t="shared" si="28"/>
        <v>45271</v>
      </c>
      <c r="G57" s="34"/>
      <c r="H57" s="33"/>
      <c r="I57" s="33">
        <f t="shared" si="29"/>
        <v>0</v>
      </c>
      <c r="J57" s="33">
        <f t="shared" si="30"/>
        <v>0</v>
      </c>
      <c r="K57" s="31">
        <f t="shared" si="31"/>
        <v>0</v>
      </c>
      <c r="L57" s="60">
        <f t="shared" si="32"/>
        <v>0</v>
      </c>
      <c r="M57" s="61">
        <f t="shared" si="33"/>
        <v>0</v>
      </c>
    </row>
    <row r="58" spans="1:13">
      <c r="A58" s="27"/>
      <c r="B58" s="35">
        <v>0</v>
      </c>
      <c r="C58" s="29">
        <f t="shared" si="26"/>
        <v>0</v>
      </c>
      <c r="D58" s="30">
        <v>0</v>
      </c>
      <c r="E58" s="29" t="e">
        <f t="shared" si="27"/>
        <v>#DIV/0!</v>
      </c>
      <c r="F58" s="31" t="e">
        <f t="shared" si="28"/>
        <v>#DIV/0!</v>
      </c>
      <c r="G58" s="34"/>
      <c r="H58" s="33"/>
      <c r="I58" s="33">
        <f t="shared" si="29"/>
        <v>0</v>
      </c>
      <c r="J58" s="33" t="e">
        <f t="shared" si="30"/>
        <v>#DIV/0!</v>
      </c>
      <c r="K58" s="31" t="e">
        <f t="shared" si="31"/>
        <v>#DIV/0!</v>
      </c>
      <c r="L58" s="60" t="e">
        <f t="shared" si="32"/>
        <v>#DIV/0!</v>
      </c>
      <c r="M58" s="61" t="e">
        <f t="shared" si="33"/>
        <v>#DIV/0!</v>
      </c>
    </row>
    <row r="59" spans="1:13">
      <c r="A59" s="27"/>
      <c r="B59" s="35">
        <v>2</v>
      </c>
      <c r="C59" s="29">
        <f t="shared" si="26"/>
        <v>0.285714285714286</v>
      </c>
      <c r="D59" s="30">
        <v>0</v>
      </c>
      <c r="E59" s="29">
        <f t="shared" si="27"/>
        <v>0</v>
      </c>
      <c r="F59" s="31">
        <f t="shared" si="28"/>
        <v>45178</v>
      </c>
      <c r="G59" s="34"/>
      <c r="H59" s="33"/>
      <c r="I59" s="33">
        <f t="shared" si="29"/>
        <v>0</v>
      </c>
      <c r="J59" s="33">
        <f t="shared" si="30"/>
        <v>0</v>
      </c>
      <c r="K59" s="31">
        <f t="shared" si="31"/>
        <v>0</v>
      </c>
      <c r="L59" s="60">
        <f t="shared" si="32"/>
        <v>0</v>
      </c>
      <c r="M59" s="61">
        <f t="shared" si="33"/>
        <v>0</v>
      </c>
    </row>
    <row r="60" spans="1:13">
      <c r="A60" s="27"/>
      <c r="B60" s="35">
        <v>0</v>
      </c>
      <c r="C60" s="29">
        <f t="shared" si="26"/>
        <v>0</v>
      </c>
      <c r="D60" s="30">
        <v>0</v>
      </c>
      <c r="E60" s="29" t="e">
        <f t="shared" si="27"/>
        <v>#DIV/0!</v>
      </c>
      <c r="F60" s="31" t="e">
        <f t="shared" si="28"/>
        <v>#DIV/0!</v>
      </c>
      <c r="G60" s="34"/>
      <c r="H60" s="33"/>
      <c r="I60" s="33">
        <f t="shared" si="29"/>
        <v>0</v>
      </c>
      <c r="J60" s="33" t="e">
        <f t="shared" si="30"/>
        <v>#DIV/0!</v>
      </c>
      <c r="K60" s="31" t="e">
        <f t="shared" si="31"/>
        <v>#DIV/0!</v>
      </c>
      <c r="L60" s="60" t="e">
        <f t="shared" si="32"/>
        <v>#DIV/0!</v>
      </c>
      <c r="M60" s="61" t="e">
        <f t="shared" si="33"/>
        <v>#DIV/0!</v>
      </c>
    </row>
    <row r="61" spans="1:13">
      <c r="A61" s="27"/>
      <c r="B61" s="35">
        <v>8</v>
      </c>
      <c r="C61" s="29">
        <f t="shared" si="26"/>
        <v>1.14285714285714</v>
      </c>
      <c r="D61" s="30">
        <v>94</v>
      </c>
      <c r="E61" s="29">
        <f t="shared" si="27"/>
        <v>82.25</v>
      </c>
      <c r="F61" s="31">
        <f t="shared" si="28"/>
        <v>45260.25</v>
      </c>
      <c r="G61" s="34"/>
      <c r="H61" s="33"/>
      <c r="I61" s="33">
        <f t="shared" si="29"/>
        <v>0</v>
      </c>
      <c r="J61" s="33">
        <f t="shared" si="30"/>
        <v>0</v>
      </c>
      <c r="K61" s="31">
        <f t="shared" si="31"/>
        <v>0</v>
      </c>
      <c r="L61" s="60">
        <f t="shared" si="32"/>
        <v>0</v>
      </c>
      <c r="M61" s="61">
        <f t="shared" si="33"/>
        <v>0</v>
      </c>
    </row>
    <row r="62" spans="1:13">
      <c r="A62" s="27"/>
      <c r="B62" s="35">
        <v>0</v>
      </c>
      <c r="C62" s="29">
        <f t="shared" si="26"/>
        <v>0</v>
      </c>
      <c r="D62" s="30">
        <v>0</v>
      </c>
      <c r="E62" s="29" t="e">
        <f t="shared" si="27"/>
        <v>#DIV/0!</v>
      </c>
      <c r="F62" s="31" t="e">
        <f t="shared" si="28"/>
        <v>#DIV/0!</v>
      </c>
      <c r="G62" s="34"/>
      <c r="H62" s="33"/>
      <c r="I62" s="33">
        <f t="shared" si="29"/>
        <v>0</v>
      </c>
      <c r="J62" s="33" t="e">
        <f t="shared" si="30"/>
        <v>#DIV/0!</v>
      </c>
      <c r="K62" s="31" t="e">
        <f t="shared" si="31"/>
        <v>#DIV/0!</v>
      </c>
      <c r="L62" s="60" t="e">
        <f t="shared" si="32"/>
        <v>#DIV/0!</v>
      </c>
      <c r="M62" s="61" t="e">
        <f t="shared" si="33"/>
        <v>#DIV/0!</v>
      </c>
    </row>
    <row r="63" spans="1:13">
      <c r="A63" s="27"/>
      <c r="B63" s="35">
        <v>7</v>
      </c>
      <c r="C63" s="29">
        <f t="shared" si="26"/>
        <v>1</v>
      </c>
      <c r="D63" s="30">
        <v>0</v>
      </c>
      <c r="E63" s="29">
        <f t="shared" si="27"/>
        <v>0</v>
      </c>
      <c r="F63" s="31">
        <f t="shared" si="28"/>
        <v>45178</v>
      </c>
      <c r="G63" s="34"/>
      <c r="H63" s="33"/>
      <c r="I63" s="33">
        <f t="shared" si="29"/>
        <v>0</v>
      </c>
      <c r="J63" s="33">
        <f t="shared" si="30"/>
        <v>0</v>
      </c>
      <c r="K63" s="31">
        <f t="shared" si="31"/>
        <v>0</v>
      </c>
      <c r="L63" s="60">
        <f t="shared" si="32"/>
        <v>0</v>
      </c>
      <c r="M63" s="61">
        <f t="shared" si="33"/>
        <v>0</v>
      </c>
    </row>
    <row r="64" spans="1:13">
      <c r="A64" s="27"/>
      <c r="B64" s="35">
        <v>7</v>
      </c>
      <c r="C64" s="29">
        <f t="shared" si="26"/>
        <v>1</v>
      </c>
      <c r="D64" s="30">
        <v>28</v>
      </c>
      <c r="E64" s="29">
        <f t="shared" si="27"/>
        <v>28</v>
      </c>
      <c r="F64" s="31">
        <f t="shared" si="28"/>
        <v>45206</v>
      </c>
      <c r="G64" s="34"/>
      <c r="H64" s="33"/>
      <c r="I64" s="33">
        <f t="shared" si="29"/>
        <v>0</v>
      </c>
      <c r="J64" s="33">
        <f t="shared" si="30"/>
        <v>0</v>
      </c>
      <c r="K64" s="31">
        <f t="shared" si="31"/>
        <v>0</v>
      </c>
      <c r="L64" s="60">
        <f t="shared" si="32"/>
        <v>0</v>
      </c>
      <c r="M64" s="61">
        <f t="shared" si="33"/>
        <v>0</v>
      </c>
    </row>
    <row r="65" spans="1:13">
      <c r="A65" s="27"/>
      <c r="B65" s="35">
        <v>13</v>
      </c>
      <c r="C65" s="29">
        <f t="shared" si="26"/>
        <v>1.85714285714286</v>
      </c>
      <c r="D65" s="30">
        <v>95</v>
      </c>
      <c r="E65" s="29">
        <f t="shared" si="27"/>
        <v>51.1538461538462</v>
      </c>
      <c r="F65" s="31">
        <f t="shared" si="28"/>
        <v>45229.1538461538</v>
      </c>
      <c r="G65" s="34"/>
      <c r="H65" s="33"/>
      <c r="I65" s="33">
        <f t="shared" si="29"/>
        <v>0</v>
      </c>
      <c r="J65" s="33">
        <f t="shared" si="30"/>
        <v>0</v>
      </c>
      <c r="K65" s="31">
        <f t="shared" si="31"/>
        <v>0</v>
      </c>
      <c r="L65" s="60">
        <f t="shared" si="32"/>
        <v>0</v>
      </c>
      <c r="M65" s="61">
        <f t="shared" si="33"/>
        <v>0</v>
      </c>
    </row>
    <row r="66" spans="1:13">
      <c r="A66" s="27"/>
      <c r="B66" s="35">
        <v>6</v>
      </c>
      <c r="C66" s="29">
        <f t="shared" si="26"/>
        <v>0.857142857142857</v>
      </c>
      <c r="D66" s="30">
        <v>29</v>
      </c>
      <c r="E66" s="29">
        <f t="shared" si="27"/>
        <v>33.8333333333333</v>
      </c>
      <c r="F66" s="31">
        <f t="shared" si="28"/>
        <v>45211.8333333333</v>
      </c>
      <c r="G66" s="34"/>
      <c r="H66" s="33"/>
      <c r="I66" s="33">
        <f t="shared" si="29"/>
        <v>0</v>
      </c>
      <c r="J66" s="33">
        <f t="shared" si="30"/>
        <v>0</v>
      </c>
      <c r="K66" s="31">
        <f t="shared" si="31"/>
        <v>0</v>
      </c>
      <c r="L66" s="60">
        <f t="shared" si="32"/>
        <v>0</v>
      </c>
      <c r="M66" s="61">
        <f t="shared" si="33"/>
        <v>0</v>
      </c>
    </row>
    <row r="67" spans="1:14">
      <c r="A67" s="36"/>
      <c r="B67" s="37">
        <v>48</v>
      </c>
      <c r="C67" s="38">
        <f t="shared" si="26"/>
        <v>6.85714285714286</v>
      </c>
      <c r="D67" s="39">
        <v>172</v>
      </c>
      <c r="E67" s="38">
        <f t="shared" si="27"/>
        <v>25.0833333333333</v>
      </c>
      <c r="F67" s="40">
        <f t="shared" si="28"/>
        <v>45203.0833333333</v>
      </c>
      <c r="G67" s="41"/>
      <c r="H67" s="42"/>
      <c r="I67" s="42">
        <f t="shared" si="29"/>
        <v>0</v>
      </c>
      <c r="J67" s="42">
        <f t="shared" si="30"/>
        <v>0</v>
      </c>
      <c r="K67" s="43">
        <f t="shared" si="31"/>
        <v>0</v>
      </c>
      <c r="L67" s="62">
        <f t="shared" si="32"/>
        <v>0</v>
      </c>
      <c r="M67" s="63">
        <f t="shared" si="33"/>
        <v>0</v>
      </c>
      <c r="N67">
        <v>140</v>
      </c>
    </row>
    <row r="68" spans="1:13">
      <c r="A68" s="27"/>
      <c r="B68" s="35"/>
      <c r="C68" s="29"/>
      <c r="D68" s="30"/>
      <c r="E68" s="29"/>
      <c r="F68" s="31"/>
      <c r="G68" s="34"/>
      <c r="H68" s="33"/>
      <c r="I68" s="33"/>
      <c r="J68" s="33"/>
      <c r="K68" s="31"/>
      <c r="L68" s="60"/>
      <c r="M68" s="61"/>
    </row>
    <row r="69" spans="1:13">
      <c r="A69" s="27"/>
      <c r="B69" s="35"/>
      <c r="C69" s="29"/>
      <c r="D69" s="30"/>
      <c r="E69" s="29"/>
      <c r="F69" s="31"/>
      <c r="G69" s="34"/>
      <c r="H69" s="33"/>
      <c r="I69" s="33"/>
      <c r="J69" s="33"/>
      <c r="K69" s="31"/>
      <c r="L69" s="60"/>
      <c r="M69" s="61"/>
    </row>
    <row r="70" spans="1:13">
      <c r="A70" s="27"/>
      <c r="B70" s="35"/>
      <c r="C70" s="29"/>
      <c r="D70" s="30"/>
      <c r="E70" s="29"/>
      <c r="F70" s="31"/>
      <c r="G70" s="34"/>
      <c r="H70" s="33"/>
      <c r="I70" s="33"/>
      <c r="J70" s="33"/>
      <c r="K70" s="31"/>
      <c r="L70" s="60"/>
      <c r="M70" s="61"/>
    </row>
    <row r="71" spans="1:13">
      <c r="A71" s="27"/>
      <c r="B71" s="35"/>
      <c r="C71" s="29"/>
      <c r="D71" s="30"/>
      <c r="E71" s="29"/>
      <c r="F71" s="31"/>
      <c r="G71" s="34"/>
      <c r="H71" s="33"/>
      <c r="I71" s="33"/>
      <c r="J71" s="33"/>
      <c r="K71" s="31"/>
      <c r="L71" s="60"/>
      <c r="M71" s="61"/>
    </row>
    <row r="72" spans="1:13">
      <c r="A72" s="27"/>
      <c r="B72" s="35"/>
      <c r="C72" s="29"/>
      <c r="D72" s="30"/>
      <c r="E72" s="29"/>
      <c r="F72" s="31"/>
      <c r="G72" s="34"/>
      <c r="H72" s="33"/>
      <c r="I72" s="33"/>
      <c r="J72" s="33"/>
      <c r="K72" s="31"/>
      <c r="L72" s="60"/>
      <c r="M72" s="61"/>
    </row>
    <row r="73" spans="1:13">
      <c r="A73" s="27"/>
      <c r="B73" s="35"/>
      <c r="C73" s="29"/>
      <c r="D73" s="30"/>
      <c r="E73" s="29"/>
      <c r="F73" s="31"/>
      <c r="G73" s="34"/>
      <c r="H73" s="33"/>
      <c r="I73" s="33"/>
      <c r="J73" s="33"/>
      <c r="K73" s="31"/>
      <c r="L73" s="60"/>
      <c r="M73" s="61"/>
    </row>
    <row r="74" spans="1:13">
      <c r="A74" s="27"/>
      <c r="B74" s="35"/>
      <c r="C74" s="29"/>
      <c r="D74" s="30"/>
      <c r="E74" s="29"/>
      <c r="F74" s="31"/>
      <c r="G74" s="34"/>
      <c r="H74" s="33"/>
      <c r="I74" s="33"/>
      <c r="J74" s="33"/>
      <c r="K74" s="31"/>
      <c r="L74" s="60"/>
      <c r="M74" s="61"/>
    </row>
    <row r="75" spans="1:13">
      <c r="A75" s="27"/>
      <c r="B75" s="35"/>
      <c r="C75" s="29"/>
      <c r="D75" s="30"/>
      <c r="E75" s="29"/>
      <c r="F75" s="31"/>
      <c r="G75" s="34"/>
      <c r="H75" s="33"/>
      <c r="I75" s="33"/>
      <c r="J75" s="33"/>
      <c r="K75" s="31"/>
      <c r="L75" s="60"/>
      <c r="M75" s="61"/>
    </row>
  </sheetData>
  <mergeCells count="3">
    <mergeCell ref="F4:F5"/>
    <mergeCell ref="L4:L5"/>
    <mergeCell ref="M4:M5"/>
  </mergeCells>
  <pageMargins left="0.75" right="0.75" top="1" bottom="1" header="0.511805555555556" footer="0.511805555555556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21" sqref="I21"/>
    </sheetView>
  </sheetViews>
  <sheetFormatPr defaultColWidth="8.89166666666667" defaultRowHeight="13.5"/>
  <cols>
    <col min="1" max="1" width="7.66666666666667" customWidth="1"/>
    <col min="2" max="2" width="8.55833333333333" customWidth="1"/>
    <col min="4" max="4" width="10.775" customWidth="1"/>
    <col min="5" max="5" width="9" customWidth="1"/>
    <col min="8" max="8" width="9" customWidth="1"/>
  </cols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stephenyip</dc:creator>
  <cp:lastModifiedBy>家国</cp:lastModifiedBy>
  <dcterms:created xsi:type="dcterms:W3CDTF">2019-09-06T01:14:00Z</dcterms:created>
  <dcterms:modified xsi:type="dcterms:W3CDTF">2024-03-14T01:40:49Z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BE903252B06B483BA541009324AE865B</vt:lpwstr>
  </property>
</Properties>
</file>