
<file path=[Content_Types].xml><?xml version="1.0" encoding="utf-8"?>
<Types xmlns="http://schemas.openxmlformats.org/package/2006/content-types">
  <Default Extension="xml" ContentType="application/xml"/>
  <Default Extension="png" ContentType="image/png"/>
  <Default Extension="jpeg" ContentType="image/jpe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Height="17775" tabRatio="922" activeTab="2"/>
  </bookViews>
  <sheets>
    <sheet name="美国加拿大船期表" sheetId="40" r:id="rId1"/>
    <sheet name="发货须知（重要）" sheetId="35" r:id="rId2"/>
    <sheet name="目录" sheetId="2" r:id="rId3"/>
    <sheet name="加拿大空运专线（包税）" sheetId="42" r:id="rId4"/>
    <sheet name="加拿大限时达-海派报价" sheetId="43" r:id="rId5"/>
    <sheet name="加拿大限时达-卡车专线" sheetId="93" r:id="rId6"/>
    <sheet name="加拿大极速上架专线" sheetId="98" r:id="rId7"/>
    <sheet name="加拿大卡派专线" sheetId="45" r:id="rId8"/>
    <sheet name="美国空运专线（包税）" sheetId="38" r:id="rId9"/>
    <sheet name="美国化妆品空运专线（包税）" sheetId="91" r:id="rId10"/>
    <sheet name="美国普船直拼" sheetId="37" r:id="rId11"/>
    <sheet name="洛杉矶专线" sheetId="89" r:id="rId12"/>
    <sheet name="美国极速上架专线" sheetId="97" r:id="rId13"/>
    <sheet name="美森海卡专线（卡派）" sheetId="73" r:id="rId14"/>
    <sheet name="奥克兰专线" sheetId="96" r:id="rId15"/>
    <sheet name="美东专线" sheetId="68" r:id="rId16"/>
    <sheet name="芝加哥专线" sheetId="67" r:id="rId17"/>
    <sheet name="萨凡纳专线" sheetId="87" r:id="rId18"/>
    <sheet name="以星海卡限时达" sheetId="77" r:id="rId19"/>
    <sheet name="美国DG专线" sheetId="88" r:id="rId20"/>
    <sheet name="美国海派专线-综合报价" sheetId="12" r:id="rId21"/>
    <sheet name="加拿大海派专线" sheetId="44" r:id="rId22"/>
    <sheet name="加拿大限时达-化妆品海派报价" sheetId="58" r:id="rId23"/>
    <sheet name="加拿大限时达-化妆品卡车专线" sheetId="92" r:id="rId24"/>
    <sheet name="加拿大化妆品专线卡派包税" sheetId="90" r:id="rId25"/>
    <sheet name="加拿大DG卡派专线" sheetId="95" r:id="rId26"/>
    <sheet name="加拿大FBA仓对照表" sheetId="54" r:id="rId27"/>
    <sheet name="美国包税产品附加费" sheetId="47" r:id="rId28"/>
    <sheet name="美国仓库地址" sheetId="55" r:id="rId29"/>
  </sheets>
  <definedNames>
    <definedName name="_xlnm.Print_Area" localSheetId="20">'美国海派专线-综合报价'!#REF!</definedName>
  </definedNames>
  <calcPr calcId="144525" concurrentCalc="0"/>
</workbook>
</file>

<file path=xl/sharedStrings.xml><?xml version="1.0" encoding="utf-8"?>
<sst xmlns="http://schemas.openxmlformats.org/spreadsheetml/2006/main" count="6307" uniqueCount="3617">
  <si>
    <t>新势力一月第二周船期表(1.13-1.19日）</t>
  </si>
  <si>
    <t>渠道名称</t>
  </si>
  <si>
    <t>预配船公司</t>
  </si>
  <si>
    <t>船名航次</t>
  </si>
  <si>
    <t>装柜地点</t>
  </si>
  <si>
    <t>起运港</t>
  </si>
  <si>
    <t>截货入仓时间</t>
  </si>
  <si>
    <t>预计开船</t>
  </si>
  <si>
    <t>预计到港</t>
  </si>
  <si>
    <t>船期</t>
  </si>
  <si>
    <t>美森正班</t>
  </si>
  <si>
    <t>MAT  CLX</t>
  </si>
  <si>
    <t>LURLINE 086E</t>
  </si>
  <si>
    <t>广州 深圳 义乌</t>
  </si>
  <si>
    <t>上海-长滩</t>
  </si>
  <si>
    <t>MAX快线</t>
  </si>
  <si>
    <t>MAT  MAX</t>
  </si>
  <si>
    <t>MATSON OAHU 021E</t>
  </si>
  <si>
    <t>以星快船（合德统配）</t>
  </si>
  <si>
    <t>ZIM  ZEX</t>
  </si>
  <si>
    <t>ZIM Eagle 7E</t>
  </si>
  <si>
    <t>盐田-长滩</t>
  </si>
  <si>
    <t>合德定提</t>
  </si>
  <si>
    <t>船名航次待定</t>
  </si>
  <si>
    <t>洛杉矶专线</t>
  </si>
  <si>
    <t>OOCL  PSX</t>
  </si>
  <si>
    <t>空班</t>
  </si>
  <si>
    <t>华南船期</t>
  </si>
  <si>
    <t>OOCL  PVCS</t>
  </si>
  <si>
    <t>COSCO SHIPPING ANDES 041E</t>
  </si>
  <si>
    <t>奥克兰专线</t>
  </si>
  <si>
    <t>EMC  HTW</t>
  </si>
  <si>
    <t>EVER MAGI 0010-005E</t>
  </si>
  <si>
    <t>盐田-奥克兰</t>
  </si>
  <si>
    <t>纽约专线</t>
  </si>
  <si>
    <t>CMA  SAX</t>
  </si>
  <si>
    <t>COSCO SHIPPING PEONY 032E</t>
  </si>
  <si>
    <t>盐田-纽约</t>
  </si>
  <si>
    <t>萨凡纳专线</t>
  </si>
  <si>
    <t>EMC  AUE</t>
  </si>
  <si>
    <t>EVER MAX 1289-009E</t>
  </si>
  <si>
    <t>盐田-萨凡纳</t>
  </si>
  <si>
    <t>休斯顿专线</t>
  </si>
  <si>
    <t>EMC  GME</t>
  </si>
  <si>
    <t xml:space="preserve">OOCL SOUTHAMPTON  128E </t>
  </si>
  <si>
    <t>盐田-休斯顿</t>
  </si>
  <si>
    <t>EMC  PCC1</t>
  </si>
  <si>
    <t>CSCL BOHAI SEA 067E</t>
  </si>
  <si>
    <t>华东船期</t>
  </si>
  <si>
    <t>宁波-长滩</t>
  </si>
  <si>
    <t>OOCL BAUHINIA 002E</t>
  </si>
  <si>
    <t>COSCO  AAC</t>
  </si>
  <si>
    <t>SM BUSAN 2501E</t>
  </si>
  <si>
    <t>EMC  CPS</t>
  </si>
  <si>
    <t>EVER FRANK 1152-023E</t>
  </si>
  <si>
    <t>宁波-奥克兰</t>
  </si>
  <si>
    <t>EMC  NUE2</t>
  </si>
  <si>
    <t>OOCL SINGAPORE 057E</t>
  </si>
  <si>
    <t>上海-纽约</t>
  </si>
  <si>
    <t>EMC  NUE</t>
  </si>
  <si>
    <t>EVER FULL 1198E</t>
  </si>
  <si>
    <t>宁波-萨凡纳</t>
  </si>
  <si>
    <t>加拿大专线</t>
  </si>
  <si>
    <t>SML  PNS</t>
  </si>
  <si>
    <t>SM QINGDAO 2501E</t>
  </si>
  <si>
    <t>宁波-温哥华</t>
  </si>
  <si>
    <t>BELLAVIA 058N</t>
  </si>
  <si>
    <t>宁波-多伦多</t>
  </si>
  <si>
    <t>COSCO  OPNW</t>
  </si>
  <si>
    <t>盐田-温哥华</t>
  </si>
  <si>
    <t>盐田-多伦多</t>
  </si>
  <si>
    <t>新锐之力，物流领航
势兴之光，速达北美
力求卓越，服务至上</t>
  </si>
  <si>
    <t>新势力国际供应链</t>
  </si>
  <si>
    <t>发 货 须 知</t>
  </si>
  <si>
    <t>产品说明</t>
  </si>
  <si>
    <t>1.带电产品</t>
  </si>
  <si>
    <t>需要提供MSDS 海运鉴定报告 38.3经船司审核通过之后方可接货，（100Wh以下请直接发资料给操作找船东确认并详细说明需要走的渠道和目的地，100Wh以上请直接找渠道确认是否可以走DG渠道）</t>
  </si>
  <si>
    <t>2.商标和认证</t>
  </si>
  <si>
    <t>国外清关注意产品是否需要认证，是否侵权；像蓝牙、UL、蓝牙类产品要有蓝牙证书，UL灯产品，要有UL证书，FCC,DOT等，FDA管制的产品需要有MEDICAL DEVICE ID B证书是要真实的，不能是虚假的，如果是虚假，万一查验，有可能货物被没收，或者扣留，蓝牙证书有，BQB ，LOI。请务必留意，产品上的证书必须和所出的产品匹配,产品证书一般都会对产品上印制的认证LOGO的形状，大小，规格有要求，只能按照证书的要求去印制LOGO；</t>
  </si>
  <si>
    <t>3.涉及FDA EPA DOT类等产品</t>
  </si>
  <si>
    <t>FDA申报类
1. 食物以及和食物直接接触的一切用品或者器皿：
A. 食物：茶叶，狗粮等 
B. 锅，碗，杯子，勺子，刀叉，饭盒，烤架，烤架配件，蛋糕模具，水壶，玻璃杯，厨房用电子秤，碎肉机，松肉器，高压锅，醒酒器等(直接与食品接触的）
2. 放射性产品及相关产品：A. 有LED的灯具，例如： LIGHT (LED);     B. 激光类产品，红外线类产品，紫外线类产品等；3D打印机，雕刻机 C. 含Radio frequency   Radiation的产品，比如硬盘录像机，液晶显示器，音视屏播放器等；   D. 陶瓷类产品：一切陶瓷制品，可能含铅，对人体有害。如，陶瓷菩萨，陶瓷砖，陶瓷盘碗，勺子等。
3. 美容护肤化妆品：A, 美容美发产品: 假发，卷发棒等    B. 接接触人体并带一定功能作用的产品及其容器：如洗护用品（香皂，沐浴盐球，沐浴露，发膜，洗发水，指甲油，睫毛膏，修眉眼脚的物品），护肤用品（精油，藻泥等），以及装这些用品的容器，如，精油瓶等，美容机器类，比如，黑头仪，蒸脸器，热蜡机，粉刺针，嫩肤仪等。
4. 带医疗辅助功能产品：（必须是非医用，医用产品必须要产品FDA认证并绑定我司注册过FDA的进口商才可以清关，医疗用品也要进行FDA申报）护膝，护腰带，背背佳，等。
5. 其他：VR眼镜等</t>
  </si>
  <si>
    <t>FDA认证类： 此类产品全部需要FDA申报
医疗用品：
清关要求：1. 制造商FDA注册号，制造商DUNS号码；2. 产品DEVICE LISTING#； 3. 美国进口商（美国本土公司）FDA注册号；4. 产品与美国进口商绑定；5. 美国进口商有效年磅; 6. 产品及包装贴与FDA注册一致的生产商信息及产品型号及符合FDA要求的合规包装信息
如，轮椅，腹贴, 止鼾带, 按摩器，吸奶器；拐杖，冰袋，即冷热敷袋，筋膜枪，牙蜡，牙线 ， 口罩，牙刷，牙刷头，人体温度计，口罩，防护服，冲牙器，雾化器，关节保护套，尿袋，血氧仪，美容面罩等， 以美国FDA部门判定为准
各类特殊功能眼镜：
清关要求：1. 制造商FDA注册号，制造商DUNS号码；2. 产品DEVICE LISTING#； 3. 美国进口商（美国本土公司）FDA注册号；4. 产品与美国进口商绑定；5. 美国进口商有效年磅; 6. 有效的滴球测试报告；7. 产品及包装贴与FDA注册一致的生产商信息及产品型号及符合FDA要求的合规包装信息
如，太阳眼镜，蓝光眼镜，老花镜（含度数）等
食物（新势力拒收）：
清关要求（罐头食品除外）：1.客户自己做出口报关商检； 2. 真实有效的FDA注册信息；3.制造商DUNS号码；4. 产品及包装印刷与FDA注册一致的制造商信息。
如茶叶，狗粮，食品添加剂等
激光类产品：3D打印机，雕刻机
清关要求：需提供ACCESSION NO. 
辐射类产品：如红外线类产品，紫外线类产品等；
清关要求：需提供ACCESSION NO. 如果同时带有消毒功能，还要符合医疗产品清关要求， 如紫外线消毒灯，消毒柜等。</t>
  </si>
  <si>
    <t>DOT认证类（也需要DOT申报）：主要是汽车和汽车的部件，如汽车大灯，刹车片，汽车引擎，电动摩托车等；
DOT申报类：主要是汽车配件，汽车灯类</t>
  </si>
  <si>
    <t>EPA认证类：所有燃油发动机及带燃油发动机的机器设备，都要有EPA认证，同时，包装和标签应该满足EPA法规的要求，即产品有ECI标签，而且必须在外包装打上生产厂家的商号(EPA Establishment Number)， 如：空气净化器，空气加湿器，挖坑机，打桩机，吹叶机，绿篱机和动力油锯等，灭蚊灯，燃油的马达，发动机，苍蝇贴。
EPA申报类：带电动马达，电动电机，电动引擎的产品，比如电动平衡车，电动水泵等  含油墨，颜料的产品，如圆珠笔，颜料，需要填写无毒证明
清洁剂 胶水类产品，可能会对环境造成影响，需要填写无毒证明  复合木材产品，因为含甲醛，很有可能会对人体造成伤害。</t>
  </si>
  <si>
    <t>USDA部门监管：含动物成份产品，比如真羽毛，美国进口商需要在出货前获得从农业部批准的许可证:VETERINARY SERVICE PERMIT。
含有植物成分的产品，主要是原木，即未处理过的（未加工，未抛光，未上漆的），尤其是带树皮的原木，美国进口商需要在出货前获得从农业部批准的许可证: APHIS PERMITE</t>
  </si>
  <si>
    <t>Lacey申报: 涉及植物类，木制品，竹制品以及藤制品，</t>
  </si>
  <si>
    <t>4.玩具类</t>
  </si>
  <si>
    <t>玩具到美国清关都需要提供TESTING REPORT,产品要贴玩具的TRACKING LABEL. 另外还需要做CPC证书（我司有模板），这些资料齐了才能接货,如果没有，货物可能将会被没收或退运。</t>
  </si>
  <si>
    <t>注意事项</t>
  </si>
  <si>
    <t>1、此渠道申报的中英文品名以及产品数量，务必以实际为准，如出现瞒报、冲货等现象，经仓库 海关查验所产生的罚金以及额外费用，均有贵司自行承担。【罚金RMB5000 品名以上】</t>
  </si>
  <si>
    <t>2、如因客户产品自身问题：产品不具备CE认证，没有贴CE标签或者产品配件不符合欧盟国家的要求等原因导致海关扣关。我司会负责协助清关处理，但不承担责任</t>
  </si>
  <si>
    <t>3、产品没有如实申报、侵犯知识产权或者欧盟禁止进口导致海关扣关。</t>
  </si>
  <si>
    <t>4、当地海关认定货物是品牌货物，或者如蓝牙、HDMI、FDA、FCC、Lacey Act、DOT（不限于以上列举）等等认证的问题，或者货物属于当地反倾销货物或不符合当地进口要求的货物，发件人应于发货前提供相应授权书或认证报告，如未提供导致货物扣关甚至退运而产生的，所有责任和相关费用将由发件人承担。</t>
  </si>
  <si>
    <t>5、此渠道交货后，需更改派送地址、须在我司出仓前提出申请，出仓后只能尝试性扣货并且会产生额外的费用。</t>
  </si>
  <si>
    <t>赔偿说明</t>
  </si>
  <si>
    <t>1)丢件赔偿：未上网提取丢件，参考按申报价值或运费最高不超过RMB20 KG加不退运费赔偿方案</t>
  </si>
  <si>
    <t>2）整箱丢失无法证明该箱重量,产品数量和品名按单箱平均申报价值计算,如平均货值高于平均重量乘以RMB20 KG+不退运费.</t>
  </si>
  <si>
    <t>3）非整箱丢失的, 不予赔偿。已上网提取丢件，按申报价值赔偿最高不超过100美金 票。</t>
  </si>
  <si>
    <t>4）索赔程序：同批次货物派送后，请客户在签收后7-10个工作日内查询FBA后台是否上架，如递送后45个工作日内提供货物未上架，请提供后台截图至我司客服，开启索赔程序(需带有电脑屏幕右下角当下真实时间)；如递送后超过20工作日未开启索赔程序的，不予受理。</t>
  </si>
  <si>
    <t>5）扣关赔偿：如因发件人低申报、品名申报不符、产品涉及反倾销、认证、侵权等不符合当地法规的，由此产生的责任和损失，由发件人承担，我司保留追究法律责任的权利且不予任何赔偿。</t>
  </si>
  <si>
    <r>
      <rPr>
        <sz val="11"/>
        <color rgb="FFFF0000"/>
        <rFont val="微软雅黑"/>
        <charset val="134"/>
      </rPr>
      <t>6) 卡派服务，签收后超过60个日然日，由于FBA货件编码失效，导致ISA失效，故无法受理提供ISA和赔付</t>
    </r>
    <r>
      <rPr>
        <b/>
        <sz val="11"/>
        <color indexed="10"/>
        <rFont val="微软雅黑"/>
        <charset val="134"/>
      </rPr>
      <t>。</t>
    </r>
  </si>
  <si>
    <r>
      <rPr>
        <sz val="11"/>
        <color rgb="FFFF0000"/>
        <rFont val="微软雅黑"/>
        <charset val="134"/>
      </rPr>
      <t>7）UPS交仓后，如出现漏扫描的情况，无延时赔付。UPS索赔申请，需在Lable Created 60天内，如超60天，我司会协助向UPS开查，但不给予赔偿</t>
    </r>
    <r>
      <rPr>
        <b/>
        <sz val="11"/>
        <color indexed="10"/>
        <rFont val="微软雅黑"/>
        <charset val="134"/>
      </rPr>
      <t>。</t>
    </r>
  </si>
  <si>
    <t>8) 敏感产品：例如遇到产品带UL，HDMI，三叉等产品，因无法提符合要求的产品认证 授权，导致货物损失，我司不承担任何风险。建议您单价+1元 KG，购买新势力保险。如遇到有清关查验，无法清关的情况，我司会按照40元 KG赔偿（不退运费），请知悉！</t>
  </si>
  <si>
    <t>关于不包税渠道，注意事项：</t>
  </si>
  <si>
    <t>1）下单时需要提供产品的销售链接；无销售链接的情况，会根据亚马逊美国站同款 类似款式的产品，采用平均售价方式，核定销售单价；</t>
  </si>
  <si>
    <t>2）根据申报总额预收关税，计算公式如下：预收关税=（申报总额*税率）+（申报总额*港建费0.125%）+（申报总额*商品处理费0.3464%）；</t>
  </si>
  <si>
    <t>3）不包税渠道：不含关税的税费，查验及查验而产生的查验费，仓租，柜租，托架等相关费用实报实销；查验及查验相关费用统一按65CBM摊分；查验而产生的相关费用，请在出具账单2天内完成支付，逾期导致扣货等相关费用，客户自行承担。</t>
  </si>
  <si>
    <t>备注</t>
  </si>
  <si>
    <t>1、如亚马逊或者海外仓仓库因包装问题产生拒收等原因，我司不承担任何责任，我司不再对包装做任何审核.发往亚马逊货物请自行贴好入仓FBA标签贴纸，每件外箱包装上须粘贴2个以上合格的FBA标签贴纸并用透明胶布覆盖(必须达到条码字体清晰、防潮湿耐磨损)，如因FBA标签不能被识别导致无法派送入亚玛逊仓库所带来的后果将由发件人自行承担！</t>
  </si>
  <si>
    <t>2、租用货拉拉或外地客户通过物流发货到我司, 须按我司流程提前向我司客服提交&lt;货拉拉交货清单&gt;, 样本请联系我司客服, 货拉拉司机到仓后须填写&lt;货拉拉交货清单&gt;</t>
  </si>
  <si>
    <t>3、我司无法保证逐一审核所有货物发票、箱单、外箱包装等，若申报的产品品名，数量与实际不符或货物包装所产生的任何问题和费用，由发件方承担，我司不承担任何责任；</t>
  </si>
  <si>
    <t>温馨提示</t>
  </si>
  <si>
    <t>1） 交货时请备注好清楚的交货代码渠道,若备注不清晰,我司一律以该服务商最贵的渠道结算；</t>
  </si>
  <si>
    <t>2） 交货时请将清单、面单、发票等检查清楚，是否互相统一，若出现其中二者不符，我司不予收货操作！</t>
  </si>
  <si>
    <t>3）此渠道需现结支付货款，申报的产品品名，种类，数量与实际不符、侵权、货物本身问题所产生的任何问题，我司不承担任何责任；</t>
  </si>
  <si>
    <t>弃货</t>
  </si>
  <si>
    <t>1)海关查验时长产生的额外费用大于货值，建议弃货处理，具体额外费用，实报实销。</t>
  </si>
  <si>
    <t>拒收产品：美国对华反侵销类目</t>
  </si>
  <si>
    <t>https:  www.usitc.gov trade_remedy 731_ad_701_cvd investigations.htm</t>
  </si>
  <si>
    <t>1：贱金属及其制品---钢钉、钢管、碳合金钢丝条、金属硅、金刚石锯片、不锈钢加压管、定尺碳素钢板、石油专用管材、冷轴碳钢、薄壁矩形钢管、熨衣架及部件、螺纹钢筋、弹簧垫圈、非封闭内置弹簧部件、不锈钢拉制深水槽、冷轧钢板、无缝碳钢和合金钢标准管、管线管和压力管、圆锥滚子轴承、铸铁件、金属镁、镀锌板、重锻造手动工具（斧子、撬杠、锤子、镐头）钢制高压气瓶；</t>
  </si>
  <si>
    <t>2：化学产品---己内酰胺（又称碳酸锂）、聚对苯二甲酸乙二酯膜片和条、聚乙烯醇、高锰酸钾、三聚氰胺、天然猪鬃油漆刷及刷头；</t>
  </si>
  <si>
    <t>3：杂项制品---木制卧室家具、复合木地板、非晶硅织物、晶体硅光伏电池、小直径石墨电极；</t>
  </si>
  <si>
    <t>4：机械电气设备及部件---滚球轴承、汽车挡风玻璃、刹车鼓与刹车转子；</t>
  </si>
  <si>
    <t>5：纸及纸制品---铜版纸、格记录纸、薄绵纸、折叠礼品盒、皱纹纸、无涂层纸；</t>
  </si>
  <si>
    <t>6：纺织制品---聚酯人造纤维、画布、编织电热毯；</t>
  </si>
  <si>
    <t>7：预制食品与饮料---淹渍蘑菇罐头、柠檬酸与柠檬酸盐、华糖醇、冷冻的和罐装的暖水虾；</t>
  </si>
  <si>
    <t>8：塑料与橡胶制品---复合编织袋、聚乙烯手提袋、新充气工程机械轮胎；</t>
  </si>
  <si>
    <t>9:   矿石及矿物燃料---钻石锯条及部件；</t>
  </si>
  <si>
    <t>10：家用电器---彩色电视机、家用大型洗衣机；</t>
  </si>
  <si>
    <t>11：车船运输设备及部件---自行车、手推车；</t>
  </si>
  <si>
    <t>12：建材与玻璃制品---铝型材、双轴土工格栅、镁碳砖；</t>
  </si>
  <si>
    <t>13：蔬菜产品---蜂蜜；</t>
  </si>
  <si>
    <t>14：关于品名接受与否问题，可与客服人员单寻；</t>
  </si>
  <si>
    <t>（本公司保留各条款的所有及最终解释权。如贵司一旦接受我司服务，我司默认贵司已详细阅读过此价格表及备注内容并接受各条款的约束。）</t>
  </si>
  <si>
    <r>
      <rPr>
        <b/>
        <i/>
        <sz val="20"/>
        <color theme="4" tint="-0.499984740745262"/>
        <rFont val="微软雅黑"/>
        <charset val="134"/>
      </rPr>
      <t>NEW POWER 新势力供应链产品报价单-让物流更便捷更省心.</t>
    </r>
    <r>
      <rPr>
        <b/>
        <sz val="20"/>
        <color theme="1" tint="0.0499893185216834"/>
        <rFont val="微软雅黑"/>
        <charset val="134"/>
      </rPr>
      <t xml:space="preserve">
</t>
    </r>
    <r>
      <rPr>
        <b/>
        <sz val="16"/>
        <color theme="1" tint="0.0499893185216834"/>
        <rFont val="微软雅黑"/>
        <charset val="134"/>
      </rPr>
      <t>生效时间：</t>
    </r>
    <r>
      <rPr>
        <b/>
        <sz val="16"/>
        <color rgb="FFFF0000"/>
        <rFont val="微软雅黑"/>
        <charset val="134"/>
      </rPr>
      <t xml:space="preserve">2025年1月14日 00:00
</t>
    </r>
    <r>
      <rPr>
        <b/>
        <sz val="28"/>
        <color rgb="FF0070C0"/>
        <rFont val="微软雅黑"/>
        <charset val="134"/>
      </rPr>
      <t>专注美国加拿大</t>
    </r>
    <r>
      <rPr>
        <b/>
        <sz val="28"/>
        <color rgb="FFFF0000"/>
        <rFont val="微软雅黑"/>
        <charset val="134"/>
      </rPr>
      <t xml:space="preserve">     </t>
    </r>
    <r>
      <rPr>
        <b/>
        <i/>
        <sz val="36"/>
        <color rgb="FFFF0000"/>
        <rFont val="微软雅黑"/>
        <charset val="134"/>
      </rPr>
      <t>跨境卖家24小时服务的美国加拿大物流负责人</t>
    </r>
  </si>
  <si>
    <t>序号</t>
  </si>
  <si>
    <t>目的国</t>
  </si>
  <si>
    <t>产品名称</t>
  </si>
  <si>
    <t>报价表</t>
  </si>
  <si>
    <t>渠道说明</t>
  </si>
  <si>
    <t>生效时间</t>
  </si>
  <si>
    <t>美国</t>
  </si>
  <si>
    <t>美国空运专线（包税）</t>
  </si>
  <si>
    <t>点击进入</t>
  </si>
  <si>
    <t>直飞航班，固定二四六航班，6-10个自然日签收</t>
  </si>
  <si>
    <t>2025年1月14日 00:00</t>
  </si>
  <si>
    <t>美国化妆品空运专线（包税）</t>
  </si>
  <si>
    <t>广州  香港直飞美国，固定航班，4-6个自然日提取</t>
  </si>
  <si>
    <t>美国普船整柜直送</t>
  </si>
  <si>
    <t>新势力主打渠道，亚马逊仓库的整柜直送，零丢货，专仓专送，安全稳定</t>
  </si>
  <si>
    <t>美国美森海卡专线</t>
  </si>
  <si>
    <t>美西拆派，美森正班11天到港；加班12天到港；时效有保障</t>
  </si>
  <si>
    <t>以星海卡限时达</t>
  </si>
  <si>
    <t>新势力主打渠道，最快的经济快线，高性价比之选</t>
  </si>
  <si>
    <t>美国极速上架专线（仅限华南）</t>
  </si>
  <si>
    <t>直航洛杉矶，后端卡车派送，OA统配服务，零丢货，安全稳定</t>
  </si>
  <si>
    <t>芝加哥专线</t>
  </si>
  <si>
    <t>直航芝加哥，后端卡车派送，OA统配服务，零丢货，安全稳定</t>
  </si>
  <si>
    <t>直航萨凡纳，后端卡车派送，OA统配服务，零丢货，安全稳定</t>
  </si>
  <si>
    <t>美东专线</t>
  </si>
  <si>
    <t>后端卡车派送，OA统配服务，零丢货，安全稳定</t>
  </si>
  <si>
    <t>美国DG专线</t>
  </si>
  <si>
    <t>纯电池，充电宝，等产品专属渠道</t>
  </si>
  <si>
    <t>美国海派专线-综合报价</t>
  </si>
  <si>
    <t>美森&amp;以星&amp;OA船司；洛杉矶拆柜，后端UPS快递派送</t>
  </si>
  <si>
    <t>加拿大</t>
  </si>
  <si>
    <t>加拿大空运专线（包税）</t>
  </si>
  <si>
    <t>直飞航班，固定一三五航班，6-12天内提取</t>
  </si>
  <si>
    <t>加拿大极速上架专线</t>
  </si>
  <si>
    <t>新势力主打渠道，固定周六截单，下周四开船，开船后35天内入仓上架！</t>
  </si>
  <si>
    <t>加拿大限时达-海派报价</t>
  </si>
  <si>
    <t>新势力主打渠道，美森正班&amp;加班转运多伦多提取，16-22天内提取</t>
  </si>
  <si>
    <t>{</t>
  </si>
  <si>
    <t>加拿大限时达-卡车专线</t>
  </si>
  <si>
    <t>加拿大限时达-化妆品海派报价</t>
  </si>
  <si>
    <t>加拿大限时达-化妆品卡车专线</t>
  </si>
  <si>
    <t>加拿大卡派专线</t>
  </si>
  <si>
    <t>直航性价比渠道，后端卡车派送，温哥华20~35天 多伦多30-50天</t>
  </si>
  <si>
    <t>加拿大海派专线</t>
  </si>
  <si>
    <t>直航性价比渠道，开船后25~35天温哥华提取</t>
  </si>
  <si>
    <t>加拿大化妆品专线卡派</t>
  </si>
  <si>
    <t>化妆品首选，直航性价比渠道，后端卡车派送， 多伦多30-50天</t>
  </si>
  <si>
    <t>加拿大DG柜专线</t>
  </si>
  <si>
    <t>纯电DG渠道（纯电池/电动车），正规DG申报，合规出海</t>
  </si>
  <si>
    <t>广州仓库地址：广州市白云区均禾街石马村唐龙南路  中国船舶工业区（自编6号）新势力国际供应链，梁先生，19924255871
东莞清溪地址：东莞市清溪镇大为路1号大为集团9号仓 新势力国际供应链 收货人：罗先生  182112601191
深圳坂田仓：广东省深圳市龙岗区坂田街道云力智谷产业园A栋101新势力国际供应链 收货人:  宋国伟  18948745545
义乌仓：义乌市城西街道西站大道889号铁路口岸二区 6 栋 1 层 29-36号门  收货人 何先生 13430241014
泉州仓：晋江市新华旭智慧产业园9栋(3-16号口)      收件人：何浩    15396505662 
山东仓：山东省青岛市城阳区普洛斯青岛港（西）物流园 双元路嵩山路8号  杨先生 18006525716</t>
  </si>
  <si>
    <t>特别提醒：客户发货前请详细阅读我司发货要求、赔偿规定及免责规定，默认发货即认可报价表所有内容。</t>
  </si>
  <si>
    <t>不可抗力因素</t>
  </si>
  <si>
    <t>以下为不可抗力因素：
1.由于目的地和起运地的法定假期导致的延误；
2.船公司船期改变导致的时效延误；
3.专线拥堵、事故引起的时效延误；
4.亚马逊爆仓、当地物流爆仓不收货导致的时效延误；
5.当地物流疏忽、疫情影响无法送仓、收件方拒收货物导致的时效延误；
6.货物不符合出口国或进口国的法律法规；
7.货物不符合进口国认证要求、货物侵犯知识产权、货物瞒报谎报；
8.进出口海关查验导致的时效延误；
9.自然灾害如台风、地震、洪水、冰雹；政府行为如征收、征用、政治事件等；
10.社会异常事件，如罢工、骚乱等。</t>
  </si>
  <si>
    <t>1.以上结算价格以实际入仓时间为准。
2.最晚提取保障为我司对产品质量的时效要求，海派渠道参考开船后第二天至首件提取时间，海卡渠道参考开船后第二天至首次预约派送时间。
3.参考时效仅作为客户订舱参考，不代表我司时效保证。
4.客户如未按约定时间付款，我司将自动取消所有时效延误赔付服务。</t>
  </si>
  <si>
    <t>加拿大空运专线（包税）
预计6-8自然日提取，带时效赔付，大陆航班不接带电.</t>
  </si>
  <si>
    <t>返回目录</t>
  </si>
  <si>
    <t>分区</t>
  </si>
  <si>
    <t>12KG+</t>
  </si>
  <si>
    <t>21KG+</t>
  </si>
  <si>
    <t>71KG+</t>
  </si>
  <si>
    <t>101KG+</t>
  </si>
  <si>
    <t>赔付标准</t>
  </si>
  <si>
    <t>温哥华亚马逊仓
YVR1-YVR4、YXX2
V开头邮编</t>
  </si>
  <si>
    <t>交货第二天起算                                          
超10工作日未提取                                       
延误赔偿1元/KG/工作日                                     
最高延误赔偿20元/KG                                
国内 国外假期不计算在内                                
提取当天不计算在内                                
海关查验、罢工、不可抗力因素除外</t>
  </si>
  <si>
    <t>卡尔加里 埃德蒙顿亚马逊仓
YYC1、YYC4、YYC6、YEG1、YEG2
T S开头邮编</t>
  </si>
  <si>
    <t>多伦多亚马逊仓
YYZ1-YYZ9、YOO1、YHM1、YXU1、PRTO、YGK1
R L N M P开头邮编</t>
  </si>
  <si>
    <t>渥太华 蒙特利尔亚马逊仓
YOW1-YOW3、YUL2
K H J G E B A C Y X开头邮编</t>
  </si>
  <si>
    <t>费用说明</t>
  </si>
  <si>
    <t>双清含税 ，以上价格已含燃油，及当地门到门派送服务；非FBA地址+2/ kg，单件不足12kg，按12kg计费</t>
  </si>
  <si>
    <t>1、双清含税到门。单件不够10kg按10kg计费，UPS派送，超50件需要分票。
2、单独报关加350元 票。
3、偏远加30元 件，普通偏远最低100元 票，超偏远最低200元 票，超距离最低800元 票。参考《加拿大偏远附加》，注意偏远查询以官网为准。洲名YT，NT，NU，岛屿无服务，邮编X0A-X9Z，Y0A-Y9Z 无服务。
4、总价值除总重量超30美金 kg加2元 kg，超60美金 kg加3元 kg，超80美金 kg单询。（与产品附加不叠加，取大者）
5、单票品名超5个加30元 个，单票品名限10个以内。
6、非方形或非纸箱包装（木箱，金属箱，蛇皮袋等非纸箱包装，桶装，条状等不规则形状）加180元 件。
7、以下情况之一加收180元 箱（不叠加）：
     ①单件包裹实重大于等于22KG，小于67KG；
     ②外围长【长+2*（宽+高）】大于等于263厘米，小于300厘米；
     ③包裹最长边大于等于118厘米，小于等于200厘米；
     ④第二长边大于等于75厘米；
外围长【长+2*（宽+高）】大于等于300厘米，小于395厘米，且单件包裹小于67KG，加超大件费1500元 箱。超大件单件计重不足41KG按41KG计费。
单件实重超67kg，最长边超200厘米，外围长【长+2*（宽+高）】超395厘米不接收。
8、更改地址按 25美金 件预收（最后以实际帐单*10%手续费）。UPS 联邦签收单3.5美金 件，不保证申请成功，没申请到不收费。
9、赔偿说明：
提取前丢失按箱单申报价值，最高不超过40元 KG，不退运费（走货前提前确认单价加1，赔偿可按退运费）
提取后丢失以UPS或联邦开查索赔为准，不退运费。
由于货物运输延误或者报关问题引起的其它损失、间接损失等，乙方不承担赔偿责任，即不承担连带责任。
特别说明：如因产品涉及反倾销、认证、侵权、不符合目的国进口要求，客户自身瞒报，漏报等情况，相关费用和责任由发件人承担。
免责声明：战争，爆乱，罢工，政治因素，自然灾害，疫情，恶劣天气（如暴风雪）等不可抗力因素导致货物延误，损坏、丢失，不受理赔偿。</t>
  </si>
  <si>
    <t>UPS派送--渠道名字</t>
  </si>
  <si>
    <t>加拿大限时达-美森正班快递派</t>
  </si>
  <si>
    <t>加拿大限时达-美森加班快递派</t>
  </si>
  <si>
    <t>加拿大限时达-普船快递派</t>
  </si>
  <si>
    <t>FBA仓库</t>
  </si>
  <si>
    <t>美森正班船CLX航线，五截三开</t>
  </si>
  <si>
    <t>美森加班船CLX+航线，五截四开</t>
  </si>
  <si>
    <t>COSCO快船；稳速达，六截四开</t>
  </si>
  <si>
    <t>计费重起收</t>
  </si>
  <si>
    <t>价格</t>
  </si>
  <si>
    <t>真实派送参考时效</t>
  </si>
  <si>
    <t>多伦多(YYZ1-YYZ9 YOO1 YHM1 YXU1)</t>
  </si>
  <si>
    <t>100KG+</t>
  </si>
  <si>
    <r>
      <rPr>
        <b/>
        <sz val="18"/>
        <color rgb="FFFF0000"/>
        <rFont val="微软雅黑"/>
        <charset val="134"/>
      </rPr>
      <t>UPS派送
开船后：15-17
自然日提取</t>
    </r>
    <r>
      <rPr>
        <b/>
        <sz val="12"/>
        <rFont val="微软雅黑"/>
        <charset val="134"/>
      </rPr>
      <t xml:space="preserve">
国内外海关查验、目的国节假日延误、亚马逊爆仓、天灾等不可抗力除外</t>
    </r>
  </si>
  <si>
    <r>
      <rPr>
        <b/>
        <sz val="18"/>
        <color rgb="FFFF0000"/>
        <rFont val="微软雅黑"/>
        <charset val="134"/>
      </rPr>
      <t>UPS派送
开船后：17-21
自然日提取</t>
    </r>
    <r>
      <rPr>
        <b/>
        <sz val="12"/>
        <rFont val="微软雅黑"/>
        <charset val="134"/>
      </rPr>
      <t xml:space="preserve">
国内外海关查验、目的国节假日延误、亚马逊爆仓、天灾等不可抗力除外</t>
    </r>
  </si>
  <si>
    <t>开船后32个自然日内提取；
国内外海关查验、目的国节假日延误、亚马逊爆仓、天灾等不可抗力除外</t>
  </si>
  <si>
    <t>渥太华(YOW1 YOW3 YUL2)</t>
  </si>
  <si>
    <t>温哥华(YVR1-YVR4 YXX2)</t>
  </si>
  <si>
    <t>卡尔加里(YYC1 YYC6 YEG1 YEG2)</t>
  </si>
  <si>
    <t>不足100KG+1/kg；附加费单询</t>
  </si>
  <si>
    <t>*本公司保留各条款的所有及最终解释权。如贵司一旦接受我司服务，我司默认贵司已详细阅读过此价格表及备注内容并接受各条款的约束*</t>
  </si>
  <si>
    <t>加拿大附加说明</t>
  </si>
  <si>
    <t>运输保险</t>
  </si>
  <si>
    <t>建议客户购买保险，保费按照保额的0.3%收取，最低60元 票。购买保险的货物，丢失可按保额赔偿；丢失货值低于1100元人民币不赔偿。
注：保险服务为额外的第三方服务，非强制购买，由客户自行衡量，如发生丢失我司会协助客户与保险公司进行索赔。</t>
  </si>
  <si>
    <t>入仓要求</t>
  </si>
  <si>
    <t>所有入仓的货物需要打印上入仓单，每个外箱上面需要贴箱唛。如没有贴箱唛，需要我司代贴箱唛按照1元 个加收，最低50元 票；
产品小标签收费0.5元 个，最低50元 票。如需要代贴FBA标签收费1元 张，换箱子收费30元 个；</t>
  </si>
  <si>
    <t>申报要求</t>
  </si>
  <si>
    <t>①不包税类渠道关税实报实销，为了对所有客户的货物安全负责，减少查验风险，顺利通关，所有货物申报价值不得低于亚马逊售价的30%；
②最低要求温哥华区域申报金额不低于400美金 方，多伦多区域申报金额不低于300美金 方；</t>
  </si>
  <si>
    <t>海外拦截费</t>
  </si>
  <si>
    <t>扣货操作费：200USD 票
扣货分拣费：0.5USD 箱（按柜子总箱数计算）
仓储费：10USD 方 天------拦截的货物没有免租期，到仓分拣出来后开始计算仓储费用
换标费：1USD 张------如需换标重发，则有换标费，没有特殊指令默认一件单标
打托费：25USD 托盘（平均1.5方 拖盘）</t>
  </si>
  <si>
    <t>尺寸重量要求</t>
  </si>
  <si>
    <t>UPS派送类
2024年1月2日更新</t>
  </si>
  <si>
    <t>①单件最低计费重10KG；
②单件货物实重≥22KG超重费240元 件；
③单件最长边≥120CM或次长边≥75CM超长费240元 件；
④单件围长≥265CM≤319CM超围长费240元 件；
④单件同时超长超重费用将会叠加收取，但单件同时超长 超重且超围长时将拒收；
拒收尺寸范围：最长边≥170CM；单箱实重≥40KG；围长≥320CM（围长=2个最短边相加*2+最长边）</t>
  </si>
  <si>
    <t>产品附加费</t>
  </si>
  <si>
    <t>卡派类（包税 &amp; 不包税）</t>
  </si>
  <si>
    <t>①卡派包税类单件最低计费重8KG；
②卡派不包税类体积重量换算比率按照：1CBM=363KG，取大者为收费重量；
③单件货物实重≥30KG≤70KG加收80元 件；
④货物单箱最长边如超120CM-150CM，按照运费1.1倍收取超长费；
⑤如最长边超150CM-200CM，按照运费1.2倍收取超长费，超过200CM不接；</t>
  </si>
  <si>
    <t>包税类</t>
  </si>
  <si>
    <t>木制产品（非原木）、服装、鞋子、箱包、纺织品、护具类产品、皮具类产品、玩具类产品、油画、拖把、汽车用品、相机镜头、剃毛器、修剪器、太阳眼镜、车灯、小型家用电器、假睫毛、电子温度计、纯五金制品、折叠金属桌椅、大型航模、无线网卡、相机配件、记事本、电器检测工具、电子狗、空气报警器、咖啡机、假发、蓝牙产品、闹钟、云台</t>
  </si>
  <si>
    <t>2元 KG</t>
  </si>
  <si>
    <t>对讲机、网络摄像机、电子元器件、投影仪、天文望远镜、相机、导航仪、行车记录仪、打印机、VR眼镜、空气净化器、无人机、显微镜、无线电通讯设备、显示屏、手机屏、硒鼓、墨盒、带少量液体粉末产品、机顶盒、宣纸、U盘、内存卡、路由器、手表、智能手环、厨房刀具、检测仪、太阳能产品、收音机、铝合金板、温度计</t>
  </si>
  <si>
    <t>3元 KG</t>
  </si>
  <si>
    <t>其他高价值、带液体、纯电池、配套电池产品、内置电池产品、成人用品等略微敏感类产品 请单询</t>
  </si>
  <si>
    <t>2-5元 KG</t>
  </si>
  <si>
    <t>不包税类</t>
  </si>
  <si>
    <t>①如遇海关查验，由此可能产生仓租柜租，杂费等，每个柜子根据客户发货量平均分摊，由发件人支付；
②亚马逊电商货物可能会因为亚马逊自身问题产生额外费用：如亚马逊爆仓货物在码头产生仓租柜租、提前提柜费用、亚马逊爆仓拒收货物产生返空费及超时卸货费由发件人支付；</t>
  </si>
  <si>
    <t>实报实销</t>
  </si>
  <si>
    <t>产品限制</t>
  </si>
  <si>
    <t>医疗类、食品类、吸食类等违禁品、冲牙器、吸奶器、牙刷、按摩仪、保健、婴儿用品、化妆护肤品、充电宝、纯液体粉末、电子烟、防疫物质</t>
  </si>
  <si>
    <t>单询</t>
  </si>
  <si>
    <t>私人地址附加费</t>
  </si>
  <si>
    <t>UPS派送类（如果产生地址更正费用的UPS账单，该账单费用实报实销）</t>
  </si>
  <si>
    <t>卡派类</t>
  </si>
  <si>
    <t>一般贸易报关费</t>
  </si>
  <si>
    <t>接受一般贸易报关件，加收350元 票报关费，报关单续页费50元 页</t>
  </si>
  <si>
    <t>偏远地区附加费</t>
  </si>
  <si>
    <t>4元*燃油 Kg,最低按193元 票预收，最终按UPS快递的偏远地区收取费用，以账单为准，多退少补</t>
  </si>
  <si>
    <t>多品名附加费</t>
  </si>
  <si>
    <t>单票货物最多接受5个申报品名，如超过5个申报品名，则每增加1个品名加收30元 个多品名费</t>
  </si>
  <si>
    <t>商检费</t>
  </si>
  <si>
    <t>木制品产品商检费附加800元 票，主要针对不包税类渠道；报关商检费实报实销，最低收费800元 票</t>
  </si>
  <si>
    <t>外箱要求</t>
  </si>
  <si>
    <t>非纸箱包装货物附加100元 件，拒接不规则货物包装</t>
  </si>
  <si>
    <t>卡车派送--渠道名字</t>
  </si>
  <si>
    <t>加拿大限时达-美森正班卡车专线</t>
  </si>
  <si>
    <t>加拿大限时达-美森加班卡车专线</t>
  </si>
  <si>
    <t>加拿大限时达-普船卡车专线</t>
  </si>
  <si>
    <t>开船次日起
18-25自然日</t>
  </si>
  <si>
    <t>开船次日起
20-28自然日</t>
  </si>
  <si>
    <t>开船次日起
30-35自然日</t>
  </si>
  <si>
    <t>开船次日起
25-30自然日</t>
  </si>
  <si>
    <t>开船次日起
28-35自然日</t>
  </si>
  <si>
    <t>开船次日起
35-45自然日</t>
  </si>
  <si>
    <t xml:space="preserve">       加拿大极速上架专线</t>
  </si>
  <si>
    <t>邮编</t>
  </si>
  <si>
    <t>签收时效（开船起算）</t>
  </si>
  <si>
    <t>YVR2-YVR4/YXX2</t>
  </si>
  <si>
    <t>25-30自然日</t>
  </si>
  <si>
    <t>1.不包税材积比1:363.包税单件收费重8KG起,不足8KG以8KG计费，所有货物单边整票取整。
2.不同的FBA地址需要分票发货，单票起收重量21KG；
3.非亚马逊地址发货请提供收货人公司名称及税号，单询。</t>
  </si>
  <si>
    <t>YYC1/YYC4/YYC6/YEG1/YEG2</t>
  </si>
  <si>
    <t>25-35自然日</t>
  </si>
  <si>
    <t>YYZ1-YYZ9/YHM1/YOO1/YXU1/YGK1</t>
  </si>
  <si>
    <t>YOW1/YOW3</t>
  </si>
  <si>
    <t>30-38自然日</t>
  </si>
  <si>
    <r>
      <rPr>
        <b/>
        <sz val="48"/>
        <color rgb="FFFF0000"/>
        <rFont val="宋体"/>
        <charset val="134"/>
      </rPr>
      <t>渠道卖点：</t>
    </r>
    <r>
      <rPr>
        <sz val="48"/>
        <rFont val="宋体"/>
        <charset val="134"/>
      </rPr>
      <t xml:space="preserve">
</t>
    </r>
    <r>
      <rPr>
        <b/>
        <sz val="48"/>
        <color rgb="FFFF0000"/>
        <rFont val="宋体"/>
        <charset val="134"/>
      </rPr>
      <t>1.固定16天到港的船期；SEA3 SEA2直达洛杉矶转多伦多
2.Amazon Freight派送服务；不会出现删约，推约，瑕疵费用等等，最快当天签收，2小时内上架！！！</t>
    </r>
    <r>
      <rPr>
        <sz val="48"/>
        <rFont val="宋体"/>
        <charset val="134"/>
      </rPr>
      <t xml:space="preserve">
</t>
    </r>
    <r>
      <rPr>
        <b/>
        <sz val="48"/>
        <color rgb="FFFF0000"/>
        <rFont val="宋体"/>
        <charset val="134"/>
      </rPr>
      <t>3.PO必须首次使用，否则产生费用客户自己承担</t>
    </r>
  </si>
  <si>
    <t>附加费费用:
1.大尺寸货物
(1)单边尺寸超过120CM +1.5元  KG，单边尺寸超过150CM不超过220CM，+3元  KG，如超过220CM请单询我司客服人员。
(2)外围长超330CM,+2元  KG；外围长超500CM，+4元  KG；外围长超570CM单询。
2.超重件货物：
(1)单件大于等于30KG，+RMB1  KG；
(2)单件大于50KG，+RMB2  KG；单件大于68KG每件，单独询问。
3.报关费：
出口报关费：400RMB  票；2）因退税要求我司出提单，我司需收取500RMB  提单。</t>
  </si>
  <si>
    <t>特别提醒：
承诺时效不包括海关查验和美国节假日等不可抗力：港口工人罢工、天气原因、爆仓  亚马逊删约、推约、拒收、不放约、码头拥堵、柜子入封闭区、疫情、UPS漏扫描等。</t>
  </si>
  <si>
    <t>特别提示：
如客户一旦同意接收我司服务，我司默认客户已详细阅读过此价格表备注内容，并接受此价格表各项条款。</t>
  </si>
  <si>
    <r>
      <rPr>
        <b/>
        <i/>
        <sz val="48"/>
        <color theme="0"/>
        <rFont val="Arial Black"/>
        <charset val="134"/>
      </rPr>
      <t xml:space="preserve">                            </t>
    </r>
    <r>
      <rPr>
        <b/>
        <i/>
        <sz val="48"/>
        <color theme="0"/>
        <rFont val="微软雅黑"/>
        <charset val="134"/>
      </rPr>
      <t>加拿大专线卡派</t>
    </r>
  </si>
  <si>
    <t>加拿大海卡包税</t>
  </si>
  <si>
    <t>加拿大海卡-不包税</t>
  </si>
  <si>
    <t>时效说明</t>
  </si>
  <si>
    <t>体积 6000</t>
  </si>
  <si>
    <t>12KG</t>
  </si>
  <si>
    <t>101KG</t>
  </si>
  <si>
    <t>1CBM+</t>
  </si>
  <si>
    <t>10CBM+</t>
  </si>
  <si>
    <t>30-35天左右</t>
  </si>
  <si>
    <t>33-38天左右</t>
  </si>
  <si>
    <t>YYZ1-YYZ9/YDC5/YOO1/YHM1</t>
  </si>
  <si>
    <t>34-39天左右</t>
  </si>
  <si>
    <t>YXU1/YGK1</t>
  </si>
  <si>
    <t>40-45天左右</t>
  </si>
  <si>
    <t>42-47天左右</t>
  </si>
  <si>
    <t>亚马逊卡派需提供Amazon REFERENCE ID。私人或商业地址卡派单询</t>
  </si>
  <si>
    <t>鞋服包，皮革纺织品加2元/KG
其它产品附加详见《产品附加费列表》</t>
  </si>
  <si>
    <t>不包税体积重量比1CBM=363KG，取大计费
不包税如遇查验，查验费用实报实销
箱单发票申报金额应为亚马逊卖价的30%左右</t>
  </si>
  <si>
    <t>附加费用说明</t>
  </si>
  <si>
    <t>1、双清含税到门。洲名YT，NT，NU，岛屿无服务，邮编X0A-X9Z，Y0A-Y9Z 无服务。
2、单独报关加350元/票。
3、尺寸限制：
 ①
包税单边长≥120CM不超200CM，加1元 KG；单边长大于等于200CM不超过240CM，加2元 KG。
不包税单边长≥120CM不超200CM，加200RMB 方；单边长大于等于200CM不超过240CM，加300RMB 方。
 ②单件实重≥50kg，或≥1.5立方，需要打木箱 木架 托（卡脚必须预留9cm以上），单件实重超过450kg 一个托盘加收500元 票操作费。
 ③单边长超3M或单件实重超2T，单独加收1200元 件操作费。（与其它超长超重费叠加）
 ④最长边不超过5M，宽跟高不超过2.1米。
4、可接受纸箱、编织袋，木箱、木架（非原木）包装；木箱包装需有合页能开箱查货且需有9CM卡脚叉车能操作。
5、总价值除总重量超30美金 kg加2元 kg，超60美金 kg加3元 kg，超80美金 kg单询。（与产品附加不叠加，取大者）
6、单票品名超5个加30元 个，单票品名限10个以内。
7、赔偿说明：
提取前丢失按箱单申报价值，最高不超过20元 KG，不退运费（走货前提前确认单价加1，赔偿可按退运费）
提取后丢失以UPS或联邦开查索赔为准，不退运费。
由于货物运输延误或者报关问题引起的其它损失、间接损失等，乙方不承担赔偿责任，即不承担连带责任。
特别说明：如因产品涉及反倾销、认证、侵权、不符合目的国进口要求，客户自身瞒报，漏报等情况，相关费用和责任由发件人承担。
免责声明：战争，爆乱，罢工，政治因素，自然灾害，疫情，恶劣天气（如暴风雪）等不可抗力因素导致货物延误，损坏、丢失，不受理赔偿。</t>
  </si>
  <si>
    <t>美国空运专线 /6000（包税）
预计6-8自然日提取，带时效赔付，大陆航班不接带电.</t>
  </si>
  <si>
    <t>美西（邮编8.9开头）</t>
  </si>
  <si>
    <t>交货第二天起算                                          
超10工作日未提取                                       
延误赔偿1元 KG 工作日                                     
最高延误赔偿20元 KG                                
国内 国外假期不计算在内                                
提取当天不计算在内                                
海关查验、罢工、不可抗力因素除外</t>
  </si>
  <si>
    <t>美中（邮编5.6.7开头）</t>
  </si>
  <si>
    <t>美东（邮编0.1.2.3.4开头）</t>
  </si>
  <si>
    <t>双清含税 ，以上价格已含燃油，及当地门到门派送服务；非FBA地址+1 kg，偏远另外加收40 件，单件不足12kg，按12kg计费</t>
  </si>
  <si>
    <t>1、双清含税到门。单件不够12kg按12kg计费，联邦 UPS随机制单，指定打单加1元 KG。材积超400KG或实重超420KG会分票制单。
2、单独报关加350元 票。
3、偏远加30元 件（叠加）。HI(夏威夷）、AK(阿拉斯加州)、及其它岛屿无服务。
4、总价值除总重量超30美金 kg加2元 kg，超60美金 kg加3元 kg，超80美金 kg单询。（与产品附加不叠加，取大者）
5、单票品名超5个加30元 个，单票品名限10个以内。
6、非方形或非纸箱包装（木箱，金属箱，蛇皮袋等非纸箱包装，桶装，条状等不规则形状）加180元 件。
7、以下情况之一加收180元 箱（不叠加）：
     ①单件包裹实重大于等于22.3KG，小于67KG；
     ②外围长【长+2*（宽+高）】大于等于263厘米，小于300厘米；
     ③包裹最长边大于等于118厘米，小于等于200厘米；
     ④第二长边大于等于75厘米；
外围长【长+2*（宽+高）】大于等于300厘米，小于395厘米，且单件包裹小于67KG，加超大件费1500元 箱。超大件单件计重不足41KG按41KG计费。
单件实重超67kg，最长边超200厘米，外围长【长+2*（宽+高）】超395厘米不接收。
8、更改地址按 25美金 件预收（最后以实际帐单*10%手续费）。UPS 联邦签收单3.5美金 件，不保证申请成功，没申请到不收费。
9、赔偿说明：
提取前丢失按箱单申报价值，最高不超过40元 KG，不退运费（走货前提前确认单价加1，赔偿可按退运费）
提取后丢失以UPS或联邦开查索赔为准，不退运费。
由于货物运输延误或者报关问题引起的其它损失、间接损失等，乙方不承担赔偿责任，即不承担连带责任。
特别说明：如因产品涉及反倾销、认证、侵权、不符合目的国进口要求，客户自身瞒报，漏报等情况，相关费用和责任由发件人承担。
免责声明：战争，爆乱，罢工，政治因素，自然灾害，疫情，恶劣天气（如暴风雪）等不可抗力因素导致货物延误，损坏、丢失，不受理赔偿。</t>
  </si>
  <si>
    <t>美国化妆品空运专线（包税）
预计4-6自然日提取，带时效赔付，广州南航  香港CX  OZ  CA  CZ  OZ 航班</t>
  </si>
  <si>
    <t>41KG+</t>
  </si>
  <si>
    <t>交货第二天起算                                          
超6工作日未提取                                       
延误赔偿1元/KG/工作日                                     
最高延误赔偿10元/KG                                
国内 国外假期不计算在内                                
提取当天不计算在内                                
海关查验、罢工、不可抗力因素除外</t>
  </si>
  <si>
    <t>双清含税 ，以上价格已含燃油，及当地门到门派送服务；非FBA地址+1/kg，偏远另外加收40 件，单件不足12kg，按12kg计费</t>
  </si>
  <si>
    <t xml:space="preserve">                                                          单价： 含税：RMB KG，不含税：RMB CBM</t>
  </si>
  <si>
    <t>发货渠道</t>
  </si>
  <si>
    <t>仓库代码</t>
  </si>
  <si>
    <t>深圳  广州  中山  佛山  东莞
上海  义乌  杭州  宁波  苏州</t>
  </si>
  <si>
    <t>福建厦门  泉州  山东青岛</t>
  </si>
  <si>
    <t>签收时效
(船开起算)</t>
  </si>
  <si>
    <t>含税12KG起运</t>
  </si>
  <si>
    <t>自税</t>
  </si>
  <si>
    <t>海卡直送/6000</t>
  </si>
  <si>
    <t>ONT8</t>
  </si>
  <si>
    <t>20-25天</t>
  </si>
  <si>
    <t>LGB8</t>
  </si>
  <si>
    <t>LAX9</t>
  </si>
  <si>
    <t>SBD1</t>
  </si>
  <si>
    <t>JOT1</t>
  </si>
  <si>
    <t>25-30天</t>
  </si>
  <si>
    <t>MIT2</t>
  </si>
  <si>
    <t>LAS1</t>
  </si>
  <si>
    <t>VGT2</t>
  </si>
  <si>
    <t>GYR2</t>
  </si>
  <si>
    <t>GYR3</t>
  </si>
  <si>
    <t>SMF3</t>
  </si>
  <si>
    <t>SCK4</t>
  </si>
  <si>
    <t>GEU3</t>
  </si>
  <si>
    <t>QXY5</t>
  </si>
  <si>
    <t>GEU2</t>
  </si>
  <si>
    <t>GEU5</t>
  </si>
  <si>
    <t>ABQ2</t>
  </si>
  <si>
    <t>PSC2</t>
  </si>
  <si>
    <t>散货交新势力，新势力拼柜后整柜直达亚马逊仓库，零耗损，零中转，含亚马逊仓库超时等候费，箱子规格要求：最长边小于63.5cm，单箱重小于22KG。</t>
  </si>
  <si>
    <t>1、体积/6000，体积计费比1:360。渠道含目的港进口关税，包税附加费请参看包税附加费收费表；</t>
  </si>
  <si>
    <t>2、包装要求：①外箱硬朗；②外箱和每个产品上必须贴“MADE IN CHINA”；③每箱贴2张FBA标签</t>
  </si>
  <si>
    <t>3、涉认证产品需提供认证审核，确认OK后方可以出货；我司只审核有无相关认证，不对相关证书的真实性负责，若相关证书不被美国海关接受，相关后果由客户承担。</t>
  </si>
  <si>
    <t>4、以上时效参考不含海关查验、塞港、航线变更、延误到港、疫情，以及专线工人罢工和节假日等影响；</t>
  </si>
  <si>
    <t>1、对于我司拒接和海关禁运的产品进行冲货以及对有品牌的产品报无牌，产品数量，产品品名等虚假申报，一旦查到扣货并罚款10000RMB 票，海关查验产生的罚金仓租等其他费用实报实销，请如实申报；</t>
  </si>
  <si>
    <t>2、所有产品发货前需要客户自行了解，出口货物是否符合目的地国家进口标准，如因产品本身的问题导致清关纠纷或扣件，客户自行承担责任；</t>
  </si>
  <si>
    <t>3、起运港报关：可接受一般贸易报关件, 对于一般贸易报关件，请客户货物入仓前一定要及时上传报关资料，报关费RMB350 票，超过6个品名加收续页费RMB80 续页(6-12个品名)，以此类推；商检费600元 HTS（主要为竹木质产品，不提供商检单）；</t>
  </si>
  <si>
    <t>4、尺寸限制及外箱要求：
         -单件重量大于30Kg(实重）小于70KG加收10元 件；
         -仓货物单箱最长边如超120cm-150cm，按照运费1.1倍收取超长费；如最长边超150cm不接；
         -关于亚马逊对货件的要求限制，亚马逊的限制规则请客户自行了解；</t>
  </si>
  <si>
    <t>5、外箱要求坚固非破旧箱子，防止货物运输损坏，避免亚马逊仓库拒收造成货物丢失，因包装问题导致的外箱破损，产品损坏我司不承担任何责任；</t>
  </si>
  <si>
    <t>6、发货前请贴好产品相关条码以及FBA外箱标签并用透明胶纸封好（如使用热敏标签纸打印请勿再次使用透明胶纸封贴，避免标签纸内容因化学挥发而导致面单不清晰被亚马逊仓库拒接），如因标签条码问题无法递送产生的相关费用则由发件人承担；</t>
  </si>
  <si>
    <t>7、拼箱货如无特殊要求，目的港默认为统一报关：我司包起运港查验费以及由于正常查验延误导致误船产生的仓租柜租；目的港如有海关查验或由于海关查验扣货，前15天（不含免仓免柜期）的查验费 仓柜租等相关费用费用由全部客户按体积分摊（计算方式=（总费用 65）*出货体积）； 超过15天之后的仓柜租等费用由品牌 认证 质量出问题的客户全部承担；</t>
  </si>
  <si>
    <t>8、实际入仓货物必须和我司CBEC系统下单申报的品名以及其他申报要素相符，如遇查柜，一般时间为7-21天不等或许更久()，如需提供相关文件清关请客户配合处理。因申报不符导致扣关问题，我司概不负责，产生所有后果及费用由相关客户承担；</t>
  </si>
  <si>
    <t>赔偿与责任</t>
  </si>
  <si>
    <t>赔偿说明：货物运输途中丢失我司按3倍运费赔偿，但不退已核算运费，亚马逊签收后给到POD客户反馈没有上架我司不承担赔偿责任；因发件方申报不符等原因造成的扣关扣件，由发件方自行承担责任；由于货物运输延误或者报关问题引起的其他损失、间接损失等不予赔偿，不承担连带责任；</t>
  </si>
  <si>
    <t>不受理赔偿情况：</t>
  </si>
  <si>
    <t>1、如因侵权问题，我司不承担任何责任并且保留追究发件人因此带来对我司的损失的赔偿；</t>
  </si>
  <si>
    <t>2、如货物没有按照实际价值申报、侵犯知识产权、当地禁止进口等原因而导致的海关扣货，此情况不在赔偿范围之内，我司只是协助发件人提供清关文件；</t>
  </si>
  <si>
    <t>3、如因客户货物本身质量问题以及涉及到具体的认证问题等，均不受理赔偿；</t>
  </si>
  <si>
    <t>4、如遇战争，自然灾害等不可抗力因素除导致货物破坏或灭失，均不受理赔偿；</t>
  </si>
  <si>
    <t>5、在运输过程中如遇到航次延误 清关延误等引起的总体时效延误，均不受理赔偿</t>
  </si>
  <si>
    <t>6、产品数量缺少、损坏不受理赔偿；</t>
  </si>
  <si>
    <t>7、易碎品不接受任何损坏赔偿；</t>
  </si>
  <si>
    <t>（本公司保留各条款的所有及最终解释权。如贵司一旦接受我司服务，我司默认贵司已详细阅读过此价格表及备注内容并接受各条款的约束）</t>
  </si>
  <si>
    <t>操作及包装要求及相关费用</t>
  </si>
  <si>
    <t>1）资料要求：需要在我司CBEC客户端准确填写货物信息，产品需要有详细的描述，不能有set accessories这些大类的字眼。申报正确的海关编码，上传产品图片，提供产品链接，如客户申报资料不齐，我司将不安排装载；</t>
  </si>
  <si>
    <t>2）包装要求：外箱FBA标签2张 箱，“Made in china”标签1张 箱，外箱无此类标签的货物，需要我司代贴标签按照2元 件，最低50元 票收费。箱内每个SKU产品要求每个产品上均贴有“Made in china”标识，如产品无此类标签的，需要我司代贴标签按照1元 个，最低50元 票收费；更换纸箱外包装20元每箱(耗材成本+操作费）；</t>
  </si>
  <si>
    <t>3）品名要求：为了货物能够快速和安全的完成清关，请控制单件货物不超过3个品名，单票货物不超过5个品名；如单票货物品名超过5个，则每个品名加收40元 个多品名费；</t>
  </si>
  <si>
    <t>4）入仓要求：所有入库的货物需要打印上入仓单，每个外箱上面需要贴箱唛, 否则仓库会拒收货物；</t>
  </si>
  <si>
    <t>5）其它要求：货物入仓后，由于客户的其它要求，造成仓库需要重复工作的，我司最低收取50元 方额外操作费。如：重新测量尺寸及重量，拍照核实等（在我司没有测量错误的前提下或者没有义务重复性工作的情况下将按此规定收取费用）；</t>
  </si>
  <si>
    <t>6) 扣 退货要求：货物入库测量数据完成后，因客户原因要求扣 退件，仓库将收取50元 方操作费，最低收费100元起。装柜后，我司不接受扣 退；</t>
  </si>
  <si>
    <t>（特别提示，此价格表一经发送，如客户一旦交货给我司，我司默认为客户已详细读过此价格表备注内容，并接受和享受各条款。）</t>
  </si>
  <si>
    <t>51KG+</t>
  </si>
  <si>
    <t>1.不包税材积比1:363.包税单件收费重8KG起,不足8KG以8KG计费，所有货物单边整票取整。
2.不同的FBA地址需要分票发货，单票起收重量12KG；
3.非亚马逊地址发货请提供收货人公司名称及税号，单询。</t>
  </si>
  <si>
    <t>新势力洛杉矶海外仓</t>
  </si>
  <si>
    <t>附加费费用:
1.大尺寸货物
(1)单边尺寸超过120CBM不超过150CM，+1.5元  KG，单边尺寸超过150CM不超过220CM，+3元  KG，如超过220CM请单询我司客服人员。
(2)外围长超330CM,+2元  KG；外围长超500CM，+4元  KG；外围长超570CM单询。
2.超重件货物：
(1)单件大于等于30KG，+RMB1  KG；
(2)单件大于50KG，+RMB2  KG；单件大于68KG每件，单独询问。
3.报关费：
出口报关费：400RMB  票；2）因退税要求我司出提单，我司需收取500RMB  提单。</t>
  </si>
  <si>
    <t>HLI2</t>
  </si>
  <si>
    <t>FTW1</t>
  </si>
  <si>
    <t>MDW2</t>
  </si>
  <si>
    <t>FWA4</t>
  </si>
  <si>
    <t>IND9</t>
  </si>
  <si>
    <t>IAH3</t>
  </si>
  <si>
    <t>LGB4</t>
  </si>
  <si>
    <t>LGB6</t>
  </si>
  <si>
    <t>SBD2</t>
  </si>
  <si>
    <t>KRB1</t>
  </si>
  <si>
    <t>ONT2</t>
  </si>
  <si>
    <t>ONT6</t>
  </si>
  <si>
    <t>XLX2</t>
  </si>
  <si>
    <t>ONT9</t>
  </si>
  <si>
    <t>LGB9</t>
  </si>
  <si>
    <t>SNA4</t>
  </si>
  <si>
    <t>KRB4</t>
  </si>
  <si>
    <t>ONT4</t>
  </si>
  <si>
    <t>QXY9</t>
  </si>
  <si>
    <t>XLX7</t>
  </si>
  <si>
    <t>IUSP</t>
  </si>
  <si>
    <t>IUSJ</t>
  </si>
  <si>
    <t>IUSQ</t>
  </si>
  <si>
    <t>FAT2</t>
  </si>
  <si>
    <t>SJC7</t>
  </si>
  <si>
    <t>LAS6</t>
  </si>
  <si>
    <t>LAS2</t>
  </si>
  <si>
    <t>PHX7</t>
  </si>
  <si>
    <t>PHX5</t>
  </si>
  <si>
    <t>PHX3</t>
  </si>
  <si>
    <t>SMF6</t>
  </si>
  <si>
    <t>SCK8</t>
  </si>
  <si>
    <t>MCE1</t>
  </si>
  <si>
    <t>SLC2</t>
  </si>
  <si>
    <t>SLC3</t>
  </si>
  <si>
    <t>ORD2</t>
  </si>
  <si>
    <t>DFW6</t>
  </si>
  <si>
    <t>SAT1</t>
  </si>
  <si>
    <t>DEN7</t>
  </si>
  <si>
    <t>PDX6</t>
  </si>
  <si>
    <t>PDX7</t>
  </si>
  <si>
    <t>HOU3</t>
  </si>
  <si>
    <t>DAL2</t>
  </si>
  <si>
    <t>DAL3</t>
  </si>
  <si>
    <t>FTW5</t>
  </si>
  <si>
    <t>SAT4</t>
  </si>
  <si>
    <t>BFI7</t>
  </si>
  <si>
    <t>MDW8</t>
  </si>
  <si>
    <t>STL3</t>
  </si>
  <si>
    <t>LIT2</t>
  </si>
  <si>
    <t>MKC4</t>
  </si>
  <si>
    <t>IND5</t>
  </si>
  <si>
    <t>IND4</t>
  </si>
  <si>
    <t>FOE1</t>
  </si>
  <si>
    <t>MEM6</t>
  </si>
  <si>
    <t>AMA1</t>
  </si>
  <si>
    <t>OKC2</t>
  </si>
  <si>
    <t>HSV1</t>
  </si>
  <si>
    <t>DEN2</t>
  </si>
  <si>
    <t>DEN8</t>
  </si>
  <si>
    <t>RFD4</t>
  </si>
  <si>
    <t>MDW4</t>
  </si>
  <si>
    <t>CMH3</t>
  </si>
  <si>
    <t>BNA2</t>
  </si>
  <si>
    <t>HOU8</t>
  </si>
  <si>
    <t>CMH2</t>
  </si>
  <si>
    <t>MEM1</t>
  </si>
  <si>
    <t>MQJ1</t>
  </si>
  <si>
    <t>IND2</t>
  </si>
  <si>
    <t>ICT2</t>
  </si>
  <si>
    <t>XLX6</t>
  </si>
  <si>
    <t>RFD2</t>
  </si>
  <si>
    <t>PIT2</t>
  </si>
  <si>
    <t>GSP1</t>
  </si>
  <si>
    <t>IGQ2</t>
  </si>
  <si>
    <t>JVL1</t>
  </si>
  <si>
    <t>LFT1</t>
  </si>
  <si>
    <t>CHA2</t>
  </si>
  <si>
    <t>RDU2</t>
  </si>
  <si>
    <t>GEG2</t>
  </si>
  <si>
    <t>OLM1</t>
  </si>
  <si>
    <t>SDF8</t>
  </si>
  <si>
    <t>CLT2</t>
  </si>
  <si>
    <t>JAX3</t>
  </si>
  <si>
    <t>TPA2</t>
  </si>
  <si>
    <t>TPA3</t>
  </si>
  <si>
    <t>MCO2</t>
  </si>
  <si>
    <t>CHO1</t>
  </si>
  <si>
    <t>ILG1</t>
  </si>
  <si>
    <t>TEB6</t>
  </si>
  <si>
    <t>TEB9</t>
  </si>
  <si>
    <t>ABE2</t>
  </si>
  <si>
    <t>ABE8</t>
  </si>
  <si>
    <t>HGR2</t>
  </si>
  <si>
    <t>PHL5</t>
  </si>
  <si>
    <t>AVP1</t>
  </si>
  <si>
    <t>AVP3</t>
  </si>
  <si>
    <t>DET1</t>
  </si>
  <si>
    <t>TTN2</t>
  </si>
  <si>
    <t>ALB1</t>
  </si>
  <si>
    <t>SWF1</t>
  </si>
  <si>
    <t>ORF2</t>
  </si>
  <si>
    <t>BOS7</t>
  </si>
  <si>
    <t>SWF2</t>
  </si>
  <si>
    <t>MDT4</t>
  </si>
  <si>
    <t>RYY2</t>
  </si>
  <si>
    <r>
      <rPr>
        <b/>
        <sz val="72"/>
        <rFont val="微软雅黑"/>
        <charset val="134"/>
      </rPr>
      <t xml:space="preserve">        美国极速上架专线</t>
    </r>
    <r>
      <rPr>
        <b/>
        <sz val="72"/>
        <color rgb="FFFF0000"/>
        <rFont val="微软雅黑"/>
        <charset val="134"/>
      </rPr>
      <t xml:space="preserve">
         Amazon Freight服务</t>
    </r>
  </si>
  <si>
    <t>美西邮编8,9开头</t>
  </si>
  <si>
    <t>美中邮编4,5,6,7开头</t>
  </si>
  <si>
    <t>美东邮编0,1,2,3开头</t>
  </si>
  <si>
    <r>
      <rPr>
        <b/>
        <sz val="48"/>
        <color rgb="FFFF0000"/>
        <rFont val="宋体"/>
        <charset val="134"/>
      </rPr>
      <t>渠道卖点：</t>
    </r>
    <r>
      <rPr>
        <sz val="48"/>
        <rFont val="宋体"/>
        <charset val="134"/>
      </rPr>
      <t xml:space="preserve">
</t>
    </r>
    <r>
      <rPr>
        <b/>
        <sz val="48"/>
        <color rgb="FFFF0000"/>
        <rFont val="宋体"/>
        <charset val="134"/>
      </rPr>
      <t>1.不需要合仓；节约配置费，0-7邮编冷门仓也可以开船35天内签收上架
2.Amazon Freight服务；不会出现删约，推约，瑕疵费用等等，最快当天签收，2小时内上架！！！</t>
    </r>
    <r>
      <rPr>
        <sz val="48"/>
        <rFont val="宋体"/>
        <charset val="134"/>
      </rPr>
      <t xml:space="preserve">
</t>
    </r>
    <r>
      <rPr>
        <b/>
        <sz val="48"/>
        <color rgb="FFFF0000"/>
        <rFont val="宋体"/>
        <charset val="134"/>
      </rPr>
      <t>3.不会产生警告和移仓费或者配置费，如产生并提供证明由新势力承担该费用。（PO必须首次使用，否则产生费用客户自己承担）</t>
    </r>
  </si>
  <si>
    <t>最新上架时效
冷门仓首选</t>
  </si>
  <si>
    <t>美森海卡专线（卡派）</t>
  </si>
  <si>
    <t>单价： 含税：RMB KG，不含税：RMB CBM</t>
  </si>
  <si>
    <t>以下渠道100KG起，重货比重优惠：1：200起优惠0.5元/KG，1：300起优惠1元/KG</t>
  </si>
  <si>
    <t xml:space="preserve"> 时效赔付承诺</t>
  </si>
  <si>
    <t>【带赔付(标红仓库）】美森正班CLX卡派
1、超时赔付0.5元 kg*天；最高赔付1.5元每公斤（如遇海关查验，且确定超时，赔偿1元每公斤）
2、如遇节假日、码头停摆、专线罢工、亚马逊关仓等非人为因素，不参与赔付
3、如遇删约、推约等亚马逊行为，正常赔付，且最高赔付1元每公斤，我司会提供亚马逊邮件证明</t>
  </si>
  <si>
    <r>
      <rPr>
        <b/>
        <sz val="16"/>
        <color rgb="FFFF0000"/>
        <rFont val="微软雅黑"/>
        <charset val="134"/>
      </rPr>
      <t>赔偿标准</t>
    </r>
    <r>
      <rPr>
        <b/>
        <sz val="11"/>
        <rFont val="微软雅黑"/>
        <charset val="134"/>
      </rPr>
      <t xml:space="preserve">
</t>
    </r>
    <r>
      <rPr>
        <b/>
        <sz val="14"/>
        <rFont val="微软雅黑"/>
        <charset val="134"/>
      </rPr>
      <t>(货物在派送后（有入仓时间后），请客户在签收后7-10个工作日内查询FBA后台是否上架，签收后15个工作日内提供货物未上架后台截图)</t>
    </r>
  </si>
  <si>
    <t>FBA仓库代码</t>
  </si>
  <si>
    <t>起收重量</t>
  </si>
  <si>
    <t>下单渠道： 美森正班CLX卡派</t>
  </si>
  <si>
    <t>下单渠道：美森加班CLX+卡派</t>
  </si>
  <si>
    <t>美森正班船CLX航线，六截三开</t>
  </si>
  <si>
    <t>美森加班船MAX快线，周日截四开</t>
  </si>
  <si>
    <t>单价</t>
  </si>
  <si>
    <t>参考时效（开船后起算）</t>
  </si>
  <si>
    <t>15-18天</t>
  </si>
  <si>
    <t>16-20天</t>
  </si>
  <si>
    <t>15-19天</t>
  </si>
  <si>
    <t>18-25天</t>
  </si>
  <si>
    <t>20-28天</t>
  </si>
  <si>
    <t>17-22天</t>
  </si>
  <si>
    <t>22-28天</t>
  </si>
  <si>
    <t>18-23天</t>
  </si>
  <si>
    <t>单票最低消费12kg，不足51KG，单价+3/kg</t>
  </si>
  <si>
    <t xml:space="preserve">1.派送前：在货物运输过程中丢失或者海外仓丢失，未提供POD，不买保险，按下单系统申报货值赔偿，最高不超3倍运费，不退运费；破损不赔偿；买保险，货值每公斤不超250人民币，我司代买保险，按申报保险货值赔偿          
2.派送后(卡车）：已提供完整的POD后，不接受索赔；签收不完整的POD，未上架的产品，我司可提供相关证明，协助处理向亚马逊索赔的相关事项。
3.在运输过程中如遇到航次延误 专线操作延误等引起的总体时效延误，均不受理赔偿。易碎品不接受任何损坏赔偿。单箱内部产品少件不接受理赔。
4.赔偿申请，必须提供带有公章的赔偿确认函，否则我司不作处理。此赔偿方案没有争议,请发货前仔细阅读,否则视为同意此规定.    
5.漏报关赔偿：3倍报关费，请慎接报关件，不接受赔偿标准的不要发,谢谢。 </t>
  </si>
  <si>
    <r>
      <rPr>
        <b/>
        <sz val="72"/>
        <rFont val="微软雅黑"/>
        <charset val="134"/>
      </rPr>
      <t xml:space="preserve">奥克兰专线
</t>
    </r>
    <r>
      <rPr>
        <b/>
        <sz val="48"/>
        <color rgb="FFFF0000"/>
        <rFont val="微软雅黑"/>
        <charset val="134"/>
      </rPr>
      <t>不足51KG单价+2</t>
    </r>
  </si>
  <si>
    <t>SMF3/QXY5</t>
  </si>
  <si>
    <t>30-35</t>
  </si>
  <si>
    <t>SCK3</t>
  </si>
  <si>
    <t>SCK1</t>
  </si>
  <si>
    <t>OAK3</t>
  </si>
  <si>
    <t>SMF7</t>
  </si>
  <si>
    <t>SMF1</t>
  </si>
  <si>
    <t>RNO4</t>
  </si>
  <si>
    <t>PDX6/PDX7</t>
  </si>
  <si>
    <t>BFI3/BFI7/PSC2/OLM1</t>
  </si>
  <si>
    <r>
      <rPr>
        <b/>
        <sz val="72"/>
        <rFont val="微软雅黑"/>
        <charset val="134"/>
      </rPr>
      <t xml:space="preserve">美东专线
</t>
    </r>
    <r>
      <rPr>
        <b/>
        <sz val="48"/>
        <color rgb="FFFF0000"/>
        <rFont val="微软雅黑"/>
        <charset val="134"/>
      </rPr>
      <t>不足51KG单价+2</t>
    </r>
  </si>
  <si>
    <t>新势力美东海外仓（最低计费2吨）</t>
  </si>
  <si>
    <t>35-40</t>
  </si>
  <si>
    <t>ABE3</t>
  </si>
  <si>
    <t>ABE4</t>
  </si>
  <si>
    <t>TEB3</t>
  </si>
  <si>
    <t>TEB4</t>
  </si>
  <si>
    <t>40-45</t>
  </si>
  <si>
    <t>MDT1</t>
  </si>
  <si>
    <t>PHL6</t>
  </si>
  <si>
    <t>XLX1</t>
  </si>
  <si>
    <t>45-55</t>
  </si>
  <si>
    <t>RMN3</t>
  </si>
  <si>
    <t>GSO1</t>
  </si>
  <si>
    <t>RDU4</t>
  </si>
  <si>
    <t>ACY2</t>
  </si>
  <si>
    <t>AVP9</t>
  </si>
  <si>
    <t>HIA1</t>
  </si>
  <si>
    <t>PHL4</t>
  </si>
  <si>
    <t>DCA6</t>
  </si>
  <si>
    <t>HGR6</t>
  </si>
  <si>
    <t>WBW2</t>
  </si>
  <si>
    <t>LBE1</t>
  </si>
  <si>
    <t>BWI4</t>
  </si>
  <si>
    <t>KRB2</t>
  </si>
  <si>
    <t>RIC1</t>
  </si>
  <si>
    <t>CMH6</t>
  </si>
  <si>
    <t>AKR1</t>
  </si>
  <si>
    <t>DET2</t>
  </si>
  <si>
    <t>CLT3</t>
  </si>
  <si>
    <t>CLT6</t>
  </si>
  <si>
    <t>MQJ2</t>
  </si>
  <si>
    <t>SAV3</t>
  </si>
  <si>
    <t>MGE1</t>
  </si>
  <si>
    <t>MGE3</t>
  </si>
  <si>
    <t>BNA6</t>
  </si>
  <si>
    <t>HSV2</t>
  </si>
  <si>
    <t>ATL8</t>
  </si>
  <si>
    <t>MDW6</t>
  </si>
  <si>
    <t>MDW9</t>
  </si>
  <si>
    <t>TPA6</t>
  </si>
  <si>
    <t>STL4</t>
  </si>
  <si>
    <t>PBI2</t>
  </si>
  <si>
    <t>TMB8</t>
  </si>
  <si>
    <r>
      <rPr>
        <b/>
        <sz val="72"/>
        <rFont val="微软雅黑"/>
        <charset val="134"/>
      </rPr>
      <t xml:space="preserve">芝加哥专线
</t>
    </r>
    <r>
      <rPr>
        <b/>
        <sz val="72"/>
        <color rgb="FFFF0000"/>
        <rFont val="微软雅黑"/>
        <charset val="134"/>
      </rPr>
      <t>不足51kg+3/KG</t>
    </r>
  </si>
  <si>
    <t>30-40天</t>
  </si>
  <si>
    <t>MDW6  MDW8  MDW9</t>
  </si>
  <si>
    <t>IND2  IND9  MQJ1</t>
  </si>
  <si>
    <t>RFD2  4</t>
  </si>
  <si>
    <t>IND2T  N</t>
  </si>
  <si>
    <t>IND3  IND4  IND8</t>
  </si>
  <si>
    <t>CMH2  CMH3</t>
  </si>
  <si>
    <t>DET1  DET2</t>
  </si>
  <si>
    <t>SAV4</t>
  </si>
  <si>
    <t>40-45天签收</t>
  </si>
  <si>
    <t>MGE5</t>
  </si>
  <si>
    <t>MGE7</t>
  </si>
  <si>
    <t>40-46天签收</t>
  </si>
  <si>
    <t>MGE8</t>
  </si>
  <si>
    <t>40-47天签收</t>
  </si>
  <si>
    <t>MGE9</t>
  </si>
  <si>
    <t>40-48天签收</t>
  </si>
  <si>
    <t>ATL2</t>
  </si>
  <si>
    <t>40-49天签收</t>
  </si>
  <si>
    <t>ATL5</t>
  </si>
  <si>
    <t>40-50天签收</t>
  </si>
  <si>
    <t>ATL6</t>
  </si>
  <si>
    <t>40-51天签收</t>
  </si>
  <si>
    <t>ATL7</t>
  </si>
  <si>
    <t>40-52天签收</t>
  </si>
  <si>
    <t>40-53天签收</t>
  </si>
  <si>
    <t>40-54天签收</t>
  </si>
  <si>
    <t>40-55天签收</t>
  </si>
  <si>
    <t>DCD6</t>
  </si>
  <si>
    <t>40-56天签收</t>
  </si>
  <si>
    <t>40-57天签收</t>
  </si>
  <si>
    <t>40-58天签收</t>
  </si>
  <si>
    <t>40-59天签收</t>
  </si>
  <si>
    <t>RDU1</t>
  </si>
  <si>
    <t>40-60天签收</t>
  </si>
  <si>
    <t>40-61天签收</t>
  </si>
  <si>
    <t>40-62天签收</t>
  </si>
  <si>
    <t>CLT4</t>
  </si>
  <si>
    <t>40-63天签收</t>
  </si>
  <si>
    <t>40-64天签收</t>
  </si>
  <si>
    <t>40-65天签收</t>
  </si>
  <si>
    <t>JAX2</t>
  </si>
  <si>
    <t>40-66天签收</t>
  </si>
  <si>
    <t>JAX5</t>
  </si>
  <si>
    <t>40-67天签收</t>
  </si>
  <si>
    <t>JAX7</t>
  </si>
  <si>
    <t>40-68天签收</t>
  </si>
  <si>
    <t>JAX9</t>
  </si>
  <si>
    <t>40-69天签收</t>
  </si>
  <si>
    <t>TPA1</t>
  </si>
  <si>
    <t>40-70天签收</t>
  </si>
  <si>
    <t>40-71天签收</t>
  </si>
  <si>
    <t>40-72天签收</t>
  </si>
  <si>
    <t>TPA4</t>
  </si>
  <si>
    <t>40-73天签收</t>
  </si>
  <si>
    <t>40-74天签收</t>
  </si>
  <si>
    <t>40-75天签收</t>
  </si>
  <si>
    <t>UFL2</t>
  </si>
  <si>
    <t>40-76天签收</t>
  </si>
  <si>
    <t>UFL4</t>
  </si>
  <si>
    <t>40-77天签收</t>
  </si>
  <si>
    <t>UFL5</t>
  </si>
  <si>
    <t>40-78天签收</t>
  </si>
  <si>
    <t>UFL6</t>
  </si>
  <si>
    <t>40-79天签收</t>
  </si>
  <si>
    <t>40-80天签收</t>
  </si>
  <si>
    <t>40-81天签收</t>
  </si>
  <si>
    <t>PBI3</t>
  </si>
  <si>
    <t>40-82天签收</t>
  </si>
  <si>
    <t>40-83天签收</t>
  </si>
  <si>
    <t>40-84天签收</t>
  </si>
  <si>
    <t>MQY1</t>
  </si>
  <si>
    <t>40-85天签收</t>
  </si>
  <si>
    <t>40-86天签收</t>
  </si>
  <si>
    <t>40-87天签收</t>
  </si>
  <si>
    <t>MEM8</t>
  </si>
  <si>
    <t>40-88天签收</t>
  </si>
  <si>
    <t>30-35天签收</t>
  </si>
  <si>
    <t>30-37天签收</t>
  </si>
  <si>
    <t>30-40天签收</t>
  </si>
  <si>
    <t>-</t>
  </si>
  <si>
    <t>BFL2</t>
  </si>
  <si>
    <t xml:space="preserve">  美国DG专线（卡派）</t>
  </si>
  <si>
    <t>（正规DG柜，正规报关，正规清关，正规DG派送）</t>
  </si>
  <si>
    <t>目的地</t>
  </si>
  <si>
    <t>100-199KG</t>
  </si>
  <si>
    <t>200-399KG</t>
  </si>
  <si>
    <t>400-999KG</t>
  </si>
  <si>
    <t>1000-1999KG</t>
  </si>
  <si>
    <t>2000KG+</t>
  </si>
  <si>
    <t>参考时效</t>
  </si>
  <si>
    <t>美西（邮编90-93开头）</t>
  </si>
  <si>
    <t>16-22天</t>
  </si>
  <si>
    <t>美西（邮编94-89开头）</t>
  </si>
  <si>
    <t>16-24天</t>
  </si>
  <si>
    <t>美中（邮编4-7开头）</t>
  </si>
  <si>
    <t>美东（邮编0-3开头）</t>
  </si>
  <si>
    <t>22-30天</t>
  </si>
  <si>
    <t>洛杉矶自提</t>
  </si>
  <si>
    <t>15天</t>
  </si>
  <si>
    <t>亚马逊地址单询、固定ZIM船，六截三开
美国电池产品（超功率）需要提供以下4个文件：1：MSDS    2:UN38.3    3:海运运输鉴定报告   4：危包证;
   如需单独报关，报关费350 票</t>
  </si>
  <si>
    <t>超大件货物说明
一.美国卡派货物：单个标准托盘尺寸：1.2m长*1m宽 
1）卡板货交亚马逊仓库标准：
长边不能超1.2m，宽度不能超1m, 高度不能超1.8m，单个托盘货重+托盘重控制在450kgs以内；超过范围需要拆托再打；
2）卡板货交非亚马逊仓库标准：
长边不能超1.2m，宽度不能超1m, 高度不能超1.8m，单个托盘货重+托盘重控制在650kgs以内</t>
  </si>
  <si>
    <t xml:space="preserve">    美国海派专线-综合报价</t>
  </si>
  <si>
    <t xml:space="preserve">整票实重大于150公斤以上，享受重货比优惠：1:250 减0.5元     1:300 减1元  </t>
  </si>
  <si>
    <t>渠道名字</t>
  </si>
  <si>
    <t>美森CLX正班船海派</t>
  </si>
  <si>
    <t>美森CLX+加班船海派</t>
  </si>
  <si>
    <t>美国以星海派(带车架)</t>
  </si>
  <si>
    <t>盐田普船统配海派</t>
  </si>
  <si>
    <t>以星带车架服务，六截四开</t>
  </si>
  <si>
    <t>EMC COSCO定提，六截四开</t>
  </si>
  <si>
    <t>开船后14-16个自然日提取.
开船后第二天开始算超过16天未提取赔偿1RMB kg；
单票运费赔完为止（查验，罢工等不可控制因素,除外）</t>
  </si>
  <si>
    <t>无时效赔付承诺</t>
  </si>
  <si>
    <t>住宅地址+2RMB KG；偏远地址+30RMB 箱；单票超5个品名以上+50RMB 个--单独报关RMB350 票；不接受一达通报关。</t>
  </si>
  <si>
    <t>注意事项：不接食品、仿牌、药品、液体、粉末、违禁品；如漏报或者瞒报，查到即罚款3000元-5000元！产生退库延误损失由客户承担！</t>
  </si>
  <si>
    <t>其他费用</t>
  </si>
  <si>
    <t>收费标准</t>
  </si>
  <si>
    <t>纺织品类、包包类、鞋子类、等以及关税大于20%的产品。</t>
  </si>
  <si>
    <t>1RMB kg</t>
  </si>
  <si>
    <t>地址附加费</t>
  </si>
  <si>
    <t>商业地址</t>
  </si>
  <si>
    <t>住宅地址 亚马逊住宅地址</t>
  </si>
  <si>
    <t>2RMB kg</t>
  </si>
  <si>
    <t>商业地址偏远</t>
  </si>
  <si>
    <t>商业地址超偏远</t>
  </si>
  <si>
    <t>3RMB kg</t>
  </si>
  <si>
    <t>住宅地址偏远</t>
  </si>
  <si>
    <t>4RMB kg</t>
  </si>
  <si>
    <t>住宅地址超偏远</t>
  </si>
  <si>
    <t>5RMB kg</t>
  </si>
  <si>
    <t>超长附加费
（偏远地址不接）</t>
  </si>
  <si>
    <r>
      <rPr>
        <sz val="16"/>
        <color theme="1"/>
        <rFont val="微软雅黑"/>
        <charset val="134"/>
      </rPr>
      <t>最长的一边超过120CM，</t>
    </r>
    <r>
      <rPr>
        <sz val="16"/>
        <color rgb="FFFF0000"/>
        <rFont val="微软雅黑"/>
        <charset val="134"/>
      </rPr>
      <t>（超200CM不接）</t>
    </r>
  </si>
  <si>
    <t>150RMB 件</t>
  </si>
  <si>
    <t>第二长的边超过76CM</t>
  </si>
  <si>
    <r>
      <rPr>
        <sz val="16"/>
        <color theme="1"/>
        <rFont val="微软雅黑"/>
        <charset val="134"/>
      </rPr>
      <t>围长（长+[  2x宽+2x高]  ）超过260CM，</t>
    </r>
    <r>
      <rPr>
        <sz val="16"/>
        <color rgb="FFFF0000"/>
        <rFont val="微软雅黑"/>
        <charset val="134"/>
      </rPr>
      <t>（超310CM不接）</t>
    </r>
  </si>
  <si>
    <t>超重附加费</t>
  </si>
  <si>
    <r>
      <rPr>
        <sz val="16"/>
        <color theme="1"/>
        <rFont val="微软雅黑"/>
        <charset val="134"/>
      </rPr>
      <t>包裹重量超过22KG，</t>
    </r>
    <r>
      <rPr>
        <sz val="16"/>
        <color rgb="FFFF0000"/>
        <rFont val="微软雅黑"/>
        <charset val="134"/>
      </rPr>
      <t>（超50KG不接）</t>
    </r>
  </si>
  <si>
    <t>不规则包装附加费</t>
  </si>
  <si>
    <t>没有用任何东西包装或者用保鲜膜，布料作为外包装（缠黄胶带、缠透明薄膜、带编织袋、带扎带、打护角、软箱、箱子没有棱角）</t>
  </si>
  <si>
    <t>130RMB 件</t>
  </si>
  <si>
    <t>外包装是木得或者是金属性的（如不锈钢）木材 硬塑料 软塑料（如塑料袋） 发泡聚苯乙烯泡沫（如聚苯乙烯泡沫塑料）</t>
  </si>
  <si>
    <t>外包装是圆柱形 （未完全用波纹包装的任何圆柱形物品，如桶、鼓、桶或轮胎）</t>
  </si>
  <si>
    <t>地址更正</t>
  </si>
  <si>
    <t>地址错误或不完整时UPS会尽力修正地址并妥投，如果无法获取正确地址UPS存在联系发件人和收件人确认地址的可能，并收取地址修正费；通过UPS地址校验的地址也存在实际派送发现地址错误并由UPS修正的可能</t>
  </si>
  <si>
    <t>签收单</t>
  </si>
  <si>
    <t>官网下载Proof of Delivery(P.O.D.) 免费，若要纸质版或者需UPS官方线下提供POD则需额外收费</t>
  </si>
  <si>
    <t>30RMB 件</t>
  </si>
  <si>
    <t>异常情况-赔偿规则</t>
  </si>
  <si>
    <t>1.在运输过程中如货物丢失或者未交UPS后丢失的货物，并经我司确认丢失的，按照申报价值赔偿最高不超20元 KG 且不退运费赔偿。</t>
  </si>
  <si>
    <t>2.UPS提取后整箱丢失按照UPS赔偿标准每票最高不超过100USD。(非整箱丢失内装物缺少, 不予赔偿)。</t>
  </si>
  <si>
    <t>3.在运输过程中如货物丢失或者未提供POD后丢失的货物，并经我司确认丢失的，按照申报价值赔偿最高不超20元 KG 且不退运费赔偿。</t>
  </si>
  <si>
    <t>4.已提供完整的POD后，不接受索赔；POD不完整的，有未上架产品，我司可提供相关证明，协助处理；(非整箱丢失内装物缺少, 不予赔偿)。</t>
  </si>
  <si>
    <t>5.特别申明以下情况不受理赔偿:如因侵权问题， 我司不承担任何责任并且保留追究发件人因此带来对我司的损失的赔偿;
（1）如货物没有按照实际价值申报、侵犯知识产权、当地禁止进口等原因而导致的海关扣货，此情况不在赔偿范围之内，我司只是协助发件人提供清关文件;
（2）如因客户货物本身质量问题以及涉及到具体的认证问题等，均不受理赔偿; 
（3）如遇战争，自然灾害等不可抗力因素除导致货物破坏或灭失，不受理赔偿; 
（4）在运输过程中如遇到航班延误等引起的总体时效延误，均不受理赔偿;
（5）产品数量缺少、损坏不受理赔偿;
（6）易碎品不接受任何损坏赔偿。</t>
  </si>
  <si>
    <t>6.如亚马逊拒收货件,私人地址拒收货物，产生的退回运费以及其他任何额外费用，客人自理。因客户产品问题导致海关扣关，我司会负责协助清关处理，但不承担任何责任。如果产品地址问题的账单，例如UPS自动更正地址的账单，发件人需无条件支付(单证制单错误除外）</t>
  </si>
  <si>
    <t>7.FBA货物每件货物需贴2个以上合格的FBA标签,外箱和内装货物上必须有原产地标签made in china,如无该标签,导致美国扣关，退回产生的一切费用和责任由发件人承担。</t>
  </si>
  <si>
    <t>8.由于产品本身专利或知识产权问题产生扣关，货物退回等后续问题由客户承担，我司保留追究的权力。</t>
  </si>
  <si>
    <t>9.FDA类产品，海关可能会查验。由于客户提供错误的FDA ID. 产生扣关，关税，货物退回等后续问题由客户承担，我司并保留追究的权力。</t>
  </si>
  <si>
    <t>10.目的地派送时偶尔会有未扫描到的情况，如申请货物丢失索赔，亚马逊货件需提供当天亚马逊后台上架记录截图（带上右下角时间）证明，否则无法受理。</t>
  </si>
  <si>
    <t>11.非亚马逊货件丢失需在签收前向UPS索要丢失证明（备案号），否则无法受理；</t>
  </si>
  <si>
    <t>12.赔偿申请需要带有公章的赔偿确认函，否则我司不做处理。</t>
  </si>
  <si>
    <t xml:space="preserve"> 特别提示：如贵司使用我司服务，既贵司默认为已详细阅读过此价格表相关条款，并接受各条款的约束。我司保留各项条款的最终解释权。</t>
  </si>
  <si>
    <t>加拿大海运专线</t>
  </si>
  <si>
    <t>加拿大区域</t>
  </si>
  <si>
    <t xml:space="preserve">
参考时效</t>
  </si>
  <si>
    <t>21kg+
（RMB KG）</t>
  </si>
  <si>
    <t>51kg+
（RMB KG）</t>
  </si>
  <si>
    <t>71kg+
（RMB KG）</t>
  </si>
  <si>
    <t>101kg+（RMB KG）</t>
  </si>
  <si>
    <r>
      <rPr>
        <b/>
        <sz val="12"/>
        <rFont val="微软雅黑"/>
        <charset val="134"/>
      </rPr>
      <t>温哥华YVR区
以</t>
    </r>
    <r>
      <rPr>
        <b/>
        <sz val="12"/>
        <color rgb="FFFF0000"/>
        <rFont val="微软雅黑"/>
        <charset val="134"/>
      </rPr>
      <t xml:space="preserve"> V</t>
    </r>
    <r>
      <rPr>
        <b/>
        <sz val="12"/>
        <rFont val="微软雅黑"/>
        <charset val="134"/>
      </rPr>
      <t xml:space="preserve"> 开头邮编地址</t>
    </r>
  </si>
  <si>
    <t>直航温哥华中转
开船后35-40天提柜
上述仅作为客户订舱参考，不代表我司的时效保证</t>
  </si>
  <si>
    <t>卡尔加里YYC区
以 T S R 开头邮编地址</t>
  </si>
  <si>
    <t>多伦多YYZ区
以 L M N 开头邮编地址</t>
  </si>
  <si>
    <t>渥太华YOW区
以 G J H K P 开头邮编地址</t>
  </si>
  <si>
    <t>其他分区
以 A B C E 开头邮编地址</t>
  </si>
  <si>
    <t>严格拒接</t>
  </si>
  <si>
    <r>
      <rPr>
        <b/>
        <sz val="14"/>
        <color theme="1"/>
        <rFont val="微软雅黑"/>
        <charset val="134"/>
      </rPr>
      <t xml:space="preserve">赔付时效
</t>
    </r>
    <r>
      <rPr>
        <b/>
        <sz val="14"/>
        <color rgb="FFFF0000"/>
        <rFont val="微软雅黑"/>
        <charset val="134"/>
      </rPr>
      <t>（开船后）</t>
    </r>
  </si>
  <si>
    <t>多伦多 ( YYZ    YHM    YOO    YDC 系列 )</t>
  </si>
  <si>
    <t>渥太华 ( YOW    YXU    YGK 系列 )</t>
  </si>
  <si>
    <t>温哥华 ( YVR    YXX 系列 )</t>
  </si>
  <si>
    <t>卡尔加里 ( YYC    YEG 系列 )</t>
  </si>
  <si>
    <t>不足100KG+3 kg；附加费单询</t>
  </si>
  <si>
    <t>开船次日起
20-25自然日</t>
  </si>
  <si>
    <t>开船次日起
35-40自然日</t>
  </si>
  <si>
    <t>不足100KG+3 kg；比重不足300，单价+2</t>
  </si>
  <si>
    <t>可走产品范围：
洁面乳、洁面霜、面霜、精华液、眼霜、面膜、爽肤水、乳液、防晒霜、口红、唇彩、眼影、睫毛膏、眼线笔、眉笔、腮红、粉底、遮瑕膏、沐浴露、香皂、身体乳液、身体去角质霜、洗发水、护发素、发膜、发油等</t>
  </si>
  <si>
    <r>
      <rPr>
        <b/>
        <i/>
        <sz val="36"/>
        <color rgb="FFFFFF00"/>
        <rFont val="Arial Black"/>
        <charset val="134"/>
      </rPr>
      <t xml:space="preserve">                                      </t>
    </r>
    <r>
      <rPr>
        <b/>
        <i/>
        <sz val="36"/>
        <color rgb="FFFFFF00"/>
        <rFont val="微软雅黑"/>
        <charset val="134"/>
      </rPr>
      <t>加拿大化妆品专线卡派包税</t>
    </r>
  </si>
  <si>
    <r>
      <rPr>
        <b/>
        <sz val="20"/>
        <color theme="0"/>
        <rFont val="黑体"/>
        <charset val="134"/>
      </rPr>
      <t xml:space="preserve"> 已在加拿大海关CNF备案，减少查验风险；量大固定发货的客户我司可代办CNF，100%清关无风险</t>
    </r>
    <r>
      <rPr>
        <b/>
        <sz val="18"/>
        <color theme="0"/>
        <rFont val="黑体"/>
        <charset val="134"/>
      </rPr>
      <t xml:space="preserve">
可走产品范围：洁面乳、洁面霜、面霜、精华液、眼霜、面膜、爽肤水、乳液、防晒霜、口红、唇彩、眼影、睫毛膏、眼线笔、眉笔、腮红、粉底、遮瑕膏、沐浴露、香皂、身体乳液、身体去角质霜、洗发水、护发素、发膜、发油等</t>
    </r>
  </si>
  <si>
    <t>加拿大化妆品专线卡派包税</t>
  </si>
  <si>
    <t>体积  6000</t>
  </si>
  <si>
    <t>300KG+</t>
  </si>
  <si>
    <t>卡尔加里亚马逊仓
YYC1、YYC4、YYC6</t>
  </si>
  <si>
    <t>埃德蒙顿亚马逊仓
YEG1、YEG2</t>
  </si>
  <si>
    <t>多伦多亚马逊仓
YYZ1-YYZ9、YOO1、YHM1、
YXU1、YGK1、PRTO</t>
  </si>
  <si>
    <t>渥太华亚马逊仓
YOW1-YOW3</t>
  </si>
  <si>
    <t>1、双清含税到门。洲名YT，NT，NU，岛屿无服务，邮编X0A-X9Z，Y0A-Y9Z 无服务。
2、单独报关加350元 票。
3、尺寸限制：
 ①
包税单边长≥120CM不超200CM，加1元 KG；单边长大于等于200CM不超过240CM，加2元 KG。
不包税单边长≥120CM不超200CM，加200RMB 方；单边长大于等于200CM不超过240CM，加300RMB 方。
 ②单件实重≥50kg，或≥1.5立方，需要打木箱 木架 托（卡脚必须预留9cm以上），单件实重超过450kg 一个托盘加收500元 票操作费。
 ③单边长超3M或单件实重超2T，单独加收1200元 件操作费。（与其它超长超重费叠加）
 ④最长边不超过5M，宽跟高不超过2.1米。
4、可接受纸箱、编织袋，木箱、木架（非原木）包装；木箱包装需有合页能开箱查货且需有9CM卡脚叉车能操作。
5、总价值除总重量超30美金 kg加2元 kg，超60美金 kg加3元 kg，超80美金 kg单询。（与产品附加不叠加，取大者）
6、单票品名超5个加30元 个，单票品名限10个以内。
7、赔偿说明：
提取前丢失按箱单申报价值，最高不超过20元 KG，不退运费（走货前提前确认单价加1，赔偿可按退运费）
提取后丢失以UPS或联邦开查索赔为准，不退运费。
由于货物运输延误或者报关问题引起的其它损失、间接损失等，乙方不承担赔偿责任，即不承担连带责任。
特别说明：如因产品涉及反倾销、认证、侵权、不符合目的国进口要求，客户自身瞒报，漏报等情况，相关费用和责任由发件人承担。
免责声明：战争，爆乱，罢工，政治因素，自然灾害，疫情，恶劣天气（如暴风雪）等不可抗力因素导致货物延误，损坏、丢失，不受理赔偿。</t>
  </si>
  <si>
    <r>
      <rPr>
        <b/>
        <i/>
        <sz val="48"/>
        <color theme="0"/>
        <rFont val="Arial Black"/>
        <charset val="134"/>
      </rPr>
      <t xml:space="preserve">                            </t>
    </r>
    <r>
      <rPr>
        <b/>
        <i/>
        <sz val="48"/>
        <color theme="0"/>
        <rFont val="微软雅黑"/>
        <charset val="134"/>
      </rPr>
      <t>加拿大</t>
    </r>
    <r>
      <rPr>
        <b/>
        <i/>
        <sz val="48"/>
        <color theme="0"/>
        <rFont val="Arial Black"/>
        <charset val="134"/>
      </rPr>
      <t>DG</t>
    </r>
    <r>
      <rPr>
        <b/>
        <i/>
        <sz val="48"/>
        <color theme="0"/>
        <rFont val="宋体"/>
        <charset val="134"/>
      </rPr>
      <t>卡派</t>
    </r>
    <r>
      <rPr>
        <b/>
        <i/>
        <sz val="48"/>
        <color theme="0"/>
        <rFont val="微软雅黑"/>
        <charset val="134"/>
      </rPr>
      <t>专线</t>
    </r>
  </si>
  <si>
    <t>加拿大DG卡派专线</t>
  </si>
  <si>
    <t>标准</t>
  </si>
  <si>
    <r>
      <rPr>
        <b/>
        <sz val="16"/>
        <color rgb="FFFF0000"/>
        <rFont val="微软雅黑"/>
        <charset val="134"/>
      </rPr>
      <t>需提供MSDS、UN38.3、海运鉴定报告</t>
    </r>
    <r>
      <rPr>
        <b/>
        <sz val="14"/>
        <color theme="1"/>
        <rFont val="微软雅黑"/>
        <charset val="134"/>
      </rPr>
      <t xml:space="preserve">
部分产品需危包证(危险品包装性能单、危险品包装使用单,以产品认证资料要求为准）
</t>
    </r>
    <r>
      <rPr>
        <b/>
        <sz val="14"/>
        <color rgb="FFFF0000"/>
        <rFont val="微软雅黑"/>
        <charset val="134"/>
      </rPr>
      <t>UN3171+1/kg产品附加费</t>
    </r>
  </si>
  <si>
    <t>加拿大FBA仓对照表</t>
  </si>
  <si>
    <t>地址</t>
  </si>
  <si>
    <t>城市</t>
  </si>
  <si>
    <t>州</t>
  </si>
  <si>
    <t>YVR1</t>
  </si>
  <si>
    <t>450 Derwent PL Delta,British Columbia V3M 5Y9</t>
  </si>
  <si>
    <t>Vancouver</t>
  </si>
  <si>
    <t>BC</t>
  </si>
  <si>
    <t>V3M 5Y9</t>
  </si>
  <si>
    <t>YVR2</t>
  </si>
  <si>
    <t>YVR3</t>
  </si>
  <si>
    <t>109 Braid Street New Westminster,BC V3L 5H4</t>
  </si>
  <si>
    <t>New Westminster</t>
  </si>
  <si>
    <t>V3L 5H4</t>
  </si>
  <si>
    <t>YVR4</t>
  </si>
  <si>
    <t>4189 Salish Sea Way Tsawwassen BC V4M 0B9</t>
  </si>
  <si>
    <t>TSAWWASSEN,</t>
  </si>
  <si>
    <t>V4M 0B9</t>
  </si>
  <si>
    <t>YXX2</t>
  </si>
  <si>
    <t>16131 Blundell Rd,</t>
  </si>
  <si>
    <t>RICHMOND</t>
  </si>
  <si>
    <t>V6W 0A3</t>
  </si>
  <si>
    <t>YYZ1</t>
  </si>
  <si>
    <t>6363 Millcreek Drive</t>
  </si>
  <si>
    <t>Mississauga</t>
  </si>
  <si>
    <t>ON</t>
  </si>
  <si>
    <t>L5N 1L8</t>
  </si>
  <si>
    <t>YYZ2</t>
  </si>
  <si>
    <t>2750 Peddie Rd.</t>
  </si>
  <si>
    <t>Milton</t>
  </si>
  <si>
    <t>L9T 6Y9</t>
  </si>
  <si>
    <t>YYZ3</t>
  </si>
  <si>
    <t>7995 Winston Churchill Blvd.</t>
  </si>
  <si>
    <t>Brampton</t>
  </si>
  <si>
    <t>L6Y 5Z4</t>
  </si>
  <si>
    <t>YYZ4</t>
  </si>
  <si>
    <t>8050 Heritage Road</t>
  </si>
  <si>
    <t>L6Y 0C9</t>
  </si>
  <si>
    <t>YYZ7</t>
  </si>
  <si>
    <t>12724 Coleraine Dr</t>
  </si>
  <si>
    <t>Bolton</t>
  </si>
  <si>
    <t>L7E 4L8</t>
  </si>
  <si>
    <t>YYZ9</t>
  </si>
  <si>
    <t>900 Passmore Ave</t>
  </si>
  <si>
    <t>Scarborough</t>
  </si>
  <si>
    <t>M1X 0A1</t>
  </si>
  <si>
    <t>YHM1</t>
  </si>
  <si>
    <t>110 aeropark dr, mt hope,</t>
  </si>
  <si>
    <t>HAMILTON</t>
  </si>
  <si>
    <t>L0R 1W1</t>
  </si>
  <si>
    <t>YOO1</t>
  </si>
  <si>
    <t>789 Salem Rd N, Ajax, ON L1Z 1G1</t>
  </si>
  <si>
    <t>Ajax</t>
  </si>
  <si>
    <t>L1Z 1G1</t>
  </si>
  <si>
    <t>YOW1</t>
  </si>
  <si>
    <t>5225 Boundary Rd</t>
  </si>
  <si>
    <t>Navan</t>
  </si>
  <si>
    <t>K4B 1P6</t>
  </si>
  <si>
    <t>YYC1</t>
  </si>
  <si>
    <t>293069 Colonel Robertson Way and Crossiron Blvd Calgary, Alberta T4A 1C6 Canada</t>
  </si>
  <si>
    <t>Calgary,AB</t>
  </si>
  <si>
    <t>AB</t>
  </si>
  <si>
    <t>T4A 1C6</t>
  </si>
  <si>
    <t>YEG1</t>
  </si>
  <si>
    <t>1440 39 AVE Nisku, AB T9E 0B4 CA</t>
  </si>
  <si>
    <t>Edmonton,AB</t>
  </si>
  <si>
    <t>T9E 0B4</t>
  </si>
  <si>
    <t>YUL2</t>
  </si>
  <si>
    <t>3000 Rue Louis A Amos</t>
  </si>
  <si>
    <t>Lachine</t>
  </si>
  <si>
    <t>QC</t>
  </si>
  <si>
    <t>H8T 3P8</t>
  </si>
  <si>
    <t>YEG2</t>
  </si>
  <si>
    <t>27383 92 Ave</t>
  </si>
  <si>
    <t>Edmonton</t>
  </si>
  <si>
    <t>T7X 5A6</t>
  </si>
  <si>
    <t>YOW3</t>
  </si>
  <si>
    <t>222 Citigate Dr</t>
  </si>
  <si>
    <t>Barrhaven</t>
  </si>
  <si>
    <t>K2J 6K7</t>
  </si>
  <si>
    <t>新势力-美国包税附加费列表</t>
  </si>
  <si>
    <t>一、附加费(以下附加费不叠加收取，以货物归类最高的附加费来收取)</t>
  </si>
  <si>
    <t>1. 无附加费：普货税率在15%以下；</t>
  </si>
  <si>
    <t>2. 附加费加收0.5元 KG：（灯类、灯配件、带电；玻璃制品，陶瓷制品、机动车零件（汽车、自行车、摩托车等）</t>
  </si>
  <si>
    <t>3.附加费加收RMB1元 KG：纺织品、箱包、皮革制品、鞋类、笔类（铅笔、圆珠笔不接）、假发、木制品、书籍（不接侵权、带政治色彩书）、摄影类产品、表带，带磁（空运收，海运不收），玩具，非FBA加1元（沃尔玛、wayfair、万邑通、谷仓、4px仓海派可不收取私人地址+1）</t>
  </si>
  <si>
    <t>4. 附加费单询：高货值、高关税、特殊品类</t>
  </si>
  <si>
    <t>5. 非FBA地址货物 +RMB1 KG；美国私人地址如果有住宅派送费，加收RMB25 箱，如涉及海外截货，费用单询;</t>
  </si>
  <si>
    <t xml:space="preserve">6. 私人地址、商业地址、住宅地址以及偏远地区亚马逊地址，如派送时产生偏远附加费，需实报实销，账单3个月有效；不接收阿拉斯加,夏威夷和波多黎各地区派送。       </t>
  </si>
  <si>
    <t>7.FDA品名申报费：200元 票（1.必须提供FDA注册号（即要求产品做过正规认证）此类不接 2. 不需要FDA注册号（报关行在清关时做FDA entry process，此类给FDA品名申报费可以接）</t>
  </si>
  <si>
    <t>二、拒收产品</t>
  </si>
  <si>
    <t>1. 拒收：仿牌、侵权、反倾销产品；需FDA认证产品（仅需FDA申报产品可以接）；</t>
  </si>
  <si>
    <t xml:space="preserve">2. 拒收：各类硒鼓、墨盒、涂料、油墨、电子烟、化妆品类、激光类、液体、粉末、管制刀具、移动电源、纯电池、真皮类产品等海运禁运货物和各种危险物品； </t>
  </si>
  <si>
    <t>三、常见FDA认证产品参考</t>
  </si>
  <si>
    <t>1. 食品，饮料</t>
  </si>
  <si>
    <t>2. 食品包装材料（纸张，塑料薄膜，金属塑铝箔）</t>
  </si>
  <si>
    <t>3. 玻璃陶瓷产品（各类玻璃陶瓷的锅、碗、盘、勺、盆、杯、瓶、壶等产品）</t>
  </si>
  <si>
    <t>4. 食品级塑料产品（与食品接触或直接入口的塑料类材料，主要包括：密胺、尼龙、ABS、ACRY、PU、PE、PC、PVC、PP、PR、PET、PO、PS、PSU、POM、PPS、EVA、SAN、SMM、EVA、BS、MEL、COPP、KRAT、ACRY等）</t>
  </si>
  <si>
    <t>5. 涂料产品（涂布于食品接触表面的石蜡共聚物、PVC涂料，粉末涂料，油墨等）</t>
  </si>
  <si>
    <t>6. 水暖五金产品（与饮用水，自来水接触的龙头，水管，容器，泵阀，热水器等）</t>
  </si>
  <si>
    <t>7. 橡胶树脂类产品（眼镜，太阳眼镜，3D眼镜 ,  瞄准器）</t>
  </si>
  <si>
    <t>8. 密封材料</t>
  </si>
  <si>
    <t>9. 化学添加剂（色素，防腐剂，抗氧化剂，表面活性剂等）</t>
  </si>
  <si>
    <t>10. 化妆品（粉饼，唇膏，化妆刷等）</t>
  </si>
  <si>
    <t>11. 医疗器械（血压仪，牙刷，近视眼镜，体温计* 可改成温湿计*）</t>
  </si>
  <si>
    <t>12. 激光器（激光笔，激光工具和激光仪器）</t>
  </si>
  <si>
    <t>13. 家用类（Yogurt maker-酸奶机（可能要），Oxygen pump氧气泵，Ear hook glasses 眼镜的耳钩，Glass bottles玻璃瓶，Hair straightner brush发梳，DVD player DVD 播放器，Incubator   孵化器 恒温箱( 具体看用于人类还是动物，动物试过不用）Water flosser 洗牙器，Massagers按摩器，Massage stick 按摩棒，部分厨具。Body cupping device拔火罐，Lotions,润肤液，洗涤剂 perfumes 香氛, shampoos洗发水, soaps肥皂 &amp; sunglasses太阳镜）</t>
  </si>
  <si>
    <t>FDA认证产品出运要求：</t>
  </si>
  <si>
    <t>1. 必须提供FDA注册号（即要求产品做过正规认证）-- 太阳眼镜，成分是100%膨润土的猫砂（复合材料和松木的不需要FDA）</t>
  </si>
  <si>
    <t>2. 不需要FDA注册号（报关行在清关时做FDA entry process）-- 纸杯（paper cups），加湿器（Humidifier），粉扑（powder puff）,化妆刷（makeup brush set Cosmetic brushes） 空玻璃杯（empty glass bottles）用激光的美发仪器（dryer machine）,盐浴球（Bath salt balls），烧烤架，烧烤套装，刀，食品罐，水壶，油壶，保温壶，DVD  CD播放器，梳子。</t>
  </si>
  <si>
    <t>3. 涉及FDA认证，有条件限制收运品名 -- 血压仪 等涉及医疗产品，按摩仪，电动牙刷，冲牙器，粉刺针，纹身机</t>
  </si>
  <si>
    <t>四、常见美国对华反倾销产品参考</t>
  </si>
  <si>
    <t>1. 杂项制品（木制卧室家具、复合木地板、非晶硅织物、晶体硅光伏电池、小直径石墨电极）</t>
  </si>
  <si>
    <t>2. 机械电气设备及部件（滚球轴承、汽车挡风玻璃、刹车鼓与刹车转子）</t>
  </si>
  <si>
    <t>3. 文具及纸制品（铜版纸、格记录纸、薄绵纸、折叠礼品盒、皱纹纸、无涂层纸、铅笔、文具、曲别针、折叠金属桌椅）</t>
  </si>
  <si>
    <t>4. 纺织制品（聚酯人造纤维、画布、编织电热毯）</t>
  </si>
  <si>
    <t>5. 塑料与橡胶制品（复合编织袋、聚乙烯手提袋、新充气工程机械轮胎）</t>
  </si>
  <si>
    <t>6. 家用电器（彩色电视机、家用大型洗衣机）</t>
  </si>
  <si>
    <t>7. 车船运输设备及部件（自行车、手推车）</t>
  </si>
  <si>
    <t>8. 建材与玻璃制品（铝型材、双轴土工格栅、镁碳砖）</t>
  </si>
  <si>
    <t xml:space="preserve">反倾销货物明细，查询反倾销美国网址： https:  www.usitc.gov trade_remedy 731_ad_701_cvd investigations.htm </t>
  </si>
  <si>
    <t>五、常见带磁产品参考</t>
  </si>
  <si>
    <t>根据IATA902国际航空协议（International Air Transponrt Association)要求，距被测货物表面2.1m处的任意磁场强度应小于0.159A m(200T)才可作普货运输。
凡是货物中含有磁性材料的货物均会在空间产生磁场，需进行磁性货物的安全检测，以保证飞行安全。
下面所列物品是我们经常遇到的一些需要进行磁性安全检测的物品名称，由于产品制造材料和工艺的不同，不可能罗列所有货物的名称，是否符合航空运输协议要求，以实验检测结果为准。</t>
  </si>
  <si>
    <t>1. 材料类（磁钢、铝镍钴磁钢、钐钴磁钢、钕铁硼、磁铁、磁石、磁棒、铁芯等）</t>
  </si>
  <si>
    <t>2. 音响器材类（扬声器、扬声器配件、蜂鸣器、音响、喇叭、喇叭箱、音响、收音机、多媒体音箱、麦克风、耳机、功放、对讲机、移动电话、录音机、电话机等）</t>
  </si>
  <si>
    <t>3. 电机类（微电机、直流电机、微型振动器、步进电机、伺服马达、电视机、电动机、风扇、电磁阀、发动机、发电机、电吹风、吸尘器、搅拌机、电饭锅、电水壶、雨刮电机、离心机、空压机、按摩器等）</t>
  </si>
  <si>
    <t>4. 其他磁性货物（报警器配件、防盗器配件、升降机配件、冰箱贴、警报器、指南针、万用表、激光磁头、机芯光头、门铃、电度表、含指南针的手表、电脑机组件、称、传感器、传声器等）</t>
  </si>
  <si>
    <t>Amazon Fulfillment Centers</t>
  </si>
  <si>
    <t>United States (1020)</t>
  </si>
  <si>
    <t>NO.</t>
  </si>
  <si>
    <t>CODE</t>
  </si>
  <si>
    <t>Address</t>
  </si>
  <si>
    <t>City</t>
  </si>
  <si>
    <t>State</t>
  </si>
  <si>
    <t>Zip Code</t>
  </si>
  <si>
    <t>Size</t>
  </si>
  <si>
    <t>Items   Use</t>
  </si>
  <si>
    <t>*XFR</t>
  </si>
  <si>
    <t>2021 7th Avenue</t>
  </si>
  <si>
    <t>Seattle</t>
  </si>
  <si>
    <t>WA</t>
  </si>
  <si>
    <t>ABE1</t>
  </si>
  <si>
    <t>705 Boulder Dr</t>
  </si>
  <si>
    <t>Breinigsville</t>
  </si>
  <si>
    <t>PA</t>
  </si>
  <si>
    <t>705 Boulder Drive, Attn: Receiving</t>
  </si>
  <si>
    <t>18031-1533</t>
  </si>
  <si>
    <t>650 Boulder Drive, Attn: Receiving</t>
  </si>
  <si>
    <t>18031-1536</t>
  </si>
  <si>
    <t>1610 Van Buren Road</t>
  </si>
  <si>
    <t>Easton</t>
  </si>
  <si>
    <t>ABE5</t>
  </si>
  <si>
    <t>100 Quality Circle, Suite 107</t>
  </si>
  <si>
    <t>Harrisburg</t>
  </si>
  <si>
    <t>ABE7</t>
  </si>
  <si>
    <t>12510 Micro Dr</t>
  </si>
  <si>
    <t>Mira Loma</t>
  </si>
  <si>
    <t>CA</t>
  </si>
  <si>
    <t>401 Independence Road</t>
  </si>
  <si>
    <t>Florence</t>
  </si>
  <si>
    <t>NJ</t>
  </si>
  <si>
    <t>ABE9</t>
  </si>
  <si>
    <t>100 Quality Circle, Suite 106</t>
  </si>
  <si>
    <t>ABEX</t>
  </si>
  <si>
    <t>698 Route 46 West</t>
  </si>
  <si>
    <t>Teterboro</t>
  </si>
  <si>
    <t>Not Open</t>
  </si>
  <si>
    <t>ACY1</t>
  </si>
  <si>
    <t>240 Mantua Grove Road</t>
  </si>
  <si>
    <t>West Deptford</t>
  </si>
  <si>
    <t>1101 E PEARL ST</t>
  </si>
  <si>
    <t>BURLINGTON</t>
  </si>
  <si>
    <t>08016-1934</t>
  </si>
  <si>
    <t>ACY5</t>
  </si>
  <si>
    <t>2277 Center Square Rd</t>
  </si>
  <si>
    <t>Swedesboro, Logan Township</t>
  </si>
  <si>
    <t>Sortation Center for New Jersey Market</t>
  </si>
  <si>
    <t>ACY8</t>
  </si>
  <si>
    <t>8 CAMPUS DR</t>
  </si>
  <si>
    <t>AGS2</t>
  </si>
  <si>
    <t>429 Toy Wright Rd</t>
  </si>
  <si>
    <t>Pendergrass</t>
  </si>
  <si>
    <t>GA</t>
  </si>
  <si>
    <t>AKC1</t>
  </si>
  <si>
    <t>2400 ROMIG RD</t>
  </si>
  <si>
    <t>Summit</t>
  </si>
  <si>
    <t>OH</t>
  </si>
  <si>
    <t>44320-3827</t>
  </si>
  <si>
    <t>1801 Route 9</t>
  </si>
  <si>
    <t>Rensselaer</t>
  </si>
  <si>
    <t>NY</t>
  </si>
  <si>
    <t>ALT9</t>
  </si>
  <si>
    <t>(920 Highway 124)</t>
  </si>
  <si>
    <t>Braselton</t>
  </si>
  <si>
    <t>Large Non-Sortable</t>
  </si>
  <si>
    <t>ASE3</t>
  </si>
  <si>
    <t>20526 59th Place South</t>
  </si>
  <si>
    <t>Kent</t>
  </si>
  <si>
    <t>2255 W PARK PLACE BLVD</t>
  </si>
  <si>
    <t>STONE MOUNTAIN</t>
  </si>
  <si>
    <t>4200 North Commerce Dr.</t>
  </si>
  <si>
    <t>East Point</t>
  </si>
  <si>
    <t>Sortation Center to service Atlanta market</t>
  </si>
  <si>
    <t>6855 Shannon Pkwy</t>
  </si>
  <si>
    <t>Union City</t>
  </si>
  <si>
    <t>30291-2091</t>
  </si>
  <si>
    <t>2201 Thornton Road</t>
  </si>
  <si>
    <t>Lithia Springs</t>
  </si>
  <si>
    <t>30122-3895</t>
  </si>
  <si>
    <t>ATL9</t>
  </si>
  <si>
    <t>2232 Northmont Parkway</t>
  </si>
  <si>
    <t>Duluth</t>
  </si>
  <si>
    <t>550 Oak Ridge Road</t>
  </si>
  <si>
    <t>Hazleton</t>
  </si>
  <si>
    <t>18202-9361</t>
  </si>
  <si>
    <t>AVP2</t>
  </si>
  <si>
    <t>298 1st Ave</t>
  </si>
  <si>
    <t>Gouldsboro</t>
  </si>
  <si>
    <t>Diaper.com FC</t>
  </si>
  <si>
    <t>18424-9492</t>
  </si>
  <si>
    <t>AVP6</t>
  </si>
  <si>
    <t>1 Commerce Rd</t>
  </si>
  <si>
    <t>Pittston</t>
  </si>
  <si>
    <t>18640-9509</t>
  </si>
  <si>
    <t>AVP8</t>
  </si>
  <si>
    <t>250 Enterprise Way</t>
  </si>
  <si>
    <t>18640-5000</t>
  </si>
  <si>
    <t>AZA4</t>
  </si>
  <si>
    <t>3333 S 59th Ave</t>
  </si>
  <si>
    <t>Phoenix</t>
  </si>
  <si>
    <t>AZ</t>
  </si>
  <si>
    <t>AZA5</t>
  </si>
  <si>
    <t>6000 W Van Buren St.</t>
  </si>
  <si>
    <t>AZA6</t>
  </si>
  <si>
    <t>2150 East Riverview Drive</t>
  </si>
  <si>
    <t>BDL1</t>
  </si>
  <si>
    <t>200 Old Iron Ore Rd</t>
  </si>
  <si>
    <t>Windsor</t>
  </si>
  <si>
    <t>CT</t>
  </si>
  <si>
    <t>BDL2</t>
  </si>
  <si>
    <t>BDL3</t>
  </si>
  <si>
    <t>409 Washington Avenue</t>
  </si>
  <si>
    <t>North Haven</t>
  </si>
  <si>
    <t>BDL5</t>
  </si>
  <si>
    <t>29 Research Parkway</t>
  </si>
  <si>
    <t>Wallingford</t>
  </si>
  <si>
    <t>Sortation Center for the Windsor CT Market</t>
  </si>
  <si>
    <t>BDL6</t>
  </si>
  <si>
    <t>120 County Line Dr</t>
  </si>
  <si>
    <t>Cromwell</t>
  </si>
  <si>
    <t>BEK1</t>
  </si>
  <si>
    <t>2495 Bancroft Way Room 235, MLK Student Union Building</t>
  </si>
  <si>
    <t>Berkeley</t>
  </si>
  <si>
    <t>BFC1</t>
  </si>
  <si>
    <t>380 Middlesex Ave</t>
  </si>
  <si>
    <t>CARTERET</t>
  </si>
  <si>
    <t>07008-3445</t>
  </si>
  <si>
    <t>BFI1</t>
  </si>
  <si>
    <t>1800 140th Avenue E., Suite A</t>
  </si>
  <si>
    <t>Sumner</t>
  </si>
  <si>
    <t>98390-9624</t>
  </si>
  <si>
    <t>BFI3</t>
  </si>
  <si>
    <t>2700 Center Drive</t>
  </si>
  <si>
    <t>DuPont</t>
  </si>
  <si>
    <t>98327-9607</t>
  </si>
  <si>
    <t>BFI4</t>
  </si>
  <si>
    <t>21005 64th Ave S</t>
  </si>
  <si>
    <t>BFI5</t>
  </si>
  <si>
    <t>20529 59th Place South, Building B</t>
  </si>
  <si>
    <t>Sortation Center for Seattle Market</t>
  </si>
  <si>
    <t>BFI6</t>
  </si>
  <si>
    <t>20202, 84th Avenue South</t>
  </si>
  <si>
    <t>1901 140th Ave E</t>
  </si>
  <si>
    <t>BFI8</t>
  </si>
  <si>
    <t>20529 24th Ave S</t>
  </si>
  <si>
    <t>SEATAC</t>
  </si>
  <si>
    <t>BFIX</t>
  </si>
  <si>
    <t>1800 140th Ave E, Suite XB</t>
  </si>
  <si>
    <t>BFL1</t>
  </si>
  <si>
    <t>1601 Petrol Road</t>
  </si>
  <si>
    <t>BAKERSFIELD</t>
  </si>
  <si>
    <t>BHM1</t>
  </si>
  <si>
    <t>975 Powder Plant Rd</t>
  </si>
  <si>
    <t>BESSEMER</t>
  </si>
  <si>
    <t>AL</t>
  </si>
  <si>
    <t>BLF1</t>
  </si>
  <si>
    <t>1601 PETROL RD</t>
  </si>
  <si>
    <t>BNA1</t>
  </si>
  <si>
    <t>14840 Central Pike, Suite 190</t>
  </si>
  <si>
    <t>Lebanon</t>
  </si>
  <si>
    <t>TN</t>
  </si>
  <si>
    <t>37090-8119</t>
  </si>
  <si>
    <t>500 Duke Dr</t>
  </si>
  <si>
    <t>37090-8123</t>
  </si>
  <si>
    <t>BNA3</t>
  </si>
  <si>
    <t>2020 Joe B Jackson Pkwy</t>
  </si>
  <si>
    <t>Murfreesboro</t>
  </si>
  <si>
    <t>37127-7792</t>
  </si>
  <si>
    <t>BNA4</t>
  </si>
  <si>
    <t>50 Airways Blvd.</t>
  </si>
  <si>
    <t>Nashville</t>
  </si>
  <si>
    <t>BNA5</t>
  </si>
  <si>
    <t>Sortation Center for Nashville</t>
  </si>
  <si>
    <t>BNA9</t>
  </si>
  <si>
    <t>700 Mason Rd, Park 24   Bldg 7</t>
  </si>
  <si>
    <t>La Vergne</t>
  </si>
  <si>
    <t>BOI2</t>
  </si>
  <si>
    <t>5295 E Franklin Rd</t>
  </si>
  <si>
    <t>Nampa</t>
  </si>
  <si>
    <t>ID</t>
  </si>
  <si>
    <t>BOS1</t>
  </si>
  <si>
    <t>10 State St</t>
  </si>
  <si>
    <t>Nashua</t>
  </si>
  <si>
    <t>NH</t>
  </si>
  <si>
    <t>Small Sortable</t>
  </si>
  <si>
    <t>BOS3</t>
  </si>
  <si>
    <t>Fall River</t>
  </si>
  <si>
    <t>MA</t>
  </si>
  <si>
    <t>BOS4</t>
  </si>
  <si>
    <t>1 NATIONAL ST</t>
  </si>
  <si>
    <t>MILFORD</t>
  </si>
  <si>
    <t>BOS5</t>
  </si>
  <si>
    <t>1000 Technology Center Drive</t>
  </si>
  <si>
    <t>Stoughton</t>
  </si>
  <si>
    <t>Sortation Center for Boston Market</t>
  </si>
  <si>
    <t>BOS6</t>
  </si>
  <si>
    <t>201 Beacham St</t>
  </si>
  <si>
    <t>Everett</t>
  </si>
  <si>
    <t>02149-5518</t>
  </si>
  <si>
    <t>1180 Innovation Way</t>
  </si>
  <si>
    <t>BOS8</t>
  </si>
  <si>
    <t>870 Commonwealth Ave</t>
  </si>
  <si>
    <t>Brookline</t>
  </si>
  <si>
    <t>BOS9</t>
  </si>
  <si>
    <t>750 Everett St</t>
  </si>
  <si>
    <t>Norwood</t>
  </si>
  <si>
    <t>02062-2618</t>
  </si>
  <si>
    <t>BUF5</t>
  </si>
  <si>
    <t>4201 Walden Ave</t>
  </si>
  <si>
    <t>Lancaster</t>
  </si>
  <si>
    <t>BUF9</t>
  </si>
  <si>
    <t>BUR2</t>
  </si>
  <si>
    <t>925 Westwood Boulevard</t>
  </si>
  <si>
    <t>Los Angeles</t>
  </si>
  <si>
    <t>BWI0</t>
  </si>
  <si>
    <t>2010 Broening Highway</t>
  </si>
  <si>
    <t>Baltimore</t>
  </si>
  <si>
    <t>MD</t>
  </si>
  <si>
    <t>BWI1</t>
  </si>
  <si>
    <t>45121 Global Plaza, Sterling</t>
  </si>
  <si>
    <t>Sterling</t>
  </si>
  <si>
    <t>VA</t>
  </si>
  <si>
    <t>BWI2</t>
  </si>
  <si>
    <t>2010 Broening Hwy.</t>
  </si>
  <si>
    <t>165 Business Blvd</t>
  </si>
  <si>
    <t>Clear Brook</t>
  </si>
  <si>
    <t>BWI5</t>
  </si>
  <si>
    <t>5001 Holabird Ave.</t>
  </si>
  <si>
    <t>Sortation Center connected by conveyor to the BWI2 Fulfillment Center</t>
  </si>
  <si>
    <t>BWI6</t>
  </si>
  <si>
    <t>5617 Industrial Drive</t>
  </si>
  <si>
    <t>Springfield</t>
  </si>
  <si>
    <t>22151-4410</t>
  </si>
  <si>
    <t>CAE1</t>
  </si>
  <si>
    <t>4400 12 Street Extension</t>
  </si>
  <si>
    <t>West Columbia</t>
  </si>
  <si>
    <t>SC</t>
  </si>
  <si>
    <t>29172-3300</t>
  </si>
  <si>
    <t>CAE3</t>
  </si>
  <si>
    <t>222 Old Wire Road</t>
  </si>
  <si>
    <t>CAK1</t>
  </si>
  <si>
    <t>290 E Exchange Street</t>
  </si>
  <si>
    <t>Akron</t>
  </si>
  <si>
    <t>CFL1</t>
  </si>
  <si>
    <t>4225 East Plaza Drive</t>
  </si>
  <si>
    <t>Orlando</t>
  </si>
  <si>
    <t>FL</t>
  </si>
  <si>
    <t>CHA1</t>
  </si>
  <si>
    <t>7200 Discovery Drive, Attn: Receiving</t>
  </si>
  <si>
    <t>Chattanooga</t>
  </si>
  <si>
    <t>37416-1757</t>
  </si>
  <si>
    <t>225 Infinity Dr NW, Attn: Receiving</t>
  </si>
  <si>
    <t>Charleston</t>
  </si>
  <si>
    <t>37310-1400</t>
  </si>
  <si>
    <t>CHI1</t>
  </si>
  <si>
    <t>750 S Halsted St, Student Center East, #214</t>
  </si>
  <si>
    <t>Chicago</t>
  </si>
  <si>
    <t>IL</t>
  </si>
  <si>
    <t>CHI3</t>
  </si>
  <si>
    <t>2720 N Clark St</t>
  </si>
  <si>
    <t>CHS1</t>
  </si>
  <si>
    <t>7290 Investment Drive</t>
  </si>
  <si>
    <t>N Charleston</t>
  </si>
  <si>
    <t>Food Distibrution</t>
  </si>
  <si>
    <t>CIN1</t>
  </si>
  <si>
    <t>241 Calhoun St</t>
  </si>
  <si>
    <t>Cincinnati</t>
  </si>
  <si>
    <t>CLE1</t>
  </si>
  <si>
    <t>2020 Euclid Ave</t>
  </si>
  <si>
    <t>Cleveland</t>
  </si>
  <si>
    <t>CLE2</t>
  </si>
  <si>
    <t>21500 Emery Rd</t>
  </si>
  <si>
    <t>Randall</t>
  </si>
  <si>
    <t>CLE3</t>
  </si>
  <si>
    <t>1155 Babbitt Road</t>
  </si>
  <si>
    <t>Euclid</t>
  </si>
  <si>
    <t>44132-2703</t>
  </si>
  <si>
    <t>CLE5</t>
  </si>
  <si>
    <t>8685 Independence Parkway</t>
  </si>
  <si>
    <t>Twinsburg</t>
  </si>
  <si>
    <t>Sortation Center for Cleveland 300 people to be employed</t>
  </si>
  <si>
    <t>CLE6</t>
  </si>
  <si>
    <t>23371 Aurora Road</t>
  </si>
  <si>
    <t>Bedford Heights</t>
  </si>
  <si>
    <t>CLT1</t>
  </si>
  <si>
    <t>7035 Northwinds Drive</t>
  </si>
  <si>
    <t>Concord</t>
  </si>
  <si>
    <t>NC</t>
  </si>
  <si>
    <t>10240 Old Dowd Rd</t>
  </si>
  <si>
    <t>Charlotte</t>
  </si>
  <si>
    <t>28214-8082</t>
  </si>
  <si>
    <t>6500 Davidson Hwy</t>
  </si>
  <si>
    <t>8000 TUCKASEEGEE RD</t>
  </si>
  <si>
    <t>CHARLOTTE</t>
  </si>
  <si>
    <t>CLT5</t>
  </si>
  <si>
    <t>1745 Derita Rd.</t>
  </si>
  <si>
    <t>Sortation Center for North Carolina 360 people employed</t>
  </si>
  <si>
    <t>CMH0</t>
  </si>
  <si>
    <t>11903 National RD SW Etna Township Park</t>
  </si>
  <si>
    <t>Etna</t>
  </si>
  <si>
    <t>CMH1</t>
  </si>
  <si>
    <t>11903 National Road SW</t>
  </si>
  <si>
    <t>6050 Gateway Court</t>
  </si>
  <si>
    <t>Groveport</t>
  </si>
  <si>
    <t>43125-9016</t>
  </si>
  <si>
    <t>700 GATEWAY BLVD MONROE</t>
  </si>
  <si>
    <t>Monroe</t>
  </si>
  <si>
    <t>CMH4</t>
  </si>
  <si>
    <t>1550 W. Main Street</t>
  </si>
  <si>
    <t>WEST JEFFERSON</t>
  </si>
  <si>
    <t>43162-9747</t>
  </si>
  <si>
    <t>3538 TRADEPORT CT</t>
  </si>
  <si>
    <t>LOCKBOURNE</t>
  </si>
  <si>
    <t>43137-9670</t>
  </si>
  <si>
    <t>CMI1</t>
  </si>
  <si>
    <t>809S Wright Street</t>
  </si>
  <si>
    <t>Champaign</t>
  </si>
  <si>
    <t>CON1</t>
  </si>
  <si>
    <t>40 Wilbur Cross Way, Suite 104</t>
  </si>
  <si>
    <t>Mansfield</t>
  </si>
  <si>
    <t>CSD1</t>
  </si>
  <si>
    <t>9500 Gilman Drive #0102</t>
  </si>
  <si>
    <t>La Jolla</t>
  </si>
  <si>
    <t>CSG1</t>
  </si>
  <si>
    <t>61 Old Hwy 29</t>
  </si>
  <si>
    <t>Newnan</t>
  </si>
  <si>
    <t>CVG1</t>
  </si>
  <si>
    <t>1155 Worldwide Blvd., Bldg. F Park W Intl.</t>
  </si>
  <si>
    <t>Hebron</t>
  </si>
  <si>
    <t>KY</t>
  </si>
  <si>
    <t>41048-8640</t>
  </si>
  <si>
    <t>CVG2</t>
  </si>
  <si>
    <t>1600 Worldwide Blvd.</t>
  </si>
  <si>
    <t>CVG3</t>
  </si>
  <si>
    <t>3680 Langley Dr.</t>
  </si>
  <si>
    <t>41048-9135</t>
  </si>
  <si>
    <t>CVG5</t>
  </si>
  <si>
    <t>2285 Litton Way</t>
  </si>
  <si>
    <t>Sortation Center</t>
  </si>
  <si>
    <t>CVG7</t>
  </si>
  <si>
    <t>2285 Litton Lane</t>
  </si>
  <si>
    <t>41048-8435</t>
  </si>
  <si>
    <t>CVG8</t>
  </si>
  <si>
    <t>7968 Kentucky Drive, Suites 2-3</t>
  </si>
  <si>
    <t>CVG9</t>
  </si>
  <si>
    <t>2305 Litton Lane</t>
  </si>
  <si>
    <t>DAB8</t>
  </si>
  <si>
    <t>100 PRECISION DR</t>
  </si>
  <si>
    <t>SHIRLEY</t>
  </si>
  <si>
    <t>DAE1</t>
  </si>
  <si>
    <t>2595 Brodhead Rd.</t>
  </si>
  <si>
    <t>Bethlehem</t>
  </si>
  <si>
    <t>2601 S. Airfield Dr</t>
  </si>
  <si>
    <t>Irving</t>
  </si>
  <si>
    <t>TX</t>
  </si>
  <si>
    <t>1310 Chalk Hill Road</t>
  </si>
  <si>
    <t>DALLAS</t>
  </si>
  <si>
    <t>DAL6</t>
  </si>
  <si>
    <t>4601 Gold Spike</t>
  </si>
  <si>
    <t>Fort Worth</t>
  </si>
  <si>
    <t>DAL9</t>
  </si>
  <si>
    <t>1400 SOUTHPORT PKWY</t>
  </si>
  <si>
    <t>WILMER</t>
  </si>
  <si>
    <t>DAS8</t>
  </si>
  <si>
    <t>110 Fordham Rd.</t>
  </si>
  <si>
    <t>WILMINGTON</t>
  </si>
  <si>
    <t>DAU1</t>
  </si>
  <si>
    <t>2093-2209 Rutland Dr</t>
  </si>
  <si>
    <t>Austin</t>
  </si>
  <si>
    <t>Delivery Station</t>
  </si>
  <si>
    <t>DAU5</t>
  </si>
  <si>
    <t>2956 MAIN ST.</t>
  </si>
  <si>
    <t>BUDA</t>
  </si>
  <si>
    <t>DAV1</t>
  </si>
  <si>
    <t>1 Shields Ave, Room 182</t>
  </si>
  <si>
    <t>Davis</t>
  </si>
  <si>
    <t>95616-8662</t>
  </si>
  <si>
    <t>DAX7</t>
  </si>
  <si>
    <t>9350 RAYO AVE</t>
  </si>
  <si>
    <t>SOUTH GATE</t>
  </si>
  <si>
    <t>DAY3</t>
  </si>
  <si>
    <t>700 Gateway Blvd</t>
  </si>
  <si>
    <t>Unknown</t>
  </si>
  <si>
    <t>DB01</t>
  </si>
  <si>
    <t>201 Beacham Street</t>
  </si>
  <si>
    <t>Everett (Chelsea)</t>
  </si>
  <si>
    <t>Delivery Station for Boston</t>
  </si>
  <si>
    <t>DB02</t>
  </si>
  <si>
    <t>500 Sprague St.</t>
  </si>
  <si>
    <t>Dedham</t>
  </si>
  <si>
    <t>DBA7</t>
  </si>
  <si>
    <t>16604 INDUSTRIAL LANE</t>
  </si>
  <si>
    <t>WILLIAMSPORT</t>
  </si>
  <si>
    <t>DBA8</t>
  </si>
  <si>
    <t>7021 DORSEY RD</t>
  </si>
  <si>
    <t>HANOVER</t>
  </si>
  <si>
    <t>DBC3</t>
  </si>
  <si>
    <t>800 JOHN QUINCY ADAMDS RD</t>
  </si>
  <si>
    <t>TAUNTON</t>
  </si>
  <si>
    <t>DBC6</t>
  </si>
  <si>
    <t>100 INDUSTRIAL PARK RD</t>
  </si>
  <si>
    <t>HINGHAM</t>
  </si>
  <si>
    <t>DBL8</t>
  </si>
  <si>
    <t>8 OLD SHERMAN TURNPIKE, #24</t>
  </si>
  <si>
    <t>DANBURY</t>
  </si>
  <si>
    <t>DBO8</t>
  </si>
  <si>
    <t>24 ALGER ST</t>
  </si>
  <si>
    <t>BOSTON</t>
  </si>
  <si>
    <t>DBO9</t>
  </si>
  <si>
    <t>30 COMMERCE BLVD</t>
  </si>
  <si>
    <t>MIDDLEBOROUGH</t>
  </si>
  <si>
    <t>DBU3</t>
  </si>
  <si>
    <t>2 WESTBURY AVE</t>
  </si>
  <si>
    <t>CARLE PLACE</t>
  </si>
  <si>
    <t>DCA1</t>
  </si>
  <si>
    <t>1700 Sparrows Point Boulevard</t>
  </si>
  <si>
    <t>Sparrows Point</t>
  </si>
  <si>
    <t>DCA2</t>
  </si>
  <si>
    <t>5250 Goodman Way</t>
  </si>
  <si>
    <t>Eastvale</t>
  </si>
  <si>
    <t>91752-5088</t>
  </si>
  <si>
    <t>6001 Bethlehem Blvd</t>
  </si>
  <si>
    <t>DCB2</t>
  </si>
  <si>
    <t>560 WEST ST</t>
  </si>
  <si>
    <t>MANSFIELD</t>
  </si>
  <si>
    <t>DCH1</t>
  </si>
  <si>
    <t>2801 S. Western Ave.</t>
  </si>
  <si>
    <t>Delivery Station service Chicago market</t>
  </si>
  <si>
    <t>DCH2</t>
  </si>
  <si>
    <t>8220 Austin Ave.</t>
  </si>
  <si>
    <t>Morton Grove</t>
  </si>
  <si>
    <t>Delivery Station for North Chicago area</t>
  </si>
  <si>
    <t>DCH3</t>
  </si>
  <si>
    <t>4500 Western Ave.</t>
  </si>
  <si>
    <t>Lisle</t>
  </si>
  <si>
    <t>Delivery Station for Chicago</t>
  </si>
  <si>
    <t>DCM3</t>
  </si>
  <si>
    <t>43500 VICTORY PARKWAY</t>
  </si>
  <si>
    <t>SOLON</t>
  </si>
  <si>
    <t>DCX1</t>
  </si>
  <si>
    <t>7227 CENTRAL AVE</t>
  </si>
  <si>
    <t>RIVERSIDE</t>
  </si>
  <si>
    <t>DCX2</t>
  </si>
  <si>
    <t>25725 JERONIMO RD.</t>
  </si>
  <si>
    <t>MISSION VIEJO</t>
  </si>
  <si>
    <t>DCX7</t>
  </si>
  <si>
    <t>950 FRANCISCO ST</t>
  </si>
  <si>
    <t>TORRANCE</t>
  </si>
  <si>
    <t>DDA2</t>
  </si>
  <si>
    <t>3838 W MILLER RD</t>
  </si>
  <si>
    <t>GARLAND</t>
  </si>
  <si>
    <t>DDA3</t>
  </si>
  <si>
    <t>4601 GOLD SPIKE DR.</t>
  </si>
  <si>
    <t>FORT WORTH</t>
  </si>
  <si>
    <t>DDA8</t>
  </si>
  <si>
    <t>8901 FORNEY RD</t>
  </si>
  <si>
    <t>DDC1</t>
  </si>
  <si>
    <t>12401 North Stemmons Fwy.</t>
  </si>
  <si>
    <t>Farmers Branch</t>
  </si>
  <si>
    <t>Delivery Station for Dalllas</t>
  </si>
  <si>
    <t>DDC2</t>
  </si>
  <si>
    <t>861 E Gude Drive</t>
  </si>
  <si>
    <t>Rockville</t>
  </si>
  <si>
    <t>Delivery Station Washington DC</t>
  </si>
  <si>
    <t>DDC9</t>
  </si>
  <si>
    <t>5533 WELLINGTON RD</t>
  </si>
  <si>
    <t>GAINESVILLE</t>
  </si>
  <si>
    <t>DDF1</t>
  </si>
  <si>
    <t>1303 RIDGEVIEW DR</t>
  </si>
  <si>
    <t>LEWISVILLE</t>
  </si>
  <si>
    <t>DDP5</t>
  </si>
  <si>
    <t>6300 Bristol Pke</t>
  </si>
  <si>
    <t>Levittown</t>
  </si>
  <si>
    <t>DDT3</t>
  </si>
  <si>
    <t>28415 AUTOMATION BLVD.</t>
  </si>
  <si>
    <t>WIXOM</t>
  </si>
  <si>
    <t>MI</t>
  </si>
  <si>
    <t>DDT4</t>
  </si>
  <si>
    <t>7009 W. Mountain Hope Hwy</t>
  </si>
  <si>
    <t>Lansing</t>
  </si>
  <si>
    <t>DDV5</t>
  </si>
  <si>
    <t>2889 HIMALAYA RD</t>
  </si>
  <si>
    <t>AURORA</t>
  </si>
  <si>
    <t>CO</t>
  </si>
  <si>
    <t>DDX</t>
  </si>
  <si>
    <t>4949 Amon Carter Blvd.</t>
  </si>
  <si>
    <t>DDX6</t>
  </si>
  <si>
    <t>16399 GATEWAY PATH</t>
  </si>
  <si>
    <t>FRISCO</t>
  </si>
  <si>
    <t>DDX7</t>
  </si>
  <si>
    <t>1101 S. GATEWAY BLVD</t>
  </si>
  <si>
    <t>FORNEY</t>
  </si>
  <si>
    <t>DEDC</t>
  </si>
  <si>
    <t>2020 Joe B Jackson Parkway</t>
  </si>
  <si>
    <t>DEN1</t>
  </si>
  <si>
    <t>189 W 144th Ave</t>
  </si>
  <si>
    <t>Thornton</t>
  </si>
  <si>
    <t>Robotics FC smaller items such as books, electronics and toys</t>
  </si>
  <si>
    <t>22205 East 19th Ave</t>
  </si>
  <si>
    <t>Aurora</t>
  </si>
  <si>
    <t>DEN3</t>
  </si>
  <si>
    <t>14601 Grant St.</t>
  </si>
  <si>
    <t>DEN5</t>
  </si>
  <si>
    <t>19799 E. 36th Avenue. Majestic Commercenter Building #29</t>
  </si>
  <si>
    <t>First Amazon facility in Colorado</t>
  </si>
  <si>
    <t>DEN6</t>
  </si>
  <si>
    <t>480 E 55th Ave</t>
  </si>
  <si>
    <t>Denver</t>
  </si>
  <si>
    <t>2230 E 26th Ave</t>
  </si>
  <si>
    <t>39000 Amrhein Road</t>
  </si>
  <si>
    <t>Livonia</t>
  </si>
  <si>
    <t>50500 Mound Rd</t>
  </si>
  <si>
    <t>Shelby Charter Township</t>
  </si>
  <si>
    <t>DEV1</t>
  </si>
  <si>
    <t>2121 7th Ave</t>
  </si>
  <si>
    <t>SEATTLE</t>
  </si>
  <si>
    <t>98121-5114</t>
  </si>
  <si>
    <t>DEW1</t>
  </si>
  <si>
    <t>2 Empire Boulevard</t>
  </si>
  <si>
    <t>Moonachie</t>
  </si>
  <si>
    <t>Delivery Station for New Jersey</t>
  </si>
  <si>
    <t>DEW5</t>
  </si>
  <si>
    <t>10 PRINCESS RD</t>
  </si>
  <si>
    <t>LAWRENCE TOWNSHIP</t>
  </si>
  <si>
    <t>DFA5</t>
  </si>
  <si>
    <t>400 LITTLEFIELD AVE., #438</t>
  </si>
  <si>
    <t>SOUTH SAN FRANCISCO</t>
  </si>
  <si>
    <t>DFL3</t>
  </si>
  <si>
    <t>2121 NW 67TH PL</t>
  </si>
  <si>
    <t>DFL7</t>
  </si>
  <si>
    <t>8100 FL-33</t>
  </si>
  <si>
    <t>LAKELAND</t>
  </si>
  <si>
    <t>DFM3</t>
  </si>
  <si>
    <t>770 COMMERCE DR</t>
  </si>
  <si>
    <t>VENICE</t>
  </si>
  <si>
    <t>DFO2</t>
  </si>
  <si>
    <t>4000 WILBUR AVE</t>
  </si>
  <si>
    <t>OAKLEY</t>
  </si>
  <si>
    <t>DFO3</t>
  </si>
  <si>
    <t>400 LONGFELLOW COURT</t>
  </si>
  <si>
    <t>LIVERMORE</t>
  </si>
  <si>
    <t>DFS8</t>
  </si>
  <si>
    <t>2995 Atlas Rd.</t>
  </si>
  <si>
    <t>Richmond</t>
  </si>
  <si>
    <t>DFW1</t>
  </si>
  <si>
    <t>2700 Regent Blvd</t>
  </si>
  <si>
    <t>DFW Airport</t>
  </si>
  <si>
    <t>940 W Bethel Road</t>
  </si>
  <si>
    <t>Coppell</t>
  </si>
  <si>
    <t>75019-4424</t>
  </si>
  <si>
    <t>DFW7</t>
  </si>
  <si>
    <t>700 Westport Parkway</t>
  </si>
  <si>
    <t>76177-4513</t>
  </si>
  <si>
    <t>DFW8</t>
  </si>
  <si>
    <t>2700 Regent Blvd.</t>
  </si>
  <si>
    <t>Sortation Center for Dallas Fort Worth</t>
  </si>
  <si>
    <t>DFW9</t>
  </si>
  <si>
    <t>DGE4</t>
  </si>
  <si>
    <t>1500 CROSSGATE RD</t>
  </si>
  <si>
    <t>PORT WENTWORTH</t>
  </si>
  <si>
    <t>DGE9</t>
  </si>
  <si>
    <t>5000 LANIER ISLANDS PARKWAY</t>
  </si>
  <si>
    <t>BUFORD</t>
  </si>
  <si>
    <t>DHO7</t>
  </si>
  <si>
    <t>28420 W Ten Blvd.</t>
  </si>
  <si>
    <t>Katy</t>
  </si>
  <si>
    <t>DHX1</t>
  </si>
  <si>
    <t>3031 S Sam Houston Pkwy E</t>
  </si>
  <si>
    <t>Houston</t>
  </si>
  <si>
    <t>DHX3</t>
  </si>
  <si>
    <t>12900 W AIRPORT BLVD</t>
  </si>
  <si>
    <t>SUGAR LAND</t>
  </si>
  <si>
    <t>DHX5</t>
  </si>
  <si>
    <t>1102 STATE HWY 161</t>
  </si>
  <si>
    <t>Grand Prairie</t>
  </si>
  <si>
    <t>DIA3</t>
  </si>
  <si>
    <t>1301 E Gateway Dr.</t>
  </si>
  <si>
    <t>GRIMES</t>
  </si>
  <si>
    <t>IA</t>
  </si>
  <si>
    <t>DIA4</t>
  </si>
  <si>
    <t>2500 HEINZ RD</t>
  </si>
  <si>
    <t>IOWA</t>
  </si>
  <si>
    <t>DIL3</t>
  </si>
  <si>
    <t>3507 W 51st St</t>
  </si>
  <si>
    <t>DIL5</t>
  </si>
  <si>
    <t>808 DISCOVERY DRIVE</t>
  </si>
  <si>
    <t>WEST CHICAGO</t>
  </si>
  <si>
    <t>DIN6</t>
  </si>
  <si>
    <t>8610 AVIONICS DR</t>
  </si>
  <si>
    <t>FORT WAYNE</t>
  </si>
  <si>
    <t>IN</t>
  </si>
  <si>
    <t>DJA1</t>
  </si>
  <si>
    <t>11084 Cabot Commerce Circle</t>
  </si>
  <si>
    <t>Jacksonville</t>
  </si>
  <si>
    <t>Delivery Station for Jacksonville area</t>
  </si>
  <si>
    <t>DJE2</t>
  </si>
  <si>
    <t>1250 FOREST PKWY</t>
  </si>
  <si>
    <t>PAULSBORO</t>
  </si>
  <si>
    <t>DJE6</t>
  </si>
  <si>
    <t>79 THOMAS MCGOVERN DR</t>
  </si>
  <si>
    <t>JERSEY CITY</t>
  </si>
  <si>
    <t>DJX3</t>
  </si>
  <si>
    <t>250 Busch Dr</t>
  </si>
  <si>
    <t>DJZ2</t>
  </si>
  <si>
    <t>610 WASHINGTON AVE</t>
  </si>
  <si>
    <t>CARLSTADT</t>
  </si>
  <si>
    <t>DJZ3</t>
  </si>
  <si>
    <t>377 ROOSEVELT AVE</t>
  </si>
  <si>
    <t>DJZ5</t>
  </si>
  <si>
    <t>429 DELANCY ST</t>
  </si>
  <si>
    <t>NEWARK</t>
  </si>
  <si>
    <t>DKY4</t>
  </si>
  <si>
    <t>3191 RIVER RD</t>
  </si>
  <si>
    <t>CINCINNATI</t>
  </si>
  <si>
    <t>DLA1</t>
  </si>
  <si>
    <t>900 W Florence Ave.</t>
  </si>
  <si>
    <t>Inglewood</t>
  </si>
  <si>
    <t>Delivery Station for Los Angeles</t>
  </si>
  <si>
    <t>DLA2</t>
  </si>
  <si>
    <t>5650 Dolly Ave.</t>
  </si>
  <si>
    <t>Buena Park</t>
  </si>
  <si>
    <t>Delivery Station for Anaheim</t>
  </si>
  <si>
    <t>DLA3</t>
  </si>
  <si>
    <t>5829 Smithway St.</t>
  </si>
  <si>
    <t>Commerce</t>
  </si>
  <si>
    <t>DLA4</t>
  </si>
  <si>
    <t>9031 Lurline Ave.</t>
  </si>
  <si>
    <t>Chatsworth</t>
  </si>
  <si>
    <t>Delivery Station for Burbank area</t>
  </si>
  <si>
    <t>DLA5</t>
  </si>
  <si>
    <t>6250 Sycamore Canyon Blvd.</t>
  </si>
  <si>
    <t>Riverside</t>
  </si>
  <si>
    <t>Delivery Station for Riverside area</t>
  </si>
  <si>
    <t>DLA8</t>
  </si>
  <si>
    <t>2815 W. El Segundo Blvd.</t>
  </si>
  <si>
    <t>Hawthorne</t>
  </si>
  <si>
    <t>DLD1</t>
  </si>
  <si>
    <t>7659 SOLLEY RD</t>
  </si>
  <si>
    <t>GLEN BURNIE</t>
  </si>
  <si>
    <t>DLD7</t>
  </si>
  <si>
    <t>10100 WILLOWDALE RD</t>
  </si>
  <si>
    <t>LANHAM</t>
  </si>
  <si>
    <t>DLI5</t>
  </si>
  <si>
    <t>5106 STATE ROUTE 111</t>
  </si>
  <si>
    <t>PANTOON BEACH</t>
  </si>
  <si>
    <t>DLI6</t>
  </si>
  <si>
    <t>6201 Aviator Dr</t>
  </si>
  <si>
    <t>Hazelwood</t>
  </si>
  <si>
    <t>MO</t>
  </si>
  <si>
    <t>DLN2</t>
  </si>
  <si>
    <t>1500 S LARAME AVE</t>
  </si>
  <si>
    <t>CICERO</t>
  </si>
  <si>
    <t>DLN4</t>
  </si>
  <si>
    <t>10500 S Woodlawn Ave</t>
  </si>
  <si>
    <t>DLN8</t>
  </si>
  <si>
    <t>315 S HICKS RD</t>
  </si>
  <si>
    <t>PALATINE</t>
  </si>
  <si>
    <t>DLR2</t>
  </si>
  <si>
    <t>12401 I-30</t>
  </si>
  <si>
    <t>LITTLE ROCK</t>
  </si>
  <si>
    <t>AR</t>
  </si>
  <si>
    <t>DLT3</t>
  </si>
  <si>
    <t>413 GOODMAN RD</t>
  </si>
  <si>
    <t>CONCORD</t>
  </si>
  <si>
    <t>DLT6</t>
  </si>
  <si>
    <t>1610 Old Greensboro Rd</t>
  </si>
  <si>
    <t>Kernersville</t>
  </si>
  <si>
    <t>DLV3</t>
  </si>
  <si>
    <t>9740 N VIRGINIA ST</t>
  </si>
  <si>
    <t>RENO</t>
  </si>
  <si>
    <t>NV</t>
  </si>
  <si>
    <t>DLX8</t>
  </si>
  <si>
    <t>515 E DYER RD</t>
  </si>
  <si>
    <t>SANTA ANA</t>
  </si>
  <si>
    <t>DLX9</t>
  </si>
  <si>
    <t>5750 MESMER AVE</t>
  </si>
  <si>
    <t>CULVER CITY</t>
  </si>
  <si>
    <t>DM01</t>
  </si>
  <si>
    <t>Tangelo Park</t>
  </si>
  <si>
    <t>Delivery Station for Orlando area</t>
  </si>
  <si>
    <t>DM11</t>
  </si>
  <si>
    <t>15600 NW 15th Ave.</t>
  </si>
  <si>
    <t>Miami Gardens</t>
  </si>
  <si>
    <t>Delivery Station for Miami area</t>
  </si>
  <si>
    <t>DMD4</t>
  </si>
  <si>
    <t>102 Fulfillment Dr</t>
  </si>
  <si>
    <t>Edgewood</t>
  </si>
  <si>
    <t>DMD8</t>
  </si>
  <si>
    <t>9 JAY GOULD COURT</t>
  </si>
  <si>
    <t>WALDORF</t>
  </si>
  <si>
    <t>DMD9</t>
  </si>
  <si>
    <t>1000 PRINCE GEORGES BLVD</t>
  </si>
  <si>
    <t>UPPER MARLOBORO</t>
  </si>
  <si>
    <t>DMF3</t>
  </si>
  <si>
    <t>2800 N ANDREWS AVE EXT</t>
  </si>
  <si>
    <t>POMPANO BEACH</t>
  </si>
  <si>
    <t>DMF8</t>
  </si>
  <si>
    <t>13133 34th St. N</t>
  </si>
  <si>
    <t>Clearwater</t>
  </si>
  <si>
    <t>DMH9</t>
  </si>
  <si>
    <t>135 AMERICAN LEGION HWY</t>
  </si>
  <si>
    <t>REVERE</t>
  </si>
  <si>
    <t>DMI2</t>
  </si>
  <si>
    <t>3200 Northwest 67th Avenue</t>
  </si>
  <si>
    <t>Miami</t>
  </si>
  <si>
    <t>Sortation Center located next to Miami International Airport Regional Air Hub Facility</t>
  </si>
  <si>
    <t>DML1</t>
  </si>
  <si>
    <t>3935 W. Mitchell St.</t>
  </si>
  <si>
    <t>Milwaukee</t>
  </si>
  <si>
    <t>WI</t>
  </si>
  <si>
    <t>Delivery Station for Milwaukee</t>
  </si>
  <si>
    <t>DML4</t>
  </si>
  <si>
    <t>4250 120th Ave</t>
  </si>
  <si>
    <t>KENOSHA</t>
  </si>
  <si>
    <t>DML5</t>
  </si>
  <si>
    <t>11201 ENTERPRISE WAY</t>
  </si>
  <si>
    <t>STURTEVANT</t>
  </si>
  <si>
    <t>DMN1</t>
  </si>
  <si>
    <t>2811 Beverly Drive</t>
  </si>
  <si>
    <t>Eagen</t>
  </si>
  <si>
    <t>MN</t>
  </si>
  <si>
    <t>Delivery Station for Minneapolis St. Paul</t>
  </si>
  <si>
    <t>DMO6</t>
  </si>
  <si>
    <t>700 BANYAN TRAIL</t>
  </si>
  <si>
    <t>BOCA RATON</t>
  </si>
  <si>
    <t>DNJ1</t>
  </si>
  <si>
    <t>DNJ6</t>
  </si>
  <si>
    <t>118 MOONACHIE AVE</t>
  </si>
  <si>
    <t>DNJ7</t>
  </si>
  <si>
    <t>81 INTERNATIONAL DR S</t>
  </si>
  <si>
    <t>BUDD LAKE</t>
  </si>
  <si>
    <t>DNO2</t>
  </si>
  <si>
    <t>5733 Citrus Blvd</t>
  </si>
  <si>
    <t>NEW ORLEANS</t>
  </si>
  <si>
    <t>LA</t>
  </si>
  <si>
    <t>DOB2</t>
  </si>
  <si>
    <t>425 S. CHERRY ST</t>
  </si>
  <si>
    <t>WALLINGFORD</t>
  </si>
  <si>
    <t>DOB4</t>
  </si>
  <si>
    <t>500 LONG BEACH BLVD</t>
  </si>
  <si>
    <t>STRATFORD</t>
  </si>
  <si>
    <t>DOK3</t>
  </si>
  <si>
    <t>6101 SW 44TH ST</t>
  </si>
  <si>
    <t>OKLAHOMA CITY</t>
  </si>
  <si>
    <t>OK</t>
  </si>
  <si>
    <t>DP01</t>
  </si>
  <si>
    <t>Portland</t>
  </si>
  <si>
    <t>OR</t>
  </si>
  <si>
    <t>Delivery Station for Portland</t>
  </si>
  <si>
    <t>DPD4</t>
  </si>
  <si>
    <t>21504 SW 115th Ave.</t>
  </si>
  <si>
    <t>Tualatin</t>
  </si>
  <si>
    <t>DPD6</t>
  </si>
  <si>
    <t>5475 GAFFIN RD SE</t>
  </si>
  <si>
    <t>SALEM</t>
  </si>
  <si>
    <t>DPH1</t>
  </si>
  <si>
    <t>4219 Richmond Street</t>
  </si>
  <si>
    <t>Philadelphia</t>
  </si>
  <si>
    <t>DPP7</t>
  </si>
  <si>
    <t>177 MCCLAREN RD</t>
  </si>
  <si>
    <t>CORAOPOLIS</t>
  </si>
  <si>
    <t>DPX1</t>
  </si>
  <si>
    <t>500 S. 48th Street</t>
  </si>
  <si>
    <t>Delivery Station for Phoenix</t>
  </si>
  <si>
    <t>DPX4</t>
  </si>
  <si>
    <t>1516 W 17TH ST</t>
  </si>
  <si>
    <t>TEMPE</t>
  </si>
  <si>
    <t>DPX7</t>
  </si>
  <si>
    <t>3405 S. McQueen Rd</t>
  </si>
  <si>
    <t>Chandler</t>
  </si>
  <si>
    <t>DPX8</t>
  </si>
  <si>
    <t>7875 W Buckeye Rd</t>
  </si>
  <si>
    <t>DRT9</t>
  </si>
  <si>
    <t>1200 INNOVATION AVE., #1000</t>
  </si>
  <si>
    <t>MORRISVILLE</t>
  </si>
  <si>
    <t>DSD1</t>
  </si>
  <si>
    <t>7130 Miramar Rd. 300A</t>
  </si>
  <si>
    <t>San Diego</t>
  </si>
  <si>
    <t>Delivery Station for NorthEast Bay Area</t>
  </si>
  <si>
    <t>DSD2</t>
  </si>
  <si>
    <t>2777 Loker Ave W.</t>
  </si>
  <si>
    <t>Carlsbad</t>
  </si>
  <si>
    <t>Delivery Station for San Diego</t>
  </si>
  <si>
    <t>DSD5</t>
  </si>
  <si>
    <t>3250 Business Park Dr</t>
  </si>
  <si>
    <t>Vista</t>
  </si>
  <si>
    <t>DSE2</t>
  </si>
  <si>
    <t>6705 E Marginal Way</t>
  </si>
  <si>
    <t>Delivery Station for Seattle</t>
  </si>
  <si>
    <t>DSE8</t>
  </si>
  <si>
    <t>7555 AIRPORT WAY SW</t>
  </si>
  <si>
    <t>BREMERTON</t>
  </si>
  <si>
    <t>DSF1</t>
  </si>
  <si>
    <t>990 Beecher St.</t>
  </si>
  <si>
    <t>San Leandro</t>
  </si>
  <si>
    <t>Delivery Station for Oakland</t>
  </si>
  <si>
    <t>DSF3</t>
  </si>
  <si>
    <t>1700 Montague Expy.</t>
  </si>
  <si>
    <t>San Jose</t>
  </si>
  <si>
    <t>Delivery Station for San Jose</t>
  </si>
  <si>
    <t>DSF5</t>
  </si>
  <si>
    <t>250 Utah Avenue</t>
  </si>
  <si>
    <t>South San Francisco</t>
  </si>
  <si>
    <t>Delivery Station for South San Francisco</t>
  </si>
  <si>
    <t>DSF6</t>
  </si>
  <si>
    <t>6015 Giant Road</t>
  </si>
  <si>
    <t>DSF7</t>
  </si>
  <si>
    <t>807 N MCCARTHY BLVD.</t>
  </si>
  <si>
    <t>MILPITAS</t>
  </si>
  <si>
    <t>DSJ7</t>
  </si>
  <si>
    <t>615 NORTH KING RD</t>
  </si>
  <si>
    <t>SAN JOSE</t>
  </si>
  <si>
    <t>DSM5</t>
  </si>
  <si>
    <t>500 SW 32ND ST</t>
  </si>
  <si>
    <t>BONDURANT</t>
  </si>
  <si>
    <t>DSR2</t>
  </si>
  <si>
    <t>7601 FOOTHILLS BLVD</t>
  </si>
  <si>
    <t>ROSEVILLE</t>
  </si>
  <si>
    <t>DSR6</t>
  </si>
  <si>
    <t>2400 MCCLELLAN PARK DR</t>
  </si>
  <si>
    <t>SACRAMENTO</t>
  </si>
  <si>
    <t>DTL6</t>
  </si>
  <si>
    <t>1610 OLD GREENSBORO RD</t>
  </si>
  <si>
    <t>KERNERSVILLE</t>
  </si>
  <si>
    <t>DTN7</t>
  </si>
  <si>
    <t>242 MASON RD</t>
  </si>
  <si>
    <t>LA VERGNE</t>
  </si>
  <si>
    <t>DTP7</t>
  </si>
  <si>
    <t>1003 N TAYLOR RD</t>
  </si>
  <si>
    <t>SEFFNER</t>
  </si>
  <si>
    <t>DTU3</t>
  </si>
  <si>
    <t>2550 N Nevada St</t>
  </si>
  <si>
    <t>DTU8</t>
  </si>
  <si>
    <t>3003 S 38th St</t>
  </si>
  <si>
    <t>DTW1</t>
  </si>
  <si>
    <t>32801 Ecorse Rd.</t>
  </si>
  <si>
    <t>Romulus</t>
  </si>
  <si>
    <t>DTW3</t>
  </si>
  <si>
    <t>23 mile and mound roads</t>
  </si>
  <si>
    <t>Shelby</t>
  </si>
  <si>
    <t>large non-sortable</t>
  </si>
  <si>
    <t>DTW5</t>
  </si>
  <si>
    <t>Brownstown Business Center South, Building 9, 19991 Brownstown Center Dr</t>
  </si>
  <si>
    <t>Trenton</t>
  </si>
  <si>
    <t>Sortation Center for Detroit Market</t>
  </si>
  <si>
    <t>DUR1</t>
  </si>
  <si>
    <t>2995 N HOLLYWOOD WAY</t>
  </si>
  <si>
    <t>BURBANK</t>
  </si>
  <si>
    <t>DVA2</t>
  </si>
  <si>
    <t>1601 Bellwood Rd.</t>
  </si>
  <si>
    <t>DWF9</t>
  </si>
  <si>
    <t>Amazon Prime Pantry for Dallas Fort Worth</t>
  </si>
  <si>
    <t>DWS5</t>
  </si>
  <si>
    <t>6617 ASSOCIATED BLVD</t>
  </si>
  <si>
    <t>EVERETT</t>
  </si>
  <si>
    <t>DWX3</t>
  </si>
  <si>
    <t>6050 E. MARGINAL WAY S</t>
  </si>
  <si>
    <t>DXC5</t>
  </si>
  <si>
    <t>44109 PACIFIC COMMONS BLVD</t>
  </si>
  <si>
    <t>FREMONT</t>
  </si>
  <si>
    <t>DXC8</t>
  </si>
  <si>
    <t>1710 LITTLE ORCHARD ST</t>
  </si>
  <si>
    <t>DXH6</t>
  </si>
  <si>
    <t>3800 FINLEY RD</t>
  </si>
  <si>
    <t>DOWNERS GROVE</t>
  </si>
  <si>
    <t>DYO2</t>
  </si>
  <si>
    <t>1055 BRONX RIVER AVE</t>
  </si>
  <si>
    <t>BRONX</t>
  </si>
  <si>
    <t>EWR1</t>
  </si>
  <si>
    <t>50 New Canton Way</t>
  </si>
  <si>
    <t>Robinsville</t>
  </si>
  <si>
    <t>Returns</t>
  </si>
  <si>
    <t>EWR4</t>
  </si>
  <si>
    <t>Robbinsville</t>
  </si>
  <si>
    <t>08691-2350</t>
  </si>
  <si>
    <t>EWR5</t>
  </si>
  <si>
    <t>301 Blair Road #100</t>
  </si>
  <si>
    <t>Woodbridge (Avenel)</t>
  </si>
  <si>
    <t>Sortation Center and Returns Center</t>
  </si>
  <si>
    <t>EWR6</t>
  </si>
  <si>
    <t>275 Omar Avenue</t>
  </si>
  <si>
    <t>Avenel</t>
  </si>
  <si>
    <t>07001-2240</t>
  </si>
  <si>
    <t>EWR7</t>
  </si>
  <si>
    <t>275 Omar Ave</t>
  </si>
  <si>
    <t>EWR8</t>
  </si>
  <si>
    <t>8003 Industrial Ave. Building A</t>
  </si>
  <si>
    <t>Carteret</t>
  </si>
  <si>
    <t>Amazon Fresh Distribution Center</t>
  </si>
  <si>
    <t>EWR9</t>
  </si>
  <si>
    <t>8003 Industrial Parkway</t>
  </si>
  <si>
    <t>07008-3529</t>
  </si>
  <si>
    <t>FAT1</t>
  </si>
  <si>
    <t>3575 S. Orange Ave.</t>
  </si>
  <si>
    <t>Fresno</t>
  </si>
  <si>
    <t>FDL3</t>
  </si>
  <si>
    <t>24208 SAN MICHELE RD</t>
  </si>
  <si>
    <t>MORENO VALLEY</t>
  </si>
  <si>
    <t>92551-9561</t>
  </si>
  <si>
    <t>FDN1</t>
  </si>
  <si>
    <t>80 Grumman Rd</t>
  </si>
  <si>
    <t>BETHPAGE</t>
  </si>
  <si>
    <t>FSE2</t>
  </si>
  <si>
    <t>5100 15th Ave NW</t>
  </si>
  <si>
    <t>FSE3</t>
  </si>
  <si>
    <t>76 South Lander Street</t>
  </si>
  <si>
    <t>33333 LBJ Freeway</t>
  </si>
  <si>
    <t>Dallas</t>
  </si>
  <si>
    <t>FTW2</t>
  </si>
  <si>
    <t>2701 West Bethel Road</t>
  </si>
  <si>
    <t>FTW3</t>
  </si>
  <si>
    <t>15201 Heritage Pkwy</t>
  </si>
  <si>
    <t>76177-2517</t>
  </si>
  <si>
    <t>FTW4</t>
  </si>
  <si>
    <t>4601 Gold Spike Drive</t>
  </si>
  <si>
    <t>Amazon.Fresh Distribution Center</t>
  </si>
  <si>
    <t>FTW6</t>
  </si>
  <si>
    <t>2601 W Bethel Road</t>
  </si>
  <si>
    <t>Grapevine</t>
  </si>
  <si>
    <t>FTW7</t>
  </si>
  <si>
    <t>944 W Sandy Lake Rd</t>
  </si>
  <si>
    <t>FTW8</t>
  </si>
  <si>
    <t>3351 Balmorhea Dr.</t>
  </si>
  <si>
    <t>FTW9</t>
  </si>
  <si>
    <t>944 West Sandy Lake Road</t>
  </si>
  <si>
    <t>COPPELL</t>
  </si>
  <si>
    <t>75019-3989</t>
  </si>
  <si>
    <t>GAT1</t>
  </si>
  <si>
    <t>86 5th St NW</t>
  </si>
  <si>
    <t>Atlanta</t>
  </si>
  <si>
    <t>GEG1</t>
  </si>
  <si>
    <t>10010 West Geiger Boulevard</t>
  </si>
  <si>
    <t>Spokane</t>
  </si>
  <si>
    <t>GRR1</t>
  </si>
  <si>
    <t>4199 68th Street SE</t>
  </si>
  <si>
    <t>CALEDONIA</t>
  </si>
  <si>
    <t>49316-9191</t>
  </si>
  <si>
    <t>GS01</t>
  </si>
  <si>
    <t>1656 OLD GREENSBORO RD</t>
  </si>
  <si>
    <t>1656 Old Greensboro Rd</t>
  </si>
  <si>
    <t>402 John Dodd Rd</t>
  </si>
  <si>
    <t>Spartanburg</t>
  </si>
  <si>
    <t>29303-6312</t>
  </si>
  <si>
    <t>GYR1</t>
  </si>
  <si>
    <t>580 S 143rd Ave</t>
  </si>
  <si>
    <t>Goodyear</t>
  </si>
  <si>
    <t>8181 W ROOSEVELT ST</t>
  </si>
  <si>
    <t>PHOENIX</t>
  </si>
  <si>
    <t>GYR4</t>
  </si>
  <si>
    <t>10205 W Roosevelt St</t>
  </si>
  <si>
    <t>Avondale</t>
  </si>
  <si>
    <t>HCA3</t>
  </si>
  <si>
    <t>3334 N San Fernando Rd Bldg E</t>
  </si>
  <si>
    <t>90065-1417</t>
  </si>
  <si>
    <t>HCA6</t>
  </si>
  <si>
    <t>2727 Kurtz St</t>
  </si>
  <si>
    <t>HCA7</t>
  </si>
  <si>
    <t>10681 Production Ave</t>
  </si>
  <si>
    <t>Fontana</t>
  </si>
  <si>
    <t>HCA8</t>
  </si>
  <si>
    <t>1350 N. MacArthur Drive</t>
  </si>
  <si>
    <t>Tracy</t>
  </si>
  <si>
    <t>HCA9</t>
  </si>
  <si>
    <t>455 VALLEY DR</t>
  </si>
  <si>
    <t>BRISBANE</t>
  </si>
  <si>
    <t>94005-1209</t>
  </si>
  <si>
    <t>HGA3</t>
  </si>
  <si>
    <t>2160 Breckenridge Blvd, Site 10</t>
  </si>
  <si>
    <t>Lawrenceville</t>
  </si>
  <si>
    <t>HIL1</t>
  </si>
  <si>
    <t>1111 Cherry Street</t>
  </si>
  <si>
    <t>HIL2</t>
  </si>
  <si>
    <t>1111 N Cherry Ave</t>
  </si>
  <si>
    <t>60642-4204</t>
  </si>
  <si>
    <t>HIO9</t>
  </si>
  <si>
    <t>23677 NM Huffman St.</t>
  </si>
  <si>
    <t>Hillsboro</t>
  </si>
  <si>
    <t>HMW1</t>
  </si>
  <si>
    <t>30260 GRAASKAMP BLVD</t>
  </si>
  <si>
    <t>HNE1</t>
  </si>
  <si>
    <t>2205 STATE ROUTE 27</t>
  </si>
  <si>
    <t>EDISON</t>
  </si>
  <si>
    <t>HNJ2</t>
  </si>
  <si>
    <t>940 Monroe Street</t>
  </si>
  <si>
    <t>Hoboken</t>
  </si>
  <si>
    <t>HOU1</t>
  </si>
  <si>
    <t>8120 Humble Westfield Rd.</t>
  </si>
  <si>
    <t>Humble</t>
  </si>
  <si>
    <t>Sortation Center for Houston Market</t>
  </si>
  <si>
    <t>HOU2</t>
  </si>
  <si>
    <t>10550 Ella Boulevard</t>
  </si>
  <si>
    <t>31555 Highway 90E</t>
  </si>
  <si>
    <t>Brookshire</t>
  </si>
  <si>
    <t>HOU7</t>
  </si>
  <si>
    <t>16225 Tomball Pkwy, Bldg 1</t>
  </si>
  <si>
    <t>HOUX</t>
  </si>
  <si>
    <t>2701 W Bethel Road</t>
  </si>
  <si>
    <t>HSE1</t>
  </si>
  <si>
    <t>13905 CRAYTON BLVD</t>
  </si>
  <si>
    <t>HAGERSTOWN</t>
  </si>
  <si>
    <t>HTX1</t>
  </si>
  <si>
    <t>4221 Way Out West Drive</t>
  </si>
  <si>
    <t>HTX2</t>
  </si>
  <si>
    <t>77092-1455</t>
  </si>
  <si>
    <t>HWA1</t>
  </si>
  <si>
    <t>11710 118th Ave NE, Building B</t>
  </si>
  <si>
    <t>Kirkland</t>
  </si>
  <si>
    <t>HWA2</t>
  </si>
  <si>
    <t>11710 118th Ave NE</t>
  </si>
  <si>
    <t>HWA3</t>
  </si>
  <si>
    <t>20202 84th AVE S</t>
  </si>
  <si>
    <t>IAH1</t>
  </si>
  <si>
    <t>1511 NE Loop 820</t>
  </si>
  <si>
    <t>IAH6</t>
  </si>
  <si>
    <t>8401 Fallbrook Drive</t>
  </si>
  <si>
    <t>ICH5</t>
  </si>
  <si>
    <t>111 E Wacker Dr</t>
  </si>
  <si>
    <t>ICSF</t>
  </si>
  <si>
    <t>2821 MARION DR STE 109</t>
  </si>
  <si>
    <t>LAS VEGAS</t>
  </si>
  <si>
    <t>ICT1</t>
  </si>
  <si>
    <t>1250 N Mittel Blvd</t>
  </si>
  <si>
    <t>Wood Dale</t>
  </si>
  <si>
    <t>IDT1</t>
  </si>
  <si>
    <t>SPRINGFIELD</t>
  </si>
  <si>
    <t>IND1</t>
  </si>
  <si>
    <t>4255 Anson Blvd</t>
  </si>
  <si>
    <t>Whitestown</t>
  </si>
  <si>
    <t>46075-4412</t>
  </si>
  <si>
    <t>715 Airtech Pkwy</t>
  </si>
  <si>
    <t>Plainfield</t>
  </si>
  <si>
    <t>46168-7442</t>
  </si>
  <si>
    <t>IND3</t>
  </si>
  <si>
    <t>717 Airtech Pkwy</t>
  </si>
  <si>
    <t>710 S. Girls School Rd</t>
  </si>
  <si>
    <t>Indianapolis</t>
  </si>
  <si>
    <t>46231-1132</t>
  </si>
  <si>
    <t>800 Perry Road</t>
  </si>
  <si>
    <t>46168-7637</t>
  </si>
  <si>
    <t>IND6</t>
  </si>
  <si>
    <t>1453 10th Street</t>
  </si>
  <si>
    <t>Jeffersonville</t>
  </si>
  <si>
    <t>IND7</t>
  </si>
  <si>
    <t>9101 Orly Drive</t>
  </si>
  <si>
    <t>46241-9605</t>
  </si>
  <si>
    <t>IND8</t>
  </si>
  <si>
    <t>712 S. Girls School Rd.</t>
  </si>
  <si>
    <t>Marion</t>
  </si>
  <si>
    <t>1151 S GRAHAM RD</t>
  </si>
  <si>
    <t>GREENWOOD</t>
  </si>
  <si>
    <t>46143-7830</t>
  </si>
  <si>
    <t>INT2</t>
  </si>
  <si>
    <t>AVENEL</t>
  </si>
  <si>
    <t>IRV1</t>
  </si>
  <si>
    <t>4139 Campus Drive</t>
  </si>
  <si>
    <t>Irvine</t>
  </si>
  <si>
    <t>ISE1</t>
  </si>
  <si>
    <t>2131 7th Ave</t>
  </si>
  <si>
    <t>ISE2</t>
  </si>
  <si>
    <t>1227 124th Ave NE, Building 2, Suite A200</t>
  </si>
  <si>
    <t>Bellevue</t>
  </si>
  <si>
    <t>ISE5</t>
  </si>
  <si>
    <t>20202 84th Ave South</t>
  </si>
  <si>
    <t>ISE6</t>
  </si>
  <si>
    <t>307 Fairview Avenue North</t>
  </si>
  <si>
    <t>ISE8</t>
  </si>
  <si>
    <t>ISM1</t>
  </si>
  <si>
    <t>2314 WAVERLY BARN RD</t>
  </si>
  <si>
    <t>DAVENPORT</t>
  </si>
  <si>
    <t>IST1</t>
  </si>
  <si>
    <t>1555 N. Chrisman Rd</t>
  </si>
  <si>
    <t>ITX1</t>
  </si>
  <si>
    <t>9851 Fallbrook Pines</t>
  </si>
  <si>
    <t>77064-3329</t>
  </si>
  <si>
    <t>ITX2</t>
  </si>
  <si>
    <t>6811 Fairbanks N Houston Road</t>
  </si>
  <si>
    <t>77040-1437</t>
  </si>
  <si>
    <t>IUSA</t>
  </si>
  <si>
    <t>1001 W Walnut St</t>
  </si>
  <si>
    <t>Compton</t>
  </si>
  <si>
    <t>90220-5111</t>
  </si>
  <si>
    <t>IVSA</t>
  </si>
  <si>
    <t>4620 Olympic Blvd</t>
  </si>
  <si>
    <t>Erlanger</t>
  </si>
  <si>
    <t>IVSB</t>
  </si>
  <si>
    <t>3521 Point Pleasant Rd</t>
  </si>
  <si>
    <t>IVSC</t>
  </si>
  <si>
    <t>1225 Forest Parkway</t>
  </si>
  <si>
    <t>IVSD</t>
  </si>
  <si>
    <t>800 Arlington Blvd</t>
  </si>
  <si>
    <t>Swedesboro</t>
  </si>
  <si>
    <t>IVSE</t>
  </si>
  <si>
    <t>2951 MARION DR UNIT 101</t>
  </si>
  <si>
    <t>IVSF</t>
  </si>
  <si>
    <t>2821 Marion Dr, Ste 109</t>
  </si>
  <si>
    <t>Las Vegas</t>
  </si>
  <si>
    <t>JAX1</t>
  </si>
  <si>
    <t>12900 Pecan Park Road</t>
  </si>
  <si>
    <t>13333 103rd Street</t>
  </si>
  <si>
    <t>4948 Bulls Bay Hwy</t>
  </si>
  <si>
    <t>sort center</t>
  </si>
  <si>
    <t>JAX6</t>
  </si>
  <si>
    <t>2619 IGNITION DR</t>
  </si>
  <si>
    <t>JACKSONVILLE</t>
  </si>
  <si>
    <t>JFK2</t>
  </si>
  <si>
    <t>7 W 34th St</t>
  </si>
  <si>
    <t>New York</t>
  </si>
  <si>
    <t>JFK7</t>
  </si>
  <si>
    <t>7 W. 34th St.</t>
  </si>
  <si>
    <t>Prime Now Hub for Manhattan</t>
  </si>
  <si>
    <t>JFK8</t>
  </si>
  <si>
    <t>546 Gulf Ave.</t>
  </si>
  <si>
    <t>Staten Island</t>
  </si>
  <si>
    <t>JFK9</t>
  </si>
  <si>
    <t>80 Grumman Rd W</t>
  </si>
  <si>
    <t>Bethpage</t>
  </si>
  <si>
    <t>11714-5000</t>
  </si>
  <si>
    <t>3150 Colley Road</t>
  </si>
  <si>
    <t>Beloit</t>
  </si>
  <si>
    <t>KBWI</t>
  </si>
  <si>
    <t>27350 Mathison Way</t>
  </si>
  <si>
    <t>KIL1</t>
  </si>
  <si>
    <t>3900 S Brandon Rd</t>
  </si>
  <si>
    <t>Elwood</t>
  </si>
  <si>
    <t>KILN</t>
  </si>
  <si>
    <t>150 Ruane Dr</t>
  </si>
  <si>
    <t>Wilmington</t>
  </si>
  <si>
    <t>555 E. ORANGE SHOW RD.</t>
  </si>
  <si>
    <t>SAN BERNARDINO</t>
  </si>
  <si>
    <t>KRFD</t>
  </si>
  <si>
    <t>5824 Kishwaukee Rd.</t>
  </si>
  <si>
    <t>Rockford</t>
  </si>
  <si>
    <t>KRIV</t>
  </si>
  <si>
    <t>17101 Heacock St</t>
  </si>
  <si>
    <t>Mareno Valley</t>
  </si>
  <si>
    <t>KUS3</t>
  </si>
  <si>
    <t>No.1, Gangtong Road, Meishan Free Trade Port Area</t>
  </si>
  <si>
    <t>Ningbo</t>
  </si>
  <si>
    <t>US</t>
  </si>
  <si>
    <t>LAL1</t>
  </si>
  <si>
    <t>1760 County Line Rd.</t>
  </si>
  <si>
    <t>Lakeland</t>
  </si>
  <si>
    <t>12300 Bermuda Road</t>
  </si>
  <si>
    <t>HENDERSON</t>
  </si>
  <si>
    <t>3837 Bay Lake Trail, Attn: Receiving Suite 111</t>
  </si>
  <si>
    <t>North Las Vegas`</t>
  </si>
  <si>
    <t>89030-4428</t>
  </si>
  <si>
    <t>LAS5</t>
  </si>
  <si>
    <t>4410 Nexus Way</t>
  </si>
  <si>
    <t>4550 Nexus Way</t>
  </si>
  <si>
    <t>LAS7</t>
  </si>
  <si>
    <t>6001 East Tropical Parkway</t>
  </si>
  <si>
    <t>North Las Vegas</t>
  </si>
  <si>
    <t>LASX</t>
  </si>
  <si>
    <t>North Lamb Blvd and Tropical Parkway</t>
  </si>
  <si>
    <t>LAX2</t>
  </si>
  <si>
    <t>5650 DOLLY AVE.</t>
  </si>
  <si>
    <t>BUENA PARK</t>
  </si>
  <si>
    <t>LAX5</t>
  </si>
  <si>
    <t>6400 Valley View St</t>
  </si>
  <si>
    <t>LAX6</t>
  </si>
  <si>
    <t>5119 District Blvd</t>
  </si>
  <si>
    <t>LAX8</t>
  </si>
  <si>
    <t>30142 Avenida De Las Banderas</t>
  </si>
  <si>
    <t>Rancho Santa Margarita</t>
  </si>
  <si>
    <t>92688-2116</t>
  </si>
  <si>
    <t>11263 Oleander Ave</t>
  </si>
  <si>
    <t>FONTANA</t>
  </si>
  <si>
    <t>LBB1</t>
  </si>
  <si>
    <t>2407 9th Street, Suite 400</t>
  </si>
  <si>
    <t>Lubbock</t>
  </si>
  <si>
    <t>LCK1</t>
  </si>
  <si>
    <t>3880 Groveport Road</t>
  </si>
  <si>
    <t>Obetz</t>
  </si>
  <si>
    <t>LDJ5</t>
  </si>
  <si>
    <t>526 GULF AVE</t>
  </si>
  <si>
    <t>STATEN ISLAND</t>
  </si>
  <si>
    <t>LEX</t>
  </si>
  <si>
    <t>3070 LAKECREST CIR STE 400 PMB 280</t>
  </si>
  <si>
    <t>LEXINGTON</t>
  </si>
  <si>
    <t>LEX1</t>
  </si>
  <si>
    <t>1850 Mercer Drive, Attn: Receiving</t>
  </si>
  <si>
    <t>Lexington</t>
  </si>
  <si>
    <t>40511-1013</t>
  </si>
  <si>
    <t>LEX2</t>
  </si>
  <si>
    <t>172 Trade St.</t>
  </si>
  <si>
    <t>40511-2607</t>
  </si>
  <si>
    <t>LEX3</t>
  </si>
  <si>
    <t>1850 Mercer Rd</t>
  </si>
  <si>
    <t>Printing Make on Demand</t>
  </si>
  <si>
    <t>LGA6</t>
  </si>
  <si>
    <t>8003 Industrial Avenue</t>
  </si>
  <si>
    <t>Cartaret</t>
  </si>
  <si>
    <t>LGA7</t>
  </si>
  <si>
    <t>380 Middlesex Avenue</t>
  </si>
  <si>
    <t>LGA8</t>
  </si>
  <si>
    <t>LGA9</t>
  </si>
  <si>
    <t>2170 Route 27</t>
  </si>
  <si>
    <t>Edison</t>
  </si>
  <si>
    <t>LGB1</t>
  </si>
  <si>
    <t>2417 E. Carson, St., Long Beach 3PL Import Crossdock</t>
  </si>
  <si>
    <t>Long Beach</t>
  </si>
  <si>
    <t>LGB2</t>
  </si>
  <si>
    <t>6049 E 7th St</t>
  </si>
  <si>
    <t>LGB3</t>
  </si>
  <si>
    <t>4950 Goodman way</t>
  </si>
  <si>
    <t>27517 Pioneer Avenue</t>
  </si>
  <si>
    <t>Redlands</t>
  </si>
  <si>
    <t>LGB5</t>
  </si>
  <si>
    <t>555 E.Orange St.</t>
  </si>
  <si>
    <t>San Bernardino</t>
  </si>
  <si>
    <t>20901 Krameria Ave</t>
  </si>
  <si>
    <t>LGB7</t>
  </si>
  <si>
    <t>1660 N. Linden Avenue</t>
  </si>
  <si>
    <t>Rialto</t>
  </si>
  <si>
    <t>1568 N Linden Ave</t>
  </si>
  <si>
    <t>4375 N Perris Blvd</t>
  </si>
  <si>
    <t>Perris</t>
  </si>
  <si>
    <t>2021 3 1</t>
  </si>
  <si>
    <t>4200 Guilford Dr, Suite B1</t>
  </si>
  <si>
    <t>College Park</t>
  </si>
  <si>
    <t>MAS1</t>
  </si>
  <si>
    <t>220 Campus Center, 1 Campus Center Way</t>
  </si>
  <si>
    <t>Amherst</t>
  </si>
  <si>
    <t>MC05</t>
  </si>
  <si>
    <t>305 Deen Still Road</t>
  </si>
  <si>
    <t>Davenport</t>
  </si>
  <si>
    <t>Sortation Center to service Tampa Bay &amp; Lakeland FCs</t>
  </si>
  <si>
    <t>MCI1</t>
  </si>
  <si>
    <t>16851 W 113th St</t>
  </si>
  <si>
    <t>Lenexa</t>
  </si>
  <si>
    <t>KS</t>
  </si>
  <si>
    <t>MCI5</t>
  </si>
  <si>
    <t>16851 W 113th St. Lenexa Logistics Center</t>
  </si>
  <si>
    <t>Sortation Center to service Kansas market</t>
  </si>
  <si>
    <t>MCI7</t>
  </si>
  <si>
    <t>27200 W157th St</t>
  </si>
  <si>
    <t>New Century</t>
  </si>
  <si>
    <t>MCIX</t>
  </si>
  <si>
    <t>113th Street and Renner Boulevard</t>
  </si>
  <si>
    <t>MCO1</t>
  </si>
  <si>
    <t>12340 Boggy Creek Rd</t>
  </si>
  <si>
    <t>2170 State Road 472</t>
  </si>
  <si>
    <t>ORANGE CITY</t>
  </si>
  <si>
    <t>MCO5</t>
  </si>
  <si>
    <t>205 Deen Still Road</t>
  </si>
  <si>
    <t>MCO6</t>
  </si>
  <si>
    <t>7469 Kingspointe Parkway</t>
  </si>
  <si>
    <t>MCO9</t>
  </si>
  <si>
    <t>2841 Access Rd NW</t>
  </si>
  <si>
    <t>2 Ames Drive</t>
  </si>
  <si>
    <t>Carlisle</t>
  </si>
  <si>
    <t>MDT2</t>
  </si>
  <si>
    <t>600 Principio Parkway West</t>
  </si>
  <si>
    <t>North East</t>
  </si>
  <si>
    <t>MDT3</t>
  </si>
  <si>
    <t>460 Research Drive</t>
  </si>
  <si>
    <t>PITTISON</t>
  </si>
  <si>
    <t>18640-6152</t>
  </si>
  <si>
    <t>MDW1</t>
  </si>
  <si>
    <t>Greater Chicago Area</t>
  </si>
  <si>
    <t>Joliet</t>
  </si>
  <si>
    <t>250 Emerald Drive</t>
  </si>
  <si>
    <t>201 EMERALD DR</t>
  </si>
  <si>
    <t>JOLIET</t>
  </si>
  <si>
    <t>60433-3281</t>
  </si>
  <si>
    <t>MDW5</t>
  </si>
  <si>
    <t>1111 N. Cherry Ave.</t>
  </si>
  <si>
    <t>Goose Island</t>
  </si>
  <si>
    <t>1125 W REMINGTON BLVD</t>
  </si>
  <si>
    <t>ROMEOVILLE</t>
  </si>
  <si>
    <t>60446-6529</t>
  </si>
  <si>
    <t>MDW7</t>
  </si>
  <si>
    <t>6605 Monee Manhattan Road</t>
  </si>
  <si>
    <t>Monee</t>
  </si>
  <si>
    <t>1750 Bridge Drive</t>
  </si>
  <si>
    <t>Waukegan</t>
  </si>
  <si>
    <t>2865 Duke parkway</t>
  </si>
  <si>
    <t>Naperville</t>
  </si>
  <si>
    <t>MDWX</t>
  </si>
  <si>
    <t>2801 S. Western Ave</t>
  </si>
  <si>
    <t>MDWY</t>
  </si>
  <si>
    <t>Route 59</t>
  </si>
  <si>
    <t>MDWZ</t>
  </si>
  <si>
    <t>3292 E. Holmes Rd</t>
  </si>
  <si>
    <t>Memphis</t>
  </si>
  <si>
    <t>MEM2</t>
  </si>
  <si>
    <t>191 NORFOLK SOUTHERN WAY</t>
  </si>
  <si>
    <t>BYHALIA</t>
  </si>
  <si>
    <t>MS</t>
  </si>
  <si>
    <t>38611-2306</t>
  </si>
  <si>
    <t>MEM4</t>
  </si>
  <si>
    <t>4055 New Allen Rd</t>
  </si>
  <si>
    <t>Raleigh</t>
  </si>
  <si>
    <t>MEM5</t>
  </si>
  <si>
    <t>5155 CITATION DR.</t>
  </si>
  <si>
    <t>MEMPHIS</t>
  </si>
  <si>
    <t>11505 Progress Way</t>
  </si>
  <si>
    <t>Olive Branch</t>
  </si>
  <si>
    <t>650 Broadway Avenue</t>
  </si>
  <si>
    <t>808 Hog Mountain Road</t>
  </si>
  <si>
    <t>Jefferson</t>
  </si>
  <si>
    <t>235 HOG MOUNTAIN RD</t>
  </si>
  <si>
    <t>JEFFERSON</t>
  </si>
  <si>
    <t>650 Braselton Avenue</t>
  </si>
  <si>
    <t>MIA1</t>
  </si>
  <si>
    <t>14000 NW 37th Avenue</t>
  </si>
  <si>
    <t>Opa-Locka</t>
  </si>
  <si>
    <t>MIA5</t>
  </si>
  <si>
    <t>1900 NW 132nd Place</t>
  </si>
  <si>
    <t>Doral (Miami)</t>
  </si>
  <si>
    <t>Sortation Center located due west of Miami International Airport</t>
  </si>
  <si>
    <t>MIA6</t>
  </si>
  <si>
    <t>3200 NW 67th Avenue</t>
  </si>
  <si>
    <t>MIA7</t>
  </si>
  <si>
    <t>MIN1</t>
  </si>
  <si>
    <t>311 SE Harvard Street</t>
  </si>
  <si>
    <t>Minneapolis</t>
  </si>
  <si>
    <t>19645 Waverly Rd</t>
  </si>
  <si>
    <t>Edgerton</t>
  </si>
  <si>
    <t>66021-9588</t>
  </si>
  <si>
    <t>MKC6</t>
  </si>
  <si>
    <t>6925 Riverview Avenue</t>
  </si>
  <si>
    <t>Kansas City</t>
  </si>
  <si>
    <t>MKE1</t>
  </si>
  <si>
    <t>3501 120th Ave</t>
  </si>
  <si>
    <t>Kenosha</t>
  </si>
  <si>
    <t>MKE2</t>
  </si>
  <si>
    <t>9700 S 13th Street</t>
  </si>
  <si>
    <t>OAK CREEK</t>
  </si>
  <si>
    <t>MKE5</t>
  </si>
  <si>
    <t>11211 Burlington Road</t>
  </si>
  <si>
    <t>Sortation Center for Milwaukee Market 500 people employed</t>
  </si>
  <si>
    <t>MKE9</t>
  </si>
  <si>
    <t>MOB5</t>
  </si>
  <si>
    <t>6735 Trippel Road</t>
  </si>
  <si>
    <t>Mobile</t>
  </si>
  <si>
    <t>MOB9</t>
  </si>
  <si>
    <t>6735 Trippel Rd.</t>
  </si>
  <si>
    <t>Theodore</t>
  </si>
  <si>
    <t>4412 W CR 300 N</t>
  </si>
  <si>
    <t>GREENFIELD</t>
  </si>
  <si>
    <t>19 Bob Glidden Blvd</t>
  </si>
  <si>
    <t>Whiteland</t>
  </si>
  <si>
    <t>MSP1</t>
  </si>
  <si>
    <t>2601 4th Avenue East</t>
  </si>
  <si>
    <t>Shakopee</t>
  </si>
  <si>
    <t>MSP4</t>
  </si>
  <si>
    <t>10608 HUDSON RD</t>
  </si>
  <si>
    <t>WOODBURY</t>
  </si>
  <si>
    <t>55129-9113</t>
  </si>
  <si>
    <t>MSP5</t>
  </si>
  <si>
    <t>5825 11th Ave. East</t>
  </si>
  <si>
    <t>Sortation Center for Minneapolis Market</t>
  </si>
  <si>
    <t>MSP9</t>
  </si>
  <si>
    <t>9001 Wyoming Ave. North</t>
  </si>
  <si>
    <t>Brooklyn Park</t>
  </si>
  <si>
    <t>MTN2</t>
  </si>
  <si>
    <t>913 OLD PHILADELPHIA RD</t>
  </si>
  <si>
    <t>ABERDEEN</t>
  </si>
  <si>
    <t>MTN5</t>
  </si>
  <si>
    <t>5300 Holabird Ave</t>
  </si>
  <si>
    <t>MTN9</t>
  </si>
  <si>
    <t>5300 NOTTINGHAM DRIVE</t>
  </si>
  <si>
    <t>WHITE MARSH</t>
  </si>
  <si>
    <t>255 Park Center Drive</t>
  </si>
  <si>
    <t>Patterson</t>
  </si>
  <si>
    <t>95363-8876</t>
  </si>
  <si>
    <t>OAK4</t>
  </si>
  <si>
    <t>95304-9370</t>
  </si>
  <si>
    <t>OAK5</t>
  </si>
  <si>
    <t>38811 Cherry Street</t>
  </si>
  <si>
    <t>Newark</t>
  </si>
  <si>
    <t>Sortation Center to service the San Francisco Bay area.</t>
  </si>
  <si>
    <t>OAK6</t>
  </si>
  <si>
    <t>OAK7</t>
  </si>
  <si>
    <t>38811 Cherry St</t>
  </si>
  <si>
    <t>OAK8</t>
  </si>
  <si>
    <t>1 Middleton Way</t>
  </si>
  <si>
    <t>American Canyon</t>
  </si>
  <si>
    <t>OKC1</t>
  </si>
  <si>
    <t>9201 S Portland Avenue</t>
  </si>
  <si>
    <t>OKC5</t>
  </si>
  <si>
    <t>1414 S. Council Rd</t>
  </si>
  <si>
    <t>Oklahoma City</t>
  </si>
  <si>
    <t>sorting facility</t>
  </si>
  <si>
    <t>OKC9</t>
  </si>
  <si>
    <t>1155 Babbitt Rd.</t>
  </si>
  <si>
    <t>1910 E Central Ave</t>
  </si>
  <si>
    <t>92408-0123</t>
  </si>
  <si>
    <t>ONT3</t>
  </si>
  <si>
    <t>1910 E. Central Ave.</t>
  </si>
  <si>
    <t>San Bernadino</t>
  </si>
  <si>
    <t>Make on Demand Printing</t>
  </si>
  <si>
    <t>ONT5</t>
  </si>
  <si>
    <t>2020 E. Central Ave. Bldg. 4</t>
  </si>
  <si>
    <t>ONT5 is a Sortation Center for the Los Angeles region</t>
  </si>
  <si>
    <t>24208 San Michele Rd</t>
  </si>
  <si>
    <t>Moreno Valley</t>
  </si>
  <si>
    <t>ONT7</t>
  </si>
  <si>
    <t>2020 E Central Ave</t>
  </si>
  <si>
    <t>92408-2606</t>
  </si>
  <si>
    <t>24300 Nandina Ave</t>
  </si>
  <si>
    <t>2125 West San Bernardino Ave</t>
  </si>
  <si>
    <t>23714 W Amoco Rd</t>
  </si>
  <si>
    <t>Channahon</t>
  </si>
  <si>
    <t>ORD3</t>
  </si>
  <si>
    <t>24101 S Frontage Rd W</t>
  </si>
  <si>
    <t>CHANNAHON</t>
  </si>
  <si>
    <t>ORD4</t>
  </si>
  <si>
    <t>25810 S. Ridgeland Ave.</t>
  </si>
  <si>
    <t>ORD6</t>
  </si>
  <si>
    <t>ORF1</t>
  </si>
  <si>
    <t>3516 South Military Hwy., Norfolk 3PL Import Crossdock</t>
  </si>
  <si>
    <t>Chesapeake</t>
  </si>
  <si>
    <t>OSU1</t>
  </si>
  <si>
    <t>2114 N. High Street</t>
  </si>
  <si>
    <t>Columbus</t>
  </si>
  <si>
    <t>OWD9</t>
  </si>
  <si>
    <t>350 BARTLETT ST</t>
  </si>
  <si>
    <t>NORTHBOROUGH</t>
  </si>
  <si>
    <t>PCA1</t>
  </si>
  <si>
    <t>1565 N MacArthur Drive</t>
  </si>
  <si>
    <t>95376-2846</t>
  </si>
  <si>
    <t>PCA2</t>
  </si>
  <si>
    <t>1650 East Central Avenue</t>
  </si>
  <si>
    <t>92408-2611</t>
  </si>
  <si>
    <t>PCA3</t>
  </si>
  <si>
    <t>1660 N. Linden Ave.</t>
  </si>
  <si>
    <t>PCW1</t>
  </si>
  <si>
    <t>9278 Bass Pro Blvd</t>
  </si>
  <si>
    <t>ROSSFORD</t>
  </si>
  <si>
    <t>PDX5</t>
  </si>
  <si>
    <t>5647 NW Huffman Street</t>
  </si>
  <si>
    <t>Washington, Hillsboro</t>
  </si>
  <si>
    <t>Sortation Center for Portland. OR</t>
  </si>
  <si>
    <t>15000 N. Lombard St</t>
  </si>
  <si>
    <t>4775 Depot Ct SE</t>
  </si>
  <si>
    <t>Salem</t>
  </si>
  <si>
    <t>97317-8983</t>
  </si>
  <si>
    <t>PDX9</t>
  </si>
  <si>
    <t>1250 NW Swigert Way</t>
  </si>
  <si>
    <t>Troutdale</t>
  </si>
  <si>
    <t>PEN1</t>
  </si>
  <si>
    <t>3800 Locust Walk, Class of 1920 Commons</t>
  </si>
  <si>
    <t>PFL1</t>
  </si>
  <si>
    <t>1001 13th Avenue East</t>
  </si>
  <si>
    <t>Bradenton</t>
  </si>
  <si>
    <t>34208-2656</t>
  </si>
  <si>
    <t>PFL2</t>
  </si>
  <si>
    <t>8060 State Rd 33 North</t>
  </si>
  <si>
    <t>33809-1704</t>
  </si>
  <si>
    <t>PGA1</t>
  </si>
  <si>
    <t>6200 Fulton Industrial Blvd</t>
  </si>
  <si>
    <t>30336-2858</t>
  </si>
  <si>
    <t>PHL1</t>
  </si>
  <si>
    <t>1 Centerpoint Blvd., Attn: Receiving</t>
  </si>
  <si>
    <t>New Castle</t>
  </si>
  <si>
    <t>DE</t>
  </si>
  <si>
    <t>19720-4172</t>
  </si>
  <si>
    <t>PHL3</t>
  </si>
  <si>
    <t>1600 Johnson W ay, Attn: Receiving</t>
  </si>
  <si>
    <t>19720-8111</t>
  </si>
  <si>
    <t>21 Roadway Dr</t>
  </si>
  <si>
    <t>17015-8806</t>
  </si>
  <si>
    <t>500 McCarthy Dr., Fairview Business Park</t>
  </si>
  <si>
    <t>Lewisberry</t>
  </si>
  <si>
    <t>17339-8725</t>
  </si>
  <si>
    <t>675 Allen Rd., Attn: Receiving</t>
  </si>
  <si>
    <t>17015-7788</t>
  </si>
  <si>
    <t>PHL7</t>
  </si>
  <si>
    <t>560 Merrimac Ave</t>
  </si>
  <si>
    <t>Middletown</t>
  </si>
  <si>
    <t>19709-4652</t>
  </si>
  <si>
    <t>PHL8</t>
  </si>
  <si>
    <t>727 N. Broad Street</t>
  </si>
  <si>
    <t>PHL9</t>
  </si>
  <si>
    <t>6835 West Buckeye Road</t>
  </si>
  <si>
    <t>85043-4428</t>
  </si>
  <si>
    <t>16920 W Commerce Drive</t>
  </si>
  <si>
    <t>85338-3620</t>
  </si>
  <si>
    <t>PHX6</t>
  </si>
  <si>
    <t>4750 West Mohave St, Attn: Receiving</t>
  </si>
  <si>
    <t>85043-8305</t>
  </si>
  <si>
    <t>800 N 75th Ave</t>
  </si>
  <si>
    <t>85043-2101</t>
  </si>
  <si>
    <t>PHX8</t>
  </si>
  <si>
    <t>PHX8 Square Feet is included within PHX7</t>
  </si>
  <si>
    <t>PHX9</t>
  </si>
  <si>
    <t>777 S 79th Ave</t>
  </si>
  <si>
    <t>Tolleson</t>
  </si>
  <si>
    <t>85353-3140</t>
  </si>
  <si>
    <t>PICV</t>
  </si>
  <si>
    <t>1155 Worldwide Blvd</t>
  </si>
  <si>
    <t>PIL1</t>
  </si>
  <si>
    <t>801 Midpoint Rd</t>
  </si>
  <si>
    <t>Minooka</t>
  </si>
  <si>
    <t>PIN1</t>
  </si>
  <si>
    <t>5510 EXPLORATION DR</t>
  </si>
  <si>
    <t>46241-9007</t>
  </si>
  <si>
    <t>PISA</t>
  </si>
  <si>
    <t>900 Patrol Rd</t>
  </si>
  <si>
    <t>47130-7716</t>
  </si>
  <si>
    <t>PISB</t>
  </si>
  <si>
    <t>376 Zappos.com Blvd</t>
  </si>
  <si>
    <t>Shepherdsville</t>
  </si>
  <si>
    <t>PISC</t>
  </si>
  <si>
    <t>271 Omega Parkway</t>
  </si>
  <si>
    <t>PIT1</t>
  </si>
  <si>
    <t>2250 Roswell Drive</t>
  </si>
  <si>
    <t>Pittsburgh</t>
  </si>
  <si>
    <t>101 N CAMPUS DR</t>
  </si>
  <si>
    <t>IMPERIAL</t>
  </si>
  <si>
    <t>15126-2402</t>
  </si>
  <si>
    <t>PIT5</t>
  </si>
  <si>
    <t>Pittsburg</t>
  </si>
  <si>
    <t>Sortation Center for Pittsburg Region</t>
  </si>
  <si>
    <t>PNE2</t>
  </si>
  <si>
    <t>18 Applegate Dr.</t>
  </si>
  <si>
    <t>08691-2342</t>
  </si>
  <si>
    <t>PNE5</t>
  </si>
  <si>
    <t>18 APPLEGATE DR.</t>
  </si>
  <si>
    <t>ROBBINSVILLE</t>
  </si>
  <si>
    <t>POH1</t>
  </si>
  <si>
    <t>1901 BEGGROW RD</t>
  </si>
  <si>
    <t>43137-7566</t>
  </si>
  <si>
    <t>POR1</t>
  </si>
  <si>
    <t>1131 SW Jefferson</t>
  </si>
  <si>
    <t>PPA1</t>
  </si>
  <si>
    <t>545 Oak Hill Road</t>
  </si>
  <si>
    <t>Mountaintop</t>
  </si>
  <si>
    <t>18707-2141</t>
  </si>
  <si>
    <t>PPH3</t>
  </si>
  <si>
    <t>2306 South Street</t>
  </si>
  <si>
    <t>PHILADELPHIA</t>
  </si>
  <si>
    <t>19146-1122</t>
  </si>
  <si>
    <t>PSP1</t>
  </si>
  <si>
    <t>1001 W Fourth St.</t>
  </si>
  <si>
    <t>BEAUMONT</t>
  </si>
  <si>
    <t>PTX1</t>
  </si>
  <si>
    <t>2101 Danieldale Road</t>
  </si>
  <si>
    <t>75134-1551</t>
  </si>
  <si>
    <t>PUR1</t>
  </si>
  <si>
    <t>1198 Third Street, Krach Leadership Center Room 169</t>
  </si>
  <si>
    <t>West Lafayette</t>
  </si>
  <si>
    <t>PWA1</t>
  </si>
  <si>
    <t>2309 Milwaukee Way</t>
  </si>
  <si>
    <t>Tacoma</t>
  </si>
  <si>
    <t>98421-2709</t>
  </si>
  <si>
    <t>RAD1</t>
  </si>
  <si>
    <t>3818 Logistics Way</t>
  </si>
  <si>
    <t>Antioch</t>
  </si>
  <si>
    <t>RDG1</t>
  </si>
  <si>
    <t>3563 Mountain Rd</t>
  </si>
  <si>
    <t>Hamburg</t>
  </si>
  <si>
    <t>4851 Jones Sausage Rd</t>
  </si>
  <si>
    <t>GARNER</t>
  </si>
  <si>
    <t>27529-9438</t>
  </si>
  <si>
    <t>RDU5</t>
  </si>
  <si>
    <t>1805 TW Alexander Drive</t>
  </si>
  <si>
    <t>Durham</t>
  </si>
  <si>
    <t>Sortation Center for North Carolina</t>
  </si>
  <si>
    <t>RELO</t>
  </si>
  <si>
    <t>201 Spear St</t>
  </si>
  <si>
    <t>San Francisco</t>
  </si>
  <si>
    <t>94105-1630</t>
  </si>
  <si>
    <t>5000 Commerce Way</t>
  </si>
  <si>
    <t>Petersburg</t>
  </si>
  <si>
    <t>23803-6917</t>
  </si>
  <si>
    <t>RIC2</t>
  </si>
  <si>
    <t>1901 Meadowville Technology Pkwy</t>
  </si>
  <si>
    <t>Chester</t>
  </si>
  <si>
    <t>23836-2841</t>
  </si>
  <si>
    <t>RIC3</t>
  </si>
  <si>
    <t>4949 Commerce Road</t>
  </si>
  <si>
    <t>23234-2207</t>
  </si>
  <si>
    <t>RIC5</t>
  </si>
  <si>
    <t>11600 East Lakeridge Parkway</t>
  </si>
  <si>
    <t>Ashland</t>
  </si>
  <si>
    <t>RIC9</t>
  </si>
  <si>
    <t>11600 N Lakeridge Pkwy</t>
  </si>
  <si>
    <t>RNO1</t>
  </si>
  <si>
    <t>1600 East Newlands Drive, Attn: Receiving</t>
  </si>
  <si>
    <t>Fernley</t>
  </si>
  <si>
    <t>89408-8903</t>
  </si>
  <si>
    <t>RNO2</t>
  </si>
  <si>
    <t>8000 North Virginia Street Reno</t>
  </si>
  <si>
    <t>Reno</t>
  </si>
  <si>
    <t>Big Sortable, Small Sortable</t>
  </si>
  <si>
    <t>RNO3</t>
  </si>
  <si>
    <t>555 Milan Drive</t>
  </si>
  <si>
    <t>McCarran</t>
  </si>
  <si>
    <t>8000 North Virginia Street, Attn: Receiving</t>
  </si>
  <si>
    <t>6000 Enterprise Avenue</t>
  </si>
  <si>
    <t>Schertz</t>
  </si>
  <si>
    <t>78154-1461</t>
  </si>
  <si>
    <t>SAT2</t>
  </si>
  <si>
    <t>1401 E McCarty Lane</t>
  </si>
  <si>
    <t>San Marcos</t>
  </si>
  <si>
    <t>78666-8969</t>
  </si>
  <si>
    <t>SAT5</t>
  </si>
  <si>
    <t>1410 S. Callaghan Road</t>
  </si>
  <si>
    <t>Bexar. San Antonio</t>
  </si>
  <si>
    <t>Sortation Center for San Antonio Market</t>
  </si>
  <si>
    <t>SAV1</t>
  </si>
  <si>
    <t>Georgia Ports Authority, Garden City Terminal, Building CFS #2</t>
  </si>
  <si>
    <t>Garden City</t>
  </si>
  <si>
    <t>7001 Skipper Rd</t>
  </si>
  <si>
    <t>Macon</t>
  </si>
  <si>
    <t>SAX1</t>
  </si>
  <si>
    <t>4041 PECK RD</t>
  </si>
  <si>
    <t>EL MONTE</t>
  </si>
  <si>
    <t>91732-2246</t>
  </si>
  <si>
    <t>SAX2</t>
  </si>
  <si>
    <t>2246 S GRAND AVE</t>
  </si>
  <si>
    <t>92705-5210</t>
  </si>
  <si>
    <t>SAZ1</t>
  </si>
  <si>
    <t>3333 S 7TH ST</t>
  </si>
  <si>
    <t>85040-1182</t>
  </si>
  <si>
    <t>1494 S Waterman Ave</t>
  </si>
  <si>
    <t>SBD3</t>
  </si>
  <si>
    <t>5990 N. CAJON BLVD</t>
  </si>
  <si>
    <t>SBPX</t>
  </si>
  <si>
    <t>Somerset</t>
  </si>
  <si>
    <t>SBU1</t>
  </si>
  <si>
    <t>100 Nicolas Road, Frank Melville Jr. Library, Room E0319</t>
  </si>
  <si>
    <t>Stony Brook</t>
  </si>
  <si>
    <t>SBX2</t>
  </si>
  <si>
    <t>4718 Helgesen Drive, Suite 1</t>
  </si>
  <si>
    <t>Madison</t>
  </si>
  <si>
    <t>53718-6740</t>
  </si>
  <si>
    <t>SCA2</t>
  </si>
  <si>
    <t>12453 SAN PABLO AVE</t>
  </si>
  <si>
    <t>94805-1954</t>
  </si>
  <si>
    <t>SCA3</t>
  </si>
  <si>
    <t>10 N MAIN ST</t>
  </si>
  <si>
    <t>95035-4342</t>
  </si>
  <si>
    <t>SCA4</t>
  </si>
  <si>
    <t>16915 VIA DEL CAMPO</t>
  </si>
  <si>
    <t>SAN DIEGO</t>
  </si>
  <si>
    <t>92127-1717</t>
  </si>
  <si>
    <t>SCA5</t>
  </si>
  <si>
    <t>1120 EXPOSITION BLVD</t>
  </si>
  <si>
    <t>95815-4328</t>
  </si>
  <si>
    <t>SCA6</t>
  </si>
  <si>
    <t>3096 MCCLINTOCK AVE</t>
  </si>
  <si>
    <t>LOS ANGELES</t>
  </si>
  <si>
    <t>90089-3504</t>
  </si>
  <si>
    <t>SCE1</t>
  </si>
  <si>
    <t>134 South Allen St</t>
  </si>
  <si>
    <t>State College</t>
  </si>
  <si>
    <t>4532 NEWCASTLE RD</t>
  </si>
  <si>
    <t>STOCKTON</t>
  </si>
  <si>
    <t>95215-9465</t>
  </si>
  <si>
    <t>3565 Airport Way</t>
  </si>
  <si>
    <t>Manteca</t>
  </si>
  <si>
    <t>SCK9</t>
  </si>
  <si>
    <t>4601 NEWCASTLE RD</t>
  </si>
  <si>
    <t>SCO1</t>
  </si>
  <si>
    <t>13931 E MARINA DR APT 301</t>
  </si>
  <si>
    <t>80014-3795</t>
  </si>
  <si>
    <t>SDC1</t>
  </si>
  <si>
    <t>6885 Commercial Dr.</t>
  </si>
  <si>
    <t>22151-4202</t>
  </si>
  <si>
    <t>SDC2</t>
  </si>
  <si>
    <t>2 UNIVERSITY BLVD W</t>
  </si>
  <si>
    <t>SILVER SPRING</t>
  </si>
  <si>
    <t>20901-2438</t>
  </si>
  <si>
    <t>SDF1</t>
  </si>
  <si>
    <t>1050 South Columbia, Attn: Receiving</t>
  </si>
  <si>
    <t>Campbellsville</t>
  </si>
  <si>
    <t>42718-2454</t>
  </si>
  <si>
    <t>SDF2</t>
  </si>
  <si>
    <t>4360 Robards Ln, Attn: Receiving</t>
  </si>
  <si>
    <t>Louisville</t>
  </si>
  <si>
    <t>40218-4512</t>
  </si>
  <si>
    <t>SDF4</t>
  </si>
  <si>
    <t>40165-8556</t>
  </si>
  <si>
    <t>SDF6</t>
  </si>
  <si>
    <t>271 Omega Pkwy</t>
  </si>
  <si>
    <t>40165-8505</t>
  </si>
  <si>
    <t>SDF7</t>
  </si>
  <si>
    <t>300 Omicron Court</t>
  </si>
  <si>
    <t>Fashion</t>
  </si>
  <si>
    <t>SDF9</t>
  </si>
  <si>
    <t>100 W. Thomas P. Echols Lane</t>
  </si>
  <si>
    <t>SEA6</t>
  </si>
  <si>
    <t>2646 Rainier Ave. South, Product Imaging Receiving</t>
  </si>
  <si>
    <t>98144-5331</t>
  </si>
  <si>
    <t>SEA8</t>
  </si>
  <si>
    <t>SFBG</t>
  </si>
  <si>
    <t>Lakewood</t>
  </si>
  <si>
    <t>SFL1</t>
  </si>
  <si>
    <t>7469 KINGSPOINTE PKWY</t>
  </si>
  <si>
    <t>ORLANDO</t>
  </si>
  <si>
    <t>32819-8587</t>
  </si>
  <si>
    <t>SFL2</t>
  </si>
  <si>
    <t>18421 NW 67TH AVE</t>
  </si>
  <si>
    <t>HIALEAH</t>
  </si>
  <si>
    <t>33015-3413</t>
  </si>
  <si>
    <t>SFL3</t>
  </si>
  <si>
    <t>2581 WHITFIELD AVE</t>
  </si>
  <si>
    <t>SARASOTA</t>
  </si>
  <si>
    <t>34243-3924</t>
  </si>
  <si>
    <t>SFO3</t>
  </si>
  <si>
    <t>5250 NEWCASTLE RD</t>
  </si>
  <si>
    <t>95215-8345</t>
  </si>
  <si>
    <t>SGA1</t>
  </si>
  <si>
    <t>2929 PEACHTREE RD NE</t>
  </si>
  <si>
    <t>ATLANTA</t>
  </si>
  <si>
    <t>30305-2155</t>
  </si>
  <si>
    <t>SIL1</t>
  </si>
  <si>
    <t>2379 Davey Rd</t>
  </si>
  <si>
    <t>WOODRIDGE</t>
  </si>
  <si>
    <t>60517-4988</t>
  </si>
  <si>
    <t>SIL2</t>
  </si>
  <si>
    <t>900 W BLISS ST</t>
  </si>
  <si>
    <t>CHICAGO</t>
  </si>
  <si>
    <t>60642-4242</t>
  </si>
  <si>
    <t>188 Mountain House Parkway</t>
  </si>
  <si>
    <t>SJC9</t>
  </si>
  <si>
    <t>1455 valley drive</t>
  </si>
  <si>
    <t>Brisbane</t>
  </si>
  <si>
    <t>SJWV</t>
  </si>
  <si>
    <t>SKPN</t>
  </si>
  <si>
    <t>Mundelein</t>
  </si>
  <si>
    <t>SKTB</t>
  </si>
  <si>
    <t>Montgomeryville</t>
  </si>
  <si>
    <t>SLA5</t>
  </si>
  <si>
    <t>SLC1</t>
  </si>
  <si>
    <t>777 N 5600 W</t>
  </si>
  <si>
    <t>Salt Lake City</t>
  </si>
  <si>
    <t>UT</t>
  </si>
  <si>
    <t>7148 W Old Bingham Hwy</t>
  </si>
  <si>
    <t>West Jordan</t>
  </si>
  <si>
    <t>355 North JOHN GLENN RD</t>
  </si>
  <si>
    <t>84116-4413</t>
  </si>
  <si>
    <t>SLC4</t>
  </si>
  <si>
    <t>770 SOUTH GLADIOLA , STE 500</t>
  </si>
  <si>
    <t>SALT LAKE CITY</t>
  </si>
  <si>
    <t>SLT7</t>
  </si>
  <si>
    <t>3931 Lakeview Corporate Dr.</t>
  </si>
  <si>
    <t>Edwarsville</t>
  </si>
  <si>
    <t>SMA1</t>
  </si>
  <si>
    <t>5 5TH ST</t>
  </si>
  <si>
    <t>PEABODY</t>
  </si>
  <si>
    <t>01960-4915</t>
  </si>
  <si>
    <t>SMD1</t>
  </si>
  <si>
    <t>7200 DORSET RUN ROAD</t>
  </si>
  <si>
    <t>ELKRIDGE</t>
  </si>
  <si>
    <t>4900 W Elkhorn Blvd</t>
  </si>
  <si>
    <t>Sacramento</t>
  </si>
  <si>
    <t>SMF2</t>
  </si>
  <si>
    <t>2935 Ramco St.</t>
  </si>
  <si>
    <t>West Sacramento</t>
  </si>
  <si>
    <t>3923 B St.</t>
  </si>
  <si>
    <t>Stockton</t>
  </si>
  <si>
    <t>SMF5</t>
  </si>
  <si>
    <t>300 Crocker Dr</t>
  </si>
  <si>
    <t>VACAVILLE</t>
  </si>
  <si>
    <t>SMF9</t>
  </si>
  <si>
    <t>Vacaville</t>
  </si>
  <si>
    <t>2496 W Walnut Ave</t>
  </si>
  <si>
    <t>92376-3009</t>
  </si>
  <si>
    <t>SNA6</t>
  </si>
  <si>
    <t>5250 Goodman Road</t>
  </si>
  <si>
    <t>SNA7</t>
  </si>
  <si>
    <t>555 East Orange Show Rd</t>
  </si>
  <si>
    <t>SNA8</t>
  </si>
  <si>
    <t>SNA9</t>
  </si>
  <si>
    <t>SNCT</t>
  </si>
  <si>
    <t>Paterson</t>
  </si>
  <si>
    <t>SQGH</t>
  </si>
  <si>
    <t>Carnation</t>
  </si>
  <si>
    <t>3050 Gateway Commerce Center DR S</t>
  </si>
  <si>
    <t>Edwardsville</t>
  </si>
  <si>
    <t>62025-2815</t>
  </si>
  <si>
    <t>STL5</t>
  </si>
  <si>
    <t>462 Hazelwood Logistics Center Dr</t>
  </si>
  <si>
    <t>STL6</t>
  </si>
  <si>
    <t>3931 Lakeview Corporate Drive</t>
  </si>
  <si>
    <t>STL7</t>
  </si>
  <si>
    <t>STL8</t>
  </si>
  <si>
    <t>4000 Premier Parkway</t>
  </si>
  <si>
    <t>SAINT PETERS</t>
  </si>
  <si>
    <t>63376-3447</t>
  </si>
  <si>
    <t>STN1</t>
  </si>
  <si>
    <t>2 Dell Parkway</t>
  </si>
  <si>
    <t>NASHVILLE</t>
  </si>
  <si>
    <t>TN,</t>
  </si>
  <si>
    <t>37217-2830</t>
  </si>
  <si>
    <t>STX2</t>
  </si>
  <si>
    <t>1625 HUTTON DR</t>
  </si>
  <si>
    <t>CARROLLTON</t>
  </si>
  <si>
    <t>75006-6610</t>
  </si>
  <si>
    <t>SU2A</t>
  </si>
  <si>
    <t>1201 Aviation Blvd</t>
  </si>
  <si>
    <t>SUAA</t>
  </si>
  <si>
    <t>SUAB</t>
  </si>
  <si>
    <t>2800 CORPORATE EXCHANGE DRIVE</t>
  </si>
  <si>
    <t>SUAC</t>
  </si>
  <si>
    <t>100 S Wineville Ave</t>
  </si>
  <si>
    <t>Ontario</t>
  </si>
  <si>
    <t>SUAD</t>
  </si>
  <si>
    <t>100 Syble Jean Dr.</t>
  </si>
  <si>
    <t>Burleson</t>
  </si>
  <si>
    <t>SUAG</t>
  </si>
  <si>
    <t>150 Leo Taylor Ln</t>
  </si>
  <si>
    <t>Ball Ground</t>
  </si>
  <si>
    <t>SUAH</t>
  </si>
  <si>
    <t>2901 Grant Ave</t>
  </si>
  <si>
    <t>SUAK</t>
  </si>
  <si>
    <t>1170 Centre Drive, SUITE A</t>
  </si>
  <si>
    <t>Walnut</t>
  </si>
  <si>
    <t>SUAM</t>
  </si>
  <si>
    <t>5400 Ontario Mills Parkway, Unit 400</t>
  </si>
  <si>
    <t>SUAP</t>
  </si>
  <si>
    <t>23824 W. Andrew Rd.</t>
  </si>
  <si>
    <t>SUAQ</t>
  </si>
  <si>
    <t>8870 Boggy Creek Rd</t>
  </si>
  <si>
    <t>SUAR</t>
  </si>
  <si>
    <t>9207 Eton Avenue Unit B</t>
  </si>
  <si>
    <t>SUAS</t>
  </si>
  <si>
    <t>2800 Corporate Exchange Drive</t>
  </si>
  <si>
    <t>SUAV</t>
  </si>
  <si>
    <t>SUAW</t>
  </si>
  <si>
    <t>SUAX</t>
  </si>
  <si>
    <t>394 COMMERCE BLVD</t>
  </si>
  <si>
    <t>Athens</t>
  </si>
  <si>
    <t>SUAY</t>
  </si>
  <si>
    <t>10020 S Gibson Rd</t>
  </si>
  <si>
    <t>Molalla</t>
  </si>
  <si>
    <t>SUAZ</t>
  </si>
  <si>
    <t>1189 McDonald Ave</t>
  </si>
  <si>
    <t>Brooklyn</t>
  </si>
  <si>
    <t>SUBA</t>
  </si>
  <si>
    <t>2215 Paseo De Las Americas, 30D</t>
  </si>
  <si>
    <t>SUBD</t>
  </si>
  <si>
    <t>81 Christopher St</t>
  </si>
  <si>
    <t>SUBE</t>
  </si>
  <si>
    <t>921 E. Tolna Rd.</t>
  </si>
  <si>
    <t>New Freedom</t>
  </si>
  <si>
    <t>SUBG</t>
  </si>
  <si>
    <t>28651 Cranford Sage Ln</t>
  </si>
  <si>
    <t>SUBH</t>
  </si>
  <si>
    <t>817 Winchester Rd, Suite 130</t>
  </si>
  <si>
    <t>SUBI</t>
  </si>
  <si>
    <t>2213 VISTA PKWY, suite 8</t>
  </si>
  <si>
    <t>West Palm Beach</t>
  </si>
  <si>
    <t>SUBJ</t>
  </si>
  <si>
    <t>1104 W Geneva Dr</t>
  </si>
  <si>
    <t>Tempe</t>
  </si>
  <si>
    <t>SUBL</t>
  </si>
  <si>
    <t>582 S 1100 W</t>
  </si>
  <si>
    <t>Woods Cross</t>
  </si>
  <si>
    <t>SUBT</t>
  </si>
  <si>
    <t>7070 NW 75th St</t>
  </si>
  <si>
    <t>Parkland</t>
  </si>
  <si>
    <t>SUBU</t>
  </si>
  <si>
    <t>2213 VISTA PKWY, Suite 8</t>
  </si>
  <si>
    <t>SUBV</t>
  </si>
  <si>
    <t>810 E 8th St</t>
  </si>
  <si>
    <t>Oakland</t>
  </si>
  <si>
    <t>SUBW</t>
  </si>
  <si>
    <t>SUCD</t>
  </si>
  <si>
    <t>80 Carter Dr.</t>
  </si>
  <si>
    <t>SUCE</t>
  </si>
  <si>
    <t>8427 S. Old Bingham Hwy</t>
  </si>
  <si>
    <t>SUDA</t>
  </si>
  <si>
    <t>8179 Dixie Hwy, Suite 200</t>
  </si>
  <si>
    <t>SUDB</t>
  </si>
  <si>
    <t>8179 Dixie Highway, Suite 200</t>
  </si>
  <si>
    <t>SUEA</t>
  </si>
  <si>
    <t>1821 Lefthand Circle, Unit D</t>
  </si>
  <si>
    <t>Longmont</t>
  </si>
  <si>
    <t>SUEB</t>
  </si>
  <si>
    <t>135 West 36th Street FL 13</t>
  </si>
  <si>
    <t>SUED</t>
  </si>
  <si>
    <t>229 N Ella Rd</t>
  </si>
  <si>
    <t>Spokane Valley</t>
  </si>
  <si>
    <t>SUEG</t>
  </si>
  <si>
    <t>86 Mayfield Ave</t>
  </si>
  <si>
    <t>SUEH</t>
  </si>
  <si>
    <t>1760 West Terra Lane</t>
  </si>
  <si>
    <t>OFallon</t>
  </si>
  <si>
    <t>MT</t>
  </si>
  <si>
    <t>SUEI</t>
  </si>
  <si>
    <t>8 GALAXY WAY</t>
  </si>
  <si>
    <t>Woodstock</t>
  </si>
  <si>
    <t>SUEJ</t>
  </si>
  <si>
    <t>9462 Franklin Avenue</t>
  </si>
  <si>
    <t>Franklin Park</t>
  </si>
  <si>
    <t>SUFA</t>
  </si>
  <si>
    <t>8246 W. Mineral King Ave.</t>
  </si>
  <si>
    <t>Visalia</t>
  </si>
  <si>
    <t>SUFC</t>
  </si>
  <si>
    <t>587 Apollo St</t>
  </si>
  <si>
    <t>Brea</t>
  </si>
  <si>
    <t>SUFD</t>
  </si>
  <si>
    <t>SUGA</t>
  </si>
  <si>
    <t>4060 Hylan Blvd</t>
  </si>
  <si>
    <t>SUGB</t>
  </si>
  <si>
    <t>5283 N State Hwy 6</t>
  </si>
  <si>
    <t>Woodway</t>
  </si>
  <si>
    <t>SUGC</t>
  </si>
  <si>
    <t>175 Van Dyke St.</t>
  </si>
  <si>
    <t>11231-1079</t>
  </si>
  <si>
    <t>SUGD</t>
  </si>
  <si>
    <t>6033 N Sheridan Rd</t>
  </si>
  <si>
    <t>SUGE</t>
  </si>
  <si>
    <t>5975 Shiloh Road, Suite 104</t>
  </si>
  <si>
    <t>Alpharetta</t>
  </si>
  <si>
    <t>SUHA</t>
  </si>
  <si>
    <t>9203 J Street</t>
  </si>
  <si>
    <t>Omaha</t>
  </si>
  <si>
    <t>NE</t>
  </si>
  <si>
    <t>SUHB</t>
  </si>
  <si>
    <t>4675 Appaloosa Dr</t>
  </si>
  <si>
    <t>Irondale</t>
  </si>
  <si>
    <t>SUHC</t>
  </si>
  <si>
    <t>18 Dixon St</t>
  </si>
  <si>
    <t>Selbyville</t>
  </si>
  <si>
    <t>SUHD</t>
  </si>
  <si>
    <t>4675 Appaloosa Drive</t>
  </si>
  <si>
    <t>SUHE</t>
  </si>
  <si>
    <t>239 Old New Brunswick Road Dock 7&amp;8</t>
  </si>
  <si>
    <t>Piscataway</t>
  </si>
  <si>
    <t>SUHH</t>
  </si>
  <si>
    <t>45410 Van Dyke</t>
  </si>
  <si>
    <t>Utica</t>
  </si>
  <si>
    <t>SUHI</t>
  </si>
  <si>
    <t>870 S. 16th St.</t>
  </si>
  <si>
    <t>SUHL</t>
  </si>
  <si>
    <t>1213 Maple Avenue</t>
  </si>
  <si>
    <t>Burlington</t>
  </si>
  <si>
    <t>SUHM</t>
  </si>
  <si>
    <t>142 Franklin St</t>
  </si>
  <si>
    <t>Melrose</t>
  </si>
  <si>
    <t>SUHO</t>
  </si>
  <si>
    <t>355 Tomahawk Drive Suite3</t>
  </si>
  <si>
    <t>Maumee</t>
  </si>
  <si>
    <t>SUHP</t>
  </si>
  <si>
    <t>45 Leone Lane</t>
  </si>
  <si>
    <t>CHESTER</t>
  </si>
  <si>
    <t>SUHQ</t>
  </si>
  <si>
    <t>4635 NAUTILUS CT S, STE D</t>
  </si>
  <si>
    <t>Boulder</t>
  </si>
  <si>
    <t>SUHS</t>
  </si>
  <si>
    <t>SUHT</t>
  </si>
  <si>
    <t>1809 W. Frankford Rd, Suite 160</t>
  </si>
  <si>
    <t>Carrollton</t>
  </si>
  <si>
    <t>SUHV</t>
  </si>
  <si>
    <t>10335 Naples ST NE</t>
  </si>
  <si>
    <t>Blaine</t>
  </si>
  <si>
    <t>SUHW</t>
  </si>
  <si>
    <t>2325 Raymer Ave</t>
  </si>
  <si>
    <t>Fullerton</t>
  </si>
  <si>
    <t>SUHX</t>
  </si>
  <si>
    <t>104A GLENN ST</t>
  </si>
  <si>
    <t>LAWRENCE</t>
  </si>
  <si>
    <t>ME</t>
  </si>
  <si>
    <t>SUJA</t>
  </si>
  <si>
    <t>325 NW 28TH ST</t>
  </si>
  <si>
    <t>SUJB</t>
  </si>
  <si>
    <t>706 North Diamond Bar Blvd, Unit A</t>
  </si>
  <si>
    <t>Diamond Bar</t>
  </si>
  <si>
    <t>SUJC</t>
  </si>
  <si>
    <t>SUJD</t>
  </si>
  <si>
    <t>47 Industrial Park Rd</t>
  </si>
  <si>
    <t>Centerbrook</t>
  </si>
  <si>
    <t>SUJE</t>
  </si>
  <si>
    <t>5124 Cleveland Rd</t>
  </si>
  <si>
    <t>Wooster</t>
  </si>
  <si>
    <t>SUJF</t>
  </si>
  <si>
    <t>SULA</t>
  </si>
  <si>
    <t>1380 Stonegate Way</t>
  </si>
  <si>
    <t>Ferndale</t>
  </si>
  <si>
    <t>SULC</t>
  </si>
  <si>
    <t>1345 Taylor Farms Road, Suite 112</t>
  </si>
  <si>
    <t>Virginia Beach</t>
  </si>
  <si>
    <t>SULD</t>
  </si>
  <si>
    <t>2020 Prairie Ln</t>
  </si>
  <si>
    <t>Eau Claire</t>
  </si>
  <si>
    <t>SULE</t>
  </si>
  <si>
    <t>100 Solutions Parkway</t>
  </si>
  <si>
    <t>Thomaston</t>
  </si>
  <si>
    <t>SULF</t>
  </si>
  <si>
    <t>170 Longs Pond Rd</t>
  </si>
  <si>
    <t>SULU</t>
  </si>
  <si>
    <t>SULX</t>
  </si>
  <si>
    <t>1728 Smallman St.</t>
  </si>
  <si>
    <t>SUMA</t>
  </si>
  <si>
    <t>1201 Jersey Avenue</t>
  </si>
  <si>
    <t>North Brunswick</t>
  </si>
  <si>
    <t>SUNA</t>
  </si>
  <si>
    <t>4179 70th Ave East, Suite A</t>
  </si>
  <si>
    <t>Fife</t>
  </si>
  <si>
    <t>SUNB</t>
  </si>
  <si>
    <t>320 Telfair Rd</t>
  </si>
  <si>
    <t>Savannah</t>
  </si>
  <si>
    <t>SUNC</t>
  </si>
  <si>
    <t>1113 E 230th Street</t>
  </si>
  <si>
    <t>Carson</t>
  </si>
  <si>
    <t>SUOC</t>
  </si>
  <si>
    <t>8750 Larkin Rd</t>
  </si>
  <si>
    <t>Savage</t>
  </si>
  <si>
    <t>20763-3200</t>
  </si>
  <si>
    <t>SUOD</t>
  </si>
  <si>
    <t>121 Kelsey Ln</t>
  </si>
  <si>
    <t>Tampa</t>
  </si>
  <si>
    <t>33619-4348</t>
  </si>
  <si>
    <t>SUOE</t>
  </si>
  <si>
    <t>74 Kenny Pl</t>
  </si>
  <si>
    <t>Saddle Brook</t>
  </si>
  <si>
    <t>07663-5916</t>
  </si>
  <si>
    <t>SUOF</t>
  </si>
  <si>
    <t>6605 Roxburgh Dr. Suite 400</t>
  </si>
  <si>
    <t>SUOG</t>
  </si>
  <si>
    <t>19 Robert Pitt Drive, Ste 103</t>
  </si>
  <si>
    <t>Monsey</t>
  </si>
  <si>
    <t>SUOI</t>
  </si>
  <si>
    <t>870 North 100 East</t>
  </si>
  <si>
    <t>Lehi</t>
  </si>
  <si>
    <t>SUOJ</t>
  </si>
  <si>
    <t>1615 Fletcher Ave</t>
  </si>
  <si>
    <t>SUOK</t>
  </si>
  <si>
    <t>437 Baldwin Park Blvd</t>
  </si>
  <si>
    <t>City of Industry</t>
  </si>
  <si>
    <t>SUOL</t>
  </si>
  <si>
    <t>305 Bucknell Court</t>
  </si>
  <si>
    <t>SUOM</t>
  </si>
  <si>
    <t>1230 Highway 34</t>
  </si>
  <si>
    <t>Aberdeen</t>
  </si>
  <si>
    <t>SUON</t>
  </si>
  <si>
    <t>1703 S Veterans Pkwy</t>
  </si>
  <si>
    <t>Bloomington</t>
  </si>
  <si>
    <t>SUOO</t>
  </si>
  <si>
    <t>16792 Burke Lane</t>
  </si>
  <si>
    <t>Huntington Beach</t>
  </si>
  <si>
    <t>SUOP</t>
  </si>
  <si>
    <t>1673 NY-17M</t>
  </si>
  <si>
    <t>SUOQ</t>
  </si>
  <si>
    <t>3700 Cover St</t>
  </si>
  <si>
    <t>SUOR</t>
  </si>
  <si>
    <t>3820 Hempland Rd</t>
  </si>
  <si>
    <t>Mountville</t>
  </si>
  <si>
    <t>SUOS</t>
  </si>
  <si>
    <t>9655 SW SUNSHINE CT, SUITE 300</t>
  </si>
  <si>
    <t>BEAVERTON</t>
  </si>
  <si>
    <t>SUOT</t>
  </si>
  <si>
    <t>SUOW</t>
  </si>
  <si>
    <t>9655 SW Sunshine CT</t>
  </si>
  <si>
    <t>Beaverton</t>
  </si>
  <si>
    <t>SUOX</t>
  </si>
  <si>
    <t>19 Robert Pitt Drive STE 103</t>
  </si>
  <si>
    <t>SUOY</t>
  </si>
  <si>
    <t>SUOZ</t>
  </si>
  <si>
    <t>359 Pike Court, Suite 500</t>
  </si>
  <si>
    <t>La Porte</t>
  </si>
  <si>
    <t>SUPA</t>
  </si>
  <si>
    <t>412 Technology Drive E.</t>
  </si>
  <si>
    <t>Menomonie</t>
  </si>
  <si>
    <t>SUPB</t>
  </si>
  <si>
    <t>SUPC</t>
  </si>
  <si>
    <t>503 West High St</t>
  </si>
  <si>
    <t>Hicksville</t>
  </si>
  <si>
    <t>SUPD</t>
  </si>
  <si>
    <t>8320 Baycenter Rd</t>
  </si>
  <si>
    <t>SUPE</t>
  </si>
  <si>
    <t>7886 Deering Ave.</t>
  </si>
  <si>
    <t>Canoga Park</t>
  </si>
  <si>
    <t>SUPG</t>
  </si>
  <si>
    <t>3725 Swenson Rd</t>
  </si>
  <si>
    <t>St Charles</t>
  </si>
  <si>
    <t>SUPH</t>
  </si>
  <si>
    <t>4201 tonelle ave</t>
  </si>
  <si>
    <t>North Bergen</t>
  </si>
  <si>
    <t>SUPI</t>
  </si>
  <si>
    <t>2325 Raymer Avenue</t>
  </si>
  <si>
    <t>SUPJ</t>
  </si>
  <si>
    <t>4737 van dam street</t>
  </si>
  <si>
    <t>Long island City</t>
  </si>
  <si>
    <t>SUPK</t>
  </si>
  <si>
    <t>9851 Owensmouth Ave</t>
  </si>
  <si>
    <t>SUPL</t>
  </si>
  <si>
    <t>SUPM</t>
  </si>
  <si>
    <t>1-AB Terminal Way</t>
  </si>
  <si>
    <t>SUPN</t>
  </si>
  <si>
    <t>SUPP</t>
  </si>
  <si>
    <t>230 Centerpoint BLVD</t>
  </si>
  <si>
    <t>SUPQ</t>
  </si>
  <si>
    <t>SUPR</t>
  </si>
  <si>
    <t>9414 E San Salvador Dr</t>
  </si>
  <si>
    <t>Scottsdale</t>
  </si>
  <si>
    <t>SUSA</t>
  </si>
  <si>
    <t>7201 Intermodal Dr, Suite C</t>
  </si>
  <si>
    <t>SUSE</t>
  </si>
  <si>
    <t>188 County Road 4226</t>
  </si>
  <si>
    <t>Decatur</t>
  </si>
  <si>
    <t>SUSF</t>
  </si>
  <si>
    <t>840 Wheeling Rd</t>
  </si>
  <si>
    <t>Wheeling</t>
  </si>
  <si>
    <t>SUSG</t>
  </si>
  <si>
    <t>500 S Main Street</t>
  </si>
  <si>
    <t>Mooresville</t>
  </si>
  <si>
    <t>SUSH</t>
  </si>
  <si>
    <t>SUSI</t>
  </si>
  <si>
    <t>7194 Big Sky Drive Suite 5</t>
  </si>
  <si>
    <t>Holly</t>
  </si>
  <si>
    <t>SUSJ</t>
  </si>
  <si>
    <t>8427 South Old Bingham Hwy</t>
  </si>
  <si>
    <t>SUSK</t>
  </si>
  <si>
    <t>153 Washington St, 1st Floor</t>
  </si>
  <si>
    <t>East Walpole</t>
  </si>
  <si>
    <t>SUSL</t>
  </si>
  <si>
    <t>SUTA</t>
  </si>
  <si>
    <t>4503 Airwest DR SE</t>
  </si>
  <si>
    <t>Kentwood</t>
  </si>
  <si>
    <t>SUVA</t>
  </si>
  <si>
    <t>8933 Lyndale Ave S</t>
  </si>
  <si>
    <t>SUWB</t>
  </si>
  <si>
    <t>150 Ethel Road West</t>
  </si>
  <si>
    <t>SUXA</t>
  </si>
  <si>
    <t>345 Boren Ave N</t>
  </si>
  <si>
    <t>SUXC</t>
  </si>
  <si>
    <t>SUZA</t>
  </si>
  <si>
    <t>SUZB</t>
  </si>
  <si>
    <t>SUZC</t>
  </si>
  <si>
    <t>SVRH</t>
  </si>
  <si>
    <t>Fort Lauderdale</t>
  </si>
  <si>
    <t>SWA1</t>
  </si>
  <si>
    <t>607 Riverside Road</t>
  </si>
  <si>
    <t>98201-1206</t>
  </si>
  <si>
    <t>SWA2</t>
  </si>
  <si>
    <t>3610 S. EDMUNDS ST.</t>
  </si>
  <si>
    <t>SXWL</t>
  </si>
  <si>
    <t>Rockaway</t>
  </si>
  <si>
    <t>SZBV</t>
  </si>
  <si>
    <t>Copiague</t>
  </si>
  <si>
    <t>TAM1</t>
  </si>
  <si>
    <t>2800 South Texas Avenue, Suite 401</t>
  </si>
  <si>
    <t>Bryan</t>
  </si>
  <si>
    <t>TAZ1</t>
  </si>
  <si>
    <t>500 S 48th St</t>
  </si>
  <si>
    <t>TBD2</t>
  </si>
  <si>
    <t>Not Open, Sortation Center</t>
  </si>
  <si>
    <t>TBD3</t>
  </si>
  <si>
    <t>401 E Laraway Road</t>
  </si>
  <si>
    <t>TBD5</t>
  </si>
  <si>
    <t>8003 Industrial Ave, Building A</t>
  </si>
  <si>
    <t>Not Open, Amazon Fresh</t>
  </si>
  <si>
    <t>TBD6</t>
  </si>
  <si>
    <t>4800 LBJ Freeway</t>
  </si>
  <si>
    <t>Not Open, Small Sortable</t>
  </si>
  <si>
    <t>TBD7</t>
  </si>
  <si>
    <t>Probably new small sortable</t>
  </si>
  <si>
    <t>TBD8</t>
  </si>
  <si>
    <t>Etna Township Park</t>
  </si>
  <si>
    <t>Opening 2017</t>
  </si>
  <si>
    <t>TBD9</t>
  </si>
  <si>
    <t>Alum Creek Drive</t>
  </si>
  <si>
    <t>TBDA</t>
  </si>
  <si>
    <t>1300 East McCarty Lane</t>
  </si>
  <si>
    <t>Q1 2017</t>
  </si>
  <si>
    <t>TBDB</t>
  </si>
  <si>
    <t>Prime Now Hub</t>
  </si>
  <si>
    <t>TCA0</t>
  </si>
  <si>
    <t>455 Valley Drive</t>
  </si>
  <si>
    <t>TCA1</t>
  </si>
  <si>
    <t>888 Tennessee St</t>
  </si>
  <si>
    <t>TCA2</t>
  </si>
  <si>
    <t>2400 Marine Avenue</t>
  </si>
  <si>
    <t>Redondo Beach</t>
  </si>
  <si>
    <t>TCA4</t>
  </si>
  <si>
    <t>2006 McGaw Avenue</t>
  </si>
  <si>
    <t>TCA5</t>
  </si>
  <si>
    <t>TCA6</t>
  </si>
  <si>
    <t>TCA7</t>
  </si>
  <si>
    <t>222 Commercial St</t>
  </si>
  <si>
    <t>Sunnyvale</t>
  </si>
  <si>
    <t>TCA9</t>
  </si>
  <si>
    <t>2934 Ramona Ave</t>
  </si>
  <si>
    <t>TCO1</t>
  </si>
  <si>
    <t>480 E 55th Avenue, Suite 100</t>
  </si>
  <si>
    <t>TCY5</t>
  </si>
  <si>
    <t>2250 PROMONTORY PKWY</t>
  </si>
  <si>
    <t>TRACY</t>
  </si>
  <si>
    <t>2651 Oldmans Creek Rd</t>
  </si>
  <si>
    <t>Logan Township</t>
  </si>
  <si>
    <t>22 Hightstown Cranbury State Road</t>
  </si>
  <si>
    <t>Cranbury</t>
  </si>
  <si>
    <t>601 RANDOLPH RD</t>
  </si>
  <si>
    <t>SOMERSET</t>
  </si>
  <si>
    <t>TEX1</t>
  </si>
  <si>
    <t>Gregory Gym, 2101 Speedway</t>
  </si>
  <si>
    <t>TFC1</t>
  </si>
  <si>
    <t>5050 West Mohave St, Attn: Receiving</t>
  </si>
  <si>
    <t>TFL2</t>
  </si>
  <si>
    <t>101 NE 23rd Street</t>
  </si>
  <si>
    <t>TFL3</t>
  </si>
  <si>
    <t>4430 E ADAMO DR, STE 305</t>
  </si>
  <si>
    <t>TFL4</t>
  </si>
  <si>
    <t>TIL1</t>
  </si>
  <si>
    <t>TIN1</t>
  </si>
  <si>
    <t>710 S. Girls School Road</t>
  </si>
  <si>
    <t>TIW1</t>
  </si>
  <si>
    <t>One Sitcum Plaza</t>
  </si>
  <si>
    <t>TJA2</t>
  </si>
  <si>
    <t>2302 MARIETTA BLVD NW</t>
  </si>
  <si>
    <t>TMA3</t>
  </si>
  <si>
    <t>30 Northampton Street</t>
  </si>
  <si>
    <t>Boston</t>
  </si>
  <si>
    <t>TMD1</t>
  </si>
  <si>
    <t>5501 Holabird Ave</t>
  </si>
  <si>
    <t>TMN1</t>
  </si>
  <si>
    <t>763 Kasota Ave</t>
  </si>
  <si>
    <t>TNC1</t>
  </si>
  <si>
    <t>300 Dalton Ave.</t>
  </si>
  <si>
    <t>28206-3118</t>
  </si>
  <si>
    <t>TNV2</t>
  </si>
  <si>
    <t>1945 E. Russell Rd</t>
  </si>
  <si>
    <t>89119-2706</t>
  </si>
  <si>
    <t>TNY1</t>
  </si>
  <si>
    <t>850 3rd Ave.</t>
  </si>
  <si>
    <t>TNYA</t>
  </si>
  <si>
    <t>7 W 34th Street</t>
  </si>
  <si>
    <t>TOR1</t>
  </si>
  <si>
    <t>2104 NW York Street</t>
  </si>
  <si>
    <t>3350 Laurel Ridge Ave</t>
  </si>
  <si>
    <t>Ruskin</t>
  </si>
  <si>
    <t>5846 C Fred Jones Blvd</t>
  </si>
  <si>
    <t>Auburndale</t>
  </si>
  <si>
    <t>3400 NW 35TH AVE RD</t>
  </si>
  <si>
    <t>Ocala</t>
  </si>
  <si>
    <t>TPAA</t>
  </si>
  <si>
    <t>4101 Sansom St</t>
  </si>
  <si>
    <t>TTN1</t>
  </si>
  <si>
    <t>410 Harding Industrial Dr.</t>
  </si>
  <si>
    <t>343 Cranbury Half Acre Rd</t>
  </si>
  <si>
    <t>TTNA</t>
  </si>
  <si>
    <t>TTX2</t>
  </si>
  <si>
    <t>2209 Rutland Dr, Suite B110</t>
  </si>
  <si>
    <t>TTX3</t>
  </si>
  <si>
    <t>TTX4</t>
  </si>
  <si>
    <t>6627 Maple Avenue</t>
  </si>
  <si>
    <t>TTX5</t>
  </si>
  <si>
    <t>4848 Perrin Creek 680</t>
  </si>
  <si>
    <t>San Antonio</t>
  </si>
  <si>
    <t>TUL1</t>
  </si>
  <si>
    <t>2654 North Highway 169, Attn: Receiving</t>
  </si>
  <si>
    <t>Coffeyville</t>
  </si>
  <si>
    <t>67337-9254</t>
  </si>
  <si>
    <t>TUL2</t>
  </si>
  <si>
    <t>4040N 125TH E AVE</t>
  </si>
  <si>
    <t>Tulsa</t>
  </si>
  <si>
    <t>TUS1</t>
  </si>
  <si>
    <t>5333 W. Lower Buckeye Road</t>
  </si>
  <si>
    <t>TUS2</t>
  </si>
  <si>
    <t>6701 S KOLB RD</t>
  </si>
  <si>
    <t>Tuscon</t>
  </si>
  <si>
    <t>TWA0</t>
  </si>
  <si>
    <t>13537 Aurora Ave N</t>
  </si>
  <si>
    <t>UAZ1</t>
  </si>
  <si>
    <t>85034-3101</t>
  </si>
  <si>
    <t>UCA1</t>
  </si>
  <si>
    <t>UCA2</t>
  </si>
  <si>
    <t>Prime Now Hub for Los Angeles</t>
  </si>
  <si>
    <t>UCA3</t>
  </si>
  <si>
    <t>11800 W Olympic Blvd.</t>
  </si>
  <si>
    <t>Prime Now Hub for Santa Monica</t>
  </si>
  <si>
    <t>UCA4</t>
  </si>
  <si>
    <t>UCA5</t>
  </si>
  <si>
    <t>3334 N. San Fernando Road</t>
  </si>
  <si>
    <t>UCA6</t>
  </si>
  <si>
    <t>92110-3109</t>
  </si>
  <si>
    <t>UCA7</t>
  </si>
  <si>
    <t>222 Commercial Street</t>
  </si>
  <si>
    <t>Prime Now Hub for San Jose</t>
  </si>
  <si>
    <t>UCA8</t>
  </si>
  <si>
    <t>3100 San Pablo Ave. Ste 120</t>
  </si>
  <si>
    <t>West Berkley</t>
  </si>
  <si>
    <t>Prime Now Hub for Oakland</t>
  </si>
  <si>
    <t>UCA9</t>
  </si>
  <si>
    <t>2934 Ramona Avenue</t>
  </si>
  <si>
    <t>Prime Now Hub for Sacramento</t>
  </si>
  <si>
    <t>UCO1</t>
  </si>
  <si>
    <t>480 E. 55th Avenue, Suite 100</t>
  </si>
  <si>
    <t>UCO2</t>
  </si>
  <si>
    <t>3434 47th Street, Suite 220</t>
  </si>
  <si>
    <t>UFL1</t>
  </si>
  <si>
    <t>15600 NW 15th Ave</t>
  </si>
  <si>
    <t>UFL3</t>
  </si>
  <si>
    <t>4430 East Adamo, Suite 305</t>
  </si>
  <si>
    <t>4769 Oak Fair Blvd</t>
  </si>
  <si>
    <t>TAMPA</t>
  </si>
  <si>
    <t>MIAMI</t>
  </si>
  <si>
    <t>UFL7</t>
  </si>
  <si>
    <t>6843 S Conway Rd</t>
  </si>
  <si>
    <t>UGA1</t>
  </si>
  <si>
    <t>Prime Now Hub Atlanta</t>
  </si>
  <si>
    <t>UGA2</t>
  </si>
  <si>
    <t>30318-1327</t>
  </si>
  <si>
    <t>UGA3</t>
  </si>
  <si>
    <t>2160 Breckinridge Blvd Bldg 100, Suite 100</t>
  </si>
  <si>
    <t>UGA4</t>
  </si>
  <si>
    <t>DULUTH</t>
  </si>
  <si>
    <t>UIL2</t>
  </si>
  <si>
    <t>UIN1</t>
  </si>
  <si>
    <t>ULA1</t>
  </si>
  <si>
    <t>635 8th St</t>
  </si>
  <si>
    <t>SAN FERNANDO</t>
  </si>
  <si>
    <t>ULA2</t>
  </si>
  <si>
    <t>4278 N. Harbor Blvd.</t>
  </si>
  <si>
    <t>FULLERTON</t>
  </si>
  <si>
    <t>UMA3</t>
  </si>
  <si>
    <t>UMA4</t>
  </si>
  <si>
    <t>Chelsea</t>
  </si>
  <si>
    <t>UMI2</t>
  </si>
  <si>
    <t>999 Chicago Road</t>
  </si>
  <si>
    <t>Troy</t>
  </si>
  <si>
    <t>UMN1</t>
  </si>
  <si>
    <t>55414-2842</t>
  </si>
  <si>
    <t>UMN2</t>
  </si>
  <si>
    <t>6105 Trenton Ln N</t>
  </si>
  <si>
    <t>MINNEAPOLIS</t>
  </si>
  <si>
    <t>UNC1</t>
  </si>
  <si>
    <t>Prime Now Hub for Charlotte</t>
  </si>
  <si>
    <t>UNC2</t>
  </si>
  <si>
    <t>3200 Bush Street</t>
  </si>
  <si>
    <t>UNC3</t>
  </si>
  <si>
    <t>4525 Statesville Ave</t>
  </si>
  <si>
    <t>UNJ1</t>
  </si>
  <si>
    <t>UNV1</t>
  </si>
  <si>
    <t>3650 East Post Road. Suite E</t>
  </si>
  <si>
    <t>Prime Now Hub for Las Vegas</t>
  </si>
  <si>
    <t>UNV2</t>
  </si>
  <si>
    <t>1945 E RUSSELL RD SUITES 201-204</t>
  </si>
  <si>
    <t>UNV3</t>
  </si>
  <si>
    <t>2951 N Marion Dr Suite 101-103</t>
  </si>
  <si>
    <t>UNY1</t>
  </si>
  <si>
    <t>UNY2</t>
  </si>
  <si>
    <t>1080 Leggett Ave</t>
  </si>
  <si>
    <t>UNY3</t>
  </si>
  <si>
    <t>57-00 49th Place</t>
  </si>
  <si>
    <t>MASPETH</t>
  </si>
  <si>
    <t>UOH1</t>
  </si>
  <si>
    <t>Winton Hills</t>
  </si>
  <si>
    <t>Prime Now Hub for Cincinnati</t>
  </si>
  <si>
    <t>UOH2</t>
  </si>
  <si>
    <t>3563 Interchange Rd</t>
  </si>
  <si>
    <t>UOH4</t>
  </si>
  <si>
    <t>4401 Equity Dr</t>
  </si>
  <si>
    <t>COLUMBUS</t>
  </si>
  <si>
    <t>UOH5</t>
  </si>
  <si>
    <t>492 Central Dr</t>
  </si>
  <si>
    <t>VIRGINIA BEACH</t>
  </si>
  <si>
    <t>UOR1</t>
  </si>
  <si>
    <t>2250 Northwest 22nd Avenue</t>
  </si>
  <si>
    <t>Prime Now Hub for Portland. OR</t>
  </si>
  <si>
    <t>UOR2</t>
  </si>
  <si>
    <t>5015 NW FRONT AVE</t>
  </si>
  <si>
    <t>PORTLAND</t>
  </si>
  <si>
    <t>97210-1105</t>
  </si>
  <si>
    <t>USC1</t>
  </si>
  <si>
    <t>3640 Ramos Dr</t>
  </si>
  <si>
    <t>WEST SACRAMENTO</t>
  </si>
  <si>
    <t>95691-6401</t>
  </si>
  <si>
    <t>USC2</t>
  </si>
  <si>
    <t>2400 McClellan Park Dr</t>
  </si>
  <si>
    <t>USF1</t>
  </si>
  <si>
    <t>750 Laurelwood Road</t>
  </si>
  <si>
    <t>SANTA CLARA</t>
  </si>
  <si>
    <t>USF2</t>
  </si>
  <si>
    <t>1700 Fairway Dr</t>
  </si>
  <si>
    <t>SAN LEANDRO</t>
  </si>
  <si>
    <t>USF3</t>
  </si>
  <si>
    <t>1911 Lundy Ave</t>
  </si>
  <si>
    <t>UTN1</t>
  </si>
  <si>
    <t>UTX1</t>
  </si>
  <si>
    <t>Prime Now Hub for Dallas</t>
  </si>
  <si>
    <t>UTX2</t>
  </si>
  <si>
    <t>Prime Now Hub for Austin</t>
  </si>
  <si>
    <t>UTX3</t>
  </si>
  <si>
    <t>UTX4</t>
  </si>
  <si>
    <t>PO Box 80387</t>
  </si>
  <si>
    <t>UTX7</t>
  </si>
  <si>
    <t>UTX8</t>
  </si>
  <si>
    <t>2800 S Texas Avenue, Suite 401</t>
  </si>
  <si>
    <t>UTX9</t>
  </si>
  <si>
    <t>4616 W Howard Lane</t>
  </si>
  <si>
    <t>AUSTIN</t>
  </si>
  <si>
    <t>UVA1</t>
  </si>
  <si>
    <t>5617 Industrial Dr. Suite A</t>
  </si>
  <si>
    <t>Prime Now Hub for Washington DC</t>
  </si>
  <si>
    <t>UVA2</t>
  </si>
  <si>
    <t>Prime Now Hub for Norfolk Virginia Beach</t>
  </si>
  <si>
    <t>UVA3</t>
  </si>
  <si>
    <t>2034 Dabney Road</t>
  </si>
  <si>
    <t>Prime Now Hub for Richmond, VA</t>
  </si>
  <si>
    <t>UVA4</t>
  </si>
  <si>
    <t>4100 Tomlynn St</t>
  </si>
  <si>
    <t>UVA5</t>
  </si>
  <si>
    <t>UWA1</t>
  </si>
  <si>
    <t>11710 118th Ave NE Building B</t>
  </si>
  <si>
    <t>UWA2</t>
  </si>
  <si>
    <t>13537 Aurora Ave. N.</t>
  </si>
  <si>
    <t>North Seattle</t>
  </si>
  <si>
    <t>Prime Now Hub for North Seattle</t>
  </si>
  <si>
    <t>UWA3</t>
  </si>
  <si>
    <t>2121 8th Ave.</t>
  </si>
  <si>
    <t>Prime Now Hub for Seattle</t>
  </si>
  <si>
    <t>UWA4</t>
  </si>
  <si>
    <t>76 S Lander Street</t>
  </si>
  <si>
    <t>UWA5</t>
  </si>
  <si>
    <t>18323 Andover Park W., Bldg. 6</t>
  </si>
  <si>
    <t>UWI1</t>
  </si>
  <si>
    <t>4111 W Mitchell Street</t>
  </si>
  <si>
    <t>VAEO</t>
  </si>
  <si>
    <t>20526 59th Place S.</t>
  </si>
  <si>
    <t>VAVP</t>
  </si>
  <si>
    <t>VFSN</t>
  </si>
  <si>
    <t>7401 F ST</t>
  </si>
  <si>
    <t>OMAHA</t>
  </si>
  <si>
    <t>VUAT</t>
  </si>
  <si>
    <t>VUAV</t>
  </si>
  <si>
    <t>1 Commerce Road</t>
  </si>
  <si>
    <t>VUBA</t>
  </si>
  <si>
    <t>1000 Keystone Industrial Park</t>
  </si>
  <si>
    <t>Scranton</t>
  </si>
  <si>
    <t>VUBD</t>
  </si>
  <si>
    <t>17182 Nevada Avenue</t>
  </si>
  <si>
    <t>Victorville</t>
  </si>
  <si>
    <t>VUBF</t>
  </si>
  <si>
    <t>575 Old Forge Road</t>
  </si>
  <si>
    <t>Union Township</t>
  </si>
  <si>
    <t>VUBG</t>
  </si>
  <si>
    <t>8365 Sultana Ave, Unit 2</t>
  </si>
  <si>
    <t>VUBH</t>
  </si>
  <si>
    <t>9950 Calabash Ave</t>
  </si>
  <si>
    <t>92335-5210</t>
  </si>
  <si>
    <t>VUBI</t>
  </si>
  <si>
    <t>501 Meacham Blvd</t>
  </si>
  <si>
    <t>VUBJ</t>
  </si>
  <si>
    <t>1456 Harry Shepard Blvd</t>
  </si>
  <si>
    <t>VUCB</t>
  </si>
  <si>
    <t>5197 Commerce Drive</t>
  </si>
  <si>
    <t>YORK</t>
  </si>
  <si>
    <t>VUGA</t>
  </si>
  <si>
    <t>508 Delaware Ave</t>
  </si>
  <si>
    <t>West Pittston</t>
  </si>
  <si>
    <t>VUGE</t>
  </si>
  <si>
    <t>3450 Dulles Dr</t>
  </si>
  <si>
    <t>91752-3242</t>
  </si>
  <si>
    <t>VUGH</t>
  </si>
  <si>
    <t>7875 White Road</t>
  </si>
  <si>
    <t>Austell</t>
  </si>
  <si>
    <t>VUGJ</t>
  </si>
  <si>
    <t>4275 Fritch Dr</t>
  </si>
  <si>
    <t>VUGK</t>
  </si>
  <si>
    <t>4120 Indian Ave</t>
  </si>
  <si>
    <t>92571-7413</t>
  </si>
  <si>
    <t>VUGL</t>
  </si>
  <si>
    <t>1200 Distribution Drive</t>
  </si>
  <si>
    <t>VUGM</t>
  </si>
  <si>
    <t>597 Alexander Spring Rd.</t>
  </si>
  <si>
    <t>VUGO</t>
  </si>
  <si>
    <t>300 Interstate West Parkway</t>
  </si>
  <si>
    <t>VUGP</t>
  </si>
  <si>
    <t>234 Walnut Bottom Road</t>
  </si>
  <si>
    <t>Shippensburg</t>
  </si>
  <si>
    <t>VUGR</t>
  </si>
  <si>
    <t>1565 N Mac Arthur Dr.</t>
  </si>
  <si>
    <t>VUHA</t>
  </si>
  <si>
    <t>700 Chase Street</t>
  </si>
  <si>
    <t>Gary</t>
  </si>
  <si>
    <t>VUHE</t>
  </si>
  <si>
    <t>3401 Innovative Way</t>
  </si>
  <si>
    <t>Mesquite</t>
  </si>
  <si>
    <t>VUHF</t>
  </si>
  <si>
    <t>11111 80TH AVE</t>
  </si>
  <si>
    <t>Pleasant Prairie</t>
  </si>
  <si>
    <t>VUHG</t>
  </si>
  <si>
    <t>28625 Fountain Parkway</t>
  </si>
  <si>
    <t>Solon</t>
  </si>
  <si>
    <t>VUKF</t>
  </si>
  <si>
    <t>18120 Bishop Ave</t>
  </si>
  <si>
    <t>90746-4032</t>
  </si>
  <si>
    <t>VUKG</t>
  </si>
  <si>
    <t>3201 Centre Parkway</t>
  </si>
  <si>
    <t>VUKH</t>
  </si>
  <si>
    <t>1901 W Airfield Dr</t>
  </si>
  <si>
    <t>VUKI</t>
  </si>
  <si>
    <t>400 Arlington Blvd</t>
  </si>
  <si>
    <t>VUKJ</t>
  </si>
  <si>
    <t>19270 S. Western Avenue</t>
  </si>
  <si>
    <t>Torrance</t>
  </si>
  <si>
    <t>VUKZ</t>
  </si>
  <si>
    <t>VUMC</t>
  </si>
  <si>
    <t>650 Commerce Pkwy W Drive</t>
  </si>
  <si>
    <t>Greenwood</t>
  </si>
  <si>
    <t>VUMD</t>
  </si>
  <si>
    <t>548 W Merrill Ave</t>
  </si>
  <si>
    <t>92376-9101</t>
  </si>
  <si>
    <t>VUME</t>
  </si>
  <si>
    <t>200 Docks Corner Road, Suite 241</t>
  </si>
  <si>
    <t>South Brunswick</t>
  </si>
  <si>
    <t>VUMX</t>
  </si>
  <si>
    <t>241 E Pacific Coast Hwy</t>
  </si>
  <si>
    <t>90744-2920</t>
  </si>
  <si>
    <t>VUOJ</t>
  </si>
  <si>
    <t>250 Declaration Avenue, Suite 500</t>
  </si>
  <si>
    <t>McDonough</t>
  </si>
  <si>
    <t>VUOK</t>
  </si>
  <si>
    <t>21837 W. Mississippi Ave</t>
  </si>
  <si>
    <t>VUOL</t>
  </si>
  <si>
    <t>14005 North Lombard</t>
  </si>
  <si>
    <t>VUPG</t>
  </si>
  <si>
    <t>16110 Cosmos Street</t>
  </si>
  <si>
    <t>VUPH</t>
  </si>
  <si>
    <t>9300 Olde Scotland Road</t>
  </si>
  <si>
    <t>VUPJ</t>
  </si>
  <si>
    <t>101 Mars Road</t>
  </si>
  <si>
    <t>Wilmer</t>
  </si>
  <si>
    <t>VUPK</t>
  </si>
  <si>
    <t>6720 Oakley Industrial Blvd</t>
  </si>
  <si>
    <t>VUPM</t>
  </si>
  <si>
    <t>22001 84th Avenue</t>
  </si>
  <si>
    <t>VUPN</t>
  </si>
  <si>
    <t>340 Westridge Parkway</t>
  </si>
  <si>
    <t>VUPO</t>
  </si>
  <si>
    <t>4808 Mountain Creek Parkway</t>
  </si>
  <si>
    <t>VUPQ</t>
  </si>
  <si>
    <t>9211 Kaiser Way</t>
  </si>
  <si>
    <t>VUPS</t>
  </si>
  <si>
    <t>3049 Westway Drive</t>
  </si>
  <si>
    <t>VUPU</t>
  </si>
  <si>
    <t>14916 STATE HIGHWAY 177, Building 1</t>
  </si>
  <si>
    <t>Jackson</t>
  </si>
  <si>
    <t>VUPV</t>
  </si>
  <si>
    <t>2001 Premier Pkwy</t>
  </si>
  <si>
    <t>Saint Peters</t>
  </si>
  <si>
    <t>VUPW</t>
  </si>
  <si>
    <t>8778 Le St Dr</t>
  </si>
  <si>
    <t>West Chester</t>
  </si>
  <si>
    <t>45014-2260</t>
  </si>
  <si>
    <t>VUPX</t>
  </si>
  <si>
    <t>2300 W San Bernardino Ave</t>
  </si>
  <si>
    <t>VUPY</t>
  </si>
  <si>
    <t>2501 Rockhouse Road</t>
  </si>
  <si>
    <t>VUPZ</t>
  </si>
  <si>
    <t>4800 Henrietta Creek Rd</t>
  </si>
  <si>
    <t>VUQC</t>
  </si>
  <si>
    <t>2020 Ocean Avenue</t>
  </si>
  <si>
    <t>Ronkonkoma</t>
  </si>
  <si>
    <t>VUQD</t>
  </si>
  <si>
    <t>3101 IN-62</t>
  </si>
  <si>
    <t>Mt Vernon</t>
  </si>
  <si>
    <t>VUQE</t>
  </si>
  <si>
    <t>69 Green Mountain Road</t>
  </si>
  <si>
    <t>VUQF</t>
  </si>
  <si>
    <t>2100 Innovation Blvd</t>
  </si>
  <si>
    <t>VUQH</t>
  </si>
  <si>
    <t>381 Airtech Pkwy</t>
  </si>
  <si>
    <t>Plainfeild</t>
  </si>
  <si>
    <t>VUQI</t>
  </si>
  <si>
    <t>512 Liberty Expressway</t>
  </si>
  <si>
    <t>Albany</t>
  </si>
  <si>
    <t>VUQM</t>
  </si>
  <si>
    <t>441 Masters Boulevard</t>
  </si>
  <si>
    <t>Anderson</t>
  </si>
  <si>
    <t>VUQN</t>
  </si>
  <si>
    <t>1711 S 4650 W</t>
  </si>
  <si>
    <t>VUQO</t>
  </si>
  <si>
    <t>2425 E. Perry Rd</t>
  </si>
  <si>
    <t>PLAINFIELD</t>
  </si>
  <si>
    <t>VUQP</t>
  </si>
  <si>
    <t>655 E Park St</t>
  </si>
  <si>
    <t>LOCK HAVEN</t>
  </si>
  <si>
    <t>VUTD</t>
  </si>
  <si>
    <t>8291 Milliken Avenue</t>
  </si>
  <si>
    <t>Rancho Cucamonga</t>
  </si>
  <si>
    <t>VUTE</t>
  </si>
  <si>
    <t>1020 SH Morgan Pkwy</t>
  </si>
  <si>
    <t>Pooler</t>
  </si>
  <si>
    <t>VUTG</t>
  </si>
  <si>
    <t>100 E MILLSDALE RD</t>
  </si>
  <si>
    <t>VUTH</t>
  </si>
  <si>
    <t>25451 Mountain House Pkwy</t>
  </si>
  <si>
    <t>VUVB</t>
  </si>
  <si>
    <t>2053 East Jay St</t>
  </si>
  <si>
    <t>VUVC</t>
  </si>
  <si>
    <t>2500 Export Dr, Door 1</t>
  </si>
  <si>
    <t>VUWA</t>
  </si>
  <si>
    <t>13243 Nutro Way</t>
  </si>
  <si>
    <t>VUWB</t>
  </si>
  <si>
    <t>6373 Brackbill Blvd</t>
  </si>
  <si>
    <t>Mechanicsburg</t>
  </si>
  <si>
    <t>17050-2876</t>
  </si>
  <si>
    <t>VUWC</t>
  </si>
  <si>
    <t>4700 E Nestle Purina Ave</t>
  </si>
  <si>
    <t>Flagstaff</t>
  </si>
  <si>
    <t>VUWE</t>
  </si>
  <si>
    <t>736 Garner Rd</t>
  </si>
  <si>
    <t>Modesto</t>
  </si>
  <si>
    <t>VUWH</t>
  </si>
  <si>
    <t>5725 Jurupa St</t>
  </si>
  <si>
    <t>VUWI</t>
  </si>
  <si>
    <t>4015 Lakeview Corporate Drive</t>
  </si>
  <si>
    <t>EDWARDSVILLE</t>
  </si>
  <si>
    <t>XBC1</t>
  </si>
  <si>
    <t>15750 Mountain Avenue</t>
  </si>
  <si>
    <t>Chino</t>
  </si>
  <si>
    <t>XBSP</t>
  </si>
  <si>
    <t>15750 Mountain Ave</t>
  </si>
  <si>
    <t>CHINO</t>
  </si>
  <si>
    <t>XEW1</t>
  </si>
  <si>
    <t>6855 SHANNON PKWY</t>
  </si>
  <si>
    <t>UNION CITY</t>
  </si>
  <si>
    <t>XFI1</t>
  </si>
  <si>
    <t>6351 Cameron Boulevard</t>
  </si>
  <si>
    <t>Gilroy</t>
  </si>
  <si>
    <t>XIX1</t>
  </si>
  <si>
    <t>18 APPLEGATE DR</t>
  </si>
  <si>
    <t>XIX2</t>
  </si>
  <si>
    <t>XIX3</t>
  </si>
  <si>
    <t>1400 SOUTHPORT PKWY BLDG 7</t>
  </si>
  <si>
    <t>75172-1265</t>
  </si>
  <si>
    <t>XIX4</t>
  </si>
  <si>
    <t>5155 Citation Drive</t>
  </si>
  <si>
    <t>38118-7830</t>
  </si>
  <si>
    <t>XIX5</t>
  </si>
  <si>
    <t>53144-7449</t>
  </si>
  <si>
    <t>XIX6</t>
  </si>
  <si>
    <t>92337-8006</t>
  </si>
  <si>
    <t>XIX7</t>
  </si>
  <si>
    <t>555 E ORANGE SHOW RD</t>
  </si>
  <si>
    <t>92408-2453</t>
  </si>
  <si>
    <t>XLAA</t>
  </si>
  <si>
    <t>5691 E Philadelphia, Suite 100</t>
  </si>
  <si>
    <t>XLAB</t>
  </si>
  <si>
    <t>1701 Normantown Rd</t>
  </si>
  <si>
    <t>Romeoville</t>
  </si>
  <si>
    <t>XLAE</t>
  </si>
  <si>
    <t>5330 Crosswind Dr</t>
  </si>
  <si>
    <t>XLAF</t>
  </si>
  <si>
    <t>1600 Roe St</t>
  </si>
  <si>
    <t>XLAG</t>
  </si>
  <si>
    <t>2115 S Sinclair Ave</t>
  </si>
  <si>
    <t>XLAH</t>
  </si>
  <si>
    <t>580 Raco Pkwy</t>
  </si>
  <si>
    <t>XLAI</t>
  </si>
  <si>
    <t>7650 S 228th St</t>
  </si>
  <si>
    <t>XLAJ</t>
  </si>
  <si>
    <t>3440 Meyers Rd</t>
  </si>
  <si>
    <t>XLAK</t>
  </si>
  <si>
    <t>18875 E BROMLEY LN, SUITE A</t>
  </si>
  <si>
    <t>BRIGHTON</t>
  </si>
  <si>
    <t>XLBA</t>
  </si>
  <si>
    <t>1123 4th ST SW</t>
  </si>
  <si>
    <t>Conover</t>
  </si>
  <si>
    <t>XSP1</t>
  </si>
  <si>
    <t>1115 Vaughn Parkway</t>
  </si>
  <si>
    <t>XUSB</t>
  </si>
  <si>
    <t>14900 Frye Rd</t>
  </si>
  <si>
    <t>76155-2726</t>
  </si>
  <si>
    <t>XUSC</t>
  </si>
  <si>
    <t>40 Logistics Dr</t>
  </si>
  <si>
    <t>17013-7901</t>
  </si>
  <si>
    <t>XUSD</t>
  </si>
  <si>
    <t>1909 Zephyr St</t>
  </si>
  <si>
    <t>XUSE</t>
  </si>
  <si>
    <t>5490 Industrial Court, Suite 300</t>
  </si>
  <si>
    <t>XUSF</t>
  </si>
  <si>
    <t>901 West Landstreet Road, Suite C</t>
  </si>
  <si>
    <t>XUSG</t>
  </si>
  <si>
    <t>9645 West Hills Court</t>
  </si>
  <si>
    <t>Kutztown</t>
  </si>
  <si>
    <t>XUSH</t>
  </si>
  <si>
    <t>7037 West Van Buren Street, Menlo Worldwide Logistics</t>
  </si>
  <si>
    <t>85043-3313</t>
  </si>
  <si>
    <t>XUSJ</t>
  </si>
  <si>
    <t>1590 Tamarind Ave</t>
  </si>
  <si>
    <t>XUSK</t>
  </si>
  <si>
    <t>31450 W 196th St.</t>
  </si>
  <si>
    <t>XUSL</t>
  </si>
  <si>
    <t>610 Chelsea Rd</t>
  </si>
  <si>
    <t>XUSM</t>
  </si>
  <si>
    <t>610 Chelsea Road</t>
  </si>
  <si>
    <t>XUSN</t>
  </si>
  <si>
    <t>4200 Ferry Rd</t>
  </si>
  <si>
    <t>XUSO</t>
  </si>
  <si>
    <t>657 Nance Street</t>
  </si>
  <si>
    <t>XUSP</t>
  </si>
  <si>
    <t>XUSP - 3PL Kuehne-Nagel</t>
  </si>
  <si>
    <t>XUSQ</t>
  </si>
  <si>
    <t>152 Route 206</t>
  </si>
  <si>
    <t>Hillsborough</t>
  </si>
  <si>
    <t>XUSR</t>
  </si>
  <si>
    <t>5425 Dixie Highway</t>
  </si>
  <si>
    <t>Saginaw</t>
  </si>
  <si>
    <t>XUSU</t>
  </si>
  <si>
    <t>Rock Hill</t>
  </si>
  <si>
    <t>XUSV</t>
  </si>
  <si>
    <t>2255 W. Lugonia Avenue</t>
  </si>
  <si>
    <t>92374-5049</t>
  </si>
  <si>
    <t>ZYO2</t>
  </si>
  <si>
    <t>1894 SHORE PARKWAY</t>
  </si>
  <si>
    <t>BROOKLYN</t>
  </si>
</sst>
</file>

<file path=xl/styles.xml><?xml version="1.0" encoding="utf-8"?>
<styleSheet xmlns="http://schemas.openxmlformats.org/spreadsheetml/2006/main">
  <numFmts count="49">
    <numFmt numFmtId="176" formatCode="[DBNum1][$-804]yyyy&quot;年&quot;m&quot;月&quot;"/>
    <numFmt numFmtId="177" formatCode="#\ ??/??"/>
    <numFmt numFmtId="178" formatCode="mmmm\-yy"/>
    <numFmt numFmtId="5" formatCode="&quot;￥&quot;#,##0;&quot;￥&quot;\-#,##0"/>
    <numFmt numFmtId="24" formatCode="\$#,##0_);[Red]\(\$#,##0\)"/>
    <numFmt numFmtId="25" formatCode="\$#,##0.00_);\(\$#,##0.00\)"/>
    <numFmt numFmtId="179" formatCode="[DBNum1][$-804]yyyy&quot;年&quot;m&quot;月&quot;d&quot;日&quot;"/>
    <numFmt numFmtId="180" formatCode="[$-804]aaa"/>
    <numFmt numFmtId="181" formatCode="h:mm:ss\ AM/PM"/>
    <numFmt numFmtId="182" formatCode="[DBNum1][$-804]m&quot;月&quot;d&quot;日&quot;"/>
    <numFmt numFmtId="8" formatCode="&quot;￥&quot;#,##0.00;[Red]&quot;￥&quot;\-#,##0.00"/>
    <numFmt numFmtId="183" formatCode="0.00_ "/>
    <numFmt numFmtId="184" formatCode="yyyy/m/d\ h:mm\ AM/PM"/>
    <numFmt numFmtId="185" formatCode="mm/dd/yy"/>
    <numFmt numFmtId="186" formatCode="yy/m/d"/>
    <numFmt numFmtId="187" formatCode="h:mm\ AM/PM"/>
    <numFmt numFmtId="6" formatCode="&quot;￥&quot;#,##0;[Red]&quot;￥&quot;\-#,##0"/>
    <numFmt numFmtId="188" formatCode="\¥#,##0;\¥\-#,##0"/>
    <numFmt numFmtId="189" formatCode="\¥#,##0;[Red]\¥\-#,##0"/>
    <numFmt numFmtId="190" formatCode="[DBNum1]上午/下午h&quot;时&quot;mm&quot;分&quot;"/>
    <numFmt numFmtId="191" formatCode="\¥#,##0.00;\¥\-#,##0.00"/>
    <numFmt numFmtId="44" formatCode="_ &quot;￥&quot;* #,##0.00_ ;_ &quot;￥&quot;* \-#,##0.00_ ;_ &quot;￥&quot;* &quot;-&quot;??_ ;_ @_ "/>
    <numFmt numFmtId="192" formatCode="m&quot;月&quot;d&quot;日&quot;;@"/>
    <numFmt numFmtId="193" formatCode="yyyy/m/d\ h:mm;@"/>
    <numFmt numFmtId="194" formatCode="[DBNum1]h&quot;时&quot;mm&quot;分&quot;"/>
    <numFmt numFmtId="195" formatCode="#\ ?/?"/>
    <numFmt numFmtId="196" formatCode="0.0_ "/>
    <numFmt numFmtId="26" formatCode="\$#,##0.00_);[Red]\(\$#,##0.00\)"/>
    <numFmt numFmtId="197" formatCode="#,##0.0_);\(#,##0.0\)"/>
    <numFmt numFmtId="198" formatCode="_-[$£-809]* #,##0.00_-;\-[$£-809]* #,##0.00_-;_-[$£-809]* &quot;-&quot;??_-;_-@_-"/>
    <numFmt numFmtId="199" formatCode="0_ "/>
    <numFmt numFmtId="200" formatCode="mmmmm\-yy"/>
    <numFmt numFmtId="201" formatCode="[$CNY]\ #,##0.00;[$CNY]\ \-#,##0.00"/>
    <numFmt numFmtId="202" formatCode="[$-804]aaaa"/>
    <numFmt numFmtId="203" formatCode="\$#,##0.00;\-\$#,##0.00"/>
    <numFmt numFmtId="7" formatCode="&quot;￥&quot;#,##0.00;&quot;￥&quot;\-#,##0.00"/>
    <numFmt numFmtId="204" formatCode="mmmmm"/>
    <numFmt numFmtId="205" formatCode="#,##0.00\ [$€-407];\-#,##0.00\ [$€-407]"/>
    <numFmt numFmtId="42" formatCode="_ &quot;￥&quot;* #,##0_ ;_ &quot;￥&quot;* \-#,##0_ ;_ &quot;￥&quot;* &quot;-&quot;_ ;_ @_ "/>
    <numFmt numFmtId="206" formatCode="[$$-C09]#,##0.00;\-[$$-C09]#,##0.00"/>
    <numFmt numFmtId="207" formatCode="_([$€-2]* #,##0.00_);_([$€-2]* \(#,##0.00\);_([$€-2]* &quot;-&quot;??_)"/>
    <numFmt numFmtId="23" formatCode="\$#,##0_);\(\$#,##0\)"/>
    <numFmt numFmtId="208" formatCode="m/d"/>
    <numFmt numFmtId="209" formatCode="\¥#,##0.00;[Red]\¥\-#,##0.00"/>
    <numFmt numFmtId="210" formatCode="[$-1010804]General"/>
    <numFmt numFmtId="211" formatCode="dd\-mmm\-yy"/>
    <numFmt numFmtId="212" formatCode="#\ ??"/>
    <numFmt numFmtId="41" formatCode="_ * #,##0_ ;_ * \-#,##0_ ;_ * &quot;-&quot;_ ;_ @_ "/>
    <numFmt numFmtId="43" formatCode="_ * #,##0.00_ ;_ * \-#,##0.00_ ;_ * &quot;-&quot;??_ ;_ @_ "/>
  </numFmts>
  <fonts count="143">
    <font>
      <sz val="11"/>
      <color theme="1"/>
      <name val="宋体"/>
      <charset val="134"/>
      <scheme val="minor"/>
    </font>
    <font>
      <sz val="12"/>
      <name val="微软雅黑"/>
      <charset val="134"/>
    </font>
    <font>
      <b/>
      <sz val="24"/>
      <name val="微软雅黑"/>
      <charset val="134"/>
    </font>
    <font>
      <b/>
      <sz val="18"/>
      <name val="微软雅黑"/>
      <charset val="134"/>
    </font>
    <font>
      <b/>
      <sz val="12"/>
      <name val="微软雅黑"/>
      <charset val="134"/>
    </font>
    <font>
      <u/>
      <sz val="11"/>
      <color rgb="FF800080"/>
      <name val="宋体"/>
      <charset val="134"/>
      <scheme val="minor"/>
    </font>
    <font>
      <b/>
      <sz val="22"/>
      <color theme="1"/>
      <name val="微软雅黑"/>
      <charset val="134"/>
    </font>
    <font>
      <b/>
      <sz val="11"/>
      <name val="微软雅黑"/>
      <charset val="134"/>
    </font>
    <font>
      <sz val="11"/>
      <color theme="1"/>
      <name val="微软雅黑"/>
      <charset val="134"/>
    </font>
    <font>
      <b/>
      <sz val="11"/>
      <color rgb="FFFF0000"/>
      <name val="微软雅黑"/>
      <charset val="134"/>
    </font>
    <font>
      <b/>
      <sz val="11"/>
      <color theme="1"/>
      <name val="微软雅黑"/>
      <charset val="134"/>
    </font>
    <font>
      <u/>
      <sz val="16"/>
      <color rgb="FF800080"/>
      <name val="微软雅黑"/>
      <charset val="134"/>
    </font>
    <font>
      <sz val="24"/>
      <color theme="1"/>
      <name val="微软雅黑"/>
      <charset val="134"/>
    </font>
    <font>
      <u/>
      <sz val="11"/>
      <color rgb="FF800080"/>
      <name val="微软雅黑"/>
      <charset val="134"/>
    </font>
    <font>
      <u/>
      <sz val="11"/>
      <color rgb="FF0000FF"/>
      <name val="宋体"/>
      <charset val="134"/>
      <scheme val="minor"/>
    </font>
    <font>
      <sz val="12"/>
      <name val="宋体"/>
      <charset val="134"/>
    </font>
    <font>
      <sz val="12"/>
      <color theme="1"/>
      <name val="微软雅黑"/>
      <charset val="134"/>
    </font>
    <font>
      <sz val="9"/>
      <color theme="9" tint="0.599993896298105"/>
      <name val="微软雅黑"/>
      <charset val="134"/>
    </font>
    <font>
      <b/>
      <i/>
      <sz val="48"/>
      <color theme="0"/>
      <name val="Arial Black"/>
      <charset val="134"/>
    </font>
    <font>
      <b/>
      <i/>
      <sz val="12"/>
      <color theme="0"/>
      <name val="Arial Black"/>
      <charset val="134"/>
    </font>
    <font>
      <b/>
      <sz val="20"/>
      <color theme="0"/>
      <name val="微软雅黑"/>
      <charset val="134"/>
    </font>
    <font>
      <b/>
      <sz val="14"/>
      <color theme="0"/>
      <name val="微软雅黑"/>
      <charset val="134"/>
    </font>
    <font>
      <b/>
      <sz val="12"/>
      <color theme="1"/>
      <name val="微软雅黑"/>
      <charset val="134"/>
    </font>
    <font>
      <b/>
      <sz val="14"/>
      <color theme="1"/>
      <name val="微软雅黑"/>
      <charset val="134"/>
    </font>
    <font>
      <b/>
      <sz val="20"/>
      <color rgb="FFFF0000"/>
      <name val="微软雅黑"/>
      <charset val="134"/>
    </font>
    <font>
      <b/>
      <sz val="16"/>
      <color rgb="FFFF0000"/>
      <name val="微软雅黑"/>
      <charset val="134"/>
    </font>
    <font>
      <b/>
      <u/>
      <sz val="12"/>
      <color theme="1"/>
      <name val="微软雅黑"/>
      <charset val="134"/>
    </font>
    <font>
      <b/>
      <u/>
      <sz val="12"/>
      <color theme="1"/>
      <name val="宋体"/>
      <charset val="134"/>
    </font>
    <font>
      <b/>
      <i/>
      <sz val="36"/>
      <color rgb="FFFFFF00"/>
      <name val="Arial Black"/>
      <charset val="134"/>
    </font>
    <font>
      <b/>
      <sz val="20"/>
      <color theme="0"/>
      <name val="黑体"/>
      <charset val="134"/>
    </font>
    <font>
      <b/>
      <sz val="18"/>
      <color theme="0"/>
      <name val="黑体"/>
      <charset val="134"/>
    </font>
    <font>
      <b/>
      <i/>
      <sz val="24"/>
      <color rgb="FFFFFF00"/>
      <name val="微软雅黑"/>
      <charset val="134"/>
    </font>
    <font>
      <b/>
      <sz val="18"/>
      <color rgb="FFFF0000"/>
      <name val="微软雅黑"/>
      <charset val="134"/>
    </font>
    <font>
      <b/>
      <sz val="16"/>
      <name val="微软雅黑"/>
      <charset val="134"/>
    </font>
    <font>
      <b/>
      <sz val="14"/>
      <color rgb="FFFF0000"/>
      <name val="微软雅黑"/>
      <charset val="134"/>
    </font>
    <font>
      <b/>
      <sz val="14"/>
      <name val="微软雅黑"/>
      <charset val="134"/>
    </font>
    <font>
      <b/>
      <sz val="12"/>
      <color rgb="FFC00000"/>
      <name val="微软雅黑"/>
      <charset val="134"/>
    </font>
    <font>
      <sz val="28"/>
      <name val="微软雅黑"/>
      <charset val="134"/>
    </font>
    <font>
      <b/>
      <sz val="12"/>
      <color rgb="FFFF0000"/>
      <name val="微软雅黑"/>
      <charset val="134"/>
    </font>
    <font>
      <sz val="10"/>
      <name val="微软雅黑"/>
      <charset val="134"/>
    </font>
    <font>
      <b/>
      <i/>
      <sz val="28"/>
      <color rgb="FFFFFF00"/>
      <name val="微软雅黑"/>
      <charset val="134"/>
    </font>
    <font>
      <b/>
      <sz val="28"/>
      <color rgb="FFFFFF00"/>
      <name val="楷体"/>
      <charset val="134"/>
    </font>
    <font>
      <b/>
      <sz val="10"/>
      <color theme="1"/>
      <name val="微软雅黑"/>
      <charset val="134"/>
    </font>
    <font>
      <b/>
      <sz val="12"/>
      <color indexed="8"/>
      <name val="微软雅黑"/>
      <charset val="134"/>
    </font>
    <font>
      <b/>
      <sz val="12"/>
      <color rgb="FFFFFF00"/>
      <name val="微软雅黑"/>
      <charset val="134"/>
    </font>
    <font>
      <sz val="16"/>
      <color theme="1"/>
      <name val="微软雅黑"/>
      <charset val="134"/>
    </font>
    <font>
      <b/>
      <i/>
      <sz val="48"/>
      <name val="微软雅黑"/>
      <charset val="134"/>
    </font>
    <font>
      <b/>
      <i/>
      <sz val="18"/>
      <name val="微软雅黑"/>
      <charset val="134"/>
    </font>
    <font>
      <b/>
      <sz val="14"/>
      <color rgb="FFFFFF00"/>
      <name val="微软雅黑"/>
      <charset val="134"/>
    </font>
    <font>
      <b/>
      <sz val="22"/>
      <color rgb="FFFF0000"/>
      <name val="微软雅黑"/>
      <charset val="134"/>
    </font>
    <font>
      <b/>
      <sz val="20"/>
      <name val="微软雅黑"/>
      <charset val="134"/>
    </font>
    <font>
      <sz val="20"/>
      <name val="微软雅黑"/>
      <charset val="134"/>
    </font>
    <font>
      <sz val="20"/>
      <color rgb="FFFF0000"/>
      <name val="微软雅黑"/>
      <charset val="134"/>
    </font>
    <font>
      <sz val="16"/>
      <name val="微软雅黑"/>
      <charset val="134"/>
    </font>
    <font>
      <b/>
      <sz val="16"/>
      <color theme="1"/>
      <name val="微软雅黑"/>
      <charset val="134"/>
    </font>
    <font>
      <u/>
      <sz val="36"/>
      <color rgb="FF800080"/>
      <name val="微软雅黑"/>
      <charset val="134"/>
    </font>
    <font>
      <b/>
      <sz val="22"/>
      <name val="微软雅黑"/>
      <charset val="134"/>
    </font>
    <font>
      <b/>
      <sz val="16"/>
      <color rgb="FFF50017"/>
      <name val="微软雅黑"/>
      <charset val="134"/>
    </font>
    <font>
      <b/>
      <sz val="15"/>
      <name val="微软雅黑"/>
      <charset val="134"/>
    </font>
    <font>
      <b/>
      <sz val="24"/>
      <color rgb="FFFF0000"/>
      <name val="微软雅黑"/>
      <charset val="134"/>
    </font>
    <font>
      <b/>
      <u/>
      <sz val="14"/>
      <color rgb="FFF50017"/>
      <name val="微软雅黑"/>
      <charset val="134"/>
    </font>
    <font>
      <sz val="20"/>
      <color theme="1"/>
      <name val="微软雅黑"/>
      <charset val="134"/>
    </font>
    <font>
      <sz val="12"/>
      <color rgb="FFFF0000"/>
      <name val="宋体"/>
      <charset val="134"/>
    </font>
    <font>
      <b/>
      <sz val="72"/>
      <name val="微软雅黑"/>
      <charset val="134"/>
    </font>
    <font>
      <b/>
      <sz val="72"/>
      <name val="Arial Black"/>
      <charset val="134"/>
    </font>
    <font>
      <b/>
      <sz val="72"/>
      <color rgb="FFFF0000"/>
      <name val="Arial Black"/>
      <charset val="134"/>
    </font>
    <font>
      <b/>
      <sz val="24"/>
      <color theme="0"/>
      <name val="微软雅黑"/>
      <charset val="134"/>
    </font>
    <font>
      <b/>
      <sz val="36"/>
      <color theme="0"/>
      <name val="微软雅黑"/>
      <charset val="134"/>
    </font>
    <font>
      <b/>
      <sz val="36"/>
      <color rgb="FFFF0000"/>
      <name val="微软雅黑"/>
      <charset val="134"/>
    </font>
    <font>
      <b/>
      <sz val="36"/>
      <color theme="1"/>
      <name val="微软雅黑"/>
      <charset val="134"/>
    </font>
    <font>
      <sz val="36"/>
      <color theme="1"/>
      <name val="微软雅黑"/>
      <charset val="134"/>
    </font>
    <font>
      <b/>
      <sz val="24"/>
      <color theme="1"/>
      <name val="微软雅黑"/>
      <charset val="134"/>
    </font>
    <font>
      <b/>
      <sz val="72"/>
      <color rgb="FFFF0000"/>
      <name val="微软雅黑"/>
      <charset val="134"/>
    </font>
    <font>
      <b/>
      <sz val="12"/>
      <color rgb="FFF50017"/>
      <name val="微软雅黑"/>
      <charset val="134"/>
    </font>
    <font>
      <sz val="18"/>
      <color theme="1" tint="0.0499893185216834"/>
      <name val="微软雅黑"/>
      <charset val="134"/>
    </font>
    <font>
      <b/>
      <sz val="15"/>
      <color rgb="FFFF0000"/>
      <name val="微软雅黑"/>
      <charset val="134"/>
    </font>
    <font>
      <b/>
      <sz val="72"/>
      <color theme="0"/>
      <name val="微软雅黑"/>
      <charset val="134"/>
    </font>
    <font>
      <b/>
      <sz val="48"/>
      <name val="微软雅黑"/>
      <charset val="134"/>
    </font>
    <font>
      <b/>
      <sz val="36"/>
      <name val="微软雅黑"/>
      <charset val="134"/>
    </font>
    <font>
      <b/>
      <sz val="48"/>
      <color rgb="FFFF0000"/>
      <name val="宋体"/>
      <charset val="134"/>
    </font>
    <font>
      <b/>
      <sz val="72"/>
      <color rgb="FFFF0000"/>
      <name val="宋体"/>
      <charset val="134"/>
    </font>
    <font>
      <b/>
      <sz val="48"/>
      <color theme="0"/>
      <name val="微软雅黑"/>
      <charset val="134"/>
    </font>
    <font>
      <b/>
      <sz val="28"/>
      <color theme="0"/>
      <name val="微软雅黑"/>
      <charset val="134"/>
    </font>
    <font>
      <b/>
      <sz val="26"/>
      <color theme="0"/>
      <name val="微软雅黑"/>
      <charset val="134"/>
    </font>
    <font>
      <b/>
      <i/>
      <sz val="26"/>
      <color rgb="FFFFFF00"/>
      <name val="微软雅黑"/>
      <charset val="134"/>
    </font>
    <font>
      <sz val="28"/>
      <color theme="1"/>
      <name val="宋体"/>
      <charset val="134"/>
      <scheme val="minor"/>
    </font>
    <font>
      <b/>
      <i/>
      <sz val="20"/>
      <color theme="4" tint="-0.499984740745262"/>
      <name val="微软雅黑"/>
      <charset val="134"/>
    </font>
    <font>
      <b/>
      <sz val="20"/>
      <color theme="1" tint="0.0499893185216834"/>
      <name val="微软雅黑"/>
      <charset val="134"/>
    </font>
    <font>
      <b/>
      <sz val="48"/>
      <color rgb="FFFF0000"/>
      <name val="微软雅黑"/>
      <charset val="134"/>
    </font>
    <font>
      <b/>
      <sz val="28"/>
      <color rgb="FF002060"/>
      <name val="微软雅黑"/>
      <charset val="134"/>
    </font>
    <font>
      <b/>
      <sz val="28"/>
      <color rgb="FFFF0000"/>
      <name val="微软雅黑"/>
      <charset val="134"/>
    </font>
    <font>
      <b/>
      <sz val="48"/>
      <color rgb="FF00B050"/>
      <name val="微软雅黑"/>
      <charset val="134"/>
    </font>
    <font>
      <b/>
      <sz val="28"/>
      <color rgb="FF0070C0"/>
      <name val="微软雅黑"/>
      <charset val="134"/>
    </font>
    <font>
      <sz val="28"/>
      <color theme="1"/>
      <name val="微软雅黑"/>
      <charset val="134"/>
    </font>
    <font>
      <sz val="20"/>
      <color theme="1" tint="0.0499893185216834"/>
      <name val="微软雅黑"/>
      <charset val="134"/>
    </font>
    <font>
      <u/>
      <sz val="36"/>
      <color theme="5" tint="-0.25"/>
      <name val="微软雅黑"/>
      <charset val="134"/>
    </font>
    <font>
      <b/>
      <sz val="22"/>
      <color rgb="FF0070C0"/>
      <name val="微软雅黑"/>
      <charset val="134"/>
    </font>
    <font>
      <sz val="11"/>
      <name val="微软雅黑"/>
      <charset val="134"/>
    </font>
    <font>
      <sz val="11"/>
      <color indexed="8"/>
      <name val="宋体"/>
      <charset val="134"/>
    </font>
    <font>
      <b/>
      <sz val="22"/>
      <color theme="0"/>
      <name val="微软雅黑"/>
      <charset val="134"/>
    </font>
    <font>
      <b/>
      <sz val="13"/>
      <name val="微软雅黑"/>
      <charset val="134"/>
    </font>
    <font>
      <sz val="22"/>
      <color theme="1"/>
      <name val="微软雅黑"/>
      <charset val="134"/>
    </font>
    <font>
      <sz val="11"/>
      <color rgb="FFFF0000"/>
      <name val="微软雅黑"/>
      <charset val="134"/>
    </font>
    <font>
      <sz val="10"/>
      <color theme="1"/>
      <name val="微软雅黑"/>
      <charset val="134"/>
    </font>
    <font>
      <u/>
      <sz val="10"/>
      <color rgb="FFFF0000"/>
      <name val="微软雅黑"/>
      <charset val="134"/>
    </font>
    <font>
      <b/>
      <sz val="12"/>
      <color theme="0"/>
      <name val="微软雅黑"/>
      <charset val="134"/>
    </font>
    <font>
      <sz val="10"/>
      <color theme="1"/>
      <name val="宋体"/>
      <charset val="134"/>
      <scheme val="minor"/>
    </font>
    <font>
      <b/>
      <sz val="48"/>
      <color rgb="FFFF0000"/>
      <name val="Microsoft YaHei"/>
      <charset val="134"/>
    </font>
    <font>
      <b/>
      <sz val="48"/>
      <color theme="0"/>
      <name val="Microsoft YaHei"/>
      <charset val="134"/>
    </font>
    <font>
      <b/>
      <sz val="26"/>
      <color theme="0"/>
      <name val="Microsoft YaHei"/>
      <charset val="134"/>
    </font>
    <font>
      <b/>
      <sz val="20"/>
      <color theme="1"/>
      <name val="微软雅黑"/>
      <charset val="134"/>
    </font>
    <font>
      <b/>
      <sz val="28"/>
      <color theme="1"/>
      <name val="微软雅黑"/>
      <charset val="134"/>
    </font>
    <font>
      <sz val="36"/>
      <color theme="1"/>
      <name val="宋体"/>
      <charset val="134"/>
      <scheme val="minor"/>
    </font>
    <font>
      <sz val="11"/>
      <color rgb="FFFA7D00"/>
      <name val="宋体"/>
      <charset val="0"/>
      <scheme val="minor"/>
    </font>
    <font>
      <sz val="11"/>
      <color theme="1"/>
      <name val="宋体"/>
      <charset val="0"/>
      <scheme val="minor"/>
    </font>
    <font>
      <sz val="11"/>
      <color theme="0"/>
      <name val="宋体"/>
      <charset val="0"/>
      <scheme val="minor"/>
    </font>
    <font>
      <sz val="11"/>
      <color theme="1"/>
      <name val="Tahoma"/>
      <charset val="134"/>
    </font>
    <font>
      <u/>
      <sz val="11"/>
      <color rgb="FF800080"/>
      <name val="宋体"/>
      <charset val="0"/>
      <scheme val="minor"/>
    </font>
    <font>
      <b/>
      <sz val="11"/>
      <color theme="3"/>
      <name val="宋体"/>
      <charset val="134"/>
      <scheme val="minor"/>
    </font>
    <font>
      <b/>
      <sz val="18"/>
      <color theme="3"/>
      <name val="宋体"/>
      <charset val="134"/>
      <scheme val="minor"/>
    </font>
    <font>
      <i/>
      <sz val="11"/>
      <color rgb="FF7F7F7F"/>
      <name val="宋体"/>
      <charset val="0"/>
      <scheme val="minor"/>
    </font>
    <font>
      <b/>
      <sz val="11"/>
      <color rgb="FF3F3F3F"/>
      <name val="宋体"/>
      <charset val="0"/>
      <scheme val="minor"/>
    </font>
    <font>
      <sz val="11"/>
      <color rgb="FF9C0006"/>
      <name val="宋体"/>
      <charset val="0"/>
      <scheme val="minor"/>
    </font>
    <font>
      <b/>
      <sz val="11"/>
      <color theme="1"/>
      <name val="宋体"/>
      <charset val="0"/>
      <scheme val="minor"/>
    </font>
    <font>
      <sz val="11"/>
      <color rgb="FF9C6500"/>
      <name val="宋体"/>
      <charset val="0"/>
      <scheme val="minor"/>
    </font>
    <font>
      <sz val="12"/>
      <color rgb="FF000000"/>
      <name val="宋体"/>
      <charset val="134"/>
    </font>
    <font>
      <sz val="11"/>
      <color rgb="FF006100"/>
      <name val="宋体"/>
      <charset val="0"/>
      <scheme val="minor"/>
    </font>
    <font>
      <b/>
      <sz val="11"/>
      <color rgb="FFFA7D00"/>
      <name val="宋体"/>
      <charset val="0"/>
      <scheme val="minor"/>
    </font>
    <font>
      <b/>
      <sz val="15"/>
      <color theme="3"/>
      <name val="宋体"/>
      <charset val="134"/>
      <scheme val="minor"/>
    </font>
    <font>
      <b/>
      <sz val="11"/>
      <color rgb="FFFFFFFF"/>
      <name val="宋体"/>
      <charset val="0"/>
      <scheme val="minor"/>
    </font>
    <font>
      <sz val="10"/>
      <color indexed="8"/>
      <name val="Arial"/>
      <charset val="134"/>
    </font>
    <font>
      <sz val="11"/>
      <color rgb="FFFF0000"/>
      <name val="宋体"/>
      <charset val="0"/>
      <scheme val="minor"/>
    </font>
    <font>
      <sz val="11"/>
      <color rgb="FF3F3F76"/>
      <name val="宋体"/>
      <charset val="0"/>
      <scheme val="minor"/>
    </font>
    <font>
      <b/>
      <sz val="13"/>
      <color theme="3"/>
      <name val="宋体"/>
      <charset val="134"/>
      <scheme val="minor"/>
    </font>
    <font>
      <sz val="10"/>
      <name val="Arial"/>
      <charset val="134"/>
    </font>
    <font>
      <sz val="48"/>
      <name val="宋体"/>
      <charset val="134"/>
    </font>
    <font>
      <b/>
      <i/>
      <sz val="36"/>
      <color rgb="FFFFFF00"/>
      <name val="微软雅黑"/>
      <charset val="134"/>
    </font>
    <font>
      <b/>
      <sz val="11"/>
      <color indexed="10"/>
      <name val="微软雅黑"/>
      <charset val="134"/>
    </font>
    <font>
      <b/>
      <sz val="16"/>
      <color theme="1" tint="0.0499893185216834"/>
      <name val="微软雅黑"/>
      <charset val="134"/>
    </font>
    <font>
      <b/>
      <i/>
      <sz val="36"/>
      <color rgb="FFFF0000"/>
      <name val="微软雅黑"/>
      <charset val="134"/>
    </font>
    <font>
      <sz val="16"/>
      <color rgb="FFFF0000"/>
      <name val="微软雅黑"/>
      <charset val="134"/>
    </font>
    <font>
      <b/>
      <i/>
      <sz val="48"/>
      <color theme="0"/>
      <name val="微软雅黑"/>
      <charset val="134"/>
    </font>
    <font>
      <b/>
      <i/>
      <sz val="48"/>
      <color theme="0"/>
      <name val="宋体"/>
      <charset val="134"/>
    </font>
  </fonts>
  <fills count="48">
    <fill>
      <patternFill patternType="none"/>
    </fill>
    <fill>
      <patternFill patternType="gray125"/>
    </fill>
    <fill>
      <patternFill patternType="solid">
        <fgColor theme="4" tint="0.79985961485641"/>
        <bgColor indexed="64"/>
      </patternFill>
    </fill>
    <fill>
      <patternFill patternType="solid">
        <fgColor rgb="FFFFFF00"/>
        <bgColor indexed="64"/>
      </patternFill>
    </fill>
    <fill>
      <patternFill patternType="solid">
        <fgColor theme="0"/>
        <bgColor indexed="64"/>
      </patternFill>
    </fill>
    <fill>
      <patternFill patternType="solid">
        <fgColor theme="0" tint="-0.0499893185216834"/>
        <bgColor indexed="64"/>
      </patternFill>
    </fill>
    <fill>
      <patternFill patternType="solid">
        <fgColor theme="4" tint="0.399884029663991"/>
        <bgColor indexed="64"/>
      </patternFill>
    </fill>
    <fill>
      <patternFill patternType="solid">
        <fgColor rgb="FF0070C0"/>
        <bgColor indexed="64"/>
      </patternFill>
    </fill>
    <fill>
      <patternFill patternType="solid">
        <fgColor theme="4" tint="-0.25"/>
        <bgColor indexed="64"/>
      </patternFill>
    </fill>
    <fill>
      <patternFill patternType="solid">
        <fgColor theme="9" tint="0.599993896298105"/>
        <bgColor indexed="64"/>
      </patternFill>
    </fill>
    <fill>
      <patternFill patternType="solid">
        <fgColor theme="5" tint="0.399975585192419"/>
        <bgColor indexed="64"/>
      </patternFill>
    </fill>
    <fill>
      <patternFill patternType="solid">
        <fgColor rgb="FFFF0000"/>
        <bgColor indexed="64"/>
      </patternFill>
    </fill>
    <fill>
      <patternFill patternType="solid">
        <fgColor theme="9" tint="0.799981688894314"/>
        <bgColor indexed="64"/>
      </patternFill>
    </fill>
    <fill>
      <patternFill patternType="solid">
        <fgColor theme="4" tint="0.599993896298105"/>
        <bgColor indexed="64"/>
      </patternFill>
    </fill>
    <fill>
      <patternFill patternType="solid">
        <fgColor rgb="FFF70017"/>
        <bgColor indexed="64"/>
      </patternFill>
    </fill>
    <fill>
      <patternFill patternType="solid">
        <fgColor theme="0"/>
        <bgColor theme="4"/>
      </patternFill>
    </fill>
    <fill>
      <patternFill patternType="solid">
        <fgColor rgb="FFF70017"/>
        <bgColor theme="4"/>
      </patternFill>
    </fill>
    <fill>
      <patternFill patternType="solid">
        <fgColor rgb="FF0070C0"/>
        <bgColor theme="8" tint="0.799951170384838"/>
      </patternFill>
    </fill>
    <fill>
      <patternFill patternType="solid">
        <fgColor theme="9" tint="0.6"/>
        <bgColor indexed="64"/>
      </patternFill>
    </fill>
    <fill>
      <patternFill patternType="solid">
        <fgColor theme="4" tint="0.4"/>
        <bgColor indexed="64"/>
      </patternFill>
    </fill>
    <fill>
      <patternFill patternType="solid">
        <fgColor theme="8"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8"/>
        <bgColor indexed="64"/>
      </patternFill>
    </fill>
    <fill>
      <patternFill patternType="solid">
        <fgColor theme="5" tint="0.799981688894314"/>
        <bgColor indexed="64"/>
      </patternFill>
    </fill>
    <fill>
      <patternFill patternType="solid">
        <fgColor theme="9"/>
        <bgColor indexed="64"/>
      </patternFill>
    </fill>
    <fill>
      <patternFill patternType="solid">
        <fgColor rgb="FFF2F2F2"/>
        <bgColor indexed="64"/>
      </patternFill>
    </fill>
    <fill>
      <patternFill patternType="solid">
        <fgColor rgb="FFFFFFCC"/>
        <bgColor indexed="64"/>
      </patternFill>
    </fill>
    <fill>
      <patternFill patternType="solid">
        <fgColor rgb="FFFFC7CE"/>
        <bgColor indexed="64"/>
      </patternFill>
    </fill>
    <fill>
      <patternFill patternType="solid">
        <fgColor theme="6" tint="0.799981688894314"/>
        <bgColor indexed="64"/>
      </patternFill>
    </fill>
    <fill>
      <patternFill patternType="solid">
        <fgColor rgb="FFFFEB9C"/>
        <bgColor indexed="64"/>
      </patternFill>
    </fill>
    <fill>
      <patternFill patternType="solid">
        <fgColor rgb="FFC6EFCE"/>
        <bgColor indexed="64"/>
      </patternFill>
    </fill>
    <fill>
      <patternFill patternType="solid">
        <fgColor theme="4"/>
        <bgColor indexed="64"/>
      </patternFill>
    </fill>
    <fill>
      <patternFill patternType="solid">
        <fgColor rgb="FFA5A5A5"/>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theme="5"/>
        <bgColor indexed="64"/>
      </patternFill>
    </fill>
    <fill>
      <patternFill patternType="solid">
        <fgColor theme="6"/>
        <bgColor indexed="64"/>
      </patternFill>
    </fill>
    <fill>
      <patternFill patternType="solid">
        <fgColor rgb="FFFFCC99"/>
        <bgColor indexed="64"/>
      </patternFill>
    </fill>
    <fill>
      <patternFill patternType="solid">
        <fgColor theme="7"/>
        <bgColor indexed="64"/>
      </patternFill>
    </fill>
    <fill>
      <patternFill patternType="solid">
        <fgColor theme="8" tint="0.799981688894314"/>
        <bgColor indexed="64"/>
      </patternFill>
    </fill>
    <fill>
      <patternFill patternType="solid">
        <fgColor theme="7" tint="0.799981688894314"/>
        <bgColor indexed="64"/>
      </patternFill>
    </fill>
    <fill>
      <patternFill patternType="solid">
        <fgColor theme="6" tint="0.599993896298105"/>
        <bgColor indexed="64"/>
      </patternFill>
    </fill>
    <fill>
      <patternFill patternType="solid">
        <fgColor indexed="11"/>
        <bgColor indexed="64"/>
      </patternFill>
    </fill>
    <fill>
      <patternFill patternType="solid">
        <fgColor theme="4" tint="0.799981688894314"/>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theme="8" tint="0.399975585192419"/>
        <bgColor indexed="64"/>
      </patternFill>
    </fill>
  </fills>
  <borders count="7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medium">
        <color auto="1"/>
      </right>
      <top/>
      <bottom style="thin">
        <color auto="1"/>
      </bottom>
      <diagonal/>
    </border>
    <border>
      <left style="thin">
        <color auto="1"/>
      </left>
      <right style="thin">
        <color auto="1"/>
      </right>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diagonal/>
    </border>
    <border>
      <left style="thin">
        <color auto="1"/>
      </left>
      <right style="thin">
        <color auto="1"/>
      </right>
      <top style="thin">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bottom style="medium">
        <color auto="1"/>
      </bottom>
      <diagonal/>
    </border>
    <border>
      <left/>
      <right style="thin">
        <color auto="1"/>
      </right>
      <top/>
      <bottom style="medium">
        <color auto="1"/>
      </bottom>
      <diagonal/>
    </border>
    <border>
      <left style="thin">
        <color auto="1"/>
      </left>
      <right style="thin">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auto="1"/>
      </right>
      <top/>
      <bottom style="thin">
        <color auto="1"/>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medium">
        <color auto="1"/>
      </right>
      <top style="thin">
        <color auto="1"/>
      </top>
      <bottom/>
      <diagonal/>
    </border>
    <border>
      <left style="thin">
        <color auto="1"/>
      </left>
      <right style="medium">
        <color auto="1"/>
      </right>
      <top style="medium">
        <color auto="1"/>
      </top>
      <bottom style="medium">
        <color auto="1"/>
      </bottom>
      <diagonal/>
    </border>
    <border>
      <left style="thin">
        <color auto="1"/>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thin">
        <color auto="1"/>
      </left>
      <right style="thin">
        <color auto="1"/>
      </right>
      <top/>
      <bottom/>
      <diagonal/>
    </border>
    <border>
      <left style="medium">
        <color auto="1"/>
      </left>
      <right style="thin">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diagonal/>
    </border>
    <border>
      <left style="medium">
        <color auto="1"/>
      </left>
      <right/>
      <top/>
      <bottom/>
      <diagonal/>
    </border>
    <border>
      <left/>
      <right style="medium">
        <color auto="1"/>
      </right>
      <top style="medium">
        <color auto="1"/>
      </top>
      <bottom style="medium">
        <color auto="1"/>
      </bottom>
      <diagonal/>
    </border>
    <border>
      <left style="thin">
        <color auto="1"/>
      </left>
      <right/>
      <top/>
      <bottom style="thin">
        <color auto="1"/>
      </bottom>
      <diagonal/>
    </border>
    <border>
      <left/>
      <right/>
      <top/>
      <bottom style="thin">
        <color auto="1"/>
      </bottom>
      <diagonal/>
    </border>
    <border>
      <left style="thin">
        <color indexed="8"/>
      </left>
      <right style="thin">
        <color auto="1"/>
      </right>
      <top style="thin">
        <color auto="1"/>
      </top>
      <bottom style="thin">
        <color auto="1"/>
      </bottom>
      <diagonal/>
    </border>
    <border>
      <left/>
      <right style="thin">
        <color auto="1"/>
      </right>
      <top/>
      <bottom style="thin">
        <color auto="1"/>
      </bottom>
      <diagonal/>
    </border>
    <border>
      <left/>
      <right style="medium">
        <color auto="1"/>
      </right>
      <top style="medium">
        <color auto="1"/>
      </top>
      <bottom style="thin">
        <color auto="1"/>
      </bottom>
      <diagonal/>
    </border>
    <border>
      <left/>
      <right style="medium">
        <color auto="1"/>
      </right>
      <top style="thin">
        <color auto="1"/>
      </top>
      <bottom style="medium">
        <color auto="1"/>
      </bottom>
      <diagonal/>
    </border>
    <border>
      <left style="medium">
        <color auto="1"/>
      </left>
      <right style="thin">
        <color auto="1"/>
      </right>
      <top style="thin">
        <color auto="1"/>
      </top>
      <bottom/>
      <diagonal/>
    </border>
    <border>
      <left style="medium">
        <color auto="1"/>
      </left>
      <right style="thin">
        <color auto="1"/>
      </right>
      <top/>
      <bottom/>
      <diagonal/>
    </border>
    <border>
      <left style="thin">
        <color auto="1"/>
      </left>
      <right style="medium">
        <color auto="1"/>
      </right>
      <top style="thin">
        <color auto="1"/>
      </top>
      <bottom style="thin">
        <color auto="1"/>
      </bottom>
      <diagonal/>
    </border>
    <border>
      <left style="dotted">
        <color theme="4"/>
      </left>
      <right/>
      <top/>
      <bottom/>
      <diagonal/>
    </border>
    <border>
      <left/>
      <right style="dotted">
        <color theme="4"/>
      </right>
      <top/>
      <bottom/>
      <diagonal/>
    </border>
    <border>
      <left/>
      <right style="thin">
        <color auto="1"/>
      </right>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bottom style="thin">
        <color theme="1"/>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s>
  <cellStyleXfs count="76">
    <xf numFmtId="0" fontId="0" fillId="0" borderId="0">
      <alignment vertical="center"/>
    </xf>
    <xf numFmtId="198" fontId="0" fillId="0" borderId="0"/>
    <xf numFmtId="0" fontId="98" fillId="0" borderId="0" applyProtection="0">
      <alignment vertical="center"/>
    </xf>
    <xf numFmtId="205" fontId="0" fillId="0" borderId="0"/>
    <xf numFmtId="201" fontId="15" fillId="0" borderId="0">
      <protection locked="0"/>
    </xf>
    <xf numFmtId="201" fontId="0" fillId="0" borderId="0">
      <alignment vertical="center"/>
    </xf>
    <xf numFmtId="0" fontId="0" fillId="0" borderId="0">
      <alignment vertical="center"/>
    </xf>
    <xf numFmtId="207" fontId="98" fillId="0" borderId="0">
      <protection locked="0"/>
    </xf>
    <xf numFmtId="0" fontId="98" fillId="0" borderId="0" applyProtection="0">
      <alignment vertical="center"/>
    </xf>
    <xf numFmtId="201" fontId="0" fillId="0" borderId="0">
      <alignment vertical="center"/>
    </xf>
    <xf numFmtId="210" fontId="0" fillId="0" borderId="0"/>
    <xf numFmtId="0" fontId="125" fillId="0" borderId="0">
      <protection locked="0"/>
    </xf>
    <xf numFmtId="0" fontId="130" fillId="0" borderId="0"/>
    <xf numFmtId="0" fontId="98" fillId="43" borderId="0" applyNumberFormat="0" applyBorder="0" applyAlignment="0" applyProtection="0">
      <alignment vertical="center"/>
    </xf>
    <xf numFmtId="206" fontId="15" fillId="0" borderId="0" applyBorder="0"/>
    <xf numFmtId="0" fontId="98" fillId="0" borderId="0">
      <protection locked="0"/>
    </xf>
    <xf numFmtId="0" fontId="15" fillId="0" borderId="0"/>
    <xf numFmtId="207" fontId="0" fillId="0" borderId="0">
      <alignment vertical="center"/>
    </xf>
    <xf numFmtId="197" fontId="15" fillId="0" borderId="0" applyFont="0" applyFill="0" applyBorder="0" applyAlignment="0" applyProtection="0"/>
    <xf numFmtId="0" fontId="115" fillId="46" borderId="0" applyNumberFormat="0" applyBorder="0" applyAlignment="0" applyProtection="0">
      <alignment vertical="center"/>
    </xf>
    <xf numFmtId="0" fontId="114" fillId="41" borderId="0" applyNumberFormat="0" applyBorder="0" applyAlignment="0" applyProtection="0">
      <alignment vertical="center"/>
    </xf>
    <xf numFmtId="0" fontId="0" fillId="0" borderId="0">
      <alignment vertical="center"/>
    </xf>
    <xf numFmtId="0" fontId="115" fillId="39" borderId="0" applyNumberFormat="0" applyBorder="0" applyAlignment="0" applyProtection="0">
      <alignment vertical="center"/>
    </xf>
    <xf numFmtId="0" fontId="0" fillId="0" borderId="0"/>
    <xf numFmtId="0" fontId="132" fillId="38" borderId="66" applyNumberFormat="0" applyAlignment="0" applyProtection="0">
      <alignment vertical="center"/>
    </xf>
    <xf numFmtId="0" fontId="114" fillId="42" borderId="0" applyNumberFormat="0" applyBorder="0" applyAlignment="0" applyProtection="0">
      <alignment vertical="center"/>
    </xf>
    <xf numFmtId="0" fontId="114" fillId="29" borderId="0" applyNumberFormat="0" applyBorder="0" applyAlignment="0" applyProtection="0">
      <alignment vertical="center"/>
    </xf>
    <xf numFmtId="44" fontId="0" fillId="0" borderId="0" applyFont="0" applyFill="0" applyBorder="0" applyAlignment="0" applyProtection="0">
      <alignment vertical="center"/>
    </xf>
    <xf numFmtId="0" fontId="115" fillId="37" borderId="0" applyNumberFormat="0" applyBorder="0" applyAlignment="0" applyProtection="0">
      <alignment vertical="center"/>
    </xf>
    <xf numFmtId="9" fontId="0" fillId="0" borderId="0" applyFont="0" applyFill="0" applyBorder="0" applyAlignment="0" applyProtection="0">
      <alignment vertical="center"/>
    </xf>
    <xf numFmtId="0" fontId="115" fillId="10" borderId="0" applyNumberFormat="0" applyBorder="0" applyAlignment="0" applyProtection="0">
      <alignment vertical="center"/>
    </xf>
    <xf numFmtId="0" fontId="115" fillId="47" borderId="0" applyNumberFormat="0" applyBorder="0" applyAlignment="0" applyProtection="0">
      <alignment vertical="center"/>
    </xf>
    <xf numFmtId="0" fontId="115" fillId="36" borderId="0" applyNumberFormat="0" applyBorder="0" applyAlignment="0" applyProtection="0">
      <alignment vertical="center"/>
    </xf>
    <xf numFmtId="198" fontId="15" fillId="0" borderId="0">
      <alignment vertical="center"/>
    </xf>
    <xf numFmtId="0" fontId="115" fillId="35" borderId="0" applyNumberFormat="0" applyBorder="0" applyAlignment="0" applyProtection="0">
      <alignment vertical="center"/>
    </xf>
    <xf numFmtId="198" fontId="15" fillId="0" borderId="0" applyNumberFormat="0" applyFill="0" applyBorder="0" applyAlignment="0" applyProtection="0">
      <alignment vertical="center"/>
    </xf>
    <xf numFmtId="0" fontId="115" fillId="34" borderId="0" applyNumberFormat="0" applyBorder="0" applyAlignment="0" applyProtection="0">
      <alignment vertical="center"/>
    </xf>
    <xf numFmtId="0" fontId="127" fillId="26" borderId="66" applyNumberFormat="0" applyAlignment="0" applyProtection="0">
      <alignment vertical="center"/>
    </xf>
    <xf numFmtId="0" fontId="115" fillId="32" borderId="0" applyNumberFormat="0" applyBorder="0" applyAlignment="0" applyProtection="0">
      <alignment vertical="center"/>
    </xf>
    <xf numFmtId="0" fontId="124" fillId="30" borderId="0" applyNumberFormat="0" applyBorder="0" applyAlignment="0" applyProtection="0">
      <alignment vertical="center"/>
    </xf>
    <xf numFmtId="0" fontId="114" fillId="40" borderId="0" applyNumberFormat="0" applyBorder="0" applyAlignment="0" applyProtection="0">
      <alignment vertical="center"/>
    </xf>
    <xf numFmtId="0" fontId="126" fillId="31" borderId="0" applyNumberFormat="0" applyBorder="0" applyAlignment="0" applyProtection="0">
      <alignment vertical="center"/>
    </xf>
    <xf numFmtId="0" fontId="114" fillId="44" borderId="0" applyNumberFormat="0" applyBorder="0" applyAlignment="0" applyProtection="0">
      <alignment vertical="center"/>
    </xf>
    <xf numFmtId="0" fontId="123" fillId="0" borderId="65" applyNumberFormat="0" applyFill="0" applyAlignment="0" applyProtection="0">
      <alignment vertical="center"/>
    </xf>
    <xf numFmtId="0" fontId="122" fillId="28" borderId="0" applyNumberFormat="0" applyBorder="0" applyAlignment="0" applyProtection="0">
      <alignment vertical="center"/>
    </xf>
    <xf numFmtId="0" fontId="129" fillId="33" borderId="68" applyNumberFormat="0" applyAlignment="0" applyProtection="0">
      <alignment vertical="center"/>
    </xf>
    <xf numFmtId="0" fontId="121" fillId="26" borderId="63" applyNumberFormat="0" applyAlignment="0" applyProtection="0">
      <alignment vertical="center"/>
    </xf>
    <xf numFmtId="0" fontId="98" fillId="0" borderId="0">
      <alignment vertical="center"/>
    </xf>
    <xf numFmtId="0" fontId="128" fillId="0" borderId="67" applyNumberFormat="0" applyFill="0" applyAlignment="0" applyProtection="0">
      <alignment vertical="center"/>
    </xf>
    <xf numFmtId="0" fontId="120" fillId="0" borderId="0" applyNumberFormat="0" applyFill="0" applyBorder="0" applyAlignment="0" applyProtection="0">
      <alignment vertical="center"/>
    </xf>
    <xf numFmtId="0" fontId="114" fillId="24" borderId="0" applyNumberFormat="0" applyBorder="0" applyAlignment="0" applyProtection="0">
      <alignment vertical="center"/>
    </xf>
    <xf numFmtId="0" fontId="118" fillId="0" borderId="0" applyNumberFormat="0" applyFill="0" applyBorder="0" applyAlignment="0" applyProtection="0">
      <alignment vertical="center"/>
    </xf>
    <xf numFmtId="42" fontId="0" fillId="0" borderId="0" applyFont="0" applyFill="0" applyBorder="0" applyAlignment="0" applyProtection="0">
      <alignment vertical="center"/>
    </xf>
    <xf numFmtId="0" fontId="15" fillId="0" borderId="0">
      <alignment vertical="center"/>
    </xf>
    <xf numFmtId="0" fontId="114" fillId="22" borderId="0" applyNumberFormat="0" applyBorder="0" applyAlignment="0" applyProtection="0">
      <alignment vertical="center"/>
    </xf>
    <xf numFmtId="43" fontId="0" fillId="0" borderId="0" applyFont="0" applyFill="0" applyBorder="0" applyAlignment="0" applyProtection="0">
      <alignment vertical="center"/>
    </xf>
    <xf numFmtId="0" fontId="134" fillId="0" borderId="0"/>
    <xf numFmtId="0" fontId="117" fillId="0" borderId="0" applyNumberFormat="0" applyFill="0" applyBorder="0" applyAlignment="0" applyProtection="0">
      <alignment vertical="center"/>
    </xf>
    <xf numFmtId="198" fontId="116" fillId="0" borderId="0">
      <alignment vertical="center"/>
    </xf>
    <xf numFmtId="0" fontId="119" fillId="0" borderId="0" applyNumberFormat="0" applyFill="0" applyBorder="0" applyAlignment="0" applyProtection="0">
      <alignment vertical="center"/>
    </xf>
    <xf numFmtId="0" fontId="114" fillId="45" borderId="0" applyNumberFormat="0" applyBorder="0" applyAlignment="0" applyProtection="0">
      <alignment vertical="center"/>
    </xf>
    <xf numFmtId="0" fontId="131" fillId="0" borderId="0" applyNumberFormat="0" applyFill="0" applyBorder="0" applyAlignment="0" applyProtection="0">
      <alignment vertical="center"/>
    </xf>
    <xf numFmtId="0" fontId="115" fillId="21" borderId="0" applyNumberFormat="0" applyBorder="0" applyAlignment="0" applyProtection="0">
      <alignment vertical="center"/>
    </xf>
    <xf numFmtId="0" fontId="0" fillId="27" borderId="64" applyNumberFormat="0" applyFont="0" applyAlignment="0" applyProtection="0">
      <alignment vertical="center"/>
    </xf>
    <xf numFmtId="0" fontId="114" fillId="12" borderId="0" applyNumberFormat="0" applyBorder="0" applyAlignment="0" applyProtection="0">
      <alignment vertical="center"/>
    </xf>
    <xf numFmtId="0" fontId="115" fillId="23" borderId="0" applyNumberFormat="0" applyBorder="0" applyAlignment="0" applyProtection="0">
      <alignment vertical="center"/>
    </xf>
    <xf numFmtId="0" fontId="114" fillId="9" borderId="0" applyNumberFormat="0" applyBorder="0" applyAlignment="0" applyProtection="0">
      <alignment vertical="center"/>
    </xf>
    <xf numFmtId="0" fontId="14" fillId="0" borderId="0" applyNumberFormat="0" applyFill="0" applyBorder="0" applyAlignment="0" applyProtection="0">
      <alignment vertical="center"/>
    </xf>
    <xf numFmtId="41" fontId="0" fillId="0" borderId="0" applyFont="0" applyFill="0" applyBorder="0" applyAlignment="0" applyProtection="0">
      <alignment vertical="center"/>
    </xf>
    <xf numFmtId="0" fontId="133" fillId="0" borderId="67" applyNumberFormat="0" applyFill="0" applyAlignment="0" applyProtection="0">
      <alignment vertical="center"/>
    </xf>
    <xf numFmtId="0" fontId="114" fillId="20" borderId="0" applyNumberFormat="0" applyBorder="0" applyAlignment="0" applyProtection="0">
      <alignment vertical="center"/>
    </xf>
    <xf numFmtId="0" fontId="118" fillId="0" borderId="69" applyNumberFormat="0" applyFill="0" applyAlignment="0" applyProtection="0">
      <alignment vertical="center"/>
    </xf>
    <xf numFmtId="0" fontId="115" fillId="25" borderId="0" applyNumberFormat="0" applyBorder="0" applyAlignment="0" applyProtection="0">
      <alignment vertical="center"/>
    </xf>
    <xf numFmtId="0" fontId="114" fillId="13" borderId="0" applyNumberFormat="0" applyBorder="0" applyAlignment="0" applyProtection="0">
      <alignment vertical="center"/>
    </xf>
    <xf numFmtId="0" fontId="39" fillId="0" borderId="0"/>
    <xf numFmtId="0" fontId="113" fillId="0" borderId="62" applyNumberFormat="0" applyFill="0" applyAlignment="0" applyProtection="0">
      <alignment vertical="center"/>
    </xf>
  </cellStyleXfs>
  <cellXfs count="407">
    <xf numFmtId="0" fontId="0" fillId="0" borderId="0" xfId="0">
      <alignment vertical="center"/>
    </xf>
    <xf numFmtId="0" fontId="1" fillId="0" borderId="0" xfId="0" applyFont="1" applyAlignment="1">
      <alignment horizontal="center" vertical="center"/>
    </xf>
    <xf numFmtId="0" fontId="1" fillId="0" borderId="0" xfId="0" applyFont="1">
      <alignment vertical="center"/>
    </xf>
    <xf numFmtId="0" fontId="2"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4" fillId="0" borderId="1" xfId="0" applyFont="1" applyBorder="1" applyAlignment="1">
      <alignment horizontal="center" vertical="center" wrapText="1"/>
    </xf>
    <xf numFmtId="0" fontId="1" fillId="0" borderId="1" xfId="0" applyFont="1" applyBorder="1" applyAlignment="1">
      <alignment horizontal="center" vertical="center"/>
    </xf>
    <xf numFmtId="0" fontId="5" fillId="0" borderId="0" xfId="67" applyNumberFormat="1" applyFont="1" applyFill="1" applyBorder="1" applyAlignment="1">
      <alignment vertical="center"/>
    </xf>
    <xf numFmtId="16" fontId="1" fillId="0" borderId="1" xfId="0" applyNumberFormat="1" applyFont="1" applyBorder="1" applyAlignment="1">
      <alignment horizontal="center" vertical="center"/>
    </xf>
    <xf numFmtId="201" fontId="6" fillId="3" borderId="1" xfId="5" applyFont="1" applyFill="1" applyBorder="1" applyAlignment="1">
      <alignment horizontal="center" vertical="center"/>
    </xf>
    <xf numFmtId="201" fontId="7" fillId="3" borderId="1" xfId="9" applyFont="1" applyFill="1" applyBorder="1" applyAlignment="1">
      <alignment horizontal="left" vertical="center"/>
    </xf>
    <xf numFmtId="201" fontId="8" fillId="4" borderId="1" xfId="9" applyFont="1" applyFill="1" applyBorder="1" applyAlignment="1">
      <alignment horizontal="left" vertical="center" wrapText="1"/>
    </xf>
    <xf numFmtId="201" fontId="9" fillId="4" borderId="2" xfId="9" applyFont="1" applyFill="1" applyBorder="1" applyAlignment="1">
      <alignment vertical="top" wrapText="1"/>
    </xf>
    <xf numFmtId="201" fontId="9" fillId="4" borderId="3" xfId="9" applyFont="1" applyFill="1" applyBorder="1" applyAlignment="1">
      <alignment vertical="top" wrapText="1"/>
    </xf>
    <xf numFmtId="201" fontId="10" fillId="3" borderId="1" xfId="9" applyFont="1" applyFill="1" applyBorder="1" applyAlignment="1">
      <alignment horizontal="left" vertical="center"/>
    </xf>
    <xf numFmtId="20" fontId="8" fillId="4" borderId="1" xfId="9" applyNumberFormat="1" applyFont="1" applyFill="1" applyBorder="1" applyAlignment="1">
      <alignment horizontal="left" vertical="center" wrapText="1"/>
    </xf>
    <xf numFmtId="201" fontId="8" fillId="4" borderId="1" xfId="9" applyFont="1" applyFill="1" applyBorder="1" applyAlignment="1">
      <alignment horizontal="left"/>
    </xf>
    <xf numFmtId="201" fontId="9" fillId="4" borderId="1" xfId="9" applyFont="1" applyFill="1" applyBorder="1" applyAlignment="1">
      <alignment horizontal="left"/>
    </xf>
    <xf numFmtId="201" fontId="8" fillId="4" borderId="1" xfId="9" applyFont="1" applyFill="1" applyBorder="1" applyAlignment="1">
      <alignment horizontal="left" wrapText="1"/>
    </xf>
    <xf numFmtId="0" fontId="11" fillId="0" borderId="0" xfId="67" applyFont="1" applyFill="1" applyBorder="1" applyAlignment="1">
      <alignment vertical="center" wrapText="1"/>
    </xf>
    <xf numFmtId="201" fontId="9" fillId="4" borderId="4" xfId="9" applyFont="1" applyFill="1" applyBorder="1" applyAlignment="1">
      <alignment vertical="top" wrapText="1"/>
    </xf>
    <xf numFmtId="0" fontId="8" fillId="0" borderId="0" xfId="6" applyFont="1" applyAlignment="1">
      <alignment horizontal="center" vertical="center"/>
    </xf>
    <xf numFmtId="0" fontId="0" fillId="5" borderId="0" xfId="0" applyFill="1">
      <alignment vertical="center"/>
    </xf>
    <xf numFmtId="0" fontId="8" fillId="0" borderId="0" xfId="6" applyFont="1">
      <alignment vertical="center"/>
    </xf>
    <xf numFmtId="0" fontId="12" fillId="0" borderId="1" xfId="6" applyFont="1" applyBorder="1" applyAlignment="1">
      <alignment horizontal="center" vertical="center"/>
    </xf>
    <xf numFmtId="0" fontId="4" fillId="6" borderId="1" xfId="6" applyFont="1" applyFill="1" applyBorder="1" applyAlignment="1">
      <alignment horizontal="center" vertical="center"/>
    </xf>
    <xf numFmtId="0" fontId="4" fillId="6" borderId="1" xfId="6" applyFont="1" applyFill="1" applyBorder="1" applyAlignment="1">
      <alignment horizontal="center" vertical="center" wrapText="1"/>
    </xf>
    <xf numFmtId="199" fontId="4" fillId="0" borderId="1" xfId="6" applyNumberFormat="1" applyFont="1" applyBorder="1" applyAlignment="1">
      <alignment horizontal="center" vertical="center"/>
    </xf>
    <xf numFmtId="199" fontId="4" fillId="0" borderId="1" xfId="6" applyNumberFormat="1" applyFont="1" applyBorder="1" applyAlignment="1">
      <alignment horizontal="left" vertical="center"/>
    </xf>
    <xf numFmtId="0" fontId="4" fillId="0" borderId="1" xfId="6" applyFont="1" applyBorder="1" applyAlignment="1">
      <alignment horizontal="center" vertical="center" wrapText="1"/>
    </xf>
    <xf numFmtId="0" fontId="4" fillId="0" borderId="1" xfId="6" applyFont="1" applyBorder="1" applyAlignment="1">
      <alignment horizontal="left" vertical="center" wrapText="1"/>
    </xf>
    <xf numFmtId="0" fontId="13" fillId="0" borderId="0" xfId="67" applyFont="1" applyFill="1" applyBorder="1" applyAlignment="1">
      <alignment vertical="center"/>
    </xf>
    <xf numFmtId="0" fontId="14" fillId="0" borderId="0" xfId="67" applyNumberFormat="1" applyFont="1" applyFill="1" applyBorder="1" applyAlignment="1" applyProtection="1">
      <alignment horizontal="center" vertical="center"/>
    </xf>
    <xf numFmtId="0" fontId="15" fillId="0" borderId="0" xfId="0" applyFont="1">
      <alignment vertical="center"/>
    </xf>
    <xf numFmtId="0" fontId="16" fillId="0" borderId="0" xfId="0" applyFont="1">
      <alignment vertical="center"/>
    </xf>
    <xf numFmtId="0" fontId="17" fillId="0" borderId="0" xfId="0" applyFont="1">
      <alignment vertical="center"/>
    </xf>
    <xf numFmtId="0" fontId="16" fillId="0" borderId="0" xfId="0" applyFont="1" applyAlignment="1"/>
    <xf numFmtId="0" fontId="18" fillId="7" borderId="0" xfId="0" applyFont="1" applyFill="1" applyAlignment="1"/>
    <xf numFmtId="0" fontId="19" fillId="7" borderId="0" xfId="0" applyFont="1" applyFill="1" applyAlignment="1"/>
    <xf numFmtId="0" fontId="20" fillId="7" borderId="5" xfId="0" applyFont="1" applyFill="1" applyBorder="1" applyAlignment="1">
      <alignment horizontal="center" vertical="center" wrapText="1"/>
    </xf>
    <xf numFmtId="0" fontId="20" fillId="7" borderId="6" xfId="0" applyFont="1" applyFill="1" applyBorder="1" applyAlignment="1">
      <alignment horizontal="center" vertical="center" wrapText="1"/>
    </xf>
    <xf numFmtId="0" fontId="20" fillId="7" borderId="7" xfId="0" applyFont="1" applyFill="1" applyBorder="1" applyAlignment="1">
      <alignment horizontal="center" vertical="center" wrapText="1"/>
    </xf>
    <xf numFmtId="0" fontId="21" fillId="7" borderId="8" xfId="0" applyFont="1" applyFill="1" applyBorder="1" applyAlignment="1">
      <alignment horizontal="center" vertical="center" wrapText="1"/>
    </xf>
    <xf numFmtId="0" fontId="21" fillId="7" borderId="9" xfId="0" applyFont="1" applyFill="1" applyBorder="1" applyAlignment="1">
      <alignment horizontal="center" vertical="center" wrapText="1"/>
    </xf>
    <xf numFmtId="0" fontId="21" fillId="7" borderId="10" xfId="0" applyFont="1" applyFill="1" applyBorder="1" applyAlignment="1">
      <alignment horizontal="center" vertical="center" wrapText="1"/>
    </xf>
    <xf numFmtId="0" fontId="22" fillId="0" borderId="11" xfId="0" applyFont="1" applyBorder="1" applyAlignment="1">
      <alignment horizontal="center" vertical="center" wrapText="1"/>
    </xf>
    <xf numFmtId="0" fontId="23" fillId="0" borderId="12" xfId="0" applyFont="1" applyBorder="1" applyAlignment="1">
      <alignment horizontal="center" vertical="center" wrapText="1"/>
    </xf>
    <xf numFmtId="0" fontId="24" fillId="0" borderId="12" xfId="0" applyFont="1" applyBorder="1" applyAlignment="1">
      <alignment horizontal="center" vertical="center" wrapText="1"/>
    </xf>
    <xf numFmtId="0" fontId="22" fillId="0" borderId="13" xfId="0" applyFont="1" applyBorder="1" applyAlignment="1">
      <alignment horizontal="center" vertical="center" wrapText="1"/>
    </xf>
    <xf numFmtId="0" fontId="24" fillId="0" borderId="1" xfId="0" applyFont="1" applyBorder="1" applyAlignment="1">
      <alignment horizontal="center" vertical="center" wrapText="1"/>
    </xf>
    <xf numFmtId="0" fontId="22" fillId="0" borderId="14" xfId="0" applyFont="1" applyBorder="1" applyAlignment="1">
      <alignment horizontal="center" vertical="center" wrapText="1"/>
    </xf>
    <xf numFmtId="0" fontId="24" fillId="0" borderId="15" xfId="0" applyFont="1" applyBorder="1" applyAlignment="1">
      <alignment horizontal="center" vertical="center" wrapText="1"/>
    </xf>
    <xf numFmtId="0" fontId="22" fillId="0" borderId="5" xfId="0" applyFont="1" applyBorder="1" applyAlignment="1">
      <alignment horizontal="center" vertical="center" wrapText="1"/>
    </xf>
    <xf numFmtId="0" fontId="23" fillId="0" borderId="16" xfId="0" applyFont="1" applyBorder="1" applyAlignment="1">
      <alignment horizontal="center" vertical="center" wrapText="1"/>
    </xf>
    <xf numFmtId="0" fontId="23" fillId="0" borderId="17" xfId="0" applyFont="1" applyBorder="1" applyAlignment="1">
      <alignment horizontal="center" vertical="center" wrapText="1"/>
    </xf>
    <xf numFmtId="0" fontId="22" fillId="0" borderId="18" xfId="0" applyFont="1" applyBorder="1" applyAlignment="1">
      <alignment horizontal="center" vertical="center" wrapText="1"/>
    </xf>
    <xf numFmtId="0" fontId="16" fillId="0" borderId="19" xfId="0" applyFont="1" applyBorder="1" applyAlignment="1">
      <alignment horizontal="left" vertical="center" wrapText="1"/>
    </xf>
    <xf numFmtId="0" fontId="16" fillId="0" borderId="20" xfId="0" applyFont="1" applyBorder="1" applyAlignment="1">
      <alignment horizontal="left" vertical="center" wrapText="1"/>
    </xf>
    <xf numFmtId="0" fontId="20" fillId="7" borderId="21" xfId="0" applyFont="1" applyFill="1" applyBorder="1" applyAlignment="1">
      <alignment horizontal="center" vertical="center" wrapText="1"/>
    </xf>
    <xf numFmtId="0" fontId="20" fillId="7" borderId="22" xfId="0" applyFont="1" applyFill="1" applyBorder="1" applyAlignment="1">
      <alignment horizontal="center" vertical="center" wrapText="1"/>
    </xf>
    <xf numFmtId="0" fontId="20" fillId="7" borderId="23" xfId="0" applyFont="1" applyFill="1" applyBorder="1" applyAlignment="1">
      <alignment horizontal="center" vertical="center" wrapText="1"/>
    </xf>
    <xf numFmtId="0" fontId="20" fillId="7" borderId="24" xfId="0" applyFont="1" applyFill="1" applyBorder="1" applyAlignment="1">
      <alignment horizontal="center" vertical="center" wrapText="1"/>
    </xf>
    <xf numFmtId="0" fontId="20" fillId="7" borderId="25" xfId="0" applyFont="1" applyFill="1" applyBorder="1" applyAlignment="1">
      <alignment horizontal="center" vertical="center" wrapText="1"/>
    </xf>
    <xf numFmtId="0" fontId="20" fillId="7" borderId="26" xfId="0" applyFont="1" applyFill="1" applyBorder="1" applyAlignment="1">
      <alignment horizontal="center" vertical="center" wrapText="1"/>
    </xf>
    <xf numFmtId="0" fontId="23" fillId="0" borderId="27" xfId="0" applyFont="1" applyBorder="1" applyAlignment="1">
      <alignment horizontal="center" vertical="center" wrapText="1"/>
    </xf>
    <xf numFmtId="0" fontId="25" fillId="0" borderId="28" xfId="0" applyFont="1" applyBorder="1" applyAlignment="1">
      <alignment horizontal="center" vertical="center" wrapText="1"/>
    </xf>
    <xf numFmtId="0" fontId="23" fillId="0" borderId="0" xfId="0" applyFont="1" applyAlignment="1">
      <alignment horizontal="center" vertical="center" wrapText="1"/>
    </xf>
    <xf numFmtId="0" fontId="23" fillId="0" borderId="29" xfId="0" applyFont="1" applyBorder="1" applyAlignment="1">
      <alignment horizontal="center" vertical="center" wrapText="1"/>
    </xf>
    <xf numFmtId="0" fontId="23" fillId="0" borderId="30" xfId="0" applyFont="1" applyBorder="1" applyAlignment="1">
      <alignment horizontal="center" vertical="center" wrapText="1"/>
    </xf>
    <xf numFmtId="0" fontId="23" fillId="0" borderId="28" xfId="0" applyFont="1" applyBorder="1" applyAlignment="1">
      <alignment horizontal="center" vertical="center" wrapText="1"/>
    </xf>
    <xf numFmtId="0" fontId="23" fillId="0" borderId="31" xfId="0" applyFont="1" applyBorder="1" applyAlignment="1">
      <alignment horizontal="center" vertical="center" wrapText="1"/>
    </xf>
    <xf numFmtId="0" fontId="23" fillId="0" borderId="32" xfId="0" applyFont="1" applyBorder="1" applyAlignment="1">
      <alignment horizontal="center" vertical="center" wrapText="1"/>
    </xf>
    <xf numFmtId="0" fontId="16" fillId="0" borderId="33" xfId="0" applyFont="1" applyBorder="1" applyAlignment="1">
      <alignment horizontal="left" vertical="center" wrapText="1"/>
    </xf>
    <xf numFmtId="0" fontId="26" fillId="0" borderId="0" xfId="67" applyFont="1" applyFill="1" applyAlignment="1" applyProtection="1">
      <alignment horizontal="left" vertical="center"/>
    </xf>
    <xf numFmtId="0" fontId="27" fillId="4" borderId="0" xfId="67" applyFont="1" applyFill="1" applyBorder="1" applyAlignment="1" applyProtection="1">
      <alignment vertical="center"/>
    </xf>
    <xf numFmtId="0" fontId="28" fillId="8" borderId="34" xfId="0" applyFont="1" applyFill="1" applyBorder="1" applyAlignment="1"/>
    <xf numFmtId="0" fontId="29" fillId="7" borderId="34" xfId="0" applyFont="1" applyFill="1" applyBorder="1" applyAlignment="1">
      <alignment horizontal="center" vertical="center" wrapText="1"/>
    </xf>
    <xf numFmtId="0" fontId="30" fillId="7" borderId="34" xfId="0" applyFont="1" applyFill="1" applyBorder="1" applyAlignment="1">
      <alignment horizontal="center" vertical="center" wrapText="1"/>
    </xf>
    <xf numFmtId="0" fontId="20" fillId="7" borderId="34" xfId="0" applyFont="1" applyFill="1" applyBorder="1" applyAlignment="1">
      <alignment horizontal="center" vertical="center" wrapText="1"/>
    </xf>
    <xf numFmtId="0" fontId="21" fillId="7" borderId="34" xfId="0" applyFont="1" applyFill="1" applyBorder="1" applyAlignment="1">
      <alignment horizontal="center" vertical="center" wrapText="1"/>
    </xf>
    <xf numFmtId="0" fontId="23" fillId="0" borderId="1" xfId="0" applyFont="1" applyBorder="1" applyAlignment="1">
      <alignment horizontal="center" vertical="center" wrapText="1"/>
    </xf>
    <xf numFmtId="0" fontId="23" fillId="0" borderId="15" xfId="0" applyFont="1" applyBorder="1" applyAlignment="1">
      <alignment horizontal="center" vertical="center" wrapText="1"/>
    </xf>
    <xf numFmtId="0" fontId="11" fillId="0" borderId="0" xfId="67" applyFont="1" applyFill="1" applyAlignment="1">
      <alignment vertical="center" wrapText="1"/>
    </xf>
    <xf numFmtId="0" fontId="22" fillId="0" borderId="0" xfId="6" applyFont="1">
      <alignment vertical="center"/>
    </xf>
    <xf numFmtId="0" fontId="31" fillId="7" borderId="1" xfId="6" applyFont="1" applyFill="1" applyBorder="1" applyAlignment="1">
      <alignment horizontal="center" vertical="center"/>
    </xf>
    <xf numFmtId="0" fontId="32" fillId="3" borderId="1" xfId="8" applyFont="1" applyFill="1" applyBorder="1" applyAlignment="1" applyProtection="1">
      <alignment horizontal="center" vertical="center" wrapText="1"/>
    </xf>
    <xf numFmtId="0" fontId="25" fillId="3" borderId="1" xfId="8" applyFont="1" applyFill="1" applyBorder="1" applyAlignment="1" applyProtection="1">
      <alignment horizontal="center" vertical="center"/>
    </xf>
    <xf numFmtId="0" fontId="3" fillId="9" borderId="1" xfId="8" applyFont="1" applyFill="1" applyBorder="1" applyAlignment="1" applyProtection="1">
      <alignment horizontal="center" vertical="center"/>
    </xf>
    <xf numFmtId="0" fontId="32" fillId="9" borderId="1" xfId="8" applyFont="1" applyFill="1" applyBorder="1" applyAlignment="1" applyProtection="1">
      <alignment horizontal="center" vertical="center" wrapText="1"/>
    </xf>
    <xf numFmtId="0" fontId="33" fillId="9" borderId="1" xfId="8" applyFont="1" applyFill="1" applyBorder="1" applyAlignment="1" applyProtection="1">
      <alignment horizontal="center" vertical="center" wrapText="1"/>
    </xf>
    <xf numFmtId="0" fontId="34" fillId="9" borderId="1" xfId="8" applyFont="1" applyFill="1" applyBorder="1" applyAlignment="1" applyProtection="1">
      <alignment horizontal="center" vertical="center" wrapText="1"/>
    </xf>
    <xf numFmtId="0" fontId="4" fillId="4" borderId="1" xfId="8" applyFont="1" applyFill="1" applyBorder="1" applyAlignment="1" applyProtection="1">
      <alignment horizontal="center" vertical="center"/>
    </xf>
    <xf numFmtId="196" fontId="4" fillId="4" borderId="1" xfId="8" applyNumberFormat="1" applyFont="1" applyFill="1" applyBorder="1" applyAlignment="1" applyProtection="1">
      <alignment horizontal="center" vertical="center"/>
    </xf>
    <xf numFmtId="0" fontId="35" fillId="4" borderId="1" xfId="8" applyFont="1" applyFill="1" applyBorder="1" applyAlignment="1" applyProtection="1">
      <alignment horizontal="center" vertical="center"/>
    </xf>
    <xf numFmtId="0" fontId="32" fillId="4" borderId="1" xfId="8" applyFont="1" applyFill="1" applyBorder="1" applyAlignment="1" applyProtection="1">
      <alignment horizontal="center" vertical="center" wrapText="1"/>
    </xf>
    <xf numFmtId="0" fontId="32" fillId="0" borderId="1" xfId="6" applyFont="1" applyBorder="1" applyAlignment="1">
      <alignment horizontal="center" vertical="center"/>
    </xf>
    <xf numFmtId="0" fontId="32" fillId="0" borderId="1" xfId="6" applyFont="1" applyBorder="1" applyAlignment="1">
      <alignment horizontal="center" vertical="center" wrapText="1"/>
    </xf>
    <xf numFmtId="0" fontId="36" fillId="4" borderId="1" xfId="0" applyFont="1" applyFill="1" applyBorder="1" applyAlignment="1">
      <alignment horizontal="center" vertical="center"/>
    </xf>
    <xf numFmtId="0" fontId="32" fillId="3" borderId="1" xfId="0" applyFont="1" applyFill="1" applyBorder="1" applyAlignment="1">
      <alignment horizontal="center" vertical="center"/>
    </xf>
    <xf numFmtId="0" fontId="37" fillId="0" borderId="18" xfId="6" applyFont="1" applyBorder="1" applyAlignment="1">
      <alignment horizontal="center" vertical="center" wrapText="1"/>
    </xf>
    <xf numFmtId="0" fontId="1" fillId="0" borderId="18" xfId="6" applyFont="1" applyBorder="1" applyAlignment="1">
      <alignment horizontal="center" vertical="center" wrapText="1"/>
    </xf>
    <xf numFmtId="0" fontId="37" fillId="0" borderId="34" xfId="6" applyFont="1" applyBorder="1" applyAlignment="1">
      <alignment horizontal="center" vertical="center" wrapText="1"/>
    </xf>
    <xf numFmtId="0" fontId="1" fillId="0" borderId="34" xfId="6" applyFont="1" applyBorder="1" applyAlignment="1">
      <alignment horizontal="center" vertical="center" wrapText="1"/>
    </xf>
    <xf numFmtId="0" fontId="38" fillId="3" borderId="34" xfId="6" applyFont="1" applyFill="1" applyBorder="1" applyAlignment="1">
      <alignment horizontal="center" vertical="center" wrapText="1"/>
    </xf>
    <xf numFmtId="0" fontId="32" fillId="9" borderId="1" xfId="6" applyFont="1" applyFill="1" applyBorder="1" applyAlignment="1">
      <alignment horizontal="center" vertical="center"/>
    </xf>
    <xf numFmtId="0" fontId="23" fillId="9" borderId="1" xfId="8" applyFont="1" applyFill="1" applyBorder="1" applyAlignment="1" applyProtection="1">
      <alignment horizontal="center" vertical="center" wrapText="1"/>
    </xf>
    <xf numFmtId="0" fontId="1" fillId="4" borderId="0" xfId="0" applyFont="1" applyFill="1">
      <alignment vertical="center"/>
    </xf>
    <xf numFmtId="0" fontId="22" fillId="0" borderId="34" xfId="6" applyFont="1" applyBorder="1" applyAlignment="1">
      <alignment horizontal="center" vertical="center"/>
    </xf>
    <xf numFmtId="0" fontId="31" fillId="7" borderId="0" xfId="6" applyFont="1" applyFill="1" applyAlignment="1">
      <alignment horizontal="center" vertical="center"/>
    </xf>
    <xf numFmtId="0" fontId="32" fillId="4" borderId="15" xfId="8" applyFont="1" applyFill="1" applyBorder="1" applyAlignment="1" applyProtection="1">
      <alignment horizontal="center" vertical="center" wrapText="1"/>
    </xf>
    <xf numFmtId="0" fontId="4" fillId="4" borderId="35" xfId="8" applyFont="1" applyFill="1" applyBorder="1" applyAlignment="1" applyProtection="1">
      <alignment horizontal="center" vertical="center"/>
    </xf>
    <xf numFmtId="0" fontId="4" fillId="4" borderId="12" xfId="8" applyFont="1" applyFill="1" applyBorder="1" applyAlignment="1" applyProtection="1">
      <alignment horizontal="center" vertical="center"/>
    </xf>
    <xf numFmtId="0" fontId="32" fillId="0" borderId="12" xfId="6" applyFont="1" applyBorder="1" applyAlignment="1">
      <alignment horizontal="center" vertical="center"/>
    </xf>
    <xf numFmtId="0" fontId="25" fillId="3" borderId="2" xfId="8" applyFont="1" applyFill="1" applyBorder="1" applyAlignment="1" applyProtection="1">
      <alignment horizontal="center" vertical="center"/>
    </xf>
    <xf numFmtId="0" fontId="32" fillId="9" borderId="0" xfId="6" applyFont="1" applyFill="1" applyAlignment="1">
      <alignment horizontal="center" vertical="center"/>
    </xf>
    <xf numFmtId="0" fontId="25" fillId="3" borderId="4" xfId="8" applyFont="1" applyFill="1" applyBorder="1" applyAlignment="1" applyProtection="1">
      <alignment horizontal="center" vertical="center"/>
    </xf>
    <xf numFmtId="0" fontId="4" fillId="4" borderId="15" xfId="8" applyFont="1" applyFill="1" applyBorder="1" applyAlignment="1" applyProtection="1">
      <alignment horizontal="center" vertical="center" wrapText="1"/>
    </xf>
    <xf numFmtId="0" fontId="16" fillId="4" borderId="0" xfId="6" applyFont="1" applyFill="1">
      <alignment vertical="center"/>
    </xf>
    <xf numFmtId="0" fontId="39" fillId="0" borderId="0" xfId="6" applyFont="1">
      <alignment vertical="center"/>
    </xf>
    <xf numFmtId="0" fontId="1" fillId="0" borderId="0" xfId="6" applyFont="1" applyAlignment="1">
      <alignment horizontal="left" vertical="center"/>
    </xf>
    <xf numFmtId="0" fontId="8" fillId="0" borderId="0" xfId="0" applyFont="1" applyAlignment="1">
      <alignment horizontal="center" vertical="center"/>
    </xf>
    <xf numFmtId="0" fontId="1" fillId="0" borderId="0" xfId="6" applyFont="1">
      <alignment vertical="center"/>
    </xf>
    <xf numFmtId="0" fontId="1" fillId="0" borderId="0" xfId="6" applyFont="1" applyAlignment="1">
      <alignment horizontal="center" vertical="center"/>
    </xf>
    <xf numFmtId="0" fontId="40" fillId="7" borderId="2" xfId="13" applyFont="1" applyFill="1" applyBorder="1" applyAlignment="1" applyProtection="1">
      <alignment horizontal="center" vertical="center"/>
      <protection locked="0"/>
    </xf>
    <xf numFmtId="0" fontId="41" fillId="7" borderId="3" xfId="13" applyFont="1" applyFill="1" applyBorder="1" applyAlignment="1" applyProtection="1">
      <alignment horizontal="center" vertical="center"/>
      <protection locked="0"/>
    </xf>
    <xf numFmtId="0" fontId="22" fillId="3" borderId="1" xfId="47" applyFont="1" applyFill="1" applyBorder="1" applyAlignment="1" applyProtection="1">
      <alignment horizontal="center" vertical="center" wrapText="1"/>
      <protection locked="0"/>
    </xf>
    <xf numFmtId="0" fontId="22" fillId="3" borderId="2" xfId="47" applyFont="1" applyFill="1" applyBorder="1" applyAlignment="1" applyProtection="1">
      <alignment horizontal="center" vertical="center"/>
      <protection locked="0"/>
    </xf>
    <xf numFmtId="0" fontId="22" fillId="3" borderId="3" xfId="47" applyFont="1" applyFill="1" applyBorder="1" applyAlignment="1" applyProtection="1">
      <alignment horizontal="center" vertical="center"/>
      <protection locked="0"/>
    </xf>
    <xf numFmtId="0" fontId="42" fillId="3" borderId="1" xfId="47" applyFont="1" applyFill="1" applyBorder="1" applyAlignment="1" applyProtection="1">
      <alignment horizontal="center" vertical="center" wrapText="1"/>
      <protection locked="0"/>
    </xf>
    <xf numFmtId="0" fontId="4" fillId="0" borderId="36" xfId="12" applyFont="1" applyBorder="1" applyAlignment="1">
      <alignment horizontal="center" vertical="center" wrapText="1"/>
    </xf>
    <xf numFmtId="0" fontId="43" fillId="4" borderId="1" xfId="47" applyFont="1" applyFill="1" applyBorder="1" applyAlignment="1" applyProtection="1">
      <alignment horizontal="center" vertical="center" wrapText="1"/>
      <protection locked="0"/>
    </xf>
    <xf numFmtId="0" fontId="4" fillId="4" borderId="1" xfId="6" applyFont="1" applyFill="1" applyBorder="1" applyAlignment="1" applyProtection="1">
      <alignment horizontal="center" vertical="center"/>
      <protection locked="0"/>
    </xf>
    <xf numFmtId="0" fontId="4" fillId="0" borderId="37" xfId="12" applyFont="1" applyBorder="1" applyAlignment="1">
      <alignment horizontal="center" vertical="center" wrapText="1"/>
    </xf>
    <xf numFmtId="0" fontId="4" fillId="0" borderId="38" xfId="12" applyFont="1" applyBorder="1" applyAlignment="1">
      <alignment horizontal="center" vertical="center" wrapText="1"/>
    </xf>
    <xf numFmtId="0" fontId="4" fillId="0" borderId="9" xfId="12" applyFont="1" applyBorder="1" applyAlignment="1">
      <alignment horizontal="center" vertical="center" wrapText="1"/>
    </xf>
    <xf numFmtId="0" fontId="43" fillId="4" borderId="15" xfId="47" applyFont="1" applyFill="1" applyBorder="1" applyAlignment="1" applyProtection="1">
      <alignment horizontal="center" vertical="center" wrapText="1"/>
      <protection locked="0"/>
    </xf>
    <xf numFmtId="0" fontId="4" fillId="4" borderId="15" xfId="6" applyFont="1" applyFill="1" applyBorder="1" applyAlignment="1" applyProtection="1">
      <alignment horizontal="center" vertical="center"/>
      <protection locked="0"/>
    </xf>
    <xf numFmtId="0" fontId="44" fillId="7" borderId="2" xfId="0" applyFont="1" applyFill="1" applyBorder="1" applyAlignment="1">
      <alignment horizontal="center" vertical="center"/>
    </xf>
    <xf numFmtId="0" fontId="44" fillId="7" borderId="3" xfId="0" applyFont="1" applyFill="1" applyBorder="1" applyAlignment="1">
      <alignment horizontal="center" vertical="center"/>
    </xf>
    <xf numFmtId="0" fontId="32" fillId="3" borderId="34" xfId="0" applyFont="1" applyFill="1" applyBorder="1" applyAlignment="1">
      <alignment horizontal="center" vertical="center"/>
    </xf>
    <xf numFmtId="0" fontId="41" fillId="7" borderId="4" xfId="13" applyFont="1" applyFill="1" applyBorder="1" applyAlignment="1" applyProtection="1">
      <alignment horizontal="center" vertical="center"/>
      <protection locked="0"/>
    </xf>
    <xf numFmtId="0" fontId="22" fillId="3" borderId="4" xfId="47" applyFont="1" applyFill="1" applyBorder="1" applyAlignment="1" applyProtection="1">
      <alignment horizontal="center" vertical="center"/>
      <protection locked="0"/>
    </xf>
    <xf numFmtId="0" fontId="38" fillId="4" borderId="1" xfId="6" applyFont="1" applyFill="1" applyBorder="1" applyAlignment="1" applyProtection="1">
      <alignment horizontal="center" vertical="center"/>
      <protection locked="0"/>
    </xf>
    <xf numFmtId="0" fontId="4" fillId="4" borderId="1" xfId="47" applyFont="1" applyFill="1" applyBorder="1" applyAlignment="1" applyProtection="1">
      <alignment horizontal="center" vertical="center" wrapText="1"/>
      <protection locked="0"/>
    </xf>
    <xf numFmtId="0" fontId="38" fillId="4" borderId="15" xfId="6" applyFont="1" applyFill="1" applyBorder="1" applyAlignment="1" applyProtection="1">
      <alignment horizontal="center" vertical="center"/>
      <protection locked="0"/>
    </xf>
    <xf numFmtId="0" fontId="45" fillId="0" borderId="0" xfId="6" applyFont="1" applyAlignment="1">
      <alignment vertical="center" wrapText="1"/>
    </xf>
    <xf numFmtId="0" fontId="46" fillId="7" borderId="1" xfId="0" applyFont="1" applyFill="1" applyBorder="1" applyAlignment="1">
      <alignment horizontal="center" vertical="center" wrapText="1"/>
    </xf>
    <xf numFmtId="0" fontId="47" fillId="7" borderId="1" xfId="0" applyFont="1" applyFill="1" applyBorder="1" applyAlignment="1">
      <alignment horizontal="center" vertical="center" wrapText="1"/>
    </xf>
    <xf numFmtId="0" fontId="48" fillId="7" borderId="1" xfId="8" applyFont="1" applyFill="1" applyBorder="1" applyAlignment="1" applyProtection="1">
      <alignment horizontal="center" vertical="center" wrapText="1"/>
    </xf>
    <xf numFmtId="0" fontId="34" fillId="3" borderId="1" xfId="8" applyFont="1" applyFill="1" applyBorder="1" applyAlignment="1" applyProtection="1">
      <alignment horizontal="center" vertical="center" wrapText="1"/>
    </xf>
    <xf numFmtId="0" fontId="49" fillId="9" borderId="1" xfId="8" applyFont="1" applyFill="1" applyBorder="1" applyAlignment="1" applyProtection="1">
      <alignment horizontal="center" vertical="center" wrapText="1"/>
    </xf>
    <xf numFmtId="0" fontId="50" fillId="4" borderId="1" xfId="8" applyFont="1" applyFill="1" applyBorder="1" applyAlignment="1" applyProtection="1">
      <alignment horizontal="center" vertical="center"/>
    </xf>
    <xf numFmtId="196" fontId="3" fillId="4" borderId="1" xfId="8" applyNumberFormat="1" applyFont="1" applyFill="1" applyBorder="1" applyAlignment="1" applyProtection="1">
      <alignment horizontal="center" vertical="center"/>
    </xf>
    <xf numFmtId="0" fontId="3" fillId="4" borderId="1" xfId="8" applyFont="1" applyFill="1" applyBorder="1" applyAlignment="1" applyProtection="1">
      <alignment horizontal="center" vertical="center"/>
    </xf>
    <xf numFmtId="196" fontId="35" fillId="4" borderId="2" xfId="8" applyNumberFormat="1" applyFont="1" applyFill="1" applyBorder="1" applyAlignment="1" applyProtection="1">
      <alignment horizontal="center" vertical="center" wrapText="1"/>
    </xf>
    <xf numFmtId="196" fontId="35" fillId="4" borderId="4" xfId="8" applyNumberFormat="1" applyFont="1" applyFill="1" applyBorder="1" applyAlignment="1" applyProtection="1">
      <alignment horizontal="center" vertical="center"/>
    </xf>
    <xf numFmtId="0" fontId="25" fillId="9" borderId="1" xfId="0" applyFont="1" applyFill="1" applyBorder="1" applyAlignment="1">
      <alignment horizontal="center" vertical="center" wrapText="1"/>
    </xf>
    <xf numFmtId="0" fontId="51" fillId="4" borderId="1" xfId="0" applyFont="1" applyFill="1" applyBorder="1">
      <alignment vertical="center"/>
    </xf>
    <xf numFmtId="0" fontId="52" fillId="3" borderId="1" xfId="0" applyFont="1" applyFill="1" applyBorder="1">
      <alignment vertical="center"/>
    </xf>
    <xf numFmtId="0" fontId="38" fillId="10" borderId="1" xfId="0" applyFont="1" applyFill="1" applyBorder="1" applyAlignment="1">
      <alignment horizontal="center" vertical="center"/>
    </xf>
    <xf numFmtId="0" fontId="53" fillId="4" borderId="1" xfId="0" applyFont="1" applyFill="1" applyBorder="1" applyAlignment="1">
      <alignment horizontal="center" vertical="center"/>
    </xf>
    <xf numFmtId="0" fontId="45" fillId="4" borderId="1" xfId="74" applyFont="1" applyFill="1" applyBorder="1" applyAlignment="1">
      <alignment horizontal="center" vertical="center" wrapText="1"/>
    </xf>
    <xf numFmtId="0" fontId="45" fillId="4" borderId="1" xfId="0" applyFont="1" applyFill="1" applyBorder="1" applyAlignment="1">
      <alignment horizontal="center" vertical="center"/>
    </xf>
    <xf numFmtId="0" fontId="45" fillId="4" borderId="1" xfId="0" applyFont="1" applyFill="1" applyBorder="1" applyAlignment="1">
      <alignment horizontal="center" vertical="center" wrapText="1"/>
    </xf>
    <xf numFmtId="0" fontId="53" fillId="0" borderId="1" xfId="0" applyFont="1" applyBorder="1" applyAlignment="1">
      <alignment horizontal="center" vertical="center"/>
    </xf>
    <xf numFmtId="0" fontId="53" fillId="0" borderId="1" xfId="0" applyFont="1" applyBorder="1" applyAlignment="1">
      <alignment horizontal="center" vertical="center" wrapText="1"/>
    </xf>
    <xf numFmtId="0" fontId="54" fillId="11" borderId="1" xfId="0" applyFont="1" applyFill="1" applyBorder="1" applyAlignment="1">
      <alignment horizontal="center" vertical="center"/>
    </xf>
    <xf numFmtId="0" fontId="55" fillId="0" borderId="0" xfId="67" applyFont="1" applyFill="1" applyBorder="1" applyAlignment="1">
      <alignment vertical="center" wrapText="1"/>
    </xf>
    <xf numFmtId="0" fontId="45" fillId="4" borderId="1" xfId="74" applyFont="1" applyFill="1" applyBorder="1" applyAlignment="1">
      <alignment horizontal="center" vertical="center"/>
    </xf>
    <xf numFmtId="203" fontId="45" fillId="4" borderId="1" xfId="53" applyNumberFormat="1" applyFont="1" applyFill="1" applyBorder="1" applyAlignment="1">
      <alignment horizontal="center" vertical="center" wrapText="1"/>
    </xf>
    <xf numFmtId="0" fontId="45" fillId="4" borderId="1" xfId="53" applyFont="1" applyFill="1" applyBorder="1" applyAlignment="1">
      <alignment horizontal="center" vertical="center" wrapText="1"/>
    </xf>
    <xf numFmtId="0" fontId="8" fillId="0" borderId="0" xfId="0" applyFont="1" applyAlignment="1"/>
    <xf numFmtId="0" fontId="56" fillId="0" borderId="34" xfId="0" applyFont="1" applyBorder="1" applyAlignment="1">
      <alignment horizontal="center" vertical="center"/>
    </xf>
    <xf numFmtId="0" fontId="4" fillId="0" borderId="34" xfId="0" applyFont="1" applyBorder="1" applyAlignment="1">
      <alignment horizontal="center" vertical="center"/>
    </xf>
    <xf numFmtId="0" fontId="57" fillId="0" borderId="34" xfId="67" applyFont="1" applyFill="1" applyBorder="1" applyAlignment="1">
      <alignment horizontal="center" vertical="center"/>
    </xf>
    <xf numFmtId="0" fontId="58" fillId="0" borderId="34" xfId="0" applyFont="1" applyBorder="1" applyAlignment="1">
      <alignment horizontal="center" vertical="center" wrapText="1"/>
    </xf>
    <xf numFmtId="0" fontId="54" fillId="4" borderId="34" xfId="0" applyFont="1" applyFill="1" applyBorder="1" applyAlignment="1">
      <alignment horizontal="center" vertical="center" wrapText="1"/>
    </xf>
    <xf numFmtId="0" fontId="59" fillId="0" borderId="34" xfId="2" applyFont="1" applyBorder="1" applyAlignment="1" applyProtection="1">
      <alignment horizontal="center" vertical="center" wrapText="1"/>
    </xf>
    <xf numFmtId="0" fontId="54" fillId="4" borderId="34" xfId="2" applyFont="1" applyFill="1" applyBorder="1" applyAlignment="1" applyProtection="1">
      <alignment horizontal="center" vertical="center" wrapText="1"/>
    </xf>
    <xf numFmtId="0" fontId="25" fillId="0" borderId="34" xfId="2" applyFont="1" applyBorder="1" applyAlignment="1" applyProtection="1">
      <alignment horizontal="center" vertical="center" wrapText="1"/>
    </xf>
    <xf numFmtId="0" fontId="32" fillId="9" borderId="34" xfId="0" applyFont="1" applyFill="1" applyBorder="1" applyAlignment="1">
      <alignment horizontal="left" vertical="top" wrapText="1"/>
    </xf>
    <xf numFmtId="0" fontId="35" fillId="5" borderId="34" xfId="0" applyFont="1" applyFill="1" applyBorder="1" applyAlignment="1">
      <alignment horizontal="left" vertical="center" wrapText="1"/>
    </xf>
    <xf numFmtId="0" fontId="57" fillId="0" borderId="34" xfId="67" applyNumberFormat="1" applyFont="1" applyFill="1" applyBorder="1" applyAlignment="1" applyProtection="1">
      <alignment horizontal="center" vertical="center"/>
    </xf>
    <xf numFmtId="0" fontId="60" fillId="0" borderId="34" xfId="67" applyFont="1" applyFill="1" applyBorder="1" applyAlignment="1">
      <alignment horizontal="center" vertical="center"/>
    </xf>
    <xf numFmtId="0" fontId="25" fillId="4" borderId="34" xfId="0" applyFont="1" applyFill="1" applyBorder="1" applyAlignment="1">
      <alignment horizontal="center" vertical="center" wrapText="1"/>
    </xf>
    <xf numFmtId="0" fontId="45" fillId="0" borderId="34" xfId="0" applyFont="1" applyBorder="1" applyAlignment="1">
      <alignment horizontal="center" vertical="center"/>
    </xf>
    <xf numFmtId="0" fontId="25" fillId="12" borderId="34" xfId="2" applyFont="1" applyFill="1" applyBorder="1" applyAlignment="1" applyProtection="1">
      <alignment horizontal="center" vertical="center" wrapText="1"/>
    </xf>
    <xf numFmtId="0" fontId="61" fillId="0" borderId="34" xfId="0" applyFont="1" applyBorder="1" applyAlignment="1">
      <alignment horizontal="center" vertical="center"/>
    </xf>
    <xf numFmtId="0" fontId="15" fillId="0" borderId="0" xfId="0" applyFont="1" applyAlignment="1">
      <alignment horizontal="center" vertical="center"/>
    </xf>
    <xf numFmtId="0" fontId="62" fillId="0" borderId="0" xfId="0" applyFont="1">
      <alignment vertical="center"/>
    </xf>
    <xf numFmtId="0" fontId="63" fillId="0" borderId="34" xfId="0" applyFont="1" applyBorder="1" applyAlignment="1">
      <alignment horizontal="center" vertical="center" wrapText="1"/>
    </xf>
    <xf numFmtId="0" fontId="64" fillId="0" borderId="34" xfId="0" applyFont="1" applyBorder="1" applyAlignment="1">
      <alignment horizontal="center" vertical="center"/>
    </xf>
    <xf numFmtId="0" fontId="65" fillId="0" borderId="34" xfId="0" applyFont="1" applyBorder="1" applyAlignment="1">
      <alignment horizontal="center" vertical="center"/>
    </xf>
    <xf numFmtId="0" fontId="66" fillId="7" borderId="34" xfId="0" applyFont="1" applyFill="1" applyBorder="1" applyAlignment="1">
      <alignment horizontal="center" vertical="center"/>
    </xf>
    <xf numFmtId="0" fontId="67" fillId="7" borderId="34" xfId="0" applyFont="1" applyFill="1" applyBorder="1" applyAlignment="1">
      <alignment horizontal="center" vertical="center" wrapText="1"/>
    </xf>
    <xf numFmtId="0" fontId="68" fillId="7" borderId="34" xfId="0" applyFont="1" applyFill="1" applyBorder="1" applyAlignment="1">
      <alignment horizontal="center" vertical="center"/>
    </xf>
    <xf numFmtId="0" fontId="67" fillId="7" borderId="34" xfId="0" applyFont="1" applyFill="1" applyBorder="1" applyAlignment="1">
      <alignment horizontal="center" vertical="center"/>
    </xf>
    <xf numFmtId="0" fontId="68" fillId="4" borderId="34" xfId="0" applyFont="1" applyFill="1" applyBorder="1" applyAlignment="1">
      <alignment horizontal="center" vertical="center" wrapText="1"/>
    </xf>
    <xf numFmtId="183" fontId="69" fillId="4" borderId="34" xfId="0" applyNumberFormat="1" applyFont="1" applyFill="1" applyBorder="1" applyAlignment="1">
      <alignment horizontal="center" vertical="center" wrapText="1"/>
    </xf>
    <xf numFmtId="183" fontId="68" fillId="4" borderId="34" xfId="0" applyNumberFormat="1" applyFont="1" applyFill="1" applyBorder="1" applyAlignment="1">
      <alignment horizontal="center" vertical="center" wrapText="1"/>
    </xf>
    <xf numFmtId="0" fontId="68" fillId="4" borderId="34" xfId="0" applyFont="1" applyFill="1" applyBorder="1" applyAlignment="1">
      <alignment horizontal="center" vertical="center"/>
    </xf>
    <xf numFmtId="11" fontId="66" fillId="7" borderId="34" xfId="0" applyNumberFormat="1" applyFont="1" applyFill="1" applyBorder="1" applyAlignment="1">
      <alignment horizontal="center" vertical="center" wrapText="1"/>
    </xf>
    <xf numFmtId="0" fontId="12" fillId="0" borderId="34" xfId="0" applyFont="1" applyFill="1" applyBorder="1" applyAlignment="1">
      <alignment horizontal="left" vertical="center" wrapText="1"/>
    </xf>
    <xf numFmtId="0" fontId="70" fillId="4" borderId="34" xfId="0" applyFont="1" applyFill="1" applyBorder="1" applyAlignment="1">
      <alignment horizontal="center" vertical="center" wrapText="1"/>
    </xf>
    <xf numFmtId="0" fontId="59" fillId="0" borderId="34" xfId="0" applyFont="1" applyFill="1" applyBorder="1" applyAlignment="1">
      <alignment horizontal="left" vertical="center" wrapText="1"/>
    </xf>
    <xf numFmtId="0" fontId="63" fillId="0" borderId="34" xfId="0" applyFont="1" applyBorder="1" applyAlignment="1">
      <alignment horizontal="center" vertical="center"/>
    </xf>
    <xf numFmtId="183" fontId="71" fillId="4" borderId="34" xfId="0" applyNumberFormat="1" applyFont="1" applyFill="1" applyBorder="1" applyAlignment="1">
      <alignment horizontal="center" vertical="center" wrapText="1"/>
    </xf>
    <xf numFmtId="0" fontId="67" fillId="7" borderId="21" xfId="0" applyFont="1" applyFill="1" applyBorder="1" applyAlignment="1">
      <alignment horizontal="center" vertical="center"/>
    </xf>
    <xf numFmtId="0" fontId="67" fillId="7" borderId="24" xfId="0" applyFont="1" applyFill="1" applyBorder="1" applyAlignment="1">
      <alignment horizontal="center" vertical="center"/>
    </xf>
    <xf numFmtId="0" fontId="68" fillId="7" borderId="34" xfId="0" applyFont="1" applyFill="1" applyBorder="1" applyAlignment="1">
      <alignment horizontal="center" vertical="center" wrapText="1"/>
    </xf>
    <xf numFmtId="0" fontId="72" fillId="7" borderId="34" xfId="0" applyFont="1" applyFill="1" applyBorder="1" applyAlignment="1">
      <alignment horizontal="center" vertical="center"/>
    </xf>
    <xf numFmtId="196" fontId="59" fillId="4" borderId="34" xfId="0" applyNumberFormat="1" applyFont="1" applyFill="1" applyBorder="1" applyAlignment="1">
      <alignment horizontal="center" vertical="center" wrapText="1"/>
    </xf>
    <xf numFmtId="0" fontId="56" fillId="0" borderId="39" xfId="0" applyFont="1" applyBorder="1" applyAlignment="1">
      <alignment horizontal="center" vertical="center"/>
    </xf>
    <xf numFmtId="0" fontId="56" fillId="0" borderId="40" xfId="0" applyFont="1" applyBorder="1" applyAlignment="1">
      <alignment horizontal="center" vertical="center"/>
    </xf>
    <xf numFmtId="0" fontId="4" fillId="0" borderId="12" xfId="0" applyFont="1" applyBorder="1" applyAlignment="1">
      <alignment horizontal="center" vertical="center"/>
    </xf>
    <xf numFmtId="0" fontId="73" fillId="0" borderId="12" xfId="67" applyFont="1" applyFill="1" applyBorder="1" applyAlignment="1">
      <alignment horizontal="center" vertical="center"/>
    </xf>
    <xf numFmtId="0" fontId="74" fillId="9" borderId="1" xfId="0" applyFont="1" applyFill="1" applyBorder="1" applyAlignment="1">
      <alignment horizontal="center" vertical="center"/>
    </xf>
    <xf numFmtId="0" fontId="25" fillId="9" borderId="2" xfId="0" applyFont="1" applyFill="1" applyBorder="1" applyAlignment="1">
      <alignment horizontal="left" vertical="center" wrapText="1"/>
    </xf>
    <xf numFmtId="0" fontId="25" fillId="9" borderId="3" xfId="0" applyFont="1" applyFill="1" applyBorder="1" applyAlignment="1">
      <alignment horizontal="left" vertical="center" wrapText="1"/>
    </xf>
    <xf numFmtId="0" fontId="25" fillId="9" borderId="2" xfId="0" applyFont="1" applyFill="1" applyBorder="1" applyAlignment="1">
      <alignment horizontal="center" vertical="center" wrapText="1"/>
    </xf>
    <xf numFmtId="0" fontId="25" fillId="9" borderId="3" xfId="0" applyFont="1" applyFill="1" applyBorder="1" applyAlignment="1">
      <alignment horizontal="center" vertical="center" wrapText="1"/>
    </xf>
    <xf numFmtId="0" fontId="58" fillId="0" borderId="1" xfId="0" applyFont="1" applyBorder="1" applyAlignment="1">
      <alignment horizontal="center" vertical="center" wrapText="1"/>
    </xf>
    <xf numFmtId="0" fontId="75" fillId="0" borderId="1" xfId="2" applyFont="1" applyBorder="1" applyAlignment="1" applyProtection="1">
      <alignment horizontal="center" vertical="center" wrapText="1"/>
    </xf>
    <xf numFmtId="0" fontId="25" fillId="4" borderId="1" xfId="0" applyFont="1" applyFill="1" applyBorder="1" applyAlignment="1">
      <alignment horizontal="center" vertical="center" wrapText="1"/>
    </xf>
    <xf numFmtId="0" fontId="59" fillId="0" borderId="1" xfId="2" applyFont="1" applyBorder="1" applyAlignment="1" applyProtection="1">
      <alignment horizontal="center" vertical="center" wrapText="1"/>
    </xf>
    <xf numFmtId="0" fontId="25" fillId="0" borderId="1" xfId="0" applyFont="1" applyBorder="1" applyAlignment="1">
      <alignment horizontal="center" vertical="center" wrapText="1"/>
    </xf>
    <xf numFmtId="0" fontId="25" fillId="9" borderId="1" xfId="2" applyFont="1" applyFill="1" applyBorder="1" applyAlignment="1" applyProtection="1">
      <alignment horizontal="center" vertical="center" wrapText="1"/>
    </xf>
    <xf numFmtId="0" fontId="59" fillId="4" borderId="1" xfId="2" applyFont="1" applyFill="1" applyBorder="1" applyAlignment="1" applyProtection="1">
      <alignment horizontal="center" vertical="center" wrapText="1"/>
    </xf>
    <xf numFmtId="0" fontId="68" fillId="4" borderId="2" xfId="2" applyFont="1" applyFill="1" applyBorder="1" applyAlignment="1" applyProtection="1">
      <alignment horizontal="center" vertical="center" wrapText="1"/>
    </xf>
    <xf numFmtId="0" fontId="68" fillId="4" borderId="3" xfId="2" applyFont="1" applyFill="1" applyBorder="1" applyAlignment="1" applyProtection="1">
      <alignment horizontal="center" vertical="center" wrapText="1"/>
    </xf>
    <xf numFmtId="0" fontId="35" fillId="5" borderId="2" xfId="0" applyFont="1" applyFill="1" applyBorder="1" applyAlignment="1">
      <alignment horizontal="left" vertical="center" wrapText="1"/>
    </xf>
    <xf numFmtId="0" fontId="35" fillId="5" borderId="3" xfId="0" applyFont="1" applyFill="1" applyBorder="1" applyAlignment="1">
      <alignment horizontal="left" vertical="center" wrapText="1"/>
    </xf>
    <xf numFmtId="0" fontId="56" fillId="0" borderId="41" xfId="0" applyFont="1" applyBorder="1" applyAlignment="1">
      <alignment horizontal="center" vertical="center"/>
    </xf>
    <xf numFmtId="0" fontId="60" fillId="0" borderId="42" xfId="67" applyFont="1" applyFill="1" applyBorder="1" applyAlignment="1">
      <alignment horizontal="center" vertical="center"/>
    </xf>
    <xf numFmtId="0" fontId="73" fillId="0" borderId="12" xfId="67" applyNumberFormat="1" applyFont="1" applyFill="1" applyBorder="1" applyAlignment="1" applyProtection="1">
      <alignment horizontal="center" vertical="center"/>
    </xf>
    <xf numFmtId="0" fontId="25" fillId="9" borderId="4" xfId="0" applyFont="1" applyFill="1" applyBorder="1" applyAlignment="1">
      <alignment horizontal="left" vertical="center" wrapText="1"/>
    </xf>
    <xf numFmtId="0" fontId="25" fillId="9" borderId="4" xfId="0" applyFont="1" applyFill="1" applyBorder="1" applyAlignment="1">
      <alignment horizontal="center" vertical="center" wrapText="1"/>
    </xf>
    <xf numFmtId="0" fontId="50" fillId="0" borderId="1" xfId="0" applyFont="1" applyBorder="1" applyAlignment="1">
      <alignment horizontal="center" vertical="center" wrapText="1"/>
    </xf>
    <xf numFmtId="0" fontId="25" fillId="13" borderId="1" xfId="0" applyFont="1" applyFill="1" applyBorder="1" applyAlignment="1">
      <alignment horizontal="center" vertical="center" wrapText="1"/>
    </xf>
    <xf numFmtId="0" fontId="68" fillId="4" borderId="4" xfId="2" applyFont="1" applyFill="1" applyBorder="1" applyAlignment="1" applyProtection="1">
      <alignment horizontal="center" vertical="center" wrapText="1"/>
    </xf>
    <xf numFmtId="0" fontId="35" fillId="5" borderId="4" xfId="0" applyFont="1" applyFill="1" applyBorder="1" applyAlignment="1">
      <alignment horizontal="left" vertical="center" wrapText="1"/>
    </xf>
    <xf numFmtId="0" fontId="76" fillId="7" borderId="34" xfId="0" applyFont="1" applyFill="1" applyBorder="1" applyAlignment="1">
      <alignment horizontal="center" vertical="center"/>
    </xf>
    <xf numFmtId="0" fontId="77" fillId="4" borderId="34" xfId="8" applyFont="1" applyFill="1" applyBorder="1" applyAlignment="1" applyProtection="1">
      <alignment horizontal="center" vertical="center"/>
    </xf>
    <xf numFmtId="0" fontId="78" fillId="4" borderId="34" xfId="8" applyFont="1" applyFill="1" applyBorder="1" applyAlignment="1" applyProtection="1">
      <alignment horizontal="center" vertical="center"/>
    </xf>
    <xf numFmtId="0" fontId="79" fillId="0" borderId="34" xfId="0" applyFont="1" applyBorder="1" applyAlignment="1">
      <alignment vertical="center" wrapText="1"/>
    </xf>
    <xf numFmtId="0" fontId="15" fillId="0" borderId="34" xfId="0" applyFont="1" applyBorder="1" applyAlignment="1">
      <alignment vertical="center"/>
    </xf>
    <xf numFmtId="0" fontId="15" fillId="0" borderId="34" xfId="0" applyFont="1" applyBorder="1">
      <alignment vertical="center"/>
    </xf>
    <xf numFmtId="0" fontId="80" fillId="0" borderId="34" xfId="0" applyFont="1" applyBorder="1" applyAlignment="1">
      <alignment vertical="center" wrapText="1"/>
    </xf>
    <xf numFmtId="0" fontId="15" fillId="0" borderId="34" xfId="0" applyFont="1" applyBorder="1" applyAlignment="1">
      <alignment vertical="center" wrapText="1"/>
    </xf>
    <xf numFmtId="196" fontId="69" fillId="4" borderId="34" xfId="0" applyNumberFormat="1" applyFont="1" applyFill="1" applyBorder="1" applyAlignment="1">
      <alignment horizontal="center" vertical="center" wrapText="1"/>
    </xf>
    <xf numFmtId="0" fontId="77" fillId="0" borderId="34" xfId="0" applyFont="1" applyBorder="1" applyAlignment="1">
      <alignment horizontal="center" vertical="center"/>
    </xf>
    <xf numFmtId="0" fontId="50" fillId="0" borderId="39" xfId="0" applyFont="1" applyBorder="1" applyAlignment="1">
      <alignment horizontal="center" vertical="center"/>
    </xf>
    <xf numFmtId="0" fontId="50" fillId="0" borderId="40" xfId="0" applyFont="1" applyBorder="1" applyAlignment="1">
      <alignment horizontal="center" vertical="center"/>
    </xf>
    <xf numFmtId="0" fontId="81" fillId="7" borderId="34" xfId="0" applyFont="1" applyFill="1" applyBorder="1" applyAlignment="1">
      <alignment horizontal="center" vertical="center"/>
    </xf>
    <xf numFmtId="0" fontId="78" fillId="0" borderId="34" xfId="0" applyFont="1" applyBorder="1" applyAlignment="1">
      <alignment horizontal="center" vertical="center" wrapText="1"/>
    </xf>
    <xf numFmtId="0" fontId="71" fillId="4" borderId="34" xfId="0" applyFont="1" applyFill="1" applyBorder="1" applyAlignment="1">
      <alignment horizontal="center" vertical="center" wrapText="1"/>
    </xf>
    <xf numFmtId="199" fontId="71" fillId="4" borderId="34" xfId="0" applyNumberFormat="1" applyFont="1" applyFill="1" applyBorder="1" applyAlignment="1">
      <alignment horizontal="center" vertical="center" wrapText="1"/>
    </xf>
    <xf numFmtId="0" fontId="59" fillId="0" borderId="43" xfId="0" applyFont="1" applyBorder="1" applyAlignment="1">
      <alignment horizontal="center" vertical="center" wrapText="1"/>
    </xf>
    <xf numFmtId="0" fontId="66" fillId="0" borderId="43" xfId="0" applyFont="1" applyBorder="1" applyAlignment="1">
      <alignment horizontal="center" vertical="center" wrapText="1"/>
    </xf>
    <xf numFmtId="0" fontId="82" fillId="7" borderId="21" xfId="0" applyFont="1" applyFill="1" applyBorder="1" applyAlignment="1">
      <alignment horizontal="center" vertical="center"/>
    </xf>
    <xf numFmtId="0" fontId="82" fillId="7" borderId="22" xfId="0" applyFont="1" applyFill="1" applyBorder="1" applyAlignment="1">
      <alignment horizontal="center" vertical="center"/>
    </xf>
    <xf numFmtId="2" fontId="51" fillId="0" borderId="37" xfId="0" applyNumberFormat="1" applyFont="1" applyBorder="1" applyAlignment="1">
      <alignment horizontal="left" vertical="center" wrapText="1"/>
    </xf>
    <xf numFmtId="2" fontId="51" fillId="0" borderId="1" xfId="0" applyNumberFormat="1" applyFont="1" applyBorder="1" applyAlignment="1">
      <alignment horizontal="left" vertical="center" wrapText="1"/>
    </xf>
    <xf numFmtId="0" fontId="83" fillId="7" borderId="44" xfId="0" applyFont="1" applyFill="1" applyBorder="1" applyAlignment="1">
      <alignment horizontal="center" vertical="center" wrapText="1"/>
    </xf>
    <xf numFmtId="0" fontId="83" fillId="7" borderId="0" xfId="0" applyFont="1" applyFill="1" applyAlignment="1">
      <alignment horizontal="center" vertical="center" wrapText="1"/>
    </xf>
    <xf numFmtId="0" fontId="53" fillId="4" borderId="37" xfId="0" applyFont="1" applyFill="1" applyBorder="1" applyAlignment="1">
      <alignment horizontal="left" vertical="center" wrapText="1"/>
    </xf>
    <xf numFmtId="0" fontId="53" fillId="4" borderId="1" xfId="0" applyFont="1" applyFill="1" applyBorder="1" applyAlignment="1">
      <alignment horizontal="left" vertical="center" wrapText="1"/>
    </xf>
    <xf numFmtId="0" fontId="45" fillId="4" borderId="37" xfId="0" applyFont="1" applyFill="1" applyBorder="1" applyAlignment="1">
      <alignment horizontal="left" vertical="center" wrapText="1"/>
    </xf>
    <xf numFmtId="0" fontId="45" fillId="4" borderId="1" xfId="0" applyFont="1" applyFill="1" applyBorder="1" applyAlignment="1">
      <alignment horizontal="left" vertical="center" wrapText="1"/>
    </xf>
    <xf numFmtId="0" fontId="82" fillId="7" borderId="44" xfId="0" applyFont="1" applyFill="1" applyBorder="1" applyAlignment="1">
      <alignment horizontal="center" vertical="center" wrapText="1"/>
    </xf>
    <xf numFmtId="0" fontId="82" fillId="7" borderId="0" xfId="0" applyFont="1" applyFill="1" applyAlignment="1">
      <alignment horizontal="center" vertical="center" wrapText="1"/>
    </xf>
    <xf numFmtId="0" fontId="61" fillId="4" borderId="37" xfId="0" applyFont="1" applyFill="1" applyBorder="1" applyAlignment="1">
      <alignment horizontal="left" vertical="center" wrapText="1"/>
    </xf>
    <xf numFmtId="0" fontId="61" fillId="4" borderId="1" xfId="0" applyFont="1" applyFill="1" applyBorder="1" applyAlignment="1">
      <alignment horizontal="left" vertical="center" wrapText="1"/>
    </xf>
    <xf numFmtId="0" fontId="51" fillId="4" borderId="37" xfId="0" applyFont="1" applyFill="1" applyBorder="1" applyAlignment="1">
      <alignment horizontal="left" vertical="center" wrapText="1"/>
    </xf>
    <xf numFmtId="0" fontId="51" fillId="4" borderId="1" xfId="0" applyFont="1" applyFill="1" applyBorder="1" applyAlignment="1">
      <alignment horizontal="left" vertical="center" wrapText="1"/>
    </xf>
    <xf numFmtId="0" fontId="52" fillId="4" borderId="37" xfId="0" applyFont="1" applyFill="1" applyBorder="1" applyAlignment="1">
      <alignment horizontal="left" vertical="center" wrapText="1"/>
    </xf>
    <xf numFmtId="0" fontId="20" fillId="7" borderId="44" xfId="0" applyFont="1" applyFill="1" applyBorder="1" applyAlignment="1">
      <alignment horizontal="center" vertical="center" wrapText="1"/>
    </xf>
    <xf numFmtId="0" fontId="20" fillId="7" borderId="0" xfId="0" applyFont="1" applyFill="1" applyAlignment="1">
      <alignment horizontal="center" vertical="center" wrapText="1"/>
    </xf>
    <xf numFmtId="0" fontId="50" fillId="0" borderId="45" xfId="0" applyFont="1" applyBorder="1" applyAlignment="1">
      <alignment horizontal="center" vertical="center"/>
    </xf>
    <xf numFmtId="0" fontId="84" fillId="7" borderId="1" xfId="6" applyFont="1" applyFill="1" applyBorder="1" applyAlignment="1" applyProtection="1">
      <alignment horizontal="center" vertical="center" wrapText="1"/>
      <protection locked="0"/>
    </xf>
    <xf numFmtId="0" fontId="71" fillId="7" borderId="1" xfId="6" applyFont="1" applyFill="1" applyBorder="1" applyAlignment="1" applyProtection="1">
      <alignment horizontal="center" vertical="center" wrapText="1"/>
      <protection locked="0"/>
    </xf>
    <xf numFmtId="0" fontId="22" fillId="3" borderId="1" xfId="6" applyFont="1" applyFill="1" applyBorder="1" applyAlignment="1" applyProtection="1">
      <alignment horizontal="center" vertical="center" wrapText="1"/>
      <protection locked="0"/>
    </xf>
    <xf numFmtId="198" fontId="4" fillId="3" borderId="1" xfId="35" applyFont="1" applyFill="1" applyBorder="1" applyAlignment="1" applyProtection="1">
      <alignment horizontal="center" vertical="center" wrapText="1"/>
      <protection locked="0"/>
    </xf>
    <xf numFmtId="49" fontId="4" fillId="3" borderId="1" xfId="58" applyNumberFormat="1" applyFont="1" applyFill="1" applyBorder="1" applyAlignment="1" applyProtection="1">
      <alignment horizontal="center" vertical="center" wrapText="1"/>
      <protection locked="0"/>
    </xf>
    <xf numFmtId="0" fontId="22" fillId="4" borderId="1" xfId="6" applyFont="1" applyFill="1" applyBorder="1" applyAlignment="1" applyProtection="1">
      <alignment horizontal="center" vertical="center" wrapText="1"/>
      <protection locked="0"/>
    </xf>
    <xf numFmtId="4" fontId="4" fillId="4" borderId="1" xfId="35" applyNumberFormat="1" applyFont="1" applyFill="1" applyBorder="1" applyAlignment="1" applyProtection="1">
      <alignment horizontal="center" vertical="center" wrapText="1"/>
      <protection locked="0"/>
    </xf>
    <xf numFmtId="4" fontId="4" fillId="4" borderId="1" xfId="58" applyNumberFormat="1" applyFont="1" applyFill="1" applyBorder="1" applyAlignment="1" applyProtection="1">
      <alignment horizontal="center" vertical="center" wrapText="1"/>
      <protection locked="0"/>
    </xf>
    <xf numFmtId="0" fontId="4" fillId="4" borderId="1" xfId="6" applyFont="1" applyFill="1" applyBorder="1" applyAlignment="1" applyProtection="1">
      <alignment horizontal="center" vertical="center" wrapText="1"/>
      <protection locked="0"/>
    </xf>
    <xf numFmtId="4" fontId="4" fillId="4" borderId="1" xfId="6" applyNumberFormat="1" applyFont="1" applyFill="1" applyBorder="1" applyAlignment="1" applyProtection="1">
      <alignment horizontal="center" vertical="center" wrapText="1"/>
      <protection locked="0"/>
    </xf>
    <xf numFmtId="4" fontId="38" fillId="4" borderId="1" xfId="3" applyNumberFormat="1" applyFont="1" applyFill="1" applyBorder="1" applyAlignment="1">
      <alignment horizontal="center" vertical="center" wrapText="1"/>
    </xf>
    <xf numFmtId="4" fontId="4" fillId="4" borderId="46" xfId="6" applyNumberFormat="1" applyFont="1" applyFill="1" applyBorder="1" applyAlignment="1" applyProtection="1">
      <alignment horizontal="center" vertical="center" wrapText="1"/>
      <protection locked="0"/>
    </xf>
    <xf numFmtId="4" fontId="4" fillId="4" borderId="47" xfId="6" applyNumberFormat="1" applyFont="1" applyFill="1" applyBorder="1" applyAlignment="1" applyProtection="1">
      <alignment horizontal="center" vertical="center" wrapText="1"/>
      <protection locked="0"/>
    </xf>
    <xf numFmtId="0" fontId="10" fillId="0" borderId="48" xfId="0" applyFont="1" applyBorder="1" applyAlignment="1" applyProtection="1">
      <alignment horizontal="center" vertical="center" wrapText="1"/>
      <protection locked="0" hidden="1"/>
    </xf>
    <xf numFmtId="0" fontId="7" fillId="0" borderId="46" xfId="0" applyFont="1" applyBorder="1" applyAlignment="1" applyProtection="1">
      <alignment horizontal="left" vertical="center" wrapText="1"/>
      <protection locked="0" hidden="1"/>
    </xf>
    <xf numFmtId="0" fontId="7" fillId="0" borderId="47" xfId="0" applyFont="1" applyBorder="1" applyAlignment="1" applyProtection="1">
      <alignment horizontal="left" vertical="center" wrapText="1"/>
      <protection locked="0" hidden="1"/>
    </xf>
    <xf numFmtId="0" fontId="4" fillId="3" borderId="1" xfId="35" applyNumberFormat="1" applyFont="1" applyFill="1" applyBorder="1" applyAlignment="1" applyProtection="1">
      <alignment horizontal="center" vertical="center" wrapText="1"/>
      <protection locked="0"/>
    </xf>
    <xf numFmtId="0" fontId="4" fillId="3" borderId="1" xfId="6" applyFont="1" applyFill="1" applyBorder="1" applyAlignment="1" applyProtection="1">
      <alignment horizontal="center" vertical="center" wrapText="1"/>
      <protection locked="0"/>
    </xf>
    <xf numFmtId="4" fontId="38" fillId="4" borderId="1" xfId="6" applyNumberFormat="1" applyFont="1" applyFill="1" applyBorder="1" applyAlignment="1">
      <alignment horizontal="center" vertical="center"/>
    </xf>
    <xf numFmtId="4" fontId="4" fillId="4" borderId="49" xfId="6" applyNumberFormat="1" applyFont="1" applyFill="1" applyBorder="1" applyAlignment="1" applyProtection="1">
      <alignment horizontal="center" vertical="center" wrapText="1"/>
      <protection locked="0"/>
    </xf>
    <xf numFmtId="0" fontId="7" fillId="0" borderId="49" xfId="0" applyFont="1" applyBorder="1" applyAlignment="1" applyProtection="1">
      <alignment horizontal="left" vertical="center" wrapText="1"/>
      <protection locked="0" hidden="1"/>
    </xf>
    <xf numFmtId="0" fontId="22" fillId="0" borderId="8" xfId="0" applyFont="1" applyBorder="1" applyAlignment="1">
      <alignment horizontal="center" vertical="center" wrapText="1"/>
    </xf>
    <xf numFmtId="0" fontId="22" fillId="0" borderId="16" xfId="0" applyFont="1" applyBorder="1" applyAlignment="1">
      <alignment horizontal="center" vertical="center" wrapText="1"/>
    </xf>
    <xf numFmtId="0" fontId="22" fillId="0" borderId="17" xfId="0" applyFont="1" applyBorder="1" applyAlignment="1">
      <alignment horizontal="center" vertical="center" wrapText="1"/>
    </xf>
    <xf numFmtId="0" fontId="21" fillId="7" borderId="50" xfId="0" applyFont="1" applyFill="1" applyBorder="1" applyAlignment="1">
      <alignment horizontal="center" vertical="center" wrapText="1"/>
    </xf>
    <xf numFmtId="0" fontId="21" fillId="7" borderId="51" xfId="0" applyFont="1" applyFill="1" applyBorder="1" applyAlignment="1">
      <alignment horizontal="center" vertical="center" wrapText="1"/>
    </xf>
    <xf numFmtId="0" fontId="23" fillId="0" borderId="38" xfId="0" applyFont="1" applyBorder="1" applyAlignment="1">
      <alignment horizontal="center" vertical="center" wrapText="1"/>
    </xf>
    <xf numFmtId="0" fontId="23" fillId="0" borderId="37" xfId="0" applyFont="1" applyBorder="1" applyAlignment="1">
      <alignment horizontal="center" vertical="center" wrapText="1"/>
    </xf>
    <xf numFmtId="0" fontId="23" fillId="0" borderId="52" xfId="0" applyFont="1" applyBorder="1" applyAlignment="1">
      <alignment horizontal="center" vertical="center" wrapText="1"/>
    </xf>
    <xf numFmtId="0" fontId="22" fillId="0" borderId="16" xfId="0" applyFont="1" applyBorder="1" applyAlignment="1">
      <alignment vertical="center" wrapText="1"/>
    </xf>
    <xf numFmtId="0" fontId="22" fillId="0" borderId="17" xfId="0" applyFont="1" applyBorder="1" applyAlignment="1">
      <alignment vertical="center" wrapText="1"/>
    </xf>
    <xf numFmtId="0" fontId="22" fillId="0" borderId="32" xfId="0" applyFont="1" applyBorder="1" applyAlignment="1">
      <alignment vertical="center" wrapText="1"/>
    </xf>
    <xf numFmtId="0" fontId="68" fillId="3" borderId="34" xfId="8" applyFont="1" applyFill="1" applyBorder="1" applyAlignment="1" applyProtection="1">
      <alignment horizontal="center" vertical="center"/>
    </xf>
    <xf numFmtId="0" fontId="15" fillId="0" borderId="21" xfId="0" applyFont="1" applyBorder="1" applyAlignment="1">
      <alignment vertical="center"/>
    </xf>
    <xf numFmtId="0" fontId="15" fillId="0" borderId="22" xfId="0" applyFont="1" applyBorder="1" applyAlignment="1">
      <alignment vertical="center"/>
    </xf>
    <xf numFmtId="0" fontId="15" fillId="0" borderId="23" xfId="0" applyFont="1" applyBorder="1" applyAlignment="1">
      <alignment vertical="center"/>
    </xf>
    <xf numFmtId="0" fontId="15" fillId="0" borderId="44" xfId="0" applyFont="1" applyBorder="1" applyAlignment="1">
      <alignment vertical="center"/>
    </xf>
    <xf numFmtId="0" fontId="15" fillId="0" borderId="0" xfId="0" applyFont="1" applyAlignment="1">
      <alignment vertical="center"/>
    </xf>
    <xf numFmtId="0" fontId="15" fillId="0" borderId="29" xfId="0" applyFont="1" applyBorder="1" applyAlignment="1">
      <alignment vertical="center"/>
    </xf>
    <xf numFmtId="0" fontId="15" fillId="0" borderId="24" xfId="0" applyFont="1" applyBorder="1" applyAlignment="1">
      <alignment vertical="center"/>
    </xf>
    <xf numFmtId="0" fontId="15" fillId="0" borderId="25" xfId="0" applyFont="1" applyBorder="1" applyAlignment="1">
      <alignment vertical="center"/>
    </xf>
    <xf numFmtId="0" fontId="15" fillId="0" borderId="26" xfId="0" applyFont="1" applyBorder="1" applyAlignment="1">
      <alignment vertical="center"/>
    </xf>
    <xf numFmtId="0" fontId="85" fillId="0" borderId="0" xfId="0" applyFont="1">
      <alignment vertical="center"/>
    </xf>
    <xf numFmtId="0" fontId="86" fillId="4" borderId="1" xfId="53" applyFont="1" applyFill="1" applyBorder="1" applyAlignment="1">
      <alignment horizontal="center" vertical="center" wrapText="1"/>
    </xf>
    <xf numFmtId="0" fontId="87" fillId="4" borderId="1" xfId="53" applyFont="1" applyFill="1" applyBorder="1" applyAlignment="1">
      <alignment horizontal="center" vertical="center"/>
    </xf>
    <xf numFmtId="0" fontId="71" fillId="3" borderId="1" xfId="6" applyFont="1" applyFill="1" applyBorder="1" applyAlignment="1">
      <alignment horizontal="center" vertical="center" wrapText="1"/>
    </xf>
    <xf numFmtId="0" fontId="35" fillId="4" borderId="1" xfId="6" applyFont="1" applyFill="1" applyBorder="1" applyAlignment="1">
      <alignment horizontal="center" vertical="center" wrapText="1"/>
    </xf>
    <xf numFmtId="0" fontId="88" fillId="4" borderId="1" xfId="0" applyFont="1" applyFill="1" applyBorder="1" applyAlignment="1">
      <alignment horizontal="center" vertical="center" wrapText="1"/>
    </xf>
    <xf numFmtId="0" fontId="89" fillId="4" borderId="1" xfId="6" applyFont="1" applyFill="1" applyBorder="1" applyAlignment="1">
      <alignment horizontal="center" vertical="center" wrapText="1"/>
    </xf>
    <xf numFmtId="0" fontId="90" fillId="4" borderId="1" xfId="6" applyFont="1" applyFill="1" applyBorder="1" applyAlignment="1">
      <alignment horizontal="center" vertical="center" wrapText="1"/>
    </xf>
    <xf numFmtId="0" fontId="91" fillId="4" borderId="1" xfId="6" applyFont="1" applyFill="1" applyBorder="1" applyAlignment="1">
      <alignment horizontal="center" vertical="center"/>
    </xf>
    <xf numFmtId="0" fontId="92" fillId="4" borderId="1" xfId="6" applyFont="1" applyFill="1" applyBorder="1" applyAlignment="1">
      <alignment horizontal="center" vertical="center"/>
    </xf>
    <xf numFmtId="0" fontId="90" fillId="4" borderId="1" xfId="6" applyFont="1" applyFill="1" applyBorder="1" applyAlignment="1">
      <alignment horizontal="center" vertical="center"/>
    </xf>
    <xf numFmtId="0" fontId="56" fillId="4" borderId="1" xfId="6" applyFont="1" applyFill="1" applyBorder="1" applyAlignment="1">
      <alignment horizontal="center" vertical="center" wrapText="1"/>
    </xf>
    <xf numFmtId="0" fontId="34" fillId="3" borderId="12" xfId="6" applyFont="1" applyFill="1" applyBorder="1" applyAlignment="1">
      <alignment horizontal="center" vertical="center"/>
    </xf>
    <xf numFmtId="0" fontId="93" fillId="0" borderId="53" xfId="6" applyFont="1" applyBorder="1" applyAlignment="1">
      <alignment horizontal="center" vertical="center" wrapText="1"/>
    </xf>
    <xf numFmtId="0" fontId="93" fillId="0" borderId="46" xfId="0" applyFont="1" applyBorder="1" applyAlignment="1">
      <alignment vertical="center" wrapText="1"/>
    </xf>
    <xf numFmtId="0" fontId="93" fillId="0" borderId="47" xfId="0" applyFont="1" applyBorder="1" applyAlignment="1">
      <alignment vertical="center" wrapText="1"/>
    </xf>
    <xf numFmtId="0" fontId="93" fillId="0" borderId="37" xfId="6" applyFont="1" applyBorder="1" applyAlignment="1">
      <alignment horizontal="center" vertical="center"/>
    </xf>
    <xf numFmtId="0" fontId="93" fillId="0" borderId="1" xfId="0" applyFont="1" applyBorder="1" applyAlignment="1">
      <alignment horizontal="left" vertical="center" wrapText="1"/>
    </xf>
    <xf numFmtId="0" fontId="71" fillId="3" borderId="1" xfId="53" applyFont="1" applyFill="1" applyBorder="1" applyAlignment="1" applyProtection="1">
      <alignment horizontal="center" vertical="center" wrapText="1"/>
      <protection locked="0"/>
    </xf>
    <xf numFmtId="0" fontId="55" fillId="4" borderId="1" xfId="67" applyFont="1" applyFill="1" applyBorder="1" applyAlignment="1">
      <alignment horizontal="center" vertical="center"/>
    </xf>
    <xf numFmtId="0" fontId="49" fillId="4" borderId="1" xfId="0" applyFont="1" applyFill="1" applyBorder="1" applyAlignment="1">
      <alignment horizontal="center" vertical="center" wrapText="1"/>
    </xf>
    <xf numFmtId="193" fontId="94" fillId="4" borderId="1" xfId="6" applyNumberFormat="1" applyFont="1" applyFill="1" applyBorder="1" applyAlignment="1">
      <alignment horizontal="center" vertical="center" wrapText="1"/>
    </xf>
    <xf numFmtId="0" fontId="90" fillId="4" borderId="15" xfId="0" applyFont="1" applyFill="1" applyBorder="1" applyAlignment="1">
      <alignment horizontal="center" vertical="center" wrapText="1"/>
    </xf>
    <xf numFmtId="0" fontId="90" fillId="4" borderId="12"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95" fillId="4" borderId="1" xfId="67" applyFont="1" applyFill="1" applyBorder="1" applyAlignment="1">
      <alignment horizontal="center" vertical="center"/>
    </xf>
    <xf numFmtId="0" fontId="96" fillId="4" borderId="1" xfId="0" applyFont="1" applyFill="1" applyBorder="1" applyAlignment="1">
      <alignment horizontal="center" vertical="center" wrapText="1"/>
    </xf>
    <xf numFmtId="0" fontId="49" fillId="4" borderId="15" xfId="0" applyFont="1" applyFill="1" applyBorder="1" applyAlignment="1">
      <alignment horizontal="center" vertical="center" wrapText="1"/>
    </xf>
    <xf numFmtId="0" fontId="96" fillId="4" borderId="15" xfId="0" applyFont="1" applyFill="1" applyBorder="1" applyAlignment="1">
      <alignment horizontal="center" vertical="center" wrapText="1"/>
    </xf>
    <xf numFmtId="0" fontId="96" fillId="4" borderId="35" xfId="0" applyFont="1" applyFill="1" applyBorder="1" applyAlignment="1">
      <alignment horizontal="center" vertical="center" wrapText="1"/>
    </xf>
    <xf numFmtId="0" fontId="96" fillId="4" borderId="12" xfId="0" applyFont="1" applyFill="1" applyBorder="1" applyAlignment="1">
      <alignment horizontal="center" vertical="center" wrapText="1"/>
    </xf>
    <xf numFmtId="0" fontId="93" fillId="0" borderId="27" xfId="0" applyFont="1" applyBorder="1" applyAlignment="1">
      <alignment vertical="center" wrapText="1"/>
    </xf>
    <xf numFmtId="0" fontId="93" fillId="0" borderId="1" xfId="0" applyFont="1" applyBorder="1" applyAlignment="1">
      <alignment horizontal="center" vertical="center" wrapText="1"/>
    </xf>
    <xf numFmtId="0" fontId="93" fillId="0" borderId="54" xfId="0" applyFont="1" applyBorder="1" applyAlignment="1">
      <alignment horizontal="left" vertical="center" wrapText="1"/>
    </xf>
    <xf numFmtId="0" fontId="97" fillId="4" borderId="0" xfId="0" applyFont="1" applyFill="1">
      <alignment vertical="center"/>
    </xf>
    <xf numFmtId="0" fontId="8" fillId="4" borderId="0" xfId="0" applyFont="1" applyFill="1">
      <alignment vertical="center"/>
    </xf>
    <xf numFmtId="0" fontId="97" fillId="4" borderId="0" xfId="0" applyFont="1" applyFill="1" applyAlignment="1"/>
    <xf numFmtId="0" fontId="98" fillId="4" borderId="0" xfId="0" applyFont="1" applyFill="1">
      <alignment vertical="center"/>
    </xf>
    <xf numFmtId="0" fontId="0" fillId="4" borderId="0" xfId="0" applyFill="1" applyAlignment="1">
      <alignment vertical="center" wrapText="1"/>
    </xf>
    <xf numFmtId="0" fontId="0" fillId="4" borderId="0" xfId="0" applyFill="1">
      <alignment vertical="center"/>
    </xf>
    <xf numFmtId="0" fontId="78" fillId="0" borderId="1" xfId="0" applyFont="1" applyBorder="1" applyAlignment="1">
      <alignment horizontal="center" vertical="center" wrapText="1"/>
    </xf>
    <xf numFmtId="0" fontId="99" fillId="14" borderId="1" xfId="0" applyFont="1" applyFill="1" applyBorder="1" applyAlignment="1">
      <alignment horizontal="center" vertical="center" wrapText="1"/>
    </xf>
    <xf numFmtId="0" fontId="100" fillId="0" borderId="1" xfId="21" applyFont="1" applyBorder="1" applyAlignment="1">
      <alignment horizontal="center" vertical="center" wrapText="1"/>
    </xf>
    <xf numFmtId="0" fontId="4" fillId="15" borderId="1" xfId="21" applyFont="1" applyFill="1" applyBorder="1" applyAlignment="1">
      <alignment horizontal="center" vertical="center" wrapText="1"/>
    </xf>
    <xf numFmtId="0" fontId="97" fillId="15" borderId="1" xfId="21" applyFont="1" applyFill="1" applyBorder="1" applyAlignment="1">
      <alignment horizontal="left" vertical="center" wrapText="1"/>
    </xf>
    <xf numFmtId="0" fontId="97" fillId="15" borderId="1" xfId="21" applyFont="1" applyFill="1" applyBorder="1" applyAlignment="1">
      <alignment horizontal="left" vertical="top" wrapText="1"/>
    </xf>
    <xf numFmtId="0" fontId="4" fillId="15" borderId="55" xfId="21" applyFont="1" applyFill="1" applyBorder="1" applyAlignment="1">
      <alignment horizontal="center" vertical="center" wrapText="1"/>
    </xf>
    <xf numFmtId="0" fontId="97" fillId="15" borderId="28" xfId="21" applyFont="1" applyFill="1" applyBorder="1" applyAlignment="1">
      <alignment horizontal="left" vertical="center" wrapText="1"/>
    </xf>
    <xf numFmtId="0" fontId="97" fillId="15" borderId="0" xfId="21" applyFont="1" applyFill="1" applyAlignment="1">
      <alignment horizontal="left" vertical="center" wrapText="1"/>
    </xf>
    <xf numFmtId="0" fontId="21" fillId="14" borderId="55" xfId="21" applyFont="1" applyFill="1" applyBorder="1" applyAlignment="1">
      <alignment horizontal="center" vertical="center" wrapText="1"/>
    </xf>
    <xf numFmtId="0" fontId="21" fillId="14" borderId="0" xfId="21" applyFont="1" applyFill="1" applyAlignment="1">
      <alignment horizontal="center" vertical="center" wrapText="1"/>
    </xf>
    <xf numFmtId="0" fontId="8" fillId="4" borderId="1" xfId="0" applyFont="1" applyFill="1" applyBorder="1" applyAlignment="1">
      <alignment horizontal="left" vertical="center" wrapText="1"/>
    </xf>
    <xf numFmtId="0" fontId="21" fillId="16" borderId="55" xfId="21" applyFont="1" applyFill="1" applyBorder="1" applyAlignment="1">
      <alignment horizontal="center" vertical="center" wrapText="1"/>
    </xf>
    <xf numFmtId="0" fontId="21" fillId="16" borderId="0" xfId="21" applyFont="1" applyFill="1" applyAlignment="1">
      <alignment horizontal="center" vertical="center" wrapText="1"/>
    </xf>
    <xf numFmtId="0" fontId="101" fillId="4" borderId="1" xfId="0" applyFont="1" applyFill="1" applyBorder="1" applyAlignment="1">
      <alignment horizontal="left" vertical="center" wrapText="1"/>
    </xf>
    <xf numFmtId="0" fontId="102" fillId="4" borderId="1" xfId="0" applyFont="1" applyFill="1" applyBorder="1" applyAlignment="1">
      <alignment horizontal="left" vertical="center" wrapText="1"/>
    </xf>
    <xf numFmtId="0" fontId="103" fillId="4" borderId="55" xfId="0" applyFont="1" applyFill="1" applyBorder="1" applyAlignment="1">
      <alignment horizontal="left" vertical="center" wrapText="1"/>
    </xf>
    <xf numFmtId="0" fontId="103" fillId="4" borderId="56" xfId="0" applyFont="1" applyFill="1" applyBorder="1" applyAlignment="1">
      <alignment horizontal="left" vertical="center" wrapText="1"/>
    </xf>
    <xf numFmtId="0" fontId="21" fillId="16" borderId="55" xfId="21" applyFont="1" applyFill="1" applyBorder="1" applyAlignment="1">
      <alignment horizontal="center" vertical="center"/>
    </xf>
    <xf numFmtId="0" fontId="21" fillId="16" borderId="0" xfId="21" applyFont="1" applyFill="1" applyAlignment="1">
      <alignment horizontal="center" vertical="center"/>
    </xf>
    <xf numFmtId="0" fontId="104" fillId="4" borderId="1" xfId="0" applyFont="1" applyFill="1" applyBorder="1" applyAlignment="1">
      <alignment horizontal="center" vertical="center" wrapText="1"/>
    </xf>
    <xf numFmtId="0" fontId="103" fillId="4" borderId="1" xfId="0" applyFont="1" applyFill="1" applyBorder="1" applyAlignment="1">
      <alignment horizontal="left" vertical="center" wrapText="1"/>
    </xf>
    <xf numFmtId="0" fontId="105" fillId="14" borderId="1" xfId="0" applyFont="1" applyFill="1" applyBorder="1" applyAlignment="1">
      <alignment horizontal="center" vertical="center" wrapText="1"/>
    </xf>
    <xf numFmtId="0" fontId="97" fillId="15" borderId="57" xfId="21" applyFont="1" applyFill="1" applyBorder="1" applyAlignment="1">
      <alignment horizontal="left" vertical="center" wrapText="1"/>
    </xf>
    <xf numFmtId="0" fontId="106" fillId="0" borderId="0" xfId="0" applyFont="1" applyAlignment="1">
      <alignment horizontal="center" vertical="center"/>
    </xf>
    <xf numFmtId="0" fontId="107" fillId="7" borderId="58" xfId="0" applyFont="1" applyFill="1" applyBorder="1" applyAlignment="1">
      <alignment horizontal="center" vertical="center" wrapText="1"/>
    </xf>
    <xf numFmtId="0" fontId="108" fillId="7" borderId="58" xfId="0" applyFont="1" applyFill="1" applyBorder="1" applyAlignment="1">
      <alignment horizontal="center" vertical="center" wrapText="1"/>
    </xf>
    <xf numFmtId="0" fontId="109" fillId="17" borderId="58" xfId="0" applyFont="1" applyFill="1" applyBorder="1" applyAlignment="1">
      <alignment horizontal="center" vertical="center" wrapText="1"/>
    </xf>
    <xf numFmtId="0" fontId="110" fillId="4" borderId="58" xfId="0" applyFont="1" applyFill="1" applyBorder="1" applyAlignment="1">
      <alignment horizontal="center" vertical="center" wrapText="1"/>
    </xf>
    <xf numFmtId="0" fontId="110" fillId="4" borderId="59" xfId="0" applyFont="1" applyFill="1" applyBorder="1" applyAlignment="1">
      <alignment horizontal="center" vertical="center" wrapText="1"/>
    </xf>
    <xf numFmtId="0" fontId="110" fillId="4" borderId="60" xfId="0" applyFont="1" applyFill="1" applyBorder="1" applyAlignment="1">
      <alignment horizontal="center" vertical="center" wrapText="1"/>
    </xf>
    <xf numFmtId="0" fontId="110" fillId="18" borderId="59" xfId="0" applyFont="1" applyFill="1" applyBorder="1" applyAlignment="1">
      <alignment horizontal="center" vertical="center" wrapText="1"/>
    </xf>
    <xf numFmtId="0" fontId="110" fillId="18" borderId="58" xfId="0" applyFont="1" applyFill="1" applyBorder="1" applyAlignment="1">
      <alignment horizontal="center" vertical="center" wrapText="1"/>
    </xf>
    <xf numFmtId="0" fontId="111" fillId="18" borderId="59" xfId="0" applyFont="1" applyFill="1" applyBorder="1" applyAlignment="1">
      <alignment horizontal="center" vertical="center" wrapText="1"/>
    </xf>
    <xf numFmtId="0" fontId="110" fillId="18" borderId="61" xfId="0" applyFont="1" applyFill="1" applyBorder="1" applyAlignment="1">
      <alignment horizontal="center" vertical="center" wrapText="1"/>
    </xf>
    <xf numFmtId="0" fontId="111" fillId="18" borderId="60" xfId="0" applyFont="1" applyFill="1" applyBorder="1" applyAlignment="1">
      <alignment horizontal="center" vertical="center" wrapText="1"/>
    </xf>
    <xf numFmtId="0" fontId="111" fillId="18" borderId="61" xfId="0" applyFont="1" applyFill="1" applyBorder="1" applyAlignment="1">
      <alignment horizontal="center" vertical="center" wrapText="1"/>
    </xf>
    <xf numFmtId="0" fontId="110" fillId="19" borderId="58" xfId="0" applyFont="1" applyFill="1" applyBorder="1" applyAlignment="1">
      <alignment horizontal="center" vertical="center" wrapText="1"/>
    </xf>
    <xf numFmtId="0" fontId="111" fillId="19" borderId="59" xfId="0" applyFont="1" applyFill="1" applyBorder="1" applyAlignment="1">
      <alignment horizontal="center" vertical="center" wrapText="1"/>
    </xf>
    <xf numFmtId="0" fontId="111" fillId="19" borderId="60" xfId="0" applyFont="1" applyFill="1" applyBorder="1" applyAlignment="1">
      <alignment horizontal="center" vertical="center" wrapText="1"/>
    </xf>
    <xf numFmtId="0" fontId="110" fillId="4" borderId="61" xfId="0" applyFont="1" applyFill="1" applyBorder="1" applyAlignment="1">
      <alignment horizontal="center" vertical="center" wrapText="1"/>
    </xf>
    <xf numFmtId="0" fontId="112" fillId="0" borderId="58" xfId="0" applyFont="1" applyBorder="1" applyAlignment="1">
      <alignment horizontal="center" vertical="center" wrapText="1"/>
    </xf>
    <xf numFmtId="0" fontId="106" fillId="0" borderId="58" xfId="0" applyFont="1" applyBorder="1" applyAlignment="1">
      <alignment horizontal="center" vertical="center"/>
    </xf>
    <xf numFmtId="192" fontId="110" fillId="4" borderId="58" xfId="0" applyNumberFormat="1" applyFont="1" applyFill="1" applyBorder="1" applyAlignment="1">
      <alignment horizontal="center" vertical="center" wrapText="1"/>
    </xf>
    <xf numFmtId="192" fontId="110" fillId="18" borderId="58" xfId="0" applyNumberFormat="1" applyFont="1" applyFill="1" applyBorder="1" applyAlignment="1">
      <alignment horizontal="center" vertical="center" wrapText="1"/>
    </xf>
    <xf numFmtId="192" fontId="110" fillId="19" borderId="58" xfId="0" applyNumberFormat="1" applyFont="1" applyFill="1" applyBorder="1" applyAlignment="1">
      <alignment horizontal="center" vertical="center" wrapText="1"/>
    </xf>
  </cellXfs>
  <cellStyles count="76">
    <cellStyle name="常规" xfId="0" builtinId="0"/>
    <cellStyle name="常规 7 12" xfId="1"/>
    <cellStyle name="常规 5" xfId="2"/>
    <cellStyle name="常规 4" xfId="3"/>
    <cellStyle name="常规 3 4" xfId="4"/>
    <cellStyle name="常规 3 2" xfId="5"/>
    <cellStyle name="常规 21" xfId="6"/>
    <cellStyle name="常规 2 22" xfId="7"/>
    <cellStyle name="常规 2" xfId="8"/>
    <cellStyle name="常规 17" xfId="9"/>
    <cellStyle name="常规 148" xfId="10"/>
    <cellStyle name="常规 13" xfId="11"/>
    <cellStyle name="Normal_Sheet1" xfId="12"/>
    <cellStyle name="40% - 强调文字颜色 3 3 5" xfId="13"/>
    <cellStyle name="常规 115" xfId="14"/>
    <cellStyle name="常规 133" xfId="15"/>
    <cellStyle name="百分比 2" xfId="16"/>
    <cellStyle name="常规 6" xfId="17"/>
    <cellStyle name="Currency [00] 3 3" xfId="18"/>
    <cellStyle name="60% - 强调文字颜色 6" xfId="19" builtinId="52"/>
    <cellStyle name="20% - 强调文字颜色 4" xfId="20" builtinId="42"/>
    <cellStyle name="常规 11 2 3" xfId="21"/>
    <cellStyle name="强调文字颜色 4" xfId="22" builtinId="41"/>
    <cellStyle name="常规 9" xfId="23"/>
    <cellStyle name="输入" xfId="24" builtinId="20"/>
    <cellStyle name="40% - 强调文字颜色 3" xfId="25" builtinId="39"/>
    <cellStyle name="20% - 强调文字颜色 3" xfId="26" builtinId="38"/>
    <cellStyle name="货币" xfId="27" builtinId="4"/>
    <cellStyle name="强调文字颜色 3" xfId="28" builtinId="37"/>
    <cellStyle name="百分比" xfId="29" builtinId="5"/>
    <cellStyle name="60% - 强调文字颜色 2" xfId="30" builtinId="36"/>
    <cellStyle name="60% - 强调文字颜色 5" xfId="31" builtinId="48"/>
    <cellStyle name="强调文字颜色 2" xfId="32" builtinId="33"/>
    <cellStyle name="常规_加拿大-亚马逊" xfId="33"/>
    <cellStyle name="60% - 强调文字颜色 1" xfId="34" builtinId="32"/>
    <cellStyle name="常规 2 3 8 2" xfId="35"/>
    <cellStyle name="60% - 强调文字颜色 4" xfId="36" builtinId="44"/>
    <cellStyle name="计算" xfId="37" builtinId="22"/>
    <cellStyle name="强调文字颜色 1" xfId="38" builtinId="29"/>
    <cellStyle name="适中" xfId="39" builtinId="28"/>
    <cellStyle name="20% - 强调文字颜色 5" xfId="40" builtinId="46"/>
    <cellStyle name="好" xfId="41" builtinId="26"/>
    <cellStyle name="20% - 强调文字颜色 1" xfId="42" builtinId="30"/>
    <cellStyle name="汇总" xfId="43" builtinId="25"/>
    <cellStyle name="差" xfId="44" builtinId="27"/>
    <cellStyle name="检查单元格" xfId="45" builtinId="23"/>
    <cellStyle name="输出" xfId="46" builtinId="21"/>
    <cellStyle name="常规 10 3" xfId="47"/>
    <cellStyle name="标题 1" xfId="48" builtinId="16"/>
    <cellStyle name="解释性文本" xfId="49" builtinId="53"/>
    <cellStyle name="20% - 强调文字颜色 2" xfId="50" builtinId="34"/>
    <cellStyle name="标题 4" xfId="51" builtinId="19"/>
    <cellStyle name="货币[0]" xfId="52" builtinId="7"/>
    <cellStyle name="常规 2 2" xfId="53"/>
    <cellStyle name="40% - 强调文字颜色 4" xfId="54" builtinId="43"/>
    <cellStyle name="千位分隔" xfId="55" builtinId="3"/>
    <cellStyle name="Standard_10TD" xfId="56"/>
    <cellStyle name="已访问的超链接" xfId="57" builtinId="9"/>
    <cellStyle name="常规 5 10 3" xfId="58"/>
    <cellStyle name="标题" xfId="59" builtinId="15"/>
    <cellStyle name="40% - 强调文字颜色 2" xfId="60" builtinId="35"/>
    <cellStyle name="警告文本" xfId="61" builtinId="11"/>
    <cellStyle name="60% - 强调文字颜色 3" xfId="62" builtinId="40"/>
    <cellStyle name="注释" xfId="63" builtinId="10"/>
    <cellStyle name="20% - 强调文字颜色 6" xfId="64" builtinId="50"/>
    <cellStyle name="强调文字颜色 5" xfId="65" builtinId="45"/>
    <cellStyle name="40% - 强调文字颜色 6" xfId="66" builtinId="51"/>
    <cellStyle name="超链接" xfId="67" builtinId="8"/>
    <cellStyle name="千位分隔[0]" xfId="68" builtinId="6"/>
    <cellStyle name="标题 2" xfId="69" builtinId="17"/>
    <cellStyle name="40% - 强调文字颜色 5" xfId="70" builtinId="47"/>
    <cellStyle name="标题 3" xfId="71" builtinId="18"/>
    <cellStyle name="强调文字颜色 6" xfId="72" builtinId="49"/>
    <cellStyle name="40% - 强调文字颜色 1" xfId="73" builtinId="31"/>
    <cellStyle name="常规 3" xfId="74"/>
    <cellStyle name="链接单元格" xfId="75" builtinId="24"/>
  </cellStyles>
  <dxfs count="1">
    <dxf>
      <font>
        <color rgb="FF9C0006"/>
      </font>
      <fill>
        <patternFill patternType="solid">
          <bgColor rgb="FFFFC7CE"/>
        </patternFill>
      </fill>
    </dxf>
  </dxfs>
  <tableStyles count="0" defaultTableStyle="TableStyleMedium2" defaultPivotStyle="PivotStyleLight16"/>
  <colors>
    <mruColors>
      <color rgb="00D6AFAA"/>
      <color rgb="00FFFF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7" Type="http://schemas.openxmlformats.org/officeDocument/2006/relationships/styles" Target="styles.xml"/><Relationship Id="rId36" Type="http://schemas.openxmlformats.org/officeDocument/2006/relationships/customXml" Target="../customXml/item4.xml"/><Relationship Id="rId35" Type="http://schemas.openxmlformats.org/officeDocument/2006/relationships/customXml" Target="../customXml/item3.xml"/><Relationship Id="rId34" Type="http://schemas.openxmlformats.org/officeDocument/2006/relationships/customXml" Target="../customXml/item2.xml"/><Relationship Id="rId33" Type="http://schemas.openxmlformats.org/officeDocument/2006/relationships/customXml" Target="../customXml/item1.xml"/><Relationship Id="rId32" Type="http://schemas.openxmlformats.org/officeDocument/2006/relationships/sharedStrings" Target="sharedStrings.xml"/><Relationship Id="rId31" Type="http://schemas.openxmlformats.org/officeDocument/2006/relationships/theme" Target="theme/theme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5.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2804160</xdr:colOff>
      <xdr:row>0</xdr:row>
      <xdr:rowOff>1393825</xdr:rowOff>
    </xdr:to>
    <xdr:pic>
      <xdr:nvPicPr>
        <xdr:cNvPr id="4" name="图片 3" descr="c911eb911a23dffe3d4e666e2e1cdaa"/>
        <xdr:cNvPicPr>
          <a:picLocks noChangeAspect="1"/>
        </xdr:cNvPicPr>
      </xdr:nvPicPr>
      <xdr:blipFill>
        <a:blip r:embed="rId1"/>
        <a:stretch>
          <a:fillRect/>
        </a:stretch>
      </xdr:blipFill>
      <xdr:spPr>
        <a:xfrm>
          <a:off x="0" y="0"/>
          <a:ext cx="2804160" cy="139382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58420</xdr:colOff>
      <xdr:row>1</xdr:row>
      <xdr:rowOff>67310</xdr:rowOff>
    </xdr:from>
    <xdr:to>
      <xdr:col>2</xdr:col>
      <xdr:colOff>1757680</xdr:colOff>
      <xdr:row>1</xdr:row>
      <xdr:rowOff>1461135</xdr:rowOff>
    </xdr:to>
    <xdr:pic>
      <xdr:nvPicPr>
        <xdr:cNvPr id="4" name="图片 3" descr="c911eb911a23dffe3d4e666e2e1cdaa"/>
        <xdr:cNvPicPr>
          <a:picLocks noChangeAspect="1"/>
        </xdr:cNvPicPr>
      </xdr:nvPicPr>
      <xdr:blipFill>
        <a:blip r:embed="rId1"/>
        <a:stretch>
          <a:fillRect/>
        </a:stretch>
      </xdr:blipFill>
      <xdr:spPr>
        <a:xfrm>
          <a:off x="180340" y="194945"/>
          <a:ext cx="2664460" cy="1393825"/>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10160</xdr:colOff>
      <xdr:row>0</xdr:row>
      <xdr:rowOff>25400</xdr:rowOff>
    </xdr:from>
    <xdr:to>
      <xdr:col>2</xdr:col>
      <xdr:colOff>0</xdr:colOff>
      <xdr:row>1</xdr:row>
      <xdr:rowOff>1061720</xdr:rowOff>
    </xdr:to>
    <xdr:pic>
      <xdr:nvPicPr>
        <xdr:cNvPr id="3" name="图片 2" descr="c911eb911a23dffe3d4e666e2e1cdaa"/>
        <xdr:cNvPicPr>
          <a:picLocks noChangeAspect="1"/>
        </xdr:cNvPicPr>
      </xdr:nvPicPr>
      <xdr:blipFill>
        <a:blip r:embed="rId1"/>
        <a:stretch>
          <a:fillRect/>
        </a:stretch>
      </xdr:blipFill>
      <xdr:spPr>
        <a:xfrm>
          <a:off x="132080" y="25400"/>
          <a:ext cx="2067560" cy="1061720"/>
        </a:xfrm>
        <a:prstGeom prst="rect">
          <a:avLst/>
        </a:prstGeom>
      </xdr:spPr>
    </xdr:pic>
    <xdr:clientData/>
  </xdr:twoCellAnchor>
  <xdr:twoCellAnchor editAs="oneCell">
    <xdr:from>
      <xdr:col>1</xdr:col>
      <xdr:colOff>9525</xdr:colOff>
      <xdr:row>1</xdr:row>
      <xdr:rowOff>0</xdr:rowOff>
    </xdr:from>
    <xdr:to>
      <xdr:col>2</xdr:col>
      <xdr:colOff>285115</xdr:colOff>
      <xdr:row>1</xdr:row>
      <xdr:rowOff>1263650</xdr:rowOff>
    </xdr:to>
    <xdr:pic>
      <xdr:nvPicPr>
        <xdr:cNvPr id="4" name="图片 3" descr="c911eb911a23dffe3d4e666e2e1cdaa"/>
        <xdr:cNvPicPr>
          <a:picLocks noChangeAspect="1"/>
        </xdr:cNvPicPr>
      </xdr:nvPicPr>
      <xdr:blipFill>
        <a:blip r:embed="rId1"/>
        <a:stretch>
          <a:fillRect/>
        </a:stretch>
      </xdr:blipFill>
      <xdr:spPr>
        <a:xfrm>
          <a:off x="131445" y="25400"/>
          <a:ext cx="2353310" cy="1263650"/>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2026920</xdr:colOff>
      <xdr:row>0</xdr:row>
      <xdr:rowOff>1061720</xdr:rowOff>
    </xdr:to>
    <xdr:pic>
      <xdr:nvPicPr>
        <xdr:cNvPr id="2" name="图片 1" descr="c911eb911a23dffe3d4e666e2e1cdaa"/>
        <xdr:cNvPicPr>
          <a:picLocks noChangeAspect="1"/>
        </xdr:cNvPicPr>
      </xdr:nvPicPr>
      <xdr:blipFill>
        <a:blip r:embed="rId1"/>
        <a:stretch>
          <a:fillRect/>
        </a:stretch>
      </xdr:blipFill>
      <xdr:spPr>
        <a:xfrm>
          <a:off x="0" y="0"/>
          <a:ext cx="2026920" cy="1061720"/>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2026920</xdr:colOff>
      <xdr:row>0</xdr:row>
      <xdr:rowOff>1061720</xdr:rowOff>
    </xdr:to>
    <xdr:pic>
      <xdr:nvPicPr>
        <xdr:cNvPr id="2" name="图片 1" descr="c911eb911a23dffe3d4e666e2e1cdaa"/>
        <xdr:cNvPicPr>
          <a:picLocks noChangeAspect="1"/>
        </xdr:cNvPicPr>
      </xdr:nvPicPr>
      <xdr:blipFill>
        <a:blip r:embed="rId1"/>
        <a:stretch>
          <a:fillRect/>
        </a:stretch>
      </xdr:blipFill>
      <xdr:spPr>
        <a:xfrm>
          <a:off x="0" y="0"/>
          <a:ext cx="2026920" cy="1061720"/>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49530</xdr:colOff>
      <xdr:row>0</xdr:row>
      <xdr:rowOff>53340</xdr:rowOff>
    </xdr:from>
    <xdr:to>
      <xdr:col>0</xdr:col>
      <xdr:colOff>6026785</xdr:colOff>
      <xdr:row>0</xdr:row>
      <xdr:rowOff>2970530</xdr:rowOff>
    </xdr:to>
    <xdr:pic>
      <xdr:nvPicPr>
        <xdr:cNvPr id="2" name="图片 1" descr="c911eb911a23dffe3d4e666e2e1cdaa"/>
        <xdr:cNvPicPr>
          <a:picLocks noChangeAspect="1"/>
        </xdr:cNvPicPr>
      </xdr:nvPicPr>
      <xdr:blipFill>
        <a:blip r:embed="rId1"/>
        <a:stretch>
          <a:fillRect/>
        </a:stretch>
      </xdr:blipFill>
      <xdr:spPr>
        <a:xfrm>
          <a:off x="49530" y="53340"/>
          <a:ext cx="5977255" cy="2917190"/>
        </a:xfrm>
        <a:prstGeom prst="rect">
          <a:avLst/>
        </a:prstGeom>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163830</xdr:colOff>
      <xdr:row>0</xdr:row>
      <xdr:rowOff>47625</xdr:rowOff>
    </xdr:from>
    <xdr:to>
      <xdr:col>1</xdr:col>
      <xdr:colOff>2450465</xdr:colOff>
      <xdr:row>0</xdr:row>
      <xdr:rowOff>1237615</xdr:rowOff>
    </xdr:to>
    <xdr:pic>
      <xdr:nvPicPr>
        <xdr:cNvPr id="4827" name="图片 4826" descr="c911eb911a23dffe3d4e666e2e1cdaa"/>
        <xdr:cNvPicPr>
          <a:picLocks noChangeAspect="1"/>
        </xdr:cNvPicPr>
      </xdr:nvPicPr>
      <xdr:blipFill>
        <a:blip r:embed="rId1"/>
        <a:stretch>
          <a:fillRect/>
        </a:stretch>
      </xdr:blipFill>
      <xdr:spPr>
        <a:xfrm>
          <a:off x="300990" y="47625"/>
          <a:ext cx="2286635" cy="1189990"/>
        </a:xfrm>
        <a:prstGeom prst="rect">
          <a:avLst/>
        </a:prstGeom>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10160</xdr:colOff>
      <xdr:row>0</xdr:row>
      <xdr:rowOff>25400</xdr:rowOff>
    </xdr:from>
    <xdr:to>
      <xdr:col>2</xdr:col>
      <xdr:colOff>0</xdr:colOff>
      <xdr:row>1</xdr:row>
      <xdr:rowOff>1061720</xdr:rowOff>
    </xdr:to>
    <xdr:pic>
      <xdr:nvPicPr>
        <xdr:cNvPr id="2" name="图片 1" descr="c911eb911a23dffe3d4e666e2e1cdaa"/>
        <xdr:cNvPicPr>
          <a:picLocks noChangeAspect="1"/>
        </xdr:cNvPicPr>
      </xdr:nvPicPr>
      <xdr:blipFill>
        <a:blip r:embed="rId1"/>
        <a:stretch>
          <a:fillRect/>
        </a:stretch>
      </xdr:blipFill>
      <xdr:spPr>
        <a:xfrm>
          <a:off x="132080" y="25400"/>
          <a:ext cx="2067560" cy="1061720"/>
        </a:xfrm>
        <a:prstGeom prst="rect">
          <a:avLst/>
        </a:prstGeom>
      </xdr:spPr>
    </xdr:pic>
    <xdr:clientData/>
  </xdr:twoCellAnchor>
  <xdr:twoCellAnchor editAs="oneCell">
    <xdr:from>
      <xdr:col>1</xdr:col>
      <xdr:colOff>9525</xdr:colOff>
      <xdr:row>1</xdr:row>
      <xdr:rowOff>0</xdr:rowOff>
    </xdr:from>
    <xdr:to>
      <xdr:col>2</xdr:col>
      <xdr:colOff>285115</xdr:colOff>
      <xdr:row>1</xdr:row>
      <xdr:rowOff>1263650</xdr:rowOff>
    </xdr:to>
    <xdr:pic>
      <xdr:nvPicPr>
        <xdr:cNvPr id="5" name="图片 4" descr="c911eb911a23dffe3d4e666e2e1cdaa"/>
        <xdr:cNvPicPr>
          <a:picLocks noChangeAspect="1"/>
        </xdr:cNvPicPr>
      </xdr:nvPicPr>
      <xdr:blipFill>
        <a:blip r:embed="rId1"/>
        <a:stretch>
          <a:fillRect/>
        </a:stretch>
      </xdr:blipFill>
      <xdr:spPr>
        <a:xfrm>
          <a:off x="131445" y="25400"/>
          <a:ext cx="2353310" cy="1263650"/>
        </a:xfrm>
        <a:prstGeom prst="rect">
          <a:avLst/>
        </a:prstGeom>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10160</xdr:colOff>
      <xdr:row>0</xdr:row>
      <xdr:rowOff>25400</xdr:rowOff>
    </xdr:from>
    <xdr:to>
      <xdr:col>2</xdr:col>
      <xdr:colOff>0</xdr:colOff>
      <xdr:row>1</xdr:row>
      <xdr:rowOff>1061720</xdr:rowOff>
    </xdr:to>
    <xdr:pic>
      <xdr:nvPicPr>
        <xdr:cNvPr id="2" name="图片 1" descr="c911eb911a23dffe3d4e666e2e1cdaa"/>
        <xdr:cNvPicPr>
          <a:picLocks noChangeAspect="1"/>
        </xdr:cNvPicPr>
      </xdr:nvPicPr>
      <xdr:blipFill>
        <a:blip r:embed="rId1"/>
        <a:stretch>
          <a:fillRect/>
        </a:stretch>
      </xdr:blipFill>
      <xdr:spPr>
        <a:xfrm>
          <a:off x="132080" y="25400"/>
          <a:ext cx="2067560" cy="1061720"/>
        </a:xfrm>
        <a:prstGeom prst="rect">
          <a:avLst/>
        </a:prstGeom>
      </xdr:spPr>
    </xdr:pic>
    <xdr:clientData/>
  </xdr:twoCellAnchor>
  <xdr:twoCellAnchor editAs="oneCell">
    <xdr:from>
      <xdr:col>1</xdr:col>
      <xdr:colOff>9525</xdr:colOff>
      <xdr:row>1</xdr:row>
      <xdr:rowOff>0</xdr:rowOff>
    </xdr:from>
    <xdr:to>
      <xdr:col>2</xdr:col>
      <xdr:colOff>285115</xdr:colOff>
      <xdr:row>1</xdr:row>
      <xdr:rowOff>1263650</xdr:rowOff>
    </xdr:to>
    <xdr:pic>
      <xdr:nvPicPr>
        <xdr:cNvPr id="3" name="图片 2" descr="c911eb911a23dffe3d4e666e2e1cdaa"/>
        <xdr:cNvPicPr>
          <a:picLocks noChangeAspect="1"/>
        </xdr:cNvPicPr>
      </xdr:nvPicPr>
      <xdr:blipFill>
        <a:blip r:embed="rId1"/>
        <a:stretch>
          <a:fillRect/>
        </a:stretch>
      </xdr:blipFill>
      <xdr:spPr>
        <a:xfrm>
          <a:off x="131445" y="25400"/>
          <a:ext cx="2353310" cy="1263650"/>
        </a:xfrm>
        <a:prstGeom prst="rect">
          <a:avLst/>
        </a:prstGeom>
      </xdr:spPr>
    </xdr:pic>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5715</xdr:colOff>
      <xdr:row>0</xdr:row>
      <xdr:rowOff>5715</xdr:rowOff>
    </xdr:from>
    <xdr:to>
      <xdr:col>1</xdr:col>
      <xdr:colOff>41275</xdr:colOff>
      <xdr:row>1</xdr:row>
      <xdr:rowOff>1040765</xdr:rowOff>
    </xdr:to>
    <xdr:pic>
      <xdr:nvPicPr>
        <xdr:cNvPr id="2" name="图片 1" descr="c911eb911a23dffe3d4e666e2e1cdaa"/>
        <xdr:cNvPicPr>
          <a:picLocks noChangeAspect="1"/>
        </xdr:cNvPicPr>
      </xdr:nvPicPr>
      <xdr:blipFill>
        <a:blip r:embed="rId1"/>
        <a:stretch>
          <a:fillRect/>
        </a:stretch>
      </xdr:blipFill>
      <xdr:spPr>
        <a:xfrm>
          <a:off x="5715" y="5715"/>
          <a:ext cx="4516120" cy="2203450"/>
        </a:xfrm>
        <a:prstGeom prst="rect">
          <a:avLst/>
        </a:prstGeom>
      </xdr:spPr>
    </xdr:pic>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49530</xdr:colOff>
      <xdr:row>0</xdr:row>
      <xdr:rowOff>53340</xdr:rowOff>
    </xdr:from>
    <xdr:to>
      <xdr:col>0</xdr:col>
      <xdr:colOff>6026785</xdr:colOff>
      <xdr:row>0</xdr:row>
      <xdr:rowOff>2970530</xdr:rowOff>
    </xdr:to>
    <xdr:pic>
      <xdr:nvPicPr>
        <xdr:cNvPr id="4" name="图片 3" descr="c911eb911a23dffe3d4e666e2e1cdaa"/>
        <xdr:cNvPicPr>
          <a:picLocks noChangeAspect="1"/>
        </xdr:cNvPicPr>
      </xdr:nvPicPr>
      <xdr:blipFill>
        <a:blip r:embed="rId1"/>
        <a:stretch>
          <a:fillRect/>
        </a:stretch>
      </xdr:blipFill>
      <xdr:spPr>
        <a:xfrm>
          <a:off x="49530" y="53340"/>
          <a:ext cx="5977255" cy="2917190"/>
        </a:xfrm>
        <a:prstGeom prst="rect">
          <a:avLst/>
        </a:prstGeom>
      </xdr:spPr>
    </xdr:pic>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49530</xdr:colOff>
      <xdr:row>0</xdr:row>
      <xdr:rowOff>53340</xdr:rowOff>
    </xdr:from>
    <xdr:to>
      <xdr:col>0</xdr:col>
      <xdr:colOff>6026785</xdr:colOff>
      <xdr:row>0</xdr:row>
      <xdr:rowOff>2970530</xdr:rowOff>
    </xdr:to>
    <xdr:pic>
      <xdr:nvPicPr>
        <xdr:cNvPr id="2" name="图片 1" descr="c911eb911a23dffe3d4e666e2e1cdaa"/>
        <xdr:cNvPicPr>
          <a:picLocks noChangeAspect="1"/>
        </xdr:cNvPicPr>
      </xdr:nvPicPr>
      <xdr:blipFill>
        <a:blip r:embed="rId1"/>
        <a:stretch>
          <a:fillRect/>
        </a:stretch>
      </xdr:blipFill>
      <xdr:spPr>
        <a:xfrm>
          <a:off x="49530" y="53340"/>
          <a:ext cx="5977255" cy="2917190"/>
        </a:xfrm>
        <a:prstGeom prst="rect">
          <a:avLst/>
        </a:prstGeom>
      </xdr:spPr>
    </xdr:pic>
    <xdr:clientData/>
  </xdr:twoCellAnchor>
  <xdr:twoCellAnchor editAs="oneCell">
    <xdr:from>
      <xdr:col>0</xdr:col>
      <xdr:colOff>239395</xdr:colOff>
      <xdr:row>8</xdr:row>
      <xdr:rowOff>1320165</xdr:rowOff>
    </xdr:from>
    <xdr:to>
      <xdr:col>1</xdr:col>
      <xdr:colOff>10443845</xdr:colOff>
      <xdr:row>21</xdr:row>
      <xdr:rowOff>562610</xdr:rowOff>
    </xdr:to>
    <xdr:pic>
      <xdr:nvPicPr>
        <xdr:cNvPr id="3" name="图片 2" descr="247ee0b2bf3742ab8bc9e2e5d087790"/>
        <xdr:cNvPicPr>
          <a:picLocks noChangeAspect="1"/>
        </xdr:cNvPicPr>
      </xdr:nvPicPr>
      <xdr:blipFill>
        <a:blip r:embed="rId2"/>
        <a:stretch>
          <a:fillRect/>
        </a:stretch>
      </xdr:blipFill>
      <xdr:spPr>
        <a:xfrm>
          <a:off x="239395" y="14286865"/>
          <a:ext cx="24134445" cy="16577945"/>
        </a:xfrm>
        <a:prstGeom prst="rect">
          <a:avLst/>
        </a:prstGeom>
      </xdr:spPr>
    </xdr:pic>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1424305</xdr:colOff>
      <xdr:row>0</xdr:row>
      <xdr:rowOff>39370</xdr:rowOff>
    </xdr:from>
    <xdr:to>
      <xdr:col>5</xdr:col>
      <xdr:colOff>2124075</xdr:colOff>
      <xdr:row>0</xdr:row>
      <xdr:rowOff>931545</xdr:rowOff>
    </xdr:to>
    <xdr:pic>
      <xdr:nvPicPr>
        <xdr:cNvPr id="3" name="图片 5" descr="微信截图_20230128135715"/>
        <xdr:cNvPicPr>
          <a:picLocks noChangeAspect="1"/>
        </xdr:cNvPicPr>
      </xdr:nvPicPr>
      <xdr:blipFill>
        <a:blip r:embed="rId1">
          <a:clrChange>
            <a:clrFrom>
              <a:srgbClr val="FCFEFC"/>
            </a:clrFrom>
            <a:clrTo>
              <a:srgbClr val="FCFEFC">
                <a:alpha val="0"/>
              </a:srgbClr>
            </a:clrTo>
          </a:clrChange>
        </a:blip>
        <a:stretch>
          <a:fillRect/>
        </a:stretch>
      </xdr:blipFill>
      <xdr:spPr>
        <a:xfrm>
          <a:off x="11934825" y="39370"/>
          <a:ext cx="3128010" cy="892175"/>
        </a:xfrm>
        <a:prstGeom prst="rect">
          <a:avLst/>
        </a:prstGeom>
        <a:noFill/>
        <a:ln w="9525">
          <a:noFill/>
        </a:ln>
      </xdr:spPr>
    </xdr:pic>
    <xdr:clientData/>
  </xdr:twoCellAnchor>
  <xdr:twoCellAnchor editAs="oneCell">
    <xdr:from>
      <xdr:col>0</xdr:col>
      <xdr:colOff>695325</xdr:colOff>
      <xdr:row>0</xdr:row>
      <xdr:rowOff>635</xdr:rowOff>
    </xdr:from>
    <xdr:to>
      <xdr:col>0</xdr:col>
      <xdr:colOff>2600325</xdr:colOff>
      <xdr:row>0</xdr:row>
      <xdr:rowOff>986790</xdr:rowOff>
    </xdr:to>
    <xdr:pic>
      <xdr:nvPicPr>
        <xdr:cNvPr id="5" name="图片 4" descr="c911eb911a23dffe3d4e666e2e1cdaa"/>
        <xdr:cNvPicPr>
          <a:picLocks noChangeAspect="1"/>
        </xdr:cNvPicPr>
      </xdr:nvPicPr>
      <xdr:blipFill>
        <a:blip r:embed="rId2"/>
        <a:stretch>
          <a:fillRect/>
        </a:stretch>
      </xdr:blipFill>
      <xdr:spPr>
        <a:xfrm>
          <a:off x="695325" y="635"/>
          <a:ext cx="1905000" cy="986155"/>
        </a:xfrm>
        <a:prstGeom prst="rect">
          <a:avLst/>
        </a:prstGeom>
      </xdr:spPr>
    </xdr:pic>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49530</xdr:colOff>
      <xdr:row>0</xdr:row>
      <xdr:rowOff>53340</xdr:rowOff>
    </xdr:from>
    <xdr:to>
      <xdr:col>0</xdr:col>
      <xdr:colOff>6026785</xdr:colOff>
      <xdr:row>0</xdr:row>
      <xdr:rowOff>2970530</xdr:rowOff>
    </xdr:to>
    <xdr:pic>
      <xdr:nvPicPr>
        <xdr:cNvPr id="3" name="图片 2" descr="c911eb911a23dffe3d4e666e2e1cdaa"/>
        <xdr:cNvPicPr>
          <a:picLocks noChangeAspect="1"/>
        </xdr:cNvPicPr>
      </xdr:nvPicPr>
      <xdr:blipFill>
        <a:blip r:embed="rId1"/>
        <a:stretch>
          <a:fillRect/>
        </a:stretch>
      </xdr:blipFill>
      <xdr:spPr>
        <a:xfrm>
          <a:off x="49530" y="53340"/>
          <a:ext cx="5977255" cy="2917190"/>
        </a:xfrm>
        <a:prstGeom prst="rect">
          <a:avLst/>
        </a:prstGeom>
      </xdr:spPr>
    </xdr:pic>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49530</xdr:colOff>
      <xdr:row>0</xdr:row>
      <xdr:rowOff>53340</xdr:rowOff>
    </xdr:from>
    <xdr:to>
      <xdr:col>0</xdr:col>
      <xdr:colOff>6026785</xdr:colOff>
      <xdr:row>0</xdr:row>
      <xdr:rowOff>2970530</xdr:rowOff>
    </xdr:to>
    <xdr:pic>
      <xdr:nvPicPr>
        <xdr:cNvPr id="3" name="图片 2" descr="c911eb911a23dffe3d4e666e2e1cdaa"/>
        <xdr:cNvPicPr>
          <a:picLocks noChangeAspect="1"/>
        </xdr:cNvPicPr>
      </xdr:nvPicPr>
      <xdr:blipFill>
        <a:blip r:embed="rId1"/>
        <a:stretch>
          <a:fillRect/>
        </a:stretch>
      </xdr:blipFill>
      <xdr:spPr>
        <a:xfrm>
          <a:off x="49530" y="53340"/>
          <a:ext cx="5977255" cy="2917190"/>
        </a:xfrm>
        <a:prstGeom prst="rect">
          <a:avLst/>
        </a:prstGeom>
      </xdr:spPr>
    </xdr:pic>
    <xdr:clientData/>
  </xdr:twoCellAnchor>
</xdr:wsDr>
</file>

<file path=xl/drawings/drawing1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49530</xdr:colOff>
      <xdr:row>0</xdr:row>
      <xdr:rowOff>53340</xdr:rowOff>
    </xdr:from>
    <xdr:to>
      <xdr:col>0</xdr:col>
      <xdr:colOff>6026785</xdr:colOff>
      <xdr:row>0</xdr:row>
      <xdr:rowOff>2970530</xdr:rowOff>
    </xdr:to>
    <xdr:pic>
      <xdr:nvPicPr>
        <xdr:cNvPr id="4" name="图片 3" descr="c911eb911a23dffe3d4e666e2e1cdaa"/>
        <xdr:cNvPicPr>
          <a:picLocks noChangeAspect="1"/>
        </xdr:cNvPicPr>
      </xdr:nvPicPr>
      <xdr:blipFill>
        <a:blip r:embed="rId1"/>
        <a:stretch>
          <a:fillRect/>
        </a:stretch>
      </xdr:blipFill>
      <xdr:spPr>
        <a:xfrm>
          <a:off x="49530" y="53340"/>
          <a:ext cx="5977255" cy="2917190"/>
        </a:xfrm>
        <a:prstGeom prst="rect">
          <a:avLst/>
        </a:prstGeom>
      </xdr:spPr>
    </xdr:pic>
    <xdr:clientData/>
  </xdr:twoCellAnchor>
</xdr:wsDr>
</file>

<file path=xl/drawings/drawing1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49530</xdr:colOff>
      <xdr:row>0</xdr:row>
      <xdr:rowOff>53340</xdr:rowOff>
    </xdr:from>
    <xdr:to>
      <xdr:col>0</xdr:col>
      <xdr:colOff>6026785</xdr:colOff>
      <xdr:row>0</xdr:row>
      <xdr:rowOff>2970530</xdr:rowOff>
    </xdr:to>
    <xdr:pic>
      <xdr:nvPicPr>
        <xdr:cNvPr id="3" name="图片 2" descr="c911eb911a23dffe3d4e666e2e1cdaa"/>
        <xdr:cNvPicPr>
          <a:picLocks noChangeAspect="1"/>
        </xdr:cNvPicPr>
      </xdr:nvPicPr>
      <xdr:blipFill>
        <a:blip r:embed="rId1"/>
        <a:stretch>
          <a:fillRect/>
        </a:stretch>
      </xdr:blipFill>
      <xdr:spPr>
        <a:xfrm>
          <a:off x="49530" y="53340"/>
          <a:ext cx="5977255" cy="2917190"/>
        </a:xfrm>
        <a:prstGeom prst="rect">
          <a:avLst/>
        </a:prstGeom>
      </xdr:spPr>
    </xdr:pic>
    <xdr:clientData/>
  </xdr:twoCellAnchor>
</xdr:wsDr>
</file>

<file path=xl/drawings/drawing1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695325</xdr:colOff>
      <xdr:row>0</xdr:row>
      <xdr:rowOff>635</xdr:rowOff>
    </xdr:from>
    <xdr:to>
      <xdr:col>0</xdr:col>
      <xdr:colOff>2600325</xdr:colOff>
      <xdr:row>0</xdr:row>
      <xdr:rowOff>986790</xdr:rowOff>
    </xdr:to>
    <xdr:pic>
      <xdr:nvPicPr>
        <xdr:cNvPr id="3" name="图片 2" descr="c911eb911a23dffe3d4e666e2e1cdaa"/>
        <xdr:cNvPicPr>
          <a:picLocks noChangeAspect="1"/>
        </xdr:cNvPicPr>
      </xdr:nvPicPr>
      <xdr:blipFill>
        <a:blip r:embed="rId1"/>
        <a:stretch>
          <a:fillRect/>
        </a:stretch>
      </xdr:blipFill>
      <xdr:spPr>
        <a:xfrm>
          <a:off x="695325" y="635"/>
          <a:ext cx="1905000" cy="986155"/>
        </a:xfrm>
        <a:prstGeom prst="rect">
          <a:avLst/>
        </a:prstGeom>
      </xdr:spPr>
    </xdr:pic>
    <xdr:clientData/>
  </xdr:twoCellAnchor>
  <xdr:twoCellAnchor editAs="oneCell">
    <xdr:from>
      <xdr:col>5</xdr:col>
      <xdr:colOff>1496060</xdr:colOff>
      <xdr:row>0</xdr:row>
      <xdr:rowOff>120650</xdr:rowOff>
    </xdr:from>
    <xdr:to>
      <xdr:col>5</xdr:col>
      <xdr:colOff>4234180</xdr:colOff>
      <xdr:row>0</xdr:row>
      <xdr:rowOff>2675255</xdr:rowOff>
    </xdr:to>
    <xdr:pic>
      <xdr:nvPicPr>
        <xdr:cNvPr id="5" name="图片 4"/>
        <xdr:cNvPicPr>
          <a:picLocks noChangeAspect="1"/>
        </xdr:cNvPicPr>
      </xdr:nvPicPr>
      <xdr:blipFill>
        <a:blip r:embed="rId2"/>
        <a:stretch>
          <a:fillRect/>
        </a:stretch>
      </xdr:blipFill>
      <xdr:spPr>
        <a:xfrm>
          <a:off x="28593415" y="120650"/>
          <a:ext cx="2738120" cy="2554605"/>
        </a:xfrm>
        <a:prstGeom prst="rect">
          <a:avLst/>
        </a:prstGeom>
        <a:noFill/>
        <a:ln w="9525">
          <a:noFill/>
        </a:ln>
      </xdr:spPr>
    </xdr:pic>
    <xdr:clientData/>
  </xdr:twoCellAnchor>
  <xdr:twoCellAnchor editAs="oneCell">
    <xdr:from>
      <xdr:col>0</xdr:col>
      <xdr:colOff>49530</xdr:colOff>
      <xdr:row>0</xdr:row>
      <xdr:rowOff>53340</xdr:rowOff>
    </xdr:from>
    <xdr:to>
      <xdr:col>0</xdr:col>
      <xdr:colOff>6026785</xdr:colOff>
      <xdr:row>0</xdr:row>
      <xdr:rowOff>2970530</xdr:rowOff>
    </xdr:to>
    <xdr:pic>
      <xdr:nvPicPr>
        <xdr:cNvPr id="2" name="图片 1" descr="c911eb911a23dffe3d4e666e2e1cdaa"/>
        <xdr:cNvPicPr>
          <a:picLocks noChangeAspect="1"/>
        </xdr:cNvPicPr>
      </xdr:nvPicPr>
      <xdr:blipFill>
        <a:blip r:embed="rId1"/>
        <a:stretch>
          <a:fillRect/>
        </a:stretch>
      </xdr:blipFill>
      <xdr:spPr>
        <a:xfrm>
          <a:off x="49530" y="53340"/>
          <a:ext cx="5977255" cy="2917190"/>
        </a:xfrm>
        <a:prstGeom prst="rect">
          <a:avLst/>
        </a:prstGeom>
      </xdr:spPr>
    </xdr:pic>
    <xdr:clientData/>
  </xdr:twoCellAnchor>
</xdr:wsDr>
</file>

<file path=xl/drawings/drawing1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695325</xdr:colOff>
      <xdr:row>0</xdr:row>
      <xdr:rowOff>635</xdr:rowOff>
    </xdr:from>
    <xdr:to>
      <xdr:col>0</xdr:col>
      <xdr:colOff>2600325</xdr:colOff>
      <xdr:row>0</xdr:row>
      <xdr:rowOff>986790</xdr:rowOff>
    </xdr:to>
    <xdr:pic>
      <xdr:nvPicPr>
        <xdr:cNvPr id="2" name="图片 1" descr="c911eb911a23dffe3d4e666e2e1cdaa"/>
        <xdr:cNvPicPr>
          <a:picLocks noChangeAspect="1"/>
        </xdr:cNvPicPr>
      </xdr:nvPicPr>
      <xdr:blipFill>
        <a:blip r:embed="rId1"/>
        <a:stretch>
          <a:fillRect/>
        </a:stretch>
      </xdr:blipFill>
      <xdr:spPr>
        <a:xfrm>
          <a:off x="695325" y="635"/>
          <a:ext cx="1905000" cy="986155"/>
        </a:xfrm>
        <a:prstGeom prst="rect">
          <a:avLst/>
        </a:prstGeom>
      </xdr:spPr>
    </xdr:pic>
    <xdr:clientData/>
  </xdr:twoCellAnchor>
  <xdr:twoCellAnchor editAs="oneCell">
    <xdr:from>
      <xdr:col>5</xdr:col>
      <xdr:colOff>143510</xdr:colOff>
      <xdr:row>0</xdr:row>
      <xdr:rowOff>635</xdr:rowOff>
    </xdr:from>
    <xdr:to>
      <xdr:col>5</xdr:col>
      <xdr:colOff>1167765</xdr:colOff>
      <xdr:row>0</xdr:row>
      <xdr:rowOff>956310</xdr:rowOff>
    </xdr:to>
    <xdr:pic>
      <xdr:nvPicPr>
        <xdr:cNvPr id="4" name="图片 3"/>
        <xdr:cNvPicPr>
          <a:picLocks noChangeAspect="1"/>
        </xdr:cNvPicPr>
      </xdr:nvPicPr>
      <xdr:blipFill>
        <a:blip r:embed="rId2"/>
        <a:stretch>
          <a:fillRect/>
        </a:stretch>
      </xdr:blipFill>
      <xdr:spPr>
        <a:xfrm>
          <a:off x="10816590" y="635"/>
          <a:ext cx="1024255" cy="955675"/>
        </a:xfrm>
        <a:prstGeom prst="rect">
          <a:avLst/>
        </a:prstGeom>
        <a:noFill/>
        <a:ln w="9525">
          <a:noFill/>
        </a:ln>
      </xdr:spPr>
    </xdr:pic>
    <xdr:clientData/>
  </xdr:twoCellAnchor>
</xdr:wsDr>
</file>

<file path=xl/drawings/drawing20.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1</xdr:row>
      <xdr:rowOff>22225</xdr:rowOff>
    </xdr:from>
    <xdr:to>
      <xdr:col>1</xdr:col>
      <xdr:colOff>2095500</xdr:colOff>
      <xdr:row>1</xdr:row>
      <xdr:rowOff>1116965</xdr:rowOff>
    </xdr:to>
    <xdr:pic>
      <xdr:nvPicPr>
        <xdr:cNvPr id="2" name="图片 1" descr="c911eb911a23dffe3d4e666e2e1cdaa"/>
        <xdr:cNvPicPr>
          <a:picLocks noChangeAspect="1"/>
        </xdr:cNvPicPr>
      </xdr:nvPicPr>
      <xdr:blipFill>
        <a:blip r:embed="rId1"/>
        <a:stretch>
          <a:fillRect/>
        </a:stretch>
      </xdr:blipFill>
      <xdr:spPr>
        <a:xfrm>
          <a:off x="121920" y="22225"/>
          <a:ext cx="2095500" cy="1094740"/>
        </a:xfrm>
        <a:prstGeom prst="rect">
          <a:avLst/>
        </a:prstGeom>
      </xdr:spPr>
    </xdr:pic>
    <xdr:clientData/>
  </xdr:twoCellAnchor>
  <xdr:twoCellAnchor editAs="oneCell">
    <xdr:from>
      <xdr:col>1</xdr:col>
      <xdr:colOff>9525</xdr:colOff>
      <xdr:row>1</xdr:row>
      <xdr:rowOff>635</xdr:rowOff>
    </xdr:from>
    <xdr:to>
      <xdr:col>1</xdr:col>
      <xdr:colOff>2961005</xdr:colOff>
      <xdr:row>2</xdr:row>
      <xdr:rowOff>391160</xdr:rowOff>
    </xdr:to>
    <xdr:pic>
      <xdr:nvPicPr>
        <xdr:cNvPr id="3" name="图片 2" descr="c911eb911a23dffe3d4e666e2e1cdaa"/>
        <xdr:cNvPicPr>
          <a:picLocks noChangeAspect="1"/>
        </xdr:cNvPicPr>
      </xdr:nvPicPr>
      <xdr:blipFill>
        <a:blip r:embed="rId1"/>
        <a:stretch>
          <a:fillRect/>
        </a:stretch>
      </xdr:blipFill>
      <xdr:spPr>
        <a:xfrm>
          <a:off x="131445" y="635"/>
          <a:ext cx="2951480" cy="1546860"/>
        </a:xfrm>
        <a:prstGeom prst="rect">
          <a:avLst/>
        </a:prstGeom>
      </xdr:spPr>
    </xdr:pic>
    <xdr:clientData/>
  </xdr:twoCellAnchor>
  <xdr:twoCellAnchor>
    <xdr:from>
      <xdr:col>8</xdr:col>
      <xdr:colOff>123825</xdr:colOff>
      <xdr:row>15</xdr:row>
      <xdr:rowOff>0</xdr:rowOff>
    </xdr:from>
    <xdr:to>
      <xdr:col>8</xdr:col>
      <xdr:colOff>123825</xdr:colOff>
      <xdr:row>21</xdr:row>
      <xdr:rowOff>76200</xdr:rowOff>
    </xdr:to>
    <xdr:sp>
      <xdr:nvSpPr>
        <xdr:cNvPr id="4" name="矩形 14"/>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5" name="矩形 15"/>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6" name="矩形 16"/>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7" name="矩形 17"/>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8" name="矩形 18"/>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9" name="矩形 19"/>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10" name="矩形 20"/>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11" name="矩形 21"/>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12" name="矩形 22"/>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13" name="矩形 23"/>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14" name="矩形 24"/>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15" name="矩形 25"/>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16" name="矩形 26"/>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17" name="矩形 16"/>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18" name="矩形 17"/>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19" name="矩形 18"/>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20" name="矩形 19"/>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21" name="矩形 20"/>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22" name="矩形 21"/>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23" name="矩形 22"/>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24" name="矩形 23"/>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25" name="矩形 24"/>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26" name="矩形 25"/>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27" name="矩形 26"/>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28" name="矩形 27"/>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29" name="矩形 28"/>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30" name="矩形 14"/>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31" name="矩形 15"/>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32" name="矩形 16"/>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33" name="矩形 17"/>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34" name="矩形 18"/>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35" name="矩形 19"/>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36" name="矩形 20"/>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37" name="矩形 21"/>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38" name="矩形 22"/>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39" name="矩形 23"/>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40" name="矩形 24"/>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41" name="矩形 25"/>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42" name="矩形 26"/>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43" name="矩形 42"/>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44" name="矩形 43"/>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45" name="矩形 44"/>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46" name="矩形 45"/>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47" name="矩形 46"/>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48" name="矩形 47"/>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49" name="矩形 48"/>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50" name="矩形 49"/>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51" name="矩形 50"/>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52" name="矩形 51"/>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53" name="矩形 52"/>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54" name="矩形 53"/>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55" name="矩形 54"/>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56" name="矩形 14"/>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57" name="矩形 15"/>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58" name="矩形 16"/>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59" name="矩形 17"/>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60" name="矩形 18"/>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61" name="矩形 19"/>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62" name="矩形 20"/>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63" name="矩形 21"/>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64" name="矩形 22"/>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65" name="矩形 23"/>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66" name="矩形 24"/>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67" name="矩形 25"/>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68" name="矩形 26"/>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69" name="矩形 68"/>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70" name="矩形 69"/>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71" name="矩形 70"/>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72" name="矩形 71"/>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73" name="矩形 72"/>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74" name="矩形 73"/>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75" name="矩形 74"/>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76" name="矩形 75"/>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77" name="矩形 76"/>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78" name="矩形 77"/>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79" name="矩形 78"/>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80" name="矩形 79"/>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81" name="矩形 80"/>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82" name="矩形 14"/>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83" name="矩形 15"/>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84" name="矩形 16"/>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85" name="矩形 17"/>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86" name="矩形 18"/>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87" name="矩形 19"/>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88" name="矩形 20"/>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89" name="矩形 21"/>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90" name="矩形 22"/>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91" name="矩形 23"/>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92" name="矩形 24"/>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93" name="矩形 25"/>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94" name="矩形 26"/>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95" name="矩形 94"/>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96" name="矩形 95"/>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97" name="矩形 96"/>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98" name="矩形 97"/>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99" name="矩形 98"/>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100" name="矩形 99"/>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101" name="矩形 100"/>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102" name="矩形 101"/>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103" name="矩形 102"/>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104" name="矩形 103"/>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105" name="矩形 104"/>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106" name="矩形 105"/>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107" name="矩形 106"/>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108" name="矩形 14"/>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109" name="矩形 15"/>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110" name="矩形 16"/>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111" name="矩形 17"/>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112" name="矩形 18"/>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113" name="矩形 19"/>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114" name="矩形 20"/>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115" name="矩形 21"/>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116" name="矩形 22"/>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117" name="矩形 23"/>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118" name="矩形 24"/>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119" name="矩形 25"/>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120" name="矩形 26"/>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121" name="矩形 120"/>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122" name="矩形 121"/>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123" name="矩形 122"/>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124" name="矩形 123"/>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125" name="矩形 124"/>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126" name="矩形 125"/>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127" name="矩形 126"/>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128" name="矩形 127"/>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129" name="矩形 128"/>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130" name="矩形 129"/>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131" name="矩形 130"/>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132" name="矩形 131"/>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133" name="矩形 132"/>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134" name="矩形 14"/>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135" name="矩形 15"/>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136" name="矩形 16"/>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137" name="矩形 17"/>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138" name="矩形 18"/>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139" name="矩形 19"/>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140" name="矩形 20"/>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141" name="矩形 21"/>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142" name="矩形 22"/>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143" name="矩形 23"/>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144" name="矩形 24"/>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145" name="矩形 25"/>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146" name="矩形 26"/>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147" name="矩形 146"/>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148" name="矩形 147"/>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149" name="矩形 148"/>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150" name="矩形 149"/>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151" name="矩形 150"/>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152" name="矩形 151"/>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153" name="矩形 152"/>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154" name="矩形 153"/>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155" name="矩形 154"/>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156" name="矩形 155"/>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157" name="矩形 156"/>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158" name="矩形 157"/>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159" name="矩形 158"/>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160" name="矩形 14"/>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161" name="矩形 15"/>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162" name="矩形 16"/>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163" name="矩形 17"/>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164" name="矩形 18"/>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165" name="矩形 19"/>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166" name="矩形 20"/>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167" name="矩形 21"/>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168" name="矩形 22"/>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169" name="矩形 23"/>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170" name="矩形 24"/>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171" name="矩形 25"/>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15</xdr:row>
      <xdr:rowOff>0</xdr:rowOff>
    </xdr:from>
    <xdr:to>
      <xdr:col>8</xdr:col>
      <xdr:colOff>123825</xdr:colOff>
      <xdr:row>21</xdr:row>
      <xdr:rowOff>76200</xdr:rowOff>
    </xdr:to>
    <xdr:sp>
      <xdr:nvSpPr>
        <xdr:cNvPr id="172" name="矩形 26"/>
        <xdr:cNvSpPr/>
      </xdr:nvSpPr>
      <xdr:spPr>
        <a:xfrm flipV="1">
          <a:off x="17705705" y="12386945"/>
          <a:ext cx="0" cy="4271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173" name="矩形 172"/>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174" name="矩形 173"/>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175" name="矩形 174"/>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176" name="矩形 175"/>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177" name="矩形 176"/>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178" name="矩形 177"/>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179" name="矩形 178"/>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180" name="矩形 179"/>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181" name="矩形 180"/>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182" name="矩形 181"/>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183" name="矩形 182"/>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184" name="矩形 183"/>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8</xdr:col>
      <xdr:colOff>123825</xdr:colOff>
      <xdr:row>24</xdr:row>
      <xdr:rowOff>0</xdr:rowOff>
    </xdr:from>
    <xdr:to>
      <xdr:col>8</xdr:col>
      <xdr:colOff>123825</xdr:colOff>
      <xdr:row>25</xdr:row>
      <xdr:rowOff>76200</xdr:rowOff>
    </xdr:to>
    <xdr:sp>
      <xdr:nvSpPr>
        <xdr:cNvPr id="185" name="矩形 184"/>
        <xdr:cNvSpPr/>
      </xdr:nvSpPr>
      <xdr:spPr>
        <a:xfrm flipV="1">
          <a:off x="17705705" y="18679160"/>
          <a:ext cx="0" cy="775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wsDr>
</file>

<file path=xl/drawings/drawing2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9525</xdr:rowOff>
    </xdr:from>
    <xdr:to>
      <xdr:col>0</xdr:col>
      <xdr:colOff>3657600</xdr:colOff>
      <xdr:row>1</xdr:row>
      <xdr:rowOff>6985</xdr:rowOff>
    </xdr:to>
    <xdr:pic>
      <xdr:nvPicPr>
        <xdr:cNvPr id="6" name="图片 5" descr="c911eb911a23dffe3d4e666e2e1cdaa"/>
        <xdr:cNvPicPr>
          <a:picLocks noChangeAspect="1"/>
        </xdr:cNvPicPr>
      </xdr:nvPicPr>
      <xdr:blipFill>
        <a:blip r:embed="rId1"/>
        <a:stretch>
          <a:fillRect/>
        </a:stretch>
      </xdr:blipFill>
      <xdr:spPr>
        <a:xfrm>
          <a:off x="9525" y="9525"/>
          <a:ext cx="3648075" cy="1673860"/>
        </a:xfrm>
        <a:prstGeom prst="rect">
          <a:avLst/>
        </a:prstGeom>
      </xdr:spPr>
    </xdr:pic>
    <xdr:clientData/>
  </xdr:twoCellAnchor>
</xdr:wsDr>
</file>

<file path=xl/drawings/drawing2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2026920</xdr:colOff>
      <xdr:row>0</xdr:row>
      <xdr:rowOff>1061720</xdr:rowOff>
    </xdr:to>
    <xdr:pic>
      <xdr:nvPicPr>
        <xdr:cNvPr id="3" name="图片 2" descr="c911eb911a23dffe3d4e666e2e1cdaa"/>
        <xdr:cNvPicPr>
          <a:picLocks noChangeAspect="1"/>
        </xdr:cNvPicPr>
      </xdr:nvPicPr>
      <xdr:blipFill>
        <a:blip r:embed="rId1"/>
        <a:stretch>
          <a:fillRect/>
        </a:stretch>
      </xdr:blipFill>
      <xdr:spPr>
        <a:xfrm>
          <a:off x="0" y="0"/>
          <a:ext cx="2026920" cy="1061720"/>
        </a:xfrm>
        <a:prstGeom prst="rect">
          <a:avLst/>
        </a:prstGeom>
      </xdr:spPr>
    </xdr:pic>
    <xdr:clientData/>
  </xdr:twoCellAnchor>
  <xdr:twoCellAnchor editAs="oneCell">
    <xdr:from>
      <xdr:col>0</xdr:col>
      <xdr:colOff>0</xdr:colOff>
      <xdr:row>0</xdr:row>
      <xdr:rowOff>0</xdr:rowOff>
    </xdr:from>
    <xdr:to>
      <xdr:col>0</xdr:col>
      <xdr:colOff>2026920</xdr:colOff>
      <xdr:row>0</xdr:row>
      <xdr:rowOff>1061720</xdr:rowOff>
    </xdr:to>
    <xdr:pic>
      <xdr:nvPicPr>
        <xdr:cNvPr id="2" name="图片 1" descr="c911eb911a23dffe3d4e666e2e1cdaa"/>
        <xdr:cNvPicPr>
          <a:picLocks noChangeAspect="1"/>
        </xdr:cNvPicPr>
      </xdr:nvPicPr>
      <xdr:blipFill>
        <a:blip r:embed="rId1"/>
        <a:stretch>
          <a:fillRect/>
        </a:stretch>
      </xdr:blipFill>
      <xdr:spPr>
        <a:xfrm>
          <a:off x="0" y="0"/>
          <a:ext cx="2026920" cy="1061720"/>
        </a:xfrm>
        <a:prstGeom prst="rect">
          <a:avLst/>
        </a:prstGeom>
      </xdr:spPr>
    </xdr:pic>
    <xdr:clientData/>
  </xdr:twoCellAnchor>
  <xdr:twoCellAnchor editAs="oneCell">
    <xdr:from>
      <xdr:col>0</xdr:col>
      <xdr:colOff>0</xdr:colOff>
      <xdr:row>0</xdr:row>
      <xdr:rowOff>0</xdr:rowOff>
    </xdr:from>
    <xdr:to>
      <xdr:col>0</xdr:col>
      <xdr:colOff>2026920</xdr:colOff>
      <xdr:row>0</xdr:row>
      <xdr:rowOff>1061720</xdr:rowOff>
    </xdr:to>
    <xdr:pic>
      <xdr:nvPicPr>
        <xdr:cNvPr id="4" name="图片 3" descr="c911eb911a23dffe3d4e666e2e1cdaa"/>
        <xdr:cNvPicPr>
          <a:picLocks noChangeAspect="1"/>
        </xdr:cNvPicPr>
      </xdr:nvPicPr>
      <xdr:blipFill>
        <a:blip r:embed="rId1"/>
        <a:stretch>
          <a:fillRect/>
        </a:stretch>
      </xdr:blipFill>
      <xdr:spPr>
        <a:xfrm>
          <a:off x="0" y="0"/>
          <a:ext cx="2026920" cy="1061720"/>
        </a:xfrm>
        <a:prstGeom prst="rect">
          <a:avLst/>
        </a:prstGeom>
      </xdr:spPr>
    </xdr:pic>
    <xdr:clientData/>
  </xdr:twoCellAnchor>
</xdr:wsDr>
</file>

<file path=xl/drawings/drawing2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2026920</xdr:colOff>
      <xdr:row>0</xdr:row>
      <xdr:rowOff>1061720</xdr:rowOff>
    </xdr:to>
    <xdr:pic>
      <xdr:nvPicPr>
        <xdr:cNvPr id="2" name="图片 1" descr="c911eb911a23dffe3d4e666e2e1cdaa"/>
        <xdr:cNvPicPr>
          <a:picLocks noChangeAspect="1"/>
        </xdr:cNvPicPr>
      </xdr:nvPicPr>
      <xdr:blipFill>
        <a:blip r:embed="rId1"/>
        <a:stretch>
          <a:fillRect/>
        </a:stretch>
      </xdr:blipFill>
      <xdr:spPr>
        <a:xfrm>
          <a:off x="0" y="0"/>
          <a:ext cx="2026920" cy="1061720"/>
        </a:xfrm>
        <a:prstGeom prst="rect">
          <a:avLst/>
        </a:prstGeom>
      </xdr:spPr>
    </xdr:pic>
    <xdr:clientData/>
  </xdr:twoCellAnchor>
</xdr:wsDr>
</file>

<file path=xl/drawings/drawing2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163830</xdr:colOff>
      <xdr:row>0</xdr:row>
      <xdr:rowOff>47625</xdr:rowOff>
    </xdr:from>
    <xdr:to>
      <xdr:col>1</xdr:col>
      <xdr:colOff>2450465</xdr:colOff>
      <xdr:row>0</xdr:row>
      <xdr:rowOff>1237615</xdr:rowOff>
    </xdr:to>
    <xdr:pic>
      <xdr:nvPicPr>
        <xdr:cNvPr id="2" name="图片 1" descr="c911eb911a23dffe3d4e666e2e1cdaa"/>
        <xdr:cNvPicPr>
          <a:picLocks noChangeAspect="1"/>
        </xdr:cNvPicPr>
      </xdr:nvPicPr>
      <xdr:blipFill>
        <a:blip r:embed="rId1"/>
        <a:stretch>
          <a:fillRect/>
        </a:stretch>
      </xdr:blipFill>
      <xdr:spPr>
        <a:xfrm>
          <a:off x="300990" y="47625"/>
          <a:ext cx="2286635" cy="1189990"/>
        </a:xfrm>
        <a:prstGeom prst="rect">
          <a:avLst/>
        </a:prstGeom>
      </xdr:spPr>
    </xdr:pic>
    <xdr:clientData/>
  </xdr:twoCellAnchor>
</xdr:wsDr>
</file>

<file path=xl/drawings/drawing25.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163830</xdr:colOff>
      <xdr:row>0</xdr:row>
      <xdr:rowOff>47625</xdr:rowOff>
    </xdr:from>
    <xdr:to>
      <xdr:col>1</xdr:col>
      <xdr:colOff>2450465</xdr:colOff>
      <xdr:row>0</xdr:row>
      <xdr:rowOff>1237615</xdr:rowOff>
    </xdr:to>
    <xdr:pic>
      <xdr:nvPicPr>
        <xdr:cNvPr id="2" name="图片 1" descr="c911eb911a23dffe3d4e666e2e1cdaa"/>
        <xdr:cNvPicPr>
          <a:picLocks noChangeAspect="1"/>
        </xdr:cNvPicPr>
      </xdr:nvPicPr>
      <xdr:blipFill>
        <a:blip r:embed="rId1"/>
        <a:stretch>
          <a:fillRect/>
        </a:stretch>
      </xdr:blipFill>
      <xdr:spPr>
        <a:xfrm>
          <a:off x="300990" y="47625"/>
          <a:ext cx="2286635" cy="1189990"/>
        </a:xfrm>
        <a:prstGeom prst="rect">
          <a:avLst/>
        </a:prstGeom>
      </xdr:spPr>
    </xdr:pic>
    <xdr:clientData/>
  </xdr:twoCellAnchor>
</xdr:wsDr>
</file>

<file path=xl/drawings/drawing26.xml><?xml version="1.0" encoding="utf-8"?>
<xdr:wsDr xmlns:xdr="http://schemas.openxmlformats.org/drawingml/2006/spreadsheetDrawing" xmlns:r="http://schemas.openxmlformats.org/officeDocument/2006/relationships" xmlns:a="http://schemas.openxmlformats.org/drawingml/2006/main">
  <xdr:oneCellAnchor>
    <xdr:from>
      <xdr:col>0</xdr:col>
      <xdr:colOff>6350</xdr:colOff>
      <xdr:row>21</xdr:row>
      <xdr:rowOff>168910</xdr:rowOff>
    </xdr:from>
    <xdr:ext cx="10230485" cy="7091680"/>
    <xdr:pic>
      <xdr:nvPicPr>
        <xdr:cNvPr id="2" name="图片 1"/>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6350" y="6239510"/>
          <a:ext cx="10230485" cy="7091680"/>
        </a:xfrm>
        <a:prstGeom prst="rect">
          <a:avLst/>
        </a:prstGeom>
      </xdr:spPr>
    </xdr:pic>
    <xdr:clientData/>
  </xdr:one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usitc.gov/trade_remedy/731_ad_701_cvd/investigations.ht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8"/>
  <sheetViews>
    <sheetView zoomScale="40" zoomScaleNormal="40" workbookViewId="0">
      <selection activeCell="E52" sqref="E52"/>
    </sheetView>
  </sheetViews>
  <sheetFormatPr defaultColWidth="20.7333333333333" defaultRowHeight="12"/>
  <cols>
    <col min="1" max="1" width="49.375" style="385" customWidth="1"/>
    <col min="2" max="2" width="40" style="385" customWidth="1"/>
    <col min="3" max="3" width="75" style="385" customWidth="1"/>
    <col min="4" max="4" width="41.5333333333333" style="385" customWidth="1"/>
    <col min="5" max="5" width="31.1333333333333" style="385" customWidth="1"/>
    <col min="6" max="6" width="33.625" style="385" customWidth="1"/>
    <col min="7" max="8" width="48.75" style="385" customWidth="1"/>
    <col min="9" max="9" width="26.3333333333333" style="385" customWidth="1"/>
    <col min="10" max="16384" width="20.7333333333333" style="385"/>
  </cols>
  <sheetData>
    <row r="1" ht="114" customHeight="1" spans="1:9">
      <c r="A1" s="386" t="s">
        <v>0</v>
      </c>
      <c r="B1" s="387"/>
      <c r="C1" s="387"/>
      <c r="D1" s="387"/>
      <c r="E1" s="387"/>
      <c r="F1" s="387"/>
      <c r="G1" s="387"/>
      <c r="H1" s="387"/>
      <c r="I1" s="387"/>
    </row>
    <row r="2" ht="59" customHeight="1" spans="1:9">
      <c r="A2" s="388" t="s">
        <v>1</v>
      </c>
      <c r="B2" s="388" t="s">
        <v>2</v>
      </c>
      <c r="C2" s="388" t="s">
        <v>3</v>
      </c>
      <c r="D2" s="388" t="s">
        <v>4</v>
      </c>
      <c r="E2" s="388" t="s">
        <v>5</v>
      </c>
      <c r="F2" s="388" t="s">
        <v>6</v>
      </c>
      <c r="G2" s="388" t="s">
        <v>7</v>
      </c>
      <c r="H2" s="388" t="s">
        <v>8</v>
      </c>
      <c r="I2" s="388" t="s">
        <v>9</v>
      </c>
    </row>
    <row r="3" ht="59" customHeight="1" spans="1:9">
      <c r="A3" s="389" t="s">
        <v>10</v>
      </c>
      <c r="B3" s="389" t="s">
        <v>11</v>
      </c>
      <c r="C3" s="389" t="s">
        <v>12</v>
      </c>
      <c r="D3" s="389" t="s">
        <v>13</v>
      </c>
      <c r="E3" s="389" t="s">
        <v>14</v>
      </c>
      <c r="F3" s="404">
        <v>45675.7083333333</v>
      </c>
      <c r="G3" s="404">
        <v>45679</v>
      </c>
      <c r="H3" s="404">
        <v>45690</v>
      </c>
      <c r="I3" s="389">
        <v>11</v>
      </c>
    </row>
    <row r="4" ht="59" customHeight="1" spans="1:9">
      <c r="A4" s="389" t="s">
        <v>15</v>
      </c>
      <c r="B4" s="389" t="s">
        <v>16</v>
      </c>
      <c r="C4" s="389" t="s">
        <v>17</v>
      </c>
      <c r="D4" s="389" t="s">
        <v>13</v>
      </c>
      <c r="E4" s="389" t="s">
        <v>14</v>
      </c>
      <c r="F4" s="404">
        <v>45676.7083333333</v>
      </c>
      <c r="G4" s="404">
        <v>45680</v>
      </c>
      <c r="H4" s="404">
        <v>45691</v>
      </c>
      <c r="I4" s="389">
        <v>11</v>
      </c>
    </row>
    <row r="5" ht="59" customHeight="1" spans="1:9">
      <c r="A5" s="390" t="s">
        <v>18</v>
      </c>
      <c r="B5" s="389" t="s">
        <v>19</v>
      </c>
      <c r="C5" s="389" t="s">
        <v>20</v>
      </c>
      <c r="D5" s="389" t="s">
        <v>13</v>
      </c>
      <c r="E5" s="389" t="s">
        <v>21</v>
      </c>
      <c r="F5" s="404">
        <v>45674.7083333333</v>
      </c>
      <c r="G5" s="404">
        <v>45679</v>
      </c>
      <c r="H5" s="404">
        <v>45692</v>
      </c>
      <c r="I5" s="389">
        <v>13</v>
      </c>
    </row>
    <row r="6" ht="59" customHeight="1" spans="1:9">
      <c r="A6" s="391"/>
      <c r="B6" s="389" t="s">
        <v>22</v>
      </c>
      <c r="C6" s="389" t="s">
        <v>23</v>
      </c>
      <c r="D6" s="389" t="s">
        <v>13</v>
      </c>
      <c r="E6" s="389" t="s">
        <v>14</v>
      </c>
      <c r="F6" s="404">
        <v>45675.7083333333</v>
      </c>
      <c r="G6" s="404">
        <v>45680</v>
      </c>
      <c r="H6" s="404">
        <v>45693</v>
      </c>
      <c r="I6" s="389">
        <v>13</v>
      </c>
    </row>
    <row r="7" ht="59" customHeight="1" spans="1:9">
      <c r="A7" s="392" t="s">
        <v>24</v>
      </c>
      <c r="B7" s="393" t="s">
        <v>25</v>
      </c>
      <c r="C7" s="393" t="s">
        <v>26</v>
      </c>
      <c r="D7" s="394" t="s">
        <v>27</v>
      </c>
      <c r="E7" s="393" t="s">
        <v>21</v>
      </c>
      <c r="F7" s="405"/>
      <c r="G7" s="405"/>
      <c r="H7" s="405"/>
      <c r="I7" s="393">
        <v>0</v>
      </c>
    </row>
    <row r="8" ht="59" customHeight="1" spans="1:9">
      <c r="A8" s="395"/>
      <c r="B8" s="393" t="s">
        <v>28</v>
      </c>
      <c r="C8" s="393" t="s">
        <v>29</v>
      </c>
      <c r="D8" s="396"/>
      <c r="E8" s="393" t="s">
        <v>21</v>
      </c>
      <c r="F8" s="405">
        <v>45676.7083333333</v>
      </c>
      <c r="G8" s="405">
        <v>45681</v>
      </c>
      <c r="H8" s="405">
        <v>45697</v>
      </c>
      <c r="I8" s="393">
        <v>16</v>
      </c>
    </row>
    <row r="9" ht="59" customHeight="1" spans="1:9">
      <c r="A9" s="393" t="s">
        <v>30</v>
      </c>
      <c r="B9" s="393" t="s">
        <v>31</v>
      </c>
      <c r="C9" s="393" t="s">
        <v>32</v>
      </c>
      <c r="D9" s="396"/>
      <c r="E9" s="393" t="s">
        <v>33</v>
      </c>
      <c r="F9" s="405">
        <v>45672.7083333333</v>
      </c>
      <c r="G9" s="405">
        <v>45677</v>
      </c>
      <c r="H9" s="405">
        <v>45698</v>
      </c>
      <c r="I9" s="393">
        <v>21</v>
      </c>
    </row>
    <row r="10" ht="59" customHeight="1" spans="1:9">
      <c r="A10" s="393" t="s">
        <v>34</v>
      </c>
      <c r="B10" s="393" t="s">
        <v>35</v>
      </c>
      <c r="C10" s="393" t="s">
        <v>36</v>
      </c>
      <c r="D10" s="396"/>
      <c r="E10" s="393" t="s">
        <v>37</v>
      </c>
      <c r="F10" s="405">
        <v>45677.7083333333</v>
      </c>
      <c r="G10" s="405">
        <v>45682</v>
      </c>
      <c r="H10" s="405">
        <v>45713</v>
      </c>
      <c r="I10" s="393">
        <v>31</v>
      </c>
    </row>
    <row r="11" ht="59" customHeight="1" spans="1:9">
      <c r="A11" s="393" t="s">
        <v>38</v>
      </c>
      <c r="B11" s="393" t="s">
        <v>39</v>
      </c>
      <c r="C11" s="393" t="s">
        <v>40</v>
      </c>
      <c r="D11" s="396"/>
      <c r="E11" s="393" t="s">
        <v>41</v>
      </c>
      <c r="F11" s="405">
        <v>45676.7083333333</v>
      </c>
      <c r="G11" s="405">
        <v>45681</v>
      </c>
      <c r="H11" s="405">
        <v>45710</v>
      </c>
      <c r="I11" s="393">
        <v>29</v>
      </c>
    </row>
    <row r="12" ht="59" customHeight="1" spans="1:9">
      <c r="A12" s="393" t="s">
        <v>42</v>
      </c>
      <c r="B12" s="393" t="s">
        <v>43</v>
      </c>
      <c r="C12" s="393" t="s">
        <v>44</v>
      </c>
      <c r="D12" s="397"/>
      <c r="E12" s="393" t="s">
        <v>45</v>
      </c>
      <c r="F12" s="405">
        <v>45675.7083333333</v>
      </c>
      <c r="G12" s="405">
        <v>45683</v>
      </c>
      <c r="H12" s="405">
        <v>45709</v>
      </c>
      <c r="I12" s="393">
        <v>26</v>
      </c>
    </row>
    <row r="13" ht="59" customHeight="1" spans="1:9">
      <c r="A13" s="398" t="s">
        <v>24</v>
      </c>
      <c r="B13" s="398" t="s">
        <v>46</v>
      </c>
      <c r="C13" s="398" t="s">
        <v>47</v>
      </c>
      <c r="D13" s="399" t="s">
        <v>48</v>
      </c>
      <c r="E13" s="398" t="s">
        <v>49</v>
      </c>
      <c r="F13" s="406">
        <v>45675.7083333333</v>
      </c>
      <c r="G13" s="406">
        <v>45680</v>
      </c>
      <c r="H13" s="406">
        <v>45697</v>
      </c>
      <c r="I13" s="398">
        <v>17</v>
      </c>
    </row>
    <row r="14" ht="59" customHeight="1" spans="1:9">
      <c r="A14" s="398" t="s">
        <v>24</v>
      </c>
      <c r="B14" s="398" t="s">
        <v>19</v>
      </c>
      <c r="C14" s="398" t="s">
        <v>50</v>
      </c>
      <c r="D14" s="400"/>
      <c r="E14" s="398" t="s">
        <v>49</v>
      </c>
      <c r="F14" s="406">
        <v>45673.7083333333</v>
      </c>
      <c r="G14" s="406">
        <v>45678</v>
      </c>
      <c r="H14" s="406">
        <v>45694</v>
      </c>
      <c r="I14" s="398">
        <v>16</v>
      </c>
    </row>
    <row r="15" ht="59" customHeight="1" spans="1:9">
      <c r="A15" s="398" t="s">
        <v>24</v>
      </c>
      <c r="B15" s="398" t="s">
        <v>51</v>
      </c>
      <c r="C15" s="398" t="s">
        <v>52</v>
      </c>
      <c r="D15" s="400"/>
      <c r="E15" s="398" t="s">
        <v>49</v>
      </c>
      <c r="F15" s="406">
        <v>45675.7083333333</v>
      </c>
      <c r="G15" s="406">
        <v>45680</v>
      </c>
      <c r="H15" s="406">
        <v>45693</v>
      </c>
      <c r="I15" s="398">
        <v>13</v>
      </c>
    </row>
    <row r="16" ht="59" customHeight="1" spans="1:9">
      <c r="A16" s="398" t="s">
        <v>30</v>
      </c>
      <c r="B16" s="398" t="s">
        <v>53</v>
      </c>
      <c r="C16" s="398" t="s">
        <v>54</v>
      </c>
      <c r="D16" s="400"/>
      <c r="E16" s="398" t="s">
        <v>55</v>
      </c>
      <c r="F16" s="406">
        <v>45673.7083333333</v>
      </c>
      <c r="G16" s="406">
        <v>45678</v>
      </c>
      <c r="H16" s="406">
        <v>45699</v>
      </c>
      <c r="I16" s="398">
        <v>21</v>
      </c>
    </row>
    <row r="17" ht="59" customHeight="1" spans="1:9">
      <c r="A17" s="398" t="s">
        <v>34</v>
      </c>
      <c r="B17" s="398" t="s">
        <v>56</v>
      </c>
      <c r="C17" s="398" t="s">
        <v>57</v>
      </c>
      <c r="D17" s="400"/>
      <c r="E17" s="398" t="s">
        <v>58</v>
      </c>
      <c r="F17" s="406">
        <v>45677.7083333333</v>
      </c>
      <c r="G17" s="406">
        <v>45682</v>
      </c>
      <c r="H17" s="406">
        <v>45706</v>
      </c>
      <c r="I17" s="398">
        <v>24</v>
      </c>
    </row>
    <row r="18" ht="59" customHeight="1" spans="1:9">
      <c r="A18" s="398" t="s">
        <v>38</v>
      </c>
      <c r="B18" s="398" t="s">
        <v>59</v>
      </c>
      <c r="C18" s="398" t="s">
        <v>60</v>
      </c>
      <c r="D18" s="400"/>
      <c r="E18" s="398" t="s">
        <v>61</v>
      </c>
      <c r="F18" s="406">
        <v>45673.7083333333</v>
      </c>
      <c r="G18" s="406">
        <v>45678</v>
      </c>
      <c r="H18" s="406">
        <v>45717</v>
      </c>
      <c r="I18" s="398">
        <v>39</v>
      </c>
    </row>
    <row r="19" ht="59" customHeight="1" spans="1:10">
      <c r="A19" s="389" t="s">
        <v>62</v>
      </c>
      <c r="B19" s="389" t="s">
        <v>63</v>
      </c>
      <c r="C19" s="389" t="s">
        <v>64</v>
      </c>
      <c r="D19" s="390" t="s">
        <v>48</v>
      </c>
      <c r="E19" s="389" t="s">
        <v>65</v>
      </c>
      <c r="F19" s="404">
        <v>45661.7083333333</v>
      </c>
      <c r="G19" s="404">
        <v>45670.7083333333</v>
      </c>
      <c r="H19" s="404">
        <v>45674</v>
      </c>
      <c r="I19" s="389">
        <v>45691</v>
      </c>
      <c r="J19" s="385">
        <v>17</v>
      </c>
    </row>
    <row r="20" ht="59" customHeight="1" spans="1:10">
      <c r="A20" s="389" t="s">
        <v>62</v>
      </c>
      <c r="B20" s="389" t="s">
        <v>63</v>
      </c>
      <c r="C20" s="389" t="s">
        <v>66</v>
      </c>
      <c r="D20" s="401"/>
      <c r="E20" s="389" t="s">
        <v>67</v>
      </c>
      <c r="F20" s="404">
        <v>45661.7083333333</v>
      </c>
      <c r="G20" s="404">
        <v>45667.7083333333</v>
      </c>
      <c r="H20" s="404">
        <v>45673</v>
      </c>
      <c r="I20" s="389">
        <v>45699</v>
      </c>
      <c r="J20" s="385">
        <v>26</v>
      </c>
    </row>
    <row r="21" ht="59" customHeight="1" spans="1:10">
      <c r="A21" s="389" t="s">
        <v>62</v>
      </c>
      <c r="B21" s="389" t="s">
        <v>68</v>
      </c>
      <c r="C21" s="389" t="s">
        <v>64</v>
      </c>
      <c r="D21" s="390" t="s">
        <v>27</v>
      </c>
      <c r="E21" s="389" t="s">
        <v>69</v>
      </c>
      <c r="F21" s="404">
        <v>45659.7083333333</v>
      </c>
      <c r="G21" s="404">
        <v>45667.7083333333</v>
      </c>
      <c r="H21" s="404">
        <v>45672</v>
      </c>
      <c r="I21" s="389">
        <v>45691</v>
      </c>
      <c r="J21" s="385">
        <v>19</v>
      </c>
    </row>
    <row r="22" ht="59" customHeight="1" spans="1:10">
      <c r="A22" s="389" t="s">
        <v>62</v>
      </c>
      <c r="B22" s="389" t="s">
        <v>68</v>
      </c>
      <c r="C22" s="389" t="s">
        <v>64</v>
      </c>
      <c r="D22" s="401"/>
      <c r="E22" s="389" t="s">
        <v>70</v>
      </c>
      <c r="F22" s="404">
        <v>45665.7083333333</v>
      </c>
      <c r="G22" s="404">
        <v>45667.7083333333</v>
      </c>
      <c r="H22" s="404">
        <v>45672</v>
      </c>
      <c r="I22" s="389">
        <v>45703</v>
      </c>
      <c r="J22" s="385">
        <v>31</v>
      </c>
    </row>
    <row r="23" spans="1:9">
      <c r="A23" s="402" t="s">
        <v>71</v>
      </c>
      <c r="B23" s="403"/>
      <c r="C23" s="403"/>
      <c r="D23" s="403"/>
      <c r="E23" s="403"/>
      <c r="F23" s="403"/>
      <c r="G23" s="403"/>
      <c r="H23" s="403"/>
      <c r="I23" s="403"/>
    </row>
    <row r="24" spans="1:9">
      <c r="A24" s="403"/>
      <c r="B24" s="403"/>
      <c r="C24" s="403"/>
      <c r="D24" s="403"/>
      <c r="E24" s="403"/>
      <c r="F24" s="403"/>
      <c r="G24" s="403"/>
      <c r="H24" s="403"/>
      <c r="I24" s="403"/>
    </row>
    <row r="25" spans="1:9">
      <c r="A25" s="403"/>
      <c r="B25" s="403"/>
      <c r="C25" s="403"/>
      <c r="D25" s="403"/>
      <c r="E25" s="403"/>
      <c r="F25" s="403"/>
      <c r="G25" s="403"/>
      <c r="H25" s="403"/>
      <c r="I25" s="403"/>
    </row>
    <row r="26" spans="1:9">
      <c r="A26" s="403"/>
      <c r="B26" s="403"/>
      <c r="C26" s="403"/>
      <c r="D26" s="403"/>
      <c r="E26" s="403"/>
      <c r="F26" s="403"/>
      <c r="G26" s="403"/>
      <c r="H26" s="403"/>
      <c r="I26" s="403"/>
    </row>
    <row r="27" spans="1:9">
      <c r="A27" s="403"/>
      <c r="B27" s="403"/>
      <c r="C27" s="403"/>
      <c r="D27" s="403"/>
      <c r="E27" s="403"/>
      <c r="F27" s="403"/>
      <c r="G27" s="403"/>
      <c r="H27" s="403"/>
      <c r="I27" s="403"/>
    </row>
    <row r="28" ht="95" customHeight="1" spans="1:9">
      <c r="A28" s="403"/>
      <c r="B28" s="403"/>
      <c r="C28" s="403"/>
      <c r="D28" s="403"/>
      <c r="E28" s="403"/>
      <c r="F28" s="403"/>
      <c r="G28" s="403"/>
      <c r="H28" s="403"/>
      <c r="I28" s="403"/>
    </row>
  </sheetData>
  <sheetProtection formatCells="0" insertHyperlinks="0" autoFilter="0"/>
  <mergeCells count="8">
    <mergeCell ref="A1:I1"/>
    <mergeCell ref="A5:A6"/>
    <mergeCell ref="A7:A8"/>
    <mergeCell ref="D7:D12"/>
    <mergeCell ref="D13:D18"/>
    <mergeCell ref="D19:D20"/>
    <mergeCell ref="D21:D22"/>
    <mergeCell ref="A23:I28"/>
  </mergeCells>
  <pageMargins left="0.75" right="0.75" top="1" bottom="1" header="0.5" footer="0.5"/>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8"/>
  <sheetViews>
    <sheetView workbookViewId="0">
      <selection activeCell="B4" sqref="A3:G83"/>
    </sheetView>
  </sheetViews>
  <sheetFormatPr defaultColWidth="9" defaultRowHeight="13.5" outlineLevelCol="6"/>
  <cols>
    <col min="1" max="1" width="16.1333333333333" style="359" customWidth="1"/>
    <col min="2" max="2" width="114.6" style="359" customWidth="1"/>
    <col min="3" max="6" width="9" style="360"/>
    <col min="7" max="7" width="41.4666666666667" style="360" customWidth="1"/>
    <col min="8" max="16384" width="9" style="360"/>
  </cols>
  <sheetData>
    <row r="1" ht="70.05" customHeight="1" spans="1:7">
      <c r="A1" s="361" t="s">
        <v>72</v>
      </c>
      <c r="B1" s="361"/>
      <c r="C1" s="361"/>
      <c r="D1" s="361"/>
      <c r="E1" s="361"/>
      <c r="F1" s="361"/>
      <c r="G1" s="361"/>
    </row>
    <row r="2" ht="41" customHeight="1" spans="1:7">
      <c r="A2" s="362" t="s">
        <v>73</v>
      </c>
      <c r="B2" s="362"/>
      <c r="C2" s="362"/>
      <c r="D2" s="362"/>
      <c r="E2" s="362"/>
      <c r="F2" s="362"/>
      <c r="G2" s="362"/>
    </row>
    <row r="3" ht="20" customHeight="1" spans="1:7">
      <c r="A3" s="363" t="s">
        <v>74</v>
      </c>
      <c r="B3" s="363"/>
      <c r="C3" s="363"/>
      <c r="D3" s="363"/>
      <c r="E3" s="363"/>
      <c r="F3" s="363"/>
      <c r="G3" s="363"/>
    </row>
    <row r="4" ht="42" customHeight="1" spans="1:7">
      <c r="A4" s="364" t="s">
        <v>75</v>
      </c>
      <c r="B4" s="365" t="s">
        <v>76</v>
      </c>
      <c r="C4" s="365"/>
      <c r="D4" s="365"/>
      <c r="E4" s="365"/>
      <c r="F4" s="365"/>
      <c r="G4" s="365"/>
    </row>
    <row r="5" ht="55.05" customHeight="1" spans="1:7">
      <c r="A5" s="364" t="s">
        <v>77</v>
      </c>
      <c r="B5" s="366" t="s">
        <v>78</v>
      </c>
      <c r="C5" s="366"/>
      <c r="D5" s="366"/>
      <c r="E5" s="366"/>
      <c r="F5" s="366"/>
      <c r="G5" s="366"/>
    </row>
    <row r="6" ht="176" customHeight="1" spans="1:7">
      <c r="A6" s="364" t="s">
        <v>79</v>
      </c>
      <c r="B6" s="365" t="s">
        <v>80</v>
      </c>
      <c r="C6" s="365"/>
      <c r="D6" s="365"/>
      <c r="E6" s="365"/>
      <c r="F6" s="365"/>
      <c r="G6" s="365"/>
    </row>
    <row r="7" ht="292.05" customHeight="1" spans="1:7">
      <c r="A7" s="364"/>
      <c r="B7" s="365" t="s">
        <v>81</v>
      </c>
      <c r="C7" s="365"/>
      <c r="D7" s="365"/>
      <c r="E7" s="365"/>
      <c r="F7" s="365"/>
      <c r="G7" s="365"/>
    </row>
    <row r="8" ht="20" customHeight="1" spans="1:7">
      <c r="A8" s="364"/>
      <c r="B8" s="365" t="s">
        <v>82</v>
      </c>
      <c r="C8" s="365"/>
      <c r="D8" s="365"/>
      <c r="E8" s="365"/>
      <c r="F8" s="365"/>
      <c r="G8" s="365"/>
    </row>
    <row r="9" ht="78" customHeight="1" spans="1:7">
      <c r="A9" s="364"/>
      <c r="B9" s="365" t="s">
        <v>83</v>
      </c>
      <c r="C9" s="365"/>
      <c r="D9" s="365"/>
      <c r="E9" s="365"/>
      <c r="F9" s="365"/>
      <c r="G9" s="365"/>
    </row>
    <row r="10" ht="35" customHeight="1" spans="1:7">
      <c r="A10" s="364"/>
      <c r="B10" s="365" t="s">
        <v>84</v>
      </c>
      <c r="C10" s="365"/>
      <c r="D10" s="365"/>
      <c r="E10" s="365"/>
      <c r="F10" s="365"/>
      <c r="G10" s="365"/>
    </row>
    <row r="11" ht="20" customHeight="1" spans="1:7">
      <c r="A11" s="364"/>
      <c r="B11" s="365" t="s">
        <v>85</v>
      </c>
      <c r="C11" s="365"/>
      <c r="D11" s="365"/>
      <c r="E11" s="365"/>
      <c r="F11" s="365"/>
      <c r="G11" s="365"/>
    </row>
    <row r="12" ht="18" spans="1:7">
      <c r="A12" s="367" t="s">
        <v>86</v>
      </c>
      <c r="B12" s="368" t="s">
        <v>87</v>
      </c>
      <c r="C12" s="369"/>
      <c r="D12" s="369"/>
      <c r="E12" s="369"/>
      <c r="F12" s="369"/>
      <c r="G12" s="384"/>
    </row>
    <row r="13" ht="30" customHeight="1" spans="1:7">
      <c r="A13" s="370" t="s">
        <v>88</v>
      </c>
      <c r="B13" s="371"/>
      <c r="C13" s="371"/>
      <c r="D13" s="371"/>
      <c r="E13" s="371"/>
      <c r="F13" s="371"/>
      <c r="G13" s="371"/>
    </row>
    <row r="14" ht="21" customHeight="1" spans="1:7">
      <c r="A14" s="372" t="s">
        <v>89</v>
      </c>
      <c r="B14" s="372"/>
      <c r="C14" s="372"/>
      <c r="D14" s="372"/>
      <c r="E14" s="372"/>
      <c r="F14" s="372"/>
      <c r="G14" s="372"/>
    </row>
    <row r="15" ht="21" customHeight="1" spans="1:7">
      <c r="A15" s="372" t="s">
        <v>90</v>
      </c>
      <c r="B15" s="372"/>
      <c r="C15" s="372"/>
      <c r="D15" s="372"/>
      <c r="E15" s="372"/>
      <c r="F15" s="372"/>
      <c r="G15" s="372"/>
    </row>
    <row r="16" ht="21" customHeight="1" spans="1:7">
      <c r="A16" s="372" t="s">
        <v>91</v>
      </c>
      <c r="B16" s="372"/>
      <c r="C16" s="372"/>
      <c r="D16" s="372"/>
      <c r="E16" s="372"/>
      <c r="F16" s="372"/>
      <c r="G16" s="372"/>
    </row>
    <row r="17" ht="33" customHeight="1" spans="1:7">
      <c r="A17" s="372" t="s">
        <v>92</v>
      </c>
      <c r="B17" s="372"/>
      <c r="C17" s="372"/>
      <c r="D17" s="372"/>
      <c r="E17" s="372"/>
      <c r="F17" s="372"/>
      <c r="G17" s="372"/>
    </row>
    <row r="18" ht="21" customHeight="1" spans="1:7">
      <c r="A18" s="372" t="s">
        <v>93</v>
      </c>
      <c r="B18" s="372"/>
      <c r="C18" s="372"/>
      <c r="D18" s="372"/>
      <c r="E18" s="372"/>
      <c r="F18" s="372"/>
      <c r="G18" s="372"/>
    </row>
    <row r="19" ht="30" customHeight="1" spans="1:7">
      <c r="A19" s="373" t="s">
        <v>94</v>
      </c>
      <c r="B19" s="374"/>
      <c r="C19" s="374"/>
      <c r="D19" s="374"/>
      <c r="E19" s="374"/>
      <c r="F19" s="374"/>
      <c r="G19" s="374"/>
    </row>
    <row r="20" ht="55.05" customHeight="1" spans="1:7">
      <c r="A20" s="375" t="s">
        <v>95</v>
      </c>
      <c r="B20" s="375"/>
      <c r="C20" s="375"/>
      <c r="D20" s="375"/>
      <c r="E20" s="375"/>
      <c r="F20" s="375"/>
      <c r="G20" s="375"/>
    </row>
    <row r="21" ht="20" customHeight="1" spans="1:7">
      <c r="A21" s="372" t="s">
        <v>96</v>
      </c>
      <c r="B21" s="372"/>
      <c r="C21" s="372"/>
      <c r="D21" s="372"/>
      <c r="E21" s="372"/>
      <c r="F21" s="372"/>
      <c r="G21" s="372"/>
    </row>
    <row r="22" ht="20" customHeight="1" spans="1:7">
      <c r="A22" s="372" t="s">
        <v>97</v>
      </c>
      <c r="B22" s="372"/>
      <c r="C22" s="372"/>
      <c r="D22" s="372"/>
      <c r="E22" s="372"/>
      <c r="F22" s="372"/>
      <c r="G22" s="372"/>
    </row>
    <row r="23" ht="35" customHeight="1" spans="1:7">
      <c r="A23" s="372" t="s">
        <v>98</v>
      </c>
      <c r="B23" s="372"/>
      <c r="C23" s="372"/>
      <c r="D23" s="372"/>
      <c r="E23" s="372"/>
      <c r="F23" s="372"/>
      <c r="G23" s="372"/>
    </row>
    <row r="24" ht="20" customHeight="1" spans="1:7">
      <c r="A24" s="372" t="s">
        <v>99</v>
      </c>
      <c r="B24" s="372"/>
      <c r="C24" s="372"/>
      <c r="D24" s="372"/>
      <c r="E24" s="372"/>
      <c r="F24" s="372"/>
      <c r="G24" s="372"/>
    </row>
    <row r="25" ht="20" customHeight="1" spans="1:7">
      <c r="A25" s="376" t="s">
        <v>100</v>
      </c>
      <c r="B25" s="372"/>
      <c r="C25" s="372"/>
      <c r="D25" s="372"/>
      <c r="E25" s="372"/>
      <c r="F25" s="372"/>
      <c r="G25" s="372"/>
    </row>
    <row r="26" ht="20" customHeight="1" spans="1:7">
      <c r="A26" s="376" t="s">
        <v>101</v>
      </c>
      <c r="B26" s="372"/>
      <c r="C26" s="372"/>
      <c r="D26" s="372"/>
      <c r="E26" s="372"/>
      <c r="F26" s="372"/>
      <c r="G26" s="372"/>
    </row>
    <row r="27" ht="35" customHeight="1" spans="1:7">
      <c r="A27" s="372" t="s">
        <v>102</v>
      </c>
      <c r="B27" s="372"/>
      <c r="C27" s="372"/>
      <c r="D27" s="372"/>
      <c r="E27" s="372"/>
      <c r="F27" s="372"/>
      <c r="G27" s="372"/>
    </row>
    <row r="28" ht="30" customHeight="1" spans="1:7">
      <c r="A28" s="373" t="s">
        <v>103</v>
      </c>
      <c r="B28" s="374"/>
      <c r="C28" s="374"/>
      <c r="D28" s="374"/>
      <c r="E28" s="374"/>
      <c r="F28" s="374"/>
      <c r="G28" s="374"/>
    </row>
    <row r="29" ht="20" customHeight="1" spans="1:7">
      <c r="A29" s="372" t="s">
        <v>104</v>
      </c>
      <c r="B29" s="372"/>
      <c r="C29" s="372"/>
      <c r="D29" s="372"/>
      <c r="E29" s="372"/>
      <c r="F29" s="372"/>
      <c r="G29" s="372"/>
    </row>
    <row r="30" ht="20" customHeight="1" spans="1:7">
      <c r="A30" s="372" t="s">
        <v>105</v>
      </c>
      <c r="B30" s="372"/>
      <c r="C30" s="372"/>
      <c r="D30" s="372"/>
      <c r="E30" s="372"/>
      <c r="F30" s="372"/>
      <c r="G30" s="372"/>
    </row>
    <row r="31" ht="35" customHeight="1" spans="1:7">
      <c r="A31" s="372" t="s">
        <v>106</v>
      </c>
      <c r="B31" s="372"/>
      <c r="C31" s="372"/>
      <c r="D31" s="372"/>
      <c r="E31" s="372"/>
      <c r="F31" s="372"/>
      <c r="G31" s="372"/>
    </row>
    <row r="32" ht="30" customHeight="1" spans="1:7">
      <c r="A32" s="373" t="s">
        <v>107</v>
      </c>
      <c r="B32" s="374"/>
      <c r="C32" s="374"/>
      <c r="D32" s="374"/>
      <c r="E32" s="374"/>
      <c r="F32" s="374"/>
      <c r="G32" s="374"/>
    </row>
    <row r="33" ht="35" customHeight="1" spans="1:7">
      <c r="A33" s="372" t="s">
        <v>108</v>
      </c>
      <c r="B33" s="372"/>
      <c r="C33" s="372"/>
      <c r="D33" s="372"/>
      <c r="E33" s="372"/>
      <c r="F33" s="372"/>
      <c r="G33" s="372"/>
    </row>
    <row r="34" ht="20" customHeight="1" spans="1:7">
      <c r="A34" s="372" t="s">
        <v>109</v>
      </c>
      <c r="B34" s="372"/>
      <c r="C34" s="372"/>
      <c r="D34" s="372"/>
      <c r="E34" s="372"/>
      <c r="F34" s="372"/>
      <c r="G34" s="372"/>
    </row>
    <row r="35" ht="20" customHeight="1" spans="1:7">
      <c r="A35" s="372" t="s">
        <v>110</v>
      </c>
      <c r="B35" s="372"/>
      <c r="C35" s="372"/>
      <c r="D35" s="372"/>
      <c r="E35" s="372"/>
      <c r="F35" s="372"/>
      <c r="G35" s="372"/>
    </row>
    <row r="36" ht="30" customHeight="1" spans="1:7">
      <c r="A36" s="373" t="s">
        <v>111</v>
      </c>
      <c r="B36" s="374"/>
      <c r="C36" s="374"/>
      <c r="D36" s="374"/>
      <c r="E36" s="374"/>
      <c r="F36" s="374"/>
      <c r="G36" s="374"/>
    </row>
    <row r="37" ht="20" customHeight="1" spans="1:7">
      <c r="A37" s="372" t="s">
        <v>112</v>
      </c>
      <c r="B37" s="372"/>
      <c r="C37" s="372"/>
      <c r="D37" s="372"/>
      <c r="E37" s="372"/>
      <c r="F37" s="372"/>
      <c r="G37" s="372"/>
    </row>
    <row r="38" ht="20" customHeight="1" spans="1:7">
      <c r="A38" s="372" t="s">
        <v>113</v>
      </c>
      <c r="B38" s="372"/>
      <c r="C38" s="372"/>
      <c r="D38" s="372"/>
      <c r="E38" s="372"/>
      <c r="F38" s="372"/>
      <c r="G38" s="372"/>
    </row>
    <row r="39" ht="20" customHeight="1" spans="1:7">
      <c r="A39" s="372" t="s">
        <v>114</v>
      </c>
      <c r="B39" s="372"/>
      <c r="C39" s="372"/>
      <c r="D39" s="372"/>
      <c r="E39" s="372"/>
      <c r="F39" s="372"/>
      <c r="G39" s="372"/>
    </row>
    <row r="40" ht="30" customHeight="1" spans="1:7">
      <c r="A40" s="373" t="s">
        <v>115</v>
      </c>
      <c r="B40" s="374"/>
      <c r="C40" s="374"/>
      <c r="D40" s="374"/>
      <c r="E40" s="374"/>
      <c r="F40" s="374"/>
      <c r="G40" s="374"/>
    </row>
    <row r="41" ht="20" customHeight="1" spans="1:2">
      <c r="A41" s="377" t="s">
        <v>116</v>
      </c>
      <c r="B41" s="378"/>
    </row>
    <row r="42" ht="30" customHeight="1" spans="1:7">
      <c r="A42" s="379" t="s">
        <v>117</v>
      </c>
      <c r="B42" s="380"/>
      <c r="C42" s="380"/>
      <c r="D42" s="380"/>
      <c r="E42" s="380"/>
      <c r="F42" s="380"/>
      <c r="G42" s="380"/>
    </row>
    <row r="43" s="355" customFormat="1" ht="25.05" customHeight="1" spans="1:7">
      <c r="A43" s="381" t="s">
        <v>118</v>
      </c>
      <c r="B43" s="381"/>
      <c r="C43" s="381"/>
      <c r="D43" s="381"/>
      <c r="E43" s="381"/>
      <c r="F43" s="381"/>
      <c r="G43" s="381"/>
    </row>
    <row r="44" s="356" customFormat="1" ht="35" customHeight="1" spans="1:7">
      <c r="A44" s="382" t="s">
        <v>119</v>
      </c>
      <c r="B44" s="382"/>
      <c r="C44" s="382"/>
      <c r="D44" s="382"/>
      <c r="E44" s="382"/>
      <c r="F44" s="382"/>
      <c r="G44" s="382"/>
    </row>
    <row r="45" s="356" customFormat="1" ht="20" customHeight="1" spans="1:7">
      <c r="A45" s="382" t="s">
        <v>120</v>
      </c>
      <c r="B45" s="382"/>
      <c r="C45" s="382"/>
      <c r="D45" s="382"/>
      <c r="E45" s="382"/>
      <c r="F45" s="382"/>
      <c r="G45" s="382"/>
    </row>
    <row r="46" s="357" customFormat="1" ht="20" customHeight="1" spans="1:7">
      <c r="A46" s="382" t="s">
        <v>121</v>
      </c>
      <c r="B46" s="382"/>
      <c r="C46" s="382"/>
      <c r="D46" s="382"/>
      <c r="E46" s="382"/>
      <c r="F46" s="382"/>
      <c r="G46" s="382"/>
    </row>
    <row r="47" s="357" customFormat="1" ht="20" customHeight="1" spans="1:7">
      <c r="A47" s="382" t="s">
        <v>122</v>
      </c>
      <c r="B47" s="382"/>
      <c r="C47" s="382"/>
      <c r="D47" s="382"/>
      <c r="E47" s="382"/>
      <c r="F47" s="382"/>
      <c r="G47" s="382"/>
    </row>
    <row r="48" s="357" customFormat="1" ht="20" customHeight="1" spans="1:7">
      <c r="A48" s="382" t="s">
        <v>123</v>
      </c>
      <c r="B48" s="382"/>
      <c r="C48" s="382"/>
      <c r="D48" s="382"/>
      <c r="E48" s="382"/>
      <c r="F48" s="382"/>
      <c r="G48" s="382"/>
    </row>
    <row r="49" s="357" customFormat="1" ht="20" customHeight="1" spans="1:7">
      <c r="A49" s="382" t="s">
        <v>124</v>
      </c>
      <c r="B49" s="382"/>
      <c r="C49" s="382"/>
      <c r="D49" s="382"/>
      <c r="E49" s="382"/>
      <c r="F49" s="382"/>
      <c r="G49" s="382"/>
    </row>
    <row r="50" s="357" customFormat="1" ht="20" customHeight="1" spans="1:7">
      <c r="A50" s="382" t="s">
        <v>125</v>
      </c>
      <c r="B50" s="382"/>
      <c r="C50" s="382"/>
      <c r="D50" s="382"/>
      <c r="E50" s="382"/>
      <c r="F50" s="382"/>
      <c r="G50" s="382"/>
    </row>
    <row r="51" s="357" customFormat="1" ht="20" customHeight="1" spans="1:7">
      <c r="A51" s="382" t="s">
        <v>126</v>
      </c>
      <c r="B51" s="382"/>
      <c r="C51" s="382"/>
      <c r="D51" s="382"/>
      <c r="E51" s="382"/>
      <c r="F51" s="382"/>
      <c r="G51" s="382"/>
    </row>
    <row r="52" s="357" customFormat="1" ht="20" customHeight="1" spans="1:7">
      <c r="A52" s="382" t="s">
        <v>127</v>
      </c>
      <c r="B52" s="382"/>
      <c r="C52" s="382"/>
      <c r="D52" s="382"/>
      <c r="E52" s="382"/>
      <c r="F52" s="382"/>
      <c r="G52" s="382"/>
    </row>
    <row r="53" s="357" customFormat="1" ht="20" customHeight="1" spans="1:7">
      <c r="A53" s="382" t="s">
        <v>128</v>
      </c>
      <c r="B53" s="382"/>
      <c r="C53" s="382"/>
      <c r="D53" s="382"/>
      <c r="E53" s="382"/>
      <c r="F53" s="382"/>
      <c r="G53" s="382"/>
    </row>
    <row r="54" s="357" customFormat="1" ht="20" customHeight="1" spans="1:7">
      <c r="A54" s="382" t="s">
        <v>129</v>
      </c>
      <c r="B54" s="382"/>
      <c r="C54" s="382"/>
      <c r="D54" s="382"/>
      <c r="E54" s="382"/>
      <c r="F54" s="382"/>
      <c r="G54" s="382"/>
    </row>
    <row r="55" s="357" customFormat="1" ht="20" customHeight="1" spans="1:7">
      <c r="A55" s="382" t="s">
        <v>130</v>
      </c>
      <c r="B55" s="382"/>
      <c r="C55" s="382"/>
      <c r="D55" s="382"/>
      <c r="E55" s="382"/>
      <c r="F55" s="382"/>
      <c r="G55" s="382"/>
    </row>
    <row r="56" s="357" customFormat="1" ht="20" customHeight="1" spans="1:7">
      <c r="A56" s="382" t="s">
        <v>131</v>
      </c>
      <c r="B56" s="382"/>
      <c r="C56" s="382"/>
      <c r="D56" s="382"/>
      <c r="E56" s="382"/>
      <c r="F56" s="382"/>
      <c r="G56" s="382"/>
    </row>
    <row r="57" s="357" customFormat="1" ht="20" customHeight="1" spans="1:7">
      <c r="A57" s="382" t="s">
        <v>132</v>
      </c>
      <c r="B57" s="382"/>
      <c r="C57" s="382"/>
      <c r="D57" s="382"/>
      <c r="E57" s="382"/>
      <c r="F57" s="382"/>
      <c r="G57" s="382"/>
    </row>
    <row r="58" s="358" customFormat="1" ht="46.05" customHeight="1" spans="1:7">
      <c r="A58" s="383" t="s">
        <v>133</v>
      </c>
      <c r="B58" s="383"/>
      <c r="C58" s="383"/>
      <c r="D58" s="383"/>
      <c r="E58" s="383"/>
      <c r="F58" s="383"/>
      <c r="G58" s="383"/>
    </row>
  </sheetData>
  <sheetProtection formatCells="0" insertHyperlinks="0" autoFilter="0"/>
  <mergeCells count="59">
    <mergeCell ref="A1:G1"/>
    <mergeCell ref="A2:G2"/>
    <mergeCell ref="A3:G3"/>
    <mergeCell ref="B4:G4"/>
    <mergeCell ref="B5:G5"/>
    <mergeCell ref="B6:G6"/>
    <mergeCell ref="B7:G7"/>
    <mergeCell ref="B8:G8"/>
    <mergeCell ref="B9:G9"/>
    <mergeCell ref="B10:G10"/>
    <mergeCell ref="B11:G11"/>
    <mergeCell ref="B12:G12"/>
    <mergeCell ref="A13:G13"/>
    <mergeCell ref="A14:G14"/>
    <mergeCell ref="A15:G15"/>
    <mergeCell ref="A16:G16"/>
    <mergeCell ref="A17:G17"/>
    <mergeCell ref="A18:G18"/>
    <mergeCell ref="A19:G19"/>
    <mergeCell ref="A20:G20"/>
    <mergeCell ref="A21:G21"/>
    <mergeCell ref="A22:G22"/>
    <mergeCell ref="A23:G23"/>
    <mergeCell ref="A24:G24"/>
    <mergeCell ref="A25:G25"/>
    <mergeCell ref="A26:G26"/>
    <mergeCell ref="A27:G27"/>
    <mergeCell ref="A28:G28"/>
    <mergeCell ref="A29:G29"/>
    <mergeCell ref="A30:G30"/>
    <mergeCell ref="A31:G31"/>
    <mergeCell ref="A32:G32"/>
    <mergeCell ref="A33:G33"/>
    <mergeCell ref="A34:G34"/>
    <mergeCell ref="A35:G35"/>
    <mergeCell ref="A36:G36"/>
    <mergeCell ref="A37:G37"/>
    <mergeCell ref="A38:G38"/>
    <mergeCell ref="A39:G39"/>
    <mergeCell ref="A40:G40"/>
    <mergeCell ref="A41:B41"/>
    <mergeCell ref="A42:G42"/>
    <mergeCell ref="A43:G43"/>
    <mergeCell ref="A44:G44"/>
    <mergeCell ref="A45:G45"/>
    <mergeCell ref="A46:G46"/>
    <mergeCell ref="A47:G47"/>
    <mergeCell ref="A48:G48"/>
    <mergeCell ref="A49:G49"/>
    <mergeCell ref="A50:G50"/>
    <mergeCell ref="A51:G51"/>
    <mergeCell ref="A52:G52"/>
    <mergeCell ref="A53:G53"/>
    <mergeCell ref="A54:G54"/>
    <mergeCell ref="A55:G55"/>
    <mergeCell ref="A56:G56"/>
    <mergeCell ref="A57:G57"/>
    <mergeCell ref="A58:G58"/>
    <mergeCell ref="A6:A11"/>
  </mergeCells>
  <hyperlinks>
    <hyperlink ref="A43" r:id="rId1" display="https:  www.usitc.gov trade_remedy 731_ad_701_cvd investigations.htm" tooltip="https://www.usitc.gov/trade_remedy/731_ad_701_cvd/investigations.htm"/>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N30"/>
  <sheetViews>
    <sheetView tabSelected="1" zoomScale="40" zoomScaleNormal="40" workbookViewId="0">
      <selection activeCell="A1" sqref="A1"/>
    </sheetView>
  </sheetViews>
  <sheetFormatPr defaultColWidth="9" defaultRowHeight="13.5"/>
  <cols>
    <col min="1" max="1" width="1.6" customWidth="1"/>
    <col min="2" max="2" width="12.6666666666667" customWidth="1"/>
    <col min="3" max="3" width="39.4666666666667" customWidth="1"/>
    <col min="4" max="4" width="94.0666666666667" customWidth="1"/>
    <col min="5" max="5" width="38.2" customWidth="1"/>
    <col min="6" max="6" width="133.2" customWidth="1"/>
    <col min="7" max="7" width="18.8666666666667" customWidth="1"/>
    <col min="8" max="8" width="31.6" customWidth="1"/>
    <col min="9" max="9" width="22.2666666666667" customWidth="1"/>
    <col min="10" max="10" width="9" customWidth="1"/>
  </cols>
  <sheetData>
    <row r="1" ht="10.05" customHeight="1"/>
    <row r="2" ht="124.05" customHeight="1" spans="2:8">
      <c r="B2" s="322" t="s">
        <v>134</v>
      </c>
      <c r="C2" s="323"/>
      <c r="D2" s="323"/>
      <c r="E2" s="323"/>
      <c r="F2" s="323"/>
      <c r="G2" s="323"/>
      <c r="H2" s="323"/>
    </row>
    <row r="3" ht="38" customHeight="1" spans="2:8">
      <c r="B3" s="324" t="s">
        <v>135</v>
      </c>
      <c r="C3" s="324" t="s">
        <v>136</v>
      </c>
      <c r="D3" s="324" t="s">
        <v>137</v>
      </c>
      <c r="E3" s="339" t="s">
        <v>138</v>
      </c>
      <c r="F3" s="339" t="s">
        <v>139</v>
      </c>
      <c r="G3" s="339" t="s">
        <v>140</v>
      </c>
      <c r="H3" s="339"/>
    </row>
    <row r="4" ht="65" customHeight="1" spans="2:8">
      <c r="B4" s="325">
        <v>1</v>
      </c>
      <c r="C4" s="326" t="s">
        <v>141</v>
      </c>
      <c r="D4" s="327" t="s">
        <v>142</v>
      </c>
      <c r="E4" s="340" t="s">
        <v>143</v>
      </c>
      <c r="F4" s="341" t="s">
        <v>144</v>
      </c>
      <c r="G4" s="342" t="s">
        <v>145</v>
      </c>
      <c r="H4" s="342"/>
    </row>
    <row r="5" ht="65" customHeight="1" spans="2:8">
      <c r="B5" s="325">
        <v>2</v>
      </c>
      <c r="C5" s="326"/>
      <c r="D5" s="327" t="s">
        <v>146</v>
      </c>
      <c r="E5" s="340" t="s">
        <v>143</v>
      </c>
      <c r="F5" s="341" t="s">
        <v>147</v>
      </c>
      <c r="G5" s="342" t="s">
        <v>145</v>
      </c>
      <c r="H5" s="342"/>
    </row>
    <row r="6" ht="65" customHeight="1" spans="2:8">
      <c r="B6" s="325">
        <v>3</v>
      </c>
      <c r="C6" s="326"/>
      <c r="D6" s="328" t="s">
        <v>148</v>
      </c>
      <c r="E6" s="340" t="s">
        <v>143</v>
      </c>
      <c r="F6" s="341" t="s">
        <v>149</v>
      </c>
      <c r="G6" s="342" t="s">
        <v>145</v>
      </c>
      <c r="H6" s="342"/>
    </row>
    <row r="7" ht="65" customHeight="1" spans="2:8">
      <c r="B7" s="325">
        <v>4</v>
      </c>
      <c r="C7" s="326"/>
      <c r="D7" s="328" t="s">
        <v>150</v>
      </c>
      <c r="E7" s="340" t="s">
        <v>143</v>
      </c>
      <c r="F7" s="341" t="s">
        <v>151</v>
      </c>
      <c r="G7" s="342" t="s">
        <v>145</v>
      </c>
      <c r="H7" s="342"/>
    </row>
    <row r="8" ht="65" customHeight="1" spans="2:8">
      <c r="B8" s="325">
        <v>5</v>
      </c>
      <c r="C8" s="326"/>
      <c r="D8" s="328" t="s">
        <v>152</v>
      </c>
      <c r="E8" s="340" t="s">
        <v>143</v>
      </c>
      <c r="F8" s="343" t="s">
        <v>153</v>
      </c>
      <c r="G8" s="342" t="s">
        <v>145</v>
      </c>
      <c r="H8" s="342"/>
    </row>
    <row r="9" ht="65" customHeight="1" spans="2:8">
      <c r="B9" s="325">
        <v>6</v>
      </c>
      <c r="C9" s="326"/>
      <c r="D9" s="328" t="s">
        <v>154</v>
      </c>
      <c r="E9" s="340" t="s">
        <v>143</v>
      </c>
      <c r="F9" s="344"/>
      <c r="G9" s="342" t="s">
        <v>145</v>
      </c>
      <c r="H9" s="342"/>
    </row>
    <row r="10" ht="65" customHeight="1" spans="2:8">
      <c r="B10" s="325">
        <v>7</v>
      </c>
      <c r="C10" s="326"/>
      <c r="D10" s="328" t="s">
        <v>24</v>
      </c>
      <c r="E10" s="340" t="s">
        <v>143</v>
      </c>
      <c r="F10" s="345" t="s">
        <v>155</v>
      </c>
      <c r="G10" s="342" t="s">
        <v>145</v>
      </c>
      <c r="H10" s="342"/>
    </row>
    <row r="11" ht="65" customHeight="1" spans="2:8">
      <c r="B11" s="325">
        <v>8</v>
      </c>
      <c r="C11" s="326"/>
      <c r="D11" s="327" t="s">
        <v>156</v>
      </c>
      <c r="E11" s="340" t="s">
        <v>143</v>
      </c>
      <c r="F11" s="345" t="s">
        <v>157</v>
      </c>
      <c r="G11" s="342" t="s">
        <v>145</v>
      </c>
      <c r="H11" s="342"/>
    </row>
    <row r="12" ht="65" customHeight="1" spans="2:8">
      <c r="B12" s="325">
        <v>9</v>
      </c>
      <c r="C12" s="326"/>
      <c r="D12" s="327" t="s">
        <v>38</v>
      </c>
      <c r="E12" s="340" t="s">
        <v>143</v>
      </c>
      <c r="F12" s="345" t="s">
        <v>158</v>
      </c>
      <c r="G12" s="342" t="s">
        <v>145</v>
      </c>
      <c r="H12" s="342"/>
    </row>
    <row r="13" ht="65" customHeight="1" spans="2:8">
      <c r="B13" s="325">
        <v>10</v>
      </c>
      <c r="C13" s="326"/>
      <c r="D13" s="327" t="s">
        <v>159</v>
      </c>
      <c r="E13" s="340" t="s">
        <v>143</v>
      </c>
      <c r="F13" s="345" t="s">
        <v>160</v>
      </c>
      <c r="G13" s="342" t="s">
        <v>145</v>
      </c>
      <c r="H13" s="342"/>
    </row>
    <row r="14" ht="65" customHeight="1" spans="2:8">
      <c r="B14" s="325">
        <v>11</v>
      </c>
      <c r="C14" s="326"/>
      <c r="D14" s="327" t="s">
        <v>161</v>
      </c>
      <c r="E14" s="340" t="s">
        <v>143</v>
      </c>
      <c r="F14" s="345" t="s">
        <v>162</v>
      </c>
      <c r="G14" s="342" t="s">
        <v>145</v>
      </c>
      <c r="H14" s="342"/>
    </row>
    <row r="15" ht="65" customHeight="1" spans="2:8">
      <c r="B15" s="325">
        <v>12</v>
      </c>
      <c r="C15" s="326"/>
      <c r="D15" s="327" t="s">
        <v>163</v>
      </c>
      <c r="E15" s="340" t="s">
        <v>143</v>
      </c>
      <c r="F15" s="345" t="s">
        <v>164</v>
      </c>
      <c r="G15" s="342" t="s">
        <v>145</v>
      </c>
      <c r="H15" s="342"/>
    </row>
    <row r="16" ht="84" customHeight="1" spans="2:8">
      <c r="B16" s="325">
        <v>13</v>
      </c>
      <c r="C16" s="329" t="s">
        <v>165</v>
      </c>
      <c r="D16" s="330" t="s">
        <v>166</v>
      </c>
      <c r="E16" s="346" t="s">
        <v>143</v>
      </c>
      <c r="F16" s="347" t="s">
        <v>167</v>
      </c>
      <c r="G16" s="342" t="s">
        <v>145</v>
      </c>
      <c r="H16" s="342"/>
    </row>
    <row r="17" ht="84" customHeight="1" spans="2:8">
      <c r="B17" s="325">
        <v>14</v>
      </c>
      <c r="C17" s="329"/>
      <c r="D17" s="328" t="s">
        <v>168</v>
      </c>
      <c r="E17" s="346" t="s">
        <v>143</v>
      </c>
      <c r="F17" s="348" t="s">
        <v>169</v>
      </c>
      <c r="G17" s="342" t="s">
        <v>145</v>
      </c>
      <c r="H17" s="342"/>
    </row>
    <row r="18" ht="84" customHeight="1" spans="2:14">
      <c r="B18" s="325">
        <v>15</v>
      </c>
      <c r="C18" s="329"/>
      <c r="D18" s="331" t="s">
        <v>170</v>
      </c>
      <c r="E18" s="346" t="s">
        <v>143</v>
      </c>
      <c r="F18" s="349" t="s">
        <v>171</v>
      </c>
      <c r="G18" s="342" t="s">
        <v>145</v>
      </c>
      <c r="H18" s="342"/>
      <c r="N18" t="s">
        <v>172</v>
      </c>
    </row>
    <row r="19" ht="84" customHeight="1" spans="2:8">
      <c r="B19" s="325">
        <v>16</v>
      </c>
      <c r="C19" s="329"/>
      <c r="D19" s="331" t="s">
        <v>173</v>
      </c>
      <c r="E19" s="346" t="s">
        <v>143</v>
      </c>
      <c r="F19" s="350"/>
      <c r="G19" s="342" t="s">
        <v>145</v>
      </c>
      <c r="H19" s="342"/>
    </row>
    <row r="20" ht="84" customHeight="1" spans="2:8">
      <c r="B20" s="325">
        <v>17</v>
      </c>
      <c r="C20" s="329"/>
      <c r="D20" s="331" t="s">
        <v>174</v>
      </c>
      <c r="E20" s="346" t="s">
        <v>143</v>
      </c>
      <c r="F20" s="350"/>
      <c r="G20" s="342" t="s">
        <v>145</v>
      </c>
      <c r="H20" s="342"/>
    </row>
    <row r="21" ht="84" customHeight="1" spans="2:8">
      <c r="B21" s="325">
        <v>18</v>
      </c>
      <c r="C21" s="329"/>
      <c r="D21" s="331" t="s">
        <v>175</v>
      </c>
      <c r="E21" s="346" t="s">
        <v>143</v>
      </c>
      <c r="F21" s="351"/>
      <c r="G21" s="342" t="s">
        <v>145</v>
      </c>
      <c r="H21" s="342"/>
    </row>
    <row r="22" ht="84" customHeight="1" spans="2:8">
      <c r="B22" s="325">
        <v>19</v>
      </c>
      <c r="C22" s="329"/>
      <c r="D22" s="330" t="s">
        <v>176</v>
      </c>
      <c r="E22" s="346" t="s">
        <v>143</v>
      </c>
      <c r="F22" s="347" t="s">
        <v>177</v>
      </c>
      <c r="G22" s="342" t="s">
        <v>145</v>
      </c>
      <c r="H22" s="342"/>
    </row>
    <row r="23" ht="84" customHeight="1" spans="2:8">
      <c r="B23" s="325">
        <v>20</v>
      </c>
      <c r="C23" s="329"/>
      <c r="D23" s="330" t="s">
        <v>178</v>
      </c>
      <c r="E23" s="346" t="s">
        <v>143</v>
      </c>
      <c r="F23" s="347" t="s">
        <v>179</v>
      </c>
      <c r="G23" s="342" t="s">
        <v>145</v>
      </c>
      <c r="H23" s="342"/>
    </row>
    <row r="24" ht="84" customHeight="1" spans="2:8">
      <c r="B24" s="325">
        <v>21</v>
      </c>
      <c r="C24" s="329"/>
      <c r="D24" s="330" t="s">
        <v>180</v>
      </c>
      <c r="E24" s="346" t="s">
        <v>143</v>
      </c>
      <c r="F24" s="347" t="s">
        <v>181</v>
      </c>
      <c r="G24" s="342" t="s">
        <v>145</v>
      </c>
      <c r="H24" s="342"/>
    </row>
    <row r="25" ht="84" customHeight="1" spans="2:8">
      <c r="B25" s="325">
        <v>22</v>
      </c>
      <c r="C25" s="329"/>
      <c r="D25" s="330" t="s">
        <v>182</v>
      </c>
      <c r="E25" s="346" t="s">
        <v>143</v>
      </c>
      <c r="F25" s="347" t="s">
        <v>183</v>
      </c>
      <c r="G25" s="342" t="s">
        <v>145</v>
      </c>
      <c r="H25" s="342"/>
    </row>
    <row r="26" ht="36" customHeight="1" spans="2:8">
      <c r="B26" s="332" t="s">
        <v>184</v>
      </c>
      <c r="C26" s="332"/>
      <c r="D26" s="332"/>
      <c r="E26" s="332"/>
      <c r="F26" s="332"/>
      <c r="G26" s="332"/>
      <c r="H26" s="332"/>
    </row>
    <row r="27" ht="154.05" customHeight="1" spans="2:8">
      <c r="B27" s="332"/>
      <c r="C27" s="332"/>
      <c r="D27" s="332"/>
      <c r="E27" s="332"/>
      <c r="F27" s="332"/>
      <c r="G27" s="332"/>
      <c r="H27" s="332"/>
    </row>
    <row r="28" ht="36" customHeight="1" spans="2:8">
      <c r="B28" s="333" t="s">
        <v>185</v>
      </c>
      <c r="C28" s="333"/>
      <c r="D28" s="333"/>
      <c r="E28" s="333"/>
      <c r="F28" s="333"/>
      <c r="G28" s="333"/>
      <c r="H28" s="333"/>
    </row>
    <row r="29" s="321" customFormat="1" ht="313.05" customHeight="1" spans="2:10">
      <c r="B29" s="334" t="s">
        <v>186</v>
      </c>
      <c r="C29" s="335" t="s">
        <v>187</v>
      </c>
      <c r="D29" s="336"/>
      <c r="E29" s="336"/>
      <c r="F29" s="336"/>
      <c r="G29" s="336"/>
      <c r="H29" s="336"/>
      <c r="I29" s="336"/>
      <c r="J29" s="352"/>
    </row>
    <row r="30" s="321" customFormat="1" ht="313.05" customHeight="1" spans="2:10">
      <c r="B30" s="337" t="s">
        <v>107</v>
      </c>
      <c r="C30" s="338" t="s">
        <v>188</v>
      </c>
      <c r="D30" s="338"/>
      <c r="E30" s="338"/>
      <c r="F30" s="338"/>
      <c r="G30" s="338"/>
      <c r="H30" s="338"/>
      <c r="I30" s="353"/>
      <c r="J30" s="354"/>
    </row>
  </sheetData>
  <sheetProtection formatCells="0" insertHyperlinks="0" autoFilter="0"/>
  <mergeCells count="32">
    <mergeCell ref="B2:H2"/>
    <mergeCell ref="G3:H3"/>
    <mergeCell ref="G4:H4"/>
    <mergeCell ref="G5:H5"/>
    <mergeCell ref="G6:H6"/>
    <mergeCell ref="G7:H7"/>
    <mergeCell ref="G8:H8"/>
    <mergeCell ref="G9:H9"/>
    <mergeCell ref="G10:H10"/>
    <mergeCell ref="G11:H11"/>
    <mergeCell ref="G12:H12"/>
    <mergeCell ref="G13:H13"/>
    <mergeCell ref="G14:H14"/>
    <mergeCell ref="G15:H15"/>
    <mergeCell ref="G16:H16"/>
    <mergeCell ref="G17:H17"/>
    <mergeCell ref="G18:H18"/>
    <mergeCell ref="G19:H19"/>
    <mergeCell ref="G20:H20"/>
    <mergeCell ref="G21:H21"/>
    <mergeCell ref="G22:H22"/>
    <mergeCell ref="G23:H23"/>
    <mergeCell ref="G24:H24"/>
    <mergeCell ref="G25:H25"/>
    <mergeCell ref="B28:H28"/>
    <mergeCell ref="C29:J29"/>
    <mergeCell ref="C30:J30"/>
    <mergeCell ref="C4:C15"/>
    <mergeCell ref="C16:C25"/>
    <mergeCell ref="F8:F9"/>
    <mergeCell ref="F18:F21"/>
    <mergeCell ref="B26:H27"/>
  </mergeCells>
  <hyperlinks>
    <hyperlink ref="E4" location="'美国空运专线（包税）'!A1" display="点击进入"/>
    <hyperlink ref="E6" location="美国普船直拼!A1" display="点击进入"/>
    <hyperlink ref="E16" location="'加拿大空运专线（包税）'!A1" display="点击进入"/>
    <hyperlink ref="E18" location="'加拿大限时达-海派报价'!A1" display="点击进入"/>
    <hyperlink ref="E15" location="'美国海派专线-综合报价'!A1" display="点击进入"/>
    <hyperlink ref="E20" location="'加拿大限时达-化妆品海派报价'!A1" display="点击进入"/>
    <hyperlink ref="E22" location="加拿大卡派专线!A1" display="点击进入"/>
    <hyperlink ref="E7" location="'美森海卡专线（卡派）'!A1" display="点击进入"/>
    <hyperlink ref="E11" location="芝加哥专线!A1" display="点击进入"/>
    <hyperlink ref="E13" location="美东专线!A1" display="点击进入"/>
    <hyperlink ref="E8" location="以星海卡限时达!A1" display="点击进入"/>
    <hyperlink ref="E12" location="萨凡纳专线!A1" display="点击进入"/>
    <hyperlink ref="E14" location="美国DG专线!A1" display="点击进入"/>
    <hyperlink ref="E10" location="洛杉矶专线!A1" display="点击进入"/>
    <hyperlink ref="E5" location="'美国化妆品空运专线（包税）'!A1" display="点击进入"/>
    <hyperlink ref="E21" location="'加拿大限时达-化妆品卡车专线'!A1" display="点击进入"/>
    <hyperlink ref="E19" location="'加拿大限时达-卡车专线'!A1" display="点击进入"/>
    <hyperlink ref="E9" location="美国极速上架专线!A1" display="点击进入"/>
    <hyperlink ref="E24" location="加拿大化妆品专线卡派包税!A1" display="点击进入"/>
    <hyperlink ref="E23" location="加拿大海派专线!A1" display="点击进入"/>
    <hyperlink ref="E25" location="加拿大DG卡派专线!A1" display="点击进入"/>
    <hyperlink ref="E17" location="加拿大极速上架专线!A1" display="点击进入"/>
  </hyperlink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B1:H9"/>
  <sheetViews>
    <sheetView zoomScale="85" zoomScaleNormal="85" workbookViewId="0">
      <selection activeCell="A1" sqref="A1"/>
    </sheetView>
  </sheetViews>
  <sheetFormatPr defaultColWidth="9" defaultRowHeight="18" outlineLevelCol="7"/>
  <cols>
    <col min="1" max="1" width="1.6" style="83" customWidth="1"/>
    <col min="2" max="2" width="27.2666666666667" style="83" customWidth="1"/>
    <col min="3" max="6" width="37.0666666666667" style="83" customWidth="1"/>
    <col min="7" max="7" width="43" style="83" customWidth="1"/>
    <col min="8" max="8" width="12.4" style="83" customWidth="1"/>
    <col min="9" max="16381" width="9" style="83"/>
    <col min="16383" max="16384" width="9" style="83"/>
  </cols>
  <sheetData>
    <row r="1" ht="2" customHeight="1"/>
    <row r="2" ht="100.05" customHeight="1" spans="2:8">
      <c r="B2" s="279" t="s">
        <v>189</v>
      </c>
      <c r="C2" s="280"/>
      <c r="D2" s="280"/>
      <c r="E2" s="280"/>
      <c r="F2" s="280"/>
      <c r="G2" s="280"/>
      <c r="H2" s="19" t="s">
        <v>190</v>
      </c>
    </row>
    <row r="3" ht="42" customHeight="1" spans="2:7">
      <c r="B3" s="281" t="s">
        <v>191</v>
      </c>
      <c r="C3" s="282" t="s">
        <v>192</v>
      </c>
      <c r="D3" s="283" t="s">
        <v>193</v>
      </c>
      <c r="E3" s="295" t="s">
        <v>194</v>
      </c>
      <c r="F3" s="295" t="s">
        <v>195</v>
      </c>
      <c r="G3" s="296" t="s">
        <v>196</v>
      </c>
    </row>
    <row r="4" ht="60" customHeight="1" spans="2:7">
      <c r="B4" s="284" t="s">
        <v>197</v>
      </c>
      <c r="C4" s="285">
        <v>45</v>
      </c>
      <c r="D4" s="286">
        <v>39</v>
      </c>
      <c r="E4" s="285">
        <v>37</v>
      </c>
      <c r="F4" s="285">
        <v>35</v>
      </c>
      <c r="G4" s="296" t="s">
        <v>198</v>
      </c>
    </row>
    <row r="5" ht="68" customHeight="1" spans="2:7">
      <c r="B5" s="287" t="s">
        <v>199</v>
      </c>
      <c r="C5" s="288">
        <v>47</v>
      </c>
      <c r="D5" s="289">
        <v>41</v>
      </c>
      <c r="E5" s="297">
        <v>39</v>
      </c>
      <c r="F5" s="297">
        <v>37</v>
      </c>
      <c r="G5" s="296"/>
    </row>
    <row r="6" ht="68" customHeight="1" spans="2:7">
      <c r="B6" s="287" t="s">
        <v>200</v>
      </c>
      <c r="C6" s="288">
        <v>48</v>
      </c>
      <c r="D6" s="289">
        <v>42</v>
      </c>
      <c r="E6" s="297">
        <v>40</v>
      </c>
      <c r="F6" s="297">
        <v>38</v>
      </c>
      <c r="G6" s="296"/>
    </row>
    <row r="7" ht="64.05" customHeight="1" spans="2:7">
      <c r="B7" s="287" t="s">
        <v>201</v>
      </c>
      <c r="C7" s="288">
        <v>49</v>
      </c>
      <c r="D7" s="289">
        <v>43</v>
      </c>
      <c r="E7" s="297">
        <v>41</v>
      </c>
      <c r="F7" s="297">
        <v>39</v>
      </c>
      <c r="G7" s="296"/>
    </row>
    <row r="8" ht="64.05" customHeight="1" spans="2:7">
      <c r="B8" s="287" t="s">
        <v>202</v>
      </c>
      <c r="C8" s="290" t="s">
        <v>203</v>
      </c>
      <c r="D8" s="291"/>
      <c r="E8" s="291"/>
      <c r="F8" s="291"/>
      <c r="G8" s="298"/>
    </row>
    <row r="9" ht="344" customHeight="1" spans="2:7">
      <c r="B9" s="292" t="s">
        <v>139</v>
      </c>
      <c r="C9" s="293" t="s">
        <v>204</v>
      </c>
      <c r="D9" s="294"/>
      <c r="E9" s="294"/>
      <c r="F9" s="294"/>
      <c r="G9" s="299"/>
    </row>
  </sheetData>
  <sheetProtection formatCells="0" insertHyperlinks="0" autoFilter="0"/>
  <mergeCells count="4">
    <mergeCell ref="B2:G2"/>
    <mergeCell ref="C8:G8"/>
    <mergeCell ref="C9:G9"/>
    <mergeCell ref="G4:G7"/>
  </mergeCells>
  <conditionalFormatting sqref="D5:D7">
    <cfRule type="duplicateValues" dxfId="0" priority="1"/>
  </conditionalFormatting>
  <hyperlinks>
    <hyperlink ref="H2" location="目录!A1" display="返回目录"/>
  </hyperlinks>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J30"/>
  <sheetViews>
    <sheetView zoomScale="85" zoomScaleNormal="85" workbookViewId="0">
      <selection activeCell="J1" sqref="J1"/>
    </sheetView>
  </sheetViews>
  <sheetFormatPr defaultColWidth="9" defaultRowHeight="18"/>
  <cols>
    <col min="1" max="1" width="45.8666666666667" style="83" customWidth="1"/>
    <col min="2" max="2" width="22.0666666666667" style="83" customWidth="1"/>
    <col min="3" max="3" width="27.5333333333333" style="83" customWidth="1"/>
    <col min="4" max="4" width="25.8666666666667" style="83" customWidth="1"/>
    <col min="5" max="5" width="19.8666666666667" style="83" customWidth="1"/>
    <col min="6" max="6" width="6" style="83" customWidth="1"/>
    <col min="7" max="7" width="26.2" style="83" customWidth="1"/>
    <col min="8" max="8" width="26.7333333333333" style="83" customWidth="1"/>
    <col min="9" max="9" width="32.1333333333333" style="83" customWidth="1"/>
    <col min="10" max="10" width="13.5333333333333" style="83" customWidth="1"/>
    <col min="11" max="16384" width="9" style="83"/>
  </cols>
  <sheetData>
    <row r="1" ht="84" customHeight="1" spans="1:10">
      <c r="A1" s="108" t="s">
        <v>170</v>
      </c>
      <c r="B1" s="108"/>
      <c r="C1" s="108"/>
      <c r="D1" s="108"/>
      <c r="E1" s="108"/>
      <c r="F1" s="108"/>
      <c r="G1" s="108"/>
      <c r="H1" s="108"/>
      <c r="I1" s="108"/>
      <c r="J1" s="19" t="s">
        <v>190</v>
      </c>
    </row>
    <row r="2" ht="49.05" customHeight="1" spans="1:9">
      <c r="A2" s="85" t="s">
        <v>205</v>
      </c>
      <c r="B2" s="86" t="s">
        <v>206</v>
      </c>
      <c r="C2" s="86"/>
      <c r="D2" s="86"/>
      <c r="E2" s="86" t="s">
        <v>207</v>
      </c>
      <c r="F2" s="86"/>
      <c r="G2" s="86"/>
      <c r="H2" s="113" t="s">
        <v>208</v>
      </c>
      <c r="I2" s="115"/>
    </row>
    <row r="3" ht="61" customHeight="1" spans="1:9">
      <c r="A3" s="87" t="s">
        <v>209</v>
      </c>
      <c r="B3" s="88" t="s">
        <v>210</v>
      </c>
      <c r="C3" s="88"/>
      <c r="D3" s="88"/>
      <c r="E3" s="88" t="s">
        <v>211</v>
      </c>
      <c r="F3" s="88"/>
      <c r="G3" s="88"/>
      <c r="H3" s="114" t="s">
        <v>212</v>
      </c>
      <c r="I3" s="114"/>
    </row>
    <row r="4" ht="61" customHeight="1" spans="1:9">
      <c r="A4" s="87"/>
      <c r="B4" s="89" t="s">
        <v>213</v>
      </c>
      <c r="C4" s="89" t="s">
        <v>214</v>
      </c>
      <c r="D4" s="90" t="s">
        <v>215</v>
      </c>
      <c r="E4" s="89" t="s">
        <v>214</v>
      </c>
      <c r="F4" s="89"/>
      <c r="G4" s="90" t="s">
        <v>215</v>
      </c>
      <c r="H4" s="105" t="s">
        <v>214</v>
      </c>
      <c r="I4" s="90" t="s">
        <v>215</v>
      </c>
    </row>
    <row r="5" ht="61" customHeight="1" spans="1:9">
      <c r="A5" s="91" t="s">
        <v>216</v>
      </c>
      <c r="B5" s="92" t="s">
        <v>217</v>
      </c>
      <c r="C5" s="93">
        <v>15.5</v>
      </c>
      <c r="D5" s="109" t="s">
        <v>218</v>
      </c>
      <c r="E5" s="91">
        <v>15</v>
      </c>
      <c r="F5" s="91"/>
      <c r="G5" s="109" t="s">
        <v>219</v>
      </c>
      <c r="H5" s="91">
        <v>12.8</v>
      </c>
      <c r="I5" s="116" t="s">
        <v>220</v>
      </c>
    </row>
    <row r="6" ht="61" customHeight="1" spans="1:9">
      <c r="A6" s="91" t="s">
        <v>221</v>
      </c>
      <c r="B6" s="92" t="s">
        <v>217</v>
      </c>
      <c r="C6" s="93">
        <v>16.5</v>
      </c>
      <c r="D6" s="110"/>
      <c r="E6" s="91">
        <v>16</v>
      </c>
      <c r="F6" s="91"/>
      <c r="G6" s="110"/>
      <c r="H6" s="91">
        <v>13.8</v>
      </c>
      <c r="I6" s="110"/>
    </row>
    <row r="7" ht="61" customHeight="1" spans="1:9">
      <c r="A7" s="91" t="s">
        <v>222</v>
      </c>
      <c r="B7" s="92" t="s">
        <v>217</v>
      </c>
      <c r="C7" s="93">
        <v>16.5</v>
      </c>
      <c r="D7" s="110"/>
      <c r="E7" s="91">
        <v>16</v>
      </c>
      <c r="F7" s="91"/>
      <c r="G7" s="110"/>
      <c r="H7" s="91">
        <v>13.8</v>
      </c>
      <c r="I7" s="110"/>
    </row>
    <row r="8" ht="61" customHeight="1" spans="1:9">
      <c r="A8" s="91" t="s">
        <v>223</v>
      </c>
      <c r="B8" s="92" t="s">
        <v>217</v>
      </c>
      <c r="C8" s="93">
        <v>15.5</v>
      </c>
      <c r="D8" s="111"/>
      <c r="E8" s="91">
        <v>15</v>
      </c>
      <c r="F8" s="91"/>
      <c r="G8" s="111"/>
      <c r="H8" s="91">
        <v>12.8</v>
      </c>
      <c r="I8" s="111"/>
    </row>
    <row r="9" ht="61" customHeight="1" spans="1:9">
      <c r="A9" s="112" t="s">
        <v>224</v>
      </c>
      <c r="B9" s="112"/>
      <c r="C9" s="112"/>
      <c r="D9" s="112"/>
      <c r="E9" s="112"/>
      <c r="F9" s="112"/>
      <c r="G9" s="112"/>
      <c r="H9" s="112"/>
      <c r="I9" s="112"/>
    </row>
    <row r="10" s="33" customFormat="1" ht="35" customHeight="1" spans="1:10">
      <c r="A10" s="97" t="s">
        <v>225</v>
      </c>
      <c r="B10" s="97"/>
      <c r="C10" s="97"/>
      <c r="D10" s="97"/>
      <c r="E10" s="97"/>
      <c r="F10" s="97"/>
      <c r="G10" s="97"/>
      <c r="H10" s="97"/>
      <c r="I10" s="97"/>
      <c r="J10" s="106"/>
    </row>
    <row r="11" ht="58.05" customHeight="1" spans="1:9">
      <c r="A11" s="98" t="s">
        <v>226</v>
      </c>
      <c r="B11" s="98"/>
      <c r="C11" s="98"/>
      <c r="D11" s="98"/>
      <c r="E11" s="98"/>
      <c r="F11" s="98"/>
      <c r="G11" s="98"/>
      <c r="H11" s="98"/>
      <c r="I11" s="98"/>
    </row>
    <row r="12" ht="88.05" customHeight="1" spans="1:9">
      <c r="A12" s="99" t="s">
        <v>227</v>
      </c>
      <c r="B12" s="99"/>
      <c r="C12" s="99"/>
      <c r="D12" s="100" t="s">
        <v>228</v>
      </c>
      <c r="E12" s="100"/>
      <c r="F12" s="100"/>
      <c r="G12" s="100"/>
      <c r="H12" s="100"/>
      <c r="I12" s="100"/>
    </row>
    <row r="13" ht="88.05" customHeight="1" spans="1:9">
      <c r="A13" s="101" t="s">
        <v>229</v>
      </c>
      <c r="B13" s="101"/>
      <c r="C13" s="101"/>
      <c r="D13" s="102" t="s">
        <v>230</v>
      </c>
      <c r="E13" s="102"/>
      <c r="F13" s="102"/>
      <c r="G13" s="102"/>
      <c r="H13" s="102"/>
      <c r="I13" s="102"/>
    </row>
    <row r="14" ht="88.05" customHeight="1" spans="1:9">
      <c r="A14" s="101" t="s">
        <v>231</v>
      </c>
      <c r="B14" s="101"/>
      <c r="C14" s="101"/>
      <c r="D14" s="102" t="s">
        <v>232</v>
      </c>
      <c r="E14" s="102"/>
      <c r="F14" s="102"/>
      <c r="G14" s="102"/>
      <c r="H14" s="102"/>
      <c r="I14" s="102"/>
    </row>
    <row r="15" ht="88.05" customHeight="1" spans="1:9">
      <c r="A15" s="101" t="s">
        <v>233</v>
      </c>
      <c r="B15" s="101"/>
      <c r="C15" s="101"/>
      <c r="D15" s="102" t="s">
        <v>234</v>
      </c>
      <c r="E15" s="102"/>
      <c r="F15" s="102"/>
      <c r="G15" s="102"/>
      <c r="H15" s="102"/>
      <c r="I15" s="102"/>
    </row>
    <row r="16" ht="127.05" customHeight="1" spans="1:9">
      <c r="A16" s="101" t="s">
        <v>235</v>
      </c>
      <c r="B16" s="101"/>
      <c r="C16" s="101"/>
      <c r="D16" s="103" t="s">
        <v>236</v>
      </c>
      <c r="E16" s="102" t="s">
        <v>237</v>
      </c>
      <c r="F16" s="102"/>
      <c r="G16" s="102"/>
      <c r="H16" s="102"/>
      <c r="I16" s="102"/>
    </row>
    <row r="17" ht="109.05" customHeight="1" spans="1:9">
      <c r="A17" s="101" t="s">
        <v>238</v>
      </c>
      <c r="B17" s="101"/>
      <c r="C17" s="101"/>
      <c r="D17" s="102" t="s">
        <v>239</v>
      </c>
      <c r="E17" s="102" t="s">
        <v>240</v>
      </c>
      <c r="F17" s="102"/>
      <c r="G17" s="102"/>
      <c r="H17" s="102"/>
      <c r="I17" s="102"/>
    </row>
    <row r="18" ht="88.05" customHeight="1" spans="1:9">
      <c r="A18" s="101"/>
      <c r="B18" s="101"/>
      <c r="C18" s="101"/>
      <c r="D18" s="102" t="s">
        <v>241</v>
      </c>
      <c r="E18" s="102" t="s">
        <v>242</v>
      </c>
      <c r="F18" s="102"/>
      <c r="G18" s="102"/>
      <c r="H18" s="102"/>
      <c r="I18" s="107" t="s">
        <v>243</v>
      </c>
    </row>
    <row r="19" ht="88.05" customHeight="1" spans="1:9">
      <c r="A19" s="101"/>
      <c r="B19" s="101"/>
      <c r="C19" s="101"/>
      <c r="D19" s="102"/>
      <c r="E19" s="102" t="s">
        <v>244</v>
      </c>
      <c r="F19" s="102"/>
      <c r="G19" s="102"/>
      <c r="H19" s="102"/>
      <c r="I19" s="107" t="s">
        <v>245</v>
      </c>
    </row>
    <row r="20" ht="88.05" customHeight="1" spans="1:9">
      <c r="A20" s="101"/>
      <c r="B20" s="101"/>
      <c r="C20" s="101"/>
      <c r="D20" s="102"/>
      <c r="E20" s="102" t="s">
        <v>246</v>
      </c>
      <c r="F20" s="102"/>
      <c r="G20" s="102"/>
      <c r="H20" s="102"/>
      <c r="I20" s="107" t="s">
        <v>247</v>
      </c>
    </row>
    <row r="21" ht="88.05" customHeight="1" spans="1:9">
      <c r="A21" s="101"/>
      <c r="B21" s="101"/>
      <c r="C21" s="101"/>
      <c r="D21" s="102" t="s">
        <v>248</v>
      </c>
      <c r="E21" s="102" t="s">
        <v>249</v>
      </c>
      <c r="F21" s="102"/>
      <c r="G21" s="102"/>
      <c r="H21" s="102"/>
      <c r="I21" s="107" t="s">
        <v>250</v>
      </c>
    </row>
    <row r="22" ht="88.05" customHeight="1" spans="1:9">
      <c r="A22" s="102" t="s">
        <v>251</v>
      </c>
      <c r="B22" s="102"/>
      <c r="C22" s="102"/>
      <c r="D22" s="102" t="s">
        <v>252</v>
      </c>
      <c r="E22" s="102"/>
      <c r="F22" s="102"/>
      <c r="G22" s="102"/>
      <c r="H22" s="102"/>
      <c r="I22" s="107" t="s">
        <v>253</v>
      </c>
    </row>
    <row r="23" ht="88.05" customHeight="1" spans="1:9">
      <c r="A23" s="102" t="s">
        <v>254</v>
      </c>
      <c r="B23" s="102"/>
      <c r="C23" s="102"/>
      <c r="D23" s="102" t="s">
        <v>255</v>
      </c>
      <c r="E23" s="102"/>
      <c r="F23" s="102"/>
      <c r="G23" s="102"/>
      <c r="H23" s="102"/>
      <c r="I23" s="107" t="s">
        <v>243</v>
      </c>
    </row>
    <row r="24" ht="88.05" customHeight="1" spans="1:9">
      <c r="A24" s="102"/>
      <c r="B24" s="102"/>
      <c r="C24" s="102"/>
      <c r="D24" s="102" t="s">
        <v>256</v>
      </c>
      <c r="E24" s="102"/>
      <c r="F24" s="102"/>
      <c r="G24" s="102"/>
      <c r="H24" s="102"/>
      <c r="I24" s="107" t="s">
        <v>253</v>
      </c>
    </row>
    <row r="25" ht="88.05" customHeight="1" spans="1:9">
      <c r="A25" s="102" t="s">
        <v>257</v>
      </c>
      <c r="B25" s="102"/>
      <c r="C25" s="102"/>
      <c r="D25" s="102" t="s">
        <v>258</v>
      </c>
      <c r="E25" s="102"/>
      <c r="F25" s="102"/>
      <c r="G25" s="102"/>
      <c r="H25" s="102"/>
      <c r="I25" s="102"/>
    </row>
    <row r="26" ht="88.05" customHeight="1" spans="1:9">
      <c r="A26" s="102" t="s">
        <v>259</v>
      </c>
      <c r="B26" s="102"/>
      <c r="C26" s="102"/>
      <c r="D26" s="102" t="s">
        <v>260</v>
      </c>
      <c r="E26" s="102"/>
      <c r="F26" s="102"/>
      <c r="G26" s="102"/>
      <c r="H26" s="102"/>
      <c r="I26" s="102"/>
    </row>
    <row r="27" ht="88.05" customHeight="1" spans="1:9">
      <c r="A27" s="102" t="s">
        <v>261</v>
      </c>
      <c r="B27" s="102"/>
      <c r="C27" s="102"/>
      <c r="D27" s="102" t="s">
        <v>262</v>
      </c>
      <c r="E27" s="102"/>
      <c r="F27" s="102"/>
      <c r="G27" s="102"/>
      <c r="H27" s="102"/>
      <c r="I27" s="102"/>
    </row>
    <row r="28" ht="88.05" customHeight="1" spans="1:9">
      <c r="A28" s="102" t="s">
        <v>263</v>
      </c>
      <c r="B28" s="102"/>
      <c r="C28" s="102"/>
      <c r="D28" s="102" t="s">
        <v>264</v>
      </c>
      <c r="E28" s="102"/>
      <c r="F28" s="102"/>
      <c r="G28" s="102"/>
      <c r="H28" s="102"/>
      <c r="I28" s="102"/>
    </row>
    <row r="29" ht="88.05" customHeight="1" spans="1:9">
      <c r="A29" s="102" t="s">
        <v>265</v>
      </c>
      <c r="B29" s="102"/>
      <c r="C29" s="102"/>
      <c r="D29" s="102" t="s">
        <v>266</v>
      </c>
      <c r="E29" s="102"/>
      <c r="F29" s="102"/>
      <c r="G29" s="102"/>
      <c r="H29" s="102"/>
      <c r="I29" s="102"/>
    </row>
    <row r="30" ht="88.05" customHeight="1" spans="1:9">
      <c r="A30" s="103" t="s">
        <v>225</v>
      </c>
      <c r="B30" s="103"/>
      <c r="C30" s="103"/>
      <c r="D30" s="103"/>
      <c r="E30" s="103"/>
      <c r="F30" s="103"/>
      <c r="G30" s="103"/>
      <c r="H30" s="103"/>
      <c r="I30" s="103"/>
    </row>
  </sheetData>
  <sheetProtection formatCells="0" insertHyperlinks="0" autoFilter="0"/>
  <mergeCells count="52">
    <mergeCell ref="A1:I1"/>
    <mergeCell ref="B2:D2"/>
    <mergeCell ref="E2:G2"/>
    <mergeCell ref="H2:I2"/>
    <mergeCell ref="B3:D3"/>
    <mergeCell ref="E3:G3"/>
    <mergeCell ref="H3:I3"/>
    <mergeCell ref="E4:F4"/>
    <mergeCell ref="E5:F5"/>
    <mergeCell ref="E6:F6"/>
    <mergeCell ref="E7:F7"/>
    <mergeCell ref="E8:F8"/>
    <mergeCell ref="A9:I9"/>
    <mergeCell ref="A10:I10"/>
    <mergeCell ref="A11:I11"/>
    <mergeCell ref="A12:C12"/>
    <mergeCell ref="D12:I12"/>
    <mergeCell ref="A13:C13"/>
    <mergeCell ref="D13:I13"/>
    <mergeCell ref="A14:C14"/>
    <mergeCell ref="D14:I14"/>
    <mergeCell ref="A15:C15"/>
    <mergeCell ref="D15:I15"/>
    <mergeCell ref="A16:C16"/>
    <mergeCell ref="E16:I16"/>
    <mergeCell ref="E17:I17"/>
    <mergeCell ref="E18:H18"/>
    <mergeCell ref="E19:H19"/>
    <mergeCell ref="E20:H20"/>
    <mergeCell ref="E21:H21"/>
    <mergeCell ref="A22:C22"/>
    <mergeCell ref="D22:H22"/>
    <mergeCell ref="D23:H23"/>
    <mergeCell ref="D24:H24"/>
    <mergeCell ref="A25:C25"/>
    <mergeCell ref="D25:I25"/>
    <mergeCell ref="A26:C26"/>
    <mergeCell ref="D26:I26"/>
    <mergeCell ref="A27:C27"/>
    <mergeCell ref="D27:I27"/>
    <mergeCell ref="A28:C28"/>
    <mergeCell ref="D28:I28"/>
    <mergeCell ref="A29:C29"/>
    <mergeCell ref="D29:I29"/>
    <mergeCell ref="A30:I30"/>
    <mergeCell ref="A3:A4"/>
    <mergeCell ref="D5:D8"/>
    <mergeCell ref="D18:D20"/>
    <mergeCell ref="G5:G8"/>
    <mergeCell ref="I5:I8"/>
    <mergeCell ref="A17:C21"/>
    <mergeCell ref="A23:C24"/>
  </mergeCells>
  <hyperlinks>
    <hyperlink ref="J1" location="目录!A1" display="返回目录"/>
  </hyperlinks>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J30"/>
  <sheetViews>
    <sheetView zoomScale="85" zoomScaleNormal="85" workbookViewId="0">
      <selection activeCell="J1" sqref="J1"/>
    </sheetView>
  </sheetViews>
  <sheetFormatPr defaultColWidth="9" defaultRowHeight="18"/>
  <cols>
    <col min="1" max="1" width="45.8666666666667" style="83" customWidth="1"/>
    <col min="2" max="2" width="22.0666666666667" style="83" customWidth="1"/>
    <col min="3" max="3" width="27.5333333333333" style="83" customWidth="1"/>
    <col min="4" max="4" width="25.8666666666667" style="83" customWidth="1"/>
    <col min="5" max="5" width="19.8666666666667" style="83" customWidth="1"/>
    <col min="6" max="6" width="6" style="83" customWidth="1"/>
    <col min="7" max="7" width="26.2" style="83" customWidth="1"/>
    <col min="8" max="8" width="26.7333333333333" style="83" customWidth="1"/>
    <col min="9" max="9" width="32.1333333333333" style="83" customWidth="1"/>
    <col min="10" max="10" width="13.5333333333333" style="83" customWidth="1"/>
    <col min="11" max="16384" width="9" style="83"/>
  </cols>
  <sheetData>
    <row r="1" s="83" customFormat="1" ht="84" customHeight="1" spans="1:10">
      <c r="A1" s="108" t="s">
        <v>173</v>
      </c>
      <c r="B1" s="108"/>
      <c r="C1" s="108"/>
      <c r="D1" s="108"/>
      <c r="E1" s="108"/>
      <c r="F1" s="108"/>
      <c r="G1" s="108"/>
      <c r="H1" s="108"/>
      <c r="I1" s="108"/>
      <c r="J1" s="19" t="s">
        <v>190</v>
      </c>
    </row>
    <row r="2" s="83" customFormat="1" ht="49.05" customHeight="1" spans="1:9">
      <c r="A2" s="85" t="s">
        <v>267</v>
      </c>
      <c r="B2" s="86" t="s">
        <v>268</v>
      </c>
      <c r="C2" s="86"/>
      <c r="D2" s="86"/>
      <c r="E2" s="86" t="s">
        <v>269</v>
      </c>
      <c r="F2" s="86"/>
      <c r="G2" s="86"/>
      <c r="H2" s="86" t="s">
        <v>270</v>
      </c>
      <c r="I2" s="86"/>
    </row>
    <row r="3" s="83" customFormat="1" ht="61" customHeight="1" spans="1:9">
      <c r="A3" s="87" t="s">
        <v>209</v>
      </c>
      <c r="B3" s="88" t="s">
        <v>210</v>
      </c>
      <c r="C3" s="88"/>
      <c r="D3" s="88"/>
      <c r="E3" s="88" t="s">
        <v>211</v>
      </c>
      <c r="F3" s="88"/>
      <c r="G3" s="88"/>
      <c r="H3" s="114" t="s">
        <v>212</v>
      </c>
      <c r="I3" s="114"/>
    </row>
    <row r="4" s="83" customFormat="1" ht="61" customHeight="1" spans="1:9">
      <c r="A4" s="87"/>
      <c r="B4" s="89" t="s">
        <v>213</v>
      </c>
      <c r="C4" s="89" t="s">
        <v>214</v>
      </c>
      <c r="D4" s="90" t="s">
        <v>215</v>
      </c>
      <c r="E4" s="89" t="s">
        <v>214</v>
      </c>
      <c r="F4" s="89"/>
      <c r="G4" s="90" t="s">
        <v>215</v>
      </c>
      <c r="H4" s="105" t="s">
        <v>214</v>
      </c>
      <c r="I4" s="90" t="s">
        <v>215</v>
      </c>
    </row>
    <row r="5" s="83" customFormat="1" ht="61" customHeight="1" spans="1:9">
      <c r="A5" s="91" t="s">
        <v>216</v>
      </c>
      <c r="B5" s="92" t="s">
        <v>217</v>
      </c>
      <c r="C5" s="93">
        <v>12</v>
      </c>
      <c r="D5" s="94" t="s">
        <v>271</v>
      </c>
      <c r="E5" s="91">
        <v>11</v>
      </c>
      <c r="F5" s="91"/>
      <c r="G5" s="94" t="s">
        <v>272</v>
      </c>
      <c r="H5" s="91">
        <v>10</v>
      </c>
      <c r="I5" s="94" t="s">
        <v>273</v>
      </c>
    </row>
    <row r="6" s="83" customFormat="1" ht="61" customHeight="1" spans="1:9">
      <c r="A6" s="91" t="s">
        <v>221</v>
      </c>
      <c r="B6" s="92" t="s">
        <v>217</v>
      </c>
      <c r="C6" s="93">
        <v>13</v>
      </c>
      <c r="D6" s="94" t="s">
        <v>274</v>
      </c>
      <c r="E6" s="91">
        <v>12</v>
      </c>
      <c r="F6" s="91"/>
      <c r="G6" s="94" t="s">
        <v>275</v>
      </c>
      <c r="H6" s="91">
        <v>10.5</v>
      </c>
      <c r="I6" s="94" t="s">
        <v>276</v>
      </c>
    </row>
    <row r="7" s="83" customFormat="1" ht="61" customHeight="1" spans="1:9">
      <c r="A7" s="91" t="s">
        <v>222</v>
      </c>
      <c r="B7" s="92" t="s">
        <v>217</v>
      </c>
      <c r="C7" s="93">
        <v>13.5</v>
      </c>
      <c r="D7" s="94"/>
      <c r="E7" s="91">
        <v>12.5</v>
      </c>
      <c r="F7" s="91"/>
      <c r="G7" s="94"/>
      <c r="H7" s="91">
        <v>11</v>
      </c>
      <c r="I7" s="94"/>
    </row>
    <row r="8" s="83" customFormat="1" ht="61" customHeight="1" spans="1:9">
      <c r="A8" s="91" t="s">
        <v>223</v>
      </c>
      <c r="B8" s="92" t="s">
        <v>217</v>
      </c>
      <c r="C8" s="93">
        <v>13.5</v>
      </c>
      <c r="D8" s="94"/>
      <c r="E8" s="91">
        <v>12.5</v>
      </c>
      <c r="F8" s="91"/>
      <c r="G8" s="94"/>
      <c r="H8" s="91">
        <v>10.5</v>
      </c>
      <c r="I8" s="94"/>
    </row>
    <row r="9" s="83" customFormat="1" ht="61" customHeight="1" spans="1:9">
      <c r="A9" s="112" t="s">
        <v>224</v>
      </c>
      <c r="B9" s="112"/>
      <c r="C9" s="112"/>
      <c r="D9" s="112"/>
      <c r="E9" s="112"/>
      <c r="F9" s="112"/>
      <c r="G9" s="112"/>
      <c r="H9" s="112"/>
      <c r="I9" s="112"/>
    </row>
    <row r="10" s="33" customFormat="1" ht="35" customHeight="1" spans="1:10">
      <c r="A10" s="97" t="s">
        <v>225</v>
      </c>
      <c r="B10" s="97"/>
      <c r="C10" s="97"/>
      <c r="D10" s="97"/>
      <c r="E10" s="97"/>
      <c r="F10" s="97"/>
      <c r="G10" s="97"/>
      <c r="H10" s="97"/>
      <c r="I10" s="97"/>
      <c r="J10" s="106"/>
    </row>
    <row r="11" s="83" customFormat="1" ht="58.05" customHeight="1" spans="1:9">
      <c r="A11" s="98" t="s">
        <v>226</v>
      </c>
      <c r="B11" s="98"/>
      <c r="C11" s="98"/>
      <c r="D11" s="98"/>
      <c r="E11" s="98"/>
      <c r="F11" s="98"/>
      <c r="G11" s="98"/>
      <c r="H11" s="98"/>
      <c r="I11" s="98"/>
    </row>
    <row r="12" s="83" customFormat="1" ht="88.05" customHeight="1" spans="1:9">
      <c r="A12" s="99" t="s">
        <v>227</v>
      </c>
      <c r="B12" s="99"/>
      <c r="C12" s="99"/>
      <c r="D12" s="100" t="s">
        <v>228</v>
      </c>
      <c r="E12" s="100"/>
      <c r="F12" s="100"/>
      <c r="G12" s="100"/>
      <c r="H12" s="100"/>
      <c r="I12" s="100"/>
    </row>
    <row r="13" s="83" customFormat="1" ht="88.05" customHeight="1" spans="1:9">
      <c r="A13" s="101" t="s">
        <v>229</v>
      </c>
      <c r="B13" s="101"/>
      <c r="C13" s="101"/>
      <c r="D13" s="102" t="s">
        <v>230</v>
      </c>
      <c r="E13" s="102"/>
      <c r="F13" s="102"/>
      <c r="G13" s="102"/>
      <c r="H13" s="102"/>
      <c r="I13" s="102"/>
    </row>
    <row r="14" s="83" customFormat="1" ht="88.05" customHeight="1" spans="1:9">
      <c r="A14" s="101" t="s">
        <v>231</v>
      </c>
      <c r="B14" s="101"/>
      <c r="C14" s="101"/>
      <c r="D14" s="102" t="s">
        <v>232</v>
      </c>
      <c r="E14" s="102"/>
      <c r="F14" s="102"/>
      <c r="G14" s="102"/>
      <c r="H14" s="102"/>
      <c r="I14" s="102"/>
    </row>
    <row r="15" s="83" customFormat="1" ht="88.05" customHeight="1" spans="1:9">
      <c r="A15" s="101" t="s">
        <v>233</v>
      </c>
      <c r="B15" s="101"/>
      <c r="C15" s="101"/>
      <c r="D15" s="102" t="s">
        <v>234</v>
      </c>
      <c r="E15" s="102"/>
      <c r="F15" s="102"/>
      <c r="G15" s="102"/>
      <c r="H15" s="102"/>
      <c r="I15" s="102"/>
    </row>
    <row r="16" s="83" customFormat="1" ht="127.05" customHeight="1" spans="1:9">
      <c r="A16" s="101" t="s">
        <v>235</v>
      </c>
      <c r="B16" s="101"/>
      <c r="C16" s="101"/>
      <c r="D16" s="103" t="s">
        <v>236</v>
      </c>
      <c r="E16" s="102" t="s">
        <v>237</v>
      </c>
      <c r="F16" s="102"/>
      <c r="G16" s="102"/>
      <c r="H16" s="102"/>
      <c r="I16" s="102"/>
    </row>
    <row r="17" s="83" customFormat="1" ht="109.05" customHeight="1" spans="1:9">
      <c r="A17" s="101" t="s">
        <v>238</v>
      </c>
      <c r="B17" s="101"/>
      <c r="C17" s="101"/>
      <c r="D17" s="102" t="s">
        <v>239</v>
      </c>
      <c r="E17" s="102" t="s">
        <v>240</v>
      </c>
      <c r="F17" s="102"/>
      <c r="G17" s="102"/>
      <c r="H17" s="102"/>
      <c r="I17" s="102"/>
    </row>
    <row r="18" s="83" customFormat="1" ht="88.05" customHeight="1" spans="1:9">
      <c r="A18" s="101"/>
      <c r="B18" s="101"/>
      <c r="C18" s="101"/>
      <c r="D18" s="102" t="s">
        <v>241</v>
      </c>
      <c r="E18" s="102" t="s">
        <v>242</v>
      </c>
      <c r="F18" s="102"/>
      <c r="G18" s="102"/>
      <c r="H18" s="102"/>
      <c r="I18" s="107" t="s">
        <v>243</v>
      </c>
    </row>
    <row r="19" s="83" customFormat="1" ht="88.05" customHeight="1" spans="1:9">
      <c r="A19" s="101"/>
      <c r="B19" s="101"/>
      <c r="C19" s="101"/>
      <c r="D19" s="102"/>
      <c r="E19" s="102" t="s">
        <v>244</v>
      </c>
      <c r="F19" s="102"/>
      <c r="G19" s="102"/>
      <c r="H19" s="102"/>
      <c r="I19" s="107" t="s">
        <v>245</v>
      </c>
    </row>
    <row r="20" s="83" customFormat="1" ht="88.05" customHeight="1" spans="1:9">
      <c r="A20" s="101"/>
      <c r="B20" s="101"/>
      <c r="C20" s="101"/>
      <c r="D20" s="102"/>
      <c r="E20" s="102" t="s">
        <v>246</v>
      </c>
      <c r="F20" s="102"/>
      <c r="G20" s="102"/>
      <c r="H20" s="102"/>
      <c r="I20" s="107" t="s">
        <v>247</v>
      </c>
    </row>
    <row r="21" s="83" customFormat="1" ht="88.05" customHeight="1" spans="1:9">
      <c r="A21" s="101"/>
      <c r="B21" s="101"/>
      <c r="C21" s="101"/>
      <c r="D21" s="102" t="s">
        <v>248</v>
      </c>
      <c r="E21" s="102" t="s">
        <v>249</v>
      </c>
      <c r="F21" s="102"/>
      <c r="G21" s="102"/>
      <c r="H21" s="102"/>
      <c r="I21" s="107" t="s">
        <v>250</v>
      </c>
    </row>
    <row r="22" s="83" customFormat="1" ht="88.05" customHeight="1" spans="1:9">
      <c r="A22" s="102" t="s">
        <v>251</v>
      </c>
      <c r="B22" s="102"/>
      <c r="C22" s="102"/>
      <c r="D22" s="102" t="s">
        <v>252</v>
      </c>
      <c r="E22" s="102"/>
      <c r="F22" s="102"/>
      <c r="G22" s="102"/>
      <c r="H22" s="102"/>
      <c r="I22" s="107" t="s">
        <v>253</v>
      </c>
    </row>
    <row r="23" s="83" customFormat="1" ht="88.05" customHeight="1" spans="1:9">
      <c r="A23" s="102" t="s">
        <v>254</v>
      </c>
      <c r="B23" s="102"/>
      <c r="C23" s="102"/>
      <c r="D23" s="102" t="s">
        <v>255</v>
      </c>
      <c r="E23" s="102"/>
      <c r="F23" s="102"/>
      <c r="G23" s="102"/>
      <c r="H23" s="102"/>
      <c r="I23" s="107" t="s">
        <v>243</v>
      </c>
    </row>
    <row r="24" s="83" customFormat="1" ht="88.05" customHeight="1" spans="1:9">
      <c r="A24" s="102"/>
      <c r="B24" s="102"/>
      <c r="C24" s="102"/>
      <c r="D24" s="102" t="s">
        <v>256</v>
      </c>
      <c r="E24" s="102"/>
      <c r="F24" s="102"/>
      <c r="G24" s="102"/>
      <c r="H24" s="102"/>
      <c r="I24" s="107" t="s">
        <v>253</v>
      </c>
    </row>
    <row r="25" s="83" customFormat="1" ht="88.05" customHeight="1" spans="1:9">
      <c r="A25" s="102" t="s">
        <v>257</v>
      </c>
      <c r="B25" s="102"/>
      <c r="C25" s="102"/>
      <c r="D25" s="102" t="s">
        <v>258</v>
      </c>
      <c r="E25" s="102"/>
      <c r="F25" s="102"/>
      <c r="G25" s="102"/>
      <c r="H25" s="102"/>
      <c r="I25" s="102"/>
    </row>
    <row r="26" s="83" customFormat="1" ht="88.05" customHeight="1" spans="1:9">
      <c r="A26" s="102" t="s">
        <v>259</v>
      </c>
      <c r="B26" s="102"/>
      <c r="C26" s="102"/>
      <c r="D26" s="102" t="s">
        <v>260</v>
      </c>
      <c r="E26" s="102"/>
      <c r="F26" s="102"/>
      <c r="G26" s="102"/>
      <c r="H26" s="102"/>
      <c r="I26" s="102"/>
    </row>
    <row r="27" s="83" customFormat="1" ht="88.05" customHeight="1" spans="1:9">
      <c r="A27" s="102" t="s">
        <v>261</v>
      </c>
      <c r="B27" s="102"/>
      <c r="C27" s="102"/>
      <c r="D27" s="102" t="s">
        <v>262</v>
      </c>
      <c r="E27" s="102"/>
      <c r="F27" s="102"/>
      <c r="G27" s="102"/>
      <c r="H27" s="102"/>
      <c r="I27" s="102"/>
    </row>
    <row r="28" s="83" customFormat="1" ht="88.05" customHeight="1" spans="1:9">
      <c r="A28" s="102" t="s">
        <v>263</v>
      </c>
      <c r="B28" s="102"/>
      <c r="C28" s="102"/>
      <c r="D28" s="102" t="s">
        <v>264</v>
      </c>
      <c r="E28" s="102"/>
      <c r="F28" s="102"/>
      <c r="G28" s="102"/>
      <c r="H28" s="102"/>
      <c r="I28" s="102"/>
    </row>
    <row r="29" s="83" customFormat="1" ht="88.05" customHeight="1" spans="1:9">
      <c r="A29" s="102" t="s">
        <v>265</v>
      </c>
      <c r="B29" s="102"/>
      <c r="C29" s="102"/>
      <c r="D29" s="102" t="s">
        <v>266</v>
      </c>
      <c r="E29" s="102"/>
      <c r="F29" s="102"/>
      <c r="G29" s="102"/>
      <c r="H29" s="102"/>
      <c r="I29" s="102"/>
    </row>
    <row r="30" s="83" customFormat="1" ht="88.05" customHeight="1" spans="1:9">
      <c r="A30" s="103" t="s">
        <v>225</v>
      </c>
      <c r="B30" s="103"/>
      <c r="C30" s="103"/>
      <c r="D30" s="103"/>
      <c r="E30" s="103"/>
      <c r="F30" s="103"/>
      <c r="G30" s="103"/>
      <c r="H30" s="103"/>
      <c r="I30" s="103"/>
    </row>
  </sheetData>
  <sheetProtection formatCells="0" insertHyperlinks="0" autoFilter="0"/>
  <mergeCells count="52">
    <mergeCell ref="A1:I1"/>
    <mergeCell ref="B2:D2"/>
    <mergeCell ref="E2:G2"/>
    <mergeCell ref="H2:I2"/>
    <mergeCell ref="B3:D3"/>
    <mergeCell ref="E3:G3"/>
    <mergeCell ref="H3:I3"/>
    <mergeCell ref="E4:F4"/>
    <mergeCell ref="E5:F5"/>
    <mergeCell ref="E6:F6"/>
    <mergeCell ref="E7:F7"/>
    <mergeCell ref="E8:F8"/>
    <mergeCell ref="A9:I9"/>
    <mergeCell ref="A10:I10"/>
    <mergeCell ref="A11:I11"/>
    <mergeCell ref="A12:C12"/>
    <mergeCell ref="D12:I12"/>
    <mergeCell ref="A13:C13"/>
    <mergeCell ref="D13:I13"/>
    <mergeCell ref="A14:C14"/>
    <mergeCell ref="D14:I14"/>
    <mergeCell ref="A15:C15"/>
    <mergeCell ref="D15:I15"/>
    <mergeCell ref="A16:C16"/>
    <mergeCell ref="E16:I16"/>
    <mergeCell ref="E17:I17"/>
    <mergeCell ref="E18:H18"/>
    <mergeCell ref="E19:H19"/>
    <mergeCell ref="E20:H20"/>
    <mergeCell ref="E21:H21"/>
    <mergeCell ref="A22:C22"/>
    <mergeCell ref="D22:H22"/>
    <mergeCell ref="D23:H23"/>
    <mergeCell ref="D24:H24"/>
    <mergeCell ref="A25:C25"/>
    <mergeCell ref="D25:I25"/>
    <mergeCell ref="A26:C26"/>
    <mergeCell ref="D26:I26"/>
    <mergeCell ref="A27:C27"/>
    <mergeCell ref="D27:I27"/>
    <mergeCell ref="A28:C28"/>
    <mergeCell ref="D28:I28"/>
    <mergeCell ref="A29:C29"/>
    <mergeCell ref="D29:I29"/>
    <mergeCell ref="A30:I30"/>
    <mergeCell ref="A3:A4"/>
    <mergeCell ref="D6:D8"/>
    <mergeCell ref="D18:D20"/>
    <mergeCell ref="G6:G8"/>
    <mergeCell ref="I6:I8"/>
    <mergeCell ref="A17:C21"/>
    <mergeCell ref="A23:C24"/>
  </mergeCells>
  <hyperlinks>
    <hyperlink ref="J1" location="目录!A1" display="返回目录"/>
  </hyperlinks>
  <pageMargins left="0.75" right="0.75" top="1" bottom="1" header="0.5" footer="0.5"/>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102"/>
  <sheetViews>
    <sheetView zoomScale="40" zoomScaleNormal="40" workbookViewId="0">
      <selection activeCell="E1" sqref="E1"/>
    </sheetView>
  </sheetViews>
  <sheetFormatPr defaultColWidth="9" defaultRowHeight="243" customHeight="1"/>
  <cols>
    <col min="1" max="1" width="182.808333333333" style="33" customWidth="1"/>
    <col min="2" max="3" width="137.191666666667" style="33" customWidth="1"/>
    <col min="4" max="4" width="112.491666666667" style="33" customWidth="1"/>
    <col min="5" max="5" width="17.1833333333333" style="33" customWidth="1"/>
    <col min="6" max="16384" width="9" style="33"/>
  </cols>
  <sheetData>
    <row r="1" s="188" customFormat="1" customHeight="1" spans="1:5">
      <c r="A1" s="190" t="s">
        <v>277</v>
      </c>
      <c r="B1" s="191"/>
      <c r="C1" s="191"/>
      <c r="D1" s="191"/>
      <c r="E1" s="167" t="s">
        <v>190</v>
      </c>
    </row>
    <row r="2" s="33" customFormat="1" ht="82" customHeight="1" spans="1:27">
      <c r="A2" s="241" t="s">
        <v>278</v>
      </c>
      <c r="B2" s="241" t="s">
        <v>193</v>
      </c>
      <c r="C2" s="241" t="s">
        <v>217</v>
      </c>
      <c r="D2" s="201" t="s">
        <v>279</v>
      </c>
      <c r="H2" s="193" t="s">
        <v>88</v>
      </c>
      <c r="I2" s="193"/>
      <c r="J2" s="193"/>
      <c r="K2" s="193"/>
      <c r="L2" s="193"/>
      <c r="M2" s="193"/>
      <c r="N2" s="193"/>
      <c r="O2" s="193"/>
      <c r="P2" s="193"/>
      <c r="Q2" s="193"/>
      <c r="R2" s="193"/>
      <c r="S2" s="193"/>
      <c r="T2" s="193"/>
      <c r="U2" s="193"/>
      <c r="V2" s="193"/>
      <c r="W2" s="193"/>
      <c r="X2" s="193"/>
      <c r="Y2" s="193"/>
      <c r="Z2" s="193"/>
      <c r="AA2" s="193"/>
    </row>
    <row r="3" s="33" customFormat="1" ht="60" customHeight="1" spans="1:27">
      <c r="A3" s="241"/>
      <c r="B3" s="241"/>
      <c r="C3" s="241"/>
      <c r="D3" s="201"/>
      <c r="H3" s="193"/>
      <c r="I3" s="193"/>
      <c r="J3" s="193"/>
      <c r="K3" s="193"/>
      <c r="L3" s="193"/>
      <c r="M3" s="193"/>
      <c r="N3" s="193"/>
      <c r="O3" s="193"/>
      <c r="P3" s="193"/>
      <c r="Q3" s="193"/>
      <c r="R3" s="193"/>
      <c r="S3" s="193"/>
      <c r="T3" s="193"/>
      <c r="U3" s="193"/>
      <c r="V3" s="193"/>
      <c r="W3" s="193"/>
      <c r="X3" s="193"/>
      <c r="Y3" s="193"/>
      <c r="Z3" s="193"/>
      <c r="AA3" s="193"/>
    </row>
    <row r="4" s="33" customFormat="1" ht="142" customHeight="1" spans="1:27">
      <c r="A4" s="242" t="s">
        <v>280</v>
      </c>
      <c r="B4" s="243">
        <v>11.5</v>
      </c>
      <c r="C4" s="243">
        <v>10.5</v>
      </c>
      <c r="D4" s="203" t="s">
        <v>281</v>
      </c>
      <c r="H4" s="202" t="s">
        <v>282</v>
      </c>
      <c r="I4" s="202"/>
      <c r="J4" s="202"/>
      <c r="K4" s="202"/>
      <c r="L4" s="202"/>
      <c r="M4" s="202"/>
      <c r="N4" s="202"/>
      <c r="O4" s="202"/>
      <c r="P4" s="202"/>
      <c r="Q4" s="202"/>
      <c r="R4" s="202"/>
      <c r="S4" s="202"/>
      <c r="T4" s="202"/>
      <c r="U4" s="202"/>
      <c r="V4" s="202"/>
      <c r="W4" s="202"/>
      <c r="X4" s="202"/>
      <c r="Y4" s="202"/>
      <c r="Z4" s="202"/>
      <c r="AA4" s="202"/>
    </row>
    <row r="5" s="33" customFormat="1" ht="142" customHeight="1" spans="1:27">
      <c r="A5" s="242" t="s">
        <v>283</v>
      </c>
      <c r="B5" s="243">
        <v>11</v>
      </c>
      <c r="C5" s="243">
        <v>10</v>
      </c>
      <c r="D5" s="203" t="s">
        <v>284</v>
      </c>
      <c r="H5" s="202"/>
      <c r="I5" s="202"/>
      <c r="J5" s="202"/>
      <c r="K5" s="202"/>
      <c r="L5" s="202"/>
      <c r="M5" s="202"/>
      <c r="N5" s="202"/>
      <c r="O5" s="202"/>
      <c r="P5" s="202"/>
      <c r="Q5" s="202"/>
      <c r="R5" s="202"/>
      <c r="S5" s="202"/>
      <c r="T5" s="202"/>
      <c r="U5" s="202"/>
      <c r="V5" s="202"/>
      <c r="W5" s="202"/>
      <c r="X5" s="202"/>
      <c r="Y5" s="202"/>
      <c r="Z5" s="202"/>
      <c r="AA5" s="202"/>
    </row>
    <row r="6" s="33" customFormat="1" ht="142" customHeight="1" spans="1:27">
      <c r="A6" s="242" t="s">
        <v>285</v>
      </c>
      <c r="B6" s="243">
        <v>10.5</v>
      </c>
      <c r="C6" s="311">
        <v>9.5</v>
      </c>
      <c r="D6" s="203" t="s">
        <v>284</v>
      </c>
      <c r="H6" s="202"/>
      <c r="I6" s="202"/>
      <c r="J6" s="202"/>
      <c r="K6" s="202"/>
      <c r="L6" s="202"/>
      <c r="M6" s="202"/>
      <c r="N6" s="202"/>
      <c r="O6" s="202"/>
      <c r="P6" s="202"/>
      <c r="Q6" s="202"/>
      <c r="R6" s="202"/>
      <c r="S6" s="202"/>
      <c r="T6" s="202"/>
      <c r="U6" s="202"/>
      <c r="V6" s="202"/>
      <c r="W6" s="202"/>
      <c r="X6" s="202"/>
      <c r="Y6" s="202"/>
      <c r="Z6" s="202"/>
      <c r="AA6" s="202"/>
    </row>
    <row r="7" s="33" customFormat="1" ht="142" customHeight="1" spans="1:27">
      <c r="A7" s="242" t="s">
        <v>286</v>
      </c>
      <c r="B7" s="243">
        <v>11</v>
      </c>
      <c r="C7" s="311">
        <v>10</v>
      </c>
      <c r="D7" s="203" t="s">
        <v>287</v>
      </c>
      <c r="H7" s="202"/>
      <c r="I7" s="202"/>
      <c r="J7" s="202"/>
      <c r="K7" s="202"/>
      <c r="L7" s="202"/>
      <c r="M7" s="202"/>
      <c r="N7" s="202"/>
      <c r="O7" s="202"/>
      <c r="P7" s="202"/>
      <c r="Q7" s="202"/>
      <c r="R7" s="202"/>
      <c r="S7" s="202"/>
      <c r="T7" s="202"/>
      <c r="U7" s="202"/>
      <c r="V7" s="202"/>
      <c r="W7" s="202"/>
      <c r="X7" s="202"/>
      <c r="Y7" s="202"/>
      <c r="Z7" s="202"/>
      <c r="AA7" s="202"/>
    </row>
    <row r="8" s="33" customFormat="1" ht="105" customHeight="1" spans="1:27">
      <c r="A8" s="244" t="s">
        <v>288</v>
      </c>
      <c r="B8" s="245"/>
      <c r="C8" s="245"/>
      <c r="D8" s="245"/>
      <c r="H8" s="202"/>
      <c r="I8" s="202"/>
      <c r="J8" s="202"/>
      <c r="K8" s="202"/>
      <c r="L8" s="202"/>
      <c r="M8" s="202"/>
      <c r="N8" s="202"/>
      <c r="O8" s="202"/>
      <c r="P8" s="202"/>
      <c r="Q8" s="202"/>
      <c r="R8" s="202"/>
      <c r="S8" s="202"/>
      <c r="T8" s="202"/>
      <c r="U8" s="202"/>
      <c r="V8" s="202"/>
      <c r="W8" s="202"/>
      <c r="X8" s="202"/>
      <c r="Y8" s="202"/>
      <c r="Z8" s="202"/>
      <c r="AA8" s="202"/>
    </row>
    <row r="9" s="33" customFormat="1" ht="105" customHeight="1" spans="1:27">
      <c r="A9" s="245"/>
      <c r="B9" s="245"/>
      <c r="C9" s="245"/>
      <c r="D9" s="245"/>
      <c r="H9" s="202"/>
      <c r="I9" s="202"/>
      <c r="J9" s="202"/>
      <c r="K9" s="202"/>
      <c r="L9" s="202"/>
      <c r="M9" s="202"/>
      <c r="N9" s="202"/>
      <c r="O9" s="202"/>
      <c r="P9" s="202"/>
      <c r="Q9" s="202"/>
      <c r="R9" s="202"/>
      <c r="S9" s="202"/>
      <c r="T9" s="202"/>
      <c r="U9" s="202"/>
      <c r="V9" s="202"/>
      <c r="W9" s="202"/>
      <c r="X9" s="202"/>
      <c r="Y9" s="202"/>
      <c r="Z9" s="202"/>
      <c r="AA9" s="202"/>
    </row>
    <row r="10" s="33" customFormat="1" ht="105" customHeight="1" spans="1:27">
      <c r="A10" s="245"/>
      <c r="B10" s="245"/>
      <c r="C10" s="245"/>
      <c r="D10" s="245"/>
      <c r="H10" s="204" t="s">
        <v>289</v>
      </c>
      <c r="I10" s="204"/>
      <c r="J10" s="204"/>
      <c r="K10" s="204"/>
      <c r="L10" s="204"/>
      <c r="M10" s="204"/>
      <c r="N10" s="204"/>
      <c r="O10" s="204"/>
      <c r="P10" s="204"/>
      <c r="Q10" s="204"/>
      <c r="R10" s="204"/>
      <c r="S10" s="204"/>
      <c r="T10" s="204"/>
      <c r="U10" s="204"/>
      <c r="V10" s="204"/>
      <c r="W10" s="204"/>
      <c r="X10" s="204"/>
      <c r="Y10" s="204"/>
      <c r="Z10" s="204"/>
      <c r="AA10" s="204"/>
    </row>
    <row r="11" s="33" customFormat="1" ht="105" customHeight="1" spans="1:27">
      <c r="A11" s="312"/>
      <c r="B11" s="313"/>
      <c r="C11" s="313"/>
      <c r="D11" s="314"/>
      <c r="H11" s="204"/>
      <c r="I11" s="204"/>
      <c r="J11" s="204"/>
      <c r="K11" s="204"/>
      <c r="L11" s="204"/>
      <c r="M11" s="204"/>
      <c r="N11" s="204"/>
      <c r="O11" s="204"/>
      <c r="P11" s="204"/>
      <c r="Q11" s="204"/>
      <c r="R11" s="204"/>
      <c r="S11" s="204"/>
      <c r="T11" s="204"/>
      <c r="U11" s="204"/>
      <c r="V11" s="204"/>
      <c r="W11" s="204"/>
      <c r="X11" s="204"/>
      <c r="Y11" s="204"/>
      <c r="Z11" s="204"/>
      <c r="AA11" s="204"/>
    </row>
    <row r="12" s="33" customFormat="1" ht="105" customHeight="1" spans="1:27">
      <c r="A12" s="315"/>
      <c r="B12" s="316"/>
      <c r="C12" s="316"/>
      <c r="D12" s="317"/>
      <c r="H12" s="204"/>
      <c r="I12" s="204"/>
      <c r="J12" s="204"/>
      <c r="K12" s="204"/>
      <c r="L12" s="204"/>
      <c r="M12" s="204"/>
      <c r="N12" s="204"/>
      <c r="O12" s="204"/>
      <c r="P12" s="204"/>
      <c r="Q12" s="204"/>
      <c r="R12" s="204"/>
      <c r="S12" s="204"/>
      <c r="T12" s="204"/>
      <c r="U12" s="204"/>
      <c r="V12" s="204"/>
      <c r="W12" s="204"/>
      <c r="X12" s="204"/>
      <c r="Y12" s="204"/>
      <c r="Z12" s="204"/>
      <c r="AA12" s="204"/>
    </row>
    <row r="13" s="33" customFormat="1" ht="105" customHeight="1" spans="1:27">
      <c r="A13" s="315"/>
      <c r="B13" s="316"/>
      <c r="C13" s="316"/>
      <c r="D13" s="317"/>
      <c r="H13" s="204"/>
      <c r="I13" s="204"/>
      <c r="J13" s="204"/>
      <c r="K13" s="204"/>
      <c r="L13" s="204"/>
      <c r="M13" s="204"/>
      <c r="N13" s="204"/>
      <c r="O13" s="204"/>
      <c r="P13" s="204"/>
      <c r="Q13" s="204"/>
      <c r="R13" s="204"/>
      <c r="S13" s="204"/>
      <c r="T13" s="204"/>
      <c r="U13" s="204"/>
      <c r="V13" s="204"/>
      <c r="W13" s="204"/>
      <c r="X13" s="204"/>
      <c r="Y13" s="204"/>
      <c r="Z13" s="204"/>
      <c r="AA13" s="204"/>
    </row>
    <row r="14" s="33" customFormat="1" ht="105" customHeight="1" spans="1:27">
      <c r="A14" s="315"/>
      <c r="B14" s="316"/>
      <c r="C14" s="316"/>
      <c r="D14" s="317"/>
      <c r="H14" s="204"/>
      <c r="I14" s="204"/>
      <c r="J14" s="204"/>
      <c r="K14" s="204"/>
      <c r="L14" s="204"/>
      <c r="M14" s="204"/>
      <c r="N14" s="204"/>
      <c r="O14" s="204"/>
      <c r="P14" s="204"/>
      <c r="Q14" s="204"/>
      <c r="R14" s="204"/>
      <c r="S14" s="204"/>
      <c r="T14" s="204"/>
      <c r="U14" s="204"/>
      <c r="V14" s="204"/>
      <c r="W14" s="204"/>
      <c r="X14" s="204"/>
      <c r="Y14" s="204"/>
      <c r="Z14" s="204"/>
      <c r="AA14" s="204"/>
    </row>
    <row r="15" s="33" customFormat="1" ht="105" customHeight="1" spans="1:27">
      <c r="A15" s="315"/>
      <c r="B15" s="316"/>
      <c r="C15" s="316"/>
      <c r="D15" s="317"/>
      <c r="H15" s="204"/>
      <c r="I15" s="204"/>
      <c r="J15" s="204"/>
      <c r="K15" s="204"/>
      <c r="L15" s="204"/>
      <c r="M15" s="204"/>
      <c r="N15" s="204"/>
      <c r="O15" s="204"/>
      <c r="P15" s="204"/>
      <c r="Q15" s="204"/>
      <c r="R15" s="204"/>
      <c r="S15" s="204"/>
      <c r="T15" s="204"/>
      <c r="U15" s="204"/>
      <c r="V15" s="204"/>
      <c r="W15" s="204"/>
      <c r="X15" s="204"/>
      <c r="Y15" s="204"/>
      <c r="Z15" s="204"/>
      <c r="AA15" s="204"/>
    </row>
    <row r="16" s="33" customFormat="1" ht="105" customHeight="1" spans="1:27">
      <c r="A16" s="315"/>
      <c r="B16" s="316"/>
      <c r="C16" s="316"/>
      <c r="D16" s="317"/>
      <c r="H16" s="204" t="s">
        <v>290</v>
      </c>
      <c r="I16" s="204"/>
      <c r="J16" s="204"/>
      <c r="K16" s="204"/>
      <c r="L16" s="204"/>
      <c r="M16" s="204"/>
      <c r="N16" s="204"/>
      <c r="O16" s="204"/>
      <c r="P16" s="204"/>
      <c r="Q16" s="204"/>
      <c r="R16" s="204"/>
      <c r="S16" s="204"/>
      <c r="T16" s="204"/>
      <c r="U16" s="204"/>
      <c r="V16" s="204"/>
      <c r="W16" s="204"/>
      <c r="X16" s="204"/>
      <c r="Y16" s="204"/>
      <c r="Z16" s="204"/>
      <c r="AA16" s="204"/>
    </row>
    <row r="17" s="33" customFormat="1" ht="105" customHeight="1" spans="1:27">
      <c r="A17" s="315"/>
      <c r="B17" s="316"/>
      <c r="C17" s="316"/>
      <c r="D17" s="317"/>
      <c r="H17" s="204" t="s">
        <v>291</v>
      </c>
      <c r="I17" s="204"/>
      <c r="J17" s="204"/>
      <c r="K17" s="204"/>
      <c r="L17" s="204"/>
      <c r="M17" s="204"/>
      <c r="N17" s="204"/>
      <c r="O17" s="204"/>
      <c r="P17" s="204"/>
      <c r="Q17" s="204"/>
      <c r="R17" s="204"/>
      <c r="S17" s="204"/>
      <c r="T17" s="204"/>
      <c r="U17" s="204"/>
      <c r="V17" s="204"/>
      <c r="W17" s="204"/>
      <c r="X17" s="204"/>
      <c r="Y17" s="204"/>
      <c r="Z17" s="204"/>
      <c r="AA17" s="204"/>
    </row>
    <row r="18" s="33" customFormat="1" ht="105" customHeight="1" spans="1:27">
      <c r="A18" s="315"/>
      <c r="B18" s="316"/>
      <c r="C18" s="316"/>
      <c r="D18" s="317"/>
      <c r="H18" s="204"/>
      <c r="I18" s="204"/>
      <c r="J18" s="204"/>
      <c r="K18" s="204"/>
      <c r="L18" s="204"/>
      <c r="M18" s="204"/>
      <c r="N18" s="204"/>
      <c r="O18" s="204"/>
      <c r="P18" s="204"/>
      <c r="Q18" s="204"/>
      <c r="R18" s="204"/>
      <c r="S18" s="204"/>
      <c r="T18" s="204"/>
      <c r="U18" s="204"/>
      <c r="V18" s="204"/>
      <c r="W18" s="204"/>
      <c r="X18" s="204"/>
      <c r="Y18" s="204"/>
      <c r="Z18" s="204"/>
      <c r="AA18" s="204"/>
    </row>
    <row r="19" s="33" customFormat="1" ht="105" customHeight="1" spans="1:4">
      <c r="A19" s="315"/>
      <c r="B19" s="316"/>
      <c r="C19" s="316"/>
      <c r="D19" s="317"/>
    </row>
    <row r="20" s="33" customFormat="1" ht="105" customHeight="1" spans="1:4">
      <c r="A20" s="315"/>
      <c r="B20" s="316"/>
      <c r="C20" s="316"/>
      <c r="D20" s="317"/>
    </row>
    <row r="21" s="33" customFormat="1" ht="105" customHeight="1" spans="1:4">
      <c r="A21" s="315"/>
      <c r="B21" s="316"/>
      <c r="C21" s="316"/>
      <c r="D21" s="317"/>
    </row>
    <row r="22" s="33" customFormat="1" ht="105" customHeight="1" spans="1:4">
      <c r="A22" s="315"/>
      <c r="B22" s="316"/>
      <c r="C22" s="316"/>
      <c r="D22" s="317"/>
    </row>
    <row r="23" s="33" customFormat="1" ht="105" customHeight="1" spans="1:4">
      <c r="A23" s="318"/>
      <c r="B23" s="319"/>
      <c r="C23" s="319"/>
      <c r="D23" s="320"/>
    </row>
    <row r="24" s="33" customFormat="1" ht="105" customHeight="1"/>
    <row r="25" s="33" customFormat="1" ht="105" customHeight="1"/>
    <row r="26" s="33" customFormat="1" ht="105" customHeight="1"/>
    <row r="27" s="33" customFormat="1" ht="105" customHeight="1"/>
    <row r="28" s="33" customFormat="1" ht="105" customHeight="1"/>
    <row r="29" s="33" customFormat="1" ht="105" customHeight="1"/>
    <row r="30" s="33" customFormat="1" ht="105" customHeight="1"/>
    <row r="31" s="33" customFormat="1" ht="105" customHeight="1"/>
    <row r="32" s="33" customFormat="1" ht="105" customHeight="1"/>
    <row r="33" s="33" customFormat="1" ht="105" customHeight="1"/>
    <row r="34" s="33" customFormat="1" ht="105" customHeight="1"/>
    <row r="35" s="33" customFormat="1" ht="105" customHeight="1"/>
    <row r="36" s="33" customFormat="1" ht="105" customHeight="1"/>
    <row r="37" s="33" customFormat="1" ht="105" customHeight="1"/>
    <row r="38" s="33" customFormat="1" ht="105" customHeight="1"/>
    <row r="39" s="33" customFormat="1" ht="105" customHeight="1"/>
    <row r="40" s="33" customFormat="1" ht="105" customHeight="1"/>
    <row r="41" s="33" customFormat="1" ht="105" customHeight="1"/>
    <row r="42" s="33" customFormat="1" ht="105" customHeight="1"/>
    <row r="43" s="33" customFormat="1" ht="105" customHeight="1"/>
    <row r="44" s="33" customFormat="1" ht="105" customHeight="1"/>
    <row r="45" s="33" customFormat="1" ht="105" customHeight="1"/>
    <row r="46" s="33" customFormat="1" ht="105" customHeight="1"/>
    <row r="47" s="33" customFormat="1" ht="105" customHeight="1"/>
    <row r="48" s="33" customFormat="1" ht="105" customHeight="1"/>
    <row r="49" s="33" customFormat="1" ht="105" customHeight="1"/>
    <row r="50" s="33" customFormat="1" ht="105" customHeight="1"/>
    <row r="51" s="33" customFormat="1" ht="105" customHeight="1"/>
    <row r="52" s="33" customFormat="1" ht="105" customHeight="1"/>
    <row r="53" s="33" customFormat="1" ht="105" customHeight="1"/>
    <row r="54" s="33" customFormat="1" ht="105" customHeight="1"/>
    <row r="55" s="33" customFormat="1" ht="105" customHeight="1"/>
    <row r="56" s="33" customFormat="1" ht="105" customHeight="1"/>
    <row r="57" s="33" customFormat="1" ht="105" customHeight="1"/>
    <row r="58" s="33" customFormat="1" ht="105" customHeight="1"/>
    <row r="59" s="33" customFormat="1" ht="105" customHeight="1"/>
    <row r="60" s="33" customFormat="1" ht="105" customHeight="1"/>
    <row r="61" s="33" customFormat="1" ht="105" customHeight="1"/>
    <row r="62" s="33" customFormat="1" ht="105" customHeight="1"/>
    <row r="63" s="33" customFormat="1" ht="105" customHeight="1"/>
    <row r="64" s="33" customFormat="1" ht="105" customHeight="1"/>
    <row r="65" s="33" customFormat="1" ht="105" customHeight="1"/>
    <row r="66" s="33" customFormat="1" ht="105" customHeight="1"/>
    <row r="67" s="33" customFormat="1" ht="105" customHeight="1"/>
    <row r="68" s="33" customFormat="1" ht="105" customHeight="1"/>
    <row r="69" s="33" customFormat="1" ht="105" customHeight="1"/>
    <row r="70" s="33" customFormat="1" ht="105" customHeight="1"/>
    <row r="71" s="33" customFormat="1" ht="105" customHeight="1"/>
    <row r="72" s="33" customFormat="1" ht="105" customHeight="1"/>
    <row r="73" s="33" customFormat="1" ht="105" customHeight="1"/>
    <row r="74" s="33" customFormat="1" ht="105" customHeight="1"/>
    <row r="75" s="33" customFormat="1" ht="105" customHeight="1"/>
    <row r="76" s="33" customFormat="1" ht="105" customHeight="1"/>
    <row r="77" s="33" customFormat="1" ht="105" customHeight="1"/>
    <row r="78" s="33" customFormat="1" ht="105" customHeight="1"/>
    <row r="79" s="33" customFormat="1" ht="105" customHeight="1"/>
    <row r="80" s="33" customFormat="1" ht="105" customHeight="1"/>
    <row r="81" s="33" customFormat="1" ht="105" customHeight="1"/>
    <row r="82" s="33" customFormat="1" ht="105" customHeight="1"/>
    <row r="83" s="33" customFormat="1" ht="105" customHeight="1"/>
    <row r="84" s="33" customFormat="1" ht="105" customHeight="1"/>
    <row r="85" s="33" customFormat="1" ht="105" customHeight="1"/>
    <row r="86" s="33" customFormat="1" ht="105" customHeight="1"/>
    <row r="87" s="33" customFormat="1" ht="105" customHeight="1"/>
    <row r="88" s="33" customFormat="1" ht="105" customHeight="1"/>
    <row r="89" s="33" customFormat="1" ht="105" customHeight="1"/>
    <row r="90" s="33" customFormat="1" ht="105" customHeight="1"/>
    <row r="91" s="33" customFormat="1" ht="105" customHeight="1"/>
    <row r="92" s="33" customFormat="1" ht="105" customHeight="1"/>
    <row r="93" s="33" customFormat="1" ht="105" customHeight="1"/>
    <row r="94" s="33" customFormat="1" ht="105" customHeight="1"/>
    <row r="95" s="33" customFormat="1" ht="105" customHeight="1"/>
    <row r="96" s="33" customFormat="1" ht="105" customHeight="1"/>
    <row r="97" s="33" customFormat="1" ht="105" customHeight="1"/>
    <row r="98" s="33" customFormat="1" ht="105" customHeight="1"/>
    <row r="99" s="33" customFormat="1" ht="105" customHeight="1"/>
    <row r="100" s="33" customFormat="1" ht="105" customHeight="1"/>
    <row r="101" s="33" customFormat="1" ht="105" customHeight="1"/>
    <row r="102" s="33" customFormat="1" ht="105" customHeight="1"/>
  </sheetData>
  <sheetProtection formatCells="0" insertHyperlinks="0" autoFilter="0"/>
  <mergeCells count="12">
    <mergeCell ref="A1:D1"/>
    <mergeCell ref="H16:AA16"/>
    <mergeCell ref="A2:A3"/>
    <mergeCell ref="B2:B3"/>
    <mergeCell ref="C2:C3"/>
    <mergeCell ref="D2:D3"/>
    <mergeCell ref="H2:AA3"/>
    <mergeCell ref="H4:AA9"/>
    <mergeCell ref="A8:D10"/>
    <mergeCell ref="H10:AA15"/>
    <mergeCell ref="H17:AA18"/>
    <mergeCell ref="A11:D23"/>
  </mergeCells>
  <hyperlinks>
    <hyperlink ref="E1" location="目录!A1" display="返回目录"/>
  </hyperlinks>
  <pageMargins left="0.75" right="0.75" top="1" bottom="1" header="0.5" footer="0.5"/>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Z13"/>
  <sheetViews>
    <sheetView workbookViewId="0">
      <selection activeCell="H1" sqref="H1"/>
    </sheetView>
  </sheetViews>
  <sheetFormatPr defaultColWidth="9" defaultRowHeight="17.25"/>
  <cols>
    <col min="1" max="1" width="1.8" style="36" customWidth="1"/>
    <col min="2" max="2" width="48.8" style="36" customWidth="1"/>
    <col min="3" max="3" width="30.875" style="36" customWidth="1"/>
    <col min="4" max="4" width="26.875" style="36" customWidth="1"/>
    <col min="5" max="7" width="26.25" style="36" customWidth="1"/>
    <col min="8" max="8" width="18.8" style="36" customWidth="1"/>
    <col min="9" max="254" width="8.86666666666667" style="36"/>
    <col min="255" max="16384" width="9" style="36"/>
  </cols>
  <sheetData>
    <row r="1" s="33" customFormat="1" ht="99" customHeight="1" spans="1:8">
      <c r="A1" s="36"/>
      <c r="B1" s="37" t="s">
        <v>292</v>
      </c>
      <c r="C1" s="38"/>
      <c r="D1" s="38"/>
      <c r="E1" s="38"/>
      <c r="F1" s="38"/>
      <c r="G1" s="38"/>
      <c r="H1" s="19" t="s">
        <v>190</v>
      </c>
    </row>
    <row r="2" customFormat="1" ht="60" customHeight="1" spans="1:26">
      <c r="A2" s="36"/>
      <c r="B2" s="39" t="s">
        <v>1</v>
      </c>
      <c r="C2" s="40" t="s">
        <v>293</v>
      </c>
      <c r="D2" s="41"/>
      <c r="E2" s="40" t="s">
        <v>294</v>
      </c>
      <c r="F2" s="41"/>
      <c r="G2" s="303" t="s">
        <v>295</v>
      </c>
      <c r="H2" s="73"/>
      <c r="I2" s="36"/>
      <c r="J2" s="36"/>
      <c r="K2" s="36"/>
      <c r="L2" s="36"/>
      <c r="M2" s="36"/>
      <c r="N2" s="36"/>
      <c r="O2" s="36"/>
      <c r="P2" s="36"/>
      <c r="Q2" s="36"/>
      <c r="R2" s="36"/>
      <c r="S2" s="36"/>
      <c r="T2" s="36"/>
      <c r="U2" s="36"/>
      <c r="V2" s="36"/>
      <c r="W2" s="36"/>
      <c r="X2" s="36"/>
      <c r="Y2" s="36"/>
      <c r="Z2" s="36"/>
    </row>
    <row r="3" s="34" customFormat="1" ht="45" customHeight="1" spans="1:8">
      <c r="A3" s="36"/>
      <c r="B3" s="42" t="s">
        <v>296</v>
      </c>
      <c r="C3" s="43" t="s">
        <v>297</v>
      </c>
      <c r="D3" s="44" t="s">
        <v>298</v>
      </c>
      <c r="E3" s="43" t="s">
        <v>299</v>
      </c>
      <c r="F3" s="44" t="s">
        <v>300</v>
      </c>
      <c r="G3" s="304"/>
      <c r="H3" s="73"/>
    </row>
    <row r="4" s="34" customFormat="1" ht="55.05" customHeight="1" spans="1:24">
      <c r="A4" s="36"/>
      <c r="B4" s="45" t="s">
        <v>280</v>
      </c>
      <c r="C4" s="46">
        <v>8.6</v>
      </c>
      <c r="D4" s="47">
        <v>8</v>
      </c>
      <c r="E4" s="305">
        <v>1480</v>
      </c>
      <c r="F4" s="46">
        <v>1455</v>
      </c>
      <c r="G4" s="64" t="s">
        <v>301</v>
      </c>
      <c r="H4" s="74"/>
      <c r="I4" s="36"/>
      <c r="J4" s="36"/>
      <c r="K4" s="36"/>
      <c r="L4" s="36"/>
      <c r="M4" s="36"/>
      <c r="N4" s="36"/>
      <c r="O4" s="36"/>
      <c r="P4" s="36"/>
      <c r="Q4" s="36"/>
      <c r="R4" s="36"/>
      <c r="S4" s="36"/>
      <c r="T4" s="36"/>
      <c r="U4" s="36"/>
      <c r="V4" s="36"/>
      <c r="W4" s="36"/>
      <c r="X4" s="36"/>
    </row>
    <row r="5" s="35" customFormat="1" ht="55.05" customHeight="1" spans="1:24">
      <c r="A5" s="36"/>
      <c r="B5" s="48" t="s">
        <v>283</v>
      </c>
      <c r="C5" s="46">
        <v>8.4</v>
      </c>
      <c r="D5" s="49">
        <v>7.7</v>
      </c>
      <c r="E5" s="306">
        <v>1490</v>
      </c>
      <c r="F5" s="80">
        <v>1430</v>
      </c>
      <c r="G5" s="68" t="s">
        <v>302</v>
      </c>
      <c r="H5" s="74"/>
      <c r="I5" s="36"/>
      <c r="J5" s="36"/>
      <c r="K5" s="36"/>
      <c r="L5" s="36"/>
      <c r="M5" s="36"/>
      <c r="N5" s="36"/>
      <c r="O5" s="36"/>
      <c r="P5" s="36"/>
      <c r="Q5" s="36"/>
      <c r="R5" s="36"/>
      <c r="S5" s="36"/>
      <c r="T5" s="36"/>
      <c r="U5" s="36"/>
      <c r="V5" s="36"/>
      <c r="W5" s="36"/>
      <c r="X5" s="36"/>
    </row>
    <row r="6" s="35" customFormat="1" ht="55.05" customHeight="1" spans="1:24">
      <c r="A6" s="36"/>
      <c r="B6" s="48" t="s">
        <v>303</v>
      </c>
      <c r="C6" s="46">
        <v>8.3</v>
      </c>
      <c r="D6" s="49">
        <v>7.7</v>
      </c>
      <c r="E6" s="306">
        <v>1605</v>
      </c>
      <c r="F6" s="80">
        <v>1575</v>
      </c>
      <c r="G6" s="68" t="s">
        <v>304</v>
      </c>
      <c r="H6" s="74"/>
      <c r="I6" s="36"/>
      <c r="J6" s="36"/>
      <c r="K6" s="36"/>
      <c r="L6" s="36"/>
      <c r="M6" s="36"/>
      <c r="N6" s="36"/>
      <c r="O6" s="36"/>
      <c r="P6" s="36"/>
      <c r="Q6" s="36"/>
      <c r="R6" s="36"/>
      <c r="S6" s="36"/>
      <c r="T6" s="36"/>
      <c r="U6" s="36"/>
      <c r="V6" s="36"/>
      <c r="W6" s="36"/>
      <c r="X6" s="36"/>
    </row>
    <row r="7" s="35" customFormat="1" ht="55.05" customHeight="1" spans="1:24">
      <c r="A7" s="36"/>
      <c r="B7" s="48" t="s">
        <v>305</v>
      </c>
      <c r="C7" s="46">
        <v>8.5</v>
      </c>
      <c r="D7" s="49">
        <v>8</v>
      </c>
      <c r="E7" s="306">
        <v>1680</v>
      </c>
      <c r="F7" s="80">
        <v>1660</v>
      </c>
      <c r="G7" s="68" t="s">
        <v>306</v>
      </c>
      <c r="H7" s="36"/>
      <c r="I7" s="36"/>
      <c r="J7" s="36"/>
      <c r="K7" s="36"/>
      <c r="L7" s="36"/>
      <c r="M7" s="36"/>
      <c r="N7" s="36"/>
      <c r="O7" s="36"/>
      <c r="P7" s="36"/>
      <c r="Q7" s="36"/>
      <c r="R7" s="36"/>
      <c r="S7" s="36"/>
      <c r="T7" s="36"/>
      <c r="U7" s="36"/>
      <c r="V7" s="36"/>
      <c r="W7" s="36"/>
      <c r="X7" s="36"/>
    </row>
    <row r="8" s="35" customFormat="1" ht="55.05" customHeight="1" spans="1:24">
      <c r="A8" s="36"/>
      <c r="B8" s="50" t="s">
        <v>286</v>
      </c>
      <c r="C8" s="46">
        <v>8.6</v>
      </c>
      <c r="D8" s="51">
        <v>8.1</v>
      </c>
      <c r="E8" s="307">
        <v>1655</v>
      </c>
      <c r="F8" s="81">
        <v>1625</v>
      </c>
      <c r="G8" s="70" t="s">
        <v>307</v>
      </c>
      <c r="H8" s="36"/>
      <c r="I8" s="36"/>
      <c r="J8" s="36"/>
      <c r="K8" s="36"/>
      <c r="L8" s="36"/>
      <c r="M8" s="36"/>
      <c r="N8" s="36"/>
      <c r="O8" s="36"/>
      <c r="P8" s="36"/>
      <c r="Q8" s="36"/>
      <c r="R8" s="36"/>
      <c r="S8" s="36"/>
      <c r="T8" s="36"/>
      <c r="U8" s="36"/>
      <c r="V8" s="36"/>
      <c r="W8" s="36"/>
      <c r="X8" s="36"/>
    </row>
    <row r="9" s="35" customFormat="1" ht="60" customHeight="1" spans="1:24">
      <c r="A9" s="36"/>
      <c r="B9" s="52" t="s">
        <v>107</v>
      </c>
      <c r="C9" s="53" t="s">
        <v>308</v>
      </c>
      <c r="D9" s="54"/>
      <c r="E9" s="54"/>
      <c r="F9" s="54"/>
      <c r="G9" s="71"/>
      <c r="H9" s="36"/>
      <c r="I9" s="36"/>
      <c r="J9" s="36"/>
      <c r="K9" s="36"/>
      <c r="L9" s="36"/>
      <c r="M9" s="36"/>
      <c r="N9" s="36"/>
      <c r="O9" s="36"/>
      <c r="P9" s="36"/>
      <c r="Q9" s="36"/>
      <c r="R9" s="36"/>
      <c r="S9" s="36"/>
      <c r="T9" s="36"/>
      <c r="U9" s="36"/>
      <c r="V9" s="36"/>
      <c r="W9" s="36"/>
      <c r="X9" s="36"/>
    </row>
    <row r="10" s="35" customFormat="1" ht="60" customHeight="1" spans="1:24">
      <c r="A10" s="36"/>
      <c r="B10" s="300"/>
      <c r="C10" s="301" t="s">
        <v>309</v>
      </c>
      <c r="D10" s="302"/>
      <c r="E10" s="308" t="s">
        <v>310</v>
      </c>
      <c r="F10" s="309"/>
      <c r="G10" s="310"/>
      <c r="H10" s="36"/>
      <c r="I10" s="36"/>
      <c r="J10" s="36"/>
      <c r="K10" s="36"/>
      <c r="L10" s="36"/>
      <c r="M10" s="36"/>
      <c r="N10" s="36"/>
      <c r="O10" s="36"/>
      <c r="P10" s="36"/>
      <c r="Q10" s="36"/>
      <c r="R10" s="36"/>
      <c r="S10" s="36"/>
      <c r="T10" s="36"/>
      <c r="U10" s="36"/>
      <c r="V10" s="36"/>
      <c r="W10" s="36"/>
      <c r="X10" s="36"/>
    </row>
    <row r="11" customFormat="1" ht="350" customHeight="1" spans="1:24">
      <c r="A11" s="36"/>
      <c r="B11" s="55" t="s">
        <v>311</v>
      </c>
      <c r="C11" s="56" t="s">
        <v>312</v>
      </c>
      <c r="D11" s="57"/>
      <c r="E11" s="57"/>
      <c r="F11" s="57"/>
      <c r="G11" s="72"/>
      <c r="H11" s="36"/>
      <c r="I11" s="36"/>
      <c r="J11" s="36"/>
      <c r="K11" s="36"/>
      <c r="L11" s="36"/>
      <c r="M11" s="36"/>
      <c r="N11" s="36"/>
      <c r="O11" s="36"/>
      <c r="P11" s="36"/>
      <c r="Q11" s="36"/>
      <c r="R11" s="36"/>
      <c r="S11" s="36"/>
      <c r="T11" s="36"/>
      <c r="U11" s="36"/>
      <c r="V11" s="36"/>
      <c r="W11" s="36"/>
      <c r="X11" s="36"/>
    </row>
    <row r="12" s="2" customFormat="1" spans="1:8">
      <c r="A12" s="36"/>
      <c r="B12" s="36"/>
      <c r="C12" s="36"/>
      <c r="D12" s="36"/>
      <c r="E12" s="36"/>
      <c r="F12" s="36"/>
      <c r="G12" s="36"/>
      <c r="H12" s="36"/>
    </row>
    <row r="13" s="2" customFormat="1" spans="1:8">
      <c r="A13" s="36"/>
      <c r="B13" s="36"/>
      <c r="C13" s="36"/>
      <c r="D13" s="36"/>
      <c r="E13" s="36"/>
      <c r="F13" s="36"/>
      <c r="G13" s="36"/>
      <c r="H13" s="36"/>
    </row>
  </sheetData>
  <sheetProtection formatCells="0" insertHyperlinks="0" autoFilter="0"/>
  <mergeCells count="9">
    <mergeCell ref="B1:G1"/>
    <mergeCell ref="C2:D2"/>
    <mergeCell ref="E2:F2"/>
    <mergeCell ref="C9:G9"/>
    <mergeCell ref="C10:D10"/>
    <mergeCell ref="E10:G10"/>
    <mergeCell ref="C11:G11"/>
    <mergeCell ref="B9:B10"/>
    <mergeCell ref="G2:G3"/>
  </mergeCells>
  <hyperlinks>
    <hyperlink ref="H1" location="目录!A1" display="返回目录"/>
  </hyperlinks>
  <pageMargins left="0.75" right="0.75" top="1" bottom="1" header="0.5" footer="0.5"/>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70C0"/>
  </sheetPr>
  <dimension ref="B1:H8"/>
  <sheetViews>
    <sheetView zoomScale="85" zoomScaleNormal="85" workbookViewId="0">
      <selection activeCell="J4" sqref="J4:L6"/>
    </sheetView>
  </sheetViews>
  <sheetFormatPr defaultColWidth="9" defaultRowHeight="18" outlineLevelRow="7" outlineLevelCol="7"/>
  <cols>
    <col min="1" max="1" width="1.6" style="83" customWidth="1"/>
    <col min="2" max="2" width="27.2666666666667" style="83" customWidth="1"/>
    <col min="3" max="6" width="37.0666666666667" style="83" customWidth="1"/>
    <col min="7" max="7" width="43" style="83" customWidth="1"/>
    <col min="8" max="8" width="12.4" style="83" customWidth="1"/>
    <col min="9" max="16381" width="9" style="83"/>
    <col min="16383" max="16384" width="9" style="83"/>
  </cols>
  <sheetData>
    <row r="1" s="83" customFormat="1" ht="2" customHeight="1"/>
    <row r="2" s="83" customFormat="1" ht="100.05" customHeight="1" spans="2:8">
      <c r="B2" s="279" t="s">
        <v>313</v>
      </c>
      <c r="C2" s="280"/>
      <c r="D2" s="280"/>
      <c r="E2" s="280"/>
      <c r="F2" s="280"/>
      <c r="G2" s="280"/>
      <c r="H2" s="19" t="s">
        <v>190</v>
      </c>
    </row>
    <row r="3" s="83" customFormat="1" ht="42" customHeight="1" spans="2:7">
      <c r="B3" s="281" t="s">
        <v>191</v>
      </c>
      <c r="C3" s="282" t="s">
        <v>192</v>
      </c>
      <c r="D3" s="283" t="s">
        <v>193</v>
      </c>
      <c r="E3" s="295" t="s">
        <v>194</v>
      </c>
      <c r="F3" s="295" t="s">
        <v>195</v>
      </c>
      <c r="G3" s="296" t="s">
        <v>196</v>
      </c>
    </row>
    <row r="4" s="83" customFormat="1" ht="60" customHeight="1" spans="2:7">
      <c r="B4" s="284" t="s">
        <v>314</v>
      </c>
      <c r="C4" s="285">
        <v>41</v>
      </c>
      <c r="D4" s="286">
        <v>38</v>
      </c>
      <c r="E4" s="285">
        <v>37</v>
      </c>
      <c r="F4" s="285">
        <v>36</v>
      </c>
      <c r="G4" s="296" t="s">
        <v>315</v>
      </c>
    </row>
    <row r="5" s="83" customFormat="1" ht="68" customHeight="1" spans="2:7">
      <c r="B5" s="287" t="s">
        <v>316</v>
      </c>
      <c r="C5" s="288">
        <v>42</v>
      </c>
      <c r="D5" s="289">
        <v>39</v>
      </c>
      <c r="E5" s="297">
        <v>38</v>
      </c>
      <c r="F5" s="297">
        <v>37</v>
      </c>
      <c r="G5" s="296"/>
    </row>
    <row r="6" s="83" customFormat="1" ht="64.05" customHeight="1" spans="2:7">
      <c r="B6" s="287" t="s">
        <v>317</v>
      </c>
      <c r="C6" s="288">
        <v>43</v>
      </c>
      <c r="D6" s="289">
        <v>40</v>
      </c>
      <c r="E6" s="297">
        <v>39</v>
      </c>
      <c r="F6" s="297">
        <v>38</v>
      </c>
      <c r="G6" s="296"/>
    </row>
    <row r="7" s="83" customFormat="1" ht="64.05" customHeight="1" spans="2:7">
      <c r="B7" s="287" t="s">
        <v>202</v>
      </c>
      <c r="C7" s="290" t="s">
        <v>318</v>
      </c>
      <c r="D7" s="291"/>
      <c r="E7" s="291"/>
      <c r="F7" s="291"/>
      <c r="G7" s="298"/>
    </row>
    <row r="8" ht="344" customHeight="1" spans="2:7">
      <c r="B8" s="292" t="s">
        <v>139</v>
      </c>
      <c r="C8" s="293" t="s">
        <v>319</v>
      </c>
      <c r="D8" s="294"/>
      <c r="E8" s="294"/>
      <c r="F8" s="294"/>
      <c r="G8" s="299"/>
    </row>
  </sheetData>
  <sheetProtection formatCells="0" insertHyperlinks="0" autoFilter="0"/>
  <mergeCells count="4">
    <mergeCell ref="B2:G2"/>
    <mergeCell ref="C7:G7"/>
    <mergeCell ref="C8:G8"/>
    <mergeCell ref="G4:G6"/>
  </mergeCells>
  <conditionalFormatting sqref="D5:D6">
    <cfRule type="duplicateValues" dxfId="0" priority="1"/>
  </conditionalFormatting>
  <hyperlinks>
    <hyperlink ref="H2" location="目录!A1" display="返回目录"/>
  </hyperlinks>
  <pageMargins left="0.75" right="0.75" top="1" bottom="1" header="0.5" footer="0.5"/>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70C0"/>
  </sheetPr>
  <dimension ref="B1:H8"/>
  <sheetViews>
    <sheetView zoomScale="85" zoomScaleNormal="85" workbookViewId="0">
      <selection activeCell="I8" sqref="I8"/>
    </sheetView>
  </sheetViews>
  <sheetFormatPr defaultColWidth="9" defaultRowHeight="18" outlineLevelRow="7" outlineLevelCol="7"/>
  <cols>
    <col min="1" max="1" width="1.6" style="83" customWidth="1"/>
    <col min="2" max="2" width="27.2666666666667" style="83" customWidth="1"/>
    <col min="3" max="6" width="37.0666666666667" style="83" customWidth="1"/>
    <col min="7" max="7" width="43" style="83" customWidth="1"/>
    <col min="8" max="8" width="12.4" style="83" customWidth="1"/>
    <col min="9" max="16381" width="9" style="83"/>
    <col min="16383" max="16384" width="9" style="83"/>
  </cols>
  <sheetData>
    <row r="1" s="83" customFormat="1" ht="2" customHeight="1"/>
    <row r="2" s="83" customFormat="1" ht="100.05" customHeight="1" spans="2:8">
      <c r="B2" s="279" t="s">
        <v>320</v>
      </c>
      <c r="C2" s="280"/>
      <c r="D2" s="280"/>
      <c r="E2" s="280"/>
      <c r="F2" s="280"/>
      <c r="G2" s="280"/>
      <c r="H2" s="19" t="s">
        <v>190</v>
      </c>
    </row>
    <row r="3" s="83" customFormat="1" ht="42" customHeight="1" spans="2:7">
      <c r="B3" s="281" t="s">
        <v>191</v>
      </c>
      <c r="C3" s="282" t="s">
        <v>193</v>
      </c>
      <c r="D3" s="283" t="s">
        <v>321</v>
      </c>
      <c r="E3" s="295" t="s">
        <v>194</v>
      </c>
      <c r="F3" s="295" t="s">
        <v>195</v>
      </c>
      <c r="G3" s="296" t="s">
        <v>196</v>
      </c>
    </row>
    <row r="4" s="83" customFormat="1" ht="60" customHeight="1" spans="2:7">
      <c r="B4" s="284" t="s">
        <v>314</v>
      </c>
      <c r="C4" s="285">
        <v>56</v>
      </c>
      <c r="D4" s="286">
        <v>54</v>
      </c>
      <c r="E4" s="285">
        <v>52</v>
      </c>
      <c r="F4" s="285">
        <v>49</v>
      </c>
      <c r="G4" s="296" t="s">
        <v>322</v>
      </c>
    </row>
    <row r="5" s="83" customFormat="1" ht="68" customHeight="1" spans="2:7">
      <c r="B5" s="287" t="s">
        <v>316</v>
      </c>
      <c r="C5" s="288">
        <v>57</v>
      </c>
      <c r="D5" s="289">
        <v>55</v>
      </c>
      <c r="E5" s="297">
        <v>53</v>
      </c>
      <c r="F5" s="297">
        <v>50</v>
      </c>
      <c r="G5" s="296"/>
    </row>
    <row r="6" s="83" customFormat="1" ht="64.05" customHeight="1" spans="2:7">
      <c r="B6" s="287" t="s">
        <v>317</v>
      </c>
      <c r="C6" s="288">
        <v>58</v>
      </c>
      <c r="D6" s="289">
        <v>56</v>
      </c>
      <c r="E6" s="297">
        <v>54</v>
      </c>
      <c r="F6" s="297">
        <v>51</v>
      </c>
      <c r="G6" s="296"/>
    </row>
    <row r="7" s="83" customFormat="1" ht="64.05" customHeight="1" spans="2:7">
      <c r="B7" s="287" t="s">
        <v>202</v>
      </c>
      <c r="C7" s="290" t="s">
        <v>323</v>
      </c>
      <c r="D7" s="291"/>
      <c r="E7" s="291"/>
      <c r="F7" s="291"/>
      <c r="G7" s="298"/>
    </row>
    <row r="8" s="83" customFormat="1" ht="344" customHeight="1" spans="2:7">
      <c r="B8" s="292" t="s">
        <v>139</v>
      </c>
      <c r="C8" s="293" t="s">
        <v>319</v>
      </c>
      <c r="D8" s="294"/>
      <c r="E8" s="294"/>
      <c r="F8" s="294"/>
      <c r="G8" s="299"/>
    </row>
  </sheetData>
  <sheetProtection formatCells="0" insertHyperlinks="0" autoFilter="0"/>
  <mergeCells count="4">
    <mergeCell ref="B2:G2"/>
    <mergeCell ref="C7:G7"/>
    <mergeCell ref="C8:G8"/>
    <mergeCell ref="G4:G6"/>
  </mergeCells>
  <conditionalFormatting sqref="D5:D6">
    <cfRule type="duplicateValues" dxfId="0" priority="1"/>
  </conditionalFormatting>
  <hyperlinks>
    <hyperlink ref="H2" location="目录!A1" display="返回目录"/>
  </hyperlinks>
  <pageMargins left="0.75" right="0.75" top="1" bottom="1" header="0.5" footer="0.5"/>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70C0"/>
  </sheetPr>
  <dimension ref="A1:H57"/>
  <sheetViews>
    <sheetView zoomScale="40" zoomScaleNormal="40" workbookViewId="0">
      <selection activeCell="O8" sqref="O8"/>
    </sheetView>
  </sheetViews>
  <sheetFormatPr defaultColWidth="9" defaultRowHeight="14.25" outlineLevelCol="7"/>
  <cols>
    <col min="1" max="1" width="58.8" style="33" customWidth="1"/>
    <col min="2" max="2" width="78.9333333333333" style="33" customWidth="1"/>
    <col min="3" max="6" width="62.5" style="33" customWidth="1"/>
    <col min="7" max="7" width="98" style="33" customWidth="1"/>
    <col min="8" max="8" width="34.0666666666667" style="33" customWidth="1"/>
    <col min="9" max="9" width="12.625" style="33"/>
    <col min="10" max="16384" width="9" style="33"/>
  </cols>
  <sheetData>
    <row r="1" s="188" customFormat="1" ht="92" customHeight="1" spans="1:8">
      <c r="A1" s="250" t="s">
        <v>148</v>
      </c>
      <c r="B1" s="250"/>
      <c r="C1" s="250"/>
      <c r="D1" s="250"/>
      <c r="E1" s="250"/>
      <c r="F1" s="250"/>
      <c r="G1" s="250"/>
      <c r="H1" s="167" t="s">
        <v>190</v>
      </c>
    </row>
    <row r="2" s="188" customFormat="1" ht="86" customHeight="1" spans="1:7">
      <c r="A2" s="251" t="s">
        <v>324</v>
      </c>
      <c r="B2" s="252"/>
      <c r="C2" s="252"/>
      <c r="D2" s="252"/>
      <c r="E2" s="252"/>
      <c r="F2" s="252"/>
      <c r="G2" s="278"/>
    </row>
    <row r="3" s="33" customFormat="1" ht="140" customHeight="1" spans="1:7">
      <c r="A3" s="193" t="s">
        <v>325</v>
      </c>
      <c r="B3" s="193" t="s">
        <v>326</v>
      </c>
      <c r="C3" s="194" t="s">
        <v>327</v>
      </c>
      <c r="D3" s="196"/>
      <c r="E3" s="196" t="s">
        <v>328</v>
      </c>
      <c r="F3" s="196"/>
      <c r="G3" s="201" t="s">
        <v>329</v>
      </c>
    </row>
    <row r="4" s="33" customFormat="1" ht="65" customHeight="1" spans="1:7">
      <c r="A4" s="193"/>
      <c r="B4" s="193"/>
      <c r="C4" s="253" t="s">
        <v>330</v>
      </c>
      <c r="D4" s="193" t="s">
        <v>331</v>
      </c>
      <c r="E4" s="253" t="s">
        <v>330</v>
      </c>
      <c r="F4" s="193" t="s">
        <v>331</v>
      </c>
      <c r="G4" s="201"/>
    </row>
    <row r="5" s="33" customFormat="1" ht="62" customHeight="1" spans="1:7">
      <c r="A5" s="193"/>
      <c r="B5" s="193"/>
      <c r="C5" s="193"/>
      <c r="D5" s="193"/>
      <c r="E5" s="193"/>
      <c r="F5" s="193"/>
      <c r="G5" s="201"/>
    </row>
    <row r="6" s="33" customFormat="1" ht="65" customHeight="1" spans="1:7">
      <c r="A6" s="254" t="s">
        <v>332</v>
      </c>
      <c r="B6" s="197" t="s">
        <v>333</v>
      </c>
      <c r="C6" s="255">
        <v>5.29</v>
      </c>
      <c r="D6" s="256">
        <f>C6*167</f>
        <v>883.43</v>
      </c>
      <c r="E6" s="255">
        <v>5.29</v>
      </c>
      <c r="F6" s="256">
        <f t="shared" ref="F6:F23" si="0">E6*167</f>
        <v>883.43</v>
      </c>
      <c r="G6" s="203" t="s">
        <v>334</v>
      </c>
    </row>
    <row r="7" s="33" customFormat="1" ht="65" customHeight="1" spans="1:7">
      <c r="A7" s="254"/>
      <c r="B7" s="200" t="s">
        <v>335</v>
      </c>
      <c r="C7" s="255">
        <v>5.29</v>
      </c>
      <c r="D7" s="256">
        <f t="shared" ref="D7:D23" si="1">C7*167</f>
        <v>883.43</v>
      </c>
      <c r="E7" s="255">
        <v>5.29</v>
      </c>
      <c r="F7" s="256">
        <f t="shared" si="0"/>
        <v>883.43</v>
      </c>
      <c r="G7" s="203" t="s">
        <v>334</v>
      </c>
    </row>
    <row r="8" s="33" customFormat="1" ht="65" customHeight="1" spans="1:7">
      <c r="A8" s="254"/>
      <c r="B8" s="200" t="s">
        <v>336</v>
      </c>
      <c r="C8" s="255">
        <v>5.29</v>
      </c>
      <c r="D8" s="256">
        <f t="shared" si="1"/>
        <v>883.43</v>
      </c>
      <c r="E8" s="255">
        <v>5.29</v>
      </c>
      <c r="F8" s="256">
        <f t="shared" si="0"/>
        <v>883.43</v>
      </c>
      <c r="G8" s="203" t="s">
        <v>334</v>
      </c>
    </row>
    <row r="9" s="33" customFormat="1" ht="65" customHeight="1" spans="1:7">
      <c r="A9" s="254"/>
      <c r="B9" s="200" t="s">
        <v>337</v>
      </c>
      <c r="C9" s="255">
        <v>5.29</v>
      </c>
      <c r="D9" s="256">
        <f t="shared" si="1"/>
        <v>883.43</v>
      </c>
      <c r="E9" s="255">
        <v>5.29</v>
      </c>
      <c r="F9" s="256">
        <f t="shared" si="0"/>
        <v>883.43</v>
      </c>
      <c r="G9" s="203" t="s">
        <v>334</v>
      </c>
    </row>
    <row r="10" s="33" customFormat="1" ht="65" customHeight="1" spans="1:7">
      <c r="A10" s="254"/>
      <c r="B10" s="200" t="s">
        <v>338</v>
      </c>
      <c r="C10" s="255">
        <v>6.3</v>
      </c>
      <c r="D10" s="256">
        <f t="shared" si="1"/>
        <v>1052.1</v>
      </c>
      <c r="E10" s="255">
        <v>6.3</v>
      </c>
      <c r="F10" s="256">
        <f t="shared" si="0"/>
        <v>1052.1</v>
      </c>
      <c r="G10" s="203" t="s">
        <v>339</v>
      </c>
    </row>
    <row r="11" s="33" customFormat="1" ht="65" customHeight="1" spans="1:7">
      <c r="A11" s="254"/>
      <c r="B11" s="200" t="s">
        <v>340</v>
      </c>
      <c r="C11" s="255">
        <v>6.3</v>
      </c>
      <c r="D11" s="256">
        <f t="shared" si="1"/>
        <v>1052.1</v>
      </c>
      <c r="E11" s="255">
        <v>6.3</v>
      </c>
      <c r="F11" s="256">
        <f t="shared" si="0"/>
        <v>1052.1</v>
      </c>
      <c r="G11" s="203" t="s">
        <v>339</v>
      </c>
    </row>
    <row r="12" s="33" customFormat="1" ht="65" customHeight="1" spans="1:7">
      <c r="A12" s="254"/>
      <c r="B12" s="200" t="s">
        <v>341</v>
      </c>
      <c r="C12" s="255">
        <v>6.3</v>
      </c>
      <c r="D12" s="256">
        <f t="shared" si="1"/>
        <v>1052.1</v>
      </c>
      <c r="E12" s="255">
        <v>6.3</v>
      </c>
      <c r="F12" s="256">
        <f t="shared" si="0"/>
        <v>1052.1</v>
      </c>
      <c r="G12" s="203" t="s">
        <v>339</v>
      </c>
    </row>
    <row r="13" s="33" customFormat="1" ht="65" customHeight="1" spans="1:7">
      <c r="A13" s="254"/>
      <c r="B13" s="200" t="s">
        <v>342</v>
      </c>
      <c r="C13" s="255">
        <v>6.3</v>
      </c>
      <c r="D13" s="256">
        <f t="shared" si="1"/>
        <v>1052.1</v>
      </c>
      <c r="E13" s="255">
        <v>6.3</v>
      </c>
      <c r="F13" s="256">
        <f t="shared" si="0"/>
        <v>1052.1</v>
      </c>
      <c r="G13" s="203" t="s">
        <v>339</v>
      </c>
    </row>
    <row r="14" s="33" customFormat="1" ht="65" customHeight="1" spans="1:7">
      <c r="A14" s="254"/>
      <c r="B14" s="200" t="s">
        <v>343</v>
      </c>
      <c r="C14" s="255">
        <v>6.41</v>
      </c>
      <c r="D14" s="256">
        <f t="shared" si="1"/>
        <v>1070.47</v>
      </c>
      <c r="E14" s="255">
        <v>6.41</v>
      </c>
      <c r="F14" s="256">
        <f t="shared" si="0"/>
        <v>1070.47</v>
      </c>
      <c r="G14" s="203" t="s">
        <v>339</v>
      </c>
    </row>
    <row r="15" s="33" customFormat="1" ht="65" customHeight="1" spans="1:7">
      <c r="A15" s="254"/>
      <c r="B15" s="200" t="s">
        <v>344</v>
      </c>
      <c r="C15" s="255">
        <v>6.41</v>
      </c>
      <c r="D15" s="256">
        <f t="shared" si="1"/>
        <v>1070.47</v>
      </c>
      <c r="E15" s="255">
        <v>6.41</v>
      </c>
      <c r="F15" s="256">
        <f t="shared" si="0"/>
        <v>1070.47</v>
      </c>
      <c r="G15" s="203" t="s">
        <v>339</v>
      </c>
    </row>
    <row r="16" s="33" customFormat="1" ht="65" customHeight="1" spans="1:7">
      <c r="A16" s="254"/>
      <c r="B16" s="200" t="s">
        <v>345</v>
      </c>
      <c r="C16" s="255">
        <v>6.47</v>
      </c>
      <c r="D16" s="256">
        <f t="shared" si="1"/>
        <v>1080.49</v>
      </c>
      <c r="E16" s="255">
        <v>6.47</v>
      </c>
      <c r="F16" s="256">
        <f t="shared" si="0"/>
        <v>1080.49</v>
      </c>
      <c r="G16" s="203" t="s">
        <v>339</v>
      </c>
    </row>
    <row r="17" s="33" customFormat="1" ht="65" customHeight="1" spans="1:7">
      <c r="A17" s="254"/>
      <c r="B17" s="200" t="s">
        <v>346</v>
      </c>
      <c r="C17" s="255">
        <v>6.47</v>
      </c>
      <c r="D17" s="256">
        <f t="shared" si="1"/>
        <v>1080.49</v>
      </c>
      <c r="E17" s="255">
        <v>6.47</v>
      </c>
      <c r="F17" s="256">
        <f t="shared" si="0"/>
        <v>1080.49</v>
      </c>
      <c r="G17" s="203" t="s">
        <v>339</v>
      </c>
    </row>
    <row r="18" s="33" customFormat="1" ht="65" customHeight="1" spans="1:7">
      <c r="A18" s="254"/>
      <c r="B18" s="200" t="s">
        <v>347</v>
      </c>
      <c r="C18" s="255">
        <v>6.68</v>
      </c>
      <c r="D18" s="256">
        <f t="shared" si="1"/>
        <v>1115.56</v>
      </c>
      <c r="E18" s="255">
        <v>6.68</v>
      </c>
      <c r="F18" s="256">
        <f t="shared" si="0"/>
        <v>1115.56</v>
      </c>
      <c r="G18" s="203" t="s">
        <v>339</v>
      </c>
    </row>
    <row r="19" s="33" customFormat="1" ht="65" customHeight="1" spans="1:7">
      <c r="A19" s="254"/>
      <c r="B19" s="200" t="s">
        <v>348</v>
      </c>
      <c r="C19" s="255">
        <v>6.68</v>
      </c>
      <c r="D19" s="256">
        <f t="shared" si="1"/>
        <v>1115.56</v>
      </c>
      <c r="E19" s="255">
        <v>6.68</v>
      </c>
      <c r="F19" s="256">
        <f t="shared" si="0"/>
        <v>1115.56</v>
      </c>
      <c r="G19" s="203" t="s">
        <v>339</v>
      </c>
    </row>
    <row r="20" s="33" customFormat="1" ht="65" customHeight="1" spans="1:7">
      <c r="A20" s="254"/>
      <c r="B20" s="200" t="s">
        <v>349</v>
      </c>
      <c r="C20" s="255">
        <v>6.8</v>
      </c>
      <c r="D20" s="256">
        <f t="shared" si="1"/>
        <v>1135.6</v>
      </c>
      <c r="E20" s="255">
        <v>6.8</v>
      </c>
      <c r="F20" s="256">
        <f t="shared" si="0"/>
        <v>1135.6</v>
      </c>
      <c r="G20" s="203" t="s">
        <v>339</v>
      </c>
    </row>
    <row r="21" s="33" customFormat="1" ht="65" customHeight="1" spans="1:7">
      <c r="A21" s="254"/>
      <c r="B21" s="200" t="s">
        <v>350</v>
      </c>
      <c r="C21" s="255">
        <v>6.8</v>
      </c>
      <c r="D21" s="256">
        <f t="shared" si="1"/>
        <v>1135.6</v>
      </c>
      <c r="E21" s="255">
        <v>6.8</v>
      </c>
      <c r="F21" s="256">
        <f t="shared" si="0"/>
        <v>1135.6</v>
      </c>
      <c r="G21" s="203" t="s">
        <v>339</v>
      </c>
    </row>
    <row r="22" s="33" customFormat="1" ht="65" customHeight="1" spans="1:7">
      <c r="A22" s="254"/>
      <c r="B22" s="200" t="s">
        <v>351</v>
      </c>
      <c r="C22" s="255">
        <v>7.78</v>
      </c>
      <c r="D22" s="256">
        <f t="shared" si="1"/>
        <v>1299.26</v>
      </c>
      <c r="E22" s="255">
        <v>7.78</v>
      </c>
      <c r="F22" s="256">
        <f t="shared" si="0"/>
        <v>1299.26</v>
      </c>
      <c r="G22" s="203" t="s">
        <v>339</v>
      </c>
    </row>
    <row r="23" s="33" customFormat="1" ht="65" customHeight="1" spans="1:7">
      <c r="A23" s="254"/>
      <c r="B23" s="200" t="s">
        <v>352</v>
      </c>
      <c r="C23" s="255">
        <v>7.78</v>
      </c>
      <c r="D23" s="256">
        <f t="shared" si="1"/>
        <v>1299.26</v>
      </c>
      <c r="E23" s="255">
        <v>7.78</v>
      </c>
      <c r="F23" s="256">
        <f t="shared" si="0"/>
        <v>1299.26</v>
      </c>
      <c r="G23" s="203" t="s">
        <v>339</v>
      </c>
    </row>
    <row r="24" s="33" customFormat="1" ht="76.05" customHeight="1" spans="1:7">
      <c r="A24" s="257" t="s">
        <v>353</v>
      </c>
      <c r="B24" s="258"/>
      <c r="C24" s="258"/>
      <c r="D24" s="258"/>
      <c r="E24" s="258"/>
      <c r="F24" s="258"/>
      <c r="G24" s="258"/>
    </row>
    <row r="25" s="33" customFormat="1" ht="66" customHeight="1" spans="1:7">
      <c r="A25" s="259" t="s">
        <v>74</v>
      </c>
      <c r="B25" s="260"/>
      <c r="C25" s="260"/>
      <c r="D25" s="260"/>
      <c r="E25" s="260"/>
      <c r="F25" s="260"/>
      <c r="G25" s="260"/>
    </row>
    <row r="26" s="33" customFormat="1" ht="66" customHeight="1" spans="1:7">
      <c r="A26" s="261" t="s">
        <v>354</v>
      </c>
      <c r="B26" s="262"/>
      <c r="C26" s="262"/>
      <c r="D26" s="262"/>
      <c r="E26" s="262"/>
      <c r="F26" s="262"/>
      <c r="G26" s="262"/>
    </row>
    <row r="27" s="33" customFormat="1" ht="66" customHeight="1" spans="1:7">
      <c r="A27" s="261" t="s">
        <v>355</v>
      </c>
      <c r="B27" s="262"/>
      <c r="C27" s="262"/>
      <c r="D27" s="262"/>
      <c r="E27" s="262"/>
      <c r="F27" s="262"/>
      <c r="G27" s="262"/>
    </row>
    <row r="28" s="33" customFormat="1" ht="66" customHeight="1" spans="1:7">
      <c r="A28" s="261" t="s">
        <v>356</v>
      </c>
      <c r="B28" s="262"/>
      <c r="C28" s="262"/>
      <c r="D28" s="262"/>
      <c r="E28" s="262"/>
      <c r="F28" s="262"/>
      <c r="G28" s="262"/>
    </row>
    <row r="29" s="33" customFormat="1" ht="66" customHeight="1" spans="1:7">
      <c r="A29" s="261" t="s">
        <v>357</v>
      </c>
      <c r="B29" s="262"/>
      <c r="C29" s="262"/>
      <c r="D29" s="262"/>
      <c r="E29" s="262"/>
      <c r="F29" s="262"/>
      <c r="G29" s="262"/>
    </row>
    <row r="30" s="33" customFormat="1" ht="66" customHeight="1" spans="1:7">
      <c r="A30" s="263" t="s">
        <v>88</v>
      </c>
      <c r="B30" s="264"/>
      <c r="C30" s="264"/>
      <c r="D30" s="264"/>
      <c r="E30" s="264"/>
      <c r="F30" s="264"/>
      <c r="G30" s="264"/>
    </row>
    <row r="31" s="33" customFormat="1" ht="66" customHeight="1" spans="1:7">
      <c r="A31" s="265" t="s">
        <v>358</v>
      </c>
      <c r="B31" s="266"/>
      <c r="C31" s="266"/>
      <c r="D31" s="266"/>
      <c r="E31" s="266"/>
      <c r="F31" s="266"/>
      <c r="G31" s="266"/>
    </row>
    <row r="32" s="33" customFormat="1" ht="66" customHeight="1" spans="1:7">
      <c r="A32" s="265" t="s">
        <v>359</v>
      </c>
      <c r="B32" s="266"/>
      <c r="C32" s="266"/>
      <c r="D32" s="266"/>
      <c r="E32" s="266"/>
      <c r="F32" s="266"/>
      <c r="G32" s="266"/>
    </row>
    <row r="33" s="33" customFormat="1" ht="66" customHeight="1" spans="1:7">
      <c r="A33" s="265" t="s">
        <v>360</v>
      </c>
      <c r="B33" s="266"/>
      <c r="C33" s="266"/>
      <c r="D33" s="266"/>
      <c r="E33" s="266"/>
      <c r="F33" s="266"/>
      <c r="G33" s="266"/>
    </row>
    <row r="34" s="33" customFormat="1" ht="66" customHeight="1" spans="1:7">
      <c r="A34" s="265" t="s">
        <v>361</v>
      </c>
      <c r="B34" s="266"/>
      <c r="C34" s="266"/>
      <c r="D34" s="266"/>
      <c r="E34" s="266"/>
      <c r="F34" s="266"/>
      <c r="G34" s="266"/>
    </row>
    <row r="35" s="33" customFormat="1" ht="66" customHeight="1" spans="1:7">
      <c r="A35" s="265" t="s">
        <v>362</v>
      </c>
      <c r="B35" s="266"/>
      <c r="C35" s="266"/>
      <c r="D35" s="266"/>
      <c r="E35" s="266"/>
      <c r="F35" s="266"/>
      <c r="G35" s="266"/>
    </row>
    <row r="36" s="33" customFormat="1" ht="66" customHeight="1" spans="1:7">
      <c r="A36" s="265" t="s">
        <v>363</v>
      </c>
      <c r="B36" s="266"/>
      <c r="C36" s="266"/>
      <c r="D36" s="266"/>
      <c r="E36" s="266"/>
      <c r="F36" s="266"/>
      <c r="G36" s="266"/>
    </row>
    <row r="37" s="33" customFormat="1" ht="66" customHeight="1" spans="1:7">
      <c r="A37" s="267" t="s">
        <v>364</v>
      </c>
      <c r="B37" s="268"/>
      <c r="C37" s="268"/>
      <c r="D37" s="268"/>
      <c r="E37" s="268"/>
      <c r="F37" s="268"/>
      <c r="G37" s="268"/>
    </row>
    <row r="38" s="33" customFormat="1" ht="66" customHeight="1" spans="1:7">
      <c r="A38" s="265" t="s">
        <v>365</v>
      </c>
      <c r="B38" s="266"/>
      <c r="C38" s="266"/>
      <c r="D38" s="266"/>
      <c r="E38" s="266"/>
      <c r="F38" s="266"/>
      <c r="G38" s="266"/>
    </row>
    <row r="39" s="33" customFormat="1" ht="66" customHeight="1" spans="1:7">
      <c r="A39" s="269" t="s">
        <v>366</v>
      </c>
      <c r="B39" s="270"/>
      <c r="C39" s="270"/>
      <c r="D39" s="270"/>
      <c r="E39" s="270"/>
      <c r="F39" s="270"/>
      <c r="G39" s="270"/>
    </row>
    <row r="40" s="33" customFormat="1" ht="66" customHeight="1" spans="1:7">
      <c r="A40" s="271" t="s">
        <v>367</v>
      </c>
      <c r="B40" s="272"/>
      <c r="C40" s="272"/>
      <c r="D40" s="272"/>
      <c r="E40" s="272"/>
      <c r="F40" s="272"/>
      <c r="G40" s="272"/>
    </row>
    <row r="41" s="33" customFormat="1" ht="66" customHeight="1" spans="1:7">
      <c r="A41" s="273" t="s">
        <v>368</v>
      </c>
      <c r="B41" s="274"/>
      <c r="C41" s="274"/>
      <c r="D41" s="274"/>
      <c r="E41" s="274"/>
      <c r="F41" s="274"/>
      <c r="G41" s="274"/>
    </row>
    <row r="42" s="33" customFormat="1" ht="66" customHeight="1" spans="1:7">
      <c r="A42" s="273" t="s">
        <v>369</v>
      </c>
      <c r="B42" s="274"/>
      <c r="C42" s="274"/>
      <c r="D42" s="274"/>
      <c r="E42" s="274"/>
      <c r="F42" s="274"/>
      <c r="G42" s="274"/>
    </row>
    <row r="43" s="33" customFormat="1" ht="66" customHeight="1" spans="1:7">
      <c r="A43" s="273" t="s">
        <v>370</v>
      </c>
      <c r="B43" s="274"/>
      <c r="C43" s="274"/>
      <c r="D43" s="274"/>
      <c r="E43" s="274"/>
      <c r="F43" s="274"/>
      <c r="G43" s="274"/>
    </row>
    <row r="44" s="33" customFormat="1" ht="66" customHeight="1" spans="1:7">
      <c r="A44" s="273" t="s">
        <v>371</v>
      </c>
      <c r="B44" s="274"/>
      <c r="C44" s="274"/>
      <c r="D44" s="274"/>
      <c r="E44" s="274"/>
      <c r="F44" s="274"/>
      <c r="G44" s="274"/>
    </row>
    <row r="45" s="33" customFormat="1" ht="66" customHeight="1" spans="1:7">
      <c r="A45" s="273" t="s">
        <v>372</v>
      </c>
      <c r="B45" s="274"/>
      <c r="C45" s="274"/>
      <c r="D45" s="274"/>
      <c r="E45" s="274"/>
      <c r="F45" s="274"/>
      <c r="G45" s="274"/>
    </row>
    <row r="46" s="33" customFormat="1" ht="66" customHeight="1" spans="1:7">
      <c r="A46" s="273" t="s">
        <v>373</v>
      </c>
      <c r="B46" s="274"/>
      <c r="C46" s="274"/>
      <c r="D46" s="274"/>
      <c r="E46" s="274"/>
      <c r="F46" s="274"/>
      <c r="G46" s="274"/>
    </row>
    <row r="47" s="33" customFormat="1" ht="66" customHeight="1" spans="1:7">
      <c r="A47" s="273" t="s">
        <v>374</v>
      </c>
      <c r="B47" s="274"/>
      <c r="C47" s="274"/>
      <c r="D47" s="274"/>
      <c r="E47" s="274"/>
      <c r="F47" s="274"/>
      <c r="G47" s="274"/>
    </row>
    <row r="48" s="33" customFormat="1" ht="66" customHeight="1" spans="1:7">
      <c r="A48" s="273" t="s">
        <v>375</v>
      </c>
      <c r="B48" s="274"/>
      <c r="C48" s="274"/>
      <c r="D48" s="274"/>
      <c r="E48" s="274"/>
      <c r="F48" s="274"/>
      <c r="G48" s="274"/>
    </row>
    <row r="49" s="33" customFormat="1" ht="66" customHeight="1" spans="1:7">
      <c r="A49" s="275" t="s">
        <v>376</v>
      </c>
      <c r="B49" s="274"/>
      <c r="C49" s="274"/>
      <c r="D49" s="274"/>
      <c r="E49" s="274"/>
      <c r="F49" s="274"/>
      <c r="G49" s="274"/>
    </row>
    <row r="50" s="33" customFormat="1" ht="66" customHeight="1" spans="1:7">
      <c r="A50" s="276" t="s">
        <v>377</v>
      </c>
      <c r="B50" s="277"/>
      <c r="C50" s="277"/>
      <c r="D50" s="277"/>
      <c r="E50" s="277"/>
      <c r="F50" s="277"/>
      <c r="G50" s="277"/>
    </row>
    <row r="51" s="33" customFormat="1" ht="66" customHeight="1" spans="1:7">
      <c r="A51" s="273" t="s">
        <v>378</v>
      </c>
      <c r="B51" s="274"/>
      <c r="C51" s="274"/>
      <c r="D51" s="274"/>
      <c r="E51" s="274"/>
      <c r="F51" s="274"/>
      <c r="G51" s="274"/>
    </row>
    <row r="52" s="33" customFormat="1" ht="66" customHeight="1" spans="1:7">
      <c r="A52" s="273" t="s">
        <v>379</v>
      </c>
      <c r="B52" s="274"/>
      <c r="C52" s="274"/>
      <c r="D52" s="274"/>
      <c r="E52" s="274"/>
      <c r="F52" s="274"/>
      <c r="G52" s="274"/>
    </row>
    <row r="53" s="33" customFormat="1" ht="66" customHeight="1" spans="1:7">
      <c r="A53" s="273" t="s">
        <v>380</v>
      </c>
      <c r="B53" s="274"/>
      <c r="C53" s="274"/>
      <c r="D53" s="274"/>
      <c r="E53" s="274"/>
      <c r="F53" s="274"/>
      <c r="G53" s="274"/>
    </row>
    <row r="54" s="33" customFormat="1" ht="66" customHeight="1" spans="1:7">
      <c r="A54" s="273" t="s">
        <v>381</v>
      </c>
      <c r="B54" s="274"/>
      <c r="C54" s="274"/>
      <c r="D54" s="274"/>
      <c r="E54" s="274"/>
      <c r="F54" s="274"/>
      <c r="G54" s="274"/>
    </row>
    <row r="55" s="33" customFormat="1" ht="66" customHeight="1" spans="1:7">
      <c r="A55" s="273" t="s">
        <v>382</v>
      </c>
      <c r="B55" s="274"/>
      <c r="C55" s="274"/>
      <c r="D55" s="274"/>
      <c r="E55" s="274"/>
      <c r="F55" s="274"/>
      <c r="G55" s="274"/>
    </row>
    <row r="56" s="33" customFormat="1" ht="66" customHeight="1" spans="1:7">
      <c r="A56" s="273" t="s">
        <v>383</v>
      </c>
      <c r="B56" s="274"/>
      <c r="C56" s="274"/>
      <c r="D56" s="274"/>
      <c r="E56" s="274"/>
      <c r="F56" s="274"/>
      <c r="G56" s="274"/>
    </row>
    <row r="57" s="33" customFormat="1" ht="57" customHeight="1" spans="1:7">
      <c r="A57" s="61" t="s">
        <v>384</v>
      </c>
      <c r="B57" s="62"/>
      <c r="C57" s="62"/>
      <c r="D57" s="62"/>
      <c r="E57" s="62"/>
      <c r="F57" s="62"/>
      <c r="G57" s="62"/>
    </row>
  </sheetData>
  <sheetProtection formatCells="0" insertHyperlinks="0" autoFilter="0"/>
  <mergeCells count="46">
    <mergeCell ref="A1:G1"/>
    <mergeCell ref="A2:G2"/>
    <mergeCell ref="C3:D3"/>
    <mergeCell ref="E3:F3"/>
    <mergeCell ref="A24:G24"/>
    <mergeCell ref="A25:G25"/>
    <mergeCell ref="A26:G26"/>
    <mergeCell ref="A27:G27"/>
    <mergeCell ref="A28:G28"/>
    <mergeCell ref="A29:G29"/>
    <mergeCell ref="A30:G30"/>
    <mergeCell ref="A31:G31"/>
    <mergeCell ref="A32:G32"/>
    <mergeCell ref="A33:G33"/>
    <mergeCell ref="A34:G34"/>
    <mergeCell ref="A35:G35"/>
    <mergeCell ref="A36:G36"/>
    <mergeCell ref="A37:G37"/>
    <mergeCell ref="A38:G38"/>
    <mergeCell ref="A39:G39"/>
    <mergeCell ref="A40:G40"/>
    <mergeCell ref="A41:G41"/>
    <mergeCell ref="A42:G42"/>
    <mergeCell ref="A43:G43"/>
    <mergeCell ref="A44:G44"/>
    <mergeCell ref="A45:G45"/>
    <mergeCell ref="A46:G46"/>
    <mergeCell ref="A47:G47"/>
    <mergeCell ref="A48:G48"/>
    <mergeCell ref="A49:G49"/>
    <mergeCell ref="A50:G50"/>
    <mergeCell ref="A51:G51"/>
    <mergeCell ref="A52:G52"/>
    <mergeCell ref="A53:G53"/>
    <mergeCell ref="A54:G54"/>
    <mergeCell ref="A55:G55"/>
    <mergeCell ref="A56:G56"/>
    <mergeCell ref="A57:G57"/>
    <mergeCell ref="A3:A5"/>
    <mergeCell ref="A6:A23"/>
    <mergeCell ref="B3:B5"/>
    <mergeCell ref="C4:C5"/>
    <mergeCell ref="D4:D5"/>
    <mergeCell ref="E4:E5"/>
    <mergeCell ref="F4:F5"/>
    <mergeCell ref="G3:G5"/>
  </mergeCells>
  <hyperlinks>
    <hyperlink ref="H1" location="目录!A1" display="返回目录"/>
  </hyperlinks>
  <pageMargins left="0.75" right="0.75" top="1" bottom="1" header="0.5" footer="0.5"/>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70C0"/>
  </sheetPr>
  <dimension ref="A1:Y129"/>
  <sheetViews>
    <sheetView zoomScale="40" zoomScaleNormal="40" workbookViewId="0">
      <selection activeCell="E5" sqref="E5:E8"/>
    </sheetView>
  </sheetViews>
  <sheetFormatPr defaultColWidth="9" defaultRowHeight="243" customHeight="1"/>
  <cols>
    <col min="1" max="1" width="172.183333333333" style="33" customWidth="1"/>
    <col min="2" max="3" width="118.125" style="33" customWidth="1"/>
    <col min="4" max="4" width="98" style="33" customWidth="1"/>
    <col min="5" max="5" width="34.0666666666667" style="33" customWidth="1"/>
    <col min="6" max="6" width="12.625" style="33"/>
    <col min="7" max="16384" width="9" style="33"/>
  </cols>
  <sheetData>
    <row r="1" s="188" customFormat="1" customHeight="1" spans="1:10">
      <c r="A1" s="205" t="s">
        <v>24</v>
      </c>
      <c r="B1" s="191"/>
      <c r="C1" s="191"/>
      <c r="D1" s="191"/>
      <c r="E1" s="167" t="s">
        <v>190</v>
      </c>
      <c r="J1" s="188">
        <v>1</v>
      </c>
    </row>
    <row r="2" s="33" customFormat="1" ht="127" customHeight="1" spans="1:25">
      <c r="A2" s="193" t="s">
        <v>326</v>
      </c>
      <c r="B2" s="194" t="s">
        <v>327</v>
      </c>
      <c r="C2" s="196" t="s">
        <v>328</v>
      </c>
      <c r="D2" s="201" t="s">
        <v>329</v>
      </c>
      <c r="F2" s="193" t="s">
        <v>88</v>
      </c>
      <c r="G2" s="193"/>
      <c r="H2" s="193"/>
      <c r="I2" s="193"/>
      <c r="J2" s="193"/>
      <c r="K2" s="193"/>
      <c r="L2" s="193"/>
      <c r="M2" s="193"/>
      <c r="N2" s="193"/>
      <c r="O2" s="193"/>
      <c r="P2" s="193"/>
      <c r="Q2" s="193"/>
      <c r="R2" s="193"/>
      <c r="S2" s="193"/>
      <c r="T2" s="193"/>
      <c r="U2" s="193"/>
      <c r="V2" s="193"/>
      <c r="W2" s="193"/>
      <c r="X2" s="193"/>
      <c r="Y2" s="193"/>
    </row>
    <row r="3" s="33" customFormat="1" ht="78" customHeight="1" spans="1:25">
      <c r="A3" s="193"/>
      <c r="B3" s="193" t="s">
        <v>385</v>
      </c>
      <c r="C3" s="193" t="s">
        <v>385</v>
      </c>
      <c r="D3" s="201"/>
      <c r="F3" s="193"/>
      <c r="G3" s="193"/>
      <c r="H3" s="193"/>
      <c r="I3" s="193"/>
      <c r="J3" s="193"/>
      <c r="K3" s="193"/>
      <c r="L3" s="193"/>
      <c r="M3" s="193"/>
      <c r="N3" s="193"/>
      <c r="O3" s="193"/>
      <c r="P3" s="193"/>
      <c r="Q3" s="193"/>
      <c r="R3" s="193"/>
      <c r="S3" s="193"/>
      <c r="T3" s="193"/>
      <c r="U3" s="193"/>
      <c r="V3" s="193"/>
      <c r="W3" s="193"/>
      <c r="X3" s="193"/>
      <c r="Y3" s="193"/>
    </row>
    <row r="4" s="33" customFormat="1" ht="33" customHeight="1" spans="1:25">
      <c r="A4" s="193"/>
      <c r="B4" s="193"/>
      <c r="C4" s="193"/>
      <c r="D4" s="201"/>
      <c r="F4" s="202" t="s">
        <v>386</v>
      </c>
      <c r="G4" s="202"/>
      <c r="H4" s="202"/>
      <c r="I4" s="202"/>
      <c r="J4" s="202"/>
      <c r="K4" s="202"/>
      <c r="L4" s="202"/>
      <c r="M4" s="202"/>
      <c r="N4" s="202"/>
      <c r="O4" s="202"/>
      <c r="P4" s="202"/>
      <c r="Q4" s="202"/>
      <c r="R4" s="202"/>
      <c r="S4" s="202"/>
      <c r="T4" s="202"/>
      <c r="U4" s="202"/>
      <c r="V4" s="202"/>
      <c r="W4" s="202"/>
      <c r="X4" s="202"/>
      <c r="Y4" s="202"/>
    </row>
    <row r="5" s="33" customFormat="1" ht="78" customHeight="1" spans="1:25">
      <c r="A5" s="197" t="s">
        <v>387</v>
      </c>
      <c r="B5" s="249">
        <v>5.8</v>
      </c>
      <c r="C5" s="249">
        <f>(B5+0.2)-0.2</f>
        <v>5.8</v>
      </c>
      <c r="D5" s="203" t="s">
        <v>334</v>
      </c>
      <c r="F5" s="202"/>
      <c r="G5" s="202"/>
      <c r="H5" s="202"/>
      <c r="I5" s="202"/>
      <c r="J5" s="202"/>
      <c r="K5" s="202"/>
      <c r="L5" s="202"/>
      <c r="M5" s="202"/>
      <c r="N5" s="202"/>
      <c r="O5" s="202"/>
      <c r="P5" s="202"/>
      <c r="Q5" s="202"/>
      <c r="R5" s="202"/>
      <c r="S5" s="202"/>
      <c r="T5" s="202"/>
      <c r="U5" s="202"/>
      <c r="V5" s="202"/>
      <c r="W5" s="202"/>
      <c r="X5" s="202"/>
      <c r="Y5" s="202"/>
    </row>
    <row r="6" s="33" customFormat="1" ht="78" customHeight="1" spans="1:25">
      <c r="A6" s="197" t="s">
        <v>333</v>
      </c>
      <c r="B6" s="249">
        <v>6.3</v>
      </c>
      <c r="C6" s="249">
        <f t="shared" ref="C6:C69" si="0">((B6+0.2)+1)-0.2</f>
        <v>7.3</v>
      </c>
      <c r="D6" s="203" t="s">
        <v>339</v>
      </c>
      <c r="E6" s="33"/>
      <c r="F6" s="202"/>
      <c r="G6" s="202"/>
      <c r="H6" s="202"/>
      <c r="I6" s="202"/>
      <c r="J6" s="202"/>
      <c r="K6" s="202"/>
      <c r="L6" s="202"/>
      <c r="M6" s="202"/>
      <c r="N6" s="202"/>
      <c r="O6" s="202"/>
      <c r="P6" s="202"/>
      <c r="Q6" s="202"/>
      <c r="R6" s="202"/>
      <c r="S6" s="202"/>
      <c r="T6" s="202"/>
      <c r="U6" s="202"/>
      <c r="V6" s="202"/>
      <c r="W6" s="202"/>
      <c r="X6" s="202"/>
      <c r="Y6" s="202"/>
    </row>
    <row r="7" s="33" customFormat="1" ht="78" customHeight="1" spans="1:25">
      <c r="A7" s="197" t="s">
        <v>336</v>
      </c>
      <c r="B7" s="249">
        <v>6.3</v>
      </c>
      <c r="C7" s="249">
        <f t="shared" si="0"/>
        <v>7.3</v>
      </c>
      <c r="D7" s="203" t="s">
        <v>339</v>
      </c>
      <c r="F7" s="202"/>
      <c r="G7" s="202"/>
      <c r="H7" s="202"/>
      <c r="I7" s="202"/>
      <c r="J7" s="202"/>
      <c r="K7" s="202"/>
      <c r="L7" s="202"/>
      <c r="M7" s="202"/>
      <c r="N7" s="202"/>
      <c r="O7" s="202"/>
      <c r="P7" s="202"/>
      <c r="Q7" s="202"/>
      <c r="R7" s="202"/>
      <c r="S7" s="202"/>
      <c r="T7" s="202"/>
      <c r="U7" s="202"/>
      <c r="V7" s="202"/>
      <c r="W7" s="202"/>
      <c r="X7" s="202"/>
      <c r="Y7" s="202"/>
    </row>
    <row r="8" s="33" customFormat="1" ht="78" customHeight="1" spans="1:25">
      <c r="A8" s="200" t="s">
        <v>337</v>
      </c>
      <c r="B8" s="249">
        <v>6.3</v>
      </c>
      <c r="C8" s="249">
        <f t="shared" si="0"/>
        <v>7.3</v>
      </c>
      <c r="D8" s="203" t="s">
        <v>339</v>
      </c>
      <c r="F8" s="204" t="s">
        <v>388</v>
      </c>
      <c r="G8" s="204"/>
      <c r="H8" s="204"/>
      <c r="I8" s="204"/>
      <c r="J8" s="204"/>
      <c r="K8" s="204"/>
      <c r="L8" s="204"/>
      <c r="M8" s="204"/>
      <c r="N8" s="204"/>
      <c r="O8" s="204"/>
      <c r="P8" s="204"/>
      <c r="Q8" s="204"/>
      <c r="R8" s="204"/>
      <c r="S8" s="204"/>
      <c r="T8" s="204"/>
      <c r="U8" s="204"/>
      <c r="V8" s="204"/>
      <c r="W8" s="204"/>
      <c r="X8" s="204"/>
      <c r="Y8" s="204"/>
    </row>
    <row r="9" s="33" customFormat="1" ht="78" customHeight="1" spans="1:25">
      <c r="A9" s="200" t="s">
        <v>335</v>
      </c>
      <c r="B9" s="249">
        <v>6.3</v>
      </c>
      <c r="C9" s="249">
        <f t="shared" si="0"/>
        <v>7.3</v>
      </c>
      <c r="D9" s="203" t="s">
        <v>339</v>
      </c>
      <c r="F9" s="204"/>
      <c r="G9" s="204"/>
      <c r="H9" s="204"/>
      <c r="I9" s="204"/>
      <c r="J9" s="204"/>
      <c r="K9" s="204"/>
      <c r="L9" s="204"/>
      <c r="M9" s="204"/>
      <c r="N9" s="204"/>
      <c r="O9" s="204"/>
      <c r="P9" s="204"/>
      <c r="Q9" s="204"/>
      <c r="R9" s="204"/>
      <c r="S9" s="204"/>
      <c r="T9" s="204"/>
      <c r="U9" s="204"/>
      <c r="V9" s="204"/>
      <c r="W9" s="204"/>
      <c r="X9" s="204"/>
      <c r="Y9" s="204"/>
    </row>
    <row r="10" s="33" customFormat="1" ht="78" customHeight="1" spans="1:25">
      <c r="A10" s="200" t="s">
        <v>338</v>
      </c>
      <c r="B10" s="249">
        <v>6.3</v>
      </c>
      <c r="C10" s="249">
        <f t="shared" si="0"/>
        <v>7.3</v>
      </c>
      <c r="D10" s="203" t="s">
        <v>339</v>
      </c>
      <c r="F10" s="204"/>
      <c r="G10" s="204"/>
      <c r="H10" s="204"/>
      <c r="I10" s="204"/>
      <c r="J10" s="204"/>
      <c r="K10" s="204"/>
      <c r="L10" s="204"/>
      <c r="M10" s="204"/>
      <c r="N10" s="204"/>
      <c r="O10" s="204"/>
      <c r="P10" s="204"/>
      <c r="Q10" s="204"/>
      <c r="R10" s="204"/>
      <c r="S10" s="204"/>
      <c r="T10" s="204"/>
      <c r="U10" s="204"/>
      <c r="V10" s="204"/>
      <c r="W10" s="204"/>
      <c r="X10" s="204"/>
      <c r="Y10" s="204"/>
    </row>
    <row r="11" s="33" customFormat="1" ht="78" customHeight="1" spans="1:25">
      <c r="A11" s="200" t="s">
        <v>343</v>
      </c>
      <c r="B11" s="249">
        <v>7.1</v>
      </c>
      <c r="C11" s="249">
        <f t="shared" si="0"/>
        <v>8.1</v>
      </c>
      <c r="D11" s="203" t="s">
        <v>339</v>
      </c>
      <c r="F11" s="204"/>
      <c r="G11" s="204"/>
      <c r="H11" s="204"/>
      <c r="I11" s="204"/>
      <c r="J11" s="204"/>
      <c r="K11" s="204"/>
      <c r="L11" s="204"/>
      <c r="M11" s="204"/>
      <c r="N11" s="204"/>
      <c r="O11" s="204"/>
      <c r="P11" s="204"/>
      <c r="Q11" s="204"/>
      <c r="R11" s="204"/>
      <c r="S11" s="204"/>
      <c r="T11" s="204"/>
      <c r="U11" s="204"/>
      <c r="V11" s="204"/>
      <c r="W11" s="204"/>
      <c r="X11" s="204"/>
      <c r="Y11" s="204"/>
    </row>
    <row r="12" s="33" customFormat="1" ht="78" customHeight="1" spans="1:25">
      <c r="A12" s="200" t="s">
        <v>344</v>
      </c>
      <c r="B12" s="249">
        <v>7.1</v>
      </c>
      <c r="C12" s="249">
        <f t="shared" si="0"/>
        <v>8.1</v>
      </c>
      <c r="D12" s="203" t="s">
        <v>339</v>
      </c>
      <c r="F12" s="204"/>
      <c r="G12" s="204"/>
      <c r="H12" s="204"/>
      <c r="I12" s="204"/>
      <c r="J12" s="204"/>
      <c r="K12" s="204"/>
      <c r="L12" s="204"/>
      <c r="M12" s="204"/>
      <c r="N12" s="204"/>
      <c r="O12" s="204"/>
      <c r="P12" s="204"/>
      <c r="Q12" s="204"/>
      <c r="R12" s="204"/>
      <c r="S12" s="204"/>
      <c r="T12" s="204"/>
      <c r="U12" s="204"/>
      <c r="V12" s="204"/>
      <c r="W12" s="204"/>
      <c r="X12" s="204"/>
      <c r="Y12" s="204"/>
    </row>
    <row r="13" s="33" customFormat="1" ht="78" customHeight="1" spans="1:25">
      <c r="A13" s="200" t="s">
        <v>389</v>
      </c>
      <c r="B13" s="249">
        <v>7.1</v>
      </c>
      <c r="C13" s="249">
        <f t="shared" si="0"/>
        <v>8.1</v>
      </c>
      <c r="D13" s="203" t="s">
        <v>339</v>
      </c>
      <c r="F13" s="204"/>
      <c r="G13" s="204"/>
      <c r="H13" s="204"/>
      <c r="I13" s="204"/>
      <c r="J13" s="204"/>
      <c r="K13" s="204"/>
      <c r="L13" s="204"/>
      <c r="M13" s="204"/>
      <c r="N13" s="204"/>
      <c r="O13" s="204"/>
      <c r="P13" s="204"/>
      <c r="Q13" s="204"/>
      <c r="R13" s="204"/>
      <c r="S13" s="204"/>
      <c r="T13" s="204"/>
      <c r="U13" s="204"/>
      <c r="V13" s="204"/>
      <c r="W13" s="204"/>
      <c r="X13" s="204"/>
      <c r="Y13" s="204"/>
    </row>
    <row r="14" s="33" customFormat="1" ht="125" customHeight="1" spans="1:25">
      <c r="A14" s="200" t="s">
        <v>347</v>
      </c>
      <c r="B14" s="249">
        <v>7.1</v>
      </c>
      <c r="C14" s="249">
        <f t="shared" si="0"/>
        <v>8.1</v>
      </c>
      <c r="D14" s="203" t="s">
        <v>339</v>
      </c>
      <c r="F14" s="204" t="s">
        <v>290</v>
      </c>
      <c r="G14" s="204"/>
      <c r="H14" s="204"/>
      <c r="I14" s="204"/>
      <c r="J14" s="204"/>
      <c r="K14" s="204"/>
      <c r="L14" s="204"/>
      <c r="M14" s="204"/>
      <c r="N14" s="204"/>
      <c r="O14" s="204"/>
      <c r="P14" s="204"/>
      <c r="Q14" s="204"/>
      <c r="R14" s="204"/>
      <c r="S14" s="204"/>
      <c r="T14" s="204"/>
      <c r="U14" s="204"/>
      <c r="V14" s="204"/>
      <c r="W14" s="204"/>
      <c r="X14" s="204"/>
      <c r="Y14" s="204"/>
    </row>
    <row r="15" s="33" customFormat="1" ht="78" customHeight="1" spans="1:25">
      <c r="A15" s="200" t="s">
        <v>340</v>
      </c>
      <c r="B15" s="249">
        <v>7.1</v>
      </c>
      <c r="C15" s="249">
        <f t="shared" si="0"/>
        <v>8.1</v>
      </c>
      <c r="D15" s="203" t="s">
        <v>339</v>
      </c>
      <c r="F15" s="204" t="s">
        <v>291</v>
      </c>
      <c r="G15" s="204"/>
      <c r="H15" s="204"/>
      <c r="I15" s="204"/>
      <c r="J15" s="204"/>
      <c r="K15" s="204"/>
      <c r="L15" s="204"/>
      <c r="M15" s="204"/>
      <c r="N15" s="204"/>
      <c r="O15" s="204"/>
      <c r="P15" s="204"/>
      <c r="Q15" s="204"/>
      <c r="R15" s="204"/>
      <c r="S15" s="204"/>
      <c r="T15" s="204"/>
      <c r="U15" s="204"/>
      <c r="V15" s="204"/>
      <c r="W15" s="204"/>
      <c r="X15" s="204"/>
      <c r="Y15" s="204"/>
    </row>
    <row r="16" s="33" customFormat="1" ht="78" customHeight="1" spans="1:25">
      <c r="A16" s="200" t="s">
        <v>348</v>
      </c>
      <c r="B16" s="249">
        <v>7.1</v>
      </c>
      <c r="C16" s="249">
        <f t="shared" si="0"/>
        <v>8.1</v>
      </c>
      <c r="D16" s="203" t="s">
        <v>339</v>
      </c>
      <c r="F16" s="204"/>
      <c r="G16" s="204"/>
      <c r="H16" s="204"/>
      <c r="I16" s="204"/>
      <c r="J16" s="204"/>
      <c r="K16" s="204"/>
      <c r="L16" s="204"/>
      <c r="M16" s="204"/>
      <c r="N16" s="204"/>
      <c r="O16" s="204"/>
      <c r="P16" s="204"/>
      <c r="Q16" s="204"/>
      <c r="R16" s="204"/>
      <c r="S16" s="204"/>
      <c r="T16" s="204"/>
      <c r="U16" s="204"/>
      <c r="V16" s="204"/>
      <c r="W16" s="204"/>
      <c r="X16" s="204"/>
      <c r="Y16" s="204"/>
    </row>
    <row r="17" s="33" customFormat="1" ht="78" customHeight="1" spans="1:4">
      <c r="A17" s="200" t="s">
        <v>349</v>
      </c>
      <c r="B17" s="249">
        <v>7.1</v>
      </c>
      <c r="C17" s="249">
        <f t="shared" si="0"/>
        <v>8.1</v>
      </c>
      <c r="D17" s="203" t="s">
        <v>339</v>
      </c>
    </row>
    <row r="18" s="33" customFormat="1" ht="78" customHeight="1" spans="1:4">
      <c r="A18" s="200" t="s">
        <v>350</v>
      </c>
      <c r="B18" s="249">
        <v>7.1</v>
      </c>
      <c r="C18" s="249">
        <f t="shared" si="0"/>
        <v>8.1</v>
      </c>
      <c r="D18" s="203" t="s">
        <v>339</v>
      </c>
    </row>
    <row r="19" s="33" customFormat="1" ht="78" customHeight="1" spans="1:4">
      <c r="A19" s="200" t="s">
        <v>346</v>
      </c>
      <c r="B19" s="249">
        <v>7.1</v>
      </c>
      <c r="C19" s="249">
        <f t="shared" si="0"/>
        <v>8.1</v>
      </c>
      <c r="D19" s="203" t="s">
        <v>339</v>
      </c>
    </row>
    <row r="20" s="33" customFormat="1" ht="78" customHeight="1" spans="1:4">
      <c r="A20" s="200" t="s">
        <v>345</v>
      </c>
      <c r="B20" s="249">
        <v>7.1</v>
      </c>
      <c r="C20" s="249">
        <f t="shared" si="0"/>
        <v>8.1</v>
      </c>
      <c r="D20" s="203" t="s">
        <v>339</v>
      </c>
    </row>
    <row r="21" s="33" customFormat="1" ht="78" customHeight="1" spans="1:4">
      <c r="A21" s="200" t="s">
        <v>341</v>
      </c>
      <c r="B21" s="249">
        <v>7.1</v>
      </c>
      <c r="C21" s="249">
        <f t="shared" si="0"/>
        <v>8.1</v>
      </c>
      <c r="D21" s="203" t="s">
        <v>339</v>
      </c>
    </row>
    <row r="22" s="33" customFormat="1" ht="78" customHeight="1" spans="1:4">
      <c r="A22" s="197" t="s">
        <v>342</v>
      </c>
      <c r="B22" s="249">
        <v>7.1</v>
      </c>
      <c r="C22" s="249">
        <f t="shared" si="0"/>
        <v>8.1</v>
      </c>
      <c r="D22" s="203" t="s">
        <v>339</v>
      </c>
    </row>
    <row r="23" s="33" customFormat="1" ht="78" customHeight="1" spans="1:4">
      <c r="A23" s="200" t="s">
        <v>351</v>
      </c>
      <c r="B23" s="249">
        <v>7.9</v>
      </c>
      <c r="C23" s="249">
        <f t="shared" si="0"/>
        <v>8.9</v>
      </c>
      <c r="D23" s="203" t="s">
        <v>339</v>
      </c>
    </row>
    <row r="24" s="33" customFormat="1" ht="78" customHeight="1" spans="1:4">
      <c r="A24" s="200" t="s">
        <v>390</v>
      </c>
      <c r="B24" s="249">
        <v>8.6</v>
      </c>
      <c r="C24" s="249">
        <f t="shared" si="0"/>
        <v>9.6</v>
      </c>
      <c r="D24" s="203" t="s">
        <v>339</v>
      </c>
    </row>
    <row r="25" s="33" customFormat="1" ht="78" customHeight="1" spans="1:4">
      <c r="A25" s="200" t="s">
        <v>352</v>
      </c>
      <c r="B25" s="249">
        <v>8.6</v>
      </c>
      <c r="C25" s="249">
        <f t="shared" si="0"/>
        <v>9.6</v>
      </c>
      <c r="D25" s="203" t="s">
        <v>339</v>
      </c>
    </row>
    <row r="26" s="33" customFormat="1" ht="78" customHeight="1" spans="1:4">
      <c r="A26" s="200" t="s">
        <v>391</v>
      </c>
      <c r="B26" s="249">
        <v>8.9</v>
      </c>
      <c r="C26" s="249">
        <f t="shared" si="0"/>
        <v>9.9</v>
      </c>
      <c r="D26" s="203" t="s">
        <v>339</v>
      </c>
    </row>
    <row r="27" s="33" customFormat="1" ht="78" customHeight="1" spans="1:4">
      <c r="A27" s="200" t="s">
        <v>392</v>
      </c>
      <c r="B27" s="249">
        <v>8.9</v>
      </c>
      <c r="C27" s="249">
        <f t="shared" si="0"/>
        <v>9.9</v>
      </c>
      <c r="D27" s="203" t="s">
        <v>339</v>
      </c>
    </row>
    <row r="28" s="33" customFormat="1" ht="78" customHeight="1" spans="1:4">
      <c r="A28" s="200" t="s">
        <v>393</v>
      </c>
      <c r="B28" s="249">
        <v>8.9</v>
      </c>
      <c r="C28" s="249">
        <f t="shared" si="0"/>
        <v>9.9</v>
      </c>
      <c r="D28" s="203" t="s">
        <v>339</v>
      </c>
    </row>
    <row r="29" s="33" customFormat="1" ht="78" customHeight="1" spans="1:4">
      <c r="A29" s="200" t="s">
        <v>394</v>
      </c>
      <c r="B29" s="249">
        <v>8.9</v>
      </c>
      <c r="C29" s="249">
        <f t="shared" si="0"/>
        <v>9.9</v>
      </c>
      <c r="D29" s="203" t="s">
        <v>339</v>
      </c>
    </row>
    <row r="30" s="33" customFormat="1" ht="78" customHeight="1" spans="1:4">
      <c r="A30" s="200" t="s">
        <v>395</v>
      </c>
      <c r="B30" s="249">
        <v>6.3</v>
      </c>
      <c r="C30" s="249">
        <f t="shared" si="0"/>
        <v>7.3</v>
      </c>
      <c r="D30" s="203" t="s">
        <v>339</v>
      </c>
    </row>
    <row r="31" s="33" customFormat="1" ht="78" customHeight="1" spans="1:4">
      <c r="A31" s="200" t="s">
        <v>396</v>
      </c>
      <c r="B31" s="249">
        <v>6.3</v>
      </c>
      <c r="C31" s="249">
        <f t="shared" si="0"/>
        <v>7.3</v>
      </c>
      <c r="D31" s="203" t="s">
        <v>339</v>
      </c>
    </row>
    <row r="32" s="33" customFormat="1" ht="78" customHeight="1" spans="1:4">
      <c r="A32" s="200" t="s">
        <v>397</v>
      </c>
      <c r="B32" s="249">
        <v>6.3</v>
      </c>
      <c r="C32" s="249">
        <f t="shared" si="0"/>
        <v>7.3</v>
      </c>
      <c r="D32" s="203" t="s">
        <v>339</v>
      </c>
    </row>
    <row r="33" s="33" customFormat="1" ht="78" customHeight="1" spans="1:4">
      <c r="A33" s="200" t="s">
        <v>398</v>
      </c>
      <c r="B33" s="249">
        <v>7.3</v>
      </c>
      <c r="C33" s="249">
        <f t="shared" si="0"/>
        <v>8.3</v>
      </c>
      <c r="D33" s="203" t="s">
        <v>339</v>
      </c>
    </row>
    <row r="34" s="33" customFormat="1" ht="78" customHeight="1" spans="1:4">
      <c r="A34" s="200" t="s">
        <v>399</v>
      </c>
      <c r="B34" s="249">
        <v>7.3</v>
      </c>
      <c r="C34" s="249">
        <f t="shared" si="0"/>
        <v>8.3</v>
      </c>
      <c r="D34" s="203" t="s">
        <v>339</v>
      </c>
    </row>
    <row r="35" s="33" customFormat="1" ht="78" customHeight="1" spans="1:4">
      <c r="A35" s="200" t="s">
        <v>400</v>
      </c>
      <c r="B35" s="249">
        <v>7.3</v>
      </c>
      <c r="C35" s="249">
        <f t="shared" si="0"/>
        <v>8.3</v>
      </c>
      <c r="D35" s="203" t="s">
        <v>339</v>
      </c>
    </row>
    <row r="36" s="33" customFormat="1" ht="78" customHeight="1" spans="1:4">
      <c r="A36" s="200" t="s">
        <v>401</v>
      </c>
      <c r="B36" s="249">
        <v>7.3</v>
      </c>
      <c r="C36" s="249">
        <f t="shared" si="0"/>
        <v>8.3</v>
      </c>
      <c r="D36" s="203" t="s">
        <v>339</v>
      </c>
    </row>
    <row r="37" s="33" customFormat="1" ht="78" customHeight="1" spans="1:4">
      <c r="A37" s="200" t="s">
        <v>402</v>
      </c>
      <c r="B37" s="249">
        <v>6.7</v>
      </c>
      <c r="C37" s="249">
        <f t="shared" si="0"/>
        <v>7.7</v>
      </c>
      <c r="D37" s="203" t="s">
        <v>339</v>
      </c>
    </row>
    <row r="38" s="33" customFormat="1" ht="78" customHeight="1" spans="1:4">
      <c r="A38" s="200" t="s">
        <v>403</v>
      </c>
      <c r="B38" s="249">
        <v>6.7</v>
      </c>
      <c r="C38" s="249">
        <f t="shared" si="0"/>
        <v>7.7</v>
      </c>
      <c r="D38" s="203" t="s">
        <v>339</v>
      </c>
    </row>
    <row r="39" s="33" customFormat="1" ht="78" customHeight="1" spans="1:4">
      <c r="A39" s="200" t="s">
        <v>404</v>
      </c>
      <c r="B39" s="249">
        <v>6.7</v>
      </c>
      <c r="C39" s="249">
        <f t="shared" si="0"/>
        <v>7.7</v>
      </c>
      <c r="D39" s="203" t="s">
        <v>339</v>
      </c>
    </row>
    <row r="40" s="33" customFormat="1" ht="78" customHeight="1" spans="1:4">
      <c r="A40" s="197" t="s">
        <v>405</v>
      </c>
      <c r="B40" s="249">
        <v>6.7</v>
      </c>
      <c r="C40" s="249">
        <f t="shared" si="0"/>
        <v>7.7</v>
      </c>
      <c r="D40" s="203" t="s">
        <v>339</v>
      </c>
    </row>
    <row r="41" s="33" customFormat="1" ht="78" customHeight="1" spans="1:4">
      <c r="A41" s="200" t="s">
        <v>406</v>
      </c>
      <c r="B41" s="249">
        <v>7.5</v>
      </c>
      <c r="C41" s="249">
        <f t="shared" si="0"/>
        <v>8.5</v>
      </c>
      <c r="D41" s="203" t="s">
        <v>339</v>
      </c>
    </row>
    <row r="42" s="33" customFormat="1" ht="78" customHeight="1" spans="1:4">
      <c r="A42" s="200" t="s">
        <v>407</v>
      </c>
      <c r="B42" s="249">
        <v>7.7</v>
      </c>
      <c r="C42" s="249">
        <f t="shared" si="0"/>
        <v>8.7</v>
      </c>
      <c r="D42" s="203" t="s">
        <v>339</v>
      </c>
    </row>
    <row r="43" s="33" customFormat="1" ht="78" customHeight="1" spans="1:4">
      <c r="A43" s="200" t="s">
        <v>408</v>
      </c>
      <c r="B43" s="249">
        <v>7.1</v>
      </c>
      <c r="C43" s="249">
        <f t="shared" si="0"/>
        <v>8.1</v>
      </c>
      <c r="D43" s="203" t="s">
        <v>339</v>
      </c>
    </row>
    <row r="44" s="33" customFormat="1" ht="78" customHeight="1" spans="1:4">
      <c r="A44" s="200" t="s">
        <v>409</v>
      </c>
      <c r="B44" s="249">
        <v>7.1</v>
      </c>
      <c r="C44" s="249">
        <f t="shared" si="0"/>
        <v>8.1</v>
      </c>
      <c r="D44" s="203" t="s">
        <v>339</v>
      </c>
    </row>
    <row r="45" s="33" customFormat="1" ht="78" customHeight="1" spans="1:4">
      <c r="A45" s="200" t="s">
        <v>410</v>
      </c>
      <c r="B45" s="249">
        <v>7.1</v>
      </c>
      <c r="C45" s="249">
        <f t="shared" si="0"/>
        <v>8.1</v>
      </c>
      <c r="D45" s="203" t="s">
        <v>339</v>
      </c>
    </row>
    <row r="46" s="33" customFormat="1" ht="78" customHeight="1" spans="1:4">
      <c r="A46" s="200" t="s">
        <v>411</v>
      </c>
      <c r="B46" s="249">
        <v>7.1</v>
      </c>
      <c r="C46" s="249">
        <f t="shared" si="0"/>
        <v>8.1</v>
      </c>
      <c r="D46" s="203" t="s">
        <v>339</v>
      </c>
    </row>
    <row r="47" s="33" customFormat="1" ht="78" customHeight="1" spans="1:4">
      <c r="A47" s="200" t="s">
        <v>412</v>
      </c>
      <c r="B47" s="249">
        <v>7.2</v>
      </c>
      <c r="C47" s="249">
        <f t="shared" si="0"/>
        <v>8.2</v>
      </c>
      <c r="D47" s="203" t="s">
        <v>339</v>
      </c>
    </row>
    <row r="48" s="33" customFormat="1" ht="78" customHeight="1" spans="1:4">
      <c r="A48" s="200" t="s">
        <v>413</v>
      </c>
      <c r="B48" s="249">
        <v>7.2</v>
      </c>
      <c r="C48" s="249">
        <f t="shared" si="0"/>
        <v>8.2</v>
      </c>
      <c r="D48" s="203" t="s">
        <v>339</v>
      </c>
    </row>
    <row r="49" s="33" customFormat="1" ht="78" customHeight="1" spans="1:4">
      <c r="A49" s="200" t="s">
        <v>414</v>
      </c>
      <c r="B49" s="249">
        <v>7.2</v>
      </c>
      <c r="C49" s="249">
        <f t="shared" si="0"/>
        <v>8.2</v>
      </c>
      <c r="D49" s="203" t="s">
        <v>339</v>
      </c>
    </row>
    <row r="50" s="33" customFormat="1" ht="78" customHeight="1" spans="1:4">
      <c r="A50" s="200" t="s">
        <v>415</v>
      </c>
      <c r="B50" s="249">
        <v>8.1</v>
      </c>
      <c r="C50" s="249">
        <f t="shared" si="0"/>
        <v>9.1</v>
      </c>
      <c r="D50" s="203" t="s">
        <v>339</v>
      </c>
    </row>
    <row r="51" s="33" customFormat="1" ht="78" customHeight="1" spans="1:4">
      <c r="A51" s="200" t="s">
        <v>416</v>
      </c>
      <c r="B51" s="249">
        <v>7.7</v>
      </c>
      <c r="C51" s="249">
        <f t="shared" si="0"/>
        <v>8.7</v>
      </c>
      <c r="D51" s="203" t="s">
        <v>339</v>
      </c>
    </row>
    <row r="52" s="33" customFormat="1" ht="78" customHeight="1" spans="1:4">
      <c r="A52" s="200" t="s">
        <v>417</v>
      </c>
      <c r="B52" s="249">
        <v>7.7</v>
      </c>
      <c r="C52" s="249">
        <f t="shared" si="0"/>
        <v>8.7</v>
      </c>
      <c r="D52" s="203" t="s">
        <v>339</v>
      </c>
    </row>
    <row r="53" s="33" customFormat="1" ht="78" customHeight="1" spans="1:4">
      <c r="A53" s="200" t="s">
        <v>418</v>
      </c>
      <c r="B53" s="249">
        <v>7.7</v>
      </c>
      <c r="C53" s="249">
        <f t="shared" si="0"/>
        <v>8.7</v>
      </c>
      <c r="D53" s="203" t="s">
        <v>339</v>
      </c>
    </row>
    <row r="54" s="33" customFormat="1" ht="78" customHeight="1" spans="1:4">
      <c r="A54" s="200" t="s">
        <v>419</v>
      </c>
      <c r="B54" s="249">
        <v>8.4</v>
      </c>
      <c r="C54" s="249">
        <f t="shared" si="0"/>
        <v>9.4</v>
      </c>
      <c r="D54" s="203" t="s">
        <v>339</v>
      </c>
    </row>
    <row r="55" s="33" customFormat="1" ht="78" customHeight="1" spans="1:4">
      <c r="A55" s="200" t="s">
        <v>420</v>
      </c>
      <c r="B55" s="249">
        <v>8.4</v>
      </c>
      <c r="C55" s="249">
        <f t="shared" si="0"/>
        <v>9.4</v>
      </c>
      <c r="D55" s="203" t="s">
        <v>339</v>
      </c>
    </row>
    <row r="56" s="33" customFormat="1" ht="78" customHeight="1" spans="1:4">
      <c r="A56" s="200" t="s">
        <v>421</v>
      </c>
      <c r="B56" s="249">
        <v>7.7</v>
      </c>
      <c r="C56" s="249">
        <f t="shared" si="0"/>
        <v>8.7</v>
      </c>
      <c r="D56" s="203" t="s">
        <v>339</v>
      </c>
    </row>
    <row r="57" s="33" customFormat="1" ht="78" customHeight="1" spans="1:4">
      <c r="A57" s="200" t="s">
        <v>422</v>
      </c>
      <c r="B57" s="249">
        <v>9</v>
      </c>
      <c r="C57" s="249">
        <f t="shared" si="0"/>
        <v>10</v>
      </c>
      <c r="D57" s="203" t="s">
        <v>339</v>
      </c>
    </row>
    <row r="58" s="33" customFormat="1" ht="78" customHeight="1" spans="1:4">
      <c r="A58" s="200" t="s">
        <v>423</v>
      </c>
      <c r="B58" s="249">
        <v>9</v>
      </c>
      <c r="C58" s="249">
        <f t="shared" si="0"/>
        <v>10</v>
      </c>
      <c r="D58" s="203" t="s">
        <v>339</v>
      </c>
    </row>
    <row r="59" s="33" customFormat="1" ht="78" customHeight="1" spans="1:4">
      <c r="A59" s="200" t="s">
        <v>424</v>
      </c>
      <c r="B59" s="249">
        <v>8.9</v>
      </c>
      <c r="C59" s="249">
        <f t="shared" si="0"/>
        <v>9.9</v>
      </c>
      <c r="D59" s="203" t="s">
        <v>339</v>
      </c>
    </row>
    <row r="60" s="33" customFormat="1" ht="78" customHeight="1" spans="1:4">
      <c r="A60" s="200" t="s">
        <v>425</v>
      </c>
      <c r="B60" s="249">
        <v>8.9</v>
      </c>
      <c r="C60" s="249">
        <f t="shared" si="0"/>
        <v>9.9</v>
      </c>
      <c r="D60" s="203" t="s">
        <v>339</v>
      </c>
    </row>
    <row r="61" s="33" customFormat="1" ht="78" customHeight="1" spans="1:4">
      <c r="A61" s="200" t="s">
        <v>426</v>
      </c>
      <c r="B61" s="249">
        <v>8.9</v>
      </c>
      <c r="C61" s="249">
        <f t="shared" si="0"/>
        <v>9.9</v>
      </c>
      <c r="D61" s="203" t="s">
        <v>339</v>
      </c>
    </row>
    <row r="62" s="33" customFormat="1" ht="78" customHeight="1" spans="1:4">
      <c r="A62" s="200" t="s">
        <v>427</v>
      </c>
      <c r="B62" s="249">
        <v>9.7</v>
      </c>
      <c r="C62" s="249">
        <f t="shared" si="0"/>
        <v>10.7</v>
      </c>
      <c r="D62" s="203" t="s">
        <v>339</v>
      </c>
    </row>
    <row r="63" s="33" customFormat="1" ht="78" customHeight="1" spans="1:4">
      <c r="A63" s="200" t="s">
        <v>428</v>
      </c>
      <c r="B63" s="249">
        <v>9.7</v>
      </c>
      <c r="C63" s="249">
        <f t="shared" si="0"/>
        <v>10.7</v>
      </c>
      <c r="D63" s="203" t="s">
        <v>339</v>
      </c>
    </row>
    <row r="64" s="33" customFormat="1" ht="78" customHeight="1" spans="1:4">
      <c r="A64" s="200" t="s">
        <v>429</v>
      </c>
      <c r="B64" s="249">
        <v>9.7</v>
      </c>
      <c r="C64" s="249">
        <f t="shared" si="0"/>
        <v>10.7</v>
      </c>
      <c r="D64" s="203" t="s">
        <v>339</v>
      </c>
    </row>
    <row r="65" s="33" customFormat="1" ht="78" customHeight="1" spans="1:4">
      <c r="A65" s="200" t="s">
        <v>430</v>
      </c>
      <c r="B65" s="249">
        <v>9.7</v>
      </c>
      <c r="C65" s="249">
        <f t="shared" si="0"/>
        <v>10.7</v>
      </c>
      <c r="D65" s="203" t="s">
        <v>339</v>
      </c>
    </row>
    <row r="66" s="33" customFormat="1" ht="78" customHeight="1" spans="1:4">
      <c r="A66" s="200" t="s">
        <v>431</v>
      </c>
      <c r="B66" s="249">
        <v>9.7</v>
      </c>
      <c r="C66" s="249">
        <f t="shared" si="0"/>
        <v>10.7</v>
      </c>
      <c r="D66" s="203" t="s">
        <v>339</v>
      </c>
    </row>
    <row r="67" s="33" customFormat="1" ht="78" customHeight="1" spans="1:4">
      <c r="A67" s="200" t="s">
        <v>432</v>
      </c>
      <c r="B67" s="249">
        <v>9.7</v>
      </c>
      <c r="C67" s="249">
        <f t="shared" si="0"/>
        <v>10.7</v>
      </c>
      <c r="D67" s="203" t="s">
        <v>339</v>
      </c>
    </row>
    <row r="68" s="33" customFormat="1" ht="78" customHeight="1" spans="1:4">
      <c r="A68" s="200" t="s">
        <v>433</v>
      </c>
      <c r="B68" s="249">
        <v>9.2</v>
      </c>
      <c r="C68" s="249">
        <f t="shared" si="0"/>
        <v>10.2</v>
      </c>
      <c r="D68" s="203" t="s">
        <v>339</v>
      </c>
    </row>
    <row r="69" s="33" customFormat="1" ht="78" customHeight="1" spans="1:4">
      <c r="A69" s="200" t="s">
        <v>434</v>
      </c>
      <c r="B69" s="249">
        <v>9.2</v>
      </c>
      <c r="C69" s="249">
        <f t="shared" si="0"/>
        <v>10.2</v>
      </c>
      <c r="D69" s="203" t="s">
        <v>339</v>
      </c>
    </row>
    <row r="70" s="33" customFormat="1" ht="78" customHeight="1" spans="1:4">
      <c r="A70" s="200" t="s">
        <v>435</v>
      </c>
      <c r="B70" s="249">
        <v>10</v>
      </c>
      <c r="C70" s="249">
        <f t="shared" ref="C70:C129" si="1">((B70+0.2)+1)-0.2</f>
        <v>11</v>
      </c>
      <c r="D70" s="203" t="s">
        <v>339</v>
      </c>
    </row>
    <row r="71" s="33" customFormat="1" ht="78" customHeight="1" spans="1:4">
      <c r="A71" s="200" t="s">
        <v>436</v>
      </c>
      <c r="B71" s="249">
        <v>10.1</v>
      </c>
      <c r="C71" s="249">
        <f t="shared" si="1"/>
        <v>11.1</v>
      </c>
      <c r="D71" s="203" t="s">
        <v>339</v>
      </c>
    </row>
    <row r="72" s="33" customFormat="1" ht="78" customHeight="1" spans="1:4">
      <c r="A72" s="200" t="s">
        <v>437</v>
      </c>
      <c r="B72" s="249">
        <v>10.1</v>
      </c>
      <c r="C72" s="249">
        <f t="shared" si="1"/>
        <v>11.1</v>
      </c>
      <c r="D72" s="203" t="s">
        <v>339</v>
      </c>
    </row>
    <row r="73" s="33" customFormat="1" ht="78" customHeight="1" spans="1:4">
      <c r="A73" s="200" t="s">
        <v>438</v>
      </c>
      <c r="B73" s="249">
        <v>10.1</v>
      </c>
      <c r="C73" s="249">
        <f t="shared" si="1"/>
        <v>11.1</v>
      </c>
      <c r="D73" s="203" t="s">
        <v>339</v>
      </c>
    </row>
    <row r="74" s="33" customFormat="1" ht="78" customHeight="1" spans="1:4">
      <c r="A74" s="200" t="s">
        <v>439</v>
      </c>
      <c r="B74" s="249">
        <v>10.1</v>
      </c>
      <c r="C74" s="249">
        <f t="shared" si="1"/>
        <v>11.1</v>
      </c>
      <c r="D74" s="203" t="s">
        <v>339</v>
      </c>
    </row>
    <row r="75" s="33" customFormat="1" ht="78" customHeight="1" spans="1:4">
      <c r="A75" s="200" t="s">
        <v>440</v>
      </c>
      <c r="B75" s="249">
        <v>10.1</v>
      </c>
      <c r="C75" s="249">
        <f t="shared" si="1"/>
        <v>11.1</v>
      </c>
      <c r="D75" s="203" t="s">
        <v>339</v>
      </c>
    </row>
    <row r="76" s="33" customFormat="1" ht="78" customHeight="1" spans="1:4">
      <c r="A76" s="200" t="s">
        <v>441</v>
      </c>
      <c r="B76" s="249">
        <v>10.1</v>
      </c>
      <c r="C76" s="249">
        <f t="shared" si="1"/>
        <v>11.1</v>
      </c>
      <c r="D76" s="203" t="s">
        <v>339</v>
      </c>
    </row>
    <row r="77" s="33" customFormat="1" ht="78" customHeight="1" spans="1:4">
      <c r="A77" s="200" t="s">
        <v>442</v>
      </c>
      <c r="B77" s="249">
        <v>10.1</v>
      </c>
      <c r="C77" s="249">
        <f t="shared" si="1"/>
        <v>11.1</v>
      </c>
      <c r="D77" s="203" t="s">
        <v>339</v>
      </c>
    </row>
    <row r="78" s="33" customFormat="1" ht="78" customHeight="1" spans="1:4">
      <c r="A78" s="200" t="s">
        <v>443</v>
      </c>
      <c r="B78" s="249">
        <v>10.1</v>
      </c>
      <c r="C78" s="249">
        <f t="shared" si="1"/>
        <v>11.1</v>
      </c>
      <c r="D78" s="203" t="s">
        <v>339</v>
      </c>
    </row>
    <row r="79" s="33" customFormat="1" ht="78" customHeight="1" spans="1:4">
      <c r="A79" s="200" t="s">
        <v>444</v>
      </c>
      <c r="B79" s="249">
        <v>9.4</v>
      </c>
      <c r="C79" s="249">
        <f t="shared" si="1"/>
        <v>10.4</v>
      </c>
      <c r="D79" s="203" t="s">
        <v>339</v>
      </c>
    </row>
    <row r="80" s="33" customFormat="1" ht="78" customHeight="1" spans="1:4">
      <c r="A80" s="200" t="s">
        <v>445</v>
      </c>
      <c r="B80" s="249">
        <v>9.5</v>
      </c>
      <c r="C80" s="249">
        <f t="shared" si="1"/>
        <v>10.5</v>
      </c>
      <c r="D80" s="203" t="s">
        <v>339</v>
      </c>
    </row>
    <row r="81" ht="78" customHeight="1" spans="1:4">
      <c r="A81" s="200" t="s">
        <v>446</v>
      </c>
      <c r="B81" s="249">
        <v>10.3</v>
      </c>
      <c r="C81" s="249">
        <f t="shared" si="1"/>
        <v>11.3</v>
      </c>
      <c r="D81" s="203" t="s">
        <v>339</v>
      </c>
    </row>
    <row r="82" ht="78" customHeight="1" spans="1:4">
      <c r="A82" s="200" t="s">
        <v>447</v>
      </c>
      <c r="B82" s="249">
        <v>9.4</v>
      </c>
      <c r="C82" s="249">
        <f t="shared" si="1"/>
        <v>10.4</v>
      </c>
      <c r="D82" s="203" t="s">
        <v>339</v>
      </c>
    </row>
    <row r="83" ht="78" customHeight="1" spans="1:4">
      <c r="A83" s="200" t="s">
        <v>448</v>
      </c>
      <c r="B83" s="249">
        <v>9.4</v>
      </c>
      <c r="C83" s="249">
        <f t="shared" si="1"/>
        <v>10.4</v>
      </c>
      <c r="D83" s="203" t="s">
        <v>339</v>
      </c>
    </row>
    <row r="84" ht="78" customHeight="1" spans="1:4">
      <c r="A84" s="200" t="s">
        <v>449</v>
      </c>
      <c r="B84" s="249">
        <v>10.3</v>
      </c>
      <c r="C84" s="249">
        <f t="shared" si="1"/>
        <v>11.3</v>
      </c>
      <c r="D84" s="203" t="s">
        <v>339</v>
      </c>
    </row>
    <row r="85" ht="78" customHeight="1" spans="1:4">
      <c r="A85" s="200" t="s">
        <v>450</v>
      </c>
      <c r="B85" s="249">
        <v>10.3</v>
      </c>
      <c r="C85" s="249">
        <f t="shared" si="1"/>
        <v>11.3</v>
      </c>
      <c r="D85" s="203" t="s">
        <v>339</v>
      </c>
    </row>
    <row r="86" ht="78" customHeight="1" spans="1:4">
      <c r="A86" s="200" t="s">
        <v>451</v>
      </c>
      <c r="B86" s="249">
        <v>10.3</v>
      </c>
      <c r="C86" s="249">
        <f t="shared" si="1"/>
        <v>11.3</v>
      </c>
      <c r="D86" s="203" t="s">
        <v>339</v>
      </c>
    </row>
    <row r="87" ht="78" customHeight="1" spans="1:4">
      <c r="A87" s="200" t="s">
        <v>452</v>
      </c>
      <c r="B87" s="249">
        <v>10.3</v>
      </c>
      <c r="C87" s="249">
        <f t="shared" si="1"/>
        <v>11.3</v>
      </c>
      <c r="D87" s="203" t="s">
        <v>339</v>
      </c>
    </row>
    <row r="88" ht="78" customHeight="1" spans="1:4">
      <c r="A88" s="200" t="s">
        <v>453</v>
      </c>
      <c r="B88" s="249">
        <v>9.5</v>
      </c>
      <c r="C88" s="249">
        <f t="shared" si="1"/>
        <v>10.5</v>
      </c>
      <c r="D88" s="203" t="s">
        <v>339</v>
      </c>
    </row>
    <row r="89" ht="78" customHeight="1" spans="1:4">
      <c r="A89" s="200" t="s">
        <v>454</v>
      </c>
      <c r="B89" s="249">
        <v>10.4</v>
      </c>
      <c r="C89" s="249">
        <f t="shared" si="1"/>
        <v>11.4</v>
      </c>
      <c r="D89" s="203" t="s">
        <v>339</v>
      </c>
    </row>
    <row r="90" ht="78" customHeight="1" spans="1:4">
      <c r="A90" s="200" t="s">
        <v>455</v>
      </c>
      <c r="B90" s="249">
        <v>10</v>
      </c>
      <c r="C90" s="249">
        <f t="shared" si="1"/>
        <v>11</v>
      </c>
      <c r="D90" s="203" t="s">
        <v>339</v>
      </c>
    </row>
    <row r="91" ht="78" customHeight="1" spans="1:4">
      <c r="A91" s="200" t="s">
        <v>456</v>
      </c>
      <c r="B91" s="249">
        <v>10</v>
      </c>
      <c r="C91" s="249">
        <f t="shared" si="1"/>
        <v>11</v>
      </c>
      <c r="D91" s="203" t="s">
        <v>339</v>
      </c>
    </row>
    <row r="92" ht="78" customHeight="1" spans="1:4">
      <c r="A92" s="200" t="s">
        <v>457</v>
      </c>
      <c r="B92" s="249">
        <v>10.2</v>
      </c>
      <c r="C92" s="249">
        <f t="shared" si="1"/>
        <v>11.2</v>
      </c>
      <c r="D92" s="203" t="s">
        <v>339</v>
      </c>
    </row>
    <row r="93" ht="78" customHeight="1" spans="1:4">
      <c r="A93" s="200" t="s">
        <v>458</v>
      </c>
      <c r="B93" s="249">
        <v>9.7</v>
      </c>
      <c r="C93" s="249">
        <f t="shared" si="1"/>
        <v>10.7</v>
      </c>
      <c r="D93" s="203" t="s">
        <v>339</v>
      </c>
    </row>
    <row r="94" ht="78" customHeight="1" spans="1:4">
      <c r="A94" s="200" t="s">
        <v>459</v>
      </c>
      <c r="B94" s="249">
        <v>10.6</v>
      </c>
      <c r="C94" s="249">
        <f t="shared" si="1"/>
        <v>11.6</v>
      </c>
      <c r="D94" s="203" t="s">
        <v>339</v>
      </c>
    </row>
    <row r="95" ht="78" customHeight="1" spans="1:4">
      <c r="A95" s="200" t="s">
        <v>460</v>
      </c>
      <c r="B95" s="249">
        <v>10.4</v>
      </c>
      <c r="C95" s="249">
        <f t="shared" si="1"/>
        <v>11.4</v>
      </c>
      <c r="D95" s="203" t="s">
        <v>339</v>
      </c>
    </row>
    <row r="96" ht="78" customHeight="1" spans="1:4">
      <c r="A96" s="200" t="s">
        <v>461</v>
      </c>
      <c r="B96" s="249">
        <v>10.6</v>
      </c>
      <c r="C96" s="249">
        <f t="shared" si="1"/>
        <v>11.6</v>
      </c>
      <c r="D96" s="203" t="s">
        <v>339</v>
      </c>
    </row>
    <row r="97" ht="78" customHeight="1" spans="1:4">
      <c r="A97" s="200" t="s">
        <v>462</v>
      </c>
      <c r="B97" s="249">
        <v>10.6</v>
      </c>
      <c r="C97" s="249">
        <f t="shared" si="1"/>
        <v>11.6</v>
      </c>
      <c r="D97" s="203" t="s">
        <v>339</v>
      </c>
    </row>
    <row r="98" ht="78" customHeight="1" spans="1:4">
      <c r="A98" s="200" t="s">
        <v>463</v>
      </c>
      <c r="B98" s="249">
        <v>9.9</v>
      </c>
      <c r="C98" s="249">
        <f t="shared" si="1"/>
        <v>10.9</v>
      </c>
      <c r="D98" s="203" t="s">
        <v>339</v>
      </c>
    </row>
    <row r="99" ht="78" customHeight="1" spans="1:4">
      <c r="A99" s="200" t="s">
        <v>464</v>
      </c>
      <c r="B99" s="249">
        <v>10.1</v>
      </c>
      <c r="C99" s="249">
        <f t="shared" si="1"/>
        <v>11.1</v>
      </c>
      <c r="D99" s="203" t="s">
        <v>339</v>
      </c>
    </row>
    <row r="100" ht="78" customHeight="1" spans="1:4">
      <c r="A100" s="200" t="s">
        <v>465</v>
      </c>
      <c r="B100" s="249">
        <v>10.1</v>
      </c>
      <c r="C100" s="249">
        <f t="shared" si="1"/>
        <v>11.1</v>
      </c>
      <c r="D100" s="203" t="s">
        <v>339</v>
      </c>
    </row>
    <row r="101" ht="78" customHeight="1" spans="1:4">
      <c r="A101" s="200" t="s">
        <v>466</v>
      </c>
      <c r="B101" s="249">
        <v>10.1</v>
      </c>
      <c r="C101" s="249">
        <f t="shared" si="1"/>
        <v>11.1</v>
      </c>
      <c r="D101" s="203" t="s">
        <v>339</v>
      </c>
    </row>
    <row r="102" ht="78" customHeight="1" spans="1:4">
      <c r="A102" s="200" t="s">
        <v>467</v>
      </c>
      <c r="B102" s="249">
        <v>11</v>
      </c>
      <c r="C102" s="249">
        <f t="shared" si="1"/>
        <v>12</v>
      </c>
      <c r="D102" s="203" t="s">
        <v>339</v>
      </c>
    </row>
    <row r="103" ht="78" customHeight="1" spans="1:4">
      <c r="A103" s="200" t="s">
        <v>468</v>
      </c>
      <c r="B103" s="249">
        <v>11</v>
      </c>
      <c r="C103" s="249">
        <f t="shared" si="1"/>
        <v>12</v>
      </c>
      <c r="D103" s="203" t="s">
        <v>339</v>
      </c>
    </row>
    <row r="104" ht="78" customHeight="1" spans="1:4">
      <c r="A104" s="200" t="s">
        <v>469</v>
      </c>
      <c r="B104" s="249">
        <v>11</v>
      </c>
      <c r="C104" s="249">
        <f t="shared" si="1"/>
        <v>12</v>
      </c>
      <c r="D104" s="203" t="s">
        <v>339</v>
      </c>
    </row>
    <row r="105" ht="78" customHeight="1" spans="1:4">
      <c r="A105" s="200" t="s">
        <v>470</v>
      </c>
      <c r="B105" s="249">
        <v>11.2</v>
      </c>
      <c r="C105" s="249">
        <f t="shared" si="1"/>
        <v>12.2</v>
      </c>
      <c r="D105" s="203" t="s">
        <v>339</v>
      </c>
    </row>
    <row r="106" ht="78" customHeight="1" spans="1:4">
      <c r="A106" s="200" t="s">
        <v>471</v>
      </c>
      <c r="B106" s="249">
        <v>10.4</v>
      </c>
      <c r="C106" s="249">
        <f t="shared" si="1"/>
        <v>11.4</v>
      </c>
      <c r="D106" s="203" t="s">
        <v>339</v>
      </c>
    </row>
    <row r="107" ht="78" customHeight="1" spans="1:4">
      <c r="A107" s="200" t="s">
        <v>472</v>
      </c>
      <c r="B107" s="249">
        <v>11.4</v>
      </c>
      <c r="C107" s="249">
        <f t="shared" si="1"/>
        <v>12.4</v>
      </c>
      <c r="D107" s="203" t="s">
        <v>339</v>
      </c>
    </row>
    <row r="108" ht="78" customHeight="1" spans="1:4">
      <c r="A108" s="200" t="s">
        <v>473</v>
      </c>
      <c r="B108" s="249">
        <v>11.4</v>
      </c>
      <c r="C108" s="249">
        <f t="shared" si="1"/>
        <v>12.4</v>
      </c>
      <c r="D108" s="203" t="s">
        <v>339</v>
      </c>
    </row>
    <row r="109" ht="78" customHeight="1" spans="1:4">
      <c r="A109" s="200" t="s">
        <v>474</v>
      </c>
      <c r="B109" s="249">
        <v>11.4</v>
      </c>
      <c r="C109" s="249">
        <f t="shared" si="1"/>
        <v>12.4</v>
      </c>
      <c r="D109" s="203" t="s">
        <v>339</v>
      </c>
    </row>
    <row r="110" ht="78" customHeight="1" spans="1:4">
      <c r="A110" s="200" t="s">
        <v>475</v>
      </c>
      <c r="B110" s="249">
        <v>11.4</v>
      </c>
      <c r="C110" s="249">
        <f t="shared" si="1"/>
        <v>12.4</v>
      </c>
      <c r="D110" s="203" t="s">
        <v>339</v>
      </c>
    </row>
    <row r="111" ht="78" customHeight="1" spans="1:4">
      <c r="A111" s="200" t="s">
        <v>476</v>
      </c>
      <c r="B111" s="249">
        <v>11.4</v>
      </c>
      <c r="C111" s="249">
        <f t="shared" si="1"/>
        <v>12.4</v>
      </c>
      <c r="D111" s="203" t="s">
        <v>339</v>
      </c>
    </row>
    <row r="112" ht="78" customHeight="1" spans="1:4">
      <c r="A112" s="200" t="s">
        <v>477</v>
      </c>
      <c r="B112" s="249">
        <v>11.5</v>
      </c>
      <c r="C112" s="249">
        <f t="shared" si="1"/>
        <v>12.5</v>
      </c>
      <c r="D112" s="203" t="s">
        <v>339</v>
      </c>
    </row>
    <row r="113" ht="78" customHeight="1" spans="1:4">
      <c r="A113" s="200" t="s">
        <v>478</v>
      </c>
      <c r="B113" s="249">
        <v>11.5</v>
      </c>
      <c r="C113" s="249">
        <f t="shared" si="1"/>
        <v>12.5</v>
      </c>
      <c r="D113" s="203" t="s">
        <v>339</v>
      </c>
    </row>
    <row r="114" ht="78" customHeight="1" spans="1:4">
      <c r="A114" s="200" t="s">
        <v>479</v>
      </c>
      <c r="B114" s="249">
        <v>11.5</v>
      </c>
      <c r="C114" s="249">
        <f t="shared" si="1"/>
        <v>12.5</v>
      </c>
      <c r="D114" s="203" t="s">
        <v>339</v>
      </c>
    </row>
    <row r="115" ht="78" customHeight="1" spans="1:4">
      <c r="A115" s="200" t="s">
        <v>480</v>
      </c>
      <c r="B115" s="249">
        <v>11.5</v>
      </c>
      <c r="C115" s="249">
        <f t="shared" si="1"/>
        <v>12.5</v>
      </c>
      <c r="D115" s="203" t="s">
        <v>339</v>
      </c>
    </row>
    <row r="116" ht="78" customHeight="1" spans="1:4">
      <c r="A116" s="200" t="s">
        <v>481</v>
      </c>
      <c r="B116" s="249">
        <v>11.5</v>
      </c>
      <c r="C116" s="249">
        <f t="shared" si="1"/>
        <v>12.5</v>
      </c>
      <c r="D116" s="203" t="s">
        <v>339</v>
      </c>
    </row>
    <row r="117" ht="78" customHeight="1" spans="1:4">
      <c r="A117" s="200" t="s">
        <v>482</v>
      </c>
      <c r="B117" s="249">
        <v>11.5</v>
      </c>
      <c r="C117" s="249">
        <f t="shared" si="1"/>
        <v>12.5</v>
      </c>
      <c r="D117" s="203" t="s">
        <v>339</v>
      </c>
    </row>
    <row r="118" ht="78" customHeight="1" spans="1:4">
      <c r="A118" s="200" t="s">
        <v>483</v>
      </c>
      <c r="B118" s="249">
        <v>11.5</v>
      </c>
      <c r="C118" s="249">
        <f t="shared" si="1"/>
        <v>12.5</v>
      </c>
      <c r="D118" s="203" t="s">
        <v>339</v>
      </c>
    </row>
    <row r="119" ht="78" customHeight="1" spans="1:4">
      <c r="A119" s="200" t="s">
        <v>484</v>
      </c>
      <c r="B119" s="249">
        <v>11.5</v>
      </c>
      <c r="C119" s="249">
        <f t="shared" si="1"/>
        <v>12.5</v>
      </c>
      <c r="D119" s="203" t="s">
        <v>339</v>
      </c>
    </row>
    <row r="120" ht="95" customHeight="1" spans="1:4">
      <c r="A120" s="200" t="s">
        <v>485</v>
      </c>
      <c r="B120" s="249">
        <v>11.5</v>
      </c>
      <c r="C120" s="249">
        <f t="shared" si="1"/>
        <v>12.5</v>
      </c>
      <c r="D120" s="203" t="s">
        <v>339</v>
      </c>
    </row>
    <row r="121" ht="95" customHeight="1" spans="1:4">
      <c r="A121" s="200" t="s">
        <v>486</v>
      </c>
      <c r="B121" s="249">
        <v>10.9</v>
      </c>
      <c r="C121" s="249">
        <f t="shared" si="1"/>
        <v>11.9</v>
      </c>
      <c r="D121" s="203" t="s">
        <v>339</v>
      </c>
    </row>
    <row r="122" ht="95" customHeight="1" spans="1:4">
      <c r="A122" s="200" t="s">
        <v>487</v>
      </c>
      <c r="B122" s="249">
        <v>11.8</v>
      </c>
      <c r="C122" s="249">
        <f t="shared" si="1"/>
        <v>12.8</v>
      </c>
      <c r="D122" s="203" t="s">
        <v>339</v>
      </c>
    </row>
    <row r="123" ht="95" customHeight="1" spans="1:4">
      <c r="A123" s="200" t="s">
        <v>488</v>
      </c>
      <c r="B123" s="249">
        <v>11.9</v>
      </c>
      <c r="C123" s="249">
        <f t="shared" si="1"/>
        <v>12.9</v>
      </c>
      <c r="D123" s="203" t="s">
        <v>339</v>
      </c>
    </row>
    <row r="124" ht="95" customHeight="1" spans="1:4">
      <c r="A124" s="200" t="s">
        <v>489</v>
      </c>
      <c r="B124" s="249">
        <v>11.9</v>
      </c>
      <c r="C124" s="249">
        <f t="shared" si="1"/>
        <v>12.9</v>
      </c>
      <c r="D124" s="203" t="s">
        <v>339</v>
      </c>
    </row>
    <row r="125" ht="95" customHeight="1" spans="1:4">
      <c r="A125" s="200" t="s">
        <v>490</v>
      </c>
      <c r="B125" s="249">
        <v>12.1</v>
      </c>
      <c r="C125" s="249">
        <f t="shared" si="1"/>
        <v>13.1</v>
      </c>
      <c r="D125" s="203" t="s">
        <v>339</v>
      </c>
    </row>
    <row r="126" ht="95" customHeight="1" spans="1:4">
      <c r="A126" s="200" t="s">
        <v>491</v>
      </c>
      <c r="B126" s="249">
        <v>12.3</v>
      </c>
      <c r="C126" s="249">
        <f t="shared" si="1"/>
        <v>13.3</v>
      </c>
      <c r="D126" s="203" t="s">
        <v>339</v>
      </c>
    </row>
    <row r="127" ht="95" customHeight="1" spans="1:4">
      <c r="A127" s="200" t="s">
        <v>492</v>
      </c>
      <c r="B127" s="249">
        <v>12.7</v>
      </c>
      <c r="C127" s="249">
        <f t="shared" si="1"/>
        <v>13.7</v>
      </c>
      <c r="D127" s="203" t="s">
        <v>339</v>
      </c>
    </row>
    <row r="128" ht="95" customHeight="1" spans="1:4">
      <c r="A128" s="200" t="s">
        <v>493</v>
      </c>
      <c r="B128" s="249">
        <v>13.2</v>
      </c>
      <c r="C128" s="249">
        <f t="shared" si="1"/>
        <v>14.2</v>
      </c>
      <c r="D128" s="203" t="s">
        <v>339</v>
      </c>
    </row>
    <row r="129" ht="95" customHeight="1" spans="1:4">
      <c r="A129" s="200" t="s">
        <v>494</v>
      </c>
      <c r="B129" s="249">
        <v>11.4</v>
      </c>
      <c r="C129" s="249">
        <f t="shared" si="1"/>
        <v>12.4</v>
      </c>
      <c r="D129" s="203" t="s">
        <v>339</v>
      </c>
    </row>
  </sheetData>
  <sheetProtection formatCells="0" insertHyperlinks="0" autoFilter="0"/>
  <mergeCells count="10">
    <mergeCell ref="A1:D1"/>
    <mergeCell ref="F14:Y14"/>
    <mergeCell ref="A2:A4"/>
    <mergeCell ref="B3:B4"/>
    <mergeCell ref="C3:C4"/>
    <mergeCell ref="D2:D4"/>
    <mergeCell ref="F2:Y3"/>
    <mergeCell ref="F4:Y7"/>
    <mergeCell ref="F8:Y13"/>
    <mergeCell ref="F15:Y16"/>
  </mergeCells>
  <hyperlinks>
    <hyperlink ref="E1" location="目录!A1" display="返回目录"/>
  </hyperlinks>
  <pageMargins left="0.75" right="0.75" top="1" bottom="1" header="0.5" footer="0.5"/>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70C0"/>
  </sheetPr>
  <dimension ref="A1:Z101"/>
  <sheetViews>
    <sheetView zoomScale="40" zoomScaleNormal="40" workbookViewId="0">
      <selection activeCell="D5" sqref="$A1:$XFD1048576"/>
    </sheetView>
  </sheetViews>
  <sheetFormatPr defaultColWidth="9" defaultRowHeight="243" customHeight="1"/>
  <cols>
    <col min="1" max="1" width="182.808333333333" style="33" customWidth="1"/>
    <col min="2" max="2" width="137.191666666667" style="33" customWidth="1"/>
    <col min="3" max="3" width="112.491666666667" style="33" customWidth="1"/>
    <col min="4" max="4" width="17.1833333333333" style="33" customWidth="1"/>
    <col min="5" max="16384" width="9" style="33"/>
  </cols>
  <sheetData>
    <row r="1" s="188" customFormat="1" customHeight="1" spans="1:4">
      <c r="A1" s="190" t="s">
        <v>495</v>
      </c>
      <c r="B1" s="191"/>
      <c r="C1" s="191"/>
      <c r="D1" s="167" t="s">
        <v>190</v>
      </c>
    </row>
    <row r="2" s="33" customFormat="1" ht="82" customHeight="1" spans="1:26">
      <c r="A2" s="241" t="s">
        <v>278</v>
      </c>
      <c r="B2" s="241" t="s">
        <v>193</v>
      </c>
      <c r="C2" s="201" t="s">
        <v>279</v>
      </c>
      <c r="G2" s="193" t="s">
        <v>88</v>
      </c>
      <c r="H2" s="193"/>
      <c r="I2" s="193"/>
      <c r="J2" s="193"/>
      <c r="K2" s="193"/>
      <c r="L2" s="193"/>
      <c r="M2" s="193"/>
      <c r="N2" s="193"/>
      <c r="O2" s="193"/>
      <c r="P2" s="193"/>
      <c r="Q2" s="193"/>
      <c r="R2" s="193"/>
      <c r="S2" s="193"/>
      <c r="T2" s="193"/>
      <c r="U2" s="193"/>
      <c r="V2" s="193"/>
      <c r="W2" s="193"/>
      <c r="X2" s="193"/>
      <c r="Y2" s="193"/>
      <c r="Z2" s="193"/>
    </row>
    <row r="3" s="33" customFormat="1" ht="60" customHeight="1" spans="1:26">
      <c r="A3" s="241"/>
      <c r="B3" s="241"/>
      <c r="C3" s="201"/>
      <c r="G3" s="193"/>
      <c r="H3" s="193"/>
      <c r="I3" s="193"/>
      <c r="J3" s="193"/>
      <c r="K3" s="193"/>
      <c r="L3" s="193"/>
      <c r="M3" s="193"/>
      <c r="N3" s="193"/>
      <c r="O3" s="193"/>
      <c r="P3" s="193"/>
      <c r="Q3" s="193"/>
      <c r="R3" s="193"/>
      <c r="S3" s="193"/>
      <c r="T3" s="193"/>
      <c r="U3" s="193"/>
      <c r="V3" s="193"/>
      <c r="W3" s="193"/>
      <c r="X3" s="193"/>
      <c r="Y3" s="193"/>
      <c r="Z3" s="193"/>
    </row>
    <row r="4" s="33" customFormat="1" ht="142" customHeight="1" spans="1:26">
      <c r="A4" s="242" t="s">
        <v>496</v>
      </c>
      <c r="B4" s="243">
        <v>8.5</v>
      </c>
      <c r="C4" s="203" t="s">
        <v>281</v>
      </c>
      <c r="G4" s="202" t="s">
        <v>282</v>
      </c>
      <c r="H4" s="202"/>
      <c r="I4" s="202"/>
      <c r="J4" s="202"/>
      <c r="K4" s="202"/>
      <c r="L4" s="202"/>
      <c r="M4" s="202"/>
      <c r="N4" s="202"/>
      <c r="O4" s="202"/>
      <c r="P4" s="202"/>
      <c r="Q4" s="202"/>
      <c r="R4" s="202"/>
      <c r="S4" s="202"/>
      <c r="T4" s="202"/>
      <c r="U4" s="202"/>
      <c r="V4" s="202"/>
      <c r="W4" s="202"/>
      <c r="X4" s="202"/>
      <c r="Y4" s="202"/>
      <c r="Z4" s="202"/>
    </row>
    <row r="5" s="33" customFormat="1" ht="142" customHeight="1" spans="1:26">
      <c r="A5" s="242" t="s">
        <v>497</v>
      </c>
      <c r="B5" s="243">
        <v>9.5</v>
      </c>
      <c r="C5" s="203" t="s">
        <v>284</v>
      </c>
      <c r="G5" s="202"/>
      <c r="H5" s="202"/>
      <c r="I5" s="202"/>
      <c r="J5" s="202"/>
      <c r="K5" s="202"/>
      <c r="L5" s="202"/>
      <c r="M5" s="202"/>
      <c r="N5" s="202"/>
      <c r="O5" s="202"/>
      <c r="P5" s="202"/>
      <c r="Q5" s="202"/>
      <c r="R5" s="202"/>
      <c r="S5" s="202"/>
      <c r="T5" s="202"/>
      <c r="U5" s="202"/>
      <c r="V5" s="202"/>
      <c r="W5" s="202"/>
      <c r="X5" s="202"/>
      <c r="Y5" s="202"/>
      <c r="Z5" s="202"/>
    </row>
    <row r="6" s="33" customFormat="1" ht="142" customHeight="1" spans="1:26">
      <c r="A6" s="242" t="s">
        <v>498</v>
      </c>
      <c r="B6" s="243">
        <v>10</v>
      </c>
      <c r="C6" s="203" t="s">
        <v>284</v>
      </c>
      <c r="G6" s="202"/>
      <c r="H6" s="202"/>
      <c r="I6" s="202"/>
      <c r="J6" s="202"/>
      <c r="K6" s="202"/>
      <c r="L6" s="202"/>
      <c r="M6" s="202"/>
      <c r="N6" s="202"/>
      <c r="O6" s="202"/>
      <c r="P6" s="202"/>
      <c r="Q6" s="202"/>
      <c r="R6" s="202"/>
      <c r="S6" s="202"/>
      <c r="T6" s="202"/>
      <c r="U6" s="202"/>
      <c r="V6" s="202"/>
      <c r="W6" s="202"/>
      <c r="X6" s="202"/>
      <c r="Y6" s="202"/>
      <c r="Z6" s="202"/>
    </row>
    <row r="7" s="33" customFormat="1" ht="105" customHeight="1" spans="1:26">
      <c r="A7" s="244" t="s">
        <v>499</v>
      </c>
      <c r="B7" s="245"/>
      <c r="C7" s="245"/>
      <c r="G7" s="202"/>
      <c r="H7" s="202"/>
      <c r="I7" s="202"/>
      <c r="J7" s="202"/>
      <c r="K7" s="202"/>
      <c r="L7" s="202"/>
      <c r="M7" s="202"/>
      <c r="N7" s="202"/>
      <c r="O7" s="202"/>
      <c r="P7" s="202"/>
      <c r="Q7" s="202"/>
      <c r="R7" s="202"/>
      <c r="S7" s="202"/>
      <c r="T7" s="202"/>
      <c r="U7" s="202"/>
      <c r="V7" s="202"/>
      <c r="W7" s="202"/>
      <c r="X7" s="202"/>
      <c r="Y7" s="202"/>
      <c r="Z7" s="202"/>
    </row>
    <row r="8" s="33" customFormat="1" ht="105" customHeight="1" spans="1:26">
      <c r="A8" s="245"/>
      <c r="B8" s="245"/>
      <c r="C8" s="245"/>
      <c r="G8" s="202"/>
      <c r="H8" s="202"/>
      <c r="I8" s="202"/>
      <c r="J8" s="202"/>
      <c r="K8" s="202"/>
      <c r="L8" s="202"/>
      <c r="M8" s="202"/>
      <c r="N8" s="202"/>
      <c r="O8" s="202"/>
      <c r="P8" s="202"/>
      <c r="Q8" s="202"/>
      <c r="R8" s="202"/>
      <c r="S8" s="202"/>
      <c r="T8" s="202"/>
      <c r="U8" s="202"/>
      <c r="V8" s="202"/>
      <c r="W8" s="202"/>
      <c r="X8" s="202"/>
      <c r="Y8" s="202"/>
      <c r="Z8" s="202"/>
    </row>
    <row r="9" s="33" customFormat="1" ht="105" customHeight="1" spans="1:26">
      <c r="A9" s="245"/>
      <c r="B9" s="245"/>
      <c r="C9" s="245"/>
      <c r="G9" s="204" t="s">
        <v>289</v>
      </c>
      <c r="H9" s="204"/>
      <c r="I9" s="204"/>
      <c r="J9" s="204"/>
      <c r="K9" s="204"/>
      <c r="L9" s="204"/>
      <c r="M9" s="204"/>
      <c r="N9" s="204"/>
      <c r="O9" s="204"/>
      <c r="P9" s="204"/>
      <c r="Q9" s="204"/>
      <c r="R9" s="204"/>
      <c r="S9" s="204"/>
      <c r="T9" s="204"/>
      <c r="U9" s="204"/>
      <c r="V9" s="204"/>
      <c r="W9" s="204"/>
      <c r="X9" s="204"/>
      <c r="Y9" s="204"/>
      <c r="Z9" s="204"/>
    </row>
    <row r="10" s="33" customFormat="1" ht="105" customHeight="1" spans="1:26">
      <c r="A10" s="246"/>
      <c r="B10" s="246"/>
      <c r="C10" s="247" t="s">
        <v>500</v>
      </c>
      <c r="G10" s="204"/>
      <c r="H10" s="204"/>
      <c r="I10" s="204"/>
      <c r="J10" s="204"/>
      <c r="K10" s="204"/>
      <c r="L10" s="204"/>
      <c r="M10" s="204"/>
      <c r="N10" s="204"/>
      <c r="O10" s="204"/>
      <c r="P10" s="204"/>
      <c r="Q10" s="204"/>
      <c r="R10" s="204"/>
      <c r="S10" s="204"/>
      <c r="T10" s="204"/>
      <c r="U10" s="204"/>
      <c r="V10" s="204"/>
      <c r="W10" s="204"/>
      <c r="X10" s="204"/>
      <c r="Y10" s="204"/>
      <c r="Z10" s="204"/>
    </row>
    <row r="11" s="33" customFormat="1" ht="105" customHeight="1" spans="1:26">
      <c r="A11" s="246"/>
      <c r="B11" s="246"/>
      <c r="C11" s="248"/>
      <c r="G11" s="204"/>
      <c r="H11" s="204"/>
      <c r="I11" s="204"/>
      <c r="J11" s="204"/>
      <c r="K11" s="204"/>
      <c r="L11" s="204"/>
      <c r="M11" s="204"/>
      <c r="N11" s="204"/>
      <c r="O11" s="204"/>
      <c r="P11" s="204"/>
      <c r="Q11" s="204"/>
      <c r="R11" s="204"/>
      <c r="S11" s="204"/>
      <c r="T11" s="204"/>
      <c r="U11" s="204"/>
      <c r="V11" s="204"/>
      <c r="W11" s="204"/>
      <c r="X11" s="204"/>
      <c r="Y11" s="204"/>
      <c r="Z11" s="204"/>
    </row>
    <row r="12" s="33" customFormat="1" ht="105" customHeight="1" spans="1:26">
      <c r="A12" s="246"/>
      <c r="B12" s="246"/>
      <c r="C12" s="248"/>
      <c r="G12" s="204"/>
      <c r="H12" s="204"/>
      <c r="I12" s="204"/>
      <c r="J12" s="204"/>
      <c r="K12" s="204"/>
      <c r="L12" s="204"/>
      <c r="M12" s="204"/>
      <c r="N12" s="204"/>
      <c r="O12" s="204"/>
      <c r="P12" s="204"/>
      <c r="Q12" s="204"/>
      <c r="R12" s="204"/>
      <c r="S12" s="204"/>
      <c r="T12" s="204"/>
      <c r="U12" s="204"/>
      <c r="V12" s="204"/>
      <c r="W12" s="204"/>
      <c r="X12" s="204"/>
      <c r="Y12" s="204"/>
      <c r="Z12" s="204"/>
    </row>
    <row r="13" s="33" customFormat="1" ht="105" customHeight="1" spans="1:26">
      <c r="A13" s="246"/>
      <c r="B13" s="246"/>
      <c r="C13" s="248"/>
      <c r="G13" s="204"/>
      <c r="H13" s="204"/>
      <c r="I13" s="204"/>
      <c r="J13" s="204"/>
      <c r="K13" s="204"/>
      <c r="L13" s="204"/>
      <c r="M13" s="204"/>
      <c r="N13" s="204"/>
      <c r="O13" s="204"/>
      <c r="P13" s="204"/>
      <c r="Q13" s="204"/>
      <c r="R13" s="204"/>
      <c r="S13" s="204"/>
      <c r="T13" s="204"/>
      <c r="U13" s="204"/>
      <c r="V13" s="204"/>
      <c r="W13" s="204"/>
      <c r="X13" s="204"/>
      <c r="Y13" s="204"/>
      <c r="Z13" s="204"/>
    </row>
    <row r="14" s="33" customFormat="1" ht="105" customHeight="1" spans="1:26">
      <c r="A14" s="246"/>
      <c r="B14" s="246"/>
      <c r="C14" s="248"/>
      <c r="G14" s="204"/>
      <c r="H14" s="204"/>
      <c r="I14" s="204"/>
      <c r="J14" s="204"/>
      <c r="K14" s="204"/>
      <c r="L14" s="204"/>
      <c r="M14" s="204"/>
      <c r="N14" s="204"/>
      <c r="O14" s="204"/>
      <c r="P14" s="204"/>
      <c r="Q14" s="204"/>
      <c r="R14" s="204"/>
      <c r="S14" s="204"/>
      <c r="T14" s="204"/>
      <c r="U14" s="204"/>
      <c r="V14" s="204"/>
      <c r="W14" s="204"/>
      <c r="X14" s="204"/>
      <c r="Y14" s="204"/>
      <c r="Z14" s="204"/>
    </row>
    <row r="15" s="33" customFormat="1" ht="105" customHeight="1" spans="1:26">
      <c r="A15" s="246"/>
      <c r="B15" s="246"/>
      <c r="C15" s="248"/>
      <c r="G15" s="204" t="s">
        <v>290</v>
      </c>
      <c r="H15" s="204"/>
      <c r="I15" s="204"/>
      <c r="J15" s="204"/>
      <c r="K15" s="204"/>
      <c r="L15" s="204"/>
      <c r="M15" s="204"/>
      <c r="N15" s="204"/>
      <c r="O15" s="204"/>
      <c r="P15" s="204"/>
      <c r="Q15" s="204"/>
      <c r="R15" s="204"/>
      <c r="S15" s="204"/>
      <c r="T15" s="204"/>
      <c r="U15" s="204"/>
      <c r="V15" s="204"/>
      <c r="W15" s="204"/>
      <c r="X15" s="204"/>
      <c r="Y15" s="204"/>
      <c r="Z15" s="204"/>
    </row>
    <row r="16" s="33" customFormat="1" ht="105" customHeight="1" spans="1:26">
      <c r="A16" s="246"/>
      <c r="B16" s="246"/>
      <c r="C16" s="248"/>
      <c r="G16" s="204" t="s">
        <v>291</v>
      </c>
      <c r="H16" s="204"/>
      <c r="I16" s="204"/>
      <c r="J16" s="204"/>
      <c r="K16" s="204"/>
      <c r="L16" s="204"/>
      <c r="M16" s="204"/>
      <c r="N16" s="204"/>
      <c r="O16" s="204"/>
      <c r="P16" s="204"/>
      <c r="Q16" s="204"/>
      <c r="R16" s="204"/>
      <c r="S16" s="204"/>
      <c r="T16" s="204"/>
      <c r="U16" s="204"/>
      <c r="V16" s="204"/>
      <c r="W16" s="204"/>
      <c r="X16" s="204"/>
      <c r="Y16" s="204"/>
      <c r="Z16" s="204"/>
    </row>
    <row r="17" s="33" customFormat="1" ht="105" customHeight="1" spans="1:26">
      <c r="A17" s="246"/>
      <c r="B17" s="246"/>
      <c r="C17" s="248"/>
      <c r="G17" s="204"/>
      <c r="H17" s="204"/>
      <c r="I17" s="204"/>
      <c r="J17" s="204"/>
      <c r="K17" s="204"/>
      <c r="L17" s="204"/>
      <c r="M17" s="204"/>
      <c r="N17" s="204"/>
      <c r="O17" s="204"/>
      <c r="P17" s="204"/>
      <c r="Q17" s="204"/>
      <c r="R17" s="204"/>
      <c r="S17" s="204"/>
      <c r="T17" s="204"/>
      <c r="U17" s="204"/>
      <c r="V17" s="204"/>
      <c r="W17" s="204"/>
      <c r="X17" s="204"/>
      <c r="Y17" s="204"/>
      <c r="Z17" s="204"/>
    </row>
    <row r="18" s="33" customFormat="1" ht="105" customHeight="1" spans="1:3">
      <c r="A18" s="246"/>
      <c r="B18" s="246"/>
      <c r="C18" s="248"/>
    </row>
    <row r="19" s="33" customFormat="1" ht="105" customHeight="1" spans="1:3">
      <c r="A19" s="246"/>
      <c r="B19" s="246"/>
      <c r="C19" s="248"/>
    </row>
    <row r="20" s="33" customFormat="1" ht="105" customHeight="1" spans="1:3">
      <c r="A20" s="246"/>
      <c r="B20" s="246"/>
      <c r="C20" s="248"/>
    </row>
    <row r="21" s="33" customFormat="1" ht="105" customHeight="1" spans="1:3">
      <c r="A21" s="246"/>
      <c r="B21" s="246"/>
      <c r="C21" s="248"/>
    </row>
    <row r="22" s="33" customFormat="1" ht="105" customHeight="1" spans="1:3">
      <c r="A22" s="246"/>
      <c r="B22" s="246"/>
      <c r="C22" s="248"/>
    </row>
    <row r="23" s="33" customFormat="1" ht="105" customHeight="1"/>
    <row r="24" s="33" customFormat="1" ht="105" customHeight="1"/>
    <row r="25" s="33" customFormat="1" ht="105" customHeight="1"/>
    <row r="26" s="33" customFormat="1" ht="105" customHeight="1"/>
    <row r="27" s="33" customFormat="1" ht="105" customHeight="1"/>
    <row r="28" s="33" customFormat="1" ht="105" customHeight="1"/>
    <row r="29" s="33" customFormat="1" ht="105" customHeight="1"/>
    <row r="30" s="33" customFormat="1" ht="105" customHeight="1"/>
    <row r="31" s="33" customFormat="1" ht="105" customHeight="1"/>
    <row r="32" s="33" customFormat="1" ht="105" customHeight="1"/>
    <row r="33" s="33" customFormat="1" ht="105" customHeight="1"/>
    <row r="34" s="33" customFormat="1" ht="105" customHeight="1"/>
    <row r="35" s="33" customFormat="1" ht="105" customHeight="1"/>
    <row r="36" s="33" customFormat="1" ht="105" customHeight="1"/>
    <row r="37" s="33" customFormat="1" ht="105" customHeight="1"/>
    <row r="38" s="33" customFormat="1" ht="105" customHeight="1"/>
    <row r="39" s="33" customFormat="1" ht="105" customHeight="1"/>
    <row r="40" s="33" customFormat="1" ht="105" customHeight="1"/>
    <row r="41" s="33" customFormat="1" ht="105" customHeight="1"/>
    <row r="42" s="33" customFormat="1" ht="105" customHeight="1"/>
    <row r="43" s="33" customFormat="1" ht="105" customHeight="1"/>
    <row r="44" s="33" customFormat="1" ht="105" customHeight="1"/>
    <row r="45" s="33" customFormat="1" ht="105" customHeight="1"/>
    <row r="46" s="33" customFormat="1" ht="105" customHeight="1"/>
    <row r="47" s="33" customFormat="1" ht="105" customHeight="1"/>
    <row r="48" s="33" customFormat="1" ht="105" customHeight="1"/>
    <row r="49" s="33" customFormat="1" ht="105" customHeight="1"/>
    <row r="50" s="33" customFormat="1" ht="105" customHeight="1"/>
    <row r="51" s="33" customFormat="1" ht="105" customHeight="1"/>
    <row r="52" s="33" customFormat="1" ht="105" customHeight="1"/>
    <row r="53" s="33" customFormat="1" ht="105" customHeight="1"/>
    <row r="54" s="33" customFormat="1" ht="105" customHeight="1"/>
    <row r="55" s="33" customFormat="1" ht="105" customHeight="1"/>
    <row r="56" s="33" customFormat="1" ht="105" customHeight="1"/>
    <row r="57" s="33" customFormat="1" ht="105" customHeight="1"/>
    <row r="58" s="33" customFormat="1" ht="105" customHeight="1"/>
    <row r="59" s="33" customFormat="1" ht="105" customHeight="1"/>
    <row r="60" s="33" customFormat="1" ht="105" customHeight="1"/>
    <row r="61" s="33" customFormat="1" ht="105" customHeight="1"/>
    <row r="62" s="33" customFormat="1" ht="105" customHeight="1"/>
    <row r="63" s="33" customFormat="1" ht="105" customHeight="1"/>
    <row r="64" s="33" customFormat="1" ht="105" customHeight="1"/>
    <row r="65" s="33" customFormat="1" ht="105" customHeight="1"/>
    <row r="66" s="33" customFormat="1" ht="105" customHeight="1"/>
    <row r="67" s="33" customFormat="1" ht="105" customHeight="1"/>
    <row r="68" s="33" customFormat="1" ht="105" customHeight="1"/>
    <row r="69" s="33" customFormat="1" ht="105" customHeight="1"/>
    <row r="70" s="33" customFormat="1" ht="105" customHeight="1"/>
    <row r="71" s="33" customFormat="1" ht="105" customHeight="1"/>
    <row r="72" s="33" customFormat="1" ht="105" customHeight="1"/>
    <row r="73" s="33" customFormat="1" ht="105" customHeight="1"/>
    <row r="74" s="33" customFormat="1" ht="105" customHeight="1"/>
    <row r="75" s="33" customFormat="1" ht="105" customHeight="1"/>
    <row r="76" s="33" customFormat="1" ht="105" customHeight="1"/>
    <row r="77" s="33" customFormat="1" ht="105" customHeight="1"/>
    <row r="78" s="33" customFormat="1" ht="105" customHeight="1"/>
    <row r="79" s="33" customFormat="1" ht="105" customHeight="1"/>
    <row r="80" s="33" customFormat="1" ht="105" customHeight="1"/>
    <row r="81" s="33" customFormat="1" ht="105" customHeight="1"/>
    <row r="82" s="33" customFormat="1" ht="105" customHeight="1"/>
    <row r="83" s="33" customFormat="1" ht="105" customHeight="1"/>
    <row r="84" s="33" customFormat="1" ht="105" customHeight="1"/>
    <row r="85" s="33" customFormat="1" ht="105" customHeight="1"/>
    <row r="86" s="33" customFormat="1" ht="105" customHeight="1"/>
    <row r="87" s="33" customFormat="1" ht="105" customHeight="1"/>
    <row r="88" s="33" customFormat="1" ht="105" customHeight="1"/>
    <row r="89" s="33" customFormat="1" ht="105" customHeight="1"/>
    <row r="90" s="33" customFormat="1" ht="105" customHeight="1"/>
    <row r="91" s="33" customFormat="1" ht="105" customHeight="1"/>
    <row r="92" s="33" customFormat="1" ht="105" customHeight="1"/>
    <row r="93" s="33" customFormat="1" ht="105" customHeight="1"/>
    <row r="94" s="33" customFormat="1" ht="105" customHeight="1"/>
    <row r="95" s="33" customFormat="1" ht="105" customHeight="1"/>
    <row r="96" s="33" customFormat="1" ht="105" customHeight="1"/>
    <row r="97" s="33" customFormat="1" ht="105" customHeight="1"/>
    <row r="98" s="33" customFormat="1" ht="105" customHeight="1"/>
    <row r="99" s="33" customFormat="1" ht="105" customHeight="1"/>
    <row r="100" s="33" customFormat="1" ht="105" customHeight="1"/>
    <row r="101" s="33" customFormat="1" ht="105" customHeight="1"/>
  </sheetData>
  <sheetProtection formatCells="0" insertHyperlinks="0" autoFilter="0"/>
  <mergeCells count="11">
    <mergeCell ref="A1:C1"/>
    <mergeCell ref="G15:Z15"/>
    <mergeCell ref="A2:A3"/>
    <mergeCell ref="B2:B3"/>
    <mergeCell ref="C2:C3"/>
    <mergeCell ref="C10:C22"/>
    <mergeCell ref="A7:C9"/>
    <mergeCell ref="G2:Z3"/>
    <mergeCell ref="G4:Z8"/>
    <mergeCell ref="G9:Z14"/>
    <mergeCell ref="G16:Z17"/>
  </mergeCells>
  <hyperlinks>
    <hyperlink ref="D1" location="目录!A1" display="返回目录"/>
  </hyperlinks>
  <pageMargins left="0.75" right="0.75" top="1" bottom="1" header="0.5" footer="0.5"/>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70C0"/>
  </sheetPr>
  <dimension ref="A1:G24"/>
  <sheetViews>
    <sheetView zoomScale="70" zoomScaleNormal="70" workbookViewId="0">
      <pane ySplit="7" topLeftCell="A8" activePane="bottomLeft" state="frozen"/>
      <selection/>
      <selection pane="bottomLeft" activeCell="G7" sqref="G7:G12"/>
    </sheetView>
  </sheetViews>
  <sheetFormatPr defaultColWidth="9" defaultRowHeight="16.5" outlineLevelCol="6"/>
  <cols>
    <col min="1" max="1" width="53.2" style="171" customWidth="1"/>
    <col min="2" max="2" width="21" style="171" customWidth="1"/>
    <col min="3" max="6" width="31.8666666666667" style="171" customWidth="1"/>
    <col min="7" max="7" width="16.4666666666667" style="171" customWidth="1"/>
    <col min="8" max="16376" width="9" style="171"/>
    <col min="16378" max="16382" width="9" style="33"/>
  </cols>
  <sheetData>
    <row r="1" s="171" customFormat="1" ht="78" customHeight="1" spans="1:7">
      <c r="A1" s="212" t="s">
        <v>501</v>
      </c>
      <c r="B1" s="213"/>
      <c r="C1" s="213"/>
      <c r="D1" s="213"/>
      <c r="E1" s="213"/>
      <c r="F1" s="232"/>
      <c r="G1" s="233" t="s">
        <v>190</v>
      </c>
    </row>
    <row r="2" s="171" customFormat="1" ht="42" customHeight="1" spans="1:6">
      <c r="A2" s="214" t="s">
        <v>502</v>
      </c>
      <c r="B2" s="214"/>
      <c r="C2" s="214"/>
      <c r="D2" s="215" t="s">
        <v>503</v>
      </c>
      <c r="E2" s="234"/>
      <c r="F2" s="215"/>
    </row>
    <row r="3" s="171" customFormat="1" ht="99" customHeight="1" spans="1:6">
      <c r="A3" s="216" t="s">
        <v>504</v>
      </c>
      <c r="B3" s="217" t="s">
        <v>505</v>
      </c>
      <c r="C3" s="218"/>
      <c r="D3" s="218"/>
      <c r="E3" s="218"/>
      <c r="F3" s="235"/>
    </row>
    <row r="4" s="171" customFormat="1" ht="60" customHeight="1" spans="1:6">
      <c r="A4" s="219" t="s">
        <v>506</v>
      </c>
      <c r="B4" s="220"/>
      <c r="C4" s="220"/>
      <c r="D4" s="220"/>
      <c r="E4" s="220"/>
      <c r="F4" s="236"/>
    </row>
    <row r="5" ht="45" customHeight="1" spans="1:6">
      <c r="A5" s="221" t="s">
        <v>507</v>
      </c>
      <c r="B5" s="221" t="s">
        <v>508</v>
      </c>
      <c r="C5" s="49" t="s">
        <v>509</v>
      </c>
      <c r="D5" s="49"/>
      <c r="E5" s="237" t="s">
        <v>510</v>
      </c>
      <c r="F5" s="237"/>
    </row>
    <row r="6" ht="36" customHeight="1" spans="1:6">
      <c r="A6" s="221"/>
      <c r="B6" s="221"/>
      <c r="C6" s="222" t="s">
        <v>511</v>
      </c>
      <c r="D6" s="222"/>
      <c r="E6" s="221" t="s">
        <v>512</v>
      </c>
      <c r="F6" s="221"/>
    </row>
    <row r="7" ht="37.05" customHeight="1" spans="1:6">
      <c r="A7" s="221"/>
      <c r="B7" s="221"/>
      <c r="C7" s="223" t="s">
        <v>513</v>
      </c>
      <c r="D7" s="223" t="s">
        <v>514</v>
      </c>
      <c r="E7" s="223" t="s">
        <v>513</v>
      </c>
      <c r="F7" s="223" t="s">
        <v>514</v>
      </c>
    </row>
    <row r="8" ht="37.05" customHeight="1" spans="1:6">
      <c r="A8" s="224" t="s">
        <v>333</v>
      </c>
      <c r="B8" s="225" t="s">
        <v>385</v>
      </c>
      <c r="C8" s="156">
        <v>9.5</v>
      </c>
      <c r="D8" s="156" t="s">
        <v>515</v>
      </c>
      <c r="E8" s="238">
        <v>9</v>
      </c>
      <c r="F8" s="238" t="s">
        <v>516</v>
      </c>
    </row>
    <row r="9" ht="37.05" customHeight="1" spans="1:6">
      <c r="A9" s="224" t="s">
        <v>336</v>
      </c>
      <c r="B9" s="225" t="s">
        <v>385</v>
      </c>
      <c r="C9" s="156">
        <v>9.5</v>
      </c>
      <c r="D9" s="156" t="s">
        <v>517</v>
      </c>
      <c r="E9" s="238">
        <v>9</v>
      </c>
      <c r="F9" s="238" t="s">
        <v>516</v>
      </c>
    </row>
    <row r="10" ht="37.05" customHeight="1" spans="1:6">
      <c r="A10" s="224" t="s">
        <v>335</v>
      </c>
      <c r="B10" s="225" t="s">
        <v>385</v>
      </c>
      <c r="C10" s="156">
        <v>9.5</v>
      </c>
      <c r="D10" s="156" t="s">
        <v>517</v>
      </c>
      <c r="E10" s="238">
        <v>9</v>
      </c>
      <c r="F10" s="238" t="s">
        <v>516</v>
      </c>
    </row>
    <row r="11" ht="37.05" customHeight="1" spans="1:6">
      <c r="A11" s="224" t="s">
        <v>337</v>
      </c>
      <c r="B11" s="225" t="s">
        <v>385</v>
      </c>
      <c r="C11" s="156">
        <v>9.5</v>
      </c>
      <c r="D11" s="156" t="s">
        <v>517</v>
      </c>
      <c r="E11" s="238">
        <v>9</v>
      </c>
      <c r="F11" s="238" t="s">
        <v>516</v>
      </c>
    </row>
    <row r="12" ht="37.05" customHeight="1" spans="1:6">
      <c r="A12" s="224" t="s">
        <v>351</v>
      </c>
      <c r="B12" s="225" t="s">
        <v>385</v>
      </c>
      <c r="C12" s="156">
        <v>12.3</v>
      </c>
      <c r="D12" s="156" t="s">
        <v>518</v>
      </c>
      <c r="E12" s="238">
        <v>11.3</v>
      </c>
      <c r="F12" s="238" t="s">
        <v>519</v>
      </c>
    </row>
    <row r="13" ht="37.05" customHeight="1" spans="1:6">
      <c r="A13" s="224" t="s">
        <v>346</v>
      </c>
      <c r="B13" s="225" t="s">
        <v>385</v>
      </c>
      <c r="C13" s="156">
        <v>10.5</v>
      </c>
      <c r="D13" s="156" t="s">
        <v>517</v>
      </c>
      <c r="E13" s="238">
        <v>10</v>
      </c>
      <c r="F13" s="238" t="s">
        <v>520</v>
      </c>
    </row>
    <row r="14" ht="37.05" customHeight="1" spans="1:6">
      <c r="A14" s="224" t="s">
        <v>345</v>
      </c>
      <c r="B14" s="225" t="s">
        <v>385</v>
      </c>
      <c r="C14" s="156">
        <v>10.5</v>
      </c>
      <c r="D14" s="156" t="s">
        <v>517</v>
      </c>
      <c r="E14" s="238">
        <v>10</v>
      </c>
      <c r="F14" s="238" t="s">
        <v>520</v>
      </c>
    </row>
    <row r="15" ht="37.05" customHeight="1" spans="1:6">
      <c r="A15" s="224" t="s">
        <v>341</v>
      </c>
      <c r="B15" s="225" t="s">
        <v>385</v>
      </c>
      <c r="C15" s="156">
        <v>10.5</v>
      </c>
      <c r="D15" s="156" t="s">
        <v>517</v>
      </c>
      <c r="E15" s="238">
        <v>10</v>
      </c>
      <c r="F15" s="238" t="s">
        <v>520</v>
      </c>
    </row>
    <row r="16" ht="37.05" customHeight="1" spans="1:6">
      <c r="A16" s="224" t="s">
        <v>344</v>
      </c>
      <c r="B16" s="225" t="s">
        <v>385</v>
      </c>
      <c r="C16" s="156">
        <v>10.5</v>
      </c>
      <c r="D16" s="226" t="s">
        <v>520</v>
      </c>
      <c r="E16" s="238">
        <v>10</v>
      </c>
      <c r="F16" s="238" t="s">
        <v>521</v>
      </c>
    </row>
    <row r="17" ht="37.05" customHeight="1" spans="1:6">
      <c r="A17" s="224" t="s">
        <v>343</v>
      </c>
      <c r="B17" s="225" t="s">
        <v>385</v>
      </c>
      <c r="C17" s="156">
        <v>10.5</v>
      </c>
      <c r="D17" s="226" t="s">
        <v>520</v>
      </c>
      <c r="E17" s="238">
        <v>10</v>
      </c>
      <c r="F17" s="238" t="s">
        <v>521</v>
      </c>
    </row>
    <row r="18" ht="37.05" customHeight="1" spans="1:6">
      <c r="A18" s="224" t="s">
        <v>342</v>
      </c>
      <c r="B18" s="225" t="s">
        <v>385</v>
      </c>
      <c r="C18" s="156">
        <v>10.5</v>
      </c>
      <c r="D18" s="226" t="s">
        <v>520</v>
      </c>
      <c r="E18" s="238">
        <v>10</v>
      </c>
      <c r="F18" s="238" t="s">
        <v>521</v>
      </c>
    </row>
    <row r="19" ht="37.05" customHeight="1" spans="1:6">
      <c r="A19" s="227" t="s">
        <v>390</v>
      </c>
      <c r="B19" s="225" t="s">
        <v>385</v>
      </c>
      <c r="C19" s="156">
        <v>11.5</v>
      </c>
      <c r="D19" s="226" t="s">
        <v>522</v>
      </c>
      <c r="E19" s="238">
        <v>11</v>
      </c>
      <c r="F19" s="238" t="s">
        <v>521</v>
      </c>
    </row>
    <row r="20" ht="37.05" customHeight="1" spans="1:6">
      <c r="A20" s="227" t="s">
        <v>393</v>
      </c>
      <c r="B20" s="225" t="s">
        <v>385</v>
      </c>
      <c r="C20" s="156">
        <v>11.5</v>
      </c>
      <c r="D20" s="226" t="s">
        <v>518</v>
      </c>
      <c r="E20" s="238">
        <v>11</v>
      </c>
      <c r="F20" s="238" t="s">
        <v>521</v>
      </c>
    </row>
    <row r="21" ht="37.05" customHeight="1" spans="1:6">
      <c r="A21" s="227" t="s">
        <v>391</v>
      </c>
      <c r="B21" s="225" t="s">
        <v>385</v>
      </c>
      <c r="C21" s="156">
        <v>11.5</v>
      </c>
      <c r="D21" s="226" t="s">
        <v>518</v>
      </c>
      <c r="E21" s="238">
        <v>11</v>
      </c>
      <c r="F21" s="238" t="s">
        <v>521</v>
      </c>
    </row>
    <row r="22" ht="37.05" customHeight="1" spans="1:6">
      <c r="A22" s="227" t="s">
        <v>392</v>
      </c>
      <c r="B22" s="225" t="s">
        <v>385</v>
      </c>
      <c r="C22" s="156">
        <v>11.5</v>
      </c>
      <c r="D22" s="226" t="s">
        <v>334</v>
      </c>
      <c r="E22" s="238">
        <v>11</v>
      </c>
      <c r="F22" s="238" t="s">
        <v>521</v>
      </c>
    </row>
    <row r="23" ht="78" customHeight="1" spans="1:6">
      <c r="A23" s="228" t="s">
        <v>523</v>
      </c>
      <c r="B23" s="229"/>
      <c r="C23" s="229"/>
      <c r="D23" s="229"/>
      <c r="E23" s="229"/>
      <c r="F23" s="239"/>
    </row>
    <row r="24" ht="191" customHeight="1" spans="1:6">
      <c r="A24" s="230" t="s">
        <v>524</v>
      </c>
      <c r="B24" s="231"/>
      <c r="C24" s="231"/>
      <c r="D24" s="231"/>
      <c r="E24" s="231"/>
      <c r="F24" s="240"/>
    </row>
  </sheetData>
  <sheetProtection formatCells="0" insertHyperlinks="0" autoFilter="0"/>
  <mergeCells count="13">
    <mergeCell ref="A1:F1"/>
    <mergeCell ref="A2:C2"/>
    <mergeCell ref="D2:F2"/>
    <mergeCell ref="B3:F3"/>
    <mergeCell ref="A4:F4"/>
    <mergeCell ref="C5:D5"/>
    <mergeCell ref="E5:F5"/>
    <mergeCell ref="C6:D6"/>
    <mergeCell ref="E6:F6"/>
    <mergeCell ref="A23:F23"/>
    <mergeCell ref="A24:F24"/>
    <mergeCell ref="A5:A7"/>
    <mergeCell ref="B5:B7"/>
  </mergeCells>
  <conditionalFormatting sqref="A13">
    <cfRule type="duplicateValues" dxfId="0" priority="257"/>
  </conditionalFormatting>
  <conditionalFormatting sqref="A14">
    <cfRule type="duplicateValues" dxfId="0" priority="259"/>
  </conditionalFormatting>
  <conditionalFormatting sqref="A17">
    <cfRule type="duplicateValues" dxfId="0" priority="253"/>
  </conditionalFormatting>
  <conditionalFormatting sqref="A18">
    <cfRule type="duplicateValues" dxfId="0" priority="251"/>
  </conditionalFormatting>
  <conditionalFormatting sqref="A19">
    <cfRule type="duplicateValues" dxfId="0" priority="246"/>
  </conditionalFormatting>
  <conditionalFormatting sqref="A20">
    <cfRule type="duplicateValues" dxfId="0" priority="245"/>
  </conditionalFormatting>
  <conditionalFormatting sqref="A11:A12">
    <cfRule type="duplicateValues" dxfId="0" priority="255"/>
  </conditionalFormatting>
  <conditionalFormatting sqref="A21:A23">
    <cfRule type="duplicateValues" dxfId="0" priority="241"/>
  </conditionalFormatting>
  <hyperlinks>
    <hyperlink ref="G1" location="目录!A1" display="返回目录"/>
  </hyperlinks>
  <pageMargins left="0.75" right="0.75" top="1" bottom="1" header="0.5" footer="0.5"/>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70C0"/>
  </sheetPr>
  <dimension ref="A1:Y19"/>
  <sheetViews>
    <sheetView zoomScale="40" zoomScaleNormal="40" workbookViewId="0">
      <selection activeCell="E8" sqref="E8"/>
    </sheetView>
  </sheetViews>
  <sheetFormatPr defaultColWidth="9" defaultRowHeight="243" customHeight="1"/>
  <cols>
    <col min="1" max="1" width="133.75" style="33" customWidth="1"/>
    <col min="2" max="2" width="126.241666666667" style="189" customWidth="1"/>
    <col min="3" max="3" width="92.4916666666667" style="189" customWidth="1"/>
    <col min="4" max="4" width="98" style="33" customWidth="1"/>
    <col min="5" max="5" width="34.0666666666667" style="33" customWidth="1"/>
    <col min="6" max="6" width="12.625" style="33"/>
    <col min="7" max="16384" width="9" style="33"/>
  </cols>
  <sheetData>
    <row r="1" s="188" customFormat="1" customHeight="1" spans="1:5">
      <c r="A1" s="190" t="s">
        <v>525</v>
      </c>
      <c r="B1" s="192"/>
      <c r="C1" s="192"/>
      <c r="D1" s="191"/>
      <c r="E1" s="167" t="s">
        <v>190</v>
      </c>
    </row>
    <row r="2" s="33" customFormat="1" ht="163" customHeight="1" spans="1:25">
      <c r="A2" s="193" t="s">
        <v>326</v>
      </c>
      <c r="B2" s="209" t="s">
        <v>327</v>
      </c>
      <c r="C2" s="195" t="s">
        <v>328</v>
      </c>
      <c r="D2" s="201" t="s">
        <v>329</v>
      </c>
      <c r="F2" s="193" t="s">
        <v>88</v>
      </c>
      <c r="G2" s="193"/>
      <c r="H2" s="193"/>
      <c r="I2" s="193"/>
      <c r="J2" s="193"/>
      <c r="K2" s="193"/>
      <c r="L2" s="193"/>
      <c r="M2" s="193"/>
      <c r="N2" s="193"/>
      <c r="O2" s="193"/>
      <c r="P2" s="193"/>
      <c r="Q2" s="193"/>
      <c r="R2" s="193"/>
      <c r="S2" s="193"/>
      <c r="T2" s="193"/>
      <c r="U2" s="193"/>
      <c r="V2" s="193"/>
      <c r="W2" s="193"/>
      <c r="X2" s="193"/>
      <c r="Y2" s="193"/>
    </row>
    <row r="3" s="33" customFormat="1" ht="46" customHeight="1" spans="1:25">
      <c r="A3" s="193"/>
      <c r="B3" s="210" t="s">
        <v>385</v>
      </c>
      <c r="C3" s="210" t="s">
        <v>385</v>
      </c>
      <c r="D3" s="201"/>
      <c r="F3" s="193"/>
      <c r="G3" s="193"/>
      <c r="H3" s="193"/>
      <c r="I3" s="193"/>
      <c r="J3" s="193"/>
      <c r="K3" s="193"/>
      <c r="L3" s="193"/>
      <c r="M3" s="193"/>
      <c r="N3" s="193"/>
      <c r="O3" s="193"/>
      <c r="P3" s="193"/>
      <c r="Q3" s="193"/>
      <c r="R3" s="193"/>
      <c r="S3" s="193"/>
      <c r="T3" s="193"/>
      <c r="U3" s="193"/>
      <c r="V3" s="193"/>
      <c r="W3" s="193"/>
      <c r="X3" s="193"/>
      <c r="Y3" s="193"/>
    </row>
    <row r="4" s="33" customFormat="1" ht="46" customHeight="1" spans="1:25">
      <c r="A4" s="193"/>
      <c r="B4" s="210"/>
      <c r="C4" s="210"/>
      <c r="D4" s="201"/>
      <c r="F4" s="202" t="s">
        <v>386</v>
      </c>
      <c r="G4" s="202"/>
      <c r="H4" s="202"/>
      <c r="I4" s="202"/>
      <c r="J4" s="202"/>
      <c r="K4" s="202"/>
      <c r="L4" s="202"/>
      <c r="M4" s="202"/>
      <c r="N4" s="202"/>
      <c r="O4" s="202"/>
      <c r="P4" s="202"/>
      <c r="Q4" s="202"/>
      <c r="R4" s="202"/>
      <c r="S4" s="202"/>
      <c r="T4" s="202"/>
      <c r="U4" s="202"/>
      <c r="V4" s="202"/>
      <c r="W4" s="202"/>
      <c r="X4" s="202"/>
      <c r="Y4" s="202"/>
    </row>
    <row r="5" s="33" customFormat="1" ht="90" customHeight="1" spans="1:25">
      <c r="A5" s="197" t="s">
        <v>526</v>
      </c>
      <c r="B5" s="211">
        <v>6.2</v>
      </c>
      <c r="C5" s="211">
        <v>7.3</v>
      </c>
      <c r="D5" s="203" t="s">
        <v>527</v>
      </c>
      <c r="F5" s="202"/>
      <c r="G5" s="202"/>
      <c r="H5" s="202"/>
      <c r="I5" s="202"/>
      <c r="J5" s="202"/>
      <c r="K5" s="202"/>
      <c r="L5" s="202"/>
      <c r="M5" s="202"/>
      <c r="N5" s="202"/>
      <c r="O5" s="202"/>
      <c r="P5" s="202"/>
      <c r="Q5" s="202"/>
      <c r="R5" s="202"/>
      <c r="S5" s="202"/>
      <c r="T5" s="202"/>
      <c r="U5" s="202"/>
      <c r="V5" s="202"/>
      <c r="W5" s="202"/>
      <c r="X5" s="202"/>
      <c r="Y5" s="202"/>
    </row>
    <row r="6" s="33" customFormat="1" ht="90" customHeight="1" spans="1:25">
      <c r="A6" s="200" t="s">
        <v>346</v>
      </c>
      <c r="B6" s="211">
        <v>6.2</v>
      </c>
      <c r="C6" s="211">
        <v>7.3</v>
      </c>
      <c r="D6" s="203" t="s">
        <v>527</v>
      </c>
      <c r="F6" s="202"/>
      <c r="G6" s="202"/>
      <c r="H6" s="202"/>
      <c r="I6" s="202"/>
      <c r="J6" s="202"/>
      <c r="K6" s="202"/>
      <c r="L6" s="202"/>
      <c r="M6" s="202"/>
      <c r="N6" s="202"/>
      <c r="O6" s="202"/>
      <c r="P6" s="202"/>
      <c r="Q6" s="202"/>
      <c r="R6" s="202"/>
      <c r="S6" s="202"/>
      <c r="T6" s="202"/>
      <c r="U6" s="202"/>
      <c r="V6" s="202"/>
      <c r="W6" s="202"/>
      <c r="X6" s="202"/>
      <c r="Y6" s="202"/>
    </row>
    <row r="7" s="33" customFormat="1" ht="90" customHeight="1" spans="1:25">
      <c r="A7" s="200" t="s">
        <v>528</v>
      </c>
      <c r="B7" s="211">
        <v>6.2</v>
      </c>
      <c r="C7" s="211">
        <v>7.3</v>
      </c>
      <c r="D7" s="203" t="s">
        <v>527</v>
      </c>
      <c r="F7" s="202"/>
      <c r="G7" s="202"/>
      <c r="H7" s="202"/>
      <c r="I7" s="202"/>
      <c r="J7" s="202"/>
      <c r="K7" s="202"/>
      <c r="L7" s="202"/>
      <c r="M7" s="202"/>
      <c r="N7" s="202"/>
      <c r="O7" s="202"/>
      <c r="P7" s="202"/>
      <c r="Q7" s="202"/>
      <c r="R7" s="202"/>
      <c r="S7" s="202"/>
      <c r="T7" s="202"/>
      <c r="U7" s="202"/>
      <c r="V7" s="202"/>
      <c r="W7" s="202"/>
      <c r="X7" s="202"/>
      <c r="Y7" s="202"/>
    </row>
    <row r="8" s="33" customFormat="1" ht="90" customHeight="1" spans="1:25">
      <c r="A8" s="200" t="s">
        <v>529</v>
      </c>
      <c r="B8" s="211">
        <v>6.2</v>
      </c>
      <c r="C8" s="211">
        <v>7.3</v>
      </c>
      <c r="D8" s="203" t="s">
        <v>527</v>
      </c>
      <c r="E8" s="33"/>
      <c r="F8" s="202"/>
      <c r="G8" s="202"/>
      <c r="H8" s="202"/>
      <c r="I8" s="202"/>
      <c r="J8" s="202"/>
      <c r="K8" s="202"/>
      <c r="L8" s="202"/>
      <c r="M8" s="202"/>
      <c r="N8" s="202"/>
      <c r="O8" s="202"/>
      <c r="P8" s="202"/>
      <c r="Q8" s="202"/>
      <c r="R8" s="202"/>
      <c r="S8" s="202"/>
      <c r="T8" s="202"/>
      <c r="U8" s="202"/>
      <c r="V8" s="202"/>
      <c r="W8" s="202"/>
      <c r="X8" s="202"/>
      <c r="Y8" s="202"/>
    </row>
    <row r="9" s="33" customFormat="1" ht="90" customHeight="1" spans="1:25">
      <c r="A9" s="200" t="s">
        <v>530</v>
      </c>
      <c r="B9" s="211">
        <v>6.2</v>
      </c>
      <c r="C9" s="211">
        <v>7.3</v>
      </c>
      <c r="D9" s="203" t="s">
        <v>527</v>
      </c>
      <c r="F9" s="204" t="s">
        <v>388</v>
      </c>
      <c r="G9" s="204"/>
      <c r="H9" s="204"/>
      <c r="I9" s="204"/>
      <c r="J9" s="204"/>
      <c r="K9" s="204"/>
      <c r="L9" s="204"/>
      <c r="M9" s="204"/>
      <c r="N9" s="204"/>
      <c r="O9" s="204"/>
      <c r="P9" s="204"/>
      <c r="Q9" s="204"/>
      <c r="R9" s="204"/>
      <c r="S9" s="204"/>
      <c r="T9" s="204"/>
      <c r="U9" s="204"/>
      <c r="V9" s="204"/>
      <c r="W9" s="204"/>
      <c r="X9" s="204"/>
      <c r="Y9" s="204"/>
    </row>
    <row r="10" s="33" customFormat="1" ht="90" customHeight="1" spans="1:25">
      <c r="A10" s="200" t="s">
        <v>413</v>
      </c>
      <c r="B10" s="211">
        <v>6.2</v>
      </c>
      <c r="C10" s="211">
        <v>7.3</v>
      </c>
      <c r="D10" s="203" t="s">
        <v>527</v>
      </c>
      <c r="F10" s="204"/>
      <c r="G10" s="204"/>
      <c r="H10" s="204"/>
      <c r="I10" s="204"/>
      <c r="J10" s="204"/>
      <c r="K10" s="204"/>
      <c r="L10" s="204"/>
      <c r="M10" s="204"/>
      <c r="N10" s="204"/>
      <c r="O10" s="204"/>
      <c r="P10" s="204"/>
      <c r="Q10" s="204"/>
      <c r="R10" s="204"/>
      <c r="S10" s="204"/>
      <c r="T10" s="204"/>
      <c r="U10" s="204"/>
      <c r="V10" s="204"/>
      <c r="W10" s="204"/>
      <c r="X10" s="204"/>
      <c r="Y10" s="204"/>
    </row>
    <row r="11" s="33" customFormat="1" ht="90" customHeight="1" spans="1:25">
      <c r="A11" s="200" t="s">
        <v>421</v>
      </c>
      <c r="B11" s="211">
        <v>6.4</v>
      </c>
      <c r="C11" s="211">
        <v>7.5</v>
      </c>
      <c r="D11" s="203" t="s">
        <v>527</v>
      </c>
      <c r="F11" s="204"/>
      <c r="G11" s="204"/>
      <c r="H11" s="204"/>
      <c r="I11" s="204"/>
      <c r="J11" s="204"/>
      <c r="K11" s="204"/>
      <c r="L11" s="204"/>
      <c r="M11" s="204"/>
      <c r="N11" s="204"/>
      <c r="O11" s="204"/>
      <c r="P11" s="204"/>
      <c r="Q11" s="204"/>
      <c r="R11" s="204"/>
      <c r="S11" s="204"/>
      <c r="T11" s="204"/>
      <c r="U11" s="204"/>
      <c r="V11" s="204"/>
      <c r="W11" s="204"/>
      <c r="X11" s="204"/>
      <c r="Y11" s="204"/>
    </row>
    <row r="12" s="33" customFormat="1" ht="90" customHeight="1" spans="1:25">
      <c r="A12" s="200" t="s">
        <v>419</v>
      </c>
      <c r="B12" s="211">
        <v>6.5</v>
      </c>
      <c r="C12" s="211">
        <v>7.6</v>
      </c>
      <c r="D12" s="203" t="s">
        <v>527</v>
      </c>
      <c r="F12" s="204"/>
      <c r="G12" s="204"/>
      <c r="H12" s="204"/>
      <c r="I12" s="204"/>
      <c r="J12" s="204"/>
      <c r="K12" s="204"/>
      <c r="L12" s="204"/>
      <c r="M12" s="204"/>
      <c r="N12" s="204"/>
      <c r="O12" s="204"/>
      <c r="P12" s="204"/>
      <c r="Q12" s="204"/>
      <c r="R12" s="204"/>
      <c r="S12" s="204"/>
      <c r="T12" s="204"/>
      <c r="U12" s="204"/>
      <c r="V12" s="204"/>
      <c r="W12" s="204"/>
      <c r="X12" s="204"/>
      <c r="Y12" s="204"/>
    </row>
    <row r="13" s="33" customFormat="1" ht="90" customHeight="1" spans="1:25">
      <c r="A13" s="200" t="s">
        <v>531</v>
      </c>
      <c r="B13" s="211">
        <v>6.5</v>
      </c>
      <c r="C13" s="211">
        <v>7.6</v>
      </c>
      <c r="D13" s="203" t="s">
        <v>527</v>
      </c>
      <c r="F13" s="204"/>
      <c r="G13" s="204"/>
      <c r="H13" s="204"/>
      <c r="I13" s="204"/>
      <c r="J13" s="204"/>
      <c r="K13" s="204"/>
      <c r="L13" s="204"/>
      <c r="M13" s="204"/>
      <c r="N13" s="204"/>
      <c r="O13" s="204"/>
      <c r="P13" s="204"/>
      <c r="Q13" s="204"/>
      <c r="R13" s="204"/>
      <c r="S13" s="204"/>
      <c r="T13" s="204"/>
      <c r="U13" s="204"/>
      <c r="V13" s="204"/>
      <c r="W13" s="204"/>
      <c r="X13" s="204"/>
      <c r="Y13" s="204"/>
    </row>
    <row r="14" s="33" customFormat="1" ht="90" customHeight="1" spans="1:25">
      <c r="A14" s="200" t="s">
        <v>532</v>
      </c>
      <c r="B14" s="211">
        <v>6.5</v>
      </c>
      <c r="C14" s="211">
        <v>7.6</v>
      </c>
      <c r="D14" s="203" t="s">
        <v>527</v>
      </c>
      <c r="F14" s="204"/>
      <c r="G14" s="204"/>
      <c r="H14" s="204"/>
      <c r="I14" s="204"/>
      <c r="J14" s="204"/>
      <c r="K14" s="204"/>
      <c r="L14" s="204"/>
      <c r="M14" s="204"/>
      <c r="N14" s="204"/>
      <c r="O14" s="204"/>
      <c r="P14" s="204"/>
      <c r="Q14" s="204"/>
      <c r="R14" s="204"/>
      <c r="S14" s="204"/>
      <c r="T14" s="204"/>
      <c r="U14" s="204"/>
      <c r="V14" s="204"/>
      <c r="W14" s="204"/>
      <c r="X14" s="204"/>
      <c r="Y14" s="204"/>
    </row>
    <row r="15" s="33" customFormat="1" ht="125" customHeight="1" spans="1:25">
      <c r="A15" s="200" t="s">
        <v>412</v>
      </c>
      <c r="B15" s="211">
        <v>6.6</v>
      </c>
      <c r="C15" s="211">
        <v>7.7</v>
      </c>
      <c r="D15" s="203" t="s">
        <v>527</v>
      </c>
      <c r="F15" s="204" t="s">
        <v>290</v>
      </c>
      <c r="G15" s="204"/>
      <c r="H15" s="204"/>
      <c r="I15" s="204"/>
      <c r="J15" s="204"/>
      <c r="K15" s="204"/>
      <c r="L15" s="204"/>
      <c r="M15" s="204"/>
      <c r="N15" s="204"/>
      <c r="O15" s="204"/>
      <c r="P15" s="204"/>
      <c r="Q15" s="204"/>
      <c r="R15" s="204"/>
      <c r="S15" s="204"/>
      <c r="T15" s="204"/>
      <c r="U15" s="204"/>
      <c r="V15" s="204"/>
      <c r="W15" s="204"/>
      <c r="X15" s="204"/>
      <c r="Y15" s="204"/>
    </row>
    <row r="16" s="33" customFormat="1" ht="90" customHeight="1" spans="1:25">
      <c r="A16" s="200" t="s">
        <v>533</v>
      </c>
      <c r="B16" s="211">
        <v>7</v>
      </c>
      <c r="C16" s="211">
        <v>8.1</v>
      </c>
      <c r="D16" s="203" t="s">
        <v>527</v>
      </c>
      <c r="F16" s="204" t="s">
        <v>291</v>
      </c>
      <c r="G16" s="204"/>
      <c r="H16" s="204"/>
      <c r="I16" s="204"/>
      <c r="J16" s="204"/>
      <c r="K16" s="204"/>
      <c r="L16" s="204"/>
      <c r="M16" s="204"/>
      <c r="N16" s="204"/>
      <c r="O16" s="204"/>
      <c r="P16" s="204"/>
      <c r="Q16" s="204"/>
      <c r="R16" s="204"/>
      <c r="S16" s="204"/>
      <c r="T16" s="204"/>
      <c r="U16" s="204"/>
      <c r="V16" s="204"/>
      <c r="W16" s="204"/>
      <c r="X16" s="204"/>
      <c r="Y16" s="204"/>
    </row>
    <row r="17" s="33" customFormat="1" ht="90" customHeight="1" spans="1:25">
      <c r="A17" s="200" t="s">
        <v>534</v>
      </c>
      <c r="B17" s="211">
        <v>8.2</v>
      </c>
      <c r="C17" s="211">
        <v>9.3</v>
      </c>
      <c r="D17" s="203" t="s">
        <v>527</v>
      </c>
      <c r="F17" s="204"/>
      <c r="G17" s="204"/>
      <c r="H17" s="204"/>
      <c r="I17" s="204"/>
      <c r="J17" s="204"/>
      <c r="K17" s="204"/>
      <c r="L17" s="204"/>
      <c r="M17" s="204"/>
      <c r="N17" s="204"/>
      <c r="O17" s="204"/>
      <c r="P17" s="204"/>
      <c r="Q17" s="204"/>
      <c r="R17" s="204"/>
      <c r="S17" s="204"/>
      <c r="T17" s="204"/>
      <c r="U17" s="204"/>
      <c r="V17" s="204"/>
      <c r="W17" s="204"/>
      <c r="X17" s="204"/>
      <c r="Y17" s="204"/>
    </row>
    <row r="18" s="33" customFormat="1" ht="90" customHeight="1" spans="1:4">
      <c r="A18" s="200" t="s">
        <v>535</v>
      </c>
      <c r="B18" s="211">
        <v>8.4</v>
      </c>
      <c r="C18" s="211">
        <v>9.5</v>
      </c>
      <c r="D18" s="203" t="s">
        <v>527</v>
      </c>
    </row>
    <row r="19" s="33" customFormat="1" ht="90" customHeight="1" spans="1:4">
      <c r="A19" s="200" t="s">
        <v>468</v>
      </c>
      <c r="B19" s="211">
        <v>8.5</v>
      </c>
      <c r="C19" s="211">
        <v>9.6</v>
      </c>
      <c r="D19" s="203" t="s">
        <v>527</v>
      </c>
    </row>
  </sheetData>
  <sheetProtection formatCells="0" insertHyperlinks="0" autoFilter="0"/>
  <mergeCells count="10">
    <mergeCell ref="A1:D1"/>
    <mergeCell ref="F15:Y15"/>
    <mergeCell ref="A2:A4"/>
    <mergeCell ref="B3:B4"/>
    <mergeCell ref="C3:C4"/>
    <mergeCell ref="D2:D4"/>
    <mergeCell ref="F2:Y3"/>
    <mergeCell ref="F4:Y8"/>
    <mergeCell ref="F9:Y14"/>
    <mergeCell ref="F16:Y17"/>
  </mergeCells>
  <hyperlinks>
    <hyperlink ref="E1" location="目录!A1" display="返回目录"/>
  </hyperlinks>
  <pageMargins left="0.75" right="0.75" top="1" bottom="1" header="0.5" footer="0.5"/>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70C0"/>
  </sheetPr>
  <dimension ref="A1:Y84"/>
  <sheetViews>
    <sheetView zoomScale="40" zoomScaleNormal="40" workbookViewId="0">
      <pane ySplit="1" topLeftCell="A2" activePane="bottomLeft" state="frozen"/>
      <selection/>
      <selection pane="bottomLeft" activeCell="E8" sqref="E8:E13"/>
    </sheetView>
  </sheetViews>
  <sheetFormatPr defaultColWidth="9" defaultRowHeight="243" customHeight="1"/>
  <cols>
    <col min="1" max="1" width="133.75" style="33" customWidth="1"/>
    <col min="2" max="2" width="126.241666666667" style="189" customWidth="1"/>
    <col min="3" max="3" width="92.4916666666667" style="189" customWidth="1"/>
    <col min="4" max="4" width="98" style="33" customWidth="1"/>
    <col min="5" max="5" width="34.0666666666667" style="33" customWidth="1"/>
    <col min="6" max="6" width="12.625" style="33"/>
    <col min="7" max="16384" width="9" style="33"/>
  </cols>
  <sheetData>
    <row r="1" s="188" customFormat="1" customHeight="1" spans="1:5">
      <c r="A1" s="190" t="s">
        <v>536</v>
      </c>
      <c r="B1" s="192"/>
      <c r="C1" s="192"/>
      <c r="D1" s="191"/>
      <c r="E1" s="167" t="s">
        <v>190</v>
      </c>
    </row>
    <row r="2" s="33" customFormat="1" ht="163" customHeight="1" spans="1:25">
      <c r="A2" s="193" t="s">
        <v>326</v>
      </c>
      <c r="B2" s="209" t="s">
        <v>327</v>
      </c>
      <c r="C2" s="195" t="s">
        <v>328</v>
      </c>
      <c r="D2" s="201" t="s">
        <v>329</v>
      </c>
      <c r="F2" s="193" t="s">
        <v>88</v>
      </c>
      <c r="G2" s="193"/>
      <c r="H2" s="193"/>
      <c r="I2" s="193"/>
      <c r="J2" s="193"/>
      <c r="K2" s="193"/>
      <c r="L2" s="193"/>
      <c r="M2" s="193"/>
      <c r="N2" s="193"/>
      <c r="O2" s="193"/>
      <c r="P2" s="193"/>
      <c r="Q2" s="193"/>
      <c r="R2" s="193"/>
      <c r="S2" s="193"/>
      <c r="T2" s="193"/>
      <c r="U2" s="193"/>
      <c r="V2" s="193"/>
      <c r="W2" s="193"/>
      <c r="X2" s="193"/>
      <c r="Y2" s="193"/>
    </row>
    <row r="3" s="33" customFormat="1" ht="46" customHeight="1" spans="1:25">
      <c r="A3" s="193"/>
      <c r="B3" s="210" t="s">
        <v>385</v>
      </c>
      <c r="C3" s="210" t="s">
        <v>385</v>
      </c>
      <c r="D3" s="201"/>
      <c r="F3" s="193"/>
      <c r="G3" s="193"/>
      <c r="H3" s="193"/>
      <c r="I3" s="193"/>
      <c r="J3" s="193"/>
      <c r="K3" s="193"/>
      <c r="L3" s="193"/>
      <c r="M3" s="193"/>
      <c r="N3" s="193"/>
      <c r="O3" s="193"/>
      <c r="P3" s="193"/>
      <c r="Q3" s="193"/>
      <c r="R3" s="193"/>
      <c r="S3" s="193"/>
      <c r="T3" s="193"/>
      <c r="U3" s="193"/>
      <c r="V3" s="193"/>
      <c r="W3" s="193"/>
      <c r="X3" s="193"/>
      <c r="Y3" s="193"/>
    </row>
    <row r="4" s="33" customFormat="1" ht="46" customHeight="1" spans="1:25">
      <c r="A4" s="193"/>
      <c r="B4" s="210"/>
      <c r="C4" s="210"/>
      <c r="D4" s="201"/>
      <c r="F4" s="202" t="s">
        <v>386</v>
      </c>
      <c r="G4" s="202"/>
      <c r="H4" s="202"/>
      <c r="I4" s="202"/>
      <c r="J4" s="202"/>
      <c r="K4" s="202"/>
      <c r="L4" s="202"/>
      <c r="M4" s="202"/>
      <c r="N4" s="202"/>
      <c r="O4" s="202"/>
      <c r="P4" s="202"/>
      <c r="Q4" s="202"/>
      <c r="R4" s="202"/>
      <c r="S4" s="202"/>
      <c r="T4" s="202"/>
      <c r="U4" s="202"/>
      <c r="V4" s="202"/>
      <c r="W4" s="202"/>
      <c r="X4" s="202"/>
      <c r="Y4" s="202"/>
    </row>
    <row r="5" s="33" customFormat="1" ht="90" customHeight="1" spans="1:25">
      <c r="A5" s="197" t="s">
        <v>537</v>
      </c>
      <c r="B5" s="211">
        <v>7.1</v>
      </c>
      <c r="C5" s="211">
        <v>7.1</v>
      </c>
      <c r="D5" s="203" t="s">
        <v>538</v>
      </c>
      <c r="F5" s="202"/>
      <c r="G5" s="202"/>
      <c r="H5" s="202"/>
      <c r="I5" s="202"/>
      <c r="J5" s="202"/>
      <c r="K5" s="202"/>
      <c r="L5" s="202"/>
      <c r="M5" s="202"/>
      <c r="N5" s="202"/>
      <c r="O5" s="202"/>
      <c r="P5" s="202"/>
      <c r="Q5" s="202"/>
      <c r="R5" s="202"/>
      <c r="S5" s="202"/>
      <c r="T5" s="202"/>
      <c r="U5" s="202"/>
      <c r="V5" s="202"/>
      <c r="W5" s="202"/>
      <c r="X5" s="202"/>
      <c r="Y5" s="202"/>
    </row>
    <row r="6" s="33" customFormat="1" ht="90" customHeight="1" spans="1:25">
      <c r="A6" s="197" t="s">
        <v>478</v>
      </c>
      <c r="B6" s="211">
        <v>7.1</v>
      </c>
      <c r="C6" s="211">
        <v>7.1</v>
      </c>
      <c r="D6" s="203" t="s">
        <v>538</v>
      </c>
      <c r="F6" s="202"/>
      <c r="G6" s="202"/>
      <c r="H6" s="202"/>
      <c r="I6" s="202"/>
      <c r="J6" s="202"/>
      <c r="K6" s="202"/>
      <c r="L6" s="202"/>
      <c r="M6" s="202"/>
      <c r="N6" s="202"/>
      <c r="O6" s="202"/>
      <c r="P6" s="202"/>
      <c r="Q6" s="202"/>
      <c r="R6" s="202"/>
      <c r="S6" s="202"/>
      <c r="T6" s="202"/>
      <c r="U6" s="202"/>
      <c r="V6" s="202"/>
      <c r="W6" s="202"/>
      <c r="X6" s="202"/>
      <c r="Y6" s="202"/>
    </row>
    <row r="7" s="33" customFormat="1" ht="90" customHeight="1" spans="1:25">
      <c r="A7" s="200" t="s">
        <v>479</v>
      </c>
      <c r="B7" s="211">
        <v>7.1</v>
      </c>
      <c r="C7" s="211">
        <v>7.1</v>
      </c>
      <c r="D7" s="203" t="s">
        <v>538</v>
      </c>
      <c r="F7" s="202"/>
      <c r="G7" s="202"/>
      <c r="H7" s="202"/>
      <c r="I7" s="202"/>
      <c r="J7" s="202"/>
      <c r="K7" s="202"/>
      <c r="L7" s="202"/>
      <c r="M7" s="202"/>
      <c r="N7" s="202"/>
      <c r="O7" s="202"/>
      <c r="P7" s="202"/>
      <c r="Q7" s="202"/>
      <c r="R7" s="202"/>
      <c r="S7" s="202"/>
      <c r="T7" s="202"/>
      <c r="U7" s="202"/>
      <c r="V7" s="202"/>
      <c r="W7" s="202"/>
      <c r="X7" s="202"/>
      <c r="Y7" s="202"/>
    </row>
    <row r="8" s="33" customFormat="1" ht="90" customHeight="1" spans="1:25">
      <c r="A8" s="200" t="s">
        <v>480</v>
      </c>
      <c r="B8" s="211">
        <v>7.1</v>
      </c>
      <c r="C8" s="211">
        <v>7.1</v>
      </c>
      <c r="D8" s="203" t="s">
        <v>538</v>
      </c>
      <c r="F8" s="202"/>
      <c r="G8" s="202"/>
      <c r="H8" s="202"/>
      <c r="I8" s="202"/>
      <c r="J8" s="202"/>
      <c r="K8" s="202"/>
      <c r="L8" s="202"/>
      <c r="M8" s="202"/>
      <c r="N8" s="202"/>
      <c r="O8" s="202"/>
      <c r="P8" s="202"/>
      <c r="Q8" s="202"/>
      <c r="R8" s="202"/>
      <c r="S8" s="202"/>
      <c r="T8" s="202"/>
      <c r="U8" s="202"/>
      <c r="V8" s="202"/>
      <c r="W8" s="202"/>
      <c r="X8" s="202"/>
      <c r="Y8" s="202"/>
    </row>
    <row r="9" s="33" customFormat="1" ht="90" customHeight="1" spans="1:25">
      <c r="A9" s="200" t="s">
        <v>539</v>
      </c>
      <c r="B9" s="211">
        <v>7.1</v>
      </c>
      <c r="C9" s="211">
        <v>7.1</v>
      </c>
      <c r="D9" s="203" t="s">
        <v>538</v>
      </c>
      <c r="F9" s="202"/>
      <c r="G9" s="202"/>
      <c r="H9" s="202"/>
      <c r="I9" s="202"/>
      <c r="J9" s="202"/>
      <c r="K9" s="202"/>
      <c r="L9" s="202"/>
      <c r="M9" s="202"/>
      <c r="N9" s="202"/>
      <c r="O9" s="202"/>
      <c r="P9" s="202"/>
      <c r="Q9" s="202"/>
      <c r="R9" s="202"/>
      <c r="S9" s="202"/>
      <c r="T9" s="202"/>
      <c r="U9" s="202"/>
      <c r="V9" s="202"/>
      <c r="W9" s="202"/>
      <c r="X9" s="202"/>
      <c r="Y9" s="202"/>
    </row>
    <row r="10" s="33" customFormat="1" ht="90" customHeight="1" spans="1:25">
      <c r="A10" s="200" t="s">
        <v>540</v>
      </c>
      <c r="B10" s="211">
        <v>7.1</v>
      </c>
      <c r="C10" s="211">
        <v>7.1</v>
      </c>
      <c r="D10" s="203" t="s">
        <v>538</v>
      </c>
      <c r="E10" s="33"/>
      <c r="F10" s="204" t="s">
        <v>388</v>
      </c>
      <c r="G10" s="204"/>
      <c r="H10" s="204"/>
      <c r="I10" s="204"/>
      <c r="J10" s="204"/>
      <c r="K10" s="204"/>
      <c r="L10" s="204"/>
      <c r="M10" s="204"/>
      <c r="N10" s="204"/>
      <c r="O10" s="204"/>
      <c r="P10" s="204"/>
      <c r="Q10" s="204"/>
      <c r="R10" s="204"/>
      <c r="S10" s="204"/>
      <c r="T10" s="204"/>
      <c r="U10" s="204"/>
      <c r="V10" s="204"/>
      <c r="W10" s="204"/>
      <c r="X10" s="204"/>
      <c r="Y10" s="204"/>
    </row>
    <row r="11" s="33" customFormat="1" ht="90" customHeight="1" spans="1:25">
      <c r="A11" s="200" t="s">
        <v>481</v>
      </c>
      <c r="B11" s="211">
        <v>7.1</v>
      </c>
      <c r="C11" s="211">
        <v>7.1</v>
      </c>
      <c r="D11" s="203" t="s">
        <v>538</v>
      </c>
      <c r="F11" s="204"/>
      <c r="G11" s="204"/>
      <c r="H11" s="204"/>
      <c r="I11" s="204"/>
      <c r="J11" s="204"/>
      <c r="K11" s="204"/>
      <c r="L11" s="204"/>
      <c r="M11" s="204"/>
      <c r="N11" s="204"/>
      <c r="O11" s="204"/>
      <c r="P11" s="204"/>
      <c r="Q11" s="204"/>
      <c r="R11" s="204"/>
      <c r="S11" s="204"/>
      <c r="T11" s="204"/>
      <c r="U11" s="204"/>
      <c r="V11" s="204"/>
      <c r="W11" s="204"/>
      <c r="X11" s="204"/>
      <c r="Y11" s="204"/>
    </row>
    <row r="12" s="33" customFormat="1" ht="90" customHeight="1" spans="1:25">
      <c r="A12" s="200" t="s">
        <v>541</v>
      </c>
      <c r="B12" s="211">
        <v>7.1</v>
      </c>
      <c r="C12" s="211">
        <v>7.1</v>
      </c>
      <c r="D12" s="203" t="s">
        <v>538</v>
      </c>
      <c r="F12" s="204"/>
      <c r="G12" s="204"/>
      <c r="H12" s="204"/>
      <c r="I12" s="204"/>
      <c r="J12" s="204"/>
      <c r="K12" s="204"/>
      <c r="L12" s="204"/>
      <c r="M12" s="204"/>
      <c r="N12" s="204"/>
      <c r="O12" s="204"/>
      <c r="P12" s="204"/>
      <c r="Q12" s="204"/>
      <c r="R12" s="204"/>
      <c r="S12" s="204"/>
      <c r="T12" s="204"/>
      <c r="U12" s="204"/>
      <c r="V12" s="204"/>
      <c r="W12" s="204"/>
      <c r="X12" s="204"/>
      <c r="Y12" s="204"/>
    </row>
    <row r="13" s="33" customFormat="1" ht="90" customHeight="1" spans="1:25">
      <c r="A13" s="200" t="s">
        <v>542</v>
      </c>
      <c r="B13" s="211">
        <v>7.1</v>
      </c>
      <c r="C13" s="211">
        <v>7.1</v>
      </c>
      <c r="D13" s="203" t="s">
        <v>538</v>
      </c>
      <c r="F13" s="204"/>
      <c r="G13" s="204"/>
      <c r="H13" s="204"/>
      <c r="I13" s="204"/>
      <c r="J13" s="204"/>
      <c r="K13" s="204"/>
      <c r="L13" s="204"/>
      <c r="M13" s="204"/>
      <c r="N13" s="204"/>
      <c r="O13" s="204"/>
      <c r="P13" s="204"/>
      <c r="Q13" s="204"/>
      <c r="R13" s="204"/>
      <c r="S13" s="204"/>
      <c r="T13" s="204"/>
      <c r="U13" s="204"/>
      <c r="V13" s="204"/>
      <c r="W13" s="204"/>
      <c r="X13" s="204"/>
      <c r="Y13" s="204"/>
    </row>
    <row r="14" s="33" customFormat="1" ht="90" customHeight="1" spans="1:25">
      <c r="A14" s="200" t="s">
        <v>487</v>
      </c>
      <c r="B14" s="211">
        <v>7.1</v>
      </c>
      <c r="C14" s="211">
        <v>7.1</v>
      </c>
      <c r="D14" s="203" t="s">
        <v>538</v>
      </c>
      <c r="F14" s="204"/>
      <c r="G14" s="204"/>
      <c r="H14" s="204"/>
      <c r="I14" s="204"/>
      <c r="J14" s="204"/>
      <c r="K14" s="204"/>
      <c r="L14" s="204"/>
      <c r="M14" s="204"/>
      <c r="N14" s="204"/>
      <c r="O14" s="204"/>
      <c r="P14" s="204"/>
      <c r="Q14" s="204"/>
      <c r="R14" s="204"/>
      <c r="S14" s="204"/>
      <c r="T14" s="204"/>
      <c r="U14" s="204"/>
      <c r="V14" s="204"/>
      <c r="W14" s="204"/>
      <c r="X14" s="204"/>
      <c r="Y14" s="204"/>
    </row>
    <row r="15" s="33" customFormat="1" ht="90" customHeight="1" spans="1:25">
      <c r="A15" s="200" t="s">
        <v>484</v>
      </c>
      <c r="B15" s="211">
        <v>7.4</v>
      </c>
      <c r="C15" s="211">
        <v>7.4</v>
      </c>
      <c r="D15" s="203" t="s">
        <v>543</v>
      </c>
      <c r="F15" s="204"/>
      <c r="G15" s="204"/>
      <c r="H15" s="204"/>
      <c r="I15" s="204"/>
      <c r="J15" s="204"/>
      <c r="K15" s="204"/>
      <c r="L15" s="204"/>
      <c r="M15" s="204"/>
      <c r="N15" s="204"/>
      <c r="O15" s="204"/>
      <c r="P15" s="204"/>
      <c r="Q15" s="204"/>
      <c r="R15" s="204"/>
      <c r="S15" s="204"/>
      <c r="T15" s="204"/>
      <c r="U15" s="204"/>
      <c r="V15" s="204"/>
      <c r="W15" s="204"/>
      <c r="X15" s="204"/>
      <c r="Y15" s="204"/>
    </row>
    <row r="16" s="33" customFormat="1" ht="90" customHeight="1" spans="1:25">
      <c r="A16" s="200" t="s">
        <v>544</v>
      </c>
      <c r="B16" s="211">
        <v>7.4</v>
      </c>
      <c r="C16" s="211">
        <v>7.4</v>
      </c>
      <c r="D16" s="203" t="s">
        <v>543</v>
      </c>
      <c r="F16" s="204" t="s">
        <v>290</v>
      </c>
      <c r="G16" s="204"/>
      <c r="H16" s="204"/>
      <c r="I16" s="204"/>
      <c r="J16" s="204"/>
      <c r="K16" s="204"/>
      <c r="L16" s="204"/>
      <c r="M16" s="204"/>
      <c r="N16" s="204"/>
      <c r="O16" s="204"/>
      <c r="P16" s="204"/>
      <c r="Q16" s="204"/>
      <c r="R16" s="204"/>
      <c r="S16" s="204"/>
      <c r="T16" s="204"/>
      <c r="U16" s="204"/>
      <c r="V16" s="204"/>
      <c r="W16" s="204"/>
      <c r="X16" s="204"/>
      <c r="Y16" s="204"/>
    </row>
    <row r="17" s="33" customFormat="1" ht="90" customHeight="1" spans="1:25">
      <c r="A17" s="200" t="s">
        <v>493</v>
      </c>
      <c r="B17" s="211">
        <v>7.4</v>
      </c>
      <c r="C17" s="211">
        <v>7.4</v>
      </c>
      <c r="D17" s="203" t="s">
        <v>543</v>
      </c>
      <c r="F17" s="204" t="s">
        <v>291</v>
      </c>
      <c r="G17" s="204"/>
      <c r="H17" s="204"/>
      <c r="I17" s="204"/>
      <c r="J17" s="204"/>
      <c r="K17" s="204"/>
      <c r="L17" s="204"/>
      <c r="M17" s="204"/>
      <c r="N17" s="204"/>
      <c r="O17" s="204"/>
      <c r="P17" s="204"/>
      <c r="Q17" s="204"/>
      <c r="R17" s="204"/>
      <c r="S17" s="204"/>
      <c r="T17" s="204"/>
      <c r="U17" s="204"/>
      <c r="V17" s="204"/>
      <c r="W17" s="204"/>
      <c r="X17" s="204"/>
      <c r="Y17" s="204"/>
    </row>
    <row r="18" s="33" customFormat="1" ht="90" customHeight="1" spans="1:25">
      <c r="A18" s="200" t="s">
        <v>545</v>
      </c>
      <c r="B18" s="211">
        <v>7.4</v>
      </c>
      <c r="C18" s="211">
        <v>7.4</v>
      </c>
      <c r="D18" s="203" t="s">
        <v>543</v>
      </c>
      <c r="F18" s="204"/>
      <c r="G18" s="204"/>
      <c r="H18" s="204"/>
      <c r="I18" s="204"/>
      <c r="J18" s="204"/>
      <c r="K18" s="204"/>
      <c r="L18" s="204"/>
      <c r="M18" s="204"/>
      <c r="N18" s="204"/>
      <c r="O18" s="204"/>
      <c r="P18" s="204"/>
      <c r="Q18" s="204"/>
      <c r="R18" s="204"/>
      <c r="S18" s="204"/>
      <c r="T18" s="204"/>
      <c r="U18" s="204"/>
      <c r="V18" s="204"/>
      <c r="W18" s="204"/>
      <c r="X18" s="204"/>
      <c r="Y18" s="204"/>
    </row>
    <row r="19" s="33" customFormat="1" ht="90" customHeight="1" spans="1:4">
      <c r="A19" s="200" t="s">
        <v>489</v>
      </c>
      <c r="B19" s="211">
        <v>7.4</v>
      </c>
      <c r="C19" s="211">
        <v>7.4</v>
      </c>
      <c r="D19" s="203" t="s">
        <v>543</v>
      </c>
    </row>
    <row r="20" s="33" customFormat="1" ht="90" customHeight="1" spans="1:4">
      <c r="A20" s="200" t="s">
        <v>492</v>
      </c>
      <c r="B20" s="211">
        <v>7.4</v>
      </c>
      <c r="C20" s="211">
        <v>7.4</v>
      </c>
      <c r="D20" s="203" t="s">
        <v>543</v>
      </c>
    </row>
    <row r="21" s="33" customFormat="1" ht="90" customHeight="1" spans="1:4">
      <c r="A21" s="200" t="s">
        <v>477</v>
      </c>
      <c r="B21" s="211">
        <v>7.8</v>
      </c>
      <c r="C21" s="211">
        <v>7.8</v>
      </c>
      <c r="D21" s="203" t="s">
        <v>543</v>
      </c>
    </row>
    <row r="22" s="33" customFormat="1" ht="90" customHeight="1" spans="1:4">
      <c r="A22" s="200" t="s">
        <v>546</v>
      </c>
      <c r="B22" s="211">
        <v>8.3</v>
      </c>
      <c r="C22" s="211">
        <v>8.3</v>
      </c>
      <c r="D22" s="203" t="s">
        <v>547</v>
      </c>
    </row>
    <row r="23" s="33" customFormat="1" ht="90" customHeight="1" spans="1:4">
      <c r="A23" s="200" t="s">
        <v>476</v>
      </c>
      <c r="B23" s="211">
        <v>8.6</v>
      </c>
      <c r="C23" s="211">
        <v>8.6</v>
      </c>
      <c r="D23" s="203" t="s">
        <v>543</v>
      </c>
    </row>
    <row r="24" s="33" customFormat="1" ht="90" customHeight="1" spans="1:4">
      <c r="A24" s="197" t="s">
        <v>548</v>
      </c>
      <c r="B24" s="211">
        <v>8.6</v>
      </c>
      <c r="C24" s="211">
        <v>8.6</v>
      </c>
      <c r="D24" s="203" t="s">
        <v>547</v>
      </c>
    </row>
    <row r="25" s="33" customFormat="1" ht="90" customHeight="1" spans="1:4">
      <c r="A25" s="200" t="s">
        <v>549</v>
      </c>
      <c r="B25" s="211">
        <v>8.9</v>
      </c>
      <c r="C25" s="211">
        <v>8.9</v>
      </c>
      <c r="D25" s="203" t="s">
        <v>547</v>
      </c>
    </row>
    <row r="26" s="33" customFormat="1" ht="90" customHeight="1" spans="1:4">
      <c r="A26" s="200" t="s">
        <v>462</v>
      </c>
      <c r="B26" s="211">
        <v>9.2</v>
      </c>
      <c r="C26" s="211">
        <v>9.2</v>
      </c>
      <c r="D26" s="203" t="s">
        <v>547</v>
      </c>
    </row>
    <row r="27" s="33" customFormat="1" ht="90" customHeight="1" spans="1:4">
      <c r="A27" s="200" t="s">
        <v>471</v>
      </c>
      <c r="B27" s="211">
        <v>9.2</v>
      </c>
      <c r="C27" s="211">
        <v>9.2</v>
      </c>
      <c r="D27" s="203" t="s">
        <v>547</v>
      </c>
    </row>
    <row r="28" s="33" customFormat="1" ht="90" customHeight="1" spans="1:4">
      <c r="A28" s="200" t="s">
        <v>467</v>
      </c>
      <c r="B28" s="211">
        <v>9.2</v>
      </c>
      <c r="C28" s="211">
        <v>9.2</v>
      </c>
      <c r="D28" s="203" t="s">
        <v>547</v>
      </c>
    </row>
    <row r="29" s="33" customFormat="1" ht="90" customHeight="1" spans="1:4">
      <c r="A29" s="200" t="s">
        <v>550</v>
      </c>
      <c r="B29" s="211">
        <v>9.2</v>
      </c>
      <c r="C29" s="211">
        <v>9.2</v>
      </c>
      <c r="D29" s="203" t="s">
        <v>547</v>
      </c>
    </row>
    <row r="30" s="33" customFormat="1" ht="90" customHeight="1" spans="1:4">
      <c r="A30" s="200" t="s">
        <v>392</v>
      </c>
      <c r="B30" s="211">
        <v>9.4</v>
      </c>
      <c r="C30" s="211">
        <v>9.4</v>
      </c>
      <c r="D30" s="203" t="s">
        <v>547</v>
      </c>
    </row>
    <row r="31" s="33" customFormat="1" ht="90" customHeight="1" spans="1:4">
      <c r="A31" s="200" t="s">
        <v>456</v>
      </c>
      <c r="B31" s="211">
        <v>9.4</v>
      </c>
      <c r="C31" s="211">
        <v>9.4</v>
      </c>
      <c r="D31" s="203" t="s">
        <v>547</v>
      </c>
    </row>
    <row r="32" s="33" customFormat="1" ht="90" customHeight="1" spans="1:4">
      <c r="A32" s="200" t="s">
        <v>391</v>
      </c>
      <c r="B32" s="211">
        <v>9.8</v>
      </c>
      <c r="C32" s="211">
        <v>9.8</v>
      </c>
      <c r="D32" s="203" t="s">
        <v>547</v>
      </c>
    </row>
    <row r="33" s="33" customFormat="1" ht="90" customHeight="1" spans="1:4">
      <c r="A33" s="200" t="s">
        <v>464</v>
      </c>
      <c r="B33" s="211">
        <v>10</v>
      </c>
      <c r="C33" s="211">
        <v>10</v>
      </c>
      <c r="D33" s="203" t="s">
        <v>547</v>
      </c>
    </row>
    <row r="34" s="33" customFormat="1" ht="90" customHeight="1" spans="1:4">
      <c r="A34" s="200" t="s">
        <v>424</v>
      </c>
      <c r="B34" s="211">
        <v>10</v>
      </c>
      <c r="C34" s="211">
        <v>10</v>
      </c>
      <c r="D34" s="203" t="s">
        <v>547</v>
      </c>
    </row>
    <row r="35" s="33" customFormat="1" ht="90" customHeight="1" spans="1:4">
      <c r="A35" s="200" t="s">
        <v>475</v>
      </c>
      <c r="B35" s="211">
        <v>10.4</v>
      </c>
      <c r="C35" s="211">
        <v>10.4</v>
      </c>
      <c r="D35" s="203" t="s">
        <v>547</v>
      </c>
    </row>
    <row r="36" s="33" customFormat="1" ht="90" customHeight="1" spans="1:4">
      <c r="A36" s="200" t="s">
        <v>473</v>
      </c>
      <c r="B36" s="211">
        <v>10.5</v>
      </c>
      <c r="C36" s="211">
        <v>10.5</v>
      </c>
      <c r="D36" s="203" t="s">
        <v>547</v>
      </c>
    </row>
    <row r="37" s="33" customFormat="1" ht="90" customHeight="1" spans="1:4">
      <c r="A37" s="200" t="s">
        <v>474</v>
      </c>
      <c r="B37" s="211">
        <v>10.5</v>
      </c>
      <c r="C37" s="211">
        <v>10.5</v>
      </c>
      <c r="D37" s="203" t="s">
        <v>547</v>
      </c>
    </row>
    <row r="38" s="33" customFormat="1" ht="90" customHeight="1" spans="1:4">
      <c r="A38" s="200" t="s">
        <v>472</v>
      </c>
      <c r="B38" s="211">
        <v>10.5</v>
      </c>
      <c r="C38" s="211">
        <v>10.5</v>
      </c>
      <c r="D38" s="203" t="s">
        <v>547</v>
      </c>
    </row>
    <row r="39" s="33" customFormat="1" ht="90" customHeight="1" spans="1:4">
      <c r="A39" s="200" t="s">
        <v>551</v>
      </c>
      <c r="B39" s="211">
        <v>7.4</v>
      </c>
      <c r="C39" s="211">
        <v>7.4</v>
      </c>
      <c r="D39" s="203" t="s">
        <v>543</v>
      </c>
    </row>
    <row r="40" s="33" customFormat="1" ht="90" customHeight="1" spans="1:4">
      <c r="A40" s="200" t="s">
        <v>485</v>
      </c>
      <c r="B40" s="211">
        <v>7.8</v>
      </c>
      <c r="C40" s="211">
        <v>7.8</v>
      </c>
      <c r="D40" s="203" t="s">
        <v>543</v>
      </c>
    </row>
    <row r="41" s="33" customFormat="1" ht="90" customHeight="1" spans="1:4">
      <c r="A41" s="200" t="s">
        <v>552</v>
      </c>
      <c r="B41" s="211">
        <v>7.8</v>
      </c>
      <c r="C41" s="211">
        <v>7.8</v>
      </c>
      <c r="D41" s="203" t="s">
        <v>543</v>
      </c>
    </row>
    <row r="42" s="33" customFormat="1" ht="90" customHeight="1" spans="1:4">
      <c r="A42" s="197" t="s">
        <v>553</v>
      </c>
      <c r="B42" s="211">
        <v>7.9</v>
      </c>
      <c r="C42" s="211">
        <v>7.9</v>
      </c>
      <c r="D42" s="203" t="s">
        <v>547</v>
      </c>
    </row>
    <row r="43" s="33" customFormat="1" ht="90" customHeight="1" spans="1:4">
      <c r="A43" s="200" t="s">
        <v>554</v>
      </c>
      <c r="B43" s="211">
        <v>8</v>
      </c>
      <c r="C43" s="211">
        <v>8</v>
      </c>
      <c r="D43" s="203" t="s">
        <v>543</v>
      </c>
    </row>
    <row r="44" s="33" customFormat="1" ht="90" customHeight="1" spans="1:4">
      <c r="A44" s="200" t="s">
        <v>483</v>
      </c>
      <c r="B44" s="211">
        <v>8</v>
      </c>
      <c r="C44" s="211">
        <v>8</v>
      </c>
      <c r="D44" s="203" t="s">
        <v>543</v>
      </c>
    </row>
    <row r="45" s="33" customFormat="1" ht="90" customHeight="1" spans="1:4">
      <c r="A45" s="200" t="s">
        <v>555</v>
      </c>
      <c r="B45" s="211">
        <v>8</v>
      </c>
      <c r="C45" s="211">
        <v>8</v>
      </c>
      <c r="D45" s="203" t="s">
        <v>547</v>
      </c>
    </row>
    <row r="46" s="33" customFormat="1" ht="90" customHeight="1" spans="1:4">
      <c r="A46" s="200" t="s">
        <v>488</v>
      </c>
      <c r="B46" s="211">
        <v>8</v>
      </c>
      <c r="C46" s="211">
        <v>8</v>
      </c>
      <c r="D46" s="203" t="s">
        <v>547</v>
      </c>
    </row>
    <row r="47" s="33" customFormat="1" ht="90" customHeight="1" spans="1:4">
      <c r="A47" s="200" t="s">
        <v>556</v>
      </c>
      <c r="B47" s="211">
        <v>8.1</v>
      </c>
      <c r="C47" s="211">
        <v>8.1</v>
      </c>
      <c r="D47" s="203" t="s">
        <v>547</v>
      </c>
    </row>
    <row r="48" s="33" customFormat="1" ht="90" customHeight="1" spans="1:4">
      <c r="A48" s="200" t="s">
        <v>557</v>
      </c>
      <c r="B48" s="211">
        <v>8.1</v>
      </c>
      <c r="C48" s="211">
        <v>8.1</v>
      </c>
      <c r="D48" s="203" t="s">
        <v>547</v>
      </c>
    </row>
    <row r="49" s="33" customFormat="1" ht="90" customHeight="1" spans="1:4">
      <c r="A49" s="200" t="s">
        <v>558</v>
      </c>
      <c r="B49" s="211">
        <v>8.3</v>
      </c>
      <c r="C49" s="211">
        <v>8.3</v>
      </c>
      <c r="D49" s="203" t="s">
        <v>543</v>
      </c>
    </row>
    <row r="50" s="33" customFormat="1" ht="90" customHeight="1" spans="1:4">
      <c r="A50" s="200" t="s">
        <v>491</v>
      </c>
      <c r="B50" s="211">
        <v>8.5</v>
      </c>
      <c r="C50" s="211">
        <v>8.5</v>
      </c>
      <c r="D50" s="203" t="s">
        <v>547</v>
      </c>
    </row>
    <row r="51" s="33" customFormat="1" ht="90" customHeight="1" spans="1:4">
      <c r="A51" s="200" t="s">
        <v>559</v>
      </c>
      <c r="B51" s="211">
        <v>8.5</v>
      </c>
      <c r="C51" s="211">
        <v>8.5</v>
      </c>
      <c r="D51" s="203" t="s">
        <v>547</v>
      </c>
    </row>
    <row r="52" s="33" customFormat="1" ht="90" customHeight="1" spans="1:4">
      <c r="A52" s="200" t="s">
        <v>560</v>
      </c>
      <c r="B52" s="211">
        <v>8.6</v>
      </c>
      <c r="C52" s="211">
        <v>8.6</v>
      </c>
      <c r="D52" s="203" t="s">
        <v>543</v>
      </c>
    </row>
    <row r="53" s="33" customFormat="1" ht="90" customHeight="1" spans="1:4">
      <c r="A53" s="200" t="s">
        <v>561</v>
      </c>
      <c r="B53" s="211">
        <v>8.7</v>
      </c>
      <c r="C53" s="211">
        <v>8.7</v>
      </c>
      <c r="D53" s="203" t="s">
        <v>547</v>
      </c>
    </row>
    <row r="54" s="33" customFormat="1" ht="90" customHeight="1" spans="1:4">
      <c r="A54" s="200" t="s">
        <v>562</v>
      </c>
      <c r="B54" s="211">
        <v>8.7</v>
      </c>
      <c r="C54" s="211">
        <v>8.7</v>
      </c>
      <c r="D54" s="203" t="s">
        <v>547</v>
      </c>
    </row>
    <row r="55" s="33" customFormat="1" ht="90" customHeight="1" spans="1:4">
      <c r="A55" s="200" t="s">
        <v>461</v>
      </c>
      <c r="B55" s="211">
        <v>8.7</v>
      </c>
      <c r="C55" s="211">
        <v>8.7</v>
      </c>
      <c r="D55" s="203" t="s">
        <v>547</v>
      </c>
    </row>
    <row r="56" s="33" customFormat="1" ht="90" customHeight="1" spans="1:4">
      <c r="A56" s="200" t="s">
        <v>563</v>
      </c>
      <c r="B56" s="211">
        <v>8.8</v>
      </c>
      <c r="C56" s="211">
        <v>8.8</v>
      </c>
      <c r="D56" s="203" t="s">
        <v>547</v>
      </c>
    </row>
    <row r="57" s="33" customFormat="1" ht="90" customHeight="1" spans="1:4">
      <c r="A57" s="200" t="s">
        <v>454</v>
      </c>
      <c r="B57" s="211">
        <v>8.9</v>
      </c>
      <c r="C57" s="211">
        <v>8.9</v>
      </c>
      <c r="D57" s="203" t="s">
        <v>547</v>
      </c>
    </row>
    <row r="58" s="33" customFormat="1" ht="90" customHeight="1" spans="1:4">
      <c r="A58" s="200" t="s">
        <v>451</v>
      </c>
      <c r="B58" s="211">
        <v>8.9</v>
      </c>
      <c r="C58" s="211">
        <v>8.9</v>
      </c>
      <c r="D58" s="203" t="s">
        <v>547</v>
      </c>
    </row>
    <row r="59" s="33" customFormat="1" ht="90" customHeight="1" spans="1:4">
      <c r="A59" s="200" t="s">
        <v>486</v>
      </c>
      <c r="B59" s="211">
        <v>8.9</v>
      </c>
      <c r="C59" s="211">
        <v>8.9</v>
      </c>
      <c r="D59" s="203" t="s">
        <v>547</v>
      </c>
    </row>
    <row r="60" s="33" customFormat="1" ht="90" customHeight="1" spans="1:4">
      <c r="A60" s="200" t="s">
        <v>564</v>
      </c>
      <c r="B60" s="211">
        <v>8.9</v>
      </c>
      <c r="C60" s="211">
        <v>8.9</v>
      </c>
      <c r="D60" s="203" t="s">
        <v>547</v>
      </c>
    </row>
    <row r="61" s="33" customFormat="1" ht="90" customHeight="1" spans="1:4">
      <c r="A61" s="200" t="s">
        <v>490</v>
      </c>
      <c r="B61" s="211">
        <v>9</v>
      </c>
      <c r="C61" s="211">
        <v>9</v>
      </c>
      <c r="D61" s="203" t="s">
        <v>547</v>
      </c>
    </row>
    <row r="62" s="33" customFormat="1" ht="90" customHeight="1" spans="1:4">
      <c r="A62" s="200" t="s">
        <v>466</v>
      </c>
      <c r="B62" s="211">
        <v>9.2</v>
      </c>
      <c r="C62" s="211">
        <v>9.2</v>
      </c>
      <c r="D62" s="203" t="s">
        <v>547</v>
      </c>
    </row>
    <row r="63" s="33" customFormat="1" ht="90" customHeight="1" spans="1:4">
      <c r="A63" s="200" t="s">
        <v>459</v>
      </c>
      <c r="B63" s="211">
        <v>9.2</v>
      </c>
      <c r="C63" s="211">
        <v>9.2</v>
      </c>
      <c r="D63" s="203" t="s">
        <v>547</v>
      </c>
    </row>
    <row r="64" s="33" customFormat="1" ht="90" customHeight="1" spans="1:4">
      <c r="A64" s="200" t="s">
        <v>565</v>
      </c>
      <c r="B64" s="211">
        <v>9.2</v>
      </c>
      <c r="C64" s="211">
        <v>9.2</v>
      </c>
      <c r="D64" s="203" t="s">
        <v>547</v>
      </c>
    </row>
    <row r="65" s="33" customFormat="1" ht="90" customHeight="1" spans="1:4">
      <c r="A65" s="200" t="s">
        <v>566</v>
      </c>
      <c r="B65" s="211">
        <v>9.2</v>
      </c>
      <c r="C65" s="211">
        <v>9.2</v>
      </c>
      <c r="D65" s="203" t="s">
        <v>547</v>
      </c>
    </row>
    <row r="66" s="33" customFormat="1" ht="90" customHeight="1" spans="1:4">
      <c r="A66" s="200" t="s">
        <v>457</v>
      </c>
      <c r="B66" s="211">
        <v>9.4</v>
      </c>
      <c r="C66" s="211">
        <v>9.4</v>
      </c>
      <c r="D66" s="203" t="s">
        <v>547</v>
      </c>
    </row>
    <row r="67" s="33" customFormat="1" ht="90" customHeight="1" spans="1:4">
      <c r="A67" s="200" t="s">
        <v>440</v>
      </c>
      <c r="B67" s="211">
        <v>9.4</v>
      </c>
      <c r="C67" s="211">
        <v>9.4</v>
      </c>
      <c r="D67" s="203" t="s">
        <v>547</v>
      </c>
    </row>
    <row r="68" s="33" customFormat="1" ht="90" customHeight="1" spans="1:4">
      <c r="A68" s="200" t="s">
        <v>567</v>
      </c>
      <c r="B68" s="211">
        <v>9.4</v>
      </c>
      <c r="C68" s="211">
        <v>9.4</v>
      </c>
      <c r="D68" s="203" t="s">
        <v>547</v>
      </c>
    </row>
    <row r="69" s="33" customFormat="1" ht="90" customHeight="1" spans="1:4">
      <c r="A69" s="200" t="s">
        <v>568</v>
      </c>
      <c r="B69" s="211">
        <v>9.6</v>
      </c>
      <c r="C69" s="211">
        <v>9.6</v>
      </c>
      <c r="D69" s="203" t="s">
        <v>547</v>
      </c>
    </row>
    <row r="70" s="33" customFormat="1" ht="90" customHeight="1" spans="1:4">
      <c r="A70" s="200" t="s">
        <v>452</v>
      </c>
      <c r="B70" s="211">
        <v>9.6</v>
      </c>
      <c r="C70" s="211">
        <v>9.6</v>
      </c>
      <c r="D70" s="203" t="s">
        <v>547</v>
      </c>
    </row>
    <row r="71" s="33" customFormat="1" ht="90" customHeight="1" spans="1:4">
      <c r="A71" s="200" t="s">
        <v>569</v>
      </c>
      <c r="B71" s="211">
        <v>9.6</v>
      </c>
      <c r="C71" s="211">
        <v>9.6</v>
      </c>
      <c r="D71" s="203" t="s">
        <v>547</v>
      </c>
    </row>
    <row r="72" s="33" customFormat="1" ht="90" customHeight="1" spans="1:4">
      <c r="A72" s="200" t="s">
        <v>570</v>
      </c>
      <c r="B72" s="211">
        <v>9.6</v>
      </c>
      <c r="C72" s="211">
        <v>9.6</v>
      </c>
      <c r="D72" s="203" t="s">
        <v>547</v>
      </c>
    </row>
    <row r="73" s="33" customFormat="1" ht="90" customHeight="1" spans="1:4">
      <c r="A73" s="200" t="s">
        <v>571</v>
      </c>
      <c r="B73" s="211">
        <v>9.6</v>
      </c>
      <c r="C73" s="211">
        <v>9.6</v>
      </c>
      <c r="D73" s="203" t="s">
        <v>547</v>
      </c>
    </row>
    <row r="74" s="33" customFormat="1" ht="90" customHeight="1" spans="1:4">
      <c r="A74" s="200" t="s">
        <v>446</v>
      </c>
      <c r="B74" s="211">
        <v>9.7</v>
      </c>
      <c r="C74" s="211">
        <v>9.7</v>
      </c>
      <c r="D74" s="203" t="s">
        <v>547</v>
      </c>
    </row>
    <row r="75" s="33" customFormat="1" ht="90" customHeight="1" spans="1:4">
      <c r="A75" s="200" t="s">
        <v>572</v>
      </c>
      <c r="B75" s="211">
        <v>9.7</v>
      </c>
      <c r="C75" s="211">
        <v>9.7</v>
      </c>
      <c r="D75" s="203" t="s">
        <v>547</v>
      </c>
    </row>
    <row r="76" s="33" customFormat="1" ht="90" customHeight="1" spans="1:4">
      <c r="A76" s="200" t="s">
        <v>573</v>
      </c>
      <c r="B76" s="211">
        <v>9.8</v>
      </c>
      <c r="C76" s="211">
        <v>9.8</v>
      </c>
      <c r="D76" s="203" t="s">
        <v>547</v>
      </c>
    </row>
    <row r="77" s="33" customFormat="1" ht="90" customHeight="1" spans="1:4">
      <c r="A77" s="200" t="s">
        <v>574</v>
      </c>
      <c r="B77" s="211">
        <v>9.8</v>
      </c>
      <c r="C77" s="211">
        <v>9.8</v>
      </c>
      <c r="D77" s="203" t="s">
        <v>547</v>
      </c>
    </row>
    <row r="78" s="33" customFormat="1" ht="90" customHeight="1" spans="1:4">
      <c r="A78" s="200" t="s">
        <v>575</v>
      </c>
      <c r="B78" s="211">
        <v>9.8</v>
      </c>
      <c r="C78" s="211">
        <v>9.8</v>
      </c>
      <c r="D78" s="203" t="s">
        <v>547</v>
      </c>
    </row>
    <row r="79" s="33" customFormat="1" ht="90" customHeight="1" spans="1:4">
      <c r="A79" s="200" t="s">
        <v>463</v>
      </c>
      <c r="B79" s="211">
        <v>9.8</v>
      </c>
      <c r="C79" s="211">
        <v>9.8</v>
      </c>
      <c r="D79" s="203" t="s">
        <v>547</v>
      </c>
    </row>
    <row r="80" s="33" customFormat="1" ht="90" customHeight="1" spans="1:4">
      <c r="A80" s="200" t="s">
        <v>494</v>
      </c>
      <c r="B80" s="211">
        <v>10</v>
      </c>
      <c r="C80" s="211">
        <v>10</v>
      </c>
      <c r="D80" s="203" t="s">
        <v>547</v>
      </c>
    </row>
    <row r="81" s="33" customFormat="1" ht="90" customHeight="1" spans="1:4">
      <c r="A81" s="200" t="s">
        <v>576</v>
      </c>
      <c r="B81" s="211">
        <v>10.5</v>
      </c>
      <c r="C81" s="211">
        <v>10.5</v>
      </c>
      <c r="D81" s="203" t="s">
        <v>547</v>
      </c>
    </row>
    <row r="82" s="33" customFormat="1" ht="99" customHeight="1" spans="1:4">
      <c r="A82" s="200" t="s">
        <v>577</v>
      </c>
      <c r="B82" s="211">
        <v>11.1</v>
      </c>
      <c r="C82" s="211">
        <v>11.1</v>
      </c>
      <c r="D82" s="203" t="s">
        <v>547</v>
      </c>
    </row>
    <row r="83" ht="99" customHeight="1" spans="1:4">
      <c r="A83" s="200" t="s">
        <v>578</v>
      </c>
      <c r="B83" s="211">
        <v>11.4</v>
      </c>
      <c r="C83" s="211">
        <v>11.4</v>
      </c>
      <c r="D83" s="203" t="s">
        <v>547</v>
      </c>
    </row>
    <row r="84" ht="99" customHeight="1" spans="1:4">
      <c r="A84" s="200" t="s">
        <v>579</v>
      </c>
      <c r="B84" s="211">
        <v>12.8</v>
      </c>
      <c r="C84" s="211">
        <v>12.8</v>
      </c>
      <c r="D84" s="203" t="s">
        <v>547</v>
      </c>
    </row>
  </sheetData>
  <sheetProtection formatCells="0" insertHyperlinks="0" autoFilter="0"/>
  <mergeCells count="10">
    <mergeCell ref="A1:D1"/>
    <mergeCell ref="F16:Y16"/>
    <mergeCell ref="A2:A4"/>
    <mergeCell ref="B3:B4"/>
    <mergeCell ref="C3:C4"/>
    <mergeCell ref="D2:D4"/>
    <mergeCell ref="F2:Y3"/>
    <mergeCell ref="F4:Y9"/>
    <mergeCell ref="F10:Y15"/>
    <mergeCell ref="F17:Y18"/>
  </mergeCells>
  <hyperlinks>
    <hyperlink ref="E1" location="目录!A1" display="返回目录"/>
  </hyperlinks>
  <pageMargins left="0.75" right="0.75" top="1" bottom="1" header="0.5" footer="0.5"/>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70C0"/>
  </sheetPr>
  <dimension ref="A1:Y18"/>
  <sheetViews>
    <sheetView zoomScale="40" zoomScaleNormal="40" workbookViewId="0">
      <pane ySplit="1" topLeftCell="A2" activePane="bottomLeft" state="frozen"/>
      <selection/>
      <selection pane="bottomLeft" activeCell="C19" sqref="C19"/>
    </sheetView>
  </sheetViews>
  <sheetFormatPr defaultColWidth="9" defaultRowHeight="243" customHeight="1"/>
  <cols>
    <col min="1" max="1" width="104.375" style="33" customWidth="1"/>
    <col min="2" max="2" width="135.616666666667" style="33" customWidth="1"/>
    <col min="3" max="3" width="99.375" style="33" customWidth="1"/>
    <col min="4" max="4" width="98" style="33" customWidth="1"/>
    <col min="5" max="5" width="34.0666666666667" style="33" customWidth="1"/>
    <col min="6" max="6" width="12.625" style="33"/>
    <col min="7" max="16384" width="9" style="33"/>
  </cols>
  <sheetData>
    <row r="1" s="188" customFormat="1" customHeight="1" spans="1:5">
      <c r="A1" s="190" t="s">
        <v>580</v>
      </c>
      <c r="B1" s="191"/>
      <c r="C1" s="191"/>
      <c r="D1" s="191"/>
      <c r="E1" s="167" t="s">
        <v>190</v>
      </c>
    </row>
    <row r="2" s="33" customFormat="1" ht="120" customHeight="1" spans="1:25">
      <c r="A2" s="193" t="s">
        <v>326</v>
      </c>
      <c r="B2" s="194" t="s">
        <v>327</v>
      </c>
      <c r="C2" s="196" t="s">
        <v>328</v>
      </c>
      <c r="D2" s="201" t="s">
        <v>329</v>
      </c>
      <c r="F2" s="193" t="s">
        <v>88</v>
      </c>
      <c r="G2" s="193"/>
      <c r="H2" s="193"/>
      <c r="I2" s="193"/>
      <c r="J2" s="193"/>
      <c r="K2" s="193"/>
      <c r="L2" s="193"/>
      <c r="M2" s="193"/>
      <c r="N2" s="193"/>
      <c r="O2" s="193"/>
      <c r="P2" s="193"/>
      <c r="Q2" s="193"/>
      <c r="R2" s="193"/>
      <c r="S2" s="193"/>
      <c r="T2" s="193"/>
      <c r="U2" s="193"/>
      <c r="V2" s="193"/>
      <c r="W2" s="193"/>
      <c r="X2" s="193"/>
      <c r="Y2" s="193"/>
    </row>
    <row r="3" s="33" customFormat="1" ht="46" customHeight="1" spans="1:25">
      <c r="A3" s="193"/>
      <c r="B3" s="207" t="s">
        <v>385</v>
      </c>
      <c r="C3" s="207" t="s">
        <v>385</v>
      </c>
      <c r="D3" s="201"/>
      <c r="F3" s="193"/>
      <c r="G3" s="193"/>
      <c r="H3" s="193"/>
      <c r="I3" s="193"/>
      <c r="J3" s="193"/>
      <c r="K3" s="193"/>
      <c r="L3" s="193"/>
      <c r="M3" s="193"/>
      <c r="N3" s="193"/>
      <c r="O3" s="193"/>
      <c r="P3" s="193"/>
      <c r="Q3" s="193"/>
      <c r="R3" s="193"/>
      <c r="S3" s="193"/>
      <c r="T3" s="193"/>
      <c r="U3" s="193"/>
      <c r="V3" s="193"/>
      <c r="W3" s="193"/>
      <c r="X3" s="193"/>
      <c r="Y3" s="193"/>
    </row>
    <row r="4" s="33" customFormat="1" ht="46" customHeight="1" spans="1:25">
      <c r="A4" s="193"/>
      <c r="B4" s="208"/>
      <c r="C4" s="208"/>
      <c r="D4" s="201"/>
      <c r="F4" s="202" t="s">
        <v>386</v>
      </c>
      <c r="G4" s="202"/>
      <c r="H4" s="202"/>
      <c r="I4" s="202"/>
      <c r="J4" s="202"/>
      <c r="K4" s="202"/>
      <c r="L4" s="202"/>
      <c r="M4" s="202"/>
      <c r="N4" s="202"/>
      <c r="O4" s="202"/>
      <c r="P4" s="202"/>
      <c r="Q4" s="202"/>
      <c r="R4" s="202"/>
      <c r="S4" s="202"/>
      <c r="T4" s="202"/>
      <c r="U4" s="202"/>
      <c r="V4" s="202"/>
      <c r="W4" s="202"/>
      <c r="X4" s="202"/>
      <c r="Y4" s="202"/>
    </row>
    <row r="5" s="33" customFormat="1" ht="90" customHeight="1" spans="1:25">
      <c r="A5" s="197" t="s">
        <v>391</v>
      </c>
      <c r="B5" s="206">
        <v>8.4</v>
      </c>
      <c r="C5" s="206">
        <v>8.6</v>
      </c>
      <c r="D5" s="203" t="s">
        <v>581</v>
      </c>
      <c r="F5" s="202"/>
      <c r="G5" s="202"/>
      <c r="H5" s="202"/>
      <c r="I5" s="202"/>
      <c r="J5" s="202"/>
      <c r="K5" s="202"/>
      <c r="L5" s="202"/>
      <c r="M5" s="202"/>
      <c r="N5" s="202"/>
      <c r="O5" s="202"/>
      <c r="P5" s="202"/>
      <c r="Q5" s="202"/>
      <c r="R5" s="202"/>
      <c r="S5" s="202"/>
      <c r="T5" s="202"/>
      <c r="U5" s="202"/>
      <c r="V5" s="202"/>
      <c r="W5" s="202"/>
      <c r="X5" s="202"/>
      <c r="Y5" s="202"/>
    </row>
    <row r="6" s="33" customFormat="1" ht="90" customHeight="1" spans="1:25">
      <c r="A6" s="200" t="s">
        <v>424</v>
      </c>
      <c r="B6" s="206">
        <v>8.4</v>
      </c>
      <c r="C6" s="206">
        <v>8.6</v>
      </c>
      <c r="D6" s="203" t="s">
        <v>581</v>
      </c>
      <c r="F6" s="202"/>
      <c r="G6" s="202"/>
      <c r="H6" s="202"/>
      <c r="I6" s="202"/>
      <c r="J6" s="202"/>
      <c r="K6" s="202"/>
      <c r="L6" s="202"/>
      <c r="M6" s="202"/>
      <c r="N6" s="202"/>
      <c r="O6" s="202"/>
      <c r="P6" s="202"/>
      <c r="Q6" s="202"/>
      <c r="R6" s="202"/>
      <c r="S6" s="202"/>
      <c r="T6" s="202"/>
      <c r="U6" s="202"/>
      <c r="V6" s="202"/>
      <c r="W6" s="202"/>
      <c r="X6" s="202"/>
      <c r="Y6" s="202"/>
    </row>
    <row r="7" s="33" customFormat="1" ht="90" customHeight="1" spans="1:25">
      <c r="A7" s="200" t="s">
        <v>582</v>
      </c>
      <c r="B7" s="206">
        <v>8.4</v>
      </c>
      <c r="C7" s="206">
        <v>8.6</v>
      </c>
      <c r="D7" s="203" t="s">
        <v>581</v>
      </c>
      <c r="F7" s="202"/>
      <c r="G7" s="202"/>
      <c r="H7" s="202"/>
      <c r="I7" s="202"/>
      <c r="J7" s="202"/>
      <c r="K7" s="202"/>
      <c r="L7" s="202"/>
      <c r="M7" s="202"/>
      <c r="N7" s="202"/>
      <c r="O7" s="202"/>
      <c r="P7" s="202"/>
      <c r="Q7" s="202"/>
      <c r="R7" s="202"/>
      <c r="S7" s="202"/>
      <c r="T7" s="202"/>
      <c r="U7" s="202"/>
      <c r="V7" s="202"/>
      <c r="W7" s="202"/>
      <c r="X7" s="202"/>
      <c r="Y7" s="202"/>
    </row>
    <row r="8" s="33" customFormat="1" ht="90" customHeight="1" spans="1:25">
      <c r="A8" s="200" t="s">
        <v>463</v>
      </c>
      <c r="B8" s="206">
        <v>8.4</v>
      </c>
      <c r="C8" s="206">
        <v>8.6</v>
      </c>
      <c r="D8" s="203" t="s">
        <v>581</v>
      </c>
      <c r="F8" s="202"/>
      <c r="G8" s="202"/>
      <c r="H8" s="202"/>
      <c r="I8" s="202"/>
      <c r="J8" s="202"/>
      <c r="K8" s="202"/>
      <c r="L8" s="202"/>
      <c r="M8" s="202"/>
      <c r="N8" s="202"/>
      <c r="O8" s="202"/>
      <c r="P8" s="202"/>
      <c r="Q8" s="202"/>
      <c r="R8" s="202"/>
      <c r="S8" s="202"/>
      <c r="T8" s="202"/>
      <c r="U8" s="202"/>
      <c r="V8" s="202"/>
      <c r="W8" s="202"/>
      <c r="X8" s="202"/>
      <c r="Y8" s="202"/>
    </row>
    <row r="9" s="33" customFormat="1" ht="90" customHeight="1" spans="1:25">
      <c r="A9" s="200" t="s">
        <v>464</v>
      </c>
      <c r="B9" s="206">
        <v>8.8</v>
      </c>
      <c r="C9" s="206">
        <v>9</v>
      </c>
      <c r="D9" s="203" t="s">
        <v>581</v>
      </c>
      <c r="F9" s="204" t="s">
        <v>388</v>
      </c>
      <c r="G9" s="204"/>
      <c r="H9" s="204"/>
      <c r="I9" s="204"/>
      <c r="J9" s="204"/>
      <c r="K9" s="204"/>
      <c r="L9" s="204"/>
      <c r="M9" s="204"/>
      <c r="N9" s="204"/>
      <c r="O9" s="204"/>
      <c r="P9" s="204"/>
      <c r="Q9" s="204"/>
      <c r="R9" s="204"/>
      <c r="S9" s="204"/>
      <c r="T9" s="204"/>
      <c r="U9" s="204"/>
      <c r="V9" s="204"/>
      <c r="W9" s="204"/>
      <c r="X9" s="204"/>
      <c r="Y9" s="204"/>
    </row>
    <row r="10" s="33" customFormat="1" ht="90" customHeight="1" spans="1:25">
      <c r="A10" s="200" t="s">
        <v>583</v>
      </c>
      <c r="B10" s="206">
        <v>8.8</v>
      </c>
      <c r="C10" s="206">
        <v>9</v>
      </c>
      <c r="D10" s="203" t="s">
        <v>581</v>
      </c>
      <c r="F10" s="204"/>
      <c r="G10" s="204"/>
      <c r="H10" s="204"/>
      <c r="I10" s="204"/>
      <c r="J10" s="204"/>
      <c r="K10" s="204"/>
      <c r="L10" s="204"/>
      <c r="M10" s="204"/>
      <c r="N10" s="204"/>
      <c r="O10" s="204"/>
      <c r="P10" s="204"/>
      <c r="Q10" s="204"/>
      <c r="R10" s="204"/>
      <c r="S10" s="204"/>
      <c r="T10" s="204"/>
      <c r="U10" s="204"/>
      <c r="V10" s="204"/>
      <c r="W10" s="204"/>
      <c r="X10" s="204"/>
      <c r="Y10" s="204"/>
    </row>
    <row r="11" s="33" customFormat="1" ht="90" customHeight="1" spans="1:25">
      <c r="A11" s="200" t="s">
        <v>392</v>
      </c>
      <c r="B11" s="206">
        <v>8.8</v>
      </c>
      <c r="C11" s="206">
        <v>9</v>
      </c>
      <c r="D11" s="203" t="s">
        <v>581</v>
      </c>
      <c r="F11" s="204"/>
      <c r="G11" s="204"/>
      <c r="H11" s="204"/>
      <c r="I11" s="204"/>
      <c r="J11" s="204"/>
      <c r="K11" s="204"/>
      <c r="L11" s="204"/>
      <c r="M11" s="204"/>
      <c r="N11" s="204"/>
      <c r="O11" s="204"/>
      <c r="P11" s="204"/>
      <c r="Q11" s="204"/>
      <c r="R11" s="204"/>
      <c r="S11" s="204"/>
      <c r="T11" s="204"/>
      <c r="U11" s="204"/>
      <c r="V11" s="204"/>
      <c r="W11" s="204"/>
      <c r="X11" s="204"/>
      <c r="Y11" s="204"/>
    </row>
    <row r="12" s="33" customFormat="1" ht="90" customHeight="1" spans="1:25">
      <c r="A12" s="200" t="s">
        <v>584</v>
      </c>
      <c r="B12" s="206">
        <v>8.8</v>
      </c>
      <c r="C12" s="206">
        <v>9</v>
      </c>
      <c r="D12" s="203" t="s">
        <v>581</v>
      </c>
      <c r="F12" s="204"/>
      <c r="G12" s="204"/>
      <c r="H12" s="204"/>
      <c r="I12" s="204"/>
      <c r="J12" s="204"/>
      <c r="K12" s="204"/>
      <c r="L12" s="204"/>
      <c r="M12" s="204"/>
      <c r="N12" s="204"/>
      <c r="O12" s="204"/>
      <c r="P12" s="204"/>
      <c r="Q12" s="204"/>
      <c r="R12" s="204"/>
      <c r="S12" s="204"/>
      <c r="T12" s="204"/>
      <c r="U12" s="204"/>
      <c r="V12" s="204"/>
      <c r="W12" s="204"/>
      <c r="X12" s="204"/>
      <c r="Y12" s="204"/>
    </row>
    <row r="13" s="33" customFormat="1" ht="90" customHeight="1" spans="1:25">
      <c r="A13" s="200" t="s">
        <v>585</v>
      </c>
      <c r="B13" s="206">
        <v>8.8</v>
      </c>
      <c r="C13" s="206">
        <v>9</v>
      </c>
      <c r="D13" s="203" t="s">
        <v>581</v>
      </c>
      <c r="F13" s="204"/>
      <c r="G13" s="204"/>
      <c r="H13" s="204"/>
      <c r="I13" s="204"/>
      <c r="J13" s="204"/>
      <c r="K13" s="204"/>
      <c r="L13" s="204"/>
      <c r="M13" s="204"/>
      <c r="N13" s="204"/>
      <c r="O13" s="204"/>
      <c r="P13" s="204"/>
      <c r="Q13" s="204"/>
      <c r="R13" s="204"/>
      <c r="S13" s="204"/>
      <c r="T13" s="204"/>
      <c r="U13" s="204"/>
      <c r="V13" s="204"/>
      <c r="W13" s="204"/>
      <c r="X13" s="204"/>
      <c r="Y13" s="204"/>
    </row>
    <row r="14" s="33" customFormat="1" ht="90" customHeight="1" spans="1:25">
      <c r="A14" s="200" t="s">
        <v>577</v>
      </c>
      <c r="B14" s="206">
        <v>8.8</v>
      </c>
      <c r="C14" s="206">
        <v>9</v>
      </c>
      <c r="D14" s="203" t="s">
        <v>581</v>
      </c>
      <c r="F14" s="204"/>
      <c r="G14" s="204"/>
      <c r="H14" s="204"/>
      <c r="I14" s="204"/>
      <c r="J14" s="204"/>
      <c r="K14" s="204"/>
      <c r="L14" s="204"/>
      <c r="M14" s="204"/>
      <c r="N14" s="204"/>
      <c r="O14" s="204"/>
      <c r="P14" s="204"/>
      <c r="Q14" s="204"/>
      <c r="R14" s="204"/>
      <c r="S14" s="204"/>
      <c r="T14" s="204"/>
      <c r="U14" s="204"/>
      <c r="V14" s="204"/>
      <c r="W14" s="204"/>
      <c r="X14" s="204"/>
      <c r="Y14" s="204"/>
    </row>
    <row r="15" s="33" customFormat="1" ht="90" customHeight="1" spans="1:25">
      <c r="A15" s="200" t="s">
        <v>586</v>
      </c>
      <c r="B15" s="206">
        <v>8.8</v>
      </c>
      <c r="C15" s="206">
        <v>9</v>
      </c>
      <c r="D15" s="203" t="s">
        <v>581</v>
      </c>
      <c r="F15" s="204" t="s">
        <v>290</v>
      </c>
      <c r="G15" s="204"/>
      <c r="H15" s="204"/>
      <c r="I15" s="204"/>
      <c r="J15" s="204"/>
      <c r="K15" s="204"/>
      <c r="L15" s="204"/>
      <c r="M15" s="204"/>
      <c r="N15" s="204"/>
      <c r="O15" s="204"/>
      <c r="P15" s="204"/>
      <c r="Q15" s="204"/>
      <c r="R15" s="204"/>
      <c r="S15" s="204"/>
      <c r="T15" s="204"/>
      <c r="U15" s="204"/>
      <c r="V15" s="204"/>
      <c r="W15" s="204"/>
      <c r="X15" s="204"/>
      <c r="Y15" s="204"/>
    </row>
    <row r="16" s="33" customFormat="1" ht="90" customHeight="1" spans="1:25">
      <c r="A16" s="200" t="s">
        <v>587</v>
      </c>
      <c r="B16" s="206">
        <v>9</v>
      </c>
      <c r="C16" s="206">
        <v>9.2</v>
      </c>
      <c r="D16" s="203" t="s">
        <v>581</v>
      </c>
      <c r="F16" s="204" t="s">
        <v>291</v>
      </c>
      <c r="G16" s="204"/>
      <c r="H16" s="204"/>
      <c r="I16" s="204"/>
      <c r="J16" s="204"/>
      <c r="K16" s="204"/>
      <c r="L16" s="204"/>
      <c r="M16" s="204"/>
      <c r="N16" s="204"/>
      <c r="O16" s="204"/>
      <c r="P16" s="204"/>
      <c r="Q16" s="204"/>
      <c r="R16" s="204"/>
      <c r="S16" s="204"/>
      <c r="T16" s="204"/>
      <c r="U16" s="204"/>
      <c r="V16" s="204"/>
      <c r="W16" s="204"/>
      <c r="X16" s="204"/>
      <c r="Y16" s="204"/>
    </row>
    <row r="17" s="33" customFormat="1" ht="90" customHeight="1" spans="1:25">
      <c r="A17" s="200" t="s">
        <v>437</v>
      </c>
      <c r="B17" s="206">
        <v>9</v>
      </c>
      <c r="C17" s="206">
        <v>9.2</v>
      </c>
      <c r="D17" s="203" t="s">
        <v>581</v>
      </c>
      <c r="F17" s="204"/>
      <c r="G17" s="204"/>
      <c r="H17" s="204"/>
      <c r="I17" s="204"/>
      <c r="J17" s="204"/>
      <c r="K17" s="204"/>
      <c r="L17" s="204"/>
      <c r="M17" s="204"/>
      <c r="N17" s="204"/>
      <c r="O17" s="204"/>
      <c r="P17" s="204"/>
      <c r="Q17" s="204"/>
      <c r="R17" s="204"/>
      <c r="S17" s="204"/>
      <c r="T17" s="204"/>
      <c r="U17" s="204"/>
      <c r="V17" s="204"/>
      <c r="W17" s="204"/>
      <c r="X17" s="204"/>
      <c r="Y17" s="204"/>
    </row>
    <row r="18" s="33" customFormat="1" ht="90" customHeight="1" spans="1:4">
      <c r="A18" s="200" t="s">
        <v>588</v>
      </c>
      <c r="B18" s="206">
        <v>9</v>
      </c>
      <c r="C18" s="206">
        <v>9.2</v>
      </c>
      <c r="D18" s="203" t="s">
        <v>581</v>
      </c>
    </row>
  </sheetData>
  <sheetProtection formatCells="0" insertHyperlinks="0" autoFilter="0"/>
  <mergeCells count="10">
    <mergeCell ref="A1:D1"/>
    <mergeCell ref="F15:Y15"/>
    <mergeCell ref="A2:A4"/>
    <mergeCell ref="B3:B4"/>
    <mergeCell ref="C3:C4"/>
    <mergeCell ref="D2:D4"/>
    <mergeCell ref="F2:Y3"/>
    <mergeCell ref="F4:Y8"/>
    <mergeCell ref="F9:Y14"/>
    <mergeCell ref="F16:Y17"/>
  </mergeCells>
  <hyperlinks>
    <hyperlink ref="E1" location="目录!A1" display="返回目录"/>
  </hyperlinks>
  <pageMargins left="0.75" right="0.75" top="1" bottom="1" header="0.5" footer="0.5"/>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70C0"/>
  </sheetPr>
  <dimension ref="A1:X53"/>
  <sheetViews>
    <sheetView zoomScale="40" zoomScaleNormal="40" workbookViewId="0">
      <selection activeCell="D2" sqref="D2:D6"/>
    </sheetView>
  </sheetViews>
  <sheetFormatPr defaultColWidth="9" defaultRowHeight="243" customHeight="1"/>
  <cols>
    <col min="1" max="1" width="104.375" style="33" customWidth="1"/>
    <col min="2" max="2" width="130" style="33" customWidth="1"/>
    <col min="3" max="3" width="98" style="33" customWidth="1"/>
    <col min="4" max="4" width="34.0666666666667" style="33" customWidth="1"/>
    <col min="5" max="5" width="12.625" style="33"/>
    <col min="6" max="16384" width="9" style="33"/>
  </cols>
  <sheetData>
    <row r="1" s="188" customFormat="1" customHeight="1" spans="1:4">
      <c r="A1" s="205" t="s">
        <v>38</v>
      </c>
      <c r="B1" s="191"/>
      <c r="C1" s="191"/>
      <c r="D1" s="167" t="s">
        <v>190</v>
      </c>
    </row>
    <row r="2" s="33" customFormat="1" ht="120" customHeight="1" spans="1:24">
      <c r="A2" s="193" t="s">
        <v>326</v>
      </c>
      <c r="B2" s="194" t="s">
        <v>327</v>
      </c>
      <c r="C2" s="201" t="s">
        <v>329</v>
      </c>
      <c r="E2" s="193" t="s">
        <v>88</v>
      </c>
      <c r="F2" s="193"/>
      <c r="G2" s="193"/>
      <c r="H2" s="193"/>
      <c r="I2" s="193"/>
      <c r="J2" s="193"/>
      <c r="K2" s="193"/>
      <c r="L2" s="193"/>
      <c r="M2" s="193"/>
      <c r="N2" s="193"/>
      <c r="O2" s="193"/>
      <c r="P2" s="193"/>
      <c r="Q2" s="193"/>
      <c r="R2" s="193"/>
      <c r="S2" s="193"/>
      <c r="T2" s="193"/>
      <c r="U2" s="193"/>
      <c r="V2" s="193"/>
      <c r="W2" s="193"/>
      <c r="X2" s="193"/>
    </row>
    <row r="3" s="33" customFormat="1" ht="46" customHeight="1" spans="1:24">
      <c r="A3" s="193"/>
      <c r="B3" s="193" t="s">
        <v>385</v>
      </c>
      <c r="C3" s="201"/>
      <c r="E3" s="193"/>
      <c r="F3" s="193"/>
      <c r="G3" s="193"/>
      <c r="H3" s="193"/>
      <c r="I3" s="193"/>
      <c r="J3" s="193"/>
      <c r="K3" s="193"/>
      <c r="L3" s="193"/>
      <c r="M3" s="193"/>
      <c r="N3" s="193"/>
      <c r="O3" s="193"/>
      <c r="P3" s="193"/>
      <c r="Q3" s="193"/>
      <c r="R3" s="193"/>
      <c r="S3" s="193"/>
      <c r="T3" s="193"/>
      <c r="U3" s="193"/>
      <c r="V3" s="193"/>
      <c r="W3" s="193"/>
      <c r="X3" s="193"/>
    </row>
    <row r="4" s="33" customFormat="1" ht="46" customHeight="1" spans="1:24">
      <c r="A4" s="193"/>
      <c r="B4" s="193"/>
      <c r="C4" s="201"/>
      <c r="E4" s="202" t="s">
        <v>386</v>
      </c>
      <c r="F4" s="202"/>
      <c r="G4" s="202"/>
      <c r="H4" s="202"/>
      <c r="I4" s="202"/>
      <c r="J4" s="202"/>
      <c r="K4" s="202"/>
      <c r="L4" s="202"/>
      <c r="M4" s="202"/>
      <c r="N4" s="202"/>
      <c r="O4" s="202"/>
      <c r="P4" s="202"/>
      <c r="Q4" s="202"/>
      <c r="R4" s="202"/>
      <c r="S4" s="202"/>
      <c r="T4" s="202"/>
      <c r="U4" s="202"/>
      <c r="V4" s="202"/>
      <c r="W4" s="202"/>
      <c r="X4" s="202"/>
    </row>
    <row r="5" s="33" customFormat="1" ht="69" customHeight="1" spans="1:24">
      <c r="A5" s="197" t="s">
        <v>589</v>
      </c>
      <c r="B5" s="206">
        <v>7.3</v>
      </c>
      <c r="C5" s="203" t="s">
        <v>590</v>
      </c>
      <c r="E5" s="202"/>
      <c r="F5" s="202"/>
      <c r="G5" s="202"/>
      <c r="H5" s="202"/>
      <c r="I5" s="202"/>
      <c r="J5" s="202"/>
      <c r="K5" s="202"/>
      <c r="L5" s="202"/>
      <c r="M5" s="202"/>
      <c r="N5" s="202"/>
      <c r="O5" s="202"/>
      <c r="P5" s="202"/>
      <c r="Q5" s="202"/>
      <c r="R5" s="202"/>
      <c r="S5" s="202"/>
      <c r="T5" s="202"/>
      <c r="U5" s="202"/>
      <c r="V5" s="202"/>
      <c r="W5" s="202"/>
      <c r="X5" s="202"/>
    </row>
    <row r="6" s="33" customFormat="1" ht="69" customHeight="1" spans="1:24">
      <c r="A6" s="200" t="s">
        <v>568</v>
      </c>
      <c r="B6" s="206">
        <v>7.30973076923077</v>
      </c>
      <c r="C6" s="203" t="s">
        <v>590</v>
      </c>
      <c r="E6" s="202"/>
      <c r="F6" s="202"/>
      <c r="G6" s="202"/>
      <c r="H6" s="202"/>
      <c r="I6" s="202"/>
      <c r="J6" s="202"/>
      <c r="K6" s="202"/>
      <c r="L6" s="202"/>
      <c r="M6" s="202"/>
      <c r="N6" s="202"/>
      <c r="O6" s="202"/>
      <c r="P6" s="202"/>
      <c r="Q6" s="202"/>
      <c r="R6" s="202"/>
      <c r="S6" s="202"/>
      <c r="T6" s="202"/>
      <c r="U6" s="202"/>
      <c r="V6" s="202"/>
      <c r="W6" s="202"/>
      <c r="X6" s="202"/>
    </row>
    <row r="7" s="33" customFormat="1" ht="69" customHeight="1" spans="1:24">
      <c r="A7" s="200" t="s">
        <v>569</v>
      </c>
      <c r="B7" s="206">
        <v>7.8</v>
      </c>
      <c r="C7" s="203" t="s">
        <v>590</v>
      </c>
      <c r="E7" s="202"/>
      <c r="F7" s="202"/>
      <c r="G7" s="202"/>
      <c r="H7" s="202"/>
      <c r="I7" s="202"/>
      <c r="J7" s="202"/>
      <c r="K7" s="202"/>
      <c r="L7" s="202"/>
      <c r="M7" s="202"/>
      <c r="N7" s="202"/>
      <c r="O7" s="202"/>
      <c r="P7" s="202"/>
      <c r="Q7" s="202"/>
      <c r="R7" s="202"/>
      <c r="S7" s="202"/>
      <c r="T7" s="202"/>
      <c r="U7" s="202"/>
      <c r="V7" s="202"/>
      <c r="W7" s="202"/>
      <c r="X7" s="202"/>
    </row>
    <row r="8" s="33" customFormat="1" ht="69" customHeight="1" spans="1:24">
      <c r="A8" s="200" t="s">
        <v>570</v>
      </c>
      <c r="B8" s="206">
        <v>7.8</v>
      </c>
      <c r="C8" s="203" t="s">
        <v>590</v>
      </c>
      <c r="E8" s="202"/>
      <c r="F8" s="202"/>
      <c r="G8" s="202"/>
      <c r="H8" s="202"/>
      <c r="I8" s="202"/>
      <c r="J8" s="202"/>
      <c r="K8" s="202"/>
      <c r="L8" s="202"/>
      <c r="M8" s="202"/>
      <c r="N8" s="202"/>
      <c r="O8" s="202"/>
      <c r="P8" s="202"/>
      <c r="Q8" s="202"/>
      <c r="R8" s="202"/>
      <c r="S8" s="202"/>
      <c r="T8" s="202"/>
      <c r="U8" s="202"/>
      <c r="V8" s="202"/>
      <c r="W8" s="202"/>
      <c r="X8" s="202"/>
    </row>
    <row r="9" s="33" customFormat="1" ht="69" customHeight="1" spans="1:24">
      <c r="A9" s="200" t="s">
        <v>591</v>
      </c>
      <c r="B9" s="206">
        <v>7.8</v>
      </c>
      <c r="C9" s="203" t="s">
        <v>590</v>
      </c>
      <c r="E9" s="204" t="s">
        <v>388</v>
      </c>
      <c r="F9" s="204"/>
      <c r="G9" s="204"/>
      <c r="H9" s="204"/>
      <c r="I9" s="204"/>
      <c r="J9" s="204"/>
      <c r="K9" s="204"/>
      <c r="L9" s="204"/>
      <c r="M9" s="204"/>
      <c r="N9" s="204"/>
      <c r="O9" s="204"/>
      <c r="P9" s="204"/>
      <c r="Q9" s="204"/>
      <c r="R9" s="204"/>
      <c r="S9" s="204"/>
      <c r="T9" s="204"/>
      <c r="U9" s="204"/>
      <c r="V9" s="204"/>
      <c r="W9" s="204"/>
      <c r="X9" s="204"/>
    </row>
    <row r="10" s="33" customFormat="1" ht="69" customHeight="1" spans="1:24">
      <c r="A10" s="200" t="s">
        <v>592</v>
      </c>
      <c r="B10" s="206">
        <v>7.8</v>
      </c>
      <c r="C10" s="203" t="s">
        <v>593</v>
      </c>
      <c r="E10" s="204"/>
      <c r="F10" s="204"/>
      <c r="G10" s="204"/>
      <c r="H10" s="204"/>
      <c r="I10" s="204"/>
      <c r="J10" s="204"/>
      <c r="K10" s="204"/>
      <c r="L10" s="204"/>
      <c r="M10" s="204"/>
      <c r="N10" s="204"/>
      <c r="O10" s="204"/>
      <c r="P10" s="204"/>
      <c r="Q10" s="204"/>
      <c r="R10" s="204"/>
      <c r="S10" s="204"/>
      <c r="T10" s="204"/>
      <c r="U10" s="204"/>
      <c r="V10" s="204"/>
      <c r="W10" s="204"/>
      <c r="X10" s="204"/>
    </row>
    <row r="11" s="33" customFormat="1" ht="69" customHeight="1" spans="1:24">
      <c r="A11" s="200" t="s">
        <v>594</v>
      </c>
      <c r="B11" s="206">
        <v>7.8</v>
      </c>
      <c r="C11" s="203" t="s">
        <v>595</v>
      </c>
      <c r="E11" s="204"/>
      <c r="F11" s="204"/>
      <c r="G11" s="204"/>
      <c r="H11" s="204"/>
      <c r="I11" s="204"/>
      <c r="J11" s="204"/>
      <c r="K11" s="204"/>
      <c r="L11" s="204"/>
      <c r="M11" s="204"/>
      <c r="N11" s="204"/>
      <c r="O11" s="204"/>
      <c r="P11" s="204"/>
      <c r="Q11" s="204"/>
      <c r="R11" s="204"/>
      <c r="S11" s="204"/>
      <c r="T11" s="204"/>
      <c r="U11" s="204"/>
      <c r="V11" s="204"/>
      <c r="W11" s="204"/>
      <c r="X11" s="204"/>
    </row>
    <row r="12" s="33" customFormat="1" ht="69" customHeight="1" spans="1:24">
      <c r="A12" s="200" t="s">
        <v>596</v>
      </c>
      <c r="B12" s="206">
        <v>7.8</v>
      </c>
      <c r="C12" s="203" t="s">
        <v>597</v>
      </c>
      <c r="E12" s="204"/>
      <c r="F12" s="204"/>
      <c r="G12" s="204"/>
      <c r="H12" s="204"/>
      <c r="I12" s="204"/>
      <c r="J12" s="204"/>
      <c r="K12" s="204"/>
      <c r="L12" s="204"/>
      <c r="M12" s="204"/>
      <c r="N12" s="204"/>
      <c r="O12" s="204"/>
      <c r="P12" s="204"/>
      <c r="Q12" s="204"/>
      <c r="R12" s="204"/>
      <c r="S12" s="204"/>
      <c r="T12" s="204"/>
      <c r="U12" s="204"/>
      <c r="V12" s="204"/>
      <c r="W12" s="204"/>
      <c r="X12" s="204"/>
    </row>
    <row r="13" s="33" customFormat="1" ht="69" customHeight="1" spans="1:24">
      <c r="A13" s="200" t="s">
        <v>598</v>
      </c>
      <c r="B13" s="206">
        <v>7.8</v>
      </c>
      <c r="C13" s="203" t="s">
        <v>599</v>
      </c>
      <c r="E13" s="204"/>
      <c r="F13" s="204"/>
      <c r="G13" s="204"/>
      <c r="H13" s="204"/>
      <c r="I13" s="204"/>
      <c r="J13" s="204"/>
      <c r="K13" s="204"/>
      <c r="L13" s="204"/>
      <c r="M13" s="204"/>
      <c r="N13" s="204"/>
      <c r="O13" s="204"/>
      <c r="P13" s="204"/>
      <c r="Q13" s="204"/>
      <c r="R13" s="204"/>
      <c r="S13" s="204"/>
      <c r="T13" s="204"/>
      <c r="U13" s="204"/>
      <c r="V13" s="204"/>
      <c r="W13" s="204"/>
      <c r="X13" s="204"/>
    </row>
    <row r="14" s="33" customFormat="1" ht="69" customHeight="1" spans="1:24">
      <c r="A14" s="200" t="s">
        <v>600</v>
      </c>
      <c r="B14" s="206">
        <v>7.8</v>
      </c>
      <c r="C14" s="203" t="s">
        <v>601</v>
      </c>
      <c r="E14" s="204"/>
      <c r="F14" s="204"/>
      <c r="G14" s="204"/>
      <c r="H14" s="204"/>
      <c r="I14" s="204"/>
      <c r="J14" s="204"/>
      <c r="K14" s="204"/>
      <c r="L14" s="204"/>
      <c r="M14" s="204"/>
      <c r="N14" s="204"/>
      <c r="O14" s="204"/>
      <c r="P14" s="204"/>
      <c r="Q14" s="204"/>
      <c r="R14" s="204"/>
      <c r="S14" s="204"/>
      <c r="T14" s="204"/>
      <c r="U14" s="204"/>
      <c r="V14" s="204"/>
      <c r="W14" s="204"/>
      <c r="X14" s="204"/>
    </row>
    <row r="15" s="33" customFormat="1" ht="69" customHeight="1" spans="1:24">
      <c r="A15" s="200" t="s">
        <v>602</v>
      </c>
      <c r="B15" s="206">
        <v>7.8</v>
      </c>
      <c r="C15" s="203" t="s">
        <v>603</v>
      </c>
      <c r="E15" s="204" t="s">
        <v>290</v>
      </c>
      <c r="F15" s="204"/>
      <c r="G15" s="204"/>
      <c r="H15" s="204"/>
      <c r="I15" s="204"/>
      <c r="J15" s="204"/>
      <c r="K15" s="204"/>
      <c r="L15" s="204"/>
      <c r="M15" s="204"/>
      <c r="N15" s="204"/>
      <c r="O15" s="204"/>
      <c r="P15" s="204"/>
      <c r="Q15" s="204"/>
      <c r="R15" s="204"/>
      <c r="S15" s="204"/>
      <c r="T15" s="204"/>
      <c r="U15" s="204"/>
      <c r="V15" s="204"/>
      <c r="W15" s="204"/>
      <c r="X15" s="204"/>
    </row>
    <row r="16" s="33" customFormat="1" ht="69" customHeight="1" spans="1:24">
      <c r="A16" s="200" t="s">
        <v>604</v>
      </c>
      <c r="B16" s="206">
        <v>7.8</v>
      </c>
      <c r="C16" s="203" t="s">
        <v>605</v>
      </c>
      <c r="E16" s="204" t="s">
        <v>291</v>
      </c>
      <c r="F16" s="204"/>
      <c r="G16" s="204"/>
      <c r="H16" s="204"/>
      <c r="I16" s="204"/>
      <c r="J16" s="204"/>
      <c r="K16" s="204"/>
      <c r="L16" s="204"/>
      <c r="M16" s="204"/>
      <c r="N16" s="204"/>
      <c r="O16" s="204"/>
      <c r="P16" s="204"/>
      <c r="Q16" s="204"/>
      <c r="R16" s="204"/>
      <c r="S16" s="204"/>
      <c r="T16" s="204"/>
      <c r="U16" s="204"/>
      <c r="V16" s="204"/>
      <c r="W16" s="204"/>
      <c r="X16" s="204"/>
    </row>
    <row r="17" s="33" customFormat="1" ht="69" customHeight="1" spans="1:24">
      <c r="A17" s="200" t="s">
        <v>494</v>
      </c>
      <c r="B17" s="206">
        <v>7.8</v>
      </c>
      <c r="C17" s="203" t="s">
        <v>606</v>
      </c>
      <c r="E17" s="204"/>
      <c r="F17" s="204"/>
      <c r="G17" s="204"/>
      <c r="H17" s="204"/>
      <c r="I17" s="204"/>
      <c r="J17" s="204"/>
      <c r="K17" s="204"/>
      <c r="L17" s="204"/>
      <c r="M17" s="204"/>
      <c r="N17" s="204"/>
      <c r="O17" s="204"/>
      <c r="P17" s="204"/>
      <c r="Q17" s="204"/>
      <c r="R17" s="204"/>
      <c r="S17" s="204"/>
      <c r="T17" s="204"/>
      <c r="U17" s="204"/>
      <c r="V17" s="204"/>
      <c r="W17" s="204"/>
      <c r="X17" s="204"/>
    </row>
    <row r="18" s="33" customFormat="1" ht="69" customHeight="1" spans="1:3">
      <c r="A18" s="200" t="s">
        <v>462</v>
      </c>
      <c r="B18" s="206">
        <v>7.8</v>
      </c>
      <c r="C18" s="203" t="s">
        <v>607</v>
      </c>
    </row>
    <row r="19" ht="69" customHeight="1" spans="1:3">
      <c r="A19" s="200" t="s">
        <v>459</v>
      </c>
      <c r="B19" s="206">
        <v>7.8</v>
      </c>
      <c r="C19" s="203" t="s">
        <v>608</v>
      </c>
    </row>
    <row r="20" ht="69" customHeight="1" spans="1:3">
      <c r="A20" s="200" t="s">
        <v>609</v>
      </c>
      <c r="B20" s="206">
        <v>7.8</v>
      </c>
      <c r="C20" s="203" t="s">
        <v>610</v>
      </c>
    </row>
    <row r="21" ht="69" customHeight="1" spans="1:3">
      <c r="A21" s="200" t="s">
        <v>549</v>
      </c>
      <c r="B21" s="206">
        <v>7.8</v>
      </c>
      <c r="C21" s="203" t="s">
        <v>611</v>
      </c>
    </row>
    <row r="22" ht="69" customHeight="1" spans="1:3">
      <c r="A22" s="200" t="s">
        <v>471</v>
      </c>
      <c r="B22" s="206">
        <v>7.8</v>
      </c>
      <c r="C22" s="203" t="s">
        <v>612</v>
      </c>
    </row>
    <row r="23" ht="69" customHeight="1" spans="1:3">
      <c r="A23" s="200" t="s">
        <v>565</v>
      </c>
      <c r="B23" s="206">
        <v>7.8</v>
      </c>
      <c r="C23" s="203" t="s">
        <v>613</v>
      </c>
    </row>
    <row r="24" ht="69" customHeight="1" spans="1:3">
      <c r="A24" s="200" t="s">
        <v>614</v>
      </c>
      <c r="B24" s="206">
        <v>7.8</v>
      </c>
      <c r="C24" s="203" t="s">
        <v>615</v>
      </c>
    </row>
    <row r="25" ht="69" customHeight="1" spans="1:3">
      <c r="A25" s="200" t="s">
        <v>467</v>
      </c>
      <c r="B25" s="206">
        <v>7.8</v>
      </c>
      <c r="C25" s="203" t="s">
        <v>616</v>
      </c>
    </row>
    <row r="26" ht="69" customHeight="1" spans="1:3">
      <c r="A26" s="200" t="s">
        <v>566</v>
      </c>
      <c r="B26" s="206">
        <v>7.8</v>
      </c>
      <c r="C26" s="203" t="s">
        <v>617</v>
      </c>
    </row>
    <row r="27" ht="69" customHeight="1" spans="1:3">
      <c r="A27" s="200" t="s">
        <v>618</v>
      </c>
      <c r="B27" s="206">
        <v>7.8</v>
      </c>
      <c r="C27" s="203" t="s">
        <v>619</v>
      </c>
    </row>
    <row r="28" ht="69" customHeight="1" spans="1:3">
      <c r="A28" s="200" t="s">
        <v>446</v>
      </c>
      <c r="B28" s="206">
        <v>7.83115934065934</v>
      </c>
      <c r="C28" s="203" t="s">
        <v>620</v>
      </c>
    </row>
    <row r="29" ht="69" customHeight="1" spans="1:3">
      <c r="A29" s="200" t="s">
        <v>572</v>
      </c>
      <c r="B29" s="206">
        <v>7.83115934065934</v>
      </c>
      <c r="C29" s="203" t="s">
        <v>621</v>
      </c>
    </row>
    <row r="30" ht="69" customHeight="1" spans="1:3">
      <c r="A30" s="200" t="s">
        <v>622</v>
      </c>
      <c r="B30" s="206">
        <v>7.83115934065934</v>
      </c>
      <c r="C30" s="203" t="s">
        <v>623</v>
      </c>
    </row>
    <row r="31" ht="69" customHeight="1" spans="1:3">
      <c r="A31" s="200" t="s">
        <v>624</v>
      </c>
      <c r="B31" s="206">
        <v>7.83115934065934</v>
      </c>
      <c r="C31" s="203" t="s">
        <v>625</v>
      </c>
    </row>
    <row r="32" ht="69" customHeight="1" spans="1:3">
      <c r="A32" s="200" t="s">
        <v>626</v>
      </c>
      <c r="B32" s="206">
        <v>7.83115934065934</v>
      </c>
      <c r="C32" s="203" t="s">
        <v>627</v>
      </c>
    </row>
    <row r="33" ht="69" customHeight="1" spans="1:3">
      <c r="A33" s="200" t="s">
        <v>628</v>
      </c>
      <c r="B33" s="206">
        <v>7.83115934065934</v>
      </c>
      <c r="C33" s="203" t="s">
        <v>629</v>
      </c>
    </row>
    <row r="34" ht="69" customHeight="1" spans="1:3">
      <c r="A34" s="200" t="s">
        <v>630</v>
      </c>
      <c r="B34" s="206">
        <v>7.83115934065934</v>
      </c>
      <c r="C34" s="203" t="s">
        <v>631</v>
      </c>
    </row>
    <row r="35" ht="69" customHeight="1" spans="1:3">
      <c r="A35" s="200" t="s">
        <v>473</v>
      </c>
      <c r="B35" s="206">
        <v>7.83115934065934</v>
      </c>
      <c r="C35" s="203" t="s">
        <v>632</v>
      </c>
    </row>
    <row r="36" ht="69" customHeight="1" spans="1:3">
      <c r="A36" s="200" t="s">
        <v>474</v>
      </c>
      <c r="B36" s="206">
        <v>7.83115934065934</v>
      </c>
      <c r="C36" s="203" t="s">
        <v>633</v>
      </c>
    </row>
    <row r="37" ht="69" customHeight="1" spans="1:3">
      <c r="A37" s="200" t="s">
        <v>634</v>
      </c>
      <c r="B37" s="206">
        <v>7.83115934065934</v>
      </c>
      <c r="C37" s="203" t="s">
        <v>635</v>
      </c>
    </row>
    <row r="38" ht="69" customHeight="1" spans="1:3">
      <c r="A38" s="200" t="s">
        <v>576</v>
      </c>
      <c r="B38" s="206">
        <v>8.1</v>
      </c>
      <c r="C38" s="203" t="s">
        <v>636</v>
      </c>
    </row>
    <row r="39" ht="69" customHeight="1" spans="1:3">
      <c r="A39" s="200" t="s">
        <v>579</v>
      </c>
      <c r="B39" s="206">
        <v>8.1</v>
      </c>
      <c r="C39" s="203" t="s">
        <v>637</v>
      </c>
    </row>
    <row r="40" ht="69" customHeight="1" spans="1:3">
      <c r="A40" s="200" t="s">
        <v>638</v>
      </c>
      <c r="B40" s="206">
        <v>8.1</v>
      </c>
      <c r="C40" s="203" t="s">
        <v>639</v>
      </c>
    </row>
    <row r="41" ht="69" customHeight="1" spans="1:3">
      <c r="A41" s="200" t="s">
        <v>640</v>
      </c>
      <c r="B41" s="206">
        <v>8.1</v>
      </c>
      <c r="C41" s="203" t="s">
        <v>641</v>
      </c>
    </row>
    <row r="42" ht="69" customHeight="1" spans="1:3">
      <c r="A42" s="200" t="s">
        <v>642</v>
      </c>
      <c r="B42" s="206">
        <v>8.14401648351648</v>
      </c>
      <c r="C42" s="203" t="s">
        <v>643</v>
      </c>
    </row>
    <row r="43" ht="69" customHeight="1" spans="1:3">
      <c r="A43" s="200" t="s">
        <v>644</v>
      </c>
      <c r="B43" s="206">
        <v>8.45687362637363</v>
      </c>
      <c r="C43" s="203" t="s">
        <v>645</v>
      </c>
    </row>
    <row r="44" ht="69" customHeight="1" spans="1:3">
      <c r="A44" s="200" t="s">
        <v>475</v>
      </c>
      <c r="B44" s="206">
        <v>8.5</v>
      </c>
      <c r="C44" s="203" t="s">
        <v>646</v>
      </c>
    </row>
    <row r="45" ht="69" customHeight="1" spans="1:3">
      <c r="A45" s="200" t="s">
        <v>578</v>
      </c>
      <c r="B45" s="206">
        <v>8.5</v>
      </c>
      <c r="C45" s="203" t="s">
        <v>647</v>
      </c>
    </row>
    <row r="46" ht="69" customHeight="1" spans="1:3">
      <c r="A46" s="200" t="s">
        <v>648</v>
      </c>
      <c r="B46" s="206">
        <v>8.5</v>
      </c>
      <c r="C46" s="203" t="s">
        <v>649</v>
      </c>
    </row>
    <row r="47" ht="69" customHeight="1" spans="1:3">
      <c r="A47" s="200" t="s">
        <v>466</v>
      </c>
      <c r="B47" s="206">
        <v>8.5</v>
      </c>
      <c r="C47" s="203" t="s">
        <v>650</v>
      </c>
    </row>
    <row r="48" ht="69" customHeight="1" spans="1:3">
      <c r="A48" s="200" t="s">
        <v>452</v>
      </c>
      <c r="B48" s="206">
        <v>8.5</v>
      </c>
      <c r="C48" s="203" t="s">
        <v>651</v>
      </c>
    </row>
    <row r="49" ht="86" customHeight="1" spans="1:3">
      <c r="A49" s="200" t="s">
        <v>652</v>
      </c>
      <c r="B49" s="206">
        <v>9.7083021978022</v>
      </c>
      <c r="C49" s="203" t="s">
        <v>653</v>
      </c>
    </row>
    <row r="50" ht="63" customHeight="1" spans="1:3">
      <c r="A50" s="200" t="s">
        <v>455</v>
      </c>
      <c r="B50" s="206">
        <v>9.7083021978022</v>
      </c>
      <c r="C50" s="203" t="s">
        <v>654</v>
      </c>
    </row>
    <row r="51" ht="63" customHeight="1" spans="1:3">
      <c r="A51" s="200" t="s">
        <v>443</v>
      </c>
      <c r="B51" s="206">
        <v>9.7083021978022</v>
      </c>
      <c r="C51" s="203" t="s">
        <v>655</v>
      </c>
    </row>
    <row r="52" ht="63" customHeight="1" spans="1:3">
      <c r="A52" s="200" t="s">
        <v>656</v>
      </c>
      <c r="B52" s="206">
        <v>9.7083021978022</v>
      </c>
      <c r="C52" s="203" t="s">
        <v>657</v>
      </c>
    </row>
    <row r="53" ht="63" customHeight="1"/>
  </sheetData>
  <sheetProtection formatCells="0" insertHyperlinks="0" autoFilter="0"/>
  <mergeCells count="9">
    <mergeCell ref="A1:C1"/>
    <mergeCell ref="E15:X15"/>
    <mergeCell ref="A2:A4"/>
    <mergeCell ref="B3:B4"/>
    <mergeCell ref="C2:C4"/>
    <mergeCell ref="E2:X3"/>
    <mergeCell ref="E4:X8"/>
    <mergeCell ref="E9:X14"/>
    <mergeCell ref="E16:X17"/>
  </mergeCells>
  <hyperlinks>
    <hyperlink ref="D1" location="目录!A1" display="返回目录"/>
  </hyperlinks>
  <pageMargins left="0.75" right="0.75" top="1" bottom="1" header="0.5" footer="0.5"/>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70C0"/>
  </sheetPr>
  <dimension ref="A1:AA45"/>
  <sheetViews>
    <sheetView zoomScale="40" zoomScaleNormal="40" workbookViewId="0">
      <pane ySplit="5" topLeftCell="A6" activePane="bottomLeft" state="frozen"/>
      <selection/>
      <selection pane="bottomLeft" activeCell="G5" sqref="G5:G9"/>
    </sheetView>
  </sheetViews>
  <sheetFormatPr defaultColWidth="9" defaultRowHeight="243" customHeight="1"/>
  <cols>
    <col min="1" max="1" width="104.375" style="33" customWidth="1"/>
    <col min="2" max="2" width="62.8083333333333" style="33" customWidth="1"/>
    <col min="3" max="3" width="62.8083333333333" style="189" customWidth="1"/>
    <col min="4" max="4" width="62.8083333333333" style="33" customWidth="1"/>
    <col min="5" max="5" width="62.8083333333333" style="189" customWidth="1"/>
    <col min="6" max="6" width="98" style="33" customWidth="1"/>
    <col min="7" max="7" width="34.0666666666667" style="33" customWidth="1"/>
    <col min="8" max="8" width="12.625" style="33"/>
    <col min="9" max="16384" width="9" style="33"/>
  </cols>
  <sheetData>
    <row r="1" s="188" customFormat="1" customHeight="1" spans="1:12">
      <c r="A1" s="190" t="s">
        <v>152</v>
      </c>
      <c r="B1" s="191"/>
      <c r="C1" s="192"/>
      <c r="D1" s="191"/>
      <c r="E1" s="192"/>
      <c r="F1" s="191"/>
      <c r="G1" s="167" t="s">
        <v>190</v>
      </c>
      <c r="L1" s="188">
        <v>1</v>
      </c>
    </row>
    <row r="2" s="33" customFormat="1" ht="120" customHeight="1" spans="1:27">
      <c r="A2" s="193" t="s">
        <v>326</v>
      </c>
      <c r="B2" s="194" t="s">
        <v>327</v>
      </c>
      <c r="C2" s="195"/>
      <c r="D2" s="196" t="s">
        <v>328</v>
      </c>
      <c r="E2" s="195"/>
      <c r="F2" s="201" t="s">
        <v>329</v>
      </c>
      <c r="H2" s="193" t="s">
        <v>88</v>
      </c>
      <c r="I2" s="193"/>
      <c r="J2" s="193"/>
      <c r="K2" s="193"/>
      <c r="L2" s="193"/>
      <c r="M2" s="193"/>
      <c r="N2" s="193"/>
      <c r="O2" s="193"/>
      <c r="P2" s="193"/>
      <c r="Q2" s="193"/>
      <c r="R2" s="193"/>
      <c r="S2" s="193"/>
      <c r="T2" s="193"/>
      <c r="U2" s="193"/>
      <c r="V2" s="193"/>
      <c r="W2" s="193"/>
      <c r="X2" s="193"/>
      <c r="Y2" s="193"/>
      <c r="Z2" s="193"/>
      <c r="AA2" s="193"/>
    </row>
    <row r="3" s="33" customFormat="1" ht="46" customHeight="1" spans="1:27">
      <c r="A3" s="193"/>
      <c r="B3" s="193" t="s">
        <v>192</v>
      </c>
      <c r="C3" s="195" t="s">
        <v>385</v>
      </c>
      <c r="D3" s="193" t="s">
        <v>192</v>
      </c>
      <c r="E3" s="195" t="s">
        <v>385</v>
      </c>
      <c r="F3" s="201"/>
      <c r="H3" s="193"/>
      <c r="I3" s="193"/>
      <c r="J3" s="193"/>
      <c r="K3" s="193"/>
      <c r="L3" s="193"/>
      <c r="M3" s="193"/>
      <c r="N3" s="193"/>
      <c r="O3" s="193"/>
      <c r="P3" s="193"/>
      <c r="Q3" s="193"/>
      <c r="R3" s="193"/>
      <c r="S3" s="193"/>
      <c r="T3" s="193"/>
      <c r="U3" s="193"/>
      <c r="V3" s="193"/>
      <c r="W3" s="193"/>
      <c r="X3" s="193"/>
      <c r="Y3" s="193"/>
      <c r="Z3" s="193"/>
      <c r="AA3" s="193"/>
    </row>
    <row r="4" s="33" customFormat="1" ht="46" customHeight="1" spans="1:27">
      <c r="A4" s="193"/>
      <c r="B4" s="193"/>
      <c r="C4" s="195"/>
      <c r="D4" s="193"/>
      <c r="E4" s="195"/>
      <c r="F4" s="201"/>
      <c r="H4" s="202" t="s">
        <v>386</v>
      </c>
      <c r="I4" s="202"/>
      <c r="J4" s="202"/>
      <c r="K4" s="202"/>
      <c r="L4" s="202"/>
      <c r="M4" s="202"/>
      <c r="N4" s="202"/>
      <c r="O4" s="202"/>
      <c r="P4" s="202"/>
      <c r="Q4" s="202"/>
      <c r="R4" s="202"/>
      <c r="S4" s="202"/>
      <c r="T4" s="202"/>
      <c r="U4" s="202"/>
      <c r="V4" s="202"/>
      <c r="W4" s="202"/>
      <c r="X4" s="202"/>
      <c r="Y4" s="202"/>
      <c r="Z4" s="202"/>
      <c r="AA4" s="202"/>
    </row>
    <row r="5" s="33" customFormat="1" ht="90" customHeight="1" spans="1:27">
      <c r="A5" s="197" t="s">
        <v>333</v>
      </c>
      <c r="B5" s="198">
        <v>10.3</v>
      </c>
      <c r="C5" s="199">
        <v>8.3</v>
      </c>
      <c r="D5" s="198">
        <v>10.3</v>
      </c>
      <c r="E5" s="199">
        <v>8.3</v>
      </c>
      <c r="F5" s="203" t="s">
        <v>658</v>
      </c>
      <c r="H5" s="202"/>
      <c r="I5" s="202"/>
      <c r="J5" s="202"/>
      <c r="K5" s="202"/>
      <c r="L5" s="202"/>
      <c r="M5" s="202"/>
      <c r="N5" s="202"/>
      <c r="O5" s="202"/>
      <c r="P5" s="202"/>
      <c r="Q5" s="202"/>
      <c r="R5" s="202"/>
      <c r="S5" s="202"/>
      <c r="T5" s="202"/>
      <c r="U5" s="202"/>
      <c r="V5" s="202"/>
      <c r="W5" s="202"/>
      <c r="X5" s="202"/>
      <c r="Y5" s="202"/>
      <c r="Z5" s="202"/>
      <c r="AA5" s="202"/>
    </row>
    <row r="6" s="33" customFormat="1" ht="90" customHeight="1" spans="1:27">
      <c r="A6" s="200" t="s">
        <v>336</v>
      </c>
      <c r="B6" s="198">
        <v>10.3</v>
      </c>
      <c r="C6" s="199">
        <v>8.3</v>
      </c>
      <c r="D6" s="198">
        <v>10.3</v>
      </c>
      <c r="E6" s="199">
        <v>8.3</v>
      </c>
      <c r="F6" s="203" t="s">
        <v>658</v>
      </c>
      <c r="H6" s="202"/>
      <c r="I6" s="202"/>
      <c r="J6" s="202"/>
      <c r="K6" s="202"/>
      <c r="L6" s="202"/>
      <c r="M6" s="202"/>
      <c r="N6" s="202"/>
      <c r="O6" s="202"/>
      <c r="P6" s="202"/>
      <c r="Q6" s="202"/>
      <c r="R6" s="202"/>
      <c r="S6" s="202"/>
      <c r="T6" s="202"/>
      <c r="U6" s="202"/>
      <c r="V6" s="202"/>
      <c r="W6" s="202"/>
      <c r="X6" s="202"/>
      <c r="Y6" s="202"/>
      <c r="Z6" s="202"/>
      <c r="AA6" s="202"/>
    </row>
    <row r="7" s="33" customFormat="1" ht="90" customHeight="1" spans="1:27">
      <c r="A7" s="200" t="s">
        <v>335</v>
      </c>
      <c r="B7" s="198">
        <v>10.3</v>
      </c>
      <c r="C7" s="199">
        <v>8.3</v>
      </c>
      <c r="D7" s="198">
        <v>10.3</v>
      </c>
      <c r="E7" s="199">
        <v>8.3</v>
      </c>
      <c r="F7" s="203" t="s">
        <v>658</v>
      </c>
      <c r="H7" s="202"/>
      <c r="I7" s="202"/>
      <c r="J7" s="202"/>
      <c r="K7" s="202"/>
      <c r="L7" s="202"/>
      <c r="M7" s="202"/>
      <c r="N7" s="202"/>
      <c r="O7" s="202"/>
      <c r="P7" s="202"/>
      <c r="Q7" s="202"/>
      <c r="R7" s="202"/>
      <c r="S7" s="202"/>
      <c r="T7" s="202"/>
      <c r="U7" s="202"/>
      <c r="V7" s="202"/>
      <c r="W7" s="202"/>
      <c r="X7" s="202"/>
      <c r="Y7" s="202"/>
      <c r="Z7" s="202"/>
      <c r="AA7" s="202"/>
    </row>
    <row r="8" s="33" customFormat="1" ht="90" customHeight="1" spans="1:27">
      <c r="A8" s="200" t="s">
        <v>337</v>
      </c>
      <c r="B8" s="198">
        <v>10.3</v>
      </c>
      <c r="C8" s="199">
        <v>8.3</v>
      </c>
      <c r="D8" s="198">
        <v>10.3</v>
      </c>
      <c r="E8" s="199">
        <v>8.3</v>
      </c>
      <c r="F8" s="203" t="s">
        <v>658</v>
      </c>
      <c r="H8" s="202"/>
      <c r="I8" s="202"/>
      <c r="J8" s="202"/>
      <c r="K8" s="202"/>
      <c r="L8" s="202"/>
      <c r="M8" s="202"/>
      <c r="N8" s="202"/>
      <c r="O8" s="202"/>
      <c r="P8" s="202"/>
      <c r="Q8" s="202"/>
      <c r="R8" s="202"/>
      <c r="S8" s="202"/>
      <c r="T8" s="202"/>
      <c r="U8" s="202"/>
      <c r="V8" s="202"/>
      <c r="W8" s="202"/>
      <c r="X8" s="202"/>
      <c r="Y8" s="202"/>
      <c r="Z8" s="202"/>
      <c r="AA8" s="202"/>
    </row>
    <row r="9" s="33" customFormat="1" ht="90" customHeight="1" spans="1:27">
      <c r="A9" s="200" t="s">
        <v>345</v>
      </c>
      <c r="B9" s="198">
        <v>10.9</v>
      </c>
      <c r="C9" s="199">
        <v>8.9</v>
      </c>
      <c r="D9" s="198">
        <v>10.9</v>
      </c>
      <c r="E9" s="199">
        <v>8.9</v>
      </c>
      <c r="F9" s="203" t="s">
        <v>658</v>
      </c>
      <c r="H9" s="204" t="s">
        <v>388</v>
      </c>
      <c r="I9" s="204"/>
      <c r="J9" s="204"/>
      <c r="K9" s="204"/>
      <c r="L9" s="204"/>
      <c r="M9" s="204"/>
      <c r="N9" s="204"/>
      <c r="O9" s="204"/>
      <c r="P9" s="204"/>
      <c r="Q9" s="204"/>
      <c r="R9" s="204"/>
      <c r="S9" s="204"/>
      <c r="T9" s="204"/>
      <c r="U9" s="204"/>
      <c r="V9" s="204"/>
      <c r="W9" s="204"/>
      <c r="X9" s="204"/>
      <c r="Y9" s="204"/>
      <c r="Z9" s="204"/>
      <c r="AA9" s="204"/>
    </row>
    <row r="10" s="33" customFormat="1" ht="90" customHeight="1" spans="1:27">
      <c r="A10" s="200" t="s">
        <v>346</v>
      </c>
      <c r="B10" s="198">
        <v>10.9</v>
      </c>
      <c r="C10" s="199">
        <v>8.9</v>
      </c>
      <c r="D10" s="198">
        <v>10.9</v>
      </c>
      <c r="E10" s="199">
        <v>8.9</v>
      </c>
      <c r="F10" s="203" t="s">
        <v>658</v>
      </c>
      <c r="H10" s="204"/>
      <c r="I10" s="204"/>
      <c r="J10" s="204"/>
      <c r="K10" s="204"/>
      <c r="L10" s="204"/>
      <c r="M10" s="204"/>
      <c r="N10" s="204"/>
      <c r="O10" s="204"/>
      <c r="P10" s="204"/>
      <c r="Q10" s="204"/>
      <c r="R10" s="204"/>
      <c r="S10" s="204"/>
      <c r="T10" s="204"/>
      <c r="U10" s="204"/>
      <c r="V10" s="204"/>
      <c r="W10" s="204"/>
      <c r="X10" s="204"/>
      <c r="Y10" s="204"/>
      <c r="Z10" s="204"/>
      <c r="AA10" s="204"/>
    </row>
    <row r="11" s="33" customFormat="1" ht="90" customHeight="1" spans="1:27">
      <c r="A11" s="200" t="s">
        <v>341</v>
      </c>
      <c r="B11" s="198">
        <v>10.9</v>
      </c>
      <c r="C11" s="199">
        <v>8.9</v>
      </c>
      <c r="D11" s="198">
        <v>10.9</v>
      </c>
      <c r="E11" s="199">
        <v>8.9</v>
      </c>
      <c r="F11" s="203" t="s">
        <v>658</v>
      </c>
      <c r="H11" s="204"/>
      <c r="I11" s="204"/>
      <c r="J11" s="204"/>
      <c r="K11" s="204"/>
      <c r="L11" s="204"/>
      <c r="M11" s="204"/>
      <c r="N11" s="204"/>
      <c r="O11" s="204"/>
      <c r="P11" s="204"/>
      <c r="Q11" s="204"/>
      <c r="R11" s="204"/>
      <c r="S11" s="204"/>
      <c r="T11" s="204"/>
      <c r="U11" s="204"/>
      <c r="V11" s="204"/>
      <c r="W11" s="204"/>
      <c r="X11" s="204"/>
      <c r="Y11" s="204"/>
      <c r="Z11" s="204"/>
      <c r="AA11" s="204"/>
    </row>
    <row r="12" s="33" customFormat="1" ht="90" customHeight="1" spans="1:27">
      <c r="A12" s="200" t="s">
        <v>344</v>
      </c>
      <c r="B12" s="198">
        <v>10.9</v>
      </c>
      <c r="C12" s="199">
        <v>8.9</v>
      </c>
      <c r="D12" s="198">
        <v>10.9</v>
      </c>
      <c r="E12" s="199">
        <v>8.9</v>
      </c>
      <c r="F12" s="203" t="s">
        <v>658</v>
      </c>
      <c r="H12" s="204"/>
      <c r="I12" s="204"/>
      <c r="J12" s="204"/>
      <c r="K12" s="204"/>
      <c r="L12" s="204"/>
      <c r="M12" s="204"/>
      <c r="N12" s="204"/>
      <c r="O12" s="204"/>
      <c r="P12" s="204"/>
      <c r="Q12" s="204"/>
      <c r="R12" s="204"/>
      <c r="S12" s="204"/>
      <c r="T12" s="204"/>
      <c r="U12" s="204"/>
      <c r="V12" s="204"/>
      <c r="W12" s="204"/>
      <c r="X12" s="204"/>
      <c r="Y12" s="204"/>
      <c r="Z12" s="204"/>
      <c r="AA12" s="204"/>
    </row>
    <row r="13" s="33" customFormat="1" ht="90" customHeight="1" spans="1:27">
      <c r="A13" s="200" t="s">
        <v>343</v>
      </c>
      <c r="B13" s="198">
        <v>10.9</v>
      </c>
      <c r="C13" s="199">
        <v>8.9</v>
      </c>
      <c r="D13" s="198">
        <v>10.9</v>
      </c>
      <c r="E13" s="199">
        <v>8.9</v>
      </c>
      <c r="F13" s="203" t="s">
        <v>658</v>
      </c>
      <c r="H13" s="204"/>
      <c r="I13" s="204"/>
      <c r="J13" s="204"/>
      <c r="K13" s="204"/>
      <c r="L13" s="204"/>
      <c r="M13" s="204"/>
      <c r="N13" s="204"/>
      <c r="O13" s="204"/>
      <c r="P13" s="204"/>
      <c r="Q13" s="204"/>
      <c r="R13" s="204"/>
      <c r="S13" s="204"/>
      <c r="T13" s="204"/>
      <c r="U13" s="204"/>
      <c r="V13" s="204"/>
      <c r="W13" s="204"/>
      <c r="X13" s="204"/>
      <c r="Y13" s="204"/>
      <c r="Z13" s="204"/>
      <c r="AA13" s="204"/>
    </row>
    <row r="14" s="33" customFormat="1" ht="90" customHeight="1" spans="1:27">
      <c r="A14" s="200" t="s">
        <v>342</v>
      </c>
      <c r="B14" s="198">
        <v>10.9</v>
      </c>
      <c r="C14" s="199">
        <v>8.9</v>
      </c>
      <c r="D14" s="198">
        <v>10.9</v>
      </c>
      <c r="E14" s="199">
        <v>8.9</v>
      </c>
      <c r="F14" s="203" t="s">
        <v>658</v>
      </c>
      <c r="H14" s="204"/>
      <c r="I14" s="204"/>
      <c r="J14" s="204"/>
      <c r="K14" s="204"/>
      <c r="L14" s="204"/>
      <c r="M14" s="204"/>
      <c r="N14" s="204"/>
      <c r="O14" s="204"/>
      <c r="P14" s="204"/>
      <c r="Q14" s="204"/>
      <c r="R14" s="204"/>
      <c r="S14" s="204"/>
      <c r="T14" s="204"/>
      <c r="U14" s="204"/>
      <c r="V14" s="204"/>
      <c r="W14" s="204"/>
      <c r="X14" s="204"/>
      <c r="Y14" s="204"/>
      <c r="Z14" s="204"/>
      <c r="AA14" s="204"/>
    </row>
    <row r="15" s="33" customFormat="1" ht="90" customHeight="1" spans="1:27">
      <c r="A15" s="200" t="s">
        <v>390</v>
      </c>
      <c r="B15" s="198">
        <v>12.8</v>
      </c>
      <c r="C15" s="199">
        <v>10.8</v>
      </c>
      <c r="D15" s="198">
        <v>12.8</v>
      </c>
      <c r="E15" s="199">
        <v>10.8</v>
      </c>
      <c r="F15" s="203" t="s">
        <v>658</v>
      </c>
      <c r="H15" s="204" t="s">
        <v>290</v>
      </c>
      <c r="I15" s="204"/>
      <c r="J15" s="204"/>
      <c r="K15" s="204"/>
      <c r="L15" s="204"/>
      <c r="M15" s="204"/>
      <c r="N15" s="204"/>
      <c r="O15" s="204"/>
      <c r="P15" s="204"/>
      <c r="Q15" s="204"/>
      <c r="R15" s="204"/>
      <c r="S15" s="204"/>
      <c r="T15" s="204"/>
      <c r="U15" s="204"/>
      <c r="V15" s="204"/>
      <c r="W15" s="204"/>
      <c r="X15" s="204"/>
      <c r="Y15" s="204"/>
      <c r="Z15" s="204"/>
      <c r="AA15" s="204"/>
    </row>
    <row r="16" s="33" customFormat="1" ht="90" customHeight="1" spans="1:27">
      <c r="A16" s="200" t="s">
        <v>394</v>
      </c>
      <c r="B16" s="198">
        <v>12.8</v>
      </c>
      <c r="C16" s="199">
        <v>10.8</v>
      </c>
      <c r="D16" s="198">
        <v>12.8</v>
      </c>
      <c r="E16" s="199">
        <v>10.8</v>
      </c>
      <c r="F16" s="203" t="s">
        <v>658</v>
      </c>
      <c r="H16" s="204" t="s">
        <v>291</v>
      </c>
      <c r="I16" s="204"/>
      <c r="J16" s="204"/>
      <c r="K16" s="204"/>
      <c r="L16" s="204"/>
      <c r="M16" s="204"/>
      <c r="N16" s="204"/>
      <c r="O16" s="204"/>
      <c r="P16" s="204"/>
      <c r="Q16" s="204"/>
      <c r="R16" s="204"/>
      <c r="S16" s="204"/>
      <c r="T16" s="204"/>
      <c r="U16" s="204"/>
      <c r="V16" s="204"/>
      <c r="W16" s="204"/>
      <c r="X16" s="204"/>
      <c r="Y16" s="204"/>
      <c r="Z16" s="204"/>
      <c r="AA16" s="204"/>
    </row>
    <row r="17" s="33" customFormat="1" ht="90" customHeight="1" spans="1:27">
      <c r="A17" s="200" t="s">
        <v>393</v>
      </c>
      <c r="B17" s="198">
        <v>12.8</v>
      </c>
      <c r="C17" s="199">
        <v>10.8</v>
      </c>
      <c r="D17" s="198">
        <v>12.8</v>
      </c>
      <c r="E17" s="199">
        <v>10.8</v>
      </c>
      <c r="F17" s="203" t="s">
        <v>658</v>
      </c>
      <c r="H17" s="204"/>
      <c r="I17" s="204"/>
      <c r="J17" s="204"/>
      <c r="K17" s="204"/>
      <c r="L17" s="204"/>
      <c r="M17" s="204"/>
      <c r="N17" s="204"/>
      <c r="O17" s="204"/>
      <c r="P17" s="204"/>
      <c r="Q17" s="204"/>
      <c r="R17" s="204"/>
      <c r="S17" s="204"/>
      <c r="T17" s="204"/>
      <c r="U17" s="204"/>
      <c r="V17" s="204"/>
      <c r="W17" s="204"/>
      <c r="X17" s="204"/>
      <c r="Y17" s="204"/>
      <c r="Z17" s="204"/>
      <c r="AA17" s="204"/>
    </row>
    <row r="18" s="33" customFormat="1" ht="80" customHeight="1" spans="1:6">
      <c r="A18" s="200" t="s">
        <v>391</v>
      </c>
      <c r="B18" s="198">
        <v>12.8</v>
      </c>
      <c r="C18" s="199">
        <v>10.8</v>
      </c>
      <c r="D18" s="198">
        <v>12.8</v>
      </c>
      <c r="E18" s="199">
        <v>10.8</v>
      </c>
      <c r="F18" s="203" t="s">
        <v>659</v>
      </c>
    </row>
    <row r="19" s="33" customFormat="1" ht="80" customHeight="1" spans="1:6">
      <c r="A19" s="200" t="s">
        <v>392</v>
      </c>
      <c r="B19" s="198">
        <v>12.8</v>
      </c>
      <c r="C19" s="199">
        <v>10.8</v>
      </c>
      <c r="D19" s="198">
        <v>12.8</v>
      </c>
      <c r="E19" s="199">
        <v>10.8</v>
      </c>
      <c r="F19" s="203" t="s">
        <v>660</v>
      </c>
    </row>
    <row r="20" s="33" customFormat="1" ht="80" customHeight="1" spans="1:6">
      <c r="A20" s="200" t="s">
        <v>424</v>
      </c>
      <c r="B20" s="198">
        <v>12.8</v>
      </c>
      <c r="C20" s="199">
        <v>10.8</v>
      </c>
      <c r="D20" s="198">
        <v>12.8</v>
      </c>
      <c r="E20" s="199">
        <v>10.8</v>
      </c>
      <c r="F20" s="203" t="s">
        <v>660</v>
      </c>
    </row>
    <row r="21" s="33" customFormat="1" ht="80" customHeight="1" spans="1:6">
      <c r="A21" s="200" t="s">
        <v>444</v>
      </c>
      <c r="B21" s="198">
        <v>12.8</v>
      </c>
      <c r="C21" s="199">
        <v>10.8</v>
      </c>
      <c r="D21" s="198">
        <v>12.8</v>
      </c>
      <c r="E21" s="199">
        <v>10.8</v>
      </c>
      <c r="F21" s="203" t="s">
        <v>660</v>
      </c>
    </row>
    <row r="22" s="33" customFormat="1" ht="80" customHeight="1" spans="1:6">
      <c r="A22" s="200" t="s">
        <v>455</v>
      </c>
      <c r="B22" s="198">
        <v>12.8</v>
      </c>
      <c r="C22" s="199">
        <v>10.8</v>
      </c>
      <c r="D22" s="198">
        <v>12.8</v>
      </c>
      <c r="E22" s="199">
        <v>10.8</v>
      </c>
      <c r="F22" s="203" t="s">
        <v>660</v>
      </c>
    </row>
    <row r="23" s="33" customFormat="1" ht="80" customHeight="1" spans="1:6">
      <c r="A23" s="197" t="s">
        <v>456</v>
      </c>
      <c r="B23" s="198">
        <v>12.8</v>
      </c>
      <c r="C23" s="199">
        <v>10.8</v>
      </c>
      <c r="D23" s="198">
        <v>12.8</v>
      </c>
      <c r="E23" s="199">
        <v>10.8</v>
      </c>
      <c r="F23" s="203" t="s">
        <v>658</v>
      </c>
    </row>
    <row r="24" s="33" customFormat="1" ht="80" customHeight="1" spans="1:6">
      <c r="A24" s="200" t="s">
        <v>426</v>
      </c>
      <c r="B24" s="198">
        <v>12.8</v>
      </c>
      <c r="C24" s="199">
        <v>10.8</v>
      </c>
      <c r="D24" s="198">
        <v>12.8</v>
      </c>
      <c r="E24" s="199">
        <v>10.8</v>
      </c>
      <c r="F24" s="203" t="s">
        <v>658</v>
      </c>
    </row>
    <row r="25" s="33" customFormat="1" ht="80" customHeight="1" spans="1:6">
      <c r="A25" s="200" t="s">
        <v>425</v>
      </c>
      <c r="B25" s="198">
        <v>12.8</v>
      </c>
      <c r="C25" s="199">
        <v>10.8</v>
      </c>
      <c r="D25" s="198">
        <v>12.8</v>
      </c>
      <c r="E25" s="199">
        <v>10.8</v>
      </c>
      <c r="F25" s="203" t="s">
        <v>658</v>
      </c>
    </row>
    <row r="26" s="33" customFormat="1" ht="80" customHeight="1" spans="1:6">
      <c r="A26" s="200" t="s">
        <v>420</v>
      </c>
      <c r="B26" s="198">
        <v>12.6</v>
      </c>
      <c r="C26" s="199">
        <v>10.6</v>
      </c>
      <c r="D26" s="198">
        <v>12.6</v>
      </c>
      <c r="E26" s="199">
        <v>10.6</v>
      </c>
      <c r="F26" s="203" t="s">
        <v>658</v>
      </c>
    </row>
    <row r="27" s="33" customFormat="1" ht="80" customHeight="1" spans="1:6">
      <c r="A27" s="200" t="s">
        <v>412</v>
      </c>
      <c r="B27" s="198" t="s">
        <v>661</v>
      </c>
      <c r="C27" s="199">
        <v>9.2</v>
      </c>
      <c r="D27" s="198" t="s">
        <v>661</v>
      </c>
      <c r="E27" s="199">
        <v>9.2</v>
      </c>
      <c r="F27" s="203" t="s">
        <v>658</v>
      </c>
    </row>
    <row r="28" s="33" customFormat="1" ht="80" customHeight="1" spans="1:6">
      <c r="A28" s="200" t="s">
        <v>351</v>
      </c>
      <c r="B28" s="198">
        <v>12.4</v>
      </c>
      <c r="C28" s="199">
        <v>10.4</v>
      </c>
      <c r="D28" s="198">
        <v>12.4</v>
      </c>
      <c r="E28" s="199">
        <v>10.4</v>
      </c>
      <c r="F28" s="203" t="s">
        <v>658</v>
      </c>
    </row>
    <row r="29" s="33" customFormat="1" ht="80" customHeight="1" spans="1:6">
      <c r="A29" s="200" t="s">
        <v>352</v>
      </c>
      <c r="B29" s="198">
        <v>12.6</v>
      </c>
      <c r="C29" s="199">
        <v>10.6</v>
      </c>
      <c r="D29" s="198">
        <v>12.6</v>
      </c>
      <c r="E29" s="199">
        <v>10.6</v>
      </c>
      <c r="F29" s="203" t="s">
        <v>658</v>
      </c>
    </row>
    <row r="30" s="33" customFormat="1" ht="80" customHeight="1" spans="1:6">
      <c r="A30" s="200" t="s">
        <v>662</v>
      </c>
      <c r="B30" s="198">
        <v>10.7</v>
      </c>
      <c r="C30" s="199">
        <v>8.7</v>
      </c>
      <c r="D30" s="198">
        <v>10.7</v>
      </c>
      <c r="E30" s="199">
        <v>8.7</v>
      </c>
      <c r="F30" s="203" t="s">
        <v>658</v>
      </c>
    </row>
    <row r="31" s="33" customFormat="1" ht="80" customHeight="1" spans="1:6">
      <c r="A31" s="200" t="s">
        <v>340</v>
      </c>
      <c r="B31" s="198">
        <v>10.7</v>
      </c>
      <c r="C31" s="199">
        <v>8.7</v>
      </c>
      <c r="D31" s="198">
        <v>10.7</v>
      </c>
      <c r="E31" s="199">
        <v>8.7</v>
      </c>
      <c r="F31" s="203" t="s">
        <v>658</v>
      </c>
    </row>
    <row r="32" s="33" customFormat="1" ht="80" customHeight="1" spans="1:6">
      <c r="A32" s="200" t="s">
        <v>349</v>
      </c>
      <c r="B32" s="198">
        <v>10.9</v>
      </c>
      <c r="C32" s="199">
        <v>8.9</v>
      </c>
      <c r="D32" s="198">
        <v>10.9</v>
      </c>
      <c r="E32" s="199">
        <v>8.9</v>
      </c>
      <c r="F32" s="203" t="s">
        <v>658</v>
      </c>
    </row>
    <row r="33" s="33" customFormat="1" ht="80" customHeight="1" spans="1:6">
      <c r="A33" s="200" t="s">
        <v>347</v>
      </c>
      <c r="B33" s="198">
        <v>10.9</v>
      </c>
      <c r="C33" s="199">
        <v>8.9</v>
      </c>
      <c r="D33" s="198">
        <v>10.9</v>
      </c>
      <c r="E33" s="199">
        <v>8.9</v>
      </c>
      <c r="F33" s="203" t="s">
        <v>658</v>
      </c>
    </row>
    <row r="34" s="33" customFormat="1" ht="80" customHeight="1" spans="1:6">
      <c r="A34" s="200" t="s">
        <v>350</v>
      </c>
      <c r="B34" s="198">
        <v>10.9</v>
      </c>
      <c r="C34" s="199">
        <v>8.9</v>
      </c>
      <c r="D34" s="198">
        <v>10.9</v>
      </c>
      <c r="E34" s="199">
        <v>8.9</v>
      </c>
      <c r="F34" s="203" t="s">
        <v>658</v>
      </c>
    </row>
    <row r="35" s="33" customFormat="1" ht="80" customHeight="1" spans="1:6">
      <c r="A35" s="200" t="s">
        <v>398</v>
      </c>
      <c r="B35" s="198" t="s">
        <v>661</v>
      </c>
      <c r="C35" s="199">
        <v>9.5</v>
      </c>
      <c r="D35" s="198" t="s">
        <v>661</v>
      </c>
      <c r="E35" s="199">
        <v>9.5</v>
      </c>
      <c r="F35" s="203" t="s">
        <v>658</v>
      </c>
    </row>
    <row r="36" s="33" customFormat="1" ht="80" customHeight="1" spans="1:6">
      <c r="A36" s="200" t="s">
        <v>405</v>
      </c>
      <c r="B36" s="198" t="s">
        <v>661</v>
      </c>
      <c r="C36" s="199">
        <v>9.2</v>
      </c>
      <c r="D36" s="198" t="s">
        <v>661</v>
      </c>
      <c r="E36" s="199">
        <v>9.2</v>
      </c>
      <c r="F36" s="203" t="s">
        <v>658</v>
      </c>
    </row>
    <row r="37" s="33" customFormat="1" ht="80" customHeight="1" spans="1:6">
      <c r="A37" s="200" t="s">
        <v>408</v>
      </c>
      <c r="B37" s="198" t="s">
        <v>661</v>
      </c>
      <c r="C37" s="199">
        <v>9.2</v>
      </c>
      <c r="D37" s="198" t="s">
        <v>661</v>
      </c>
      <c r="E37" s="199">
        <v>9.2</v>
      </c>
      <c r="F37" s="203" t="s">
        <v>658</v>
      </c>
    </row>
    <row r="38" s="33" customFormat="1" ht="80" customHeight="1" spans="1:6">
      <c r="A38" s="200" t="s">
        <v>396</v>
      </c>
      <c r="B38" s="198" t="s">
        <v>661</v>
      </c>
      <c r="C38" s="199">
        <v>9.2</v>
      </c>
      <c r="D38" s="198" t="s">
        <v>661</v>
      </c>
      <c r="E38" s="199">
        <v>9.2</v>
      </c>
      <c r="F38" s="203" t="s">
        <v>659</v>
      </c>
    </row>
    <row r="39" s="33" customFormat="1" ht="80" customHeight="1" spans="1:6">
      <c r="A39" s="200" t="s">
        <v>397</v>
      </c>
      <c r="B39" s="198" t="s">
        <v>661</v>
      </c>
      <c r="C39" s="199">
        <v>9.2</v>
      </c>
      <c r="D39" s="198" t="s">
        <v>661</v>
      </c>
      <c r="E39" s="199">
        <v>9.2</v>
      </c>
      <c r="F39" s="203" t="s">
        <v>659</v>
      </c>
    </row>
    <row r="40" s="33" customFormat="1" ht="80" customHeight="1" spans="1:6">
      <c r="A40" s="200" t="s">
        <v>404</v>
      </c>
      <c r="B40" s="198" t="s">
        <v>661</v>
      </c>
      <c r="C40" s="199">
        <v>9.2</v>
      </c>
      <c r="D40" s="198" t="s">
        <v>661</v>
      </c>
      <c r="E40" s="199">
        <v>9.2</v>
      </c>
      <c r="F40" s="203" t="s">
        <v>659</v>
      </c>
    </row>
    <row r="41" s="33" customFormat="1" ht="80" customHeight="1" spans="1:6">
      <c r="A41" s="197" t="s">
        <v>338</v>
      </c>
      <c r="B41" s="198" t="s">
        <v>661</v>
      </c>
      <c r="C41" s="199">
        <v>8.9</v>
      </c>
      <c r="D41" s="198" t="s">
        <v>661</v>
      </c>
      <c r="E41" s="199">
        <v>8.9</v>
      </c>
      <c r="F41" s="203" t="s">
        <v>659</v>
      </c>
    </row>
    <row r="42" s="33" customFormat="1" ht="80" customHeight="1" spans="1:6">
      <c r="A42" s="200" t="s">
        <v>348</v>
      </c>
      <c r="B42" s="198" t="s">
        <v>661</v>
      </c>
      <c r="C42" s="199">
        <v>9.6</v>
      </c>
      <c r="D42" s="198" t="s">
        <v>661</v>
      </c>
      <c r="E42" s="199">
        <v>9.6</v>
      </c>
      <c r="F42" s="203" t="s">
        <v>659</v>
      </c>
    </row>
    <row r="43" s="33" customFormat="1" ht="80" customHeight="1" spans="1:6">
      <c r="A43" s="200" t="s">
        <v>409</v>
      </c>
      <c r="B43" s="198">
        <v>10.7</v>
      </c>
      <c r="C43" s="199">
        <v>8.7</v>
      </c>
      <c r="D43" s="198">
        <v>10.7</v>
      </c>
      <c r="E43" s="199">
        <v>8.7</v>
      </c>
      <c r="F43" s="203" t="s">
        <v>659</v>
      </c>
    </row>
    <row r="44" s="33" customFormat="1" ht="80" customHeight="1" spans="1:6">
      <c r="A44" s="200" t="s">
        <v>411</v>
      </c>
      <c r="B44" s="198">
        <v>10.7</v>
      </c>
      <c r="C44" s="199">
        <v>8.7</v>
      </c>
      <c r="D44" s="198">
        <v>10.7</v>
      </c>
      <c r="E44" s="199">
        <v>8.7</v>
      </c>
      <c r="F44" s="203" t="s">
        <v>659</v>
      </c>
    </row>
    <row r="45" s="33" customFormat="1" ht="80" customHeight="1" spans="1:6">
      <c r="A45" s="200" t="s">
        <v>410</v>
      </c>
      <c r="B45" s="198">
        <v>10.7</v>
      </c>
      <c r="C45" s="199">
        <v>8.7</v>
      </c>
      <c r="D45" s="198">
        <v>10.7</v>
      </c>
      <c r="E45" s="199">
        <v>8.7</v>
      </c>
      <c r="F45" s="203" t="s">
        <v>660</v>
      </c>
    </row>
  </sheetData>
  <sheetProtection formatCells="0" insertHyperlinks="0" autoFilter="0"/>
  <mergeCells count="14">
    <mergeCell ref="A1:F1"/>
    <mergeCell ref="B2:C2"/>
    <mergeCell ref="D2:E2"/>
    <mergeCell ref="H15:AA15"/>
    <mergeCell ref="A2:A4"/>
    <mergeCell ref="B3:B4"/>
    <mergeCell ref="C3:C4"/>
    <mergeCell ref="D3:D4"/>
    <mergeCell ref="E3:E4"/>
    <mergeCell ref="F2:F4"/>
    <mergeCell ref="H2:AA3"/>
    <mergeCell ref="H4:AA8"/>
    <mergeCell ref="H9:AA14"/>
    <mergeCell ref="H16:AA17"/>
  </mergeCells>
  <hyperlinks>
    <hyperlink ref="G1" location="目录!A1" display="返回目录"/>
  </hyperlinks>
  <pageMargins left="0.75" right="0.75" top="1" bottom="1" header="0.5" footer="0.5"/>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70C0"/>
  </sheetPr>
  <dimension ref="A1:H11"/>
  <sheetViews>
    <sheetView workbookViewId="0">
      <selection activeCell="K6" sqref="K6"/>
    </sheetView>
  </sheetViews>
  <sheetFormatPr defaultColWidth="9" defaultRowHeight="16.5" outlineLevelCol="7"/>
  <cols>
    <col min="1" max="1" width="49.1333333333333" style="171" customWidth="1"/>
    <col min="2" max="6" width="22.7333333333333" style="171" customWidth="1"/>
    <col min="7" max="7" width="27.6666666666667" style="171" customWidth="1"/>
    <col min="8" max="16382" width="9" style="171"/>
    <col min="16384" max="16384" width="9" style="33"/>
  </cols>
  <sheetData>
    <row r="1" s="171" customFormat="1" ht="78" customHeight="1" spans="1:8">
      <c r="A1" s="172" t="s">
        <v>663</v>
      </c>
      <c r="B1" s="172"/>
      <c r="C1" s="172"/>
      <c r="D1" s="172"/>
      <c r="E1" s="172"/>
      <c r="F1" s="172"/>
      <c r="G1" s="172"/>
      <c r="H1" s="19" t="s">
        <v>190</v>
      </c>
    </row>
    <row r="2" s="171" customFormat="1" ht="42" customHeight="1" spans="1:7">
      <c r="A2" s="173" t="s">
        <v>502</v>
      </c>
      <c r="B2" s="173"/>
      <c r="C2" s="173"/>
      <c r="D2" s="174" t="s">
        <v>664</v>
      </c>
      <c r="E2" s="182"/>
      <c r="F2" s="174"/>
      <c r="G2" s="183" t="s">
        <v>190</v>
      </c>
    </row>
    <row r="3" s="171" customFormat="1" ht="37.05" customHeight="1" spans="1:7">
      <c r="A3" s="175" t="s">
        <v>665</v>
      </c>
      <c r="B3" s="175" t="s">
        <v>666</v>
      </c>
      <c r="C3" s="176" t="s">
        <v>667</v>
      </c>
      <c r="D3" s="176" t="s">
        <v>668</v>
      </c>
      <c r="E3" s="184" t="s">
        <v>669</v>
      </c>
      <c r="F3" s="184" t="s">
        <v>670</v>
      </c>
      <c r="G3" s="185" t="s">
        <v>671</v>
      </c>
    </row>
    <row r="4" s="171" customFormat="1" ht="37.05" customHeight="1" spans="1:7">
      <c r="A4" s="177" t="s">
        <v>672</v>
      </c>
      <c r="B4" s="176">
        <v>28.9</v>
      </c>
      <c r="C4" s="178">
        <v>18.9</v>
      </c>
      <c r="D4" s="178">
        <v>11.4</v>
      </c>
      <c r="E4" s="186">
        <v>10.4</v>
      </c>
      <c r="F4" s="186">
        <v>9.9</v>
      </c>
      <c r="G4" s="187" t="s">
        <v>673</v>
      </c>
    </row>
    <row r="5" s="171" customFormat="1" ht="37.05" customHeight="1" spans="1:7">
      <c r="A5" s="177" t="s">
        <v>674</v>
      </c>
      <c r="B5" s="176">
        <v>30.9</v>
      </c>
      <c r="C5" s="178">
        <v>19.9</v>
      </c>
      <c r="D5" s="178">
        <v>14.4</v>
      </c>
      <c r="E5" s="186">
        <v>13.4</v>
      </c>
      <c r="F5" s="186">
        <v>12.9</v>
      </c>
      <c r="G5" s="187" t="s">
        <v>675</v>
      </c>
    </row>
    <row r="6" s="171" customFormat="1" ht="37.05" customHeight="1" spans="1:7">
      <c r="A6" s="177" t="s">
        <v>676</v>
      </c>
      <c r="B6" s="176">
        <v>32.9</v>
      </c>
      <c r="C6" s="178">
        <v>20.9</v>
      </c>
      <c r="D6" s="178">
        <v>16.4</v>
      </c>
      <c r="E6" s="186">
        <v>14.9</v>
      </c>
      <c r="F6" s="186">
        <v>14.4</v>
      </c>
      <c r="G6" s="187" t="s">
        <v>518</v>
      </c>
    </row>
    <row r="7" s="171" customFormat="1" ht="37.05" customHeight="1" spans="1:7">
      <c r="A7" s="177" t="s">
        <v>677</v>
      </c>
      <c r="B7" s="176">
        <v>34.9</v>
      </c>
      <c r="C7" s="178">
        <v>20.9</v>
      </c>
      <c r="D7" s="178">
        <v>17.9</v>
      </c>
      <c r="E7" s="186">
        <v>16.4</v>
      </c>
      <c r="F7" s="186">
        <v>15.9</v>
      </c>
      <c r="G7" s="187" t="s">
        <v>678</v>
      </c>
    </row>
    <row r="8" s="171" customFormat="1" ht="37.05" customHeight="1" spans="1:7">
      <c r="A8" s="177" t="s">
        <v>679</v>
      </c>
      <c r="B8" s="176">
        <v>8.9</v>
      </c>
      <c r="C8" s="178">
        <v>8.9</v>
      </c>
      <c r="D8" s="178">
        <v>8.9</v>
      </c>
      <c r="E8" s="186">
        <v>8.9</v>
      </c>
      <c r="F8" s="186">
        <v>8.9</v>
      </c>
      <c r="G8" s="187" t="s">
        <v>680</v>
      </c>
    </row>
    <row r="9" s="171" customFormat="1" ht="73.05" customHeight="1" spans="1:7">
      <c r="A9" s="179" t="s">
        <v>681</v>
      </c>
      <c r="B9" s="177"/>
      <c r="C9" s="177"/>
      <c r="D9" s="177"/>
      <c r="E9" s="177"/>
      <c r="F9" s="177"/>
      <c r="G9" s="177"/>
    </row>
    <row r="10" s="171" customFormat="1" ht="228" customHeight="1" spans="1:7">
      <c r="A10" s="180" t="s">
        <v>682</v>
      </c>
      <c r="B10" s="180"/>
      <c r="C10" s="180"/>
      <c r="D10" s="180"/>
      <c r="E10" s="180"/>
      <c r="F10" s="180"/>
      <c r="G10" s="180"/>
    </row>
    <row r="11" s="171" customFormat="1" ht="173" customHeight="1" spans="1:7">
      <c r="A11" s="181" t="s">
        <v>524</v>
      </c>
      <c r="B11" s="181"/>
      <c r="C11" s="181"/>
      <c r="D11" s="181"/>
      <c r="E11" s="181"/>
      <c r="F11" s="181"/>
      <c r="G11" s="181"/>
    </row>
  </sheetData>
  <sheetProtection formatCells="0" insertHyperlinks="0" autoFilter="0"/>
  <mergeCells count="6">
    <mergeCell ref="A1:F1"/>
    <mergeCell ref="A2:C2"/>
    <mergeCell ref="D2:F2"/>
    <mergeCell ref="A9:G9"/>
    <mergeCell ref="A10:G10"/>
    <mergeCell ref="A11:G11"/>
  </mergeCells>
  <conditionalFormatting sqref="A7">
    <cfRule type="duplicateValues" dxfId="0" priority="225"/>
  </conditionalFormatting>
  <conditionalFormatting sqref="A8:A9">
    <cfRule type="duplicateValues" dxfId="0" priority="227"/>
  </conditionalFormatting>
  <hyperlinks>
    <hyperlink ref="G2" location="目录!A1" display="返回目录"/>
    <hyperlink ref="H1" location="目录!A1" display="返回目录"/>
  </hyperlinks>
  <pageMargins left="0.75" right="0.75" top="1" bottom="1" header="0.5" footer="0.5"/>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70C0"/>
    <pageSetUpPr fitToPage="1"/>
  </sheetPr>
  <dimension ref="B1:K44"/>
  <sheetViews>
    <sheetView zoomScale="70" zoomScaleNormal="70" topLeftCell="A2" workbookViewId="0">
      <selection activeCell="M7" sqref="M7"/>
    </sheetView>
  </sheetViews>
  <sheetFormatPr defaultColWidth="9" defaultRowHeight="55.05" customHeight="1"/>
  <cols>
    <col min="1" max="1" width="1.6" style="145" customWidth="1"/>
    <col min="2" max="2" width="51.6" style="145" customWidth="1"/>
    <col min="3" max="3" width="28.5333333333333" style="145" customWidth="1"/>
    <col min="4" max="4" width="31.0666666666667" style="145" customWidth="1"/>
    <col min="5" max="5" width="28.5333333333333" style="145" customWidth="1"/>
    <col min="6" max="6" width="32.3333333333333" style="145" customWidth="1"/>
    <col min="7" max="10" width="28.5333333333333" style="145" customWidth="1"/>
    <col min="11" max="11" width="33.5333333333333" style="145" customWidth="1"/>
    <col min="12" max="16384" width="9" style="145"/>
  </cols>
  <sheetData>
    <row r="1" ht="10.05" hidden="1" customHeight="1"/>
    <row r="2" ht="91.05" customHeight="1" spans="2:11">
      <c r="B2" s="146" t="s">
        <v>683</v>
      </c>
      <c r="C2" s="147"/>
      <c r="D2" s="147"/>
      <c r="E2" s="147"/>
      <c r="F2" s="147"/>
      <c r="G2" s="147"/>
      <c r="H2" s="147"/>
      <c r="I2" s="147"/>
      <c r="J2" s="147"/>
      <c r="K2" s="167" t="s">
        <v>190</v>
      </c>
    </row>
    <row r="3" ht="51" customHeight="1" spans="2:10">
      <c r="B3" s="148" t="s">
        <v>684</v>
      </c>
      <c r="C3" s="148"/>
      <c r="D3" s="148"/>
      <c r="E3" s="148"/>
      <c r="F3" s="148"/>
      <c r="G3" s="148"/>
      <c r="H3" s="148"/>
      <c r="I3" s="148"/>
      <c r="J3" s="148"/>
    </row>
    <row r="4" ht="53" customHeight="1" spans="2:10">
      <c r="B4" s="149" t="s">
        <v>685</v>
      </c>
      <c r="C4" s="86" t="s">
        <v>686</v>
      </c>
      <c r="D4" s="86"/>
      <c r="E4" s="86" t="s">
        <v>687</v>
      </c>
      <c r="F4" s="86"/>
      <c r="G4" s="86" t="s">
        <v>688</v>
      </c>
      <c r="H4" s="86"/>
      <c r="I4" s="86" t="s">
        <v>689</v>
      </c>
      <c r="J4" s="86"/>
    </row>
    <row r="5" ht="49.05" customHeight="1" spans="2:10">
      <c r="B5" s="87" t="s">
        <v>278</v>
      </c>
      <c r="C5" s="88" t="s">
        <v>210</v>
      </c>
      <c r="D5" s="88"/>
      <c r="E5" s="88" t="s">
        <v>211</v>
      </c>
      <c r="F5" s="88"/>
      <c r="G5" s="88" t="s">
        <v>690</v>
      </c>
      <c r="H5" s="88"/>
      <c r="I5" s="88" t="s">
        <v>691</v>
      </c>
      <c r="J5" s="88"/>
    </row>
    <row r="6" ht="49.05" customHeight="1" spans="2:10">
      <c r="B6" s="87"/>
      <c r="C6" s="150" t="s">
        <v>193</v>
      </c>
      <c r="D6" s="89" t="s">
        <v>217</v>
      </c>
      <c r="E6" s="150" t="s">
        <v>193</v>
      </c>
      <c r="F6" s="89" t="s">
        <v>217</v>
      </c>
      <c r="G6" s="150" t="s">
        <v>193</v>
      </c>
      <c r="H6" s="89" t="s">
        <v>217</v>
      </c>
      <c r="I6" s="150" t="s">
        <v>193</v>
      </c>
      <c r="J6" s="89" t="s">
        <v>217</v>
      </c>
    </row>
    <row r="7" ht="72" customHeight="1" spans="2:10">
      <c r="B7" s="151" t="s">
        <v>496</v>
      </c>
      <c r="C7" s="152">
        <v>17</v>
      </c>
      <c r="D7" s="153">
        <v>14</v>
      </c>
      <c r="E7" s="153">
        <v>17</v>
      </c>
      <c r="F7" s="153">
        <v>14</v>
      </c>
      <c r="G7" s="153">
        <v>16.7</v>
      </c>
      <c r="H7" s="153">
        <v>13.7</v>
      </c>
      <c r="I7" s="153">
        <v>16</v>
      </c>
      <c r="J7" s="153">
        <v>13</v>
      </c>
    </row>
    <row r="8" ht="72" customHeight="1" spans="2:10">
      <c r="B8" s="151" t="s">
        <v>497</v>
      </c>
      <c r="C8" s="152">
        <v>19.2</v>
      </c>
      <c r="D8" s="153">
        <v>15.8</v>
      </c>
      <c r="E8" s="153">
        <v>19.2</v>
      </c>
      <c r="F8" s="153">
        <v>15.8</v>
      </c>
      <c r="G8" s="153">
        <v>17.7</v>
      </c>
      <c r="H8" s="153">
        <v>14.7</v>
      </c>
      <c r="I8" s="153">
        <v>17</v>
      </c>
      <c r="J8" s="153">
        <v>14</v>
      </c>
    </row>
    <row r="9" ht="72" customHeight="1" spans="2:10">
      <c r="B9" s="151" t="s">
        <v>498</v>
      </c>
      <c r="C9" s="152">
        <v>20.2</v>
      </c>
      <c r="D9" s="153">
        <v>16.8</v>
      </c>
      <c r="E9" s="153">
        <v>20.2</v>
      </c>
      <c r="F9" s="153">
        <v>16.8</v>
      </c>
      <c r="G9" s="153">
        <v>18.7</v>
      </c>
      <c r="H9" s="153">
        <v>15.7</v>
      </c>
      <c r="I9" s="153">
        <v>18</v>
      </c>
      <c r="J9" s="153">
        <v>15</v>
      </c>
    </row>
    <row r="10" ht="153" customHeight="1" spans="2:10">
      <c r="B10" s="151" t="s">
        <v>504</v>
      </c>
      <c r="C10" s="154" t="s">
        <v>692</v>
      </c>
      <c r="D10" s="155"/>
      <c r="E10" s="154" t="s">
        <v>693</v>
      </c>
      <c r="F10" s="155"/>
      <c r="G10" s="154" t="s">
        <v>693</v>
      </c>
      <c r="H10" s="155"/>
      <c r="I10" s="154" t="s">
        <v>693</v>
      </c>
      <c r="J10" s="155"/>
    </row>
    <row r="11" ht="93" customHeight="1" spans="2:10">
      <c r="B11" s="156" t="s">
        <v>506</v>
      </c>
      <c r="C11" s="156"/>
      <c r="D11" s="156"/>
      <c r="E11" s="156"/>
      <c r="F11" s="156"/>
      <c r="G11" s="156"/>
      <c r="H11" s="156"/>
      <c r="I11" s="156"/>
      <c r="J11" s="156"/>
    </row>
    <row r="12" customHeight="1" spans="2:10">
      <c r="B12" s="157" t="s">
        <v>694</v>
      </c>
      <c r="C12" s="157"/>
      <c r="D12" s="157"/>
      <c r="E12" s="157"/>
      <c r="F12" s="157"/>
      <c r="G12" s="157"/>
      <c r="H12" s="157"/>
      <c r="I12" s="157"/>
      <c r="J12" s="157"/>
    </row>
    <row r="13" customHeight="1" spans="2:10">
      <c r="B13" s="158" t="s">
        <v>695</v>
      </c>
      <c r="C13" s="158"/>
      <c r="D13" s="158"/>
      <c r="E13" s="158"/>
      <c r="F13" s="158"/>
      <c r="G13" s="158"/>
      <c r="H13" s="158"/>
      <c r="I13" s="158"/>
      <c r="J13" s="158"/>
    </row>
    <row r="14" customHeight="1" spans="2:10">
      <c r="B14" s="159" t="s">
        <v>696</v>
      </c>
      <c r="C14" s="159"/>
      <c r="D14" s="159"/>
      <c r="E14" s="159"/>
      <c r="F14" s="159"/>
      <c r="G14" s="159"/>
      <c r="H14" s="159"/>
      <c r="I14" s="159" t="s">
        <v>697</v>
      </c>
      <c r="J14" s="159"/>
    </row>
    <row r="15" customHeight="1" spans="2:10">
      <c r="B15" s="160" t="s">
        <v>238</v>
      </c>
      <c r="C15" s="161" t="s">
        <v>698</v>
      </c>
      <c r="D15" s="161"/>
      <c r="E15" s="161"/>
      <c r="F15" s="161"/>
      <c r="G15" s="161"/>
      <c r="H15" s="161"/>
      <c r="I15" s="168" t="s">
        <v>699</v>
      </c>
      <c r="J15" s="168"/>
    </row>
    <row r="16" customHeight="1" spans="2:10">
      <c r="B16" s="162" t="s">
        <v>700</v>
      </c>
      <c r="C16" s="161" t="s">
        <v>701</v>
      </c>
      <c r="D16" s="161"/>
      <c r="E16" s="161"/>
      <c r="F16" s="161"/>
      <c r="G16" s="161"/>
      <c r="H16" s="161"/>
      <c r="I16" s="168" t="s">
        <v>699</v>
      </c>
      <c r="J16" s="168"/>
    </row>
    <row r="17" customHeight="1" spans="2:10">
      <c r="B17" s="162"/>
      <c r="C17" s="161" t="s">
        <v>702</v>
      </c>
      <c r="D17" s="161"/>
      <c r="E17" s="161"/>
      <c r="F17" s="161"/>
      <c r="G17" s="161"/>
      <c r="H17" s="161"/>
      <c r="I17" s="168" t="s">
        <v>703</v>
      </c>
      <c r="J17" s="168"/>
    </row>
    <row r="18" customHeight="1" spans="2:10">
      <c r="B18" s="162"/>
      <c r="C18" s="161" t="s">
        <v>704</v>
      </c>
      <c r="D18" s="161"/>
      <c r="E18" s="161"/>
      <c r="F18" s="161"/>
      <c r="G18" s="161"/>
      <c r="H18" s="161"/>
      <c r="I18" s="168" t="s">
        <v>703</v>
      </c>
      <c r="J18" s="168"/>
    </row>
    <row r="19" customHeight="1" spans="2:10">
      <c r="B19" s="162"/>
      <c r="C19" s="161" t="s">
        <v>705</v>
      </c>
      <c r="D19" s="161"/>
      <c r="E19" s="161"/>
      <c r="F19" s="161"/>
      <c r="G19" s="161"/>
      <c r="H19" s="161"/>
      <c r="I19" s="168" t="s">
        <v>706</v>
      </c>
      <c r="J19" s="168"/>
    </row>
    <row r="20" customHeight="1" spans="2:10">
      <c r="B20" s="162"/>
      <c r="C20" s="162" t="s">
        <v>707</v>
      </c>
      <c r="D20" s="162"/>
      <c r="E20" s="162"/>
      <c r="F20" s="162"/>
      <c r="G20" s="162"/>
      <c r="H20" s="162"/>
      <c r="I20" s="168" t="s">
        <v>708</v>
      </c>
      <c r="J20" s="168"/>
    </row>
    <row r="21" customHeight="1" spans="2:10">
      <c r="B21" s="162"/>
      <c r="C21" s="161" t="s">
        <v>709</v>
      </c>
      <c r="D21" s="161"/>
      <c r="E21" s="161"/>
      <c r="F21" s="161"/>
      <c r="G21" s="161"/>
      <c r="H21" s="161"/>
      <c r="I21" s="168" t="s">
        <v>710</v>
      </c>
      <c r="J21" s="168"/>
    </row>
    <row r="22" customHeight="1" spans="2:10">
      <c r="B22" s="163" t="s">
        <v>711</v>
      </c>
      <c r="C22" s="161" t="s">
        <v>712</v>
      </c>
      <c r="D22" s="161"/>
      <c r="E22" s="161"/>
      <c r="F22" s="161"/>
      <c r="G22" s="161"/>
      <c r="H22" s="161"/>
      <c r="I22" s="169" t="s">
        <v>713</v>
      </c>
      <c r="J22" s="169"/>
    </row>
    <row r="23" customHeight="1" spans="2:10">
      <c r="B23" s="163"/>
      <c r="C23" s="161" t="s">
        <v>714</v>
      </c>
      <c r="D23" s="161"/>
      <c r="E23" s="161"/>
      <c r="F23" s="161"/>
      <c r="G23" s="161"/>
      <c r="H23" s="161"/>
      <c r="I23" s="169"/>
      <c r="J23" s="169"/>
    </row>
    <row r="24" customHeight="1" spans="2:10">
      <c r="B24" s="163"/>
      <c r="C24" s="161" t="s">
        <v>715</v>
      </c>
      <c r="D24" s="161"/>
      <c r="E24" s="161"/>
      <c r="F24" s="161"/>
      <c r="G24" s="161"/>
      <c r="H24" s="161"/>
      <c r="I24" s="169"/>
      <c r="J24" s="169"/>
    </row>
    <row r="25" customHeight="1" spans="2:10">
      <c r="B25" s="162" t="s">
        <v>716</v>
      </c>
      <c r="C25" s="161" t="s">
        <v>717</v>
      </c>
      <c r="D25" s="161"/>
      <c r="E25" s="161"/>
      <c r="F25" s="161"/>
      <c r="G25" s="161"/>
      <c r="H25" s="161"/>
      <c r="I25" s="169" t="s">
        <v>713</v>
      </c>
      <c r="J25" s="169"/>
    </row>
    <row r="26" customHeight="1" spans="2:10">
      <c r="B26" s="162" t="s">
        <v>718</v>
      </c>
      <c r="C26" s="161" t="s">
        <v>719</v>
      </c>
      <c r="D26" s="161"/>
      <c r="E26" s="161"/>
      <c r="F26" s="161"/>
      <c r="G26" s="161"/>
      <c r="H26" s="161"/>
      <c r="I26" s="169" t="s">
        <v>720</v>
      </c>
      <c r="J26" s="169"/>
    </row>
    <row r="27" customHeight="1" spans="2:10">
      <c r="B27" s="162"/>
      <c r="C27" s="161" t="s">
        <v>721</v>
      </c>
      <c r="D27" s="161"/>
      <c r="E27" s="161"/>
      <c r="F27" s="161"/>
      <c r="G27" s="161"/>
      <c r="H27" s="161"/>
      <c r="I27" s="169"/>
      <c r="J27" s="169"/>
    </row>
    <row r="28" customHeight="1" spans="2:10">
      <c r="B28" s="162"/>
      <c r="C28" s="161" t="s">
        <v>722</v>
      </c>
      <c r="D28" s="161"/>
      <c r="E28" s="161"/>
      <c r="F28" s="161"/>
      <c r="G28" s="161"/>
      <c r="H28" s="161"/>
      <c r="I28" s="169"/>
      <c r="J28" s="169"/>
    </row>
    <row r="29" customHeight="1" spans="2:10">
      <c r="B29" s="162" t="s">
        <v>723</v>
      </c>
      <c r="C29" s="161" t="s">
        <v>724</v>
      </c>
      <c r="D29" s="161"/>
      <c r="E29" s="161"/>
      <c r="F29" s="161"/>
      <c r="G29" s="161"/>
      <c r="H29" s="161"/>
      <c r="I29" s="170" t="s">
        <v>720</v>
      </c>
      <c r="J29" s="170"/>
    </row>
    <row r="30" customHeight="1" spans="2:10">
      <c r="B30" s="162" t="s">
        <v>725</v>
      </c>
      <c r="C30" s="161" t="s">
        <v>726</v>
      </c>
      <c r="D30" s="161"/>
      <c r="E30" s="161"/>
      <c r="F30" s="161"/>
      <c r="G30" s="161"/>
      <c r="H30" s="161"/>
      <c r="I30" s="170" t="s">
        <v>727</v>
      </c>
      <c r="J30" s="170"/>
    </row>
    <row r="31" customHeight="1" spans="2:10">
      <c r="B31" s="164"/>
      <c r="C31" s="164"/>
      <c r="D31" s="164"/>
      <c r="E31" s="164"/>
      <c r="F31" s="164"/>
      <c r="G31" s="164"/>
      <c r="H31" s="164"/>
      <c r="I31" s="164"/>
      <c r="J31" s="164"/>
    </row>
    <row r="32" customHeight="1" spans="2:10">
      <c r="B32" s="164" t="s">
        <v>728</v>
      </c>
      <c r="C32" s="165" t="s">
        <v>729</v>
      </c>
      <c r="D32" s="165"/>
      <c r="E32" s="165"/>
      <c r="F32" s="165"/>
      <c r="G32" s="165"/>
      <c r="H32" s="165"/>
      <c r="I32" s="165"/>
      <c r="J32" s="165"/>
    </row>
    <row r="33" customHeight="1" spans="2:10">
      <c r="B33" s="164"/>
      <c r="C33" s="165" t="s">
        <v>730</v>
      </c>
      <c r="D33" s="165"/>
      <c r="E33" s="165"/>
      <c r="F33" s="165"/>
      <c r="G33" s="165"/>
      <c r="H33" s="165"/>
      <c r="I33" s="165"/>
      <c r="J33" s="165"/>
    </row>
    <row r="34" customHeight="1" spans="2:10">
      <c r="B34" s="164"/>
      <c r="C34" s="165" t="s">
        <v>731</v>
      </c>
      <c r="D34" s="165"/>
      <c r="E34" s="165"/>
      <c r="F34" s="165"/>
      <c r="G34" s="165"/>
      <c r="H34" s="165"/>
      <c r="I34" s="165"/>
      <c r="J34" s="165"/>
    </row>
    <row r="35" customHeight="1" spans="2:10">
      <c r="B35" s="164"/>
      <c r="C35" s="165" t="s">
        <v>732</v>
      </c>
      <c r="D35" s="165"/>
      <c r="E35" s="165"/>
      <c r="F35" s="165"/>
      <c r="G35" s="165"/>
      <c r="H35" s="165"/>
      <c r="I35" s="165"/>
      <c r="J35" s="165"/>
    </row>
    <row r="36" customHeight="1" spans="2:10">
      <c r="B36" s="164"/>
      <c r="C36" s="165" t="s">
        <v>733</v>
      </c>
      <c r="D36" s="165"/>
      <c r="E36" s="165"/>
      <c r="F36" s="165"/>
      <c r="G36" s="165"/>
      <c r="H36" s="165"/>
      <c r="I36" s="165"/>
      <c r="J36" s="165"/>
    </row>
    <row r="37" customHeight="1" spans="2:10">
      <c r="B37" s="164"/>
      <c r="C37" s="165" t="s">
        <v>734</v>
      </c>
      <c r="D37" s="165"/>
      <c r="E37" s="165"/>
      <c r="F37" s="165"/>
      <c r="G37" s="165"/>
      <c r="H37" s="165"/>
      <c r="I37" s="165"/>
      <c r="J37" s="165"/>
    </row>
    <row r="38" customHeight="1" spans="2:10">
      <c r="B38" s="164"/>
      <c r="C38" s="165" t="s">
        <v>735</v>
      </c>
      <c r="D38" s="165"/>
      <c r="E38" s="165"/>
      <c r="F38" s="165"/>
      <c r="G38" s="165"/>
      <c r="H38" s="165"/>
      <c r="I38" s="165"/>
      <c r="J38" s="165"/>
    </row>
    <row r="39" customHeight="1" spans="2:10">
      <c r="B39" s="164"/>
      <c r="C39" s="165" t="s">
        <v>736</v>
      </c>
      <c r="D39" s="165"/>
      <c r="E39" s="165"/>
      <c r="F39" s="165"/>
      <c r="G39" s="165"/>
      <c r="H39" s="165"/>
      <c r="I39" s="165"/>
      <c r="J39" s="165"/>
    </row>
    <row r="40" customHeight="1" spans="2:10">
      <c r="B40" s="164"/>
      <c r="C40" s="165" t="s">
        <v>737</v>
      </c>
      <c r="D40" s="165"/>
      <c r="E40" s="165"/>
      <c r="F40" s="165"/>
      <c r="G40" s="165"/>
      <c r="H40" s="165"/>
      <c r="I40" s="165"/>
      <c r="J40" s="165"/>
    </row>
    <row r="41" customHeight="1" spans="2:10">
      <c r="B41" s="164"/>
      <c r="C41" s="165" t="s">
        <v>738</v>
      </c>
      <c r="D41" s="165"/>
      <c r="E41" s="165"/>
      <c r="F41" s="165"/>
      <c r="G41" s="165"/>
      <c r="H41" s="165"/>
      <c r="I41" s="165"/>
      <c r="J41" s="165"/>
    </row>
    <row r="42" customHeight="1" spans="2:10">
      <c r="B42" s="164"/>
      <c r="C42" s="165" t="s">
        <v>739</v>
      </c>
      <c r="D42" s="165"/>
      <c r="E42" s="165"/>
      <c r="F42" s="165"/>
      <c r="G42" s="165"/>
      <c r="H42" s="165"/>
      <c r="I42" s="165"/>
      <c r="J42" s="165"/>
    </row>
    <row r="43" customHeight="1" spans="2:10">
      <c r="B43" s="164"/>
      <c r="C43" s="164" t="s">
        <v>740</v>
      </c>
      <c r="D43" s="164"/>
      <c r="E43" s="164"/>
      <c r="F43" s="164"/>
      <c r="G43" s="164"/>
      <c r="H43" s="164"/>
      <c r="I43" s="164"/>
      <c r="J43" s="164"/>
    </row>
    <row r="44" customHeight="1" spans="2:10">
      <c r="B44" s="166" t="s">
        <v>741</v>
      </c>
      <c r="C44" s="166"/>
      <c r="D44" s="166"/>
      <c r="E44" s="166"/>
      <c r="F44" s="166"/>
      <c r="G44" s="166"/>
      <c r="H44" s="166"/>
      <c r="I44" s="166"/>
      <c r="J44" s="166"/>
    </row>
  </sheetData>
  <sheetProtection formatCells="0" insertHyperlinks="0" autoFilter="0"/>
  <mergeCells count="66">
    <mergeCell ref="B2:J2"/>
    <mergeCell ref="B3:J3"/>
    <mergeCell ref="C4:D4"/>
    <mergeCell ref="E4:F4"/>
    <mergeCell ref="G4:H4"/>
    <mergeCell ref="I4:J4"/>
    <mergeCell ref="C5:D5"/>
    <mergeCell ref="E5:F5"/>
    <mergeCell ref="G5:H5"/>
    <mergeCell ref="I5:J5"/>
    <mergeCell ref="C10:D10"/>
    <mergeCell ref="E10:F10"/>
    <mergeCell ref="G10:H10"/>
    <mergeCell ref="I10:J10"/>
    <mergeCell ref="B11:J11"/>
    <mergeCell ref="B12:J12"/>
    <mergeCell ref="B13:J13"/>
    <mergeCell ref="B14:H14"/>
    <mergeCell ref="I14:J14"/>
    <mergeCell ref="C15:H15"/>
    <mergeCell ref="I15:J15"/>
    <mergeCell ref="C16:H16"/>
    <mergeCell ref="I16:J16"/>
    <mergeCell ref="C17:H17"/>
    <mergeCell ref="I17:J17"/>
    <mergeCell ref="C18:H18"/>
    <mergeCell ref="I18:J18"/>
    <mergeCell ref="C19:H19"/>
    <mergeCell ref="I19:J19"/>
    <mergeCell ref="C20:H20"/>
    <mergeCell ref="I20:J20"/>
    <mergeCell ref="C21:H21"/>
    <mergeCell ref="I21:J21"/>
    <mergeCell ref="C22:H22"/>
    <mergeCell ref="C23:H23"/>
    <mergeCell ref="C24:H24"/>
    <mergeCell ref="C25:H25"/>
    <mergeCell ref="I25:J25"/>
    <mergeCell ref="C26:H26"/>
    <mergeCell ref="C27:H27"/>
    <mergeCell ref="C28:H28"/>
    <mergeCell ref="C29:H29"/>
    <mergeCell ref="I29:J29"/>
    <mergeCell ref="C30:H30"/>
    <mergeCell ref="I30:J30"/>
    <mergeCell ref="B31:J31"/>
    <mergeCell ref="C32:J32"/>
    <mergeCell ref="C33:J33"/>
    <mergeCell ref="C34:J34"/>
    <mergeCell ref="C35:J35"/>
    <mergeCell ref="C36:J36"/>
    <mergeCell ref="C37:J37"/>
    <mergeCell ref="C38:J38"/>
    <mergeCell ref="C39:J39"/>
    <mergeCell ref="C40:J40"/>
    <mergeCell ref="C41:J41"/>
    <mergeCell ref="C42:J42"/>
    <mergeCell ref="C43:J43"/>
    <mergeCell ref="B44:J44"/>
    <mergeCell ref="B5:B6"/>
    <mergeCell ref="B16:B21"/>
    <mergeCell ref="B22:B24"/>
    <mergeCell ref="B26:B28"/>
    <mergeCell ref="B32:B43"/>
    <mergeCell ref="I22:J24"/>
    <mergeCell ref="I26:J28"/>
  </mergeCells>
  <conditionalFormatting sqref="B14 I14">
    <cfRule type="colorScale" priority="1">
      <colorScale>
        <cfvo type="min"/>
        <cfvo type="percentile" val="50"/>
        <cfvo type="max"/>
        <color rgb="FFF8696B"/>
        <color rgb="FFFFEB84"/>
        <color rgb="FF63BE7B"/>
      </colorScale>
    </cfRule>
    <cfRule type="dataBar" priority="2">
      <dataBar>
        <cfvo type="min"/>
        <cfvo type="max"/>
        <color rgb="FF638EC6"/>
      </dataBar>
      <extLst>
        <ext xmlns:x14="http://schemas.microsoft.com/office/spreadsheetml/2009/9/main" uri="{B025F937-C7B1-47D3-B67F-A62EFF666E3E}">
          <x14:id>{706ad691-e1b3-4895-87e4-e0cb14e4c28b}</x14:id>
        </ext>
      </extLst>
    </cfRule>
  </conditionalFormatting>
  <hyperlinks>
    <hyperlink ref="K2" location="目录!A1" display="返回目录"/>
  </hyperlinks>
  <printOptions horizontalCentered="1"/>
  <pageMargins left="0.707638888888889" right="0.707638888888889" top="0.747916666666667" bottom="0.747916666666667" header="0.313888888888889" footer="0.313888888888889"/>
  <pageSetup paperSize="9" scale="60" orientation="portrait"/>
  <headerFooter/>
  <drawing r:id="rId1"/>
  <extLst>
    <ext xmlns:x14="http://schemas.microsoft.com/office/spreadsheetml/2009/9/main" uri="{78C0D931-6437-407d-A8EE-F0AAD7539E65}">
      <x14:conditionalFormattings>
        <x14:conditionalFormatting xmlns:xm="http://schemas.microsoft.com/office/excel/2006/main">
          <x14:cfRule type="dataBar" id="{706ad691-e1b3-4895-87e4-e0cb14e4c28b}">
            <x14:dataBar minLength="0" maxLength="100" negativeBarColorSameAsPositive="1" axisPosition="none">
              <x14:cfvo type="min"/>
              <x14:cfvo type="max"/>
              <x14:axisColor indexed="65"/>
            </x14:dataBar>
          </x14:cfRule>
          <xm:sqref>B14 I14</xm:sqref>
        </x14:conditionalFormatting>
      </x14:conditionalFormattings>
    </ext>
  </extLst>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G29"/>
  <sheetViews>
    <sheetView workbookViewId="0">
      <selection activeCell="I3" sqref="I3:I6"/>
    </sheetView>
  </sheetViews>
  <sheetFormatPr defaultColWidth="10.8666666666667" defaultRowHeight="17.25" outlineLevelCol="6"/>
  <cols>
    <col min="1" max="1" width="62.1333333333333" style="121" customWidth="1"/>
    <col min="2" max="2" width="23.5333333333333" style="121" customWidth="1"/>
    <col min="3" max="3" width="24.5333333333333" style="121" customWidth="1"/>
    <col min="4" max="4" width="23.1333333333333" style="121" customWidth="1"/>
    <col min="5" max="5" width="31.1333333333333" style="121" customWidth="1"/>
    <col min="6" max="6" width="24.6" style="122" customWidth="1"/>
    <col min="7" max="16384" width="10.8666666666667" style="121"/>
  </cols>
  <sheetData>
    <row r="1" s="117" customFormat="1" ht="132" customHeight="1" spans="1:7">
      <c r="A1" s="123" t="s">
        <v>742</v>
      </c>
      <c r="B1" s="124"/>
      <c r="C1" s="124"/>
      <c r="D1" s="124"/>
      <c r="E1" s="124"/>
      <c r="F1" s="140"/>
      <c r="G1" s="19" t="s">
        <v>190</v>
      </c>
    </row>
    <row r="2" ht="40.05" customHeight="1" spans="1:6">
      <c r="A2" s="125" t="s">
        <v>743</v>
      </c>
      <c r="B2" s="126" t="s">
        <v>178</v>
      </c>
      <c r="C2" s="127"/>
      <c r="D2" s="127"/>
      <c r="E2" s="141"/>
      <c r="F2" s="125" t="s">
        <v>744</v>
      </c>
    </row>
    <row r="3" s="118" customFormat="1" ht="40.05" customHeight="1" spans="1:6">
      <c r="A3" s="128"/>
      <c r="B3" s="128" t="s">
        <v>745</v>
      </c>
      <c r="C3" s="128" t="s">
        <v>746</v>
      </c>
      <c r="D3" s="128" t="s">
        <v>747</v>
      </c>
      <c r="E3" s="128" t="s">
        <v>748</v>
      </c>
      <c r="F3" s="128"/>
    </row>
    <row r="4" s="119" customFormat="1" ht="40.05" customHeight="1" spans="1:6">
      <c r="A4" s="129" t="s">
        <v>749</v>
      </c>
      <c r="B4" s="130">
        <v>17.4</v>
      </c>
      <c r="C4" s="131">
        <v>16.4</v>
      </c>
      <c r="D4" s="131">
        <v>13.4</v>
      </c>
      <c r="E4" s="142">
        <v>12.4</v>
      </c>
      <c r="F4" s="143" t="s">
        <v>750</v>
      </c>
    </row>
    <row r="5" s="119" customFormat="1" ht="40.05" customHeight="1" spans="1:6">
      <c r="A5" s="132" t="s">
        <v>751</v>
      </c>
      <c r="B5" s="130">
        <v>18.4</v>
      </c>
      <c r="C5" s="131">
        <v>17.4</v>
      </c>
      <c r="D5" s="131">
        <v>14.4</v>
      </c>
      <c r="E5" s="142">
        <v>13.4</v>
      </c>
      <c r="F5" s="143"/>
    </row>
    <row r="6" s="119" customFormat="1" ht="40.05" customHeight="1" spans="1:6">
      <c r="A6" s="133" t="s">
        <v>752</v>
      </c>
      <c r="B6" s="130">
        <v>19.4</v>
      </c>
      <c r="C6" s="131">
        <v>18.4</v>
      </c>
      <c r="D6" s="131">
        <v>15.4</v>
      </c>
      <c r="E6" s="142">
        <v>14.4</v>
      </c>
      <c r="F6" s="143"/>
    </row>
    <row r="7" s="119" customFormat="1" ht="40.05" customHeight="1" spans="1:6">
      <c r="A7" s="132" t="s">
        <v>753</v>
      </c>
      <c r="B7" s="130">
        <v>19.9</v>
      </c>
      <c r="C7" s="131">
        <v>18.9</v>
      </c>
      <c r="D7" s="131">
        <v>15.9</v>
      </c>
      <c r="E7" s="142">
        <v>14.9</v>
      </c>
      <c r="F7" s="143"/>
    </row>
    <row r="8" s="119" customFormat="1" ht="40.05" customHeight="1" spans="1:6">
      <c r="A8" s="134" t="s">
        <v>754</v>
      </c>
      <c r="B8" s="135">
        <v>22.9</v>
      </c>
      <c r="C8" s="136">
        <v>21.9</v>
      </c>
      <c r="D8" s="136">
        <v>18.9</v>
      </c>
      <c r="E8" s="144">
        <v>17.9</v>
      </c>
      <c r="F8" s="143"/>
    </row>
    <row r="9" s="120" customFormat="1" ht="30" customHeight="1" spans="1:6">
      <c r="A9" s="137" t="s">
        <v>139</v>
      </c>
      <c r="B9" s="138"/>
      <c r="C9" s="138"/>
      <c r="D9" s="138"/>
      <c r="E9" s="138"/>
      <c r="F9" s="138"/>
    </row>
    <row r="10" ht="60" customHeight="1" spans="1:6">
      <c r="A10" s="139" t="s">
        <v>226</v>
      </c>
      <c r="B10" s="139"/>
      <c r="C10" s="139"/>
      <c r="D10" s="139"/>
      <c r="E10" s="139"/>
      <c r="F10" s="139"/>
    </row>
    <row r="11" ht="71" customHeight="1" spans="1:6">
      <c r="A11" s="102" t="s">
        <v>227</v>
      </c>
      <c r="B11" s="102" t="s">
        <v>228</v>
      </c>
      <c r="C11" s="102"/>
      <c r="D11" s="102"/>
      <c r="E11" s="102"/>
      <c r="F11" s="102"/>
    </row>
    <row r="12" ht="66" customHeight="1" spans="1:6">
      <c r="A12" s="102" t="s">
        <v>229</v>
      </c>
      <c r="B12" s="102" t="s">
        <v>230</v>
      </c>
      <c r="C12" s="102"/>
      <c r="D12" s="102"/>
      <c r="E12" s="102"/>
      <c r="F12" s="102"/>
    </row>
    <row r="13" ht="75" customHeight="1" spans="1:6">
      <c r="A13" s="102" t="s">
        <v>231</v>
      </c>
      <c r="B13" s="102" t="s">
        <v>232</v>
      </c>
      <c r="C13" s="102"/>
      <c r="D13" s="102"/>
      <c r="E13" s="102"/>
      <c r="F13" s="102"/>
    </row>
    <row r="14" ht="102" customHeight="1" spans="1:6">
      <c r="A14" s="102" t="s">
        <v>233</v>
      </c>
      <c r="B14" s="102" t="s">
        <v>234</v>
      </c>
      <c r="C14" s="102"/>
      <c r="D14" s="102"/>
      <c r="E14" s="102"/>
      <c r="F14" s="102"/>
    </row>
    <row r="15" ht="55.05" customHeight="1" spans="1:6">
      <c r="A15" s="102" t="s">
        <v>235</v>
      </c>
      <c r="B15" s="102" t="s">
        <v>236</v>
      </c>
      <c r="C15" s="102" t="s">
        <v>237</v>
      </c>
      <c r="D15" s="102"/>
      <c r="E15" s="102"/>
      <c r="F15" s="102"/>
    </row>
    <row r="16" ht="55.05" customHeight="1" spans="1:6">
      <c r="A16" s="102"/>
      <c r="B16" s="102" t="s">
        <v>239</v>
      </c>
      <c r="C16" s="102" t="s">
        <v>240</v>
      </c>
      <c r="D16" s="102"/>
      <c r="E16" s="102"/>
      <c r="F16" s="102"/>
    </row>
    <row r="17" ht="112.05" customHeight="1" spans="1:6">
      <c r="A17" s="102" t="s">
        <v>238</v>
      </c>
      <c r="B17" s="102" t="s">
        <v>241</v>
      </c>
      <c r="C17" s="102" t="s">
        <v>242</v>
      </c>
      <c r="D17" s="102"/>
      <c r="E17" s="102"/>
      <c r="F17" s="102" t="s">
        <v>243</v>
      </c>
    </row>
    <row r="18" ht="112.05" customHeight="1" spans="1:6">
      <c r="A18" s="102"/>
      <c r="B18" s="102"/>
      <c r="C18" s="102" t="s">
        <v>244</v>
      </c>
      <c r="D18" s="102"/>
      <c r="E18" s="102"/>
      <c r="F18" s="102" t="s">
        <v>245</v>
      </c>
    </row>
    <row r="19" ht="112.05" customHeight="1" spans="1:6">
      <c r="A19" s="102"/>
      <c r="B19" s="102"/>
      <c r="C19" s="102" t="s">
        <v>246</v>
      </c>
      <c r="D19" s="102"/>
      <c r="E19" s="102"/>
      <c r="F19" s="102" t="s">
        <v>247</v>
      </c>
    </row>
    <row r="20" ht="112.05" customHeight="1" spans="1:6">
      <c r="A20" s="102"/>
      <c r="B20" s="102" t="s">
        <v>248</v>
      </c>
      <c r="C20" s="102" t="s">
        <v>249</v>
      </c>
      <c r="D20" s="102"/>
      <c r="E20" s="102"/>
      <c r="F20" s="102" t="s">
        <v>250</v>
      </c>
    </row>
    <row r="21" ht="53" customHeight="1" spans="1:6">
      <c r="A21" s="102" t="s">
        <v>251</v>
      </c>
      <c r="B21" s="102" t="s">
        <v>252</v>
      </c>
      <c r="C21" s="102"/>
      <c r="D21" s="102"/>
      <c r="E21" s="102"/>
      <c r="F21" s="102" t="s">
        <v>755</v>
      </c>
    </row>
    <row r="22" ht="53" customHeight="1" spans="1:6">
      <c r="A22" s="102" t="s">
        <v>254</v>
      </c>
      <c r="B22" s="102" t="s">
        <v>255</v>
      </c>
      <c r="C22" s="102"/>
      <c r="D22" s="102"/>
      <c r="E22" s="102"/>
      <c r="F22" s="102" t="s">
        <v>243</v>
      </c>
    </row>
    <row r="23" ht="53" customHeight="1" spans="1:6">
      <c r="A23" s="102"/>
      <c r="B23" s="102" t="s">
        <v>256</v>
      </c>
      <c r="C23" s="102"/>
      <c r="D23" s="102"/>
      <c r="E23" s="102"/>
      <c r="F23" s="102" t="s">
        <v>253</v>
      </c>
    </row>
    <row r="24" ht="53" customHeight="1" spans="1:6">
      <c r="A24" s="102" t="s">
        <v>257</v>
      </c>
      <c r="B24" s="102" t="s">
        <v>258</v>
      </c>
      <c r="C24" s="102"/>
      <c r="D24" s="102"/>
      <c r="E24" s="102"/>
      <c r="F24" s="102"/>
    </row>
    <row r="25" ht="53" customHeight="1" spans="1:6">
      <c r="A25" s="102" t="s">
        <v>259</v>
      </c>
      <c r="B25" s="102" t="s">
        <v>260</v>
      </c>
      <c r="C25" s="102"/>
      <c r="D25" s="102"/>
      <c r="E25" s="102"/>
      <c r="F25" s="102"/>
    </row>
    <row r="26" ht="53" customHeight="1" spans="1:6">
      <c r="A26" s="102" t="s">
        <v>261</v>
      </c>
      <c r="B26" s="102" t="s">
        <v>262</v>
      </c>
      <c r="C26" s="102"/>
      <c r="D26" s="102"/>
      <c r="E26" s="102"/>
      <c r="F26" s="102"/>
    </row>
    <row r="27" ht="53" customHeight="1" spans="1:6">
      <c r="A27" s="102" t="s">
        <v>263</v>
      </c>
      <c r="B27" s="102" t="s">
        <v>264</v>
      </c>
      <c r="C27" s="102"/>
      <c r="D27" s="102"/>
      <c r="E27" s="102"/>
      <c r="F27" s="102"/>
    </row>
    <row r="28" ht="53" customHeight="1" spans="1:6">
      <c r="A28" s="102" t="s">
        <v>265</v>
      </c>
      <c r="B28" s="102" t="s">
        <v>266</v>
      </c>
      <c r="C28" s="102"/>
      <c r="D28" s="102"/>
      <c r="E28" s="102"/>
      <c r="F28" s="102"/>
    </row>
    <row r="29" ht="53" customHeight="1" spans="1:6">
      <c r="A29" s="103" t="s">
        <v>225</v>
      </c>
      <c r="B29" s="103"/>
      <c r="C29" s="103"/>
      <c r="D29" s="103"/>
      <c r="E29" s="103"/>
      <c r="F29" s="103"/>
    </row>
  </sheetData>
  <sheetProtection formatCells="0" insertHyperlinks="0" autoFilter="0"/>
  <protectedRanges>
    <protectedRange sqref="A5:A6" name="区域1_1_1_3"/>
    <protectedRange sqref="A5:A8" name="区域1_1_1_1_1_1_1_1_1"/>
    <protectedRange sqref="A4" name="区域1_1_2_1_1_1_1_1"/>
  </protectedRanges>
  <mergeCells count="30">
    <mergeCell ref="A1:F1"/>
    <mergeCell ref="B2:E2"/>
    <mergeCell ref="A9:F9"/>
    <mergeCell ref="A10:F10"/>
    <mergeCell ref="B11:F11"/>
    <mergeCell ref="B12:F12"/>
    <mergeCell ref="B13:F13"/>
    <mergeCell ref="B14:F14"/>
    <mergeCell ref="C15:F15"/>
    <mergeCell ref="C16:F16"/>
    <mergeCell ref="C17:E17"/>
    <mergeCell ref="C18:E18"/>
    <mergeCell ref="C19:E19"/>
    <mergeCell ref="C20:E20"/>
    <mergeCell ref="B21:E21"/>
    <mergeCell ref="B22:E22"/>
    <mergeCell ref="B23:E23"/>
    <mergeCell ref="B24:F24"/>
    <mergeCell ref="B25:F25"/>
    <mergeCell ref="B26:F26"/>
    <mergeCell ref="B27:F27"/>
    <mergeCell ref="B28:F28"/>
    <mergeCell ref="A29:F29"/>
    <mergeCell ref="A2:A3"/>
    <mergeCell ref="A15:A16"/>
    <mergeCell ref="A17:A20"/>
    <mergeCell ref="A22:A23"/>
    <mergeCell ref="B17:B19"/>
    <mergeCell ref="F2:F3"/>
    <mergeCell ref="F4:F8"/>
  </mergeCells>
  <hyperlinks>
    <hyperlink ref="G1" location="目录!A1" display="返回目录"/>
  </hyperlinks>
  <pageMargins left="0.75" right="0.75" top="1" bottom="1" header="0.5" footer="0.5"/>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J30"/>
  <sheetViews>
    <sheetView zoomScale="85" zoomScaleNormal="85" workbookViewId="0">
      <selection activeCell="J1" sqref="J1"/>
    </sheetView>
  </sheetViews>
  <sheetFormatPr defaultColWidth="9" defaultRowHeight="18"/>
  <cols>
    <col min="1" max="1" width="45.8666666666667" style="83" customWidth="1"/>
    <col min="2" max="2" width="22.0666666666667" style="83" customWidth="1"/>
    <col min="3" max="3" width="27.5333333333333" style="83" customWidth="1"/>
    <col min="4" max="4" width="25.8666666666667" style="83" customWidth="1"/>
    <col min="5" max="5" width="19.8666666666667" style="83" customWidth="1"/>
    <col min="6" max="6" width="6" style="83" customWidth="1"/>
    <col min="7" max="7" width="26.2" style="83" customWidth="1"/>
    <col min="8" max="8" width="26.7333333333333" style="83" customWidth="1"/>
    <col min="9" max="9" width="35.6" style="83" customWidth="1"/>
    <col min="10" max="10" width="13.5333333333333" style="83" customWidth="1"/>
    <col min="11" max="16384" width="9" style="83"/>
  </cols>
  <sheetData>
    <row r="1" ht="84" customHeight="1" spans="1:10">
      <c r="A1" s="108" t="s">
        <v>174</v>
      </c>
      <c r="B1" s="108"/>
      <c r="C1" s="108"/>
      <c r="D1" s="108"/>
      <c r="E1" s="108"/>
      <c r="F1" s="108"/>
      <c r="G1" s="108"/>
      <c r="H1" s="108"/>
      <c r="I1" s="108"/>
      <c r="J1" s="19" t="s">
        <v>190</v>
      </c>
    </row>
    <row r="2" ht="49.05" customHeight="1" spans="1:9">
      <c r="A2" s="85" t="s">
        <v>205</v>
      </c>
      <c r="B2" s="86" t="s">
        <v>206</v>
      </c>
      <c r="C2" s="86"/>
      <c r="D2" s="86"/>
      <c r="E2" s="86" t="s">
        <v>207</v>
      </c>
      <c r="F2" s="86"/>
      <c r="G2" s="86"/>
      <c r="H2" s="113" t="s">
        <v>208</v>
      </c>
      <c r="I2" s="115"/>
    </row>
    <row r="3" ht="40" customHeight="1" spans="1:9">
      <c r="A3" s="87" t="s">
        <v>209</v>
      </c>
      <c r="B3" s="88" t="s">
        <v>210</v>
      </c>
      <c r="C3" s="88"/>
      <c r="D3" s="88"/>
      <c r="E3" s="88" t="s">
        <v>211</v>
      </c>
      <c r="F3" s="88"/>
      <c r="G3" s="88"/>
      <c r="H3" s="114" t="s">
        <v>212</v>
      </c>
      <c r="I3" s="114"/>
    </row>
    <row r="4" ht="42" spans="1:9">
      <c r="A4" s="87"/>
      <c r="B4" s="89" t="s">
        <v>213</v>
      </c>
      <c r="C4" s="89" t="s">
        <v>214</v>
      </c>
      <c r="D4" s="90" t="s">
        <v>215</v>
      </c>
      <c r="E4" s="89" t="s">
        <v>214</v>
      </c>
      <c r="F4" s="89"/>
      <c r="G4" s="90" t="s">
        <v>215</v>
      </c>
      <c r="H4" s="105" t="s">
        <v>214</v>
      </c>
      <c r="I4" s="105" t="s">
        <v>756</v>
      </c>
    </row>
    <row r="5" ht="40.05" customHeight="1" spans="1:9">
      <c r="A5" s="91" t="s">
        <v>757</v>
      </c>
      <c r="B5" s="92" t="s">
        <v>217</v>
      </c>
      <c r="C5" s="93">
        <v>18.5</v>
      </c>
      <c r="D5" s="109" t="s">
        <v>218</v>
      </c>
      <c r="E5" s="91">
        <v>18</v>
      </c>
      <c r="F5" s="91"/>
      <c r="G5" s="109" t="s">
        <v>219</v>
      </c>
      <c r="H5" s="91">
        <v>16.5</v>
      </c>
      <c r="I5" s="116" t="s">
        <v>220</v>
      </c>
    </row>
    <row r="6" ht="40.05" customHeight="1" spans="1:9">
      <c r="A6" s="91" t="s">
        <v>758</v>
      </c>
      <c r="B6" s="92" t="s">
        <v>217</v>
      </c>
      <c r="C6" s="93">
        <v>19</v>
      </c>
      <c r="D6" s="110"/>
      <c r="E6" s="91">
        <v>18.5</v>
      </c>
      <c r="F6" s="91"/>
      <c r="G6" s="110"/>
      <c r="H6" s="91">
        <v>17</v>
      </c>
      <c r="I6" s="110"/>
    </row>
    <row r="7" ht="40.05" customHeight="1" spans="1:9">
      <c r="A7" s="91" t="s">
        <v>759</v>
      </c>
      <c r="B7" s="92" t="s">
        <v>217</v>
      </c>
      <c r="C7" s="93">
        <v>20</v>
      </c>
      <c r="D7" s="110"/>
      <c r="E7" s="91">
        <v>19.5</v>
      </c>
      <c r="F7" s="91"/>
      <c r="G7" s="110"/>
      <c r="H7" s="91">
        <v>18</v>
      </c>
      <c r="I7" s="110"/>
    </row>
    <row r="8" ht="40.05" customHeight="1" spans="1:9">
      <c r="A8" s="91" t="s">
        <v>760</v>
      </c>
      <c r="B8" s="92" t="s">
        <v>217</v>
      </c>
      <c r="C8" s="93">
        <v>20</v>
      </c>
      <c r="D8" s="111"/>
      <c r="E8" s="91">
        <v>19.5</v>
      </c>
      <c r="F8" s="91"/>
      <c r="G8" s="111"/>
      <c r="H8" s="91">
        <v>18</v>
      </c>
      <c r="I8" s="111"/>
    </row>
    <row r="9" ht="40.05" customHeight="1" spans="1:9">
      <c r="A9" s="112" t="s">
        <v>761</v>
      </c>
      <c r="B9" s="112"/>
      <c r="C9" s="112"/>
      <c r="D9" s="112"/>
      <c r="E9" s="112"/>
      <c r="F9" s="112"/>
      <c r="G9" s="112"/>
      <c r="H9" s="112"/>
      <c r="I9" s="112"/>
    </row>
    <row r="10" s="33" customFormat="1" ht="35" customHeight="1" spans="1:10">
      <c r="A10" s="97" t="s">
        <v>225</v>
      </c>
      <c r="B10" s="97"/>
      <c r="C10" s="97"/>
      <c r="D10" s="97"/>
      <c r="E10" s="97"/>
      <c r="F10" s="97"/>
      <c r="G10" s="97"/>
      <c r="H10" s="97"/>
      <c r="I10" s="97"/>
      <c r="J10" s="106"/>
    </row>
    <row r="11" ht="58.05" customHeight="1" spans="1:9">
      <c r="A11" s="98" t="s">
        <v>226</v>
      </c>
      <c r="B11" s="98"/>
      <c r="C11" s="98"/>
      <c r="D11" s="98"/>
      <c r="E11" s="98"/>
      <c r="F11" s="98"/>
      <c r="G11" s="98"/>
      <c r="H11" s="98"/>
      <c r="I11" s="98"/>
    </row>
    <row r="12" ht="88.05" customHeight="1" spans="1:9">
      <c r="A12" s="99" t="s">
        <v>227</v>
      </c>
      <c r="B12" s="99"/>
      <c r="C12" s="99"/>
      <c r="D12" s="100" t="s">
        <v>228</v>
      </c>
      <c r="E12" s="100"/>
      <c r="F12" s="100"/>
      <c r="G12" s="100"/>
      <c r="H12" s="100"/>
      <c r="I12" s="100"/>
    </row>
    <row r="13" ht="88.05" customHeight="1" spans="1:9">
      <c r="A13" s="101" t="s">
        <v>229</v>
      </c>
      <c r="B13" s="101"/>
      <c r="C13" s="101"/>
      <c r="D13" s="102" t="s">
        <v>230</v>
      </c>
      <c r="E13" s="102"/>
      <c r="F13" s="102"/>
      <c r="G13" s="102"/>
      <c r="H13" s="102"/>
      <c r="I13" s="102"/>
    </row>
    <row r="14" ht="88.05" customHeight="1" spans="1:9">
      <c r="A14" s="101" t="s">
        <v>231</v>
      </c>
      <c r="B14" s="101"/>
      <c r="C14" s="101"/>
      <c r="D14" s="102" t="s">
        <v>232</v>
      </c>
      <c r="E14" s="102"/>
      <c r="F14" s="102"/>
      <c r="G14" s="102"/>
      <c r="H14" s="102"/>
      <c r="I14" s="102"/>
    </row>
    <row r="15" ht="88.05" customHeight="1" spans="1:9">
      <c r="A15" s="101" t="s">
        <v>233</v>
      </c>
      <c r="B15" s="101"/>
      <c r="C15" s="101"/>
      <c r="D15" s="102" t="s">
        <v>234</v>
      </c>
      <c r="E15" s="102"/>
      <c r="F15" s="102"/>
      <c r="G15" s="102"/>
      <c r="H15" s="102"/>
      <c r="I15" s="102"/>
    </row>
    <row r="16" ht="127.05" customHeight="1" spans="1:9">
      <c r="A16" s="101" t="s">
        <v>235</v>
      </c>
      <c r="B16" s="101"/>
      <c r="C16" s="101"/>
      <c r="D16" s="103" t="s">
        <v>236</v>
      </c>
      <c r="E16" s="102" t="s">
        <v>237</v>
      </c>
      <c r="F16" s="102"/>
      <c r="G16" s="102"/>
      <c r="H16" s="102"/>
      <c r="I16" s="102"/>
    </row>
    <row r="17" ht="109.05" customHeight="1" spans="1:9">
      <c r="A17" s="101" t="s">
        <v>238</v>
      </c>
      <c r="B17" s="101"/>
      <c r="C17" s="101"/>
      <c r="D17" s="102" t="s">
        <v>239</v>
      </c>
      <c r="E17" s="102" t="s">
        <v>240</v>
      </c>
      <c r="F17" s="102"/>
      <c r="G17" s="102"/>
      <c r="H17" s="102"/>
      <c r="I17" s="102"/>
    </row>
    <row r="18" ht="88.05" customHeight="1" spans="1:9">
      <c r="A18" s="101"/>
      <c r="B18" s="101"/>
      <c r="C18" s="101"/>
      <c r="D18" s="102" t="s">
        <v>241</v>
      </c>
      <c r="E18" s="102" t="s">
        <v>242</v>
      </c>
      <c r="F18" s="102"/>
      <c r="G18" s="102"/>
      <c r="H18" s="102"/>
      <c r="I18" s="107" t="s">
        <v>243</v>
      </c>
    </row>
    <row r="19" ht="88.05" customHeight="1" spans="1:9">
      <c r="A19" s="101"/>
      <c r="B19" s="101"/>
      <c r="C19" s="101"/>
      <c r="D19" s="102"/>
      <c r="E19" s="102" t="s">
        <v>244</v>
      </c>
      <c r="F19" s="102"/>
      <c r="G19" s="102"/>
      <c r="H19" s="102"/>
      <c r="I19" s="107" t="s">
        <v>245</v>
      </c>
    </row>
    <row r="20" ht="88.05" customHeight="1" spans="1:9">
      <c r="A20" s="101"/>
      <c r="B20" s="101"/>
      <c r="C20" s="101"/>
      <c r="D20" s="102"/>
      <c r="E20" s="102" t="s">
        <v>246</v>
      </c>
      <c r="F20" s="102"/>
      <c r="G20" s="102"/>
      <c r="H20" s="102"/>
      <c r="I20" s="107" t="s">
        <v>247</v>
      </c>
    </row>
    <row r="21" ht="88.05" customHeight="1" spans="1:9">
      <c r="A21" s="101"/>
      <c r="B21" s="101"/>
      <c r="C21" s="101"/>
      <c r="D21" s="102" t="s">
        <v>248</v>
      </c>
      <c r="E21" s="102" t="s">
        <v>249</v>
      </c>
      <c r="F21" s="102"/>
      <c r="G21" s="102"/>
      <c r="H21" s="102"/>
      <c r="I21" s="107" t="s">
        <v>250</v>
      </c>
    </row>
    <row r="22" ht="88.05" customHeight="1" spans="1:9">
      <c r="A22" s="102" t="s">
        <v>251</v>
      </c>
      <c r="B22" s="102"/>
      <c r="C22" s="102"/>
      <c r="D22" s="102" t="s">
        <v>252</v>
      </c>
      <c r="E22" s="102"/>
      <c r="F22" s="102"/>
      <c r="G22" s="102"/>
      <c r="H22" s="102"/>
      <c r="I22" s="107" t="s">
        <v>253</v>
      </c>
    </row>
    <row r="23" ht="88.05" customHeight="1" spans="1:9">
      <c r="A23" s="102" t="s">
        <v>254</v>
      </c>
      <c r="B23" s="102"/>
      <c r="C23" s="102"/>
      <c r="D23" s="102" t="s">
        <v>255</v>
      </c>
      <c r="E23" s="102"/>
      <c r="F23" s="102"/>
      <c r="G23" s="102"/>
      <c r="H23" s="102"/>
      <c r="I23" s="107" t="s">
        <v>243</v>
      </c>
    </row>
    <row r="24" ht="88.05" customHeight="1" spans="1:9">
      <c r="A24" s="102"/>
      <c r="B24" s="102"/>
      <c r="C24" s="102"/>
      <c r="D24" s="102" t="s">
        <v>256</v>
      </c>
      <c r="E24" s="102"/>
      <c r="F24" s="102"/>
      <c r="G24" s="102"/>
      <c r="H24" s="102"/>
      <c r="I24" s="107" t="s">
        <v>253</v>
      </c>
    </row>
    <row r="25" ht="88.05" customHeight="1" spans="1:9">
      <c r="A25" s="102" t="s">
        <v>257</v>
      </c>
      <c r="B25" s="102"/>
      <c r="C25" s="102"/>
      <c r="D25" s="102" t="s">
        <v>258</v>
      </c>
      <c r="E25" s="102"/>
      <c r="F25" s="102"/>
      <c r="G25" s="102"/>
      <c r="H25" s="102"/>
      <c r="I25" s="102"/>
    </row>
    <row r="26" ht="88.05" customHeight="1" spans="1:9">
      <c r="A26" s="102" t="s">
        <v>259</v>
      </c>
      <c r="B26" s="102"/>
      <c r="C26" s="102"/>
      <c r="D26" s="102" t="s">
        <v>260</v>
      </c>
      <c r="E26" s="102"/>
      <c r="F26" s="102"/>
      <c r="G26" s="102"/>
      <c r="H26" s="102"/>
      <c r="I26" s="102"/>
    </row>
    <row r="27" ht="88.05" customHeight="1" spans="1:9">
      <c r="A27" s="102" t="s">
        <v>261</v>
      </c>
      <c r="B27" s="102"/>
      <c r="C27" s="102"/>
      <c r="D27" s="102" t="s">
        <v>262</v>
      </c>
      <c r="E27" s="102"/>
      <c r="F27" s="102"/>
      <c r="G27" s="102"/>
      <c r="H27" s="102"/>
      <c r="I27" s="102"/>
    </row>
    <row r="28" ht="88.05" customHeight="1" spans="1:9">
      <c r="A28" s="102" t="s">
        <v>263</v>
      </c>
      <c r="B28" s="102"/>
      <c r="C28" s="102"/>
      <c r="D28" s="102" t="s">
        <v>264</v>
      </c>
      <c r="E28" s="102"/>
      <c r="F28" s="102"/>
      <c r="G28" s="102"/>
      <c r="H28" s="102"/>
      <c r="I28" s="102"/>
    </row>
    <row r="29" ht="88.05" customHeight="1" spans="1:9">
      <c r="A29" s="102" t="s">
        <v>265</v>
      </c>
      <c r="B29" s="102"/>
      <c r="C29" s="102"/>
      <c r="D29" s="102" t="s">
        <v>266</v>
      </c>
      <c r="E29" s="102"/>
      <c r="F29" s="102"/>
      <c r="G29" s="102"/>
      <c r="H29" s="102"/>
      <c r="I29" s="102"/>
    </row>
    <row r="30" ht="88.05" customHeight="1" spans="1:9">
      <c r="A30" s="103" t="s">
        <v>225</v>
      </c>
      <c r="B30" s="103"/>
      <c r="C30" s="103"/>
      <c r="D30" s="103"/>
      <c r="E30" s="103"/>
      <c r="F30" s="103"/>
      <c r="G30" s="103"/>
      <c r="H30" s="103"/>
      <c r="I30" s="103"/>
    </row>
  </sheetData>
  <sheetProtection formatCells="0" insertHyperlinks="0" autoFilter="0"/>
  <mergeCells count="52">
    <mergeCell ref="A1:I1"/>
    <mergeCell ref="B2:D2"/>
    <mergeCell ref="E2:G2"/>
    <mergeCell ref="H2:I2"/>
    <mergeCell ref="B3:D3"/>
    <mergeCell ref="E3:G3"/>
    <mergeCell ref="H3:I3"/>
    <mergeCell ref="E4:F4"/>
    <mergeCell ref="E5:F5"/>
    <mergeCell ref="E6:F6"/>
    <mergeCell ref="E7:F7"/>
    <mergeCell ref="E8:F8"/>
    <mergeCell ref="A9:I9"/>
    <mergeCell ref="A10:I10"/>
    <mergeCell ref="A11:I11"/>
    <mergeCell ref="A12:C12"/>
    <mergeCell ref="D12:I12"/>
    <mergeCell ref="A13:C13"/>
    <mergeCell ref="D13:I13"/>
    <mergeCell ref="A14:C14"/>
    <mergeCell ref="D14:I14"/>
    <mergeCell ref="A15:C15"/>
    <mergeCell ref="D15:I15"/>
    <mergeCell ref="A16:C16"/>
    <mergeCell ref="E16:I16"/>
    <mergeCell ref="E17:I17"/>
    <mergeCell ref="E18:H18"/>
    <mergeCell ref="E19:H19"/>
    <mergeCell ref="E20:H20"/>
    <mergeCell ref="E21:H21"/>
    <mergeCell ref="A22:C22"/>
    <mergeCell ref="D22:H22"/>
    <mergeCell ref="D23:H23"/>
    <mergeCell ref="D24:H24"/>
    <mergeCell ref="A25:C25"/>
    <mergeCell ref="D25:I25"/>
    <mergeCell ref="A26:C26"/>
    <mergeCell ref="D26:I26"/>
    <mergeCell ref="A27:C27"/>
    <mergeCell ref="D27:I27"/>
    <mergeCell ref="A28:C28"/>
    <mergeCell ref="D28:I28"/>
    <mergeCell ref="A29:C29"/>
    <mergeCell ref="D29:I29"/>
    <mergeCell ref="A30:I30"/>
    <mergeCell ref="A3:A4"/>
    <mergeCell ref="D5:D8"/>
    <mergeCell ref="D18:D20"/>
    <mergeCell ref="G5:G8"/>
    <mergeCell ref="I5:I8"/>
    <mergeCell ref="A17:C21"/>
    <mergeCell ref="A23:C24"/>
  </mergeCells>
  <hyperlinks>
    <hyperlink ref="J1" location="目录!A1" display="返回目录"/>
  </hyperlinks>
  <pageMargins left="0.75" right="0.75" top="1" bottom="1" header="0.5" footer="0.5"/>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J29"/>
  <sheetViews>
    <sheetView zoomScale="85" zoomScaleNormal="85" workbookViewId="0">
      <selection activeCell="J6" sqref="J6"/>
    </sheetView>
  </sheetViews>
  <sheetFormatPr defaultColWidth="9" defaultRowHeight="18"/>
  <cols>
    <col min="1" max="1" width="45.8666666666667" style="83" customWidth="1"/>
    <col min="2" max="2" width="22.0666666666667" style="83" customWidth="1"/>
    <col min="3" max="3" width="27.5333333333333" style="83" customWidth="1"/>
    <col min="4" max="4" width="25.8666666666667" style="83" customWidth="1"/>
    <col min="5" max="5" width="19.8666666666667" style="83" customWidth="1"/>
    <col min="6" max="6" width="6" style="83" customWidth="1"/>
    <col min="7" max="7" width="26.2" style="83" customWidth="1"/>
    <col min="8" max="8" width="26.7333333333333" style="83" customWidth="1"/>
    <col min="9" max="9" width="35.6" style="83" customWidth="1"/>
    <col min="10" max="10" width="13.5333333333333" style="83" customWidth="1"/>
    <col min="11" max="16384" width="9" style="83"/>
  </cols>
  <sheetData>
    <row r="1" s="83" customFormat="1" ht="84" customHeight="1" spans="1:10">
      <c r="A1" s="84" t="s">
        <v>175</v>
      </c>
      <c r="B1" s="84"/>
      <c r="C1" s="84"/>
      <c r="D1" s="84"/>
      <c r="E1" s="84"/>
      <c r="F1" s="84"/>
      <c r="G1" s="84"/>
      <c r="H1" s="84"/>
      <c r="I1" s="84"/>
      <c r="J1" s="19" t="s">
        <v>190</v>
      </c>
    </row>
    <row r="2" s="83" customFormat="1" ht="49.05" customHeight="1" spans="1:9">
      <c r="A2" s="85" t="s">
        <v>267</v>
      </c>
      <c r="B2" s="86" t="s">
        <v>268</v>
      </c>
      <c r="C2" s="86"/>
      <c r="D2" s="86"/>
      <c r="E2" s="86" t="s">
        <v>269</v>
      </c>
      <c r="F2" s="86"/>
      <c r="G2" s="86"/>
      <c r="H2" s="86" t="s">
        <v>270</v>
      </c>
      <c r="I2" s="86"/>
    </row>
    <row r="3" s="83" customFormat="1" ht="40" customHeight="1" spans="1:9">
      <c r="A3" s="87" t="s">
        <v>209</v>
      </c>
      <c r="B3" s="88" t="s">
        <v>210</v>
      </c>
      <c r="C3" s="88"/>
      <c r="D3" s="88"/>
      <c r="E3" s="88" t="s">
        <v>211</v>
      </c>
      <c r="F3" s="88"/>
      <c r="G3" s="88"/>
      <c r="H3" s="104" t="s">
        <v>212</v>
      </c>
      <c r="I3" s="104"/>
    </row>
    <row r="4" s="83" customFormat="1" ht="42" spans="1:9">
      <c r="A4" s="87"/>
      <c r="B4" s="89" t="s">
        <v>213</v>
      </c>
      <c r="C4" s="89" t="s">
        <v>214</v>
      </c>
      <c r="D4" s="90" t="s">
        <v>215</v>
      </c>
      <c r="E4" s="89" t="s">
        <v>214</v>
      </c>
      <c r="F4" s="89"/>
      <c r="G4" s="90" t="s">
        <v>215</v>
      </c>
      <c r="H4" s="105" t="s">
        <v>214</v>
      </c>
      <c r="I4" s="105" t="s">
        <v>756</v>
      </c>
    </row>
    <row r="5" s="83" customFormat="1" ht="95" customHeight="1" spans="1:9">
      <c r="A5" s="91" t="s">
        <v>757</v>
      </c>
      <c r="B5" s="92" t="s">
        <v>217</v>
      </c>
      <c r="C5" s="93">
        <v>14</v>
      </c>
      <c r="D5" s="94" t="s">
        <v>762</v>
      </c>
      <c r="E5" s="91">
        <v>13.5</v>
      </c>
      <c r="F5" s="91"/>
      <c r="G5" s="94" t="s">
        <v>274</v>
      </c>
      <c r="H5" s="91">
        <v>11.5</v>
      </c>
      <c r="I5" s="94" t="s">
        <v>273</v>
      </c>
    </row>
    <row r="6" s="83" customFormat="1" ht="95" customHeight="1" spans="1:9">
      <c r="A6" s="91" t="s">
        <v>758</v>
      </c>
      <c r="B6" s="92" t="s">
        <v>217</v>
      </c>
      <c r="C6" s="93">
        <v>15</v>
      </c>
      <c r="D6" s="94" t="s">
        <v>274</v>
      </c>
      <c r="E6" s="91">
        <v>14.5</v>
      </c>
      <c r="F6" s="91"/>
      <c r="G6" s="94" t="s">
        <v>273</v>
      </c>
      <c r="H6" s="91">
        <v>12.5</v>
      </c>
      <c r="I6" s="94" t="s">
        <v>763</v>
      </c>
    </row>
    <row r="7" s="83" customFormat="1" ht="40.05" customHeight="1" spans="1:9">
      <c r="A7" s="95" t="s">
        <v>764</v>
      </c>
      <c r="B7" s="95"/>
      <c r="C7" s="95"/>
      <c r="D7" s="95"/>
      <c r="E7" s="95"/>
      <c r="F7" s="95"/>
      <c r="G7" s="95"/>
      <c r="H7" s="95"/>
      <c r="I7" s="95"/>
    </row>
    <row r="8" customFormat="1" ht="93" customHeight="1" spans="1:10">
      <c r="A8" s="96" t="s">
        <v>765</v>
      </c>
      <c r="B8" s="95"/>
      <c r="C8" s="95"/>
      <c r="D8" s="95"/>
      <c r="E8" s="95"/>
      <c r="F8" s="95"/>
      <c r="G8" s="95"/>
      <c r="H8" s="95"/>
      <c r="I8" s="95"/>
      <c r="J8" s="83"/>
    </row>
    <row r="9" s="33" customFormat="1" ht="35" customHeight="1" spans="1:10">
      <c r="A9" s="97" t="s">
        <v>225</v>
      </c>
      <c r="B9" s="97"/>
      <c r="C9" s="97"/>
      <c r="D9" s="97"/>
      <c r="E9" s="97"/>
      <c r="F9" s="97"/>
      <c r="G9" s="97"/>
      <c r="H9" s="97"/>
      <c r="I9" s="97"/>
      <c r="J9" s="106"/>
    </row>
    <row r="10" s="83" customFormat="1" ht="58.05" customHeight="1" spans="1:9">
      <c r="A10" s="98" t="s">
        <v>226</v>
      </c>
      <c r="B10" s="98"/>
      <c r="C10" s="98"/>
      <c r="D10" s="98"/>
      <c r="E10" s="98"/>
      <c r="F10" s="98"/>
      <c r="G10" s="98"/>
      <c r="H10" s="98"/>
      <c r="I10" s="98"/>
    </row>
    <row r="11" s="83" customFormat="1" ht="88.05" customHeight="1" spans="1:9">
      <c r="A11" s="99" t="s">
        <v>227</v>
      </c>
      <c r="B11" s="99"/>
      <c r="C11" s="99"/>
      <c r="D11" s="100" t="s">
        <v>228</v>
      </c>
      <c r="E11" s="100"/>
      <c r="F11" s="100"/>
      <c r="G11" s="100"/>
      <c r="H11" s="100"/>
      <c r="I11" s="100"/>
    </row>
    <row r="12" s="83" customFormat="1" ht="88.05" customHeight="1" spans="1:9">
      <c r="A12" s="101" t="s">
        <v>229</v>
      </c>
      <c r="B12" s="101"/>
      <c r="C12" s="101"/>
      <c r="D12" s="102" t="s">
        <v>230</v>
      </c>
      <c r="E12" s="102"/>
      <c r="F12" s="102"/>
      <c r="G12" s="102"/>
      <c r="H12" s="102"/>
      <c r="I12" s="102"/>
    </row>
    <row r="13" s="83" customFormat="1" ht="88.05" customHeight="1" spans="1:9">
      <c r="A13" s="101" t="s">
        <v>231</v>
      </c>
      <c r="B13" s="101"/>
      <c r="C13" s="101"/>
      <c r="D13" s="102" t="s">
        <v>232</v>
      </c>
      <c r="E13" s="102"/>
      <c r="F13" s="102"/>
      <c r="G13" s="102"/>
      <c r="H13" s="102"/>
      <c r="I13" s="102"/>
    </row>
    <row r="14" s="83" customFormat="1" ht="88.05" customHeight="1" spans="1:9">
      <c r="A14" s="101" t="s">
        <v>233</v>
      </c>
      <c r="B14" s="101"/>
      <c r="C14" s="101"/>
      <c r="D14" s="102" t="s">
        <v>234</v>
      </c>
      <c r="E14" s="102"/>
      <c r="F14" s="102"/>
      <c r="G14" s="102"/>
      <c r="H14" s="102"/>
      <c r="I14" s="102"/>
    </row>
    <row r="15" s="83" customFormat="1" ht="127.05" customHeight="1" spans="1:9">
      <c r="A15" s="101" t="s">
        <v>235</v>
      </c>
      <c r="B15" s="101"/>
      <c r="C15" s="101"/>
      <c r="D15" s="103" t="s">
        <v>236</v>
      </c>
      <c r="E15" s="102" t="s">
        <v>237</v>
      </c>
      <c r="F15" s="102"/>
      <c r="G15" s="102"/>
      <c r="H15" s="102"/>
      <c r="I15" s="102"/>
    </row>
    <row r="16" s="83" customFormat="1" ht="109.05" customHeight="1" spans="1:9">
      <c r="A16" s="101" t="s">
        <v>238</v>
      </c>
      <c r="B16" s="101"/>
      <c r="C16" s="101"/>
      <c r="D16" s="102" t="s">
        <v>239</v>
      </c>
      <c r="E16" s="102" t="s">
        <v>240</v>
      </c>
      <c r="F16" s="102"/>
      <c r="G16" s="102"/>
      <c r="H16" s="102"/>
      <c r="I16" s="102"/>
    </row>
    <row r="17" s="83" customFormat="1" ht="88.05" customHeight="1" spans="1:9">
      <c r="A17" s="101"/>
      <c r="B17" s="101"/>
      <c r="C17" s="101"/>
      <c r="D17" s="102" t="s">
        <v>241</v>
      </c>
      <c r="E17" s="102" t="s">
        <v>242</v>
      </c>
      <c r="F17" s="102"/>
      <c r="G17" s="102"/>
      <c r="H17" s="102"/>
      <c r="I17" s="107" t="s">
        <v>243</v>
      </c>
    </row>
    <row r="18" s="83" customFormat="1" ht="88.05" customHeight="1" spans="1:9">
      <c r="A18" s="101"/>
      <c r="B18" s="101"/>
      <c r="C18" s="101"/>
      <c r="D18" s="102"/>
      <c r="E18" s="102" t="s">
        <v>244</v>
      </c>
      <c r="F18" s="102"/>
      <c r="G18" s="102"/>
      <c r="H18" s="102"/>
      <c r="I18" s="107" t="s">
        <v>245</v>
      </c>
    </row>
    <row r="19" s="83" customFormat="1" ht="88.05" customHeight="1" spans="1:9">
      <c r="A19" s="101"/>
      <c r="B19" s="101"/>
      <c r="C19" s="101"/>
      <c r="D19" s="102"/>
      <c r="E19" s="102" t="s">
        <v>246</v>
      </c>
      <c r="F19" s="102"/>
      <c r="G19" s="102"/>
      <c r="H19" s="102"/>
      <c r="I19" s="107" t="s">
        <v>247</v>
      </c>
    </row>
    <row r="20" s="83" customFormat="1" ht="88.05" customHeight="1" spans="1:9">
      <c r="A20" s="101"/>
      <c r="B20" s="101"/>
      <c r="C20" s="101"/>
      <c r="D20" s="102" t="s">
        <v>248</v>
      </c>
      <c r="E20" s="102" t="s">
        <v>249</v>
      </c>
      <c r="F20" s="102"/>
      <c r="G20" s="102"/>
      <c r="H20" s="102"/>
      <c r="I20" s="107" t="s">
        <v>250</v>
      </c>
    </row>
    <row r="21" s="83" customFormat="1" ht="88.05" customHeight="1" spans="1:9">
      <c r="A21" s="102" t="s">
        <v>251</v>
      </c>
      <c r="B21" s="102"/>
      <c r="C21" s="102"/>
      <c r="D21" s="102" t="s">
        <v>252</v>
      </c>
      <c r="E21" s="102"/>
      <c r="F21" s="102"/>
      <c r="G21" s="102"/>
      <c r="H21" s="102"/>
      <c r="I21" s="107" t="s">
        <v>253</v>
      </c>
    </row>
    <row r="22" s="83" customFormat="1" ht="88.05" customHeight="1" spans="1:9">
      <c r="A22" s="102" t="s">
        <v>254</v>
      </c>
      <c r="B22" s="102"/>
      <c r="C22" s="102"/>
      <c r="D22" s="102" t="s">
        <v>255</v>
      </c>
      <c r="E22" s="102"/>
      <c r="F22" s="102"/>
      <c r="G22" s="102"/>
      <c r="H22" s="102"/>
      <c r="I22" s="107" t="s">
        <v>243</v>
      </c>
    </row>
    <row r="23" s="83" customFormat="1" ht="88.05" customHeight="1" spans="1:9">
      <c r="A23" s="102"/>
      <c r="B23" s="102"/>
      <c r="C23" s="102"/>
      <c r="D23" s="102" t="s">
        <v>256</v>
      </c>
      <c r="E23" s="102"/>
      <c r="F23" s="102"/>
      <c r="G23" s="102"/>
      <c r="H23" s="102"/>
      <c r="I23" s="107" t="s">
        <v>253</v>
      </c>
    </row>
    <row r="24" s="83" customFormat="1" ht="88.05" customHeight="1" spans="1:9">
      <c r="A24" s="102" t="s">
        <v>257</v>
      </c>
      <c r="B24" s="102"/>
      <c r="C24" s="102"/>
      <c r="D24" s="102" t="s">
        <v>258</v>
      </c>
      <c r="E24" s="102"/>
      <c r="F24" s="102"/>
      <c r="G24" s="102"/>
      <c r="H24" s="102"/>
      <c r="I24" s="102"/>
    </row>
    <row r="25" s="83" customFormat="1" ht="88.05" customHeight="1" spans="1:9">
      <c r="A25" s="102" t="s">
        <v>259</v>
      </c>
      <c r="B25" s="102"/>
      <c r="C25" s="102"/>
      <c r="D25" s="102" t="s">
        <v>260</v>
      </c>
      <c r="E25" s="102"/>
      <c r="F25" s="102"/>
      <c r="G25" s="102"/>
      <c r="H25" s="102"/>
      <c r="I25" s="102"/>
    </row>
    <row r="26" s="83" customFormat="1" ht="88.05" customHeight="1" spans="1:9">
      <c r="A26" s="102" t="s">
        <v>261</v>
      </c>
      <c r="B26" s="102"/>
      <c r="C26" s="102"/>
      <c r="D26" s="102" t="s">
        <v>262</v>
      </c>
      <c r="E26" s="102"/>
      <c r="F26" s="102"/>
      <c r="G26" s="102"/>
      <c r="H26" s="102"/>
      <c r="I26" s="102"/>
    </row>
    <row r="27" s="83" customFormat="1" ht="88.05" customHeight="1" spans="1:9">
      <c r="A27" s="102" t="s">
        <v>263</v>
      </c>
      <c r="B27" s="102"/>
      <c r="C27" s="102"/>
      <c r="D27" s="102" t="s">
        <v>264</v>
      </c>
      <c r="E27" s="102"/>
      <c r="F27" s="102"/>
      <c r="G27" s="102"/>
      <c r="H27" s="102"/>
      <c r="I27" s="102"/>
    </row>
    <row r="28" s="83" customFormat="1" ht="88.05" customHeight="1" spans="1:9">
      <c r="A28" s="102" t="s">
        <v>265</v>
      </c>
      <c r="B28" s="102"/>
      <c r="C28" s="102"/>
      <c r="D28" s="102" t="s">
        <v>266</v>
      </c>
      <c r="E28" s="102"/>
      <c r="F28" s="102"/>
      <c r="G28" s="102"/>
      <c r="H28" s="102"/>
      <c r="I28" s="102"/>
    </row>
    <row r="29" s="83" customFormat="1" ht="88.05" customHeight="1" spans="1:9">
      <c r="A29" s="103" t="s">
        <v>225</v>
      </c>
      <c r="B29" s="103"/>
      <c r="C29" s="103"/>
      <c r="D29" s="103"/>
      <c r="E29" s="103"/>
      <c r="F29" s="103"/>
      <c r="G29" s="103"/>
      <c r="H29" s="103"/>
      <c r="I29" s="103"/>
    </row>
  </sheetData>
  <sheetProtection formatCells="0" insertHyperlinks="0" autoFilter="0"/>
  <mergeCells count="48">
    <mergeCell ref="A1:I1"/>
    <mergeCell ref="B2:D2"/>
    <mergeCell ref="E2:G2"/>
    <mergeCell ref="H2:I2"/>
    <mergeCell ref="B3:D3"/>
    <mergeCell ref="E3:G3"/>
    <mergeCell ref="H3:I3"/>
    <mergeCell ref="E4:F4"/>
    <mergeCell ref="E5:F5"/>
    <mergeCell ref="E6:F6"/>
    <mergeCell ref="A7:I7"/>
    <mergeCell ref="A8:I8"/>
    <mergeCell ref="A9:I9"/>
    <mergeCell ref="A10:I10"/>
    <mergeCell ref="A11:C11"/>
    <mergeCell ref="D11:I11"/>
    <mergeCell ref="A12:C12"/>
    <mergeCell ref="D12:I12"/>
    <mergeCell ref="A13:C13"/>
    <mergeCell ref="D13:I13"/>
    <mergeCell ref="A14:C14"/>
    <mergeCell ref="D14:I14"/>
    <mergeCell ref="A15:C15"/>
    <mergeCell ref="E15:I15"/>
    <mergeCell ref="E16:I16"/>
    <mergeCell ref="E17:H17"/>
    <mergeCell ref="E18:H18"/>
    <mergeCell ref="E19:H19"/>
    <mergeCell ref="E20:H20"/>
    <mergeCell ref="A21:C21"/>
    <mergeCell ref="D21:H21"/>
    <mergeCell ref="D22:H22"/>
    <mergeCell ref="D23:H23"/>
    <mergeCell ref="A24:C24"/>
    <mergeCell ref="D24:I24"/>
    <mergeCell ref="A25:C25"/>
    <mergeCell ref="D25:I25"/>
    <mergeCell ref="A26:C26"/>
    <mergeCell ref="D26:I26"/>
    <mergeCell ref="A27:C27"/>
    <mergeCell ref="D27:I27"/>
    <mergeCell ref="A28:C28"/>
    <mergeCell ref="D28:I28"/>
    <mergeCell ref="A29:I29"/>
    <mergeCell ref="A3:A4"/>
    <mergeCell ref="D17:D19"/>
    <mergeCell ref="A16:C20"/>
    <mergeCell ref="A22:C23"/>
  </mergeCells>
  <hyperlinks>
    <hyperlink ref="J1" location="目录!A1" display="返回目录"/>
  </hyperlinks>
  <pageMargins left="0.75" right="0.75" top="1" bottom="1" header="0.5" footer="0.5"/>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X12"/>
  <sheetViews>
    <sheetView zoomScale="85" zoomScaleNormal="85" workbookViewId="0">
      <selection activeCell="F1" sqref="F1"/>
    </sheetView>
  </sheetViews>
  <sheetFormatPr defaultColWidth="9" defaultRowHeight="17.25"/>
  <cols>
    <col min="1" max="1" width="1.8" style="36" customWidth="1"/>
    <col min="2" max="2" width="48.8" style="36" customWidth="1"/>
    <col min="3" max="5" width="53.75" style="36" customWidth="1"/>
    <col min="6" max="6" width="18.8" style="36" customWidth="1"/>
    <col min="7" max="252" width="8.86666666666667" style="36"/>
    <col min="253" max="16384" width="9" style="36"/>
  </cols>
  <sheetData>
    <row r="1" s="33" customFormat="1" ht="99" customHeight="1" spans="1:6">
      <c r="A1" s="36"/>
      <c r="B1" s="75" t="s">
        <v>766</v>
      </c>
      <c r="C1" s="75"/>
      <c r="D1" s="75"/>
      <c r="E1" s="75"/>
      <c r="F1" s="19" t="s">
        <v>190</v>
      </c>
    </row>
    <row r="2" s="33" customFormat="1" ht="99" customHeight="1" spans="1:6">
      <c r="A2" s="36"/>
      <c r="B2" s="76" t="s">
        <v>767</v>
      </c>
      <c r="C2" s="77"/>
      <c r="D2" s="77"/>
      <c r="E2" s="77"/>
      <c r="F2" s="82"/>
    </row>
    <row r="3" customFormat="1" ht="60" customHeight="1" spans="1:24">
      <c r="A3" s="36"/>
      <c r="B3" s="78" t="s">
        <v>1</v>
      </c>
      <c r="C3" s="78" t="s">
        <v>768</v>
      </c>
      <c r="D3" s="78"/>
      <c r="E3" s="79" t="s">
        <v>295</v>
      </c>
      <c r="F3" s="73"/>
      <c r="G3" s="36"/>
      <c r="H3" s="36"/>
      <c r="I3" s="36"/>
      <c r="J3" s="36"/>
      <c r="K3" s="36"/>
      <c r="L3" s="36"/>
      <c r="M3" s="36"/>
      <c r="N3" s="36"/>
      <c r="O3" s="36"/>
      <c r="P3" s="36"/>
      <c r="Q3" s="36"/>
      <c r="R3" s="36"/>
      <c r="S3" s="36"/>
      <c r="T3" s="36"/>
      <c r="U3" s="36"/>
      <c r="V3" s="36"/>
      <c r="W3" s="36"/>
      <c r="X3" s="36"/>
    </row>
    <row r="4" s="34" customFormat="1" ht="45" customHeight="1" spans="1:6">
      <c r="A4" s="36"/>
      <c r="B4" s="79" t="s">
        <v>769</v>
      </c>
      <c r="C4" s="79" t="s">
        <v>297</v>
      </c>
      <c r="D4" s="79" t="s">
        <v>770</v>
      </c>
      <c r="E4" s="79"/>
      <c r="F4" s="73"/>
    </row>
    <row r="5" s="35" customFormat="1" ht="55.05" customHeight="1" spans="1:22">
      <c r="A5" s="36"/>
      <c r="B5" s="48" t="s">
        <v>771</v>
      </c>
      <c r="C5" s="46">
        <f>D5+4</f>
        <v>13</v>
      </c>
      <c r="D5" s="80">
        <v>9</v>
      </c>
      <c r="E5" s="68" t="s">
        <v>302</v>
      </c>
      <c r="F5" s="74"/>
      <c r="G5" s="36"/>
      <c r="H5" s="36"/>
      <c r="I5" s="36"/>
      <c r="J5" s="36"/>
      <c r="K5" s="36"/>
      <c r="L5" s="36"/>
      <c r="M5" s="36"/>
      <c r="N5" s="36"/>
      <c r="O5" s="36"/>
      <c r="P5" s="36"/>
      <c r="Q5" s="36"/>
      <c r="R5" s="36"/>
      <c r="S5" s="36"/>
      <c r="T5" s="36"/>
      <c r="U5" s="36"/>
      <c r="V5" s="36"/>
    </row>
    <row r="6" s="35" customFormat="1" ht="55.05" customHeight="1" spans="1:22">
      <c r="A6" s="36"/>
      <c r="B6" s="48" t="s">
        <v>772</v>
      </c>
      <c r="C6" s="46">
        <f>D6+4</f>
        <v>13</v>
      </c>
      <c r="D6" s="80">
        <v>9</v>
      </c>
      <c r="E6" s="68" t="s">
        <v>304</v>
      </c>
      <c r="F6" s="74"/>
      <c r="G6" s="36"/>
      <c r="H6" s="36"/>
      <c r="I6" s="36"/>
      <c r="J6" s="36"/>
      <c r="K6" s="36"/>
      <c r="L6" s="36"/>
      <c r="M6" s="36"/>
      <c r="N6" s="36"/>
      <c r="O6" s="36"/>
      <c r="P6" s="36"/>
      <c r="Q6" s="36"/>
      <c r="R6" s="36"/>
      <c r="S6" s="36"/>
      <c r="T6" s="36"/>
      <c r="U6" s="36"/>
      <c r="V6" s="36"/>
    </row>
    <row r="7" s="35" customFormat="1" ht="55.05" customHeight="1" spans="1:22">
      <c r="A7" s="36"/>
      <c r="B7" s="48" t="s">
        <v>773</v>
      </c>
      <c r="C7" s="46">
        <f>D7+4</f>
        <v>13.3</v>
      </c>
      <c r="D7" s="80">
        <v>9.3</v>
      </c>
      <c r="E7" s="68" t="s">
        <v>306</v>
      </c>
      <c r="F7" s="36"/>
      <c r="G7" s="36"/>
      <c r="H7" s="36"/>
      <c r="I7" s="36"/>
      <c r="J7" s="36"/>
      <c r="K7" s="36"/>
      <c r="L7" s="36"/>
      <c r="M7" s="36"/>
      <c r="N7" s="36"/>
      <c r="O7" s="36"/>
      <c r="P7" s="36"/>
      <c r="Q7" s="36"/>
      <c r="R7" s="36"/>
      <c r="S7" s="36"/>
      <c r="T7" s="36"/>
      <c r="U7" s="36"/>
      <c r="V7" s="36"/>
    </row>
    <row r="8" s="35" customFormat="1" ht="55.05" customHeight="1" spans="1:22">
      <c r="A8" s="36"/>
      <c r="B8" s="50" t="s">
        <v>774</v>
      </c>
      <c r="C8" s="46">
        <f>D8+4</f>
        <v>13.4</v>
      </c>
      <c r="D8" s="81">
        <v>9.4</v>
      </c>
      <c r="E8" s="70" t="s">
        <v>307</v>
      </c>
      <c r="F8" s="36"/>
      <c r="G8" s="36"/>
      <c r="H8" s="36"/>
      <c r="I8" s="36"/>
      <c r="J8" s="36"/>
      <c r="K8" s="36"/>
      <c r="L8" s="36"/>
      <c r="M8" s="36"/>
      <c r="N8" s="36"/>
      <c r="O8" s="36"/>
      <c r="P8" s="36"/>
      <c r="Q8" s="36"/>
      <c r="R8" s="36"/>
      <c r="S8" s="36"/>
      <c r="T8" s="36"/>
      <c r="U8" s="36"/>
      <c r="V8" s="36"/>
    </row>
    <row r="9" s="35" customFormat="1" ht="60" customHeight="1" spans="1:22">
      <c r="A9" s="36"/>
      <c r="B9" s="52" t="s">
        <v>107</v>
      </c>
      <c r="C9" s="53" t="s">
        <v>308</v>
      </c>
      <c r="D9" s="54"/>
      <c r="E9" s="71"/>
      <c r="F9" s="36"/>
      <c r="G9" s="36"/>
      <c r="H9" s="36"/>
      <c r="I9" s="36"/>
      <c r="J9" s="36"/>
      <c r="K9" s="36"/>
      <c r="L9" s="36"/>
      <c r="M9" s="36"/>
      <c r="N9" s="36"/>
      <c r="O9" s="36"/>
      <c r="P9" s="36"/>
      <c r="Q9" s="36"/>
      <c r="R9" s="36"/>
      <c r="S9" s="36"/>
      <c r="T9" s="36"/>
      <c r="U9" s="36"/>
      <c r="V9" s="36"/>
    </row>
    <row r="10" customFormat="1" ht="350" customHeight="1" spans="1:22">
      <c r="A10" s="36"/>
      <c r="B10" s="55" t="s">
        <v>311</v>
      </c>
      <c r="C10" s="56" t="s">
        <v>775</v>
      </c>
      <c r="D10" s="57"/>
      <c r="E10" s="72"/>
      <c r="F10" s="36"/>
      <c r="G10" s="36"/>
      <c r="H10" s="36"/>
      <c r="I10" s="36"/>
      <c r="J10" s="36"/>
      <c r="K10" s="36"/>
      <c r="L10" s="36"/>
      <c r="M10" s="36"/>
      <c r="N10" s="36"/>
      <c r="O10" s="36"/>
      <c r="P10" s="36"/>
      <c r="Q10" s="36"/>
      <c r="R10" s="36"/>
      <c r="S10" s="36"/>
      <c r="T10" s="36"/>
      <c r="U10" s="36"/>
      <c r="V10" s="36"/>
    </row>
    <row r="11" s="2" customFormat="1" spans="1:6">
      <c r="A11" s="36"/>
      <c r="B11" s="36"/>
      <c r="C11" s="36"/>
      <c r="D11" s="36"/>
      <c r="E11" s="36"/>
      <c r="F11" s="36"/>
    </row>
    <row r="12" s="2" customFormat="1" spans="1:6">
      <c r="A12" s="36"/>
      <c r="B12" s="36"/>
      <c r="C12" s="36"/>
      <c r="D12" s="36"/>
      <c r="E12" s="36"/>
      <c r="F12" s="36"/>
    </row>
  </sheetData>
  <sheetProtection formatCells="0" insertHyperlinks="0" autoFilter="0"/>
  <mergeCells count="6">
    <mergeCell ref="B1:E1"/>
    <mergeCell ref="B2:E2"/>
    <mergeCell ref="C3:D3"/>
    <mergeCell ref="C9:E9"/>
    <mergeCell ref="C10:E10"/>
    <mergeCell ref="E3:E4"/>
  </mergeCells>
  <hyperlinks>
    <hyperlink ref="F1" location="目录!A1" display="返回目录"/>
  </hyperlinks>
  <pageMargins left="0.75" right="0.75" top="1" bottom="1" header="0.5" footer="0.5"/>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AA12"/>
  <sheetViews>
    <sheetView workbookViewId="0">
      <selection activeCell="I1" sqref="I1"/>
    </sheetView>
  </sheetViews>
  <sheetFormatPr defaultColWidth="9" defaultRowHeight="17.25"/>
  <cols>
    <col min="1" max="1" width="1.8" style="36" customWidth="1"/>
    <col min="2" max="2" width="48.8" style="36" customWidth="1"/>
    <col min="3" max="3" width="30.875" style="36" customWidth="1"/>
    <col min="4" max="4" width="26.875" style="36" customWidth="1"/>
    <col min="5" max="9" width="18.8" style="36" customWidth="1"/>
    <col min="10" max="255" width="8.86666666666667" style="36"/>
    <col min="256" max="16384" width="9" style="36"/>
  </cols>
  <sheetData>
    <row r="1" s="33" customFormat="1" ht="99" customHeight="1" spans="1:9">
      <c r="A1" s="36"/>
      <c r="B1" s="37" t="s">
        <v>776</v>
      </c>
      <c r="C1" s="38"/>
      <c r="D1" s="38"/>
      <c r="E1" s="38"/>
      <c r="F1" s="38"/>
      <c r="G1" s="38"/>
      <c r="H1" s="38"/>
      <c r="I1" s="19" t="s">
        <v>190</v>
      </c>
    </row>
    <row r="2" customFormat="1" ht="60" customHeight="1" spans="1:27">
      <c r="A2" s="36"/>
      <c r="B2" s="39" t="s">
        <v>1</v>
      </c>
      <c r="C2" s="40" t="s">
        <v>777</v>
      </c>
      <c r="D2" s="41"/>
      <c r="E2" s="58" t="s">
        <v>778</v>
      </c>
      <c r="F2" s="59"/>
      <c r="G2" s="59"/>
      <c r="H2" s="60"/>
      <c r="I2" s="73"/>
      <c r="J2" s="36"/>
      <c r="K2" s="36"/>
      <c r="L2" s="36"/>
      <c r="M2" s="36"/>
      <c r="N2" s="36"/>
      <c r="O2" s="36"/>
      <c r="P2" s="36"/>
      <c r="Q2" s="36"/>
      <c r="R2" s="36"/>
      <c r="S2" s="36"/>
      <c r="T2" s="36"/>
      <c r="U2" s="36"/>
      <c r="V2" s="36"/>
      <c r="W2" s="36"/>
      <c r="X2" s="36"/>
      <c r="Y2" s="36"/>
      <c r="Z2" s="36"/>
      <c r="AA2" s="36"/>
    </row>
    <row r="3" s="34" customFormat="1" ht="45" customHeight="1" spans="1:9">
      <c r="A3" s="36"/>
      <c r="B3" s="42" t="s">
        <v>296</v>
      </c>
      <c r="C3" s="43" t="s">
        <v>297</v>
      </c>
      <c r="D3" s="44" t="s">
        <v>298</v>
      </c>
      <c r="E3" s="61"/>
      <c r="F3" s="62"/>
      <c r="G3" s="62"/>
      <c r="H3" s="63"/>
      <c r="I3" s="73"/>
    </row>
    <row r="4" s="34" customFormat="1" ht="55.05" customHeight="1" spans="1:25">
      <c r="A4" s="36"/>
      <c r="B4" s="45" t="s">
        <v>280</v>
      </c>
      <c r="C4" s="46">
        <v>12</v>
      </c>
      <c r="D4" s="47">
        <v>11</v>
      </c>
      <c r="E4" s="64" t="s">
        <v>301</v>
      </c>
      <c r="F4" s="65" t="s">
        <v>779</v>
      </c>
      <c r="G4" s="66"/>
      <c r="H4" s="67"/>
      <c r="I4" s="74"/>
      <c r="J4" s="36"/>
      <c r="K4" s="36"/>
      <c r="L4" s="36"/>
      <c r="M4" s="36"/>
      <c r="N4" s="36"/>
      <c r="O4" s="36"/>
      <c r="P4" s="36"/>
      <c r="Q4" s="36"/>
      <c r="R4" s="36"/>
      <c r="S4" s="36"/>
      <c r="T4" s="36"/>
      <c r="U4" s="36"/>
      <c r="V4" s="36"/>
      <c r="W4" s="36"/>
      <c r="X4" s="36"/>
      <c r="Y4" s="36"/>
    </row>
    <row r="5" s="35" customFormat="1" ht="55.05" customHeight="1" spans="1:25">
      <c r="A5" s="36"/>
      <c r="B5" s="48" t="s">
        <v>283</v>
      </c>
      <c r="C5" s="46">
        <v>11.3</v>
      </c>
      <c r="D5" s="49">
        <v>10.3</v>
      </c>
      <c r="E5" s="68" t="s">
        <v>302</v>
      </c>
      <c r="F5" s="69"/>
      <c r="G5" s="66"/>
      <c r="H5" s="67"/>
      <c r="I5" s="74"/>
      <c r="J5" s="36"/>
      <c r="K5" s="36"/>
      <c r="L5" s="36"/>
      <c r="M5" s="36"/>
      <c r="N5" s="36"/>
      <c r="O5" s="36"/>
      <c r="P5" s="36"/>
      <c r="Q5" s="36"/>
      <c r="R5" s="36"/>
      <c r="S5" s="36"/>
      <c r="T5" s="36"/>
      <c r="U5" s="36"/>
      <c r="V5" s="36"/>
      <c r="W5" s="36"/>
      <c r="X5" s="36"/>
      <c r="Y5" s="36"/>
    </row>
    <row r="6" s="35" customFormat="1" ht="55.05" customHeight="1" spans="1:25">
      <c r="A6" s="36"/>
      <c r="B6" s="48" t="s">
        <v>303</v>
      </c>
      <c r="C6" s="46">
        <v>11.4</v>
      </c>
      <c r="D6" s="49">
        <v>10.4</v>
      </c>
      <c r="E6" s="68" t="s">
        <v>304</v>
      </c>
      <c r="F6" s="69"/>
      <c r="G6" s="66"/>
      <c r="H6" s="67"/>
      <c r="I6" s="74"/>
      <c r="J6" s="36"/>
      <c r="K6" s="36"/>
      <c r="L6" s="36"/>
      <c r="M6" s="36"/>
      <c r="N6" s="36"/>
      <c r="O6" s="36"/>
      <c r="P6" s="36"/>
      <c r="Q6" s="36"/>
      <c r="R6" s="36"/>
      <c r="S6" s="36"/>
      <c r="T6" s="36"/>
      <c r="U6" s="36"/>
      <c r="V6" s="36"/>
      <c r="W6" s="36"/>
      <c r="X6" s="36"/>
      <c r="Y6" s="36"/>
    </row>
    <row r="7" s="35" customFormat="1" ht="55.05" customHeight="1" spans="1:25">
      <c r="A7" s="36"/>
      <c r="B7" s="48" t="s">
        <v>305</v>
      </c>
      <c r="C7" s="46">
        <v>11.8</v>
      </c>
      <c r="D7" s="49">
        <v>10.8</v>
      </c>
      <c r="E7" s="68" t="s">
        <v>306</v>
      </c>
      <c r="F7" s="69"/>
      <c r="G7" s="66"/>
      <c r="H7" s="67"/>
      <c r="I7" s="36"/>
      <c r="J7" s="36"/>
      <c r="K7" s="36"/>
      <c r="L7" s="36"/>
      <c r="M7" s="36"/>
      <c r="N7" s="36"/>
      <c r="O7" s="36"/>
      <c r="P7" s="36"/>
      <c r="Q7" s="36"/>
      <c r="R7" s="36"/>
      <c r="S7" s="36"/>
      <c r="T7" s="36"/>
      <c r="U7" s="36"/>
      <c r="V7" s="36"/>
      <c r="W7" s="36"/>
      <c r="X7" s="36"/>
      <c r="Y7" s="36"/>
    </row>
    <row r="8" s="35" customFormat="1" ht="55.05" customHeight="1" spans="1:25">
      <c r="A8" s="36"/>
      <c r="B8" s="50" t="s">
        <v>286</v>
      </c>
      <c r="C8" s="46">
        <v>12</v>
      </c>
      <c r="D8" s="51">
        <v>11</v>
      </c>
      <c r="E8" s="70" t="s">
        <v>307</v>
      </c>
      <c r="F8" s="69"/>
      <c r="G8" s="66"/>
      <c r="H8" s="67"/>
      <c r="I8" s="36"/>
      <c r="J8" s="36"/>
      <c r="K8" s="36"/>
      <c r="L8" s="36"/>
      <c r="M8" s="36"/>
      <c r="N8" s="36"/>
      <c r="O8" s="36"/>
      <c r="P8" s="36"/>
      <c r="Q8" s="36"/>
      <c r="R8" s="36"/>
      <c r="S8" s="36"/>
      <c r="T8" s="36"/>
      <c r="U8" s="36"/>
      <c r="V8" s="36"/>
      <c r="W8" s="36"/>
      <c r="X8" s="36"/>
      <c r="Y8" s="36"/>
    </row>
    <row r="9" s="35" customFormat="1" ht="60" customHeight="1" spans="1:25">
      <c r="A9" s="36"/>
      <c r="B9" s="52" t="s">
        <v>107</v>
      </c>
      <c r="C9" s="53" t="s">
        <v>308</v>
      </c>
      <c r="D9" s="54"/>
      <c r="E9" s="54"/>
      <c r="F9" s="54"/>
      <c r="G9" s="54"/>
      <c r="H9" s="71"/>
      <c r="I9" s="36"/>
      <c r="J9" s="36"/>
      <c r="K9" s="36"/>
      <c r="L9" s="36"/>
      <c r="M9" s="36"/>
      <c r="N9" s="36"/>
      <c r="O9" s="36"/>
      <c r="P9" s="36"/>
      <c r="Q9" s="36"/>
      <c r="R9" s="36"/>
      <c r="S9" s="36"/>
      <c r="T9" s="36"/>
      <c r="U9" s="36"/>
      <c r="V9" s="36"/>
      <c r="W9" s="36"/>
      <c r="X9" s="36"/>
      <c r="Y9" s="36"/>
    </row>
    <row r="10" customFormat="1" ht="350" customHeight="1" spans="1:25">
      <c r="A10" s="36"/>
      <c r="B10" s="55" t="s">
        <v>311</v>
      </c>
      <c r="C10" s="56" t="s">
        <v>312</v>
      </c>
      <c r="D10" s="57"/>
      <c r="E10" s="57"/>
      <c r="F10" s="57"/>
      <c r="G10" s="57"/>
      <c r="H10" s="72"/>
      <c r="I10" s="36"/>
      <c r="J10" s="36"/>
      <c r="K10" s="36"/>
      <c r="L10" s="36"/>
      <c r="M10" s="36"/>
      <c r="N10" s="36"/>
      <c r="O10" s="36"/>
      <c r="P10" s="36"/>
      <c r="Q10" s="36"/>
      <c r="R10" s="36"/>
      <c r="S10" s="36"/>
      <c r="T10" s="36"/>
      <c r="U10" s="36"/>
      <c r="V10" s="36"/>
      <c r="W10" s="36"/>
      <c r="X10" s="36"/>
      <c r="Y10" s="36"/>
    </row>
    <row r="11" s="2" customFormat="1" spans="1:9">
      <c r="A11" s="36"/>
      <c r="B11" s="36"/>
      <c r="C11" s="36"/>
      <c r="D11" s="36"/>
      <c r="E11" s="36"/>
      <c r="F11" s="36"/>
      <c r="G11" s="36"/>
      <c r="H11" s="36"/>
      <c r="I11" s="36"/>
    </row>
    <row r="12" s="2" customFormat="1" spans="1:9">
      <c r="A12" s="36"/>
      <c r="B12" s="36"/>
      <c r="C12" s="36"/>
      <c r="D12" s="36"/>
      <c r="E12" s="36"/>
      <c r="F12" s="36"/>
      <c r="G12" s="36"/>
      <c r="H12" s="36"/>
      <c r="I12" s="36"/>
    </row>
  </sheetData>
  <sheetProtection formatCells="0" insertHyperlinks="0" autoFilter="0"/>
  <mergeCells count="6">
    <mergeCell ref="B1:H1"/>
    <mergeCell ref="C2:D2"/>
    <mergeCell ref="C9:H9"/>
    <mergeCell ref="C10:H10"/>
    <mergeCell ref="E2:H3"/>
    <mergeCell ref="F4:H8"/>
  </mergeCells>
  <hyperlinks>
    <hyperlink ref="I1" location="目录!A1" display="返回目录"/>
  </hyperlinks>
  <pageMargins left="0.75" right="0.75" top="1" bottom="1" header="0.5" footer="0.5"/>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1"/>
  <sheetViews>
    <sheetView topLeftCell="A7" workbookViewId="0">
      <selection activeCell="D4" sqref="A3:G83"/>
    </sheetView>
  </sheetViews>
  <sheetFormatPr defaultColWidth="10" defaultRowHeight="16.5"/>
  <cols>
    <col min="1" max="1" width="9.13333333333333" style="21" customWidth="1"/>
    <col min="2" max="2" width="55.4666666666667" style="23" customWidth="1"/>
    <col min="3" max="4" width="26.2" style="23" customWidth="1"/>
    <col min="5" max="5" width="29.8666666666667" style="23" customWidth="1"/>
    <col min="6" max="6" width="18" style="23" customWidth="1"/>
    <col min="7" max="16384" width="10" style="23"/>
  </cols>
  <sheetData>
    <row r="1" ht="47" customHeight="1" spans="1:6">
      <c r="A1" s="24" t="s">
        <v>780</v>
      </c>
      <c r="B1" s="24"/>
      <c r="C1" s="24"/>
      <c r="D1" s="24"/>
      <c r="E1" s="24"/>
      <c r="F1" s="19" t="s">
        <v>190</v>
      </c>
    </row>
    <row r="2" s="21" customFormat="1" ht="35" customHeight="1" spans="1:16">
      <c r="A2" s="25" t="s">
        <v>326</v>
      </c>
      <c r="B2" s="26" t="s">
        <v>781</v>
      </c>
      <c r="C2" s="26" t="s">
        <v>782</v>
      </c>
      <c r="D2" s="26" t="s">
        <v>783</v>
      </c>
      <c r="E2" s="26" t="s">
        <v>278</v>
      </c>
      <c r="F2" s="31"/>
      <c r="P2" s="32" t="s">
        <v>190</v>
      </c>
    </row>
    <row r="3" s="22" customFormat="1" ht="20" customHeight="1" spans="1:14">
      <c r="A3" s="27" t="s">
        <v>784</v>
      </c>
      <c r="B3" s="28" t="s">
        <v>785</v>
      </c>
      <c r="C3" s="27" t="s">
        <v>786</v>
      </c>
      <c r="D3" s="27" t="s">
        <v>787</v>
      </c>
      <c r="E3" s="27" t="s">
        <v>788</v>
      </c>
      <c r="F3" s="23"/>
      <c r="G3" s="23"/>
      <c r="H3" s="23"/>
      <c r="I3" s="23"/>
      <c r="J3" s="23"/>
      <c r="K3" s="23"/>
      <c r="L3" s="23"/>
      <c r="M3" s="23"/>
      <c r="N3" s="23"/>
    </row>
    <row r="4" s="22" customFormat="1" ht="20" customHeight="1" spans="1:14">
      <c r="A4" s="27" t="s">
        <v>789</v>
      </c>
      <c r="B4" s="28" t="s">
        <v>785</v>
      </c>
      <c r="C4" s="27" t="s">
        <v>786</v>
      </c>
      <c r="D4" s="27" t="s">
        <v>787</v>
      </c>
      <c r="E4" s="27" t="s">
        <v>788</v>
      </c>
      <c r="F4" s="23"/>
      <c r="G4" s="23"/>
      <c r="H4" s="23"/>
      <c r="I4" s="23"/>
      <c r="J4" s="23"/>
      <c r="K4" s="23"/>
      <c r="L4" s="23"/>
      <c r="M4" s="23"/>
      <c r="N4" s="23"/>
    </row>
    <row r="5" s="22" customFormat="1" ht="20" customHeight="1" spans="1:14">
      <c r="A5" s="27" t="s">
        <v>790</v>
      </c>
      <c r="B5" s="28" t="s">
        <v>791</v>
      </c>
      <c r="C5" s="27" t="s">
        <v>792</v>
      </c>
      <c r="D5" s="27" t="s">
        <v>787</v>
      </c>
      <c r="E5" s="27" t="s">
        <v>793</v>
      </c>
      <c r="F5" s="23"/>
      <c r="G5" s="23"/>
      <c r="H5" s="23"/>
      <c r="I5" s="23"/>
      <c r="J5" s="23"/>
      <c r="K5" s="23"/>
      <c r="L5" s="23"/>
      <c r="M5" s="23"/>
      <c r="N5" s="23"/>
    </row>
    <row r="6" s="22" customFormat="1" ht="20" customHeight="1" spans="1:14">
      <c r="A6" s="27" t="s">
        <v>794</v>
      </c>
      <c r="B6" s="28" t="s">
        <v>795</v>
      </c>
      <c r="C6" s="27" t="s">
        <v>796</v>
      </c>
      <c r="D6" s="27" t="s">
        <v>787</v>
      </c>
      <c r="E6" s="27" t="s">
        <v>797</v>
      </c>
      <c r="F6" s="23"/>
      <c r="G6" s="23"/>
      <c r="H6" s="23"/>
      <c r="I6" s="23"/>
      <c r="J6" s="23"/>
      <c r="K6" s="23"/>
      <c r="L6" s="23"/>
      <c r="M6" s="23"/>
      <c r="N6" s="23"/>
    </row>
    <row r="7" s="22" customFormat="1" ht="20" customHeight="1" spans="1:14">
      <c r="A7" s="29" t="s">
        <v>798</v>
      </c>
      <c r="B7" s="30" t="s">
        <v>799</v>
      </c>
      <c r="C7" s="29" t="s">
        <v>800</v>
      </c>
      <c r="D7" s="29" t="s">
        <v>787</v>
      </c>
      <c r="E7" s="29" t="s">
        <v>801</v>
      </c>
      <c r="F7" s="23"/>
      <c r="G7" s="23"/>
      <c r="H7" s="23"/>
      <c r="I7" s="23"/>
      <c r="J7" s="23"/>
      <c r="K7" s="23"/>
      <c r="L7" s="23"/>
      <c r="M7" s="23"/>
      <c r="N7" s="23"/>
    </row>
    <row r="8" s="22" customFormat="1" ht="20" customHeight="1" spans="1:14">
      <c r="A8" s="27" t="s">
        <v>802</v>
      </c>
      <c r="B8" s="28" t="s">
        <v>803</v>
      </c>
      <c r="C8" s="27" t="s">
        <v>804</v>
      </c>
      <c r="D8" s="27" t="s">
        <v>805</v>
      </c>
      <c r="E8" s="27" t="s">
        <v>806</v>
      </c>
      <c r="F8" s="23"/>
      <c r="G8" s="23"/>
      <c r="H8" s="23"/>
      <c r="I8" s="23"/>
      <c r="J8" s="23"/>
      <c r="K8" s="23"/>
      <c r="L8" s="23"/>
      <c r="M8" s="23"/>
      <c r="N8" s="23"/>
    </row>
    <row r="9" s="22" customFormat="1" ht="20" customHeight="1" spans="1:14">
      <c r="A9" s="27" t="s">
        <v>807</v>
      </c>
      <c r="B9" s="28" t="s">
        <v>808</v>
      </c>
      <c r="C9" s="27" t="s">
        <v>809</v>
      </c>
      <c r="D9" s="27" t="s">
        <v>805</v>
      </c>
      <c r="E9" s="27" t="s">
        <v>810</v>
      </c>
      <c r="F9" s="23"/>
      <c r="G9" s="23"/>
      <c r="H9" s="23"/>
      <c r="I9" s="23"/>
      <c r="J9" s="23"/>
      <c r="K9" s="23"/>
      <c r="L9" s="23"/>
      <c r="M9" s="23"/>
      <c r="N9" s="23"/>
    </row>
    <row r="10" s="22" customFormat="1" ht="20" customHeight="1" spans="1:14">
      <c r="A10" s="27" t="s">
        <v>811</v>
      </c>
      <c r="B10" s="28" t="s">
        <v>812</v>
      </c>
      <c r="C10" s="27" t="s">
        <v>813</v>
      </c>
      <c r="D10" s="27" t="s">
        <v>805</v>
      </c>
      <c r="E10" s="27" t="s">
        <v>814</v>
      </c>
      <c r="F10" s="23"/>
      <c r="G10" s="23"/>
      <c r="H10" s="23"/>
      <c r="I10" s="23"/>
      <c r="J10" s="23"/>
      <c r="K10" s="23"/>
      <c r="L10" s="23"/>
      <c r="M10" s="23"/>
      <c r="N10" s="23"/>
    </row>
    <row r="11" s="22" customFormat="1" ht="20" customHeight="1" spans="1:14">
      <c r="A11" s="27" t="s">
        <v>815</v>
      </c>
      <c r="B11" s="28" t="s">
        <v>816</v>
      </c>
      <c r="C11" s="27" t="s">
        <v>813</v>
      </c>
      <c r="D11" s="27" t="s">
        <v>805</v>
      </c>
      <c r="E11" s="27" t="s">
        <v>817</v>
      </c>
      <c r="F11" s="23"/>
      <c r="G11" s="23"/>
      <c r="H11" s="23"/>
      <c r="I11" s="23"/>
      <c r="J11" s="23"/>
      <c r="K11" s="23"/>
      <c r="L11" s="23"/>
      <c r="M11" s="23"/>
      <c r="N11" s="23"/>
    </row>
    <row r="12" s="22" customFormat="1" ht="20" customHeight="1" spans="1:13">
      <c r="A12" s="29" t="s">
        <v>818</v>
      </c>
      <c r="B12" s="30" t="s">
        <v>819</v>
      </c>
      <c r="C12" s="29" t="s">
        <v>820</v>
      </c>
      <c r="D12" s="29" t="s">
        <v>805</v>
      </c>
      <c r="E12" s="29" t="s">
        <v>821</v>
      </c>
      <c r="F12" s="23"/>
      <c r="G12" s="23"/>
      <c r="H12" s="23"/>
      <c r="I12" s="23"/>
      <c r="J12" s="23"/>
      <c r="K12" s="23"/>
      <c r="L12" s="23"/>
      <c r="M12" s="23"/>
    </row>
    <row r="13" s="22" customFormat="1" ht="20" customHeight="1" spans="1:13">
      <c r="A13" s="27" t="s">
        <v>822</v>
      </c>
      <c r="B13" s="28" t="s">
        <v>823</v>
      </c>
      <c r="C13" s="27" t="s">
        <v>824</v>
      </c>
      <c r="D13" s="27" t="s">
        <v>805</v>
      </c>
      <c r="E13" s="27" t="s">
        <v>825</v>
      </c>
      <c r="F13" s="23"/>
      <c r="G13" s="23"/>
      <c r="H13" s="23"/>
      <c r="I13" s="23"/>
      <c r="J13" s="23"/>
      <c r="K13" s="23"/>
      <c r="L13" s="23"/>
      <c r="M13" s="23"/>
    </row>
    <row r="14" s="22" customFormat="1" ht="20" customHeight="1" spans="1:13">
      <c r="A14" s="27" t="s">
        <v>826</v>
      </c>
      <c r="B14" s="28" t="s">
        <v>827</v>
      </c>
      <c r="C14" s="27" t="s">
        <v>828</v>
      </c>
      <c r="D14" s="27" t="s">
        <v>805</v>
      </c>
      <c r="E14" s="27" t="s">
        <v>829</v>
      </c>
      <c r="F14" s="23"/>
      <c r="G14" s="23"/>
      <c r="H14" s="23"/>
      <c r="I14" s="23"/>
      <c r="J14" s="23"/>
      <c r="K14" s="23"/>
      <c r="L14" s="23"/>
      <c r="M14" s="23"/>
    </row>
    <row r="15" s="22" customFormat="1" ht="20" customHeight="1" spans="1:13">
      <c r="A15" s="27" t="s">
        <v>830</v>
      </c>
      <c r="B15" s="28" t="s">
        <v>831</v>
      </c>
      <c r="C15" s="27" t="s">
        <v>832</v>
      </c>
      <c r="D15" s="27" t="s">
        <v>805</v>
      </c>
      <c r="E15" s="27" t="s">
        <v>833</v>
      </c>
      <c r="F15" s="23"/>
      <c r="G15" s="23"/>
      <c r="H15" s="23"/>
      <c r="I15" s="23"/>
      <c r="J15" s="23"/>
      <c r="K15" s="23"/>
      <c r="L15" s="23"/>
      <c r="M15" s="23"/>
    </row>
    <row r="16" ht="20" customHeight="1" spans="1:5">
      <c r="A16" s="27" t="s">
        <v>834</v>
      </c>
      <c r="B16" s="28" t="s">
        <v>835</v>
      </c>
      <c r="C16" s="27" t="s">
        <v>836</v>
      </c>
      <c r="D16" s="27" t="s">
        <v>805</v>
      </c>
      <c r="E16" s="27" t="s">
        <v>837</v>
      </c>
    </row>
    <row r="17" ht="36" spans="1:5">
      <c r="A17" s="29" t="s">
        <v>838</v>
      </c>
      <c r="B17" s="30" t="s">
        <v>839</v>
      </c>
      <c r="C17" s="29" t="s">
        <v>840</v>
      </c>
      <c r="D17" s="29" t="s">
        <v>841</v>
      </c>
      <c r="E17" s="29" t="s">
        <v>842</v>
      </c>
    </row>
    <row r="18" ht="20" customHeight="1" spans="1:5">
      <c r="A18" s="27" t="s">
        <v>843</v>
      </c>
      <c r="B18" s="28" t="s">
        <v>844</v>
      </c>
      <c r="C18" s="27" t="s">
        <v>845</v>
      </c>
      <c r="D18" s="27" t="s">
        <v>841</v>
      </c>
      <c r="E18" s="27" t="s">
        <v>846</v>
      </c>
    </row>
    <row r="19" ht="20" customHeight="1" spans="1:5">
      <c r="A19" s="27" t="s">
        <v>847</v>
      </c>
      <c r="B19" s="28" t="s">
        <v>848</v>
      </c>
      <c r="C19" s="27" t="s">
        <v>849</v>
      </c>
      <c r="D19" s="27" t="s">
        <v>850</v>
      </c>
      <c r="E19" s="27" t="s">
        <v>851</v>
      </c>
    </row>
    <row r="20" ht="20" customHeight="1" spans="1:5">
      <c r="A20" s="27" t="s">
        <v>852</v>
      </c>
      <c r="B20" s="28" t="s">
        <v>853</v>
      </c>
      <c r="C20" s="27" t="s">
        <v>854</v>
      </c>
      <c r="D20" s="27" t="s">
        <v>841</v>
      </c>
      <c r="E20" s="27" t="s">
        <v>855</v>
      </c>
    </row>
    <row r="21" ht="20" customHeight="1" spans="1:5">
      <c r="A21" s="27" t="s">
        <v>856</v>
      </c>
      <c r="B21" s="28" t="s">
        <v>857</v>
      </c>
      <c r="C21" s="27" t="s">
        <v>858</v>
      </c>
      <c r="D21" s="27" t="s">
        <v>805</v>
      </c>
      <c r="E21" s="27" t="s">
        <v>859</v>
      </c>
    </row>
  </sheetData>
  <sheetProtection formatCells="0" insertHyperlinks="0" autoFilter="0"/>
  <mergeCells count="1">
    <mergeCell ref="A1:E1"/>
  </mergeCells>
  <hyperlinks>
    <hyperlink ref="P2" location="'Sheet2'!A1" display="返回目录"/>
    <hyperlink ref="F1" location="目录!A1" display="返回目录"/>
  </hyperlinks>
  <pageMargins left="0.75" right="0.75" top="1" bottom="1" header="0.5" footer="0.5"/>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6"/>
  <sheetViews>
    <sheetView workbookViewId="0">
      <selection activeCell="A4" sqref="A3:G83"/>
    </sheetView>
  </sheetViews>
  <sheetFormatPr defaultColWidth="9" defaultRowHeight="13.5" outlineLevelCol="6"/>
  <cols>
    <col min="1" max="1" width="52" customWidth="1"/>
    <col min="2" max="2" width="51.5333333333333" customWidth="1"/>
    <col min="3" max="3" width="26.1333333333333" customWidth="1"/>
    <col min="6" max="6" width="18.1333333333333" customWidth="1"/>
  </cols>
  <sheetData>
    <row r="1" ht="45" spans="1:7">
      <c r="A1" s="9" t="s">
        <v>860</v>
      </c>
      <c r="B1" s="9"/>
      <c r="C1" s="9"/>
      <c r="D1" s="9"/>
      <c r="E1" s="9"/>
      <c r="F1" s="9"/>
      <c r="G1" s="19" t="s">
        <v>190</v>
      </c>
    </row>
    <row r="2" ht="20" customHeight="1" spans="1:6">
      <c r="A2" s="10" t="s">
        <v>861</v>
      </c>
      <c r="B2" s="10"/>
      <c r="C2" s="10"/>
      <c r="D2" s="10"/>
      <c r="E2" s="10"/>
      <c r="F2" s="10"/>
    </row>
    <row r="3" ht="30" customHeight="1" spans="1:6">
      <c r="A3" s="11" t="s">
        <v>862</v>
      </c>
      <c r="B3" s="11"/>
      <c r="C3" s="11"/>
      <c r="D3" s="11"/>
      <c r="E3" s="11"/>
      <c r="F3" s="11"/>
    </row>
    <row r="4" ht="38" customHeight="1" spans="1:6">
      <c r="A4" s="11" t="s">
        <v>863</v>
      </c>
      <c r="B4" s="11"/>
      <c r="C4" s="11"/>
      <c r="D4" s="11"/>
      <c r="E4" s="11"/>
      <c r="F4" s="11"/>
    </row>
    <row r="5" ht="50" customHeight="1" spans="1:6">
      <c r="A5" s="11" t="s">
        <v>864</v>
      </c>
      <c r="B5" s="11"/>
      <c r="C5" s="11"/>
      <c r="D5" s="11"/>
      <c r="E5" s="11"/>
      <c r="F5" s="11"/>
    </row>
    <row r="6" ht="24" customHeight="1" spans="1:6">
      <c r="A6" s="11" t="s">
        <v>865</v>
      </c>
      <c r="B6" s="11"/>
      <c r="C6" s="11"/>
      <c r="D6" s="11"/>
      <c r="E6" s="11"/>
      <c r="F6" s="11"/>
    </row>
    <row r="7" ht="38" customHeight="1" spans="1:6">
      <c r="A7" s="11" t="s">
        <v>866</v>
      </c>
      <c r="B7" s="11"/>
      <c r="C7" s="11"/>
      <c r="D7" s="11"/>
      <c r="E7" s="11"/>
      <c r="F7" s="11"/>
    </row>
    <row r="8" ht="24" customHeight="1" spans="1:6">
      <c r="A8" s="11" t="s">
        <v>867</v>
      </c>
      <c r="B8" s="11"/>
      <c r="C8" s="11"/>
      <c r="D8" s="11"/>
      <c r="E8" s="11"/>
      <c r="F8" s="11"/>
    </row>
    <row r="9" ht="21" customHeight="1" spans="1:6">
      <c r="A9" s="12" t="s">
        <v>868</v>
      </c>
      <c r="B9" s="13"/>
      <c r="C9" s="13"/>
      <c r="D9" s="13"/>
      <c r="E9" s="13"/>
      <c r="F9" s="20"/>
    </row>
    <row r="10" ht="15" spans="1:6">
      <c r="A10" s="14" t="s">
        <v>869</v>
      </c>
      <c r="B10" s="14"/>
      <c r="C10" s="14"/>
      <c r="D10" s="14"/>
      <c r="E10" s="14"/>
      <c r="F10" s="14"/>
    </row>
    <row r="11" ht="20" customHeight="1" spans="1:6">
      <c r="A11" s="15" t="s">
        <v>870</v>
      </c>
      <c r="B11" s="11"/>
      <c r="C11" s="11"/>
      <c r="D11" s="11"/>
      <c r="E11" s="11"/>
      <c r="F11" s="11"/>
    </row>
    <row r="12" ht="23" customHeight="1" spans="1:6">
      <c r="A12" s="15" t="s">
        <v>871</v>
      </c>
      <c r="B12" s="11"/>
      <c r="C12" s="11"/>
      <c r="D12" s="11"/>
      <c r="E12" s="11"/>
      <c r="F12" s="11"/>
    </row>
    <row r="13" ht="15" spans="1:6">
      <c r="A13" s="14" t="s">
        <v>872</v>
      </c>
      <c r="B13" s="14"/>
      <c r="C13" s="14"/>
      <c r="D13" s="14"/>
      <c r="E13" s="14"/>
      <c r="F13" s="14"/>
    </row>
    <row r="14" ht="16.5" spans="1:6">
      <c r="A14" s="16" t="s">
        <v>873</v>
      </c>
      <c r="B14" s="16"/>
      <c r="C14" s="16"/>
      <c r="D14" s="16"/>
      <c r="E14" s="16"/>
      <c r="F14" s="16"/>
    </row>
    <row r="15" ht="16.5" spans="1:6">
      <c r="A15" s="16" t="s">
        <v>874</v>
      </c>
      <c r="B15" s="16"/>
      <c r="C15" s="16"/>
      <c r="D15" s="16"/>
      <c r="E15" s="16"/>
      <c r="F15" s="16"/>
    </row>
    <row r="16" ht="16.5" spans="1:6">
      <c r="A16" s="16" t="s">
        <v>875</v>
      </c>
      <c r="B16" s="16"/>
      <c r="C16" s="16"/>
      <c r="D16" s="16"/>
      <c r="E16" s="16"/>
      <c r="F16" s="16"/>
    </row>
    <row r="17" ht="16.5" spans="1:6">
      <c r="A17" s="16" t="s">
        <v>876</v>
      </c>
      <c r="B17" s="16"/>
      <c r="C17" s="16"/>
      <c r="D17" s="16"/>
      <c r="E17" s="16"/>
      <c r="F17" s="16"/>
    </row>
    <row r="18" ht="16.5" spans="1:6">
      <c r="A18" s="16" t="s">
        <v>877</v>
      </c>
      <c r="B18" s="16"/>
      <c r="C18" s="16"/>
      <c r="D18" s="16"/>
      <c r="E18" s="16"/>
      <c r="F18" s="16"/>
    </row>
    <row r="19" ht="16.5" spans="1:6">
      <c r="A19" s="16" t="s">
        <v>878</v>
      </c>
      <c r="B19" s="16"/>
      <c r="C19" s="16"/>
      <c r="D19" s="16"/>
      <c r="E19" s="16"/>
      <c r="F19" s="16"/>
    </row>
    <row r="20" ht="16.5" spans="1:6">
      <c r="A20" s="16" t="s">
        <v>879</v>
      </c>
      <c r="B20" s="16"/>
      <c r="C20" s="16"/>
      <c r="D20" s="16"/>
      <c r="E20" s="16"/>
      <c r="F20" s="16"/>
    </row>
    <row r="21" ht="16.5" spans="1:6">
      <c r="A21" s="16" t="s">
        <v>880</v>
      </c>
      <c r="B21" s="16"/>
      <c r="C21" s="16"/>
      <c r="D21" s="16"/>
      <c r="E21" s="16"/>
      <c r="F21" s="16"/>
    </row>
    <row r="22" ht="16.5" spans="1:6">
      <c r="A22" s="16" t="s">
        <v>881</v>
      </c>
      <c r="B22" s="16"/>
      <c r="C22" s="16"/>
      <c r="D22" s="16"/>
      <c r="E22" s="16"/>
      <c r="F22" s="16"/>
    </row>
    <row r="23" ht="16.5" spans="1:6">
      <c r="A23" s="16" t="s">
        <v>882</v>
      </c>
      <c r="B23" s="16"/>
      <c r="C23" s="16"/>
      <c r="D23" s="16"/>
      <c r="E23" s="16"/>
      <c r="F23" s="16"/>
    </row>
    <row r="24" ht="16.5" spans="1:6">
      <c r="A24" s="16" t="s">
        <v>883</v>
      </c>
      <c r="B24" s="16"/>
      <c r="C24" s="16"/>
      <c r="D24" s="16"/>
      <c r="E24" s="16"/>
      <c r="F24" s="16"/>
    </row>
    <row r="25" ht="16.5" spans="1:6">
      <c r="A25" s="16" t="s">
        <v>884</v>
      </c>
      <c r="B25" s="16"/>
      <c r="C25" s="16"/>
      <c r="D25" s="16"/>
      <c r="E25" s="16"/>
      <c r="F25" s="16"/>
    </row>
    <row r="26" ht="16.5" spans="1:6">
      <c r="A26" s="16" t="s">
        <v>885</v>
      </c>
      <c r="B26" s="16"/>
      <c r="C26" s="16"/>
      <c r="D26" s="16"/>
      <c r="E26" s="16"/>
      <c r="F26" s="16"/>
    </row>
    <row r="27" ht="15" spans="1:6">
      <c r="A27" s="17" t="s">
        <v>886</v>
      </c>
      <c r="B27" s="17"/>
      <c r="C27" s="17"/>
      <c r="D27" s="17"/>
      <c r="E27" s="17"/>
      <c r="F27" s="17"/>
    </row>
    <row r="28" ht="15" spans="1:6">
      <c r="A28" s="17" t="s">
        <v>887</v>
      </c>
      <c r="B28" s="17"/>
      <c r="C28" s="17"/>
      <c r="D28" s="17"/>
      <c r="E28" s="17"/>
      <c r="F28" s="17"/>
    </row>
    <row r="29" ht="15" spans="1:6">
      <c r="A29" s="17" t="s">
        <v>888</v>
      </c>
      <c r="B29" s="17"/>
      <c r="C29" s="17"/>
      <c r="D29" s="17"/>
      <c r="E29" s="17"/>
      <c r="F29" s="17"/>
    </row>
    <row r="30" ht="15" spans="1:6">
      <c r="A30" s="17" t="s">
        <v>889</v>
      </c>
      <c r="B30" s="17"/>
      <c r="C30" s="17"/>
      <c r="D30" s="17"/>
      <c r="E30" s="17"/>
      <c r="F30" s="17"/>
    </row>
    <row r="31" ht="15" spans="1:6">
      <c r="A31" s="14" t="s">
        <v>890</v>
      </c>
      <c r="B31" s="14"/>
      <c r="C31" s="14"/>
      <c r="D31" s="14"/>
      <c r="E31" s="14"/>
      <c r="F31" s="14"/>
    </row>
    <row r="32" ht="16.5" spans="1:6">
      <c r="A32" s="16" t="s">
        <v>891</v>
      </c>
      <c r="B32" s="16"/>
      <c r="C32" s="16"/>
      <c r="D32" s="16"/>
      <c r="E32" s="16"/>
      <c r="F32" s="16"/>
    </row>
    <row r="33" ht="16.5" spans="1:6">
      <c r="A33" s="16" t="s">
        <v>892</v>
      </c>
      <c r="B33" s="16"/>
      <c r="C33" s="16"/>
      <c r="D33" s="16"/>
      <c r="E33" s="16"/>
      <c r="F33" s="16"/>
    </row>
    <row r="34" ht="16.5" spans="1:6">
      <c r="A34" s="16" t="s">
        <v>893</v>
      </c>
      <c r="B34" s="16"/>
      <c r="C34" s="16"/>
      <c r="D34" s="16"/>
      <c r="E34" s="16"/>
      <c r="F34" s="16"/>
    </row>
    <row r="35" ht="16.5" spans="1:6">
      <c r="A35" s="16" t="s">
        <v>894</v>
      </c>
      <c r="B35" s="16"/>
      <c r="C35" s="16"/>
      <c r="D35" s="16"/>
      <c r="E35" s="16"/>
      <c r="F35" s="16"/>
    </row>
    <row r="36" ht="16.5" spans="1:6">
      <c r="A36" s="16" t="s">
        <v>895</v>
      </c>
      <c r="B36" s="16"/>
      <c r="C36" s="16"/>
      <c r="D36" s="16"/>
      <c r="E36" s="16"/>
      <c r="F36" s="16"/>
    </row>
    <row r="37" ht="16.5" spans="1:6">
      <c r="A37" s="16" t="s">
        <v>896</v>
      </c>
      <c r="B37" s="16"/>
      <c r="C37" s="16"/>
      <c r="D37" s="16"/>
      <c r="E37" s="16"/>
      <c r="F37" s="16"/>
    </row>
    <row r="38" ht="16.5" spans="1:6">
      <c r="A38" s="16" t="s">
        <v>897</v>
      </c>
      <c r="B38" s="16"/>
      <c r="C38" s="16"/>
      <c r="D38" s="16"/>
      <c r="E38" s="16"/>
      <c r="F38" s="16"/>
    </row>
    <row r="39" ht="16.5" spans="1:6">
      <c r="A39" s="16" t="s">
        <v>898</v>
      </c>
      <c r="B39" s="16"/>
      <c r="C39" s="16"/>
      <c r="D39" s="16"/>
      <c r="E39" s="16"/>
      <c r="F39" s="16"/>
    </row>
    <row r="40" ht="16.5" spans="1:6">
      <c r="A40" s="16" t="s">
        <v>899</v>
      </c>
      <c r="B40" s="16"/>
      <c r="C40" s="16"/>
      <c r="D40" s="16"/>
      <c r="E40" s="16"/>
      <c r="F40" s="16"/>
    </row>
    <row r="41" ht="15" spans="1:6">
      <c r="A41" s="14" t="s">
        <v>900</v>
      </c>
      <c r="B41" s="14"/>
      <c r="C41" s="14"/>
      <c r="D41" s="14"/>
      <c r="E41" s="14"/>
      <c r="F41" s="14"/>
    </row>
    <row r="42" ht="16.5" spans="1:6">
      <c r="A42" s="18" t="s">
        <v>901</v>
      </c>
      <c r="B42" s="16"/>
      <c r="C42" s="16"/>
      <c r="D42" s="16"/>
      <c r="E42" s="16"/>
      <c r="F42" s="16"/>
    </row>
    <row r="43" ht="16.5" spans="1:6">
      <c r="A43" s="16" t="s">
        <v>902</v>
      </c>
      <c r="B43" s="16"/>
      <c r="C43" s="16"/>
      <c r="D43" s="16"/>
      <c r="E43" s="16"/>
      <c r="F43" s="16"/>
    </row>
    <row r="44" ht="16.5" spans="1:6">
      <c r="A44" s="16" t="s">
        <v>903</v>
      </c>
      <c r="B44" s="16"/>
      <c r="C44" s="16"/>
      <c r="D44" s="16"/>
      <c r="E44" s="16"/>
      <c r="F44" s="16"/>
    </row>
    <row r="45" ht="16.5" spans="1:6">
      <c r="A45" s="16" t="s">
        <v>904</v>
      </c>
      <c r="B45" s="16"/>
      <c r="C45" s="16"/>
      <c r="D45" s="16"/>
      <c r="E45" s="16"/>
      <c r="F45" s="16"/>
    </row>
    <row r="46" ht="16.5" spans="1:6">
      <c r="A46" s="16" t="s">
        <v>905</v>
      </c>
      <c r="B46" s="16"/>
      <c r="C46" s="16"/>
      <c r="D46" s="16"/>
      <c r="E46" s="16"/>
      <c r="F46" s="16"/>
    </row>
  </sheetData>
  <sheetProtection formatCells="0" insertHyperlinks="0" autoFilter="0"/>
  <mergeCells count="46">
    <mergeCell ref="A1:F1"/>
    <mergeCell ref="A2:F2"/>
    <mergeCell ref="A3:F3"/>
    <mergeCell ref="A4:F4"/>
    <mergeCell ref="A5:F5"/>
    <mergeCell ref="A6:F6"/>
    <mergeCell ref="A7:F7"/>
    <mergeCell ref="A8:F8"/>
    <mergeCell ref="A9:F9"/>
    <mergeCell ref="A10:F10"/>
    <mergeCell ref="A11:F11"/>
    <mergeCell ref="A12:F12"/>
    <mergeCell ref="A13:F13"/>
    <mergeCell ref="A14:F14"/>
    <mergeCell ref="A15:F15"/>
    <mergeCell ref="A16:F16"/>
    <mergeCell ref="A17:F17"/>
    <mergeCell ref="A18:F18"/>
    <mergeCell ref="A19:F19"/>
    <mergeCell ref="A20:F20"/>
    <mergeCell ref="A21:F21"/>
    <mergeCell ref="A22:F22"/>
    <mergeCell ref="A23:F23"/>
    <mergeCell ref="A24:F24"/>
    <mergeCell ref="A25:F25"/>
    <mergeCell ref="A26:F26"/>
    <mergeCell ref="A27:F27"/>
    <mergeCell ref="A28:F28"/>
    <mergeCell ref="A29:F29"/>
    <mergeCell ref="A30:F30"/>
    <mergeCell ref="A31:F31"/>
    <mergeCell ref="A32:F32"/>
    <mergeCell ref="A33:F33"/>
    <mergeCell ref="A34:F34"/>
    <mergeCell ref="A35:F35"/>
    <mergeCell ref="A36:F36"/>
    <mergeCell ref="A37:F37"/>
    <mergeCell ref="A38:F38"/>
    <mergeCell ref="A39:F39"/>
    <mergeCell ref="A40:F40"/>
    <mergeCell ref="A41:F41"/>
    <mergeCell ref="A42:F42"/>
    <mergeCell ref="A43:F43"/>
    <mergeCell ref="A44:F44"/>
    <mergeCell ref="A45:F45"/>
    <mergeCell ref="A46:F46"/>
  </mergeCells>
  <hyperlinks>
    <hyperlink ref="G1" location="目录!A1" display="返回目录"/>
  </hyperlinks>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024"/>
  <sheetViews>
    <sheetView topLeftCell="A522" workbookViewId="0">
      <selection activeCell="D4" sqref="A3:G83"/>
    </sheetView>
  </sheetViews>
  <sheetFormatPr defaultColWidth="9" defaultRowHeight="17.25"/>
  <cols>
    <col min="1" max="1" width="6.73333333333333" style="1" customWidth="1"/>
    <col min="2" max="2" width="10.8666666666667" style="2" customWidth="1"/>
    <col min="3" max="3" width="64" style="2" customWidth="1"/>
    <col min="4" max="4" width="32.1333333333333" style="2" customWidth="1"/>
    <col min="5" max="5" width="13.4" style="2" customWidth="1"/>
    <col min="6" max="6" width="25" style="2" customWidth="1"/>
    <col min="7" max="7" width="14.8666666666667" style="2" customWidth="1"/>
    <col min="8" max="8" width="36.5333333333333" style="2" customWidth="1"/>
    <col min="9" max="16384" width="9" style="2"/>
  </cols>
  <sheetData>
    <row r="1" ht="48" customHeight="1" spans="1:8">
      <c r="A1" s="3" t="s">
        <v>906</v>
      </c>
      <c r="B1" s="3"/>
      <c r="C1" s="3"/>
      <c r="D1" s="3"/>
      <c r="E1" s="3"/>
      <c r="F1" s="3"/>
      <c r="G1" s="3"/>
      <c r="H1" s="3"/>
    </row>
    <row r="2" ht="31.9" customHeight="1" spans="1:8">
      <c r="A2" s="4" t="s">
        <v>907</v>
      </c>
      <c r="B2" s="4"/>
      <c r="C2" s="4"/>
      <c r="D2" s="4"/>
      <c r="E2" s="4"/>
      <c r="F2" s="4"/>
      <c r="G2" s="4"/>
      <c r="H2" s="4"/>
    </row>
    <row r="3" ht="22.15" customHeight="1" spans="1:8">
      <c r="A3" s="5" t="s">
        <v>908</v>
      </c>
      <c r="B3" s="5" t="s">
        <v>909</v>
      </c>
      <c r="C3" s="5" t="s">
        <v>910</v>
      </c>
      <c r="D3" s="5" t="s">
        <v>911</v>
      </c>
      <c r="E3" s="5" t="s">
        <v>912</v>
      </c>
      <c r="F3" s="5" t="s">
        <v>913</v>
      </c>
      <c r="G3" s="5" t="s">
        <v>914</v>
      </c>
      <c r="H3" s="5" t="s">
        <v>915</v>
      </c>
    </row>
    <row r="4" ht="22.15" customHeight="1" spans="1:9">
      <c r="A4" s="6">
        <v>1</v>
      </c>
      <c r="B4" s="6" t="s">
        <v>916</v>
      </c>
      <c r="C4" s="6" t="s">
        <v>917</v>
      </c>
      <c r="D4" s="6" t="s">
        <v>918</v>
      </c>
      <c r="E4" s="6" t="s">
        <v>919</v>
      </c>
      <c r="F4" s="6">
        <v>98121</v>
      </c>
      <c r="G4" s="6"/>
      <c r="H4" s="6"/>
      <c r="I4" s="7" t="s">
        <v>190</v>
      </c>
    </row>
    <row r="5" ht="22.15" customHeight="1" spans="1:8">
      <c r="A5" s="6">
        <v>2</v>
      </c>
      <c r="B5" s="6" t="s">
        <v>920</v>
      </c>
      <c r="C5" s="6" t="s">
        <v>921</v>
      </c>
      <c r="D5" s="6" t="s">
        <v>922</v>
      </c>
      <c r="E5" s="6" t="s">
        <v>923</v>
      </c>
      <c r="F5" s="6">
        <v>18105</v>
      </c>
      <c r="G5" s="6"/>
      <c r="H5" s="6"/>
    </row>
    <row r="6" ht="22.15" customHeight="1" spans="1:8">
      <c r="A6" s="6">
        <v>3</v>
      </c>
      <c r="B6" s="6" t="s">
        <v>480</v>
      </c>
      <c r="C6" s="6" t="s">
        <v>924</v>
      </c>
      <c r="D6" s="6" t="s">
        <v>922</v>
      </c>
      <c r="E6" s="6" t="s">
        <v>923</v>
      </c>
      <c r="F6" s="6" t="s">
        <v>925</v>
      </c>
      <c r="G6" s="6"/>
      <c r="H6" s="6"/>
    </row>
    <row r="7" ht="22.15" customHeight="1" spans="1:8">
      <c r="A7" s="6">
        <v>4</v>
      </c>
      <c r="B7" s="6" t="s">
        <v>539</v>
      </c>
      <c r="C7" s="6" t="s">
        <v>926</v>
      </c>
      <c r="D7" s="6" t="s">
        <v>922</v>
      </c>
      <c r="E7" s="6" t="s">
        <v>923</v>
      </c>
      <c r="F7" s="6" t="s">
        <v>927</v>
      </c>
      <c r="G7" s="6"/>
      <c r="H7" s="6"/>
    </row>
    <row r="8" ht="22.15" customHeight="1" spans="1:8">
      <c r="A8" s="6">
        <v>5</v>
      </c>
      <c r="B8" s="6" t="s">
        <v>540</v>
      </c>
      <c r="C8" s="6" t="s">
        <v>928</v>
      </c>
      <c r="D8" s="6" t="s">
        <v>929</v>
      </c>
      <c r="E8" s="6" t="s">
        <v>923</v>
      </c>
      <c r="F8" s="6">
        <v>18045</v>
      </c>
      <c r="G8" s="6"/>
      <c r="H8" s="6"/>
    </row>
    <row r="9" ht="22.15" customHeight="1" spans="1:8">
      <c r="A9" s="6">
        <v>6</v>
      </c>
      <c r="B9" s="6" t="s">
        <v>930</v>
      </c>
      <c r="C9" s="6" t="s">
        <v>931</v>
      </c>
      <c r="D9" s="6" t="s">
        <v>932</v>
      </c>
      <c r="E9" s="6" t="s">
        <v>923</v>
      </c>
      <c r="F9" s="6">
        <v>17112</v>
      </c>
      <c r="G9" s="6"/>
      <c r="H9" s="6"/>
    </row>
    <row r="10" ht="22.15" customHeight="1" spans="1:8">
      <c r="A10" s="6">
        <v>7</v>
      </c>
      <c r="B10" s="6" t="s">
        <v>933</v>
      </c>
      <c r="C10" s="6" t="s">
        <v>934</v>
      </c>
      <c r="D10" s="6" t="s">
        <v>935</v>
      </c>
      <c r="E10" s="6" t="s">
        <v>936</v>
      </c>
      <c r="F10" s="6">
        <v>91752</v>
      </c>
      <c r="G10" s="6"/>
      <c r="H10" s="6"/>
    </row>
    <row r="11" ht="22.15" customHeight="1" spans="1:8">
      <c r="A11" s="6">
        <v>8</v>
      </c>
      <c r="B11" s="6" t="s">
        <v>481</v>
      </c>
      <c r="C11" s="6" t="s">
        <v>937</v>
      </c>
      <c r="D11" s="6" t="s">
        <v>938</v>
      </c>
      <c r="E11" s="6" t="s">
        <v>939</v>
      </c>
      <c r="F11" s="6">
        <v>8518</v>
      </c>
      <c r="G11" s="6"/>
      <c r="H11" s="6"/>
    </row>
    <row r="12" ht="22.15" customHeight="1" spans="1:8">
      <c r="A12" s="6">
        <v>9</v>
      </c>
      <c r="B12" s="6" t="s">
        <v>940</v>
      </c>
      <c r="C12" s="6" t="s">
        <v>941</v>
      </c>
      <c r="D12" s="6" t="s">
        <v>932</v>
      </c>
      <c r="E12" s="6" t="s">
        <v>923</v>
      </c>
      <c r="F12" s="6">
        <v>17112</v>
      </c>
      <c r="G12" s="6"/>
      <c r="H12" s="6"/>
    </row>
    <row r="13" ht="22.15" customHeight="1" spans="1:8">
      <c r="A13" s="6">
        <v>10</v>
      </c>
      <c r="B13" s="6" t="s">
        <v>942</v>
      </c>
      <c r="C13" s="6" t="s">
        <v>943</v>
      </c>
      <c r="D13" s="6" t="s">
        <v>944</v>
      </c>
      <c r="E13" s="6" t="s">
        <v>939</v>
      </c>
      <c r="F13" s="6">
        <v>7608</v>
      </c>
      <c r="G13" s="6">
        <v>617000</v>
      </c>
      <c r="H13" s="6" t="s">
        <v>945</v>
      </c>
    </row>
    <row r="14" ht="22.15" customHeight="1" spans="1:8">
      <c r="A14" s="6">
        <v>11</v>
      </c>
      <c r="B14" s="6" t="s">
        <v>946</v>
      </c>
      <c r="C14" s="6" t="s">
        <v>947</v>
      </c>
      <c r="D14" s="6" t="s">
        <v>948</v>
      </c>
      <c r="E14" s="6" t="s">
        <v>939</v>
      </c>
      <c r="F14" s="6">
        <v>8066</v>
      </c>
      <c r="G14" s="6"/>
      <c r="H14" s="6"/>
    </row>
    <row r="15" ht="22.15" customHeight="1" spans="1:8">
      <c r="A15" s="6">
        <v>12</v>
      </c>
      <c r="B15" s="6" t="s">
        <v>551</v>
      </c>
      <c r="C15" s="6" t="s">
        <v>949</v>
      </c>
      <c r="D15" s="6" t="s">
        <v>950</v>
      </c>
      <c r="E15" s="6" t="s">
        <v>939</v>
      </c>
      <c r="F15" s="6" t="s">
        <v>951</v>
      </c>
      <c r="G15" s="6"/>
      <c r="H15" s="6"/>
    </row>
    <row r="16" ht="22.15" customHeight="1" spans="1:8">
      <c r="A16" s="6">
        <v>13</v>
      </c>
      <c r="B16" s="6" t="s">
        <v>952</v>
      </c>
      <c r="C16" s="6" t="s">
        <v>953</v>
      </c>
      <c r="D16" s="6" t="s">
        <v>954</v>
      </c>
      <c r="E16" s="6" t="s">
        <v>939</v>
      </c>
      <c r="F16" s="6">
        <v>8085</v>
      </c>
      <c r="G16" s="6">
        <v>202900</v>
      </c>
      <c r="H16" s="6" t="s">
        <v>955</v>
      </c>
    </row>
    <row r="17" ht="22.15" customHeight="1" spans="1:8">
      <c r="A17" s="6">
        <v>14</v>
      </c>
      <c r="B17" s="6" t="s">
        <v>956</v>
      </c>
      <c r="C17" s="6" t="s">
        <v>957</v>
      </c>
      <c r="D17" s="6" t="s">
        <v>950</v>
      </c>
      <c r="E17" s="6" t="s">
        <v>939</v>
      </c>
      <c r="F17" s="6">
        <v>8016</v>
      </c>
      <c r="G17" s="6"/>
      <c r="H17" s="6"/>
    </row>
    <row r="18" ht="22.15" customHeight="1" spans="1:8">
      <c r="A18" s="6">
        <v>15</v>
      </c>
      <c r="B18" s="6" t="s">
        <v>958</v>
      </c>
      <c r="C18" s="6" t="s">
        <v>959</v>
      </c>
      <c r="D18" s="6" t="s">
        <v>960</v>
      </c>
      <c r="E18" s="6" t="s">
        <v>961</v>
      </c>
      <c r="F18" s="6">
        <v>30567</v>
      </c>
      <c r="G18" s="6"/>
      <c r="H18" s="6"/>
    </row>
    <row r="19" ht="22.15" customHeight="1" spans="1:8">
      <c r="A19" s="6">
        <v>16</v>
      </c>
      <c r="B19" s="6" t="s">
        <v>962</v>
      </c>
      <c r="C19" s="6" t="s">
        <v>963</v>
      </c>
      <c r="D19" s="6" t="s">
        <v>964</v>
      </c>
      <c r="E19" s="6" t="s">
        <v>965</v>
      </c>
      <c r="F19" s="6" t="s">
        <v>966</v>
      </c>
      <c r="G19" s="6"/>
      <c r="H19" s="6"/>
    </row>
    <row r="20" ht="22.15" customHeight="1" spans="1:8">
      <c r="A20" s="6">
        <v>17</v>
      </c>
      <c r="B20" s="6" t="s">
        <v>488</v>
      </c>
      <c r="C20" s="6" t="s">
        <v>967</v>
      </c>
      <c r="D20" s="6" t="s">
        <v>968</v>
      </c>
      <c r="E20" s="6" t="s">
        <v>969</v>
      </c>
      <c r="F20" s="6">
        <v>12033</v>
      </c>
      <c r="G20" s="6"/>
      <c r="H20" s="6"/>
    </row>
    <row r="21" ht="22.15" customHeight="1" spans="1:8">
      <c r="A21" s="6">
        <v>18</v>
      </c>
      <c r="B21" s="6" t="s">
        <v>970</v>
      </c>
      <c r="C21" s="6" t="s">
        <v>971</v>
      </c>
      <c r="D21" s="6" t="s">
        <v>972</v>
      </c>
      <c r="E21" s="6" t="s">
        <v>961</v>
      </c>
      <c r="F21" s="6">
        <v>30517</v>
      </c>
      <c r="G21" s="6">
        <v>600000</v>
      </c>
      <c r="H21" s="6" t="s">
        <v>973</v>
      </c>
    </row>
    <row r="22" ht="22.15" customHeight="1" spans="1:8">
      <c r="A22" s="6">
        <v>19</v>
      </c>
      <c r="B22" s="6" t="s">
        <v>974</v>
      </c>
      <c r="C22" s="6" t="s">
        <v>975</v>
      </c>
      <c r="D22" s="6" t="s">
        <v>976</v>
      </c>
      <c r="E22" s="6" t="s">
        <v>919</v>
      </c>
      <c r="F22" s="6">
        <v>98032</v>
      </c>
      <c r="G22" s="6"/>
      <c r="H22" s="6"/>
    </row>
    <row r="23" ht="22.15" customHeight="1" spans="1:8">
      <c r="A23" s="6">
        <v>20</v>
      </c>
      <c r="B23" s="6" t="s">
        <v>598</v>
      </c>
      <c r="C23" s="6" t="s">
        <v>977</v>
      </c>
      <c r="D23" s="6" t="s">
        <v>978</v>
      </c>
      <c r="E23" s="6" t="s">
        <v>961</v>
      </c>
      <c r="F23" s="6">
        <v>30087</v>
      </c>
      <c r="G23" s="6"/>
      <c r="H23" s="6"/>
    </row>
    <row r="24" ht="22.15" customHeight="1" spans="1:8">
      <c r="A24" s="6">
        <v>21</v>
      </c>
      <c r="B24" s="6" t="s">
        <v>602</v>
      </c>
      <c r="C24" s="6" t="s">
        <v>979</v>
      </c>
      <c r="D24" s="6" t="s">
        <v>980</v>
      </c>
      <c r="E24" s="6" t="s">
        <v>961</v>
      </c>
      <c r="F24" s="6">
        <v>30344</v>
      </c>
      <c r="G24" s="6">
        <v>301200</v>
      </c>
      <c r="H24" s="6" t="s">
        <v>981</v>
      </c>
    </row>
    <row r="25" ht="22.15" customHeight="1" spans="1:8">
      <c r="A25" s="6">
        <v>22</v>
      </c>
      <c r="B25" s="6" t="s">
        <v>604</v>
      </c>
      <c r="C25" s="6" t="s">
        <v>982</v>
      </c>
      <c r="D25" s="6" t="s">
        <v>983</v>
      </c>
      <c r="E25" s="6" t="s">
        <v>961</v>
      </c>
      <c r="F25" s="6" t="s">
        <v>984</v>
      </c>
      <c r="G25" s="6"/>
      <c r="H25" s="6"/>
    </row>
    <row r="26" ht="22.15" customHeight="1" spans="1:8">
      <c r="A26" s="6">
        <v>23</v>
      </c>
      <c r="B26" s="6" t="s">
        <v>573</v>
      </c>
      <c r="C26" s="6" t="s">
        <v>985</v>
      </c>
      <c r="D26" s="6" t="s">
        <v>986</v>
      </c>
      <c r="E26" s="6" t="s">
        <v>961</v>
      </c>
      <c r="F26" s="6" t="s">
        <v>987</v>
      </c>
      <c r="G26" s="6"/>
      <c r="H26" s="6"/>
    </row>
    <row r="27" ht="22.15" customHeight="1" spans="1:8">
      <c r="A27" s="6">
        <v>24</v>
      </c>
      <c r="B27" s="6" t="s">
        <v>988</v>
      </c>
      <c r="C27" s="6" t="s">
        <v>989</v>
      </c>
      <c r="D27" s="6" t="s">
        <v>990</v>
      </c>
      <c r="E27" s="6" t="s">
        <v>961</v>
      </c>
      <c r="F27" s="6">
        <v>30096</v>
      </c>
      <c r="G27" s="6"/>
      <c r="H27" s="6"/>
    </row>
    <row r="28" ht="22.15" customHeight="1" spans="1:8">
      <c r="A28" s="6">
        <v>25</v>
      </c>
      <c r="B28" s="6" t="s">
        <v>484</v>
      </c>
      <c r="C28" s="6" t="s">
        <v>991</v>
      </c>
      <c r="D28" s="6" t="s">
        <v>992</v>
      </c>
      <c r="E28" s="6" t="s">
        <v>923</v>
      </c>
      <c r="F28" s="6" t="s">
        <v>993</v>
      </c>
      <c r="G28" s="6"/>
      <c r="H28" s="6"/>
    </row>
    <row r="29" ht="22.15" customHeight="1" spans="1:8">
      <c r="A29" s="6">
        <v>26</v>
      </c>
      <c r="B29" s="6" t="s">
        <v>994</v>
      </c>
      <c r="C29" s="6" t="s">
        <v>995</v>
      </c>
      <c r="D29" s="6" t="s">
        <v>996</v>
      </c>
      <c r="E29" s="6" t="s">
        <v>923</v>
      </c>
      <c r="F29" s="6">
        <v>18424</v>
      </c>
      <c r="G29" s="6">
        <v>500000</v>
      </c>
      <c r="H29" s="6" t="s">
        <v>997</v>
      </c>
    </row>
    <row r="30" ht="22.15" customHeight="1" spans="1:8">
      <c r="A30" s="6">
        <v>27</v>
      </c>
      <c r="B30" s="6" t="s">
        <v>485</v>
      </c>
      <c r="C30" s="6" t="s">
        <v>995</v>
      </c>
      <c r="D30" s="6" t="s">
        <v>996</v>
      </c>
      <c r="E30" s="6" t="s">
        <v>923</v>
      </c>
      <c r="F30" s="6" t="s">
        <v>998</v>
      </c>
      <c r="G30" s="6"/>
      <c r="H30" s="6"/>
    </row>
    <row r="31" ht="22.15" customHeight="1" spans="1:8">
      <c r="A31" s="6">
        <v>28</v>
      </c>
      <c r="B31" s="6" t="s">
        <v>999</v>
      </c>
      <c r="C31" s="6" t="s">
        <v>1000</v>
      </c>
      <c r="D31" s="6" t="s">
        <v>1001</v>
      </c>
      <c r="E31" s="6" t="s">
        <v>923</v>
      </c>
      <c r="F31" s="6" t="s">
        <v>1002</v>
      </c>
      <c r="G31" s="6"/>
      <c r="H31" s="6"/>
    </row>
    <row r="32" ht="22.15" customHeight="1" spans="1:8">
      <c r="A32" s="6">
        <v>29</v>
      </c>
      <c r="B32" s="6" t="s">
        <v>1003</v>
      </c>
      <c r="C32" s="6" t="s">
        <v>1004</v>
      </c>
      <c r="D32" s="6" t="s">
        <v>1001</v>
      </c>
      <c r="E32" s="6" t="s">
        <v>923</v>
      </c>
      <c r="F32" s="6" t="s">
        <v>1005</v>
      </c>
      <c r="G32" s="6"/>
      <c r="H32" s="6"/>
    </row>
    <row r="33" ht="22.15" customHeight="1" spans="1:8">
      <c r="A33" s="6">
        <v>30</v>
      </c>
      <c r="B33" s="6" t="s">
        <v>1006</v>
      </c>
      <c r="C33" s="6" t="s">
        <v>1007</v>
      </c>
      <c r="D33" s="6" t="s">
        <v>1008</v>
      </c>
      <c r="E33" s="6" t="s">
        <v>1009</v>
      </c>
      <c r="F33" s="6">
        <v>85043</v>
      </c>
      <c r="G33" s="6"/>
      <c r="H33" s="6"/>
    </row>
    <row r="34" ht="22.15" customHeight="1" spans="1:8">
      <c r="A34" s="6">
        <v>31</v>
      </c>
      <c r="B34" s="6" t="s">
        <v>1010</v>
      </c>
      <c r="C34" s="6" t="s">
        <v>1011</v>
      </c>
      <c r="D34" s="6" t="s">
        <v>1008</v>
      </c>
      <c r="E34" s="6" t="s">
        <v>1009</v>
      </c>
      <c r="F34" s="6">
        <v>85043</v>
      </c>
      <c r="G34" s="6"/>
      <c r="H34" s="6"/>
    </row>
    <row r="35" ht="22.15" customHeight="1" spans="1:8">
      <c r="A35" s="6">
        <v>32</v>
      </c>
      <c r="B35" s="6" t="s">
        <v>1012</v>
      </c>
      <c r="C35" s="6" t="s">
        <v>1013</v>
      </c>
      <c r="D35" s="6" t="s">
        <v>1008</v>
      </c>
      <c r="E35" s="6" t="s">
        <v>1009</v>
      </c>
      <c r="F35" s="6">
        <v>85034</v>
      </c>
      <c r="G35" s="6"/>
      <c r="H35" s="6"/>
    </row>
    <row r="36" ht="22.15" customHeight="1" spans="1:8">
      <c r="A36" s="6">
        <v>33</v>
      </c>
      <c r="B36" s="6" t="s">
        <v>1014</v>
      </c>
      <c r="C36" s="6" t="s">
        <v>1015</v>
      </c>
      <c r="D36" s="6" t="s">
        <v>1016</v>
      </c>
      <c r="E36" s="6" t="s">
        <v>1017</v>
      </c>
      <c r="F36" s="6">
        <v>6095</v>
      </c>
      <c r="G36" s="6"/>
      <c r="H36" s="6"/>
    </row>
    <row r="37" ht="22.15" customHeight="1" spans="1:8">
      <c r="A37" s="6">
        <v>34</v>
      </c>
      <c r="B37" s="6" t="s">
        <v>1018</v>
      </c>
      <c r="C37" s="6" t="s">
        <v>1015</v>
      </c>
      <c r="D37" s="6" t="s">
        <v>1016</v>
      </c>
      <c r="E37" s="6" t="s">
        <v>1017</v>
      </c>
      <c r="F37" s="6">
        <v>6095</v>
      </c>
      <c r="G37" s="6"/>
      <c r="H37" s="6"/>
    </row>
    <row r="38" ht="22.15" customHeight="1" spans="1:8">
      <c r="A38" s="6">
        <v>35</v>
      </c>
      <c r="B38" s="6" t="s">
        <v>1019</v>
      </c>
      <c r="C38" s="6" t="s">
        <v>1020</v>
      </c>
      <c r="D38" s="6" t="s">
        <v>1021</v>
      </c>
      <c r="E38" s="6" t="s">
        <v>1017</v>
      </c>
      <c r="F38" s="6">
        <v>6473</v>
      </c>
      <c r="G38" s="6"/>
      <c r="H38" s="6"/>
    </row>
    <row r="39" ht="22.15" customHeight="1" spans="1:8">
      <c r="A39" s="6">
        <v>36</v>
      </c>
      <c r="B39" s="6" t="s">
        <v>1022</v>
      </c>
      <c r="C39" s="6" t="s">
        <v>1023</v>
      </c>
      <c r="D39" s="6" t="s">
        <v>1024</v>
      </c>
      <c r="E39" s="6" t="s">
        <v>1017</v>
      </c>
      <c r="F39" s="6">
        <v>6492</v>
      </c>
      <c r="G39" s="6">
        <v>184100</v>
      </c>
      <c r="H39" s="6" t="s">
        <v>1025</v>
      </c>
    </row>
    <row r="40" ht="22.15" customHeight="1" spans="1:8">
      <c r="A40" s="6">
        <v>37</v>
      </c>
      <c r="B40" s="6" t="s">
        <v>1026</v>
      </c>
      <c r="C40" s="6" t="s">
        <v>1027</v>
      </c>
      <c r="D40" s="6" t="s">
        <v>1028</v>
      </c>
      <c r="E40" s="6" t="s">
        <v>1017</v>
      </c>
      <c r="F40" s="6">
        <v>6416</v>
      </c>
      <c r="G40" s="6"/>
      <c r="H40" s="6"/>
    </row>
    <row r="41" ht="22.15" customHeight="1" spans="1:8">
      <c r="A41" s="6">
        <v>38</v>
      </c>
      <c r="B41" s="6" t="s">
        <v>1029</v>
      </c>
      <c r="C41" s="6" t="s">
        <v>1030</v>
      </c>
      <c r="D41" s="6" t="s">
        <v>1031</v>
      </c>
      <c r="E41" s="6" t="s">
        <v>936</v>
      </c>
      <c r="F41" s="6">
        <v>94720</v>
      </c>
      <c r="G41" s="6"/>
      <c r="H41" s="6"/>
    </row>
    <row r="42" ht="22.15" customHeight="1" spans="1:8">
      <c r="A42" s="6">
        <v>39</v>
      </c>
      <c r="B42" s="6" t="s">
        <v>1032</v>
      </c>
      <c r="C42" s="6" t="s">
        <v>1033</v>
      </c>
      <c r="D42" s="6" t="s">
        <v>1034</v>
      </c>
      <c r="E42" s="6" t="s">
        <v>939</v>
      </c>
      <c r="F42" s="6" t="s">
        <v>1035</v>
      </c>
      <c r="G42" s="6"/>
      <c r="H42" s="6"/>
    </row>
    <row r="43" ht="22.15" customHeight="1" spans="1:8">
      <c r="A43" s="6">
        <v>40</v>
      </c>
      <c r="B43" s="6" t="s">
        <v>1036</v>
      </c>
      <c r="C43" s="6" t="s">
        <v>1037</v>
      </c>
      <c r="D43" s="6" t="s">
        <v>1038</v>
      </c>
      <c r="E43" s="6" t="s">
        <v>919</v>
      </c>
      <c r="F43" s="6" t="s">
        <v>1039</v>
      </c>
      <c r="G43" s="6"/>
      <c r="H43" s="6"/>
    </row>
    <row r="44" ht="22.15" customHeight="1" spans="1:8">
      <c r="A44" s="6">
        <v>41</v>
      </c>
      <c r="B44" s="6" t="s">
        <v>1040</v>
      </c>
      <c r="C44" s="6" t="s">
        <v>1041</v>
      </c>
      <c r="D44" s="6" t="s">
        <v>1042</v>
      </c>
      <c r="E44" s="6" t="s">
        <v>919</v>
      </c>
      <c r="F44" s="6" t="s">
        <v>1043</v>
      </c>
      <c r="G44" s="6"/>
      <c r="H44" s="6"/>
    </row>
    <row r="45" ht="22.15" customHeight="1" spans="1:8">
      <c r="A45" s="6">
        <v>42</v>
      </c>
      <c r="B45" s="6" t="s">
        <v>1044</v>
      </c>
      <c r="C45" s="6" t="s">
        <v>1045</v>
      </c>
      <c r="D45" s="6" t="s">
        <v>976</v>
      </c>
      <c r="E45" s="6" t="s">
        <v>919</v>
      </c>
      <c r="F45" s="6">
        <v>98032</v>
      </c>
      <c r="G45" s="6"/>
      <c r="H45" s="6"/>
    </row>
    <row r="46" ht="22.15" customHeight="1" spans="1:8">
      <c r="A46" s="6">
        <v>43</v>
      </c>
      <c r="B46" s="6" t="s">
        <v>1046</v>
      </c>
      <c r="C46" s="6" t="s">
        <v>1047</v>
      </c>
      <c r="D46" s="6" t="s">
        <v>976</v>
      </c>
      <c r="E46" s="6" t="s">
        <v>919</v>
      </c>
      <c r="F46" s="6">
        <v>98032</v>
      </c>
      <c r="G46" s="6">
        <v>318200</v>
      </c>
      <c r="H46" s="6" t="s">
        <v>1048</v>
      </c>
    </row>
    <row r="47" ht="22.15" customHeight="1" spans="1:8">
      <c r="A47" s="6">
        <v>44</v>
      </c>
      <c r="B47" s="6" t="s">
        <v>1049</v>
      </c>
      <c r="C47" s="6" t="s">
        <v>1050</v>
      </c>
      <c r="D47" s="6" t="s">
        <v>976</v>
      </c>
      <c r="E47" s="6" t="s">
        <v>919</v>
      </c>
      <c r="F47" s="6">
        <v>98032</v>
      </c>
      <c r="G47" s="6"/>
      <c r="H47" s="6"/>
    </row>
    <row r="48" ht="22.15" customHeight="1" spans="1:8">
      <c r="A48" s="6">
        <v>45</v>
      </c>
      <c r="B48" s="6" t="s">
        <v>435</v>
      </c>
      <c r="C48" s="6" t="s">
        <v>1051</v>
      </c>
      <c r="D48" s="6" t="s">
        <v>1038</v>
      </c>
      <c r="E48" s="6" t="s">
        <v>919</v>
      </c>
      <c r="F48" s="6">
        <v>98390</v>
      </c>
      <c r="G48" s="6"/>
      <c r="H48" s="6"/>
    </row>
    <row r="49" ht="22.15" customHeight="1" spans="1:8">
      <c r="A49" s="6">
        <v>46</v>
      </c>
      <c r="B49" s="6" t="s">
        <v>1052</v>
      </c>
      <c r="C49" s="6" t="s">
        <v>1053</v>
      </c>
      <c r="D49" s="6" t="s">
        <v>1054</v>
      </c>
      <c r="E49" s="6" t="s">
        <v>919</v>
      </c>
      <c r="F49" s="6">
        <v>98198</v>
      </c>
      <c r="G49" s="6"/>
      <c r="H49" s="6"/>
    </row>
    <row r="50" ht="22.15" customHeight="1" spans="1:8">
      <c r="A50" s="6">
        <v>47</v>
      </c>
      <c r="B50" s="6" t="s">
        <v>1055</v>
      </c>
      <c r="C50" s="6" t="s">
        <v>1056</v>
      </c>
      <c r="D50" s="6" t="s">
        <v>1038</v>
      </c>
      <c r="E50" s="6" t="s">
        <v>919</v>
      </c>
      <c r="F50" s="6" t="s">
        <v>1039</v>
      </c>
      <c r="G50" s="6"/>
      <c r="H50" s="6"/>
    </row>
    <row r="51" ht="22.15" customHeight="1" spans="1:8">
      <c r="A51" s="6">
        <v>48</v>
      </c>
      <c r="B51" s="6" t="s">
        <v>1057</v>
      </c>
      <c r="C51" s="6" t="s">
        <v>1058</v>
      </c>
      <c r="D51" s="6" t="s">
        <v>1059</v>
      </c>
      <c r="E51" s="6" t="s">
        <v>936</v>
      </c>
      <c r="F51" s="6">
        <v>93308</v>
      </c>
      <c r="G51" s="6"/>
      <c r="H51" s="6"/>
    </row>
    <row r="52" ht="22.15" customHeight="1" spans="1:8">
      <c r="A52" s="6">
        <v>49</v>
      </c>
      <c r="B52" s="6" t="s">
        <v>1060</v>
      </c>
      <c r="C52" s="6" t="s">
        <v>1061</v>
      </c>
      <c r="D52" s="6" t="s">
        <v>1062</v>
      </c>
      <c r="E52" s="6" t="s">
        <v>1063</v>
      </c>
      <c r="F52" s="6">
        <v>35022</v>
      </c>
      <c r="G52" s="6"/>
      <c r="H52" s="6"/>
    </row>
    <row r="53" ht="22.15" customHeight="1" spans="1:8">
      <c r="A53" s="6">
        <v>50</v>
      </c>
      <c r="B53" s="6" t="s">
        <v>1064</v>
      </c>
      <c r="C53" s="6" t="s">
        <v>1065</v>
      </c>
      <c r="D53" s="6" t="s">
        <v>1059</v>
      </c>
      <c r="E53" s="6" t="s">
        <v>936</v>
      </c>
      <c r="F53" s="6">
        <v>93308</v>
      </c>
      <c r="G53" s="6"/>
      <c r="H53" s="6"/>
    </row>
    <row r="54" ht="22.15" customHeight="1" spans="1:8">
      <c r="A54" s="6">
        <v>51</v>
      </c>
      <c r="B54" s="6" t="s">
        <v>1066</v>
      </c>
      <c r="C54" s="6" t="s">
        <v>1067</v>
      </c>
      <c r="D54" s="6" t="s">
        <v>1068</v>
      </c>
      <c r="E54" s="6" t="s">
        <v>1069</v>
      </c>
      <c r="F54" s="6" t="s">
        <v>1070</v>
      </c>
      <c r="G54" s="6"/>
      <c r="H54" s="6"/>
    </row>
    <row r="55" ht="22.15" customHeight="1" spans="1:8">
      <c r="A55" s="6">
        <v>52</v>
      </c>
      <c r="B55" s="6" t="s">
        <v>452</v>
      </c>
      <c r="C55" s="6" t="s">
        <v>1071</v>
      </c>
      <c r="D55" s="6" t="s">
        <v>1068</v>
      </c>
      <c r="E55" s="6" t="s">
        <v>1069</v>
      </c>
      <c r="F55" s="6" t="s">
        <v>1072</v>
      </c>
      <c r="G55" s="6"/>
      <c r="H55" s="6"/>
    </row>
    <row r="56" ht="22.15" customHeight="1" spans="1:8">
      <c r="A56" s="6">
        <v>53</v>
      </c>
      <c r="B56" s="6" t="s">
        <v>1073</v>
      </c>
      <c r="C56" s="6" t="s">
        <v>1074</v>
      </c>
      <c r="D56" s="6" t="s">
        <v>1075</v>
      </c>
      <c r="E56" s="6" t="s">
        <v>1069</v>
      </c>
      <c r="F56" s="6" t="s">
        <v>1076</v>
      </c>
      <c r="G56" s="6"/>
      <c r="H56" s="6"/>
    </row>
    <row r="57" ht="22.15" customHeight="1" spans="1:8">
      <c r="A57" s="6">
        <v>54</v>
      </c>
      <c r="B57" s="6" t="s">
        <v>1077</v>
      </c>
      <c r="C57" s="6" t="s">
        <v>1078</v>
      </c>
      <c r="D57" s="6" t="s">
        <v>1079</v>
      </c>
      <c r="E57" s="6" t="s">
        <v>1069</v>
      </c>
      <c r="F57" s="6">
        <v>37217</v>
      </c>
      <c r="G57" s="6"/>
      <c r="H57" s="6"/>
    </row>
    <row r="58" ht="22.15" customHeight="1" spans="1:8">
      <c r="A58" s="6">
        <v>55</v>
      </c>
      <c r="B58" s="6" t="s">
        <v>1080</v>
      </c>
      <c r="C58" s="6" t="s">
        <v>1078</v>
      </c>
      <c r="D58" s="6" t="s">
        <v>1079</v>
      </c>
      <c r="E58" s="6" t="s">
        <v>1069</v>
      </c>
      <c r="F58" s="6">
        <v>37217</v>
      </c>
      <c r="G58" s="6">
        <v>214000</v>
      </c>
      <c r="H58" s="6" t="s">
        <v>1081</v>
      </c>
    </row>
    <row r="59" ht="22.15" customHeight="1" spans="1:8">
      <c r="A59" s="6">
        <v>56</v>
      </c>
      <c r="B59" s="6" t="s">
        <v>1082</v>
      </c>
      <c r="C59" s="6" t="s">
        <v>1083</v>
      </c>
      <c r="D59" s="6" t="s">
        <v>1084</v>
      </c>
      <c r="E59" s="6" t="s">
        <v>1069</v>
      </c>
      <c r="F59" s="6">
        <v>37086</v>
      </c>
      <c r="G59" s="6"/>
      <c r="H59" s="6"/>
    </row>
    <row r="60" ht="22.15" customHeight="1" spans="1:8">
      <c r="A60" s="6">
        <v>57</v>
      </c>
      <c r="B60" s="6" t="s">
        <v>1085</v>
      </c>
      <c r="C60" s="6" t="s">
        <v>1086</v>
      </c>
      <c r="D60" s="6" t="s">
        <v>1087</v>
      </c>
      <c r="E60" s="6" t="s">
        <v>1088</v>
      </c>
      <c r="F60" s="6">
        <v>86387</v>
      </c>
      <c r="G60" s="6"/>
      <c r="H60" s="6"/>
    </row>
    <row r="61" ht="22.15" customHeight="1" spans="1:8">
      <c r="A61" s="6">
        <v>58</v>
      </c>
      <c r="B61" s="6" t="s">
        <v>1089</v>
      </c>
      <c r="C61" s="6" t="s">
        <v>1090</v>
      </c>
      <c r="D61" s="6" t="s">
        <v>1091</v>
      </c>
      <c r="E61" s="6" t="s">
        <v>1092</v>
      </c>
      <c r="F61" s="6">
        <v>3063</v>
      </c>
      <c r="G61" s="6">
        <v>63750</v>
      </c>
      <c r="H61" s="6" t="s">
        <v>1093</v>
      </c>
    </row>
    <row r="62" ht="22.15" customHeight="1" spans="1:8">
      <c r="A62" s="6">
        <v>59</v>
      </c>
      <c r="B62" s="6" t="s">
        <v>1094</v>
      </c>
      <c r="C62" s="6"/>
      <c r="D62" s="6" t="s">
        <v>1095</v>
      </c>
      <c r="E62" s="6" t="s">
        <v>1096</v>
      </c>
      <c r="F62" s="6">
        <v>2720</v>
      </c>
      <c r="G62" s="6"/>
      <c r="H62" s="6"/>
    </row>
    <row r="63" ht="22.15" customHeight="1" spans="1:8">
      <c r="A63" s="6">
        <v>60</v>
      </c>
      <c r="B63" s="6" t="s">
        <v>1097</v>
      </c>
      <c r="C63" s="6" t="s">
        <v>1098</v>
      </c>
      <c r="D63" s="6" t="s">
        <v>1099</v>
      </c>
      <c r="E63" s="6" t="s">
        <v>1096</v>
      </c>
      <c r="F63" s="6">
        <v>1757</v>
      </c>
      <c r="G63" s="6"/>
      <c r="H63" s="6"/>
    </row>
    <row r="64" ht="22.15" customHeight="1" spans="1:8">
      <c r="A64" s="6">
        <v>61</v>
      </c>
      <c r="B64" s="6" t="s">
        <v>1100</v>
      </c>
      <c r="C64" s="6" t="s">
        <v>1101</v>
      </c>
      <c r="D64" s="6" t="s">
        <v>1102</v>
      </c>
      <c r="E64" s="6" t="s">
        <v>1096</v>
      </c>
      <c r="F64" s="6">
        <v>2072</v>
      </c>
      <c r="G64" s="6">
        <v>332700</v>
      </c>
      <c r="H64" s="6" t="s">
        <v>1103</v>
      </c>
    </row>
    <row r="65" ht="22.15" customHeight="1" spans="1:8">
      <c r="A65" s="6">
        <v>62</v>
      </c>
      <c r="B65" s="6" t="s">
        <v>1104</v>
      </c>
      <c r="C65" s="6" t="s">
        <v>1105</v>
      </c>
      <c r="D65" s="6" t="s">
        <v>1106</v>
      </c>
      <c r="E65" s="6" t="s">
        <v>1096</v>
      </c>
      <c r="F65" s="6" t="s">
        <v>1107</v>
      </c>
      <c r="G65" s="6"/>
      <c r="H65" s="6"/>
    </row>
    <row r="66" ht="22.15" customHeight="1" spans="1:8">
      <c r="A66" s="6">
        <v>63</v>
      </c>
      <c r="B66" s="6" t="s">
        <v>491</v>
      </c>
      <c r="C66" s="6" t="s">
        <v>1108</v>
      </c>
      <c r="D66" s="6" t="s">
        <v>1095</v>
      </c>
      <c r="E66" s="6" t="s">
        <v>1096</v>
      </c>
      <c r="F66" s="6">
        <v>2720</v>
      </c>
      <c r="G66" s="6"/>
      <c r="H66" s="6"/>
    </row>
    <row r="67" ht="22.15" customHeight="1" spans="1:8">
      <c r="A67" s="6">
        <v>64</v>
      </c>
      <c r="B67" s="6" t="s">
        <v>1109</v>
      </c>
      <c r="C67" s="6" t="s">
        <v>1110</v>
      </c>
      <c r="D67" s="6" t="s">
        <v>1111</v>
      </c>
      <c r="E67" s="6" t="s">
        <v>1096</v>
      </c>
      <c r="F67" s="6">
        <v>2215</v>
      </c>
      <c r="G67" s="6"/>
      <c r="H67" s="6"/>
    </row>
    <row r="68" ht="22.15" customHeight="1" spans="1:8">
      <c r="A68" s="6">
        <v>65</v>
      </c>
      <c r="B68" s="6" t="s">
        <v>1112</v>
      </c>
      <c r="C68" s="6" t="s">
        <v>1113</v>
      </c>
      <c r="D68" s="6" t="s">
        <v>1114</v>
      </c>
      <c r="E68" s="6" t="s">
        <v>1096</v>
      </c>
      <c r="F68" s="6" t="s">
        <v>1115</v>
      </c>
      <c r="G68" s="6"/>
      <c r="H68" s="6"/>
    </row>
    <row r="69" ht="22.15" customHeight="1" spans="1:8">
      <c r="A69" s="6">
        <v>66</v>
      </c>
      <c r="B69" s="6" t="s">
        <v>1116</v>
      </c>
      <c r="C69" s="6" t="s">
        <v>1117</v>
      </c>
      <c r="D69" s="6" t="s">
        <v>1118</v>
      </c>
      <c r="E69" s="6" t="s">
        <v>969</v>
      </c>
      <c r="F69" s="6">
        <v>14086</v>
      </c>
      <c r="G69" s="6"/>
      <c r="H69" s="6"/>
    </row>
    <row r="70" ht="22.15" customHeight="1" spans="1:8">
      <c r="A70" s="6">
        <v>67</v>
      </c>
      <c r="B70" s="6" t="s">
        <v>1119</v>
      </c>
      <c r="C70" s="6" t="s">
        <v>1117</v>
      </c>
      <c r="D70" s="6" t="s">
        <v>1118</v>
      </c>
      <c r="E70" s="6" t="s">
        <v>969</v>
      </c>
      <c r="F70" s="6">
        <v>14086</v>
      </c>
      <c r="G70" s="6"/>
      <c r="H70" s="6"/>
    </row>
    <row r="71" ht="22.15" customHeight="1" spans="1:8">
      <c r="A71" s="6">
        <v>68</v>
      </c>
      <c r="B71" s="6" t="s">
        <v>1120</v>
      </c>
      <c r="C71" s="6" t="s">
        <v>1121</v>
      </c>
      <c r="D71" s="6" t="s">
        <v>1122</v>
      </c>
      <c r="E71" s="6" t="s">
        <v>936</v>
      </c>
      <c r="F71" s="6">
        <v>90024</v>
      </c>
      <c r="G71" s="6"/>
      <c r="H71" s="6"/>
    </row>
    <row r="72" ht="22.15" customHeight="1" spans="1:8">
      <c r="A72" s="6">
        <v>69</v>
      </c>
      <c r="B72" s="6" t="s">
        <v>1123</v>
      </c>
      <c r="C72" s="6" t="s">
        <v>1124</v>
      </c>
      <c r="D72" s="6" t="s">
        <v>1125</v>
      </c>
      <c r="E72" s="6" t="s">
        <v>1126</v>
      </c>
      <c r="F72" s="6">
        <v>21224</v>
      </c>
      <c r="G72" s="6">
        <v>1017550</v>
      </c>
      <c r="H72" s="6" t="s">
        <v>1093</v>
      </c>
    </row>
    <row r="73" ht="22.15" customHeight="1" spans="1:8">
      <c r="A73" s="6">
        <v>70</v>
      </c>
      <c r="B73" s="6" t="s">
        <v>1127</v>
      </c>
      <c r="C73" s="6" t="s">
        <v>1128</v>
      </c>
      <c r="D73" s="6" t="s">
        <v>1129</v>
      </c>
      <c r="E73" s="6" t="s">
        <v>1130</v>
      </c>
      <c r="F73" s="6">
        <v>20166</v>
      </c>
      <c r="G73" s="6"/>
      <c r="H73" s="6"/>
    </row>
    <row r="74" ht="22.15" customHeight="1" spans="1:8">
      <c r="A74" s="6">
        <v>71</v>
      </c>
      <c r="B74" s="6" t="s">
        <v>1131</v>
      </c>
      <c r="C74" s="6" t="s">
        <v>1132</v>
      </c>
      <c r="D74" s="6" t="s">
        <v>1125</v>
      </c>
      <c r="E74" s="6" t="s">
        <v>1126</v>
      </c>
      <c r="F74" s="6">
        <v>21224</v>
      </c>
      <c r="G74" s="6"/>
      <c r="H74" s="6"/>
    </row>
    <row r="75" ht="22.15" customHeight="1" spans="1:8">
      <c r="A75" s="6">
        <v>72</v>
      </c>
      <c r="B75" s="6" t="s">
        <v>559</v>
      </c>
      <c r="C75" s="6" t="s">
        <v>1133</v>
      </c>
      <c r="D75" s="6" t="s">
        <v>1134</v>
      </c>
      <c r="E75" s="6" t="s">
        <v>1130</v>
      </c>
      <c r="F75" s="6">
        <v>22624</v>
      </c>
      <c r="G75" s="6"/>
      <c r="H75" s="6"/>
    </row>
    <row r="76" ht="22.15" customHeight="1" spans="1:8">
      <c r="A76" s="6">
        <v>73</v>
      </c>
      <c r="B76" s="6" t="s">
        <v>1135</v>
      </c>
      <c r="C76" s="6" t="s">
        <v>1136</v>
      </c>
      <c r="D76" s="6" t="s">
        <v>1125</v>
      </c>
      <c r="E76" s="6" t="s">
        <v>1126</v>
      </c>
      <c r="F76" s="6">
        <v>21224</v>
      </c>
      <c r="G76" s="6">
        <v>345000</v>
      </c>
      <c r="H76" s="6" t="s">
        <v>1137</v>
      </c>
    </row>
    <row r="77" ht="22.15" customHeight="1" spans="1:8">
      <c r="A77" s="6">
        <v>74</v>
      </c>
      <c r="B77" s="6" t="s">
        <v>1138</v>
      </c>
      <c r="C77" s="6" t="s">
        <v>1139</v>
      </c>
      <c r="D77" s="6" t="s">
        <v>1140</v>
      </c>
      <c r="E77" s="6" t="s">
        <v>1130</v>
      </c>
      <c r="F77" s="6" t="s">
        <v>1141</v>
      </c>
      <c r="G77" s="6"/>
      <c r="H77" s="6"/>
    </row>
    <row r="78" ht="22.15" customHeight="1" spans="1:8">
      <c r="A78" s="6">
        <v>75</v>
      </c>
      <c r="B78" s="6" t="s">
        <v>1142</v>
      </c>
      <c r="C78" s="6" t="s">
        <v>1143</v>
      </c>
      <c r="D78" s="6" t="s">
        <v>1144</v>
      </c>
      <c r="E78" s="6" t="s">
        <v>1145</v>
      </c>
      <c r="F78" s="6" t="s">
        <v>1146</v>
      </c>
      <c r="G78" s="6"/>
      <c r="H78" s="6"/>
    </row>
    <row r="79" ht="22.15" customHeight="1" spans="1:8">
      <c r="A79" s="6">
        <v>76</v>
      </c>
      <c r="B79" s="6" t="s">
        <v>1147</v>
      </c>
      <c r="C79" s="6" t="s">
        <v>1148</v>
      </c>
      <c r="D79" s="6" t="s">
        <v>1144</v>
      </c>
      <c r="E79" s="6" t="s">
        <v>1145</v>
      </c>
      <c r="F79" s="6">
        <v>29172</v>
      </c>
      <c r="G79" s="6"/>
      <c r="H79" s="6"/>
    </row>
    <row r="80" ht="22.15" customHeight="1" spans="1:8">
      <c r="A80" s="6">
        <v>77</v>
      </c>
      <c r="B80" s="6" t="s">
        <v>1149</v>
      </c>
      <c r="C80" s="6" t="s">
        <v>1150</v>
      </c>
      <c r="D80" s="6" t="s">
        <v>1151</v>
      </c>
      <c r="E80" s="6" t="s">
        <v>965</v>
      </c>
      <c r="F80" s="6">
        <v>44304</v>
      </c>
      <c r="G80" s="6"/>
      <c r="H80" s="6"/>
    </row>
    <row r="81" ht="22.15" customHeight="1" spans="1:8">
      <c r="A81" s="6">
        <v>78</v>
      </c>
      <c r="B81" s="6" t="s">
        <v>1152</v>
      </c>
      <c r="C81" s="6" t="s">
        <v>1153</v>
      </c>
      <c r="D81" s="6" t="s">
        <v>1154</v>
      </c>
      <c r="E81" s="6" t="s">
        <v>1155</v>
      </c>
      <c r="F81" s="6">
        <v>32816</v>
      </c>
      <c r="G81" s="6"/>
      <c r="H81" s="6"/>
    </row>
    <row r="82" ht="22.15" customHeight="1" spans="1:8">
      <c r="A82" s="6">
        <v>79</v>
      </c>
      <c r="B82" s="6" t="s">
        <v>1156</v>
      </c>
      <c r="C82" s="6" t="s">
        <v>1157</v>
      </c>
      <c r="D82" s="6" t="s">
        <v>1158</v>
      </c>
      <c r="E82" s="6" t="s">
        <v>1069</v>
      </c>
      <c r="F82" s="6" t="s">
        <v>1159</v>
      </c>
      <c r="G82" s="6"/>
      <c r="H82" s="6"/>
    </row>
    <row r="83" ht="22.15" customHeight="1" spans="1:8">
      <c r="A83" s="6">
        <v>80</v>
      </c>
      <c r="B83" s="6" t="s">
        <v>466</v>
      </c>
      <c r="C83" s="6" t="s">
        <v>1160</v>
      </c>
      <c r="D83" s="6" t="s">
        <v>1161</v>
      </c>
      <c r="E83" s="6" t="s">
        <v>1069</v>
      </c>
      <c r="F83" s="6" t="s">
        <v>1162</v>
      </c>
      <c r="G83" s="6"/>
      <c r="H83" s="6"/>
    </row>
    <row r="84" ht="22.15" customHeight="1" spans="1:8">
      <c r="A84" s="6">
        <v>81</v>
      </c>
      <c r="B84" s="6" t="s">
        <v>1163</v>
      </c>
      <c r="C84" s="6" t="s">
        <v>1164</v>
      </c>
      <c r="D84" s="6" t="s">
        <v>1165</v>
      </c>
      <c r="E84" s="6" t="s">
        <v>1166</v>
      </c>
      <c r="F84" s="6">
        <v>60607</v>
      </c>
      <c r="G84" s="6"/>
      <c r="H84" s="6"/>
    </row>
    <row r="85" ht="22.15" customHeight="1" spans="1:8">
      <c r="A85" s="6">
        <v>82</v>
      </c>
      <c r="B85" s="6" t="s">
        <v>1167</v>
      </c>
      <c r="C85" s="6" t="s">
        <v>1168</v>
      </c>
      <c r="D85" s="6" t="s">
        <v>1165</v>
      </c>
      <c r="E85" s="6" t="s">
        <v>1166</v>
      </c>
      <c r="F85" s="6">
        <v>60614</v>
      </c>
      <c r="G85" s="6"/>
      <c r="H85" s="6"/>
    </row>
    <row r="86" ht="22.15" customHeight="1" spans="1:8">
      <c r="A86" s="6">
        <v>83</v>
      </c>
      <c r="B86" s="6" t="s">
        <v>1169</v>
      </c>
      <c r="C86" s="6" t="s">
        <v>1170</v>
      </c>
      <c r="D86" s="6" t="s">
        <v>1171</v>
      </c>
      <c r="E86" s="6" t="s">
        <v>1145</v>
      </c>
      <c r="F86" s="6">
        <v>29418</v>
      </c>
      <c r="G86" s="6">
        <v>128200</v>
      </c>
      <c r="H86" s="6" t="s">
        <v>1172</v>
      </c>
    </row>
    <row r="87" ht="22.15" customHeight="1" spans="1:8">
      <c r="A87" s="6">
        <v>84</v>
      </c>
      <c r="B87" s="6" t="s">
        <v>1173</v>
      </c>
      <c r="C87" s="6" t="s">
        <v>1174</v>
      </c>
      <c r="D87" s="6" t="s">
        <v>1175</v>
      </c>
      <c r="E87" s="6" t="s">
        <v>965</v>
      </c>
      <c r="F87" s="6">
        <v>45219</v>
      </c>
      <c r="G87" s="6"/>
      <c r="H87" s="6"/>
    </row>
    <row r="88" ht="22.15" customHeight="1" spans="1:8">
      <c r="A88" s="6">
        <v>85</v>
      </c>
      <c r="B88" s="6" t="s">
        <v>1176</v>
      </c>
      <c r="C88" s="6" t="s">
        <v>1177</v>
      </c>
      <c r="D88" s="6" t="s">
        <v>1178</v>
      </c>
      <c r="E88" s="6" t="s">
        <v>965</v>
      </c>
      <c r="F88" s="6">
        <v>44115</v>
      </c>
      <c r="G88" s="6"/>
      <c r="H88" s="6"/>
    </row>
    <row r="89" ht="22.15" customHeight="1" spans="1:8">
      <c r="A89" s="6">
        <v>86</v>
      </c>
      <c r="B89" s="6" t="s">
        <v>1179</v>
      </c>
      <c r="C89" s="6" t="s">
        <v>1180</v>
      </c>
      <c r="D89" s="6" t="s">
        <v>1181</v>
      </c>
      <c r="E89" s="6" t="s">
        <v>965</v>
      </c>
      <c r="F89" s="6">
        <v>44128</v>
      </c>
      <c r="G89" s="6"/>
      <c r="H89" s="6"/>
    </row>
    <row r="90" ht="22.15" customHeight="1" spans="1:8">
      <c r="A90" s="6">
        <v>87</v>
      </c>
      <c r="B90" s="6" t="s">
        <v>1182</v>
      </c>
      <c r="C90" s="6" t="s">
        <v>1183</v>
      </c>
      <c r="D90" s="6" t="s">
        <v>1184</v>
      </c>
      <c r="E90" s="6" t="s">
        <v>965</v>
      </c>
      <c r="F90" s="6" t="s">
        <v>1185</v>
      </c>
      <c r="G90" s="6"/>
      <c r="H90" s="6"/>
    </row>
    <row r="91" ht="22.15" customHeight="1" spans="1:8">
      <c r="A91" s="6">
        <v>88</v>
      </c>
      <c r="B91" s="6" t="s">
        <v>1186</v>
      </c>
      <c r="C91" s="6" t="s">
        <v>1187</v>
      </c>
      <c r="D91" s="6" t="s">
        <v>1188</v>
      </c>
      <c r="E91" s="6" t="s">
        <v>965</v>
      </c>
      <c r="F91" s="6">
        <v>44087</v>
      </c>
      <c r="G91" s="6">
        <v>248000</v>
      </c>
      <c r="H91" s="6" t="s">
        <v>1189</v>
      </c>
    </row>
    <row r="92" ht="22.15" customHeight="1" spans="1:8">
      <c r="A92" s="6">
        <v>89</v>
      </c>
      <c r="B92" s="6" t="s">
        <v>1190</v>
      </c>
      <c r="C92" s="6" t="s">
        <v>1191</v>
      </c>
      <c r="D92" s="6" t="s">
        <v>1192</v>
      </c>
      <c r="E92" s="6" t="s">
        <v>965</v>
      </c>
      <c r="F92" s="6">
        <v>44146</v>
      </c>
      <c r="G92" s="6"/>
      <c r="H92" s="6"/>
    </row>
    <row r="93" ht="22.15" customHeight="1" spans="1:8">
      <c r="A93" s="6">
        <v>90</v>
      </c>
      <c r="B93" s="6" t="s">
        <v>1193</v>
      </c>
      <c r="C93" s="6" t="s">
        <v>1194</v>
      </c>
      <c r="D93" s="6" t="s">
        <v>1195</v>
      </c>
      <c r="E93" s="6" t="s">
        <v>1196</v>
      </c>
      <c r="F93" s="6">
        <v>28027</v>
      </c>
      <c r="G93" s="6"/>
      <c r="H93" s="6"/>
    </row>
    <row r="94" ht="22.15" customHeight="1" spans="1:8">
      <c r="A94" s="6">
        <v>91</v>
      </c>
      <c r="B94" s="6" t="s">
        <v>471</v>
      </c>
      <c r="C94" s="6" t="s">
        <v>1197</v>
      </c>
      <c r="D94" s="6" t="s">
        <v>1198</v>
      </c>
      <c r="E94" s="6" t="s">
        <v>1196</v>
      </c>
      <c r="F94" s="6" t="s">
        <v>1199</v>
      </c>
      <c r="G94" s="6"/>
      <c r="H94" s="6"/>
    </row>
    <row r="95" ht="22.15" customHeight="1" spans="1:8">
      <c r="A95" s="6">
        <v>92</v>
      </c>
      <c r="B95" s="6" t="s">
        <v>565</v>
      </c>
      <c r="C95" s="6" t="s">
        <v>1200</v>
      </c>
      <c r="D95" s="6" t="s">
        <v>1195</v>
      </c>
      <c r="E95" s="6" t="s">
        <v>1196</v>
      </c>
      <c r="F95" s="6">
        <v>28027</v>
      </c>
      <c r="G95" s="6"/>
      <c r="H95" s="6"/>
    </row>
    <row r="96" ht="22.15" customHeight="1" spans="1:8">
      <c r="A96" s="6">
        <v>93</v>
      </c>
      <c r="B96" s="6" t="s">
        <v>618</v>
      </c>
      <c r="C96" s="6" t="s">
        <v>1201</v>
      </c>
      <c r="D96" s="6" t="s">
        <v>1202</v>
      </c>
      <c r="E96" s="6" t="s">
        <v>1196</v>
      </c>
      <c r="F96" s="6">
        <v>28214</v>
      </c>
      <c r="G96" s="6"/>
      <c r="H96" s="6"/>
    </row>
    <row r="97" ht="22.15" customHeight="1" spans="1:8">
      <c r="A97" s="6">
        <v>94</v>
      </c>
      <c r="B97" s="6" t="s">
        <v>1203</v>
      </c>
      <c r="C97" s="6" t="s">
        <v>1204</v>
      </c>
      <c r="D97" s="6" t="s">
        <v>1195</v>
      </c>
      <c r="E97" s="6" t="s">
        <v>1196</v>
      </c>
      <c r="F97" s="6">
        <v>28027</v>
      </c>
      <c r="G97" s="6">
        <v>222500</v>
      </c>
      <c r="H97" s="6" t="s">
        <v>1205</v>
      </c>
    </row>
    <row r="98" ht="22.15" customHeight="1" spans="1:8">
      <c r="A98" s="6">
        <v>95</v>
      </c>
      <c r="B98" s="6" t="s">
        <v>1206</v>
      </c>
      <c r="C98" s="6" t="s">
        <v>1207</v>
      </c>
      <c r="D98" s="6" t="s">
        <v>1208</v>
      </c>
      <c r="E98" s="6" t="s">
        <v>965</v>
      </c>
      <c r="F98" s="6">
        <v>43062</v>
      </c>
      <c r="G98" s="6">
        <v>800000</v>
      </c>
      <c r="H98" s="6"/>
    </row>
    <row r="99" ht="22.15" customHeight="1" spans="1:8">
      <c r="A99" s="6">
        <v>96</v>
      </c>
      <c r="B99" s="6" t="s">
        <v>1209</v>
      </c>
      <c r="C99" s="6" t="s">
        <v>1210</v>
      </c>
      <c r="D99" s="6" t="s">
        <v>1208</v>
      </c>
      <c r="E99" s="6" t="s">
        <v>965</v>
      </c>
      <c r="F99" s="6">
        <v>43062</v>
      </c>
      <c r="G99" s="6"/>
      <c r="H99" s="6"/>
    </row>
    <row r="100" ht="22.15" customHeight="1" spans="1:8">
      <c r="A100" s="6">
        <v>97</v>
      </c>
      <c r="B100" s="6" t="s">
        <v>454</v>
      </c>
      <c r="C100" s="6" t="s">
        <v>1211</v>
      </c>
      <c r="D100" s="6" t="s">
        <v>1212</v>
      </c>
      <c r="E100" s="6" t="s">
        <v>965</v>
      </c>
      <c r="F100" s="6" t="s">
        <v>1213</v>
      </c>
      <c r="G100" s="6"/>
      <c r="H100" s="6"/>
    </row>
    <row r="101" ht="22.15" customHeight="1" spans="1:8">
      <c r="A101" s="6">
        <v>98</v>
      </c>
      <c r="B101" s="6" t="s">
        <v>451</v>
      </c>
      <c r="C101" s="6" t="s">
        <v>1214</v>
      </c>
      <c r="D101" s="6" t="s">
        <v>1215</v>
      </c>
      <c r="E101" s="6" t="s">
        <v>965</v>
      </c>
      <c r="F101" s="6">
        <v>45050</v>
      </c>
      <c r="G101" s="6"/>
      <c r="H101" s="6"/>
    </row>
    <row r="102" ht="22.15" customHeight="1" spans="1:8">
      <c r="A102" s="6">
        <v>99</v>
      </c>
      <c r="B102" s="6" t="s">
        <v>1216</v>
      </c>
      <c r="C102" s="6" t="s">
        <v>1217</v>
      </c>
      <c r="D102" s="6" t="s">
        <v>1218</v>
      </c>
      <c r="E102" s="6" t="s">
        <v>965</v>
      </c>
      <c r="F102" s="6" t="s">
        <v>1219</v>
      </c>
      <c r="G102" s="6"/>
      <c r="H102" s="6"/>
    </row>
    <row r="103" ht="22.15" customHeight="1" spans="1:8">
      <c r="A103" s="6">
        <v>100</v>
      </c>
      <c r="B103" s="6" t="s">
        <v>562</v>
      </c>
      <c r="C103" s="6" t="s">
        <v>1220</v>
      </c>
      <c r="D103" s="6" t="s">
        <v>1221</v>
      </c>
      <c r="E103" s="6" t="s">
        <v>965</v>
      </c>
      <c r="F103" s="6" t="s">
        <v>1222</v>
      </c>
      <c r="G103" s="6"/>
      <c r="H103" s="6"/>
    </row>
    <row r="104" ht="22.15" customHeight="1" spans="1:8">
      <c r="A104" s="6">
        <v>101</v>
      </c>
      <c r="B104" s="6" t="s">
        <v>1223</v>
      </c>
      <c r="C104" s="6" t="s">
        <v>1224</v>
      </c>
      <c r="D104" s="6" t="s">
        <v>1225</v>
      </c>
      <c r="E104" s="6" t="s">
        <v>1166</v>
      </c>
      <c r="F104" s="6">
        <v>61820</v>
      </c>
      <c r="G104" s="6"/>
      <c r="H104" s="6"/>
    </row>
    <row r="105" ht="22.15" customHeight="1" spans="1:8">
      <c r="A105" s="6">
        <v>102</v>
      </c>
      <c r="B105" s="6" t="s">
        <v>1226</v>
      </c>
      <c r="C105" s="6" t="s">
        <v>1227</v>
      </c>
      <c r="D105" s="6" t="s">
        <v>1228</v>
      </c>
      <c r="E105" s="6" t="s">
        <v>1017</v>
      </c>
      <c r="F105" s="6">
        <v>6268</v>
      </c>
      <c r="G105" s="6"/>
      <c r="H105" s="6"/>
    </row>
    <row r="106" ht="22.15" customHeight="1" spans="1:8">
      <c r="A106" s="6">
        <v>103</v>
      </c>
      <c r="B106" s="6" t="s">
        <v>1229</v>
      </c>
      <c r="C106" s="6" t="s">
        <v>1230</v>
      </c>
      <c r="D106" s="6" t="s">
        <v>1231</v>
      </c>
      <c r="E106" s="6" t="s">
        <v>936</v>
      </c>
      <c r="F106" s="6">
        <v>92093</v>
      </c>
      <c r="G106" s="6"/>
      <c r="H106" s="6"/>
    </row>
    <row r="107" ht="22.15" customHeight="1" spans="1:8">
      <c r="A107" s="6">
        <v>104</v>
      </c>
      <c r="B107" s="6" t="s">
        <v>1232</v>
      </c>
      <c r="C107" s="6" t="s">
        <v>1233</v>
      </c>
      <c r="D107" s="6" t="s">
        <v>1234</v>
      </c>
      <c r="E107" s="6" t="s">
        <v>961</v>
      </c>
      <c r="F107" s="6">
        <v>30263</v>
      </c>
      <c r="G107" s="6"/>
      <c r="H107" s="6"/>
    </row>
    <row r="108" ht="22.15" customHeight="1" spans="1:8">
      <c r="A108" s="6">
        <v>105</v>
      </c>
      <c r="B108" s="6" t="s">
        <v>1235</v>
      </c>
      <c r="C108" s="6" t="s">
        <v>1236</v>
      </c>
      <c r="D108" s="6" t="s">
        <v>1237</v>
      </c>
      <c r="E108" s="6" t="s">
        <v>1238</v>
      </c>
      <c r="F108" s="6" t="s">
        <v>1239</v>
      </c>
      <c r="G108" s="6"/>
      <c r="H108" s="6"/>
    </row>
    <row r="109" ht="22.15" customHeight="1" spans="1:8">
      <c r="A109" s="6">
        <v>106</v>
      </c>
      <c r="B109" s="6" t="s">
        <v>1240</v>
      </c>
      <c r="C109" s="6" t="s">
        <v>1241</v>
      </c>
      <c r="D109" s="6" t="s">
        <v>1237</v>
      </c>
      <c r="E109" s="6" t="s">
        <v>1238</v>
      </c>
      <c r="F109" s="6" t="s">
        <v>1239</v>
      </c>
      <c r="G109" s="6"/>
      <c r="H109" s="6"/>
    </row>
    <row r="110" ht="22.15" customHeight="1" spans="1:8">
      <c r="A110" s="6">
        <v>107</v>
      </c>
      <c r="B110" s="6" t="s">
        <v>1242</v>
      </c>
      <c r="C110" s="6" t="s">
        <v>1243</v>
      </c>
      <c r="D110" s="6" t="s">
        <v>1237</v>
      </c>
      <c r="E110" s="6" t="s">
        <v>1238</v>
      </c>
      <c r="F110" s="6" t="s">
        <v>1244</v>
      </c>
      <c r="G110" s="6"/>
      <c r="H110" s="6"/>
    </row>
    <row r="111" ht="22.15" customHeight="1" spans="1:8">
      <c r="A111" s="6">
        <v>108</v>
      </c>
      <c r="B111" s="6" t="s">
        <v>1245</v>
      </c>
      <c r="C111" s="6" t="s">
        <v>1246</v>
      </c>
      <c r="D111" s="6" t="s">
        <v>1237</v>
      </c>
      <c r="E111" s="6" t="s">
        <v>1238</v>
      </c>
      <c r="F111" s="6">
        <v>41048</v>
      </c>
      <c r="G111" s="6">
        <v>598000</v>
      </c>
      <c r="H111" s="6" t="s">
        <v>1247</v>
      </c>
    </row>
    <row r="112" ht="22.15" customHeight="1" spans="1:8">
      <c r="A112" s="6">
        <v>109</v>
      </c>
      <c r="B112" s="6" t="s">
        <v>1248</v>
      </c>
      <c r="C112" s="6" t="s">
        <v>1249</v>
      </c>
      <c r="D112" s="6" t="s">
        <v>1237</v>
      </c>
      <c r="E112" s="6" t="s">
        <v>1238</v>
      </c>
      <c r="F112" s="6" t="s">
        <v>1250</v>
      </c>
      <c r="G112" s="6"/>
      <c r="H112" s="6"/>
    </row>
    <row r="113" ht="22.15" customHeight="1" spans="1:8">
      <c r="A113" s="6">
        <v>110</v>
      </c>
      <c r="B113" s="6" t="s">
        <v>1251</v>
      </c>
      <c r="C113" s="6" t="s">
        <v>1252</v>
      </c>
      <c r="D113" s="6" t="s">
        <v>938</v>
      </c>
      <c r="E113" s="6" t="s">
        <v>1238</v>
      </c>
      <c r="F113" s="6">
        <v>41042</v>
      </c>
      <c r="G113" s="6"/>
      <c r="H113" s="6"/>
    </row>
    <row r="114" ht="22.15" customHeight="1" spans="1:8">
      <c r="A114" s="6">
        <v>111</v>
      </c>
      <c r="B114" s="6" t="s">
        <v>1253</v>
      </c>
      <c r="C114" s="6" t="s">
        <v>1254</v>
      </c>
      <c r="D114" s="6" t="s">
        <v>1237</v>
      </c>
      <c r="E114" s="6" t="s">
        <v>1238</v>
      </c>
      <c r="F114" s="6">
        <v>41048</v>
      </c>
      <c r="G114" s="6"/>
      <c r="H114" s="6"/>
    </row>
    <row r="115" ht="22.15" customHeight="1" spans="1:8">
      <c r="A115" s="6">
        <v>112</v>
      </c>
      <c r="B115" s="6" t="s">
        <v>1255</v>
      </c>
      <c r="C115" s="6" t="s">
        <v>1256</v>
      </c>
      <c r="D115" s="6" t="s">
        <v>1257</v>
      </c>
      <c r="E115" s="6" t="s">
        <v>969</v>
      </c>
      <c r="F115" s="6">
        <v>11967</v>
      </c>
      <c r="G115" s="6"/>
      <c r="H115" s="6"/>
    </row>
    <row r="116" ht="22.15" customHeight="1" spans="1:8">
      <c r="A116" s="6">
        <v>113</v>
      </c>
      <c r="B116" s="6" t="s">
        <v>1258</v>
      </c>
      <c r="C116" s="6" t="s">
        <v>1259</v>
      </c>
      <c r="D116" s="6" t="s">
        <v>1260</v>
      </c>
      <c r="E116" s="6" t="s">
        <v>923</v>
      </c>
      <c r="F116" s="6">
        <v>18020</v>
      </c>
      <c r="G116" s="6"/>
      <c r="H116" s="6"/>
    </row>
    <row r="117" ht="22.15" customHeight="1" spans="1:8">
      <c r="A117" s="6">
        <v>114</v>
      </c>
      <c r="B117" s="6" t="s">
        <v>431</v>
      </c>
      <c r="C117" s="6" t="s">
        <v>1261</v>
      </c>
      <c r="D117" s="6" t="s">
        <v>1262</v>
      </c>
      <c r="E117" s="6" t="s">
        <v>1263</v>
      </c>
      <c r="F117" s="6">
        <v>75038</v>
      </c>
      <c r="G117" s="6"/>
      <c r="H117" s="6"/>
    </row>
    <row r="118" ht="22.15" customHeight="1" spans="1:8">
      <c r="A118" s="6">
        <v>115</v>
      </c>
      <c r="B118" s="6" t="s">
        <v>432</v>
      </c>
      <c r="C118" s="6" t="s">
        <v>1264</v>
      </c>
      <c r="D118" s="6" t="s">
        <v>1265</v>
      </c>
      <c r="E118" s="6" t="s">
        <v>1263</v>
      </c>
      <c r="F118" s="6">
        <v>75211</v>
      </c>
      <c r="G118" s="6"/>
      <c r="H118" s="6"/>
    </row>
    <row r="119" ht="22.15" customHeight="1" spans="1:8">
      <c r="A119" s="6">
        <v>116</v>
      </c>
      <c r="B119" s="6" t="s">
        <v>1266</v>
      </c>
      <c r="C119" s="6" t="s">
        <v>1267</v>
      </c>
      <c r="D119" s="6" t="s">
        <v>1268</v>
      </c>
      <c r="E119" s="6" t="s">
        <v>1263</v>
      </c>
      <c r="F119" s="6">
        <v>76106</v>
      </c>
      <c r="G119" s="6"/>
      <c r="H119" s="6"/>
    </row>
    <row r="120" ht="22.15" customHeight="1" spans="1:8">
      <c r="A120" s="6">
        <v>117</v>
      </c>
      <c r="B120" s="6" t="s">
        <v>1269</v>
      </c>
      <c r="C120" s="6" t="s">
        <v>1270</v>
      </c>
      <c r="D120" s="6" t="s">
        <v>1271</v>
      </c>
      <c r="E120" s="6" t="s">
        <v>1263</v>
      </c>
      <c r="F120" s="6">
        <v>75172</v>
      </c>
      <c r="G120" s="6"/>
      <c r="H120" s="6"/>
    </row>
    <row r="121" ht="22.15" customHeight="1" spans="1:8">
      <c r="A121" s="6">
        <v>118</v>
      </c>
      <c r="B121" s="6" t="s">
        <v>1272</v>
      </c>
      <c r="C121" s="6" t="s">
        <v>1273</v>
      </c>
      <c r="D121" s="6" t="s">
        <v>1274</v>
      </c>
      <c r="E121" s="6" t="s">
        <v>1096</v>
      </c>
      <c r="F121" s="6">
        <v>1887</v>
      </c>
      <c r="G121" s="6"/>
      <c r="H121" s="6"/>
    </row>
    <row r="122" ht="22.15" customHeight="1" spans="1:8">
      <c r="A122" s="6">
        <v>119</v>
      </c>
      <c r="B122" s="6" t="s">
        <v>1275</v>
      </c>
      <c r="C122" s="6" t="s">
        <v>1276</v>
      </c>
      <c r="D122" s="6" t="s">
        <v>1277</v>
      </c>
      <c r="E122" s="6" t="s">
        <v>1263</v>
      </c>
      <c r="F122" s="6">
        <v>78758</v>
      </c>
      <c r="G122" s="6"/>
      <c r="H122" s="6" t="s">
        <v>1278</v>
      </c>
    </row>
    <row r="123" ht="22.15" customHeight="1" spans="1:8">
      <c r="A123" s="6">
        <v>120</v>
      </c>
      <c r="B123" s="6" t="s">
        <v>1279</v>
      </c>
      <c r="C123" s="6" t="s">
        <v>1280</v>
      </c>
      <c r="D123" s="6" t="s">
        <v>1281</v>
      </c>
      <c r="E123" s="6" t="s">
        <v>1263</v>
      </c>
      <c r="F123" s="6">
        <v>78610</v>
      </c>
      <c r="G123" s="6"/>
      <c r="H123" s="6"/>
    </row>
    <row r="124" ht="22.15" customHeight="1" spans="1:8">
      <c r="A124" s="6">
        <v>121</v>
      </c>
      <c r="B124" s="6" t="s">
        <v>1282</v>
      </c>
      <c r="C124" s="6" t="s">
        <v>1283</v>
      </c>
      <c r="D124" s="6" t="s">
        <v>1284</v>
      </c>
      <c r="E124" s="6" t="s">
        <v>936</v>
      </c>
      <c r="F124" s="6" t="s">
        <v>1285</v>
      </c>
      <c r="G124" s="6"/>
      <c r="H124" s="6"/>
    </row>
    <row r="125" ht="22.15" customHeight="1" spans="1:8">
      <c r="A125" s="6">
        <v>122</v>
      </c>
      <c r="B125" s="6" t="s">
        <v>1286</v>
      </c>
      <c r="C125" s="6" t="s">
        <v>1287</v>
      </c>
      <c r="D125" s="6" t="s">
        <v>1288</v>
      </c>
      <c r="E125" s="6" t="s">
        <v>936</v>
      </c>
      <c r="F125" s="6">
        <v>90280</v>
      </c>
      <c r="G125" s="6"/>
      <c r="H125" s="6"/>
    </row>
    <row r="126" ht="22.15" customHeight="1" spans="1:8">
      <c r="A126" s="6">
        <v>123</v>
      </c>
      <c r="B126" s="6" t="s">
        <v>1289</v>
      </c>
      <c r="C126" s="6" t="s">
        <v>1290</v>
      </c>
      <c r="D126" s="6" t="s">
        <v>1215</v>
      </c>
      <c r="E126" s="6" t="s">
        <v>965</v>
      </c>
      <c r="F126" s="6">
        <v>45050</v>
      </c>
      <c r="G126" s="6">
        <v>1000000</v>
      </c>
      <c r="H126" s="6" t="s">
        <v>1291</v>
      </c>
    </row>
    <row r="127" ht="22.15" customHeight="1" spans="1:8">
      <c r="A127" s="6">
        <v>124</v>
      </c>
      <c r="B127" s="6" t="s">
        <v>1292</v>
      </c>
      <c r="C127" s="6" t="s">
        <v>1293</v>
      </c>
      <c r="D127" s="6" t="s">
        <v>1294</v>
      </c>
      <c r="E127" s="6" t="s">
        <v>1096</v>
      </c>
      <c r="F127" s="6">
        <v>2149</v>
      </c>
      <c r="G127" s="6">
        <v>96600</v>
      </c>
      <c r="H127" s="6" t="s">
        <v>1295</v>
      </c>
    </row>
    <row r="128" ht="22.15" customHeight="1" spans="1:8">
      <c r="A128" s="6">
        <v>125</v>
      </c>
      <c r="B128" s="6" t="s">
        <v>1296</v>
      </c>
      <c r="C128" s="6" t="s">
        <v>1297</v>
      </c>
      <c r="D128" s="6" t="s">
        <v>1298</v>
      </c>
      <c r="E128" s="6" t="s">
        <v>1096</v>
      </c>
      <c r="F128" s="6">
        <v>2026</v>
      </c>
      <c r="G128" s="6">
        <v>60500</v>
      </c>
      <c r="H128" s="6" t="s">
        <v>1295</v>
      </c>
    </row>
    <row r="129" ht="22.15" customHeight="1" spans="1:8">
      <c r="A129" s="6">
        <v>126</v>
      </c>
      <c r="B129" s="6" t="s">
        <v>1299</v>
      </c>
      <c r="C129" s="6" t="s">
        <v>1300</v>
      </c>
      <c r="D129" s="6" t="s">
        <v>1301</v>
      </c>
      <c r="E129" s="6" t="s">
        <v>1126</v>
      </c>
      <c r="F129" s="6">
        <v>21795</v>
      </c>
      <c r="G129" s="6"/>
      <c r="H129" s="6"/>
    </row>
    <row r="130" ht="22.15" customHeight="1" spans="1:8">
      <c r="A130" s="6">
        <v>127</v>
      </c>
      <c r="B130" s="6" t="s">
        <v>1302</v>
      </c>
      <c r="C130" s="6" t="s">
        <v>1303</v>
      </c>
      <c r="D130" s="6" t="s">
        <v>1304</v>
      </c>
      <c r="E130" s="6" t="s">
        <v>1126</v>
      </c>
      <c r="F130" s="6">
        <v>21076</v>
      </c>
      <c r="G130" s="6"/>
      <c r="H130" s="6"/>
    </row>
    <row r="131" ht="22.15" customHeight="1" spans="1:8">
      <c r="A131" s="6">
        <v>128</v>
      </c>
      <c r="B131" s="6" t="s">
        <v>1305</v>
      </c>
      <c r="C131" s="6" t="s">
        <v>1306</v>
      </c>
      <c r="D131" s="6" t="s">
        <v>1307</v>
      </c>
      <c r="E131" s="6" t="s">
        <v>1096</v>
      </c>
      <c r="F131" s="6">
        <v>2780</v>
      </c>
      <c r="G131" s="6"/>
      <c r="H131" s="6"/>
    </row>
    <row r="132" ht="22.15" customHeight="1" spans="1:8">
      <c r="A132" s="6">
        <v>129</v>
      </c>
      <c r="B132" s="6" t="s">
        <v>1308</v>
      </c>
      <c r="C132" s="6" t="s">
        <v>1309</v>
      </c>
      <c r="D132" s="6" t="s">
        <v>1310</v>
      </c>
      <c r="E132" s="6" t="s">
        <v>1096</v>
      </c>
      <c r="F132" s="6">
        <v>2043</v>
      </c>
      <c r="G132" s="6"/>
      <c r="H132" s="6"/>
    </row>
    <row r="133" ht="22.15" customHeight="1" spans="1:8">
      <c r="A133" s="6">
        <v>130</v>
      </c>
      <c r="B133" s="6" t="s">
        <v>1311</v>
      </c>
      <c r="C133" s="6" t="s">
        <v>1312</v>
      </c>
      <c r="D133" s="6" t="s">
        <v>1313</v>
      </c>
      <c r="E133" s="6" t="s">
        <v>1017</v>
      </c>
      <c r="F133" s="6">
        <v>6810</v>
      </c>
      <c r="G133" s="6"/>
      <c r="H133" s="6"/>
    </row>
    <row r="134" ht="22.15" customHeight="1" spans="1:8">
      <c r="A134" s="6">
        <v>131</v>
      </c>
      <c r="B134" s="6" t="s">
        <v>1314</v>
      </c>
      <c r="C134" s="6" t="s">
        <v>1315</v>
      </c>
      <c r="D134" s="6" t="s">
        <v>1316</v>
      </c>
      <c r="E134" s="6" t="s">
        <v>1096</v>
      </c>
      <c r="F134" s="6">
        <v>2127</v>
      </c>
      <c r="G134" s="6"/>
      <c r="H134" s="6"/>
    </row>
    <row r="135" ht="22.15" customHeight="1" spans="1:8">
      <c r="A135" s="6">
        <v>132</v>
      </c>
      <c r="B135" s="6" t="s">
        <v>1317</v>
      </c>
      <c r="C135" s="6" t="s">
        <v>1318</v>
      </c>
      <c r="D135" s="6" t="s">
        <v>1319</v>
      </c>
      <c r="E135" s="6" t="s">
        <v>1096</v>
      </c>
      <c r="F135" s="6">
        <v>2346</v>
      </c>
      <c r="G135" s="6"/>
      <c r="H135" s="6"/>
    </row>
    <row r="136" ht="22.15" customHeight="1" spans="1:8">
      <c r="A136" s="6">
        <v>133</v>
      </c>
      <c r="B136" s="6" t="s">
        <v>1320</v>
      </c>
      <c r="C136" s="6" t="s">
        <v>1321</v>
      </c>
      <c r="D136" s="6" t="s">
        <v>1322</v>
      </c>
      <c r="E136" s="6" t="s">
        <v>969</v>
      </c>
      <c r="F136" s="6">
        <v>11514</v>
      </c>
      <c r="G136" s="6"/>
      <c r="H136" s="6"/>
    </row>
    <row r="137" ht="22.15" customHeight="1" spans="1:8">
      <c r="A137" s="6">
        <v>134</v>
      </c>
      <c r="B137" s="6" t="s">
        <v>1323</v>
      </c>
      <c r="C137" s="6" t="s">
        <v>1324</v>
      </c>
      <c r="D137" s="6" t="s">
        <v>1325</v>
      </c>
      <c r="E137" s="6" t="s">
        <v>1126</v>
      </c>
      <c r="F137" s="6">
        <v>21219</v>
      </c>
      <c r="G137" s="6"/>
      <c r="H137" s="6"/>
    </row>
    <row r="138" ht="22.15" customHeight="1" spans="1:8">
      <c r="A138" s="6">
        <v>135</v>
      </c>
      <c r="B138" s="6" t="s">
        <v>1326</v>
      </c>
      <c r="C138" s="6" t="s">
        <v>1327</v>
      </c>
      <c r="D138" s="6" t="s">
        <v>1328</v>
      </c>
      <c r="E138" s="6" t="s">
        <v>936</v>
      </c>
      <c r="F138" s="6" t="s">
        <v>1329</v>
      </c>
      <c r="G138" s="6"/>
      <c r="H138" s="6"/>
    </row>
    <row r="139" ht="22.15" customHeight="1" spans="1:8">
      <c r="A139" s="6">
        <v>136</v>
      </c>
      <c r="B139" s="6" t="s">
        <v>555</v>
      </c>
      <c r="C139" s="6" t="s">
        <v>1330</v>
      </c>
      <c r="D139" s="6" t="s">
        <v>1125</v>
      </c>
      <c r="E139" s="6" t="s">
        <v>1126</v>
      </c>
      <c r="F139" s="6">
        <v>21219</v>
      </c>
      <c r="G139" s="6"/>
      <c r="H139" s="6"/>
    </row>
    <row r="140" ht="22.15" customHeight="1" spans="1:8">
      <c r="A140" s="6">
        <v>137</v>
      </c>
      <c r="B140" s="6" t="s">
        <v>1331</v>
      </c>
      <c r="C140" s="6" t="s">
        <v>1332</v>
      </c>
      <c r="D140" s="6" t="s">
        <v>1333</v>
      </c>
      <c r="E140" s="6" t="s">
        <v>1096</v>
      </c>
      <c r="F140" s="6">
        <v>2048</v>
      </c>
      <c r="G140" s="6"/>
      <c r="H140" s="6"/>
    </row>
    <row r="141" ht="22.15" customHeight="1" spans="1:8">
      <c r="A141" s="6">
        <v>138</v>
      </c>
      <c r="B141" s="6" t="s">
        <v>1334</v>
      </c>
      <c r="C141" s="6" t="s">
        <v>1335</v>
      </c>
      <c r="D141" s="6" t="s">
        <v>1165</v>
      </c>
      <c r="E141" s="6" t="s">
        <v>1166</v>
      </c>
      <c r="F141" s="6">
        <v>60608</v>
      </c>
      <c r="G141" s="6">
        <v>150000</v>
      </c>
      <c r="H141" s="6" t="s">
        <v>1336</v>
      </c>
    </row>
    <row r="142" ht="22.15" customHeight="1" spans="1:8">
      <c r="A142" s="6">
        <v>139</v>
      </c>
      <c r="B142" s="6" t="s">
        <v>1337</v>
      </c>
      <c r="C142" s="6" t="s">
        <v>1338</v>
      </c>
      <c r="D142" s="6" t="s">
        <v>1339</v>
      </c>
      <c r="E142" s="6" t="s">
        <v>1166</v>
      </c>
      <c r="F142" s="6">
        <v>60053</v>
      </c>
      <c r="G142" s="6">
        <v>39300</v>
      </c>
      <c r="H142" s="6" t="s">
        <v>1340</v>
      </c>
    </row>
    <row r="143" ht="22.15" customHeight="1" spans="1:8">
      <c r="A143" s="6">
        <v>140</v>
      </c>
      <c r="B143" s="6" t="s">
        <v>1341</v>
      </c>
      <c r="C143" s="6" t="s">
        <v>1342</v>
      </c>
      <c r="D143" s="6" t="s">
        <v>1343</v>
      </c>
      <c r="E143" s="6" t="s">
        <v>1166</v>
      </c>
      <c r="F143" s="6">
        <v>60532</v>
      </c>
      <c r="G143" s="6">
        <v>68000</v>
      </c>
      <c r="H143" s="6" t="s">
        <v>1344</v>
      </c>
    </row>
    <row r="144" ht="22.15" customHeight="1" spans="1:8">
      <c r="A144" s="6">
        <v>141</v>
      </c>
      <c r="B144" s="6" t="s">
        <v>1345</v>
      </c>
      <c r="C144" s="6" t="s">
        <v>1346</v>
      </c>
      <c r="D144" s="6" t="s">
        <v>1347</v>
      </c>
      <c r="E144" s="6" t="s">
        <v>965</v>
      </c>
      <c r="F144" s="6">
        <v>44139</v>
      </c>
      <c r="G144" s="6"/>
      <c r="H144" s="6"/>
    </row>
    <row r="145" ht="22.15" customHeight="1" spans="1:8">
      <c r="A145" s="6">
        <v>142</v>
      </c>
      <c r="B145" s="6" t="s">
        <v>1348</v>
      </c>
      <c r="C145" s="6" t="s">
        <v>1349</v>
      </c>
      <c r="D145" s="6" t="s">
        <v>1350</v>
      </c>
      <c r="E145" s="6" t="s">
        <v>936</v>
      </c>
      <c r="F145" s="6">
        <v>92504</v>
      </c>
      <c r="G145" s="6"/>
      <c r="H145" s="6"/>
    </row>
    <row r="146" ht="22.15" customHeight="1" spans="1:8">
      <c r="A146" s="6">
        <v>143</v>
      </c>
      <c r="B146" s="6" t="s">
        <v>1351</v>
      </c>
      <c r="C146" s="6" t="s">
        <v>1352</v>
      </c>
      <c r="D146" s="6" t="s">
        <v>1353</v>
      </c>
      <c r="E146" s="6" t="s">
        <v>936</v>
      </c>
      <c r="F146" s="6">
        <v>92691</v>
      </c>
      <c r="G146" s="6"/>
      <c r="H146" s="6"/>
    </row>
    <row r="147" ht="22.15" customHeight="1" spans="1:8">
      <c r="A147" s="6">
        <v>144</v>
      </c>
      <c r="B147" s="6" t="s">
        <v>1354</v>
      </c>
      <c r="C147" s="6" t="s">
        <v>1355</v>
      </c>
      <c r="D147" s="6" t="s">
        <v>1356</v>
      </c>
      <c r="E147" s="6" t="s">
        <v>936</v>
      </c>
      <c r="F147" s="6">
        <v>90502</v>
      </c>
      <c r="G147" s="6"/>
      <c r="H147" s="6"/>
    </row>
    <row r="148" ht="22.15" customHeight="1" spans="1:8">
      <c r="A148" s="6">
        <v>145</v>
      </c>
      <c r="B148" s="6" t="s">
        <v>1357</v>
      </c>
      <c r="C148" s="6" t="s">
        <v>1358</v>
      </c>
      <c r="D148" s="6" t="s">
        <v>1359</v>
      </c>
      <c r="E148" s="6" t="s">
        <v>1263</v>
      </c>
      <c r="F148" s="6">
        <v>75041</v>
      </c>
      <c r="G148" s="6"/>
      <c r="H148" s="6"/>
    </row>
    <row r="149" ht="22.15" customHeight="1" spans="1:8">
      <c r="A149" s="6">
        <v>146</v>
      </c>
      <c r="B149" s="6" t="s">
        <v>1360</v>
      </c>
      <c r="C149" s="6" t="s">
        <v>1361</v>
      </c>
      <c r="D149" s="6" t="s">
        <v>1362</v>
      </c>
      <c r="E149" s="6" t="s">
        <v>1263</v>
      </c>
      <c r="F149" s="6">
        <v>76106</v>
      </c>
      <c r="G149" s="6"/>
      <c r="H149" s="6"/>
    </row>
    <row r="150" ht="22.15" customHeight="1" spans="1:8">
      <c r="A150" s="6">
        <v>147</v>
      </c>
      <c r="B150" s="6" t="s">
        <v>1363</v>
      </c>
      <c r="C150" s="6" t="s">
        <v>1364</v>
      </c>
      <c r="D150" s="6" t="s">
        <v>1265</v>
      </c>
      <c r="E150" s="6" t="s">
        <v>1263</v>
      </c>
      <c r="F150" s="6">
        <v>75227</v>
      </c>
      <c r="G150" s="6"/>
      <c r="H150" s="6"/>
    </row>
    <row r="151" ht="22.15" customHeight="1" spans="1:8">
      <c r="A151" s="6">
        <v>148</v>
      </c>
      <c r="B151" s="6" t="s">
        <v>1365</v>
      </c>
      <c r="C151" s="6" t="s">
        <v>1366</v>
      </c>
      <c r="D151" s="6" t="s">
        <v>1367</v>
      </c>
      <c r="E151" s="6" t="s">
        <v>1263</v>
      </c>
      <c r="F151" s="6">
        <v>75234</v>
      </c>
      <c r="G151" s="6">
        <v>183000</v>
      </c>
      <c r="H151" s="6" t="s">
        <v>1368</v>
      </c>
    </row>
    <row r="152" ht="22.15" customHeight="1" spans="1:8">
      <c r="A152" s="6">
        <v>149</v>
      </c>
      <c r="B152" s="6" t="s">
        <v>1369</v>
      </c>
      <c r="C152" s="6" t="s">
        <v>1370</v>
      </c>
      <c r="D152" s="6" t="s">
        <v>1371</v>
      </c>
      <c r="E152" s="6" t="s">
        <v>1126</v>
      </c>
      <c r="F152" s="6">
        <v>20850</v>
      </c>
      <c r="G152" s="6">
        <v>65000</v>
      </c>
      <c r="H152" s="6" t="s">
        <v>1372</v>
      </c>
    </row>
    <row r="153" ht="22.15" customHeight="1" spans="1:8">
      <c r="A153" s="6">
        <v>150</v>
      </c>
      <c r="B153" s="6" t="s">
        <v>1373</v>
      </c>
      <c r="C153" s="6" t="s">
        <v>1374</v>
      </c>
      <c r="D153" s="6" t="s">
        <v>1375</v>
      </c>
      <c r="E153" s="6" t="s">
        <v>1130</v>
      </c>
      <c r="F153" s="6">
        <v>20155</v>
      </c>
      <c r="G153" s="6"/>
      <c r="H153" s="6"/>
    </row>
    <row r="154" ht="22.15" customHeight="1" spans="1:8">
      <c r="A154" s="6">
        <v>151</v>
      </c>
      <c r="B154" s="6" t="s">
        <v>1376</v>
      </c>
      <c r="C154" s="6" t="s">
        <v>1377</v>
      </c>
      <c r="D154" s="6" t="s">
        <v>1378</v>
      </c>
      <c r="E154" s="6" t="s">
        <v>1263</v>
      </c>
      <c r="F154" s="6">
        <v>75057</v>
      </c>
      <c r="G154" s="6"/>
      <c r="H154" s="6"/>
    </row>
    <row r="155" ht="22.15" customHeight="1" spans="1:8">
      <c r="A155" s="6">
        <v>152</v>
      </c>
      <c r="B155" s="6" t="s">
        <v>1379</v>
      </c>
      <c r="C155" s="6" t="s">
        <v>1380</v>
      </c>
      <c r="D155" s="6" t="s">
        <v>1381</v>
      </c>
      <c r="E155" s="6" t="s">
        <v>923</v>
      </c>
      <c r="F155" s="6">
        <v>19057</v>
      </c>
      <c r="G155" s="6"/>
      <c r="H155" s="6"/>
    </row>
    <row r="156" ht="22.15" customHeight="1" spans="1:8">
      <c r="A156" s="6">
        <v>153</v>
      </c>
      <c r="B156" s="6" t="s">
        <v>1382</v>
      </c>
      <c r="C156" s="6" t="s">
        <v>1383</v>
      </c>
      <c r="D156" s="6" t="s">
        <v>1384</v>
      </c>
      <c r="E156" s="6" t="s">
        <v>1385</v>
      </c>
      <c r="F156" s="6">
        <v>48393</v>
      </c>
      <c r="G156" s="6"/>
      <c r="H156" s="6"/>
    </row>
    <row r="157" ht="22.15" customHeight="1" spans="1:8">
      <c r="A157" s="6">
        <v>154</v>
      </c>
      <c r="B157" s="6" t="s">
        <v>1386</v>
      </c>
      <c r="C157" s="6" t="s">
        <v>1387</v>
      </c>
      <c r="D157" s="6" t="s">
        <v>1388</v>
      </c>
      <c r="E157" s="6" t="s">
        <v>1385</v>
      </c>
      <c r="F157" s="6">
        <v>48917</v>
      </c>
      <c r="G157" s="6"/>
      <c r="H157" s="6"/>
    </row>
    <row r="158" ht="22.15" customHeight="1" spans="1:8">
      <c r="A158" s="6">
        <v>155</v>
      </c>
      <c r="B158" s="6" t="s">
        <v>1389</v>
      </c>
      <c r="C158" s="6" t="s">
        <v>1390</v>
      </c>
      <c r="D158" s="6" t="s">
        <v>1391</v>
      </c>
      <c r="E158" s="6" t="s">
        <v>1392</v>
      </c>
      <c r="F158" s="6">
        <v>80011</v>
      </c>
      <c r="G158" s="6"/>
      <c r="H158" s="6"/>
    </row>
    <row r="159" ht="22.15" customHeight="1" spans="1:8">
      <c r="A159" s="6">
        <v>156</v>
      </c>
      <c r="B159" s="6" t="s">
        <v>1393</v>
      </c>
      <c r="C159" s="6" t="s">
        <v>1394</v>
      </c>
      <c r="D159" s="6" t="s">
        <v>1268</v>
      </c>
      <c r="E159" s="6" t="s">
        <v>1263</v>
      </c>
      <c r="F159" s="6">
        <v>76155</v>
      </c>
      <c r="G159" s="6"/>
      <c r="H159" s="6"/>
    </row>
    <row r="160" ht="22.15" customHeight="1" spans="1:8">
      <c r="A160" s="6">
        <v>157</v>
      </c>
      <c r="B160" s="6" t="s">
        <v>1395</v>
      </c>
      <c r="C160" s="6" t="s">
        <v>1396</v>
      </c>
      <c r="D160" s="6" t="s">
        <v>1397</v>
      </c>
      <c r="E160" s="6" t="s">
        <v>1263</v>
      </c>
      <c r="F160" s="6">
        <v>75078</v>
      </c>
      <c r="G160" s="6"/>
      <c r="H160" s="6"/>
    </row>
    <row r="161" ht="22.15" customHeight="1" spans="1:8">
      <c r="A161" s="6">
        <v>158</v>
      </c>
      <c r="B161" s="6" t="s">
        <v>1398</v>
      </c>
      <c r="C161" s="6" t="s">
        <v>1399</v>
      </c>
      <c r="D161" s="6" t="s">
        <v>1400</v>
      </c>
      <c r="E161" s="6" t="s">
        <v>1263</v>
      </c>
      <c r="F161" s="6">
        <v>75126</v>
      </c>
      <c r="G161" s="6"/>
      <c r="H161" s="6"/>
    </row>
    <row r="162" ht="22.15" customHeight="1" spans="1:8">
      <c r="A162" s="6">
        <v>159</v>
      </c>
      <c r="B162" s="6" t="s">
        <v>1401</v>
      </c>
      <c r="C162" s="6" t="s">
        <v>1402</v>
      </c>
      <c r="D162" s="6" t="s">
        <v>1075</v>
      </c>
      <c r="E162" s="6" t="s">
        <v>1069</v>
      </c>
      <c r="F162" s="6">
        <v>37127</v>
      </c>
      <c r="G162" s="6"/>
      <c r="H162" s="6"/>
    </row>
    <row r="163" ht="22.15" customHeight="1" spans="1:8">
      <c r="A163" s="6">
        <v>160</v>
      </c>
      <c r="B163" s="6" t="s">
        <v>1403</v>
      </c>
      <c r="C163" s="6" t="s">
        <v>1404</v>
      </c>
      <c r="D163" s="6" t="s">
        <v>1405</v>
      </c>
      <c r="E163" s="6" t="s">
        <v>1392</v>
      </c>
      <c r="F163" s="6">
        <v>80023</v>
      </c>
      <c r="G163" s="6">
        <v>855000</v>
      </c>
      <c r="H163" s="6" t="s">
        <v>1406</v>
      </c>
    </row>
    <row r="164" ht="22.15" customHeight="1" spans="1:8">
      <c r="A164" s="6">
        <v>161</v>
      </c>
      <c r="B164" s="6" t="s">
        <v>447</v>
      </c>
      <c r="C164" s="6" t="s">
        <v>1407</v>
      </c>
      <c r="D164" s="6" t="s">
        <v>1408</v>
      </c>
      <c r="E164" s="6" t="s">
        <v>1392</v>
      </c>
      <c r="F164" s="6">
        <v>80019</v>
      </c>
      <c r="G164" s="6"/>
      <c r="H164" s="6"/>
    </row>
    <row r="165" ht="22.15" customHeight="1" spans="1:8">
      <c r="A165" s="6">
        <v>162</v>
      </c>
      <c r="B165" s="6" t="s">
        <v>1409</v>
      </c>
      <c r="C165" s="6" t="s">
        <v>1410</v>
      </c>
      <c r="D165" s="6" t="s">
        <v>1405</v>
      </c>
      <c r="E165" s="6" t="s">
        <v>1392</v>
      </c>
      <c r="F165" s="6">
        <v>80023</v>
      </c>
      <c r="G165" s="6"/>
      <c r="H165" s="6"/>
    </row>
    <row r="166" ht="22.15" customHeight="1" spans="1:8">
      <c r="A166" s="6">
        <v>163</v>
      </c>
      <c r="B166" s="6" t="s">
        <v>1411</v>
      </c>
      <c r="C166" s="6" t="s">
        <v>1412</v>
      </c>
      <c r="D166" s="6" t="s">
        <v>1408</v>
      </c>
      <c r="E166" s="6" t="s">
        <v>1392</v>
      </c>
      <c r="F166" s="6">
        <v>80011</v>
      </c>
      <c r="G166" s="6">
        <v>452400</v>
      </c>
      <c r="H166" s="6" t="s">
        <v>1413</v>
      </c>
    </row>
    <row r="167" ht="22.15" customHeight="1" spans="1:8">
      <c r="A167" s="6">
        <v>164</v>
      </c>
      <c r="B167" s="6" t="s">
        <v>1414</v>
      </c>
      <c r="C167" s="6" t="s">
        <v>1415</v>
      </c>
      <c r="D167" s="6" t="s">
        <v>1416</v>
      </c>
      <c r="E167" s="6" t="s">
        <v>1392</v>
      </c>
      <c r="F167" s="6">
        <v>80216</v>
      </c>
      <c r="G167" s="6"/>
      <c r="H167" s="6"/>
    </row>
    <row r="168" ht="22.15" customHeight="1" spans="1:8">
      <c r="A168" s="6">
        <v>165</v>
      </c>
      <c r="B168" s="6" t="s">
        <v>427</v>
      </c>
      <c r="C168" s="6" t="s">
        <v>1417</v>
      </c>
      <c r="D168" s="6" t="s">
        <v>1408</v>
      </c>
      <c r="E168" s="6" t="s">
        <v>1392</v>
      </c>
      <c r="F168" s="6">
        <v>80019</v>
      </c>
      <c r="G168" s="6"/>
      <c r="H168" s="6"/>
    </row>
    <row r="169" ht="22.15" customHeight="1" spans="1:8">
      <c r="A169" s="6">
        <v>166</v>
      </c>
      <c r="B169" s="6" t="s">
        <v>486</v>
      </c>
      <c r="C169" s="6" t="s">
        <v>1418</v>
      </c>
      <c r="D169" s="6" t="s">
        <v>1419</v>
      </c>
      <c r="E169" s="6" t="s">
        <v>1385</v>
      </c>
      <c r="F169" s="6">
        <v>48150</v>
      </c>
      <c r="G169" s="6"/>
      <c r="H169" s="6"/>
    </row>
    <row r="170" ht="22.15" customHeight="1" spans="1:8">
      <c r="A170" s="6">
        <v>167</v>
      </c>
      <c r="B170" s="6" t="s">
        <v>564</v>
      </c>
      <c r="C170" s="6" t="s">
        <v>1420</v>
      </c>
      <c r="D170" s="6" t="s">
        <v>1421</v>
      </c>
      <c r="E170" s="6" t="s">
        <v>1385</v>
      </c>
      <c r="F170" s="6">
        <v>48317</v>
      </c>
      <c r="G170" s="6"/>
      <c r="H170" s="6"/>
    </row>
    <row r="171" ht="22.15" customHeight="1" spans="1:8">
      <c r="A171" s="6">
        <v>168</v>
      </c>
      <c r="B171" s="6" t="s">
        <v>1422</v>
      </c>
      <c r="C171" s="6" t="s">
        <v>1423</v>
      </c>
      <c r="D171" s="6" t="s">
        <v>1424</v>
      </c>
      <c r="E171" s="6" t="s">
        <v>919</v>
      </c>
      <c r="F171" s="6" t="s">
        <v>1425</v>
      </c>
      <c r="G171" s="6"/>
      <c r="H171" s="6"/>
    </row>
    <row r="172" ht="22.15" customHeight="1" spans="1:8">
      <c r="A172" s="6">
        <v>169</v>
      </c>
      <c r="B172" s="6" t="s">
        <v>1426</v>
      </c>
      <c r="C172" s="6" t="s">
        <v>1427</v>
      </c>
      <c r="D172" s="6" t="s">
        <v>1428</v>
      </c>
      <c r="E172" s="6" t="s">
        <v>939</v>
      </c>
      <c r="F172" s="6">
        <v>7074</v>
      </c>
      <c r="G172" s="6">
        <v>75000</v>
      </c>
      <c r="H172" s="6" t="s">
        <v>1429</v>
      </c>
    </row>
    <row r="173" ht="22.15" customHeight="1" spans="1:8">
      <c r="A173" s="6">
        <v>170</v>
      </c>
      <c r="B173" s="6" t="s">
        <v>1430</v>
      </c>
      <c r="C173" s="6" t="s">
        <v>1431</v>
      </c>
      <c r="D173" s="6" t="s">
        <v>1432</v>
      </c>
      <c r="E173" s="6" t="s">
        <v>939</v>
      </c>
      <c r="F173" s="6">
        <v>8648</v>
      </c>
      <c r="G173" s="6"/>
      <c r="H173" s="6"/>
    </row>
    <row r="174" ht="22.15" customHeight="1" spans="1:8">
      <c r="A174" s="6">
        <v>171</v>
      </c>
      <c r="B174" s="6" t="s">
        <v>1433</v>
      </c>
      <c r="C174" s="6" t="s">
        <v>1434</v>
      </c>
      <c r="D174" s="6" t="s">
        <v>1435</v>
      </c>
      <c r="E174" s="6" t="s">
        <v>936</v>
      </c>
      <c r="F174" s="6">
        <v>94080</v>
      </c>
      <c r="G174" s="6"/>
      <c r="H174" s="6"/>
    </row>
    <row r="175" ht="22.15" customHeight="1" spans="1:8">
      <c r="A175" s="6">
        <v>172</v>
      </c>
      <c r="B175" s="6" t="s">
        <v>1436</v>
      </c>
      <c r="C175" s="6" t="s">
        <v>1437</v>
      </c>
      <c r="D175" s="6" t="s">
        <v>1375</v>
      </c>
      <c r="E175" s="6" t="s">
        <v>1155</v>
      </c>
      <c r="F175" s="6">
        <v>32653</v>
      </c>
      <c r="G175" s="6"/>
      <c r="H175" s="6"/>
    </row>
    <row r="176" ht="22.15" customHeight="1" spans="1:8">
      <c r="A176" s="6">
        <v>173</v>
      </c>
      <c r="B176" s="6" t="s">
        <v>1438</v>
      </c>
      <c r="C176" s="6" t="s">
        <v>1439</v>
      </c>
      <c r="D176" s="6" t="s">
        <v>1440</v>
      </c>
      <c r="E176" s="6" t="s">
        <v>1155</v>
      </c>
      <c r="F176" s="6">
        <v>33809</v>
      </c>
      <c r="G176" s="6"/>
      <c r="H176" s="6"/>
    </row>
    <row r="177" ht="22.15" customHeight="1" spans="1:8">
      <c r="A177" s="6">
        <v>174</v>
      </c>
      <c r="B177" s="6" t="s">
        <v>1441</v>
      </c>
      <c r="C177" s="6" t="s">
        <v>1442</v>
      </c>
      <c r="D177" s="6" t="s">
        <v>1443</v>
      </c>
      <c r="E177" s="6" t="s">
        <v>1155</v>
      </c>
      <c r="F177" s="6">
        <v>34292</v>
      </c>
      <c r="G177" s="6"/>
      <c r="H177" s="6"/>
    </row>
    <row r="178" ht="22.15" customHeight="1" spans="1:8">
      <c r="A178" s="6">
        <v>175</v>
      </c>
      <c r="B178" s="6" t="s">
        <v>1444</v>
      </c>
      <c r="C178" s="6" t="s">
        <v>1445</v>
      </c>
      <c r="D178" s="6" t="s">
        <v>1446</v>
      </c>
      <c r="E178" s="6" t="s">
        <v>936</v>
      </c>
      <c r="F178" s="6">
        <v>94561</v>
      </c>
      <c r="G178" s="6"/>
      <c r="H178" s="6"/>
    </row>
    <row r="179" ht="22.15" customHeight="1" spans="1:8">
      <c r="A179" s="6">
        <v>176</v>
      </c>
      <c r="B179" s="6" t="s">
        <v>1447</v>
      </c>
      <c r="C179" s="6" t="s">
        <v>1448</v>
      </c>
      <c r="D179" s="6" t="s">
        <v>1449</v>
      </c>
      <c r="E179" s="6" t="s">
        <v>936</v>
      </c>
      <c r="F179" s="6">
        <v>94550</v>
      </c>
      <c r="G179" s="6"/>
      <c r="H179" s="6"/>
    </row>
    <row r="180" ht="22.15" customHeight="1" spans="1:8">
      <c r="A180" s="6">
        <v>177</v>
      </c>
      <c r="B180" s="6" t="s">
        <v>1450</v>
      </c>
      <c r="C180" s="6" t="s">
        <v>1451</v>
      </c>
      <c r="D180" s="6" t="s">
        <v>1452</v>
      </c>
      <c r="E180" s="6" t="s">
        <v>936</v>
      </c>
      <c r="F180" s="6">
        <v>94806</v>
      </c>
      <c r="G180" s="6"/>
      <c r="H180" s="6"/>
    </row>
    <row r="181" ht="22.15" customHeight="1" spans="1:8">
      <c r="A181" s="6">
        <v>178</v>
      </c>
      <c r="B181" s="6" t="s">
        <v>1453</v>
      </c>
      <c r="C181" s="6" t="s">
        <v>1454</v>
      </c>
      <c r="D181" s="6" t="s">
        <v>1455</v>
      </c>
      <c r="E181" s="6" t="s">
        <v>1263</v>
      </c>
      <c r="F181" s="6">
        <v>75261</v>
      </c>
      <c r="G181" s="6"/>
      <c r="H181" s="6"/>
    </row>
    <row r="182" ht="22.15" customHeight="1" spans="1:8">
      <c r="A182" s="6">
        <v>179</v>
      </c>
      <c r="B182" s="6" t="s">
        <v>425</v>
      </c>
      <c r="C182" s="6" t="s">
        <v>1456</v>
      </c>
      <c r="D182" s="6" t="s">
        <v>1457</v>
      </c>
      <c r="E182" s="6" t="s">
        <v>1263</v>
      </c>
      <c r="F182" s="6" t="s">
        <v>1458</v>
      </c>
      <c r="G182" s="6"/>
      <c r="H182" s="6"/>
    </row>
    <row r="183" ht="22.15" customHeight="1" spans="1:8">
      <c r="A183" s="6">
        <v>180</v>
      </c>
      <c r="B183" s="6" t="s">
        <v>1459</v>
      </c>
      <c r="C183" s="6" t="s">
        <v>1460</v>
      </c>
      <c r="D183" s="6" t="s">
        <v>1268</v>
      </c>
      <c r="E183" s="6" t="s">
        <v>1263</v>
      </c>
      <c r="F183" s="6" t="s">
        <v>1461</v>
      </c>
      <c r="G183" s="6"/>
      <c r="H183" s="6"/>
    </row>
    <row r="184" ht="22.15" customHeight="1" spans="1:8">
      <c r="A184" s="6">
        <v>181</v>
      </c>
      <c r="B184" s="6" t="s">
        <v>1462</v>
      </c>
      <c r="C184" s="6" t="s">
        <v>1463</v>
      </c>
      <c r="D184" s="6" t="s">
        <v>1262</v>
      </c>
      <c r="E184" s="6" t="s">
        <v>1263</v>
      </c>
      <c r="F184" s="6">
        <v>75063</v>
      </c>
      <c r="G184" s="6">
        <v>428500</v>
      </c>
      <c r="H184" s="6" t="s">
        <v>1464</v>
      </c>
    </row>
    <row r="185" ht="22.15" customHeight="1" spans="1:8">
      <c r="A185" s="6">
        <v>182</v>
      </c>
      <c r="B185" s="6" t="s">
        <v>1465</v>
      </c>
      <c r="C185" s="6" t="s">
        <v>1454</v>
      </c>
      <c r="D185" s="6" t="s">
        <v>1262</v>
      </c>
      <c r="E185" s="6" t="s">
        <v>1263</v>
      </c>
      <c r="F185" s="6">
        <v>75063</v>
      </c>
      <c r="G185" s="6"/>
      <c r="H185" s="6"/>
    </row>
    <row r="186" ht="22.15" customHeight="1" spans="1:8">
      <c r="A186" s="6">
        <v>183</v>
      </c>
      <c r="B186" s="6" t="s">
        <v>1466</v>
      </c>
      <c r="C186" s="6" t="s">
        <v>1467</v>
      </c>
      <c r="D186" s="6" t="s">
        <v>1468</v>
      </c>
      <c r="E186" s="6" t="s">
        <v>961</v>
      </c>
      <c r="F186" s="6">
        <v>31407</v>
      </c>
      <c r="G186" s="6"/>
      <c r="H186" s="6"/>
    </row>
    <row r="187" ht="22.15" customHeight="1" spans="1:8">
      <c r="A187" s="6">
        <v>184</v>
      </c>
      <c r="B187" s="6" t="s">
        <v>1469</v>
      </c>
      <c r="C187" s="6" t="s">
        <v>1470</v>
      </c>
      <c r="D187" s="6" t="s">
        <v>1471</v>
      </c>
      <c r="E187" s="6" t="s">
        <v>961</v>
      </c>
      <c r="F187" s="6">
        <v>30518</v>
      </c>
      <c r="G187" s="6"/>
      <c r="H187" s="6"/>
    </row>
    <row r="188" ht="22.15" customHeight="1" spans="1:8">
      <c r="A188" s="6">
        <v>185</v>
      </c>
      <c r="B188" s="6" t="s">
        <v>1472</v>
      </c>
      <c r="C188" s="6" t="s">
        <v>1473</v>
      </c>
      <c r="D188" s="6" t="s">
        <v>1474</v>
      </c>
      <c r="E188" s="6" t="s">
        <v>1263</v>
      </c>
      <c r="F188" s="6">
        <v>77494</v>
      </c>
      <c r="G188" s="6"/>
      <c r="H188" s="6"/>
    </row>
    <row r="189" ht="22.15" customHeight="1" spans="1:8">
      <c r="A189" s="6">
        <v>186</v>
      </c>
      <c r="B189" s="6" t="s">
        <v>1475</v>
      </c>
      <c r="C189" s="6" t="s">
        <v>1476</v>
      </c>
      <c r="D189" s="6" t="s">
        <v>1477</v>
      </c>
      <c r="E189" s="6" t="s">
        <v>1263</v>
      </c>
      <c r="F189" s="6">
        <v>77032</v>
      </c>
      <c r="G189" s="6"/>
      <c r="H189" s="6"/>
    </row>
    <row r="190" ht="22.15" customHeight="1" spans="1:8">
      <c r="A190" s="6">
        <v>187</v>
      </c>
      <c r="B190" s="6" t="s">
        <v>1478</v>
      </c>
      <c r="C190" s="6" t="s">
        <v>1479</v>
      </c>
      <c r="D190" s="6" t="s">
        <v>1480</v>
      </c>
      <c r="E190" s="6" t="s">
        <v>1263</v>
      </c>
      <c r="F190" s="6">
        <v>77478</v>
      </c>
      <c r="G190" s="6"/>
      <c r="H190" s="6"/>
    </row>
    <row r="191" ht="22.15" customHeight="1" spans="1:8">
      <c r="A191" s="6">
        <v>188</v>
      </c>
      <c r="B191" s="6" t="s">
        <v>1481</v>
      </c>
      <c r="C191" s="6" t="s">
        <v>1482</v>
      </c>
      <c r="D191" s="6" t="s">
        <v>1483</v>
      </c>
      <c r="E191" s="6" t="s">
        <v>1263</v>
      </c>
      <c r="F191" s="6">
        <v>75051</v>
      </c>
      <c r="G191" s="6"/>
      <c r="H191" s="6"/>
    </row>
    <row r="192" ht="22.15" customHeight="1" spans="1:8">
      <c r="A192" s="6">
        <v>189</v>
      </c>
      <c r="B192" s="6" t="s">
        <v>1484</v>
      </c>
      <c r="C192" s="6" t="s">
        <v>1485</v>
      </c>
      <c r="D192" s="6" t="s">
        <v>1486</v>
      </c>
      <c r="E192" s="6" t="s">
        <v>1487</v>
      </c>
      <c r="F192" s="6">
        <v>50111</v>
      </c>
      <c r="G192" s="6"/>
      <c r="H192" s="6"/>
    </row>
    <row r="193" ht="22.15" customHeight="1" spans="1:8">
      <c r="A193" s="6">
        <v>190</v>
      </c>
      <c r="B193" s="6" t="s">
        <v>1488</v>
      </c>
      <c r="C193" s="6" t="s">
        <v>1489</v>
      </c>
      <c r="D193" s="6" t="s">
        <v>1490</v>
      </c>
      <c r="E193" s="6" t="s">
        <v>1487</v>
      </c>
      <c r="F193" s="6">
        <v>52240</v>
      </c>
      <c r="G193" s="6"/>
      <c r="H193" s="6"/>
    </row>
    <row r="194" ht="22.15" customHeight="1" spans="1:8">
      <c r="A194" s="6">
        <v>191</v>
      </c>
      <c r="B194" s="6" t="s">
        <v>1491</v>
      </c>
      <c r="C194" s="6" t="s">
        <v>1492</v>
      </c>
      <c r="D194" s="6" t="s">
        <v>1165</v>
      </c>
      <c r="E194" s="6" t="s">
        <v>1166</v>
      </c>
      <c r="F194" s="6">
        <v>60632</v>
      </c>
      <c r="G194" s="6"/>
      <c r="H194" s="6"/>
    </row>
    <row r="195" ht="22.15" customHeight="1" spans="1:8">
      <c r="A195" s="6">
        <v>192</v>
      </c>
      <c r="B195" s="6" t="s">
        <v>1493</v>
      </c>
      <c r="C195" s="6" t="s">
        <v>1494</v>
      </c>
      <c r="D195" s="6" t="s">
        <v>1495</v>
      </c>
      <c r="E195" s="6" t="s">
        <v>1166</v>
      </c>
      <c r="F195" s="6">
        <v>60185</v>
      </c>
      <c r="G195" s="6"/>
      <c r="H195" s="6"/>
    </row>
    <row r="196" ht="22.15" customHeight="1" spans="1:8">
      <c r="A196" s="6">
        <v>193</v>
      </c>
      <c r="B196" s="6" t="s">
        <v>1496</v>
      </c>
      <c r="C196" s="6" t="s">
        <v>1497</v>
      </c>
      <c r="D196" s="6" t="s">
        <v>1498</v>
      </c>
      <c r="E196" s="6" t="s">
        <v>1499</v>
      </c>
      <c r="F196" s="6">
        <v>46809</v>
      </c>
      <c r="G196" s="6"/>
      <c r="H196" s="6"/>
    </row>
    <row r="197" ht="22.15" customHeight="1" spans="1:8">
      <c r="A197" s="6">
        <v>194</v>
      </c>
      <c r="B197" s="6" t="s">
        <v>1500</v>
      </c>
      <c r="C197" s="6" t="s">
        <v>1501</v>
      </c>
      <c r="D197" s="6" t="s">
        <v>1502</v>
      </c>
      <c r="E197" s="6" t="s">
        <v>1155</v>
      </c>
      <c r="F197" s="6">
        <v>32226</v>
      </c>
      <c r="G197" s="6">
        <v>63000</v>
      </c>
      <c r="H197" s="6" t="s">
        <v>1503</v>
      </c>
    </row>
    <row r="198" ht="22.15" customHeight="1" spans="1:8">
      <c r="A198" s="6">
        <v>195</v>
      </c>
      <c r="B198" s="6" t="s">
        <v>1504</v>
      </c>
      <c r="C198" s="6" t="s">
        <v>1505</v>
      </c>
      <c r="D198" s="6" t="s">
        <v>1506</v>
      </c>
      <c r="E198" s="6" t="s">
        <v>939</v>
      </c>
      <c r="F198" s="6">
        <v>8066</v>
      </c>
      <c r="G198" s="6"/>
      <c r="H198" s="6"/>
    </row>
    <row r="199" ht="22.15" customHeight="1" spans="1:8">
      <c r="A199" s="6">
        <v>196</v>
      </c>
      <c r="B199" s="6" t="s">
        <v>1507</v>
      </c>
      <c r="C199" s="6" t="s">
        <v>1508</v>
      </c>
      <c r="D199" s="6" t="s">
        <v>1509</v>
      </c>
      <c r="E199" s="6" t="s">
        <v>939</v>
      </c>
      <c r="F199" s="6">
        <v>7305</v>
      </c>
      <c r="G199" s="6"/>
      <c r="H199" s="6"/>
    </row>
    <row r="200" ht="22.15" customHeight="1" spans="1:8">
      <c r="A200" s="6">
        <v>197</v>
      </c>
      <c r="B200" s="6" t="s">
        <v>1510</v>
      </c>
      <c r="C200" s="6" t="s">
        <v>1511</v>
      </c>
      <c r="D200" s="6" t="s">
        <v>1502</v>
      </c>
      <c r="E200" s="6" t="s">
        <v>1155</v>
      </c>
      <c r="F200" s="6">
        <v>32218</v>
      </c>
      <c r="G200" s="6"/>
      <c r="H200" s="6"/>
    </row>
    <row r="201" ht="22.15" customHeight="1" spans="1:8">
      <c r="A201" s="6">
        <v>198</v>
      </c>
      <c r="B201" s="6" t="s">
        <v>1512</v>
      </c>
      <c r="C201" s="6" t="s">
        <v>1513</v>
      </c>
      <c r="D201" s="6" t="s">
        <v>1514</v>
      </c>
      <c r="E201" s="6" t="s">
        <v>939</v>
      </c>
      <c r="F201" s="6">
        <v>7072</v>
      </c>
      <c r="G201" s="6"/>
      <c r="H201" s="6"/>
    </row>
    <row r="202" ht="22.15" customHeight="1" spans="1:8">
      <c r="A202" s="6">
        <v>199</v>
      </c>
      <c r="B202" s="6" t="s">
        <v>1515</v>
      </c>
      <c r="C202" s="6" t="s">
        <v>1516</v>
      </c>
      <c r="D202" s="6" t="s">
        <v>1034</v>
      </c>
      <c r="E202" s="6" t="s">
        <v>939</v>
      </c>
      <c r="F202" s="6">
        <v>7008</v>
      </c>
      <c r="G202" s="6"/>
      <c r="H202" s="6"/>
    </row>
    <row r="203" ht="22.15" customHeight="1" spans="1:8">
      <c r="A203" s="6">
        <v>200</v>
      </c>
      <c r="B203" s="6" t="s">
        <v>1517</v>
      </c>
      <c r="C203" s="6" t="s">
        <v>1518</v>
      </c>
      <c r="D203" s="6" t="s">
        <v>1519</v>
      </c>
      <c r="E203" s="6" t="s">
        <v>939</v>
      </c>
      <c r="F203" s="6">
        <v>7105</v>
      </c>
      <c r="G203" s="6"/>
      <c r="H203" s="6"/>
    </row>
    <row r="204" ht="22.15" customHeight="1" spans="1:8">
      <c r="A204" s="6">
        <v>201</v>
      </c>
      <c r="B204" s="6" t="s">
        <v>1520</v>
      </c>
      <c r="C204" s="6" t="s">
        <v>1521</v>
      </c>
      <c r="D204" s="6" t="s">
        <v>1522</v>
      </c>
      <c r="E204" s="6" t="s">
        <v>965</v>
      </c>
      <c r="F204" s="6">
        <v>45204</v>
      </c>
      <c r="G204" s="6"/>
      <c r="H204" s="6"/>
    </row>
    <row r="205" ht="22.15" customHeight="1" spans="1:8">
      <c r="A205" s="6">
        <v>202</v>
      </c>
      <c r="B205" s="6" t="s">
        <v>1523</v>
      </c>
      <c r="C205" s="6" t="s">
        <v>1524</v>
      </c>
      <c r="D205" s="6" t="s">
        <v>1525</v>
      </c>
      <c r="E205" s="6" t="s">
        <v>936</v>
      </c>
      <c r="F205" s="6">
        <v>90301</v>
      </c>
      <c r="G205" s="6">
        <v>27740</v>
      </c>
      <c r="H205" s="6" t="s">
        <v>1526</v>
      </c>
    </row>
    <row r="206" ht="22.15" customHeight="1" spans="1:8">
      <c r="A206" s="6">
        <v>203</v>
      </c>
      <c r="B206" s="6" t="s">
        <v>1527</v>
      </c>
      <c r="C206" s="6" t="s">
        <v>1528</v>
      </c>
      <c r="D206" s="6" t="s">
        <v>1529</v>
      </c>
      <c r="E206" s="6" t="s">
        <v>936</v>
      </c>
      <c r="F206" s="6">
        <v>90621</v>
      </c>
      <c r="G206" s="6">
        <v>330000</v>
      </c>
      <c r="H206" s="6" t="s">
        <v>1530</v>
      </c>
    </row>
    <row r="207" ht="22.15" customHeight="1" spans="1:8">
      <c r="A207" s="6">
        <v>204</v>
      </c>
      <c r="B207" s="6" t="s">
        <v>1531</v>
      </c>
      <c r="C207" s="6" t="s">
        <v>1532</v>
      </c>
      <c r="D207" s="6" t="s">
        <v>1533</v>
      </c>
      <c r="E207" s="6" t="s">
        <v>936</v>
      </c>
      <c r="F207" s="6">
        <v>90040</v>
      </c>
      <c r="G207" s="6">
        <v>48400</v>
      </c>
      <c r="H207" s="6" t="s">
        <v>1526</v>
      </c>
    </row>
    <row r="208" ht="22.15" customHeight="1" spans="1:8">
      <c r="A208" s="6">
        <v>205</v>
      </c>
      <c r="B208" s="6" t="s">
        <v>1534</v>
      </c>
      <c r="C208" s="6" t="s">
        <v>1535</v>
      </c>
      <c r="D208" s="6" t="s">
        <v>1536</v>
      </c>
      <c r="E208" s="6" t="s">
        <v>936</v>
      </c>
      <c r="F208" s="6">
        <v>91311</v>
      </c>
      <c r="G208" s="6">
        <v>29200</v>
      </c>
      <c r="H208" s="6" t="s">
        <v>1537</v>
      </c>
    </row>
    <row r="209" ht="22.15" customHeight="1" spans="1:8">
      <c r="A209" s="6">
        <v>206</v>
      </c>
      <c r="B209" s="6" t="s">
        <v>1538</v>
      </c>
      <c r="C209" s="6" t="s">
        <v>1539</v>
      </c>
      <c r="D209" s="6" t="s">
        <v>1540</v>
      </c>
      <c r="E209" s="6" t="s">
        <v>936</v>
      </c>
      <c r="F209" s="6">
        <v>92507</v>
      </c>
      <c r="G209" s="6">
        <v>36000</v>
      </c>
      <c r="H209" s="6" t="s">
        <v>1541</v>
      </c>
    </row>
    <row r="210" ht="22.15" customHeight="1" spans="1:8">
      <c r="A210" s="6">
        <v>207</v>
      </c>
      <c r="B210" s="6" t="s">
        <v>1542</v>
      </c>
      <c r="C210" s="6" t="s">
        <v>1543</v>
      </c>
      <c r="D210" s="6" t="s">
        <v>1544</v>
      </c>
      <c r="E210" s="6" t="s">
        <v>936</v>
      </c>
      <c r="F210" s="6">
        <v>90250</v>
      </c>
      <c r="G210" s="6">
        <v>170000</v>
      </c>
      <c r="H210" s="6" t="s">
        <v>1526</v>
      </c>
    </row>
    <row r="211" ht="22.15" customHeight="1" spans="1:8">
      <c r="A211" s="6">
        <v>208</v>
      </c>
      <c r="B211" s="6" t="s">
        <v>1545</v>
      </c>
      <c r="C211" s="6" t="s">
        <v>1546</v>
      </c>
      <c r="D211" s="6" t="s">
        <v>1547</v>
      </c>
      <c r="E211" s="6" t="s">
        <v>1126</v>
      </c>
      <c r="F211" s="6">
        <v>21060</v>
      </c>
      <c r="G211" s="6"/>
      <c r="H211" s="6"/>
    </row>
    <row r="212" ht="22.15" customHeight="1" spans="1:8">
      <c r="A212" s="6">
        <v>209</v>
      </c>
      <c r="B212" s="6" t="s">
        <v>1548</v>
      </c>
      <c r="C212" s="6" t="s">
        <v>1549</v>
      </c>
      <c r="D212" s="6" t="s">
        <v>1550</v>
      </c>
      <c r="E212" s="6" t="s">
        <v>1126</v>
      </c>
      <c r="F212" s="6">
        <v>20706</v>
      </c>
      <c r="G212" s="6"/>
      <c r="H212" s="6"/>
    </row>
    <row r="213" ht="22.15" customHeight="1" spans="1:8">
      <c r="A213" s="6">
        <v>210</v>
      </c>
      <c r="B213" s="6" t="s">
        <v>1551</v>
      </c>
      <c r="C213" s="6" t="s">
        <v>1552</v>
      </c>
      <c r="D213" s="6" t="s">
        <v>1553</v>
      </c>
      <c r="E213" s="6" t="s">
        <v>1166</v>
      </c>
      <c r="F213" s="6">
        <v>62040</v>
      </c>
      <c r="G213" s="6"/>
      <c r="H213" s="6"/>
    </row>
    <row r="214" ht="22.15" customHeight="1" spans="1:8">
      <c r="A214" s="6">
        <v>211</v>
      </c>
      <c r="B214" s="6" t="s">
        <v>1554</v>
      </c>
      <c r="C214" s="6" t="s">
        <v>1555</v>
      </c>
      <c r="D214" s="6" t="s">
        <v>1556</v>
      </c>
      <c r="E214" s="6" t="s">
        <v>1557</v>
      </c>
      <c r="F214" s="6">
        <v>63042</v>
      </c>
      <c r="G214" s="6"/>
      <c r="H214" s="6"/>
    </row>
    <row r="215" ht="22.15" customHeight="1" spans="1:8">
      <c r="A215" s="6">
        <v>212</v>
      </c>
      <c r="B215" s="6" t="s">
        <v>1558</v>
      </c>
      <c r="C215" s="6" t="s">
        <v>1559</v>
      </c>
      <c r="D215" s="6" t="s">
        <v>1560</v>
      </c>
      <c r="E215" s="6" t="s">
        <v>1166</v>
      </c>
      <c r="F215" s="6">
        <v>60804</v>
      </c>
      <c r="G215" s="6"/>
      <c r="H215" s="6"/>
    </row>
    <row r="216" ht="22.15" customHeight="1" spans="1:8">
      <c r="A216" s="6">
        <v>213</v>
      </c>
      <c r="B216" s="6" t="s">
        <v>1561</v>
      </c>
      <c r="C216" s="6" t="s">
        <v>1562</v>
      </c>
      <c r="D216" s="6" t="s">
        <v>1165</v>
      </c>
      <c r="E216" s="6" t="s">
        <v>1166</v>
      </c>
      <c r="F216" s="6">
        <v>60628</v>
      </c>
      <c r="G216" s="6"/>
      <c r="H216" s="6"/>
    </row>
    <row r="217" ht="22.15" customHeight="1" spans="1:8">
      <c r="A217" s="6">
        <v>214</v>
      </c>
      <c r="B217" s="6" t="s">
        <v>1563</v>
      </c>
      <c r="C217" s="6" t="s">
        <v>1564</v>
      </c>
      <c r="D217" s="6" t="s">
        <v>1565</v>
      </c>
      <c r="E217" s="6" t="s">
        <v>1166</v>
      </c>
      <c r="F217" s="6">
        <v>60067</v>
      </c>
      <c r="G217" s="6"/>
      <c r="H217" s="6"/>
    </row>
    <row r="218" ht="22.15" customHeight="1" spans="1:8">
      <c r="A218" s="6">
        <v>215</v>
      </c>
      <c r="B218" s="6" t="s">
        <v>1566</v>
      </c>
      <c r="C218" s="6" t="s">
        <v>1567</v>
      </c>
      <c r="D218" s="6" t="s">
        <v>1568</v>
      </c>
      <c r="E218" s="6" t="s">
        <v>1569</v>
      </c>
      <c r="F218" s="6">
        <v>72209</v>
      </c>
      <c r="G218" s="6"/>
      <c r="H218" s="6"/>
    </row>
    <row r="219" ht="22.15" customHeight="1" spans="1:8">
      <c r="A219" s="6">
        <v>216</v>
      </c>
      <c r="B219" s="6" t="s">
        <v>1570</v>
      </c>
      <c r="C219" s="6" t="s">
        <v>1571</v>
      </c>
      <c r="D219" s="6" t="s">
        <v>1572</v>
      </c>
      <c r="E219" s="6" t="s">
        <v>1196</v>
      </c>
      <c r="F219" s="6">
        <v>28027</v>
      </c>
      <c r="G219" s="6"/>
      <c r="H219" s="6"/>
    </row>
    <row r="220" ht="22.15" customHeight="1" spans="1:8">
      <c r="A220" s="6">
        <v>217</v>
      </c>
      <c r="B220" s="6" t="s">
        <v>1573</v>
      </c>
      <c r="C220" s="6" t="s">
        <v>1574</v>
      </c>
      <c r="D220" s="6" t="s">
        <v>1575</v>
      </c>
      <c r="E220" s="6" t="s">
        <v>1196</v>
      </c>
      <c r="F220" s="6">
        <v>27284</v>
      </c>
      <c r="G220" s="6"/>
      <c r="H220" s="6"/>
    </row>
    <row r="221" ht="22.15" customHeight="1" spans="1:8">
      <c r="A221" s="6">
        <v>218</v>
      </c>
      <c r="B221" s="6" t="s">
        <v>1576</v>
      </c>
      <c r="C221" s="6" t="s">
        <v>1577</v>
      </c>
      <c r="D221" s="6" t="s">
        <v>1578</v>
      </c>
      <c r="E221" s="6" t="s">
        <v>1579</v>
      </c>
      <c r="F221" s="6">
        <v>89506</v>
      </c>
      <c r="G221" s="6"/>
      <c r="H221" s="6"/>
    </row>
    <row r="222" ht="22.15" customHeight="1" spans="1:8">
      <c r="A222" s="6">
        <v>219</v>
      </c>
      <c r="B222" s="6" t="s">
        <v>1580</v>
      </c>
      <c r="C222" s="6" t="s">
        <v>1581</v>
      </c>
      <c r="D222" s="6" t="s">
        <v>1582</v>
      </c>
      <c r="E222" s="6" t="s">
        <v>936</v>
      </c>
      <c r="F222" s="6">
        <v>92707</v>
      </c>
      <c r="G222" s="6"/>
      <c r="H222" s="6"/>
    </row>
    <row r="223" ht="22.15" customHeight="1" spans="1:8">
      <c r="A223" s="6">
        <v>220</v>
      </c>
      <c r="B223" s="6" t="s">
        <v>1583</v>
      </c>
      <c r="C223" s="6" t="s">
        <v>1584</v>
      </c>
      <c r="D223" s="6" t="s">
        <v>1585</v>
      </c>
      <c r="E223" s="6" t="s">
        <v>936</v>
      </c>
      <c r="F223" s="6">
        <v>90230</v>
      </c>
      <c r="G223" s="6"/>
      <c r="H223" s="6"/>
    </row>
    <row r="224" ht="22.15" customHeight="1" spans="1:8">
      <c r="A224" s="6">
        <v>221</v>
      </c>
      <c r="B224" s="6" t="s">
        <v>1586</v>
      </c>
      <c r="C224" s="6" t="s">
        <v>1587</v>
      </c>
      <c r="D224" s="6" t="s">
        <v>1154</v>
      </c>
      <c r="E224" s="6" t="s">
        <v>1155</v>
      </c>
      <c r="F224" s="6">
        <v>32189</v>
      </c>
      <c r="G224" s="6"/>
      <c r="H224" s="6" t="s">
        <v>1588</v>
      </c>
    </row>
    <row r="225" ht="22.15" customHeight="1" spans="1:8">
      <c r="A225" s="6">
        <v>222</v>
      </c>
      <c r="B225" s="6" t="s">
        <v>1589</v>
      </c>
      <c r="C225" s="6" t="s">
        <v>1590</v>
      </c>
      <c r="D225" s="6" t="s">
        <v>1591</v>
      </c>
      <c r="E225" s="6" t="s">
        <v>1155</v>
      </c>
      <c r="F225" s="6">
        <v>33169</v>
      </c>
      <c r="G225" s="6">
        <v>37400</v>
      </c>
      <c r="H225" s="6" t="s">
        <v>1592</v>
      </c>
    </row>
    <row r="226" ht="22.15" customHeight="1" spans="1:8">
      <c r="A226" s="6">
        <v>223</v>
      </c>
      <c r="B226" s="6" t="s">
        <v>1593</v>
      </c>
      <c r="C226" s="6" t="s">
        <v>1594</v>
      </c>
      <c r="D226" s="6" t="s">
        <v>1595</v>
      </c>
      <c r="E226" s="6" t="s">
        <v>1126</v>
      </c>
      <c r="F226" s="6">
        <v>21040</v>
      </c>
      <c r="G226" s="6"/>
      <c r="H226" s="6"/>
    </row>
    <row r="227" ht="22.15" customHeight="1" spans="1:8">
      <c r="A227" s="6">
        <v>224</v>
      </c>
      <c r="B227" s="6" t="s">
        <v>1596</v>
      </c>
      <c r="C227" s="6" t="s">
        <v>1597</v>
      </c>
      <c r="D227" s="6" t="s">
        <v>1598</v>
      </c>
      <c r="E227" s="6" t="s">
        <v>1126</v>
      </c>
      <c r="F227" s="6">
        <v>20602</v>
      </c>
      <c r="G227" s="6"/>
      <c r="H227" s="6"/>
    </row>
    <row r="228" ht="22.15" customHeight="1" spans="1:8">
      <c r="A228" s="6">
        <v>225</v>
      </c>
      <c r="B228" s="6" t="s">
        <v>1599</v>
      </c>
      <c r="C228" s="6" t="s">
        <v>1600</v>
      </c>
      <c r="D228" s="6" t="s">
        <v>1601</v>
      </c>
      <c r="E228" s="6" t="s">
        <v>1126</v>
      </c>
      <c r="F228" s="6">
        <v>20774</v>
      </c>
      <c r="G228" s="6"/>
      <c r="H228" s="6"/>
    </row>
    <row r="229" ht="22.15" customHeight="1" spans="1:8">
      <c r="A229" s="6">
        <v>226</v>
      </c>
      <c r="B229" s="6" t="s">
        <v>1602</v>
      </c>
      <c r="C229" s="6" t="s">
        <v>1603</v>
      </c>
      <c r="D229" s="6" t="s">
        <v>1604</v>
      </c>
      <c r="E229" s="6" t="s">
        <v>1155</v>
      </c>
      <c r="F229" s="6">
        <v>33064</v>
      </c>
      <c r="G229" s="6"/>
      <c r="H229" s="6"/>
    </row>
    <row r="230" ht="22.15" customHeight="1" spans="1:8">
      <c r="A230" s="6">
        <v>227</v>
      </c>
      <c r="B230" s="6" t="s">
        <v>1605</v>
      </c>
      <c r="C230" s="6" t="s">
        <v>1606</v>
      </c>
      <c r="D230" s="6" t="s">
        <v>1607</v>
      </c>
      <c r="E230" s="6" t="s">
        <v>1155</v>
      </c>
      <c r="F230" s="6">
        <v>33762</v>
      </c>
      <c r="G230" s="6"/>
      <c r="H230" s="6"/>
    </row>
    <row r="231" ht="22.15" customHeight="1" spans="1:8">
      <c r="A231" s="6">
        <v>228</v>
      </c>
      <c r="B231" s="6" t="s">
        <v>1608</v>
      </c>
      <c r="C231" s="6" t="s">
        <v>1609</v>
      </c>
      <c r="D231" s="6" t="s">
        <v>1610</v>
      </c>
      <c r="E231" s="6" t="s">
        <v>1096</v>
      </c>
      <c r="F231" s="6">
        <v>2151</v>
      </c>
      <c r="G231" s="6"/>
      <c r="H231" s="6"/>
    </row>
    <row r="232" ht="22.15" customHeight="1" spans="1:8">
      <c r="A232" s="6">
        <v>229</v>
      </c>
      <c r="B232" s="6" t="s">
        <v>1611</v>
      </c>
      <c r="C232" s="6" t="s">
        <v>1612</v>
      </c>
      <c r="D232" s="6" t="s">
        <v>1613</v>
      </c>
      <c r="E232" s="6" t="s">
        <v>1155</v>
      </c>
      <c r="F232" s="6">
        <v>33122</v>
      </c>
      <c r="G232" s="6">
        <v>117200</v>
      </c>
      <c r="H232" s="6" t="s">
        <v>1614</v>
      </c>
    </row>
    <row r="233" ht="22.15" customHeight="1" spans="1:8">
      <c r="A233" s="6">
        <v>230</v>
      </c>
      <c r="B233" s="6" t="s">
        <v>1615</v>
      </c>
      <c r="C233" s="6" t="s">
        <v>1616</v>
      </c>
      <c r="D233" s="6" t="s">
        <v>1617</v>
      </c>
      <c r="E233" s="6" t="s">
        <v>1618</v>
      </c>
      <c r="F233" s="6">
        <v>53125</v>
      </c>
      <c r="G233" s="6">
        <v>50000</v>
      </c>
      <c r="H233" s="6" t="s">
        <v>1619</v>
      </c>
    </row>
    <row r="234" ht="22.15" customHeight="1" spans="1:8">
      <c r="A234" s="6">
        <v>231</v>
      </c>
      <c r="B234" s="6" t="s">
        <v>1620</v>
      </c>
      <c r="C234" s="6" t="s">
        <v>1621</v>
      </c>
      <c r="D234" s="6" t="s">
        <v>1622</v>
      </c>
      <c r="E234" s="6" t="s">
        <v>1618</v>
      </c>
      <c r="F234" s="6">
        <v>53144</v>
      </c>
      <c r="G234" s="6"/>
      <c r="H234" s="6"/>
    </row>
    <row r="235" ht="22.15" customHeight="1" spans="1:8">
      <c r="A235" s="6">
        <v>232</v>
      </c>
      <c r="B235" s="6" t="s">
        <v>1623</v>
      </c>
      <c r="C235" s="6" t="s">
        <v>1624</v>
      </c>
      <c r="D235" s="6" t="s">
        <v>1625</v>
      </c>
      <c r="E235" s="6" t="s">
        <v>1618</v>
      </c>
      <c r="F235" s="6">
        <v>53177</v>
      </c>
      <c r="G235" s="6"/>
      <c r="H235" s="6"/>
    </row>
    <row r="236" ht="22.15" customHeight="1" spans="1:8">
      <c r="A236" s="6">
        <v>233</v>
      </c>
      <c r="B236" s="6" t="s">
        <v>1626</v>
      </c>
      <c r="C236" s="6" t="s">
        <v>1627</v>
      </c>
      <c r="D236" s="6" t="s">
        <v>1628</v>
      </c>
      <c r="E236" s="6" t="s">
        <v>1629</v>
      </c>
      <c r="F236" s="6">
        <v>55121</v>
      </c>
      <c r="G236" s="6">
        <v>142000</v>
      </c>
      <c r="H236" s="6" t="s">
        <v>1630</v>
      </c>
    </row>
    <row r="237" ht="22.15" customHeight="1" spans="1:8">
      <c r="A237" s="6">
        <v>234</v>
      </c>
      <c r="B237" s="6" t="s">
        <v>1631</v>
      </c>
      <c r="C237" s="6" t="s">
        <v>1632</v>
      </c>
      <c r="D237" s="6" t="s">
        <v>1633</v>
      </c>
      <c r="E237" s="6" t="s">
        <v>1155</v>
      </c>
      <c r="F237" s="6">
        <v>33431</v>
      </c>
      <c r="G237" s="6"/>
      <c r="H237" s="6"/>
    </row>
    <row r="238" ht="22.15" customHeight="1" spans="1:8">
      <c r="A238" s="6">
        <v>235</v>
      </c>
      <c r="B238" s="6" t="s">
        <v>1634</v>
      </c>
      <c r="C238" s="6" t="s">
        <v>1033</v>
      </c>
      <c r="D238" s="6" t="s">
        <v>1034</v>
      </c>
      <c r="E238" s="6" t="s">
        <v>939</v>
      </c>
      <c r="F238" s="6" t="s">
        <v>1035</v>
      </c>
      <c r="G238" s="6"/>
      <c r="H238" s="6"/>
    </row>
    <row r="239" ht="22.15" customHeight="1" spans="1:8">
      <c r="A239" s="6">
        <v>236</v>
      </c>
      <c r="B239" s="6" t="s">
        <v>1635</v>
      </c>
      <c r="C239" s="6" t="s">
        <v>1636</v>
      </c>
      <c r="D239" s="6" t="s">
        <v>1514</v>
      </c>
      <c r="E239" s="6" t="s">
        <v>939</v>
      </c>
      <c r="F239" s="6">
        <v>7072</v>
      </c>
      <c r="G239" s="6"/>
      <c r="H239" s="6"/>
    </row>
    <row r="240" ht="22.15" customHeight="1" spans="1:8">
      <c r="A240" s="6">
        <v>237</v>
      </c>
      <c r="B240" s="6" t="s">
        <v>1637</v>
      </c>
      <c r="C240" s="6" t="s">
        <v>1638</v>
      </c>
      <c r="D240" s="6" t="s">
        <v>1639</v>
      </c>
      <c r="E240" s="6" t="s">
        <v>939</v>
      </c>
      <c r="F240" s="6">
        <v>7828</v>
      </c>
      <c r="G240" s="6"/>
      <c r="H240" s="6"/>
    </row>
    <row r="241" ht="22.15" customHeight="1" spans="1:8">
      <c r="A241" s="6">
        <v>238</v>
      </c>
      <c r="B241" s="6" t="s">
        <v>1640</v>
      </c>
      <c r="C241" s="6" t="s">
        <v>1641</v>
      </c>
      <c r="D241" s="6" t="s">
        <v>1642</v>
      </c>
      <c r="E241" s="6" t="s">
        <v>1643</v>
      </c>
      <c r="F241" s="6">
        <v>70123</v>
      </c>
      <c r="G241" s="6"/>
      <c r="H241" s="6"/>
    </row>
    <row r="242" ht="22.15" customHeight="1" spans="1:8">
      <c r="A242" s="6">
        <v>239</v>
      </c>
      <c r="B242" s="6" t="s">
        <v>1644</v>
      </c>
      <c r="C242" s="6" t="s">
        <v>1645</v>
      </c>
      <c r="D242" s="6" t="s">
        <v>1646</v>
      </c>
      <c r="E242" s="6" t="s">
        <v>1017</v>
      </c>
      <c r="F242" s="6">
        <v>6492</v>
      </c>
      <c r="G242" s="6"/>
      <c r="H242" s="6"/>
    </row>
    <row r="243" ht="22.15" customHeight="1" spans="1:8">
      <c r="A243" s="6">
        <v>240</v>
      </c>
      <c r="B243" s="6" t="s">
        <v>1647</v>
      </c>
      <c r="C243" s="6" t="s">
        <v>1648</v>
      </c>
      <c r="D243" s="6" t="s">
        <v>1649</v>
      </c>
      <c r="E243" s="6" t="s">
        <v>1017</v>
      </c>
      <c r="F243" s="6">
        <v>6615</v>
      </c>
      <c r="G243" s="6"/>
      <c r="H243" s="6"/>
    </row>
    <row r="244" ht="22.15" customHeight="1" spans="1:8">
      <c r="A244" s="6">
        <v>241</v>
      </c>
      <c r="B244" s="6" t="s">
        <v>1650</v>
      </c>
      <c r="C244" s="6" t="s">
        <v>1651</v>
      </c>
      <c r="D244" s="6" t="s">
        <v>1652</v>
      </c>
      <c r="E244" s="6" t="s">
        <v>1653</v>
      </c>
      <c r="F244" s="6">
        <v>73179</v>
      </c>
      <c r="G244" s="6"/>
      <c r="H244" s="6"/>
    </row>
    <row r="245" ht="22.15" customHeight="1" spans="1:8">
      <c r="A245" s="6">
        <v>242</v>
      </c>
      <c r="B245" s="6" t="s">
        <v>1654</v>
      </c>
      <c r="C245" s="6"/>
      <c r="D245" s="6" t="s">
        <v>1655</v>
      </c>
      <c r="E245" s="6" t="s">
        <v>1656</v>
      </c>
      <c r="F245" s="6">
        <v>75234</v>
      </c>
      <c r="G245" s="6"/>
      <c r="H245" s="6" t="s">
        <v>1657</v>
      </c>
    </row>
    <row r="246" ht="22.15" customHeight="1" spans="1:8">
      <c r="A246" s="6">
        <v>243</v>
      </c>
      <c r="B246" s="6" t="s">
        <v>1658</v>
      </c>
      <c r="C246" s="6" t="s">
        <v>1659</v>
      </c>
      <c r="D246" s="6" t="s">
        <v>1660</v>
      </c>
      <c r="E246" s="6" t="s">
        <v>1656</v>
      </c>
      <c r="F246" s="6">
        <v>97062</v>
      </c>
      <c r="G246" s="6"/>
      <c r="H246" s="6"/>
    </row>
    <row r="247" ht="22.15" customHeight="1" spans="1:8">
      <c r="A247" s="6">
        <v>244</v>
      </c>
      <c r="B247" s="6" t="s">
        <v>1661</v>
      </c>
      <c r="C247" s="6" t="s">
        <v>1662</v>
      </c>
      <c r="D247" s="6" t="s">
        <v>1663</v>
      </c>
      <c r="E247" s="6" t="s">
        <v>1656</v>
      </c>
      <c r="F247" s="6">
        <v>97317</v>
      </c>
      <c r="G247" s="6"/>
      <c r="H247" s="6"/>
    </row>
    <row r="248" ht="22.15" customHeight="1" spans="1:8">
      <c r="A248" s="6">
        <v>245</v>
      </c>
      <c r="B248" s="6" t="s">
        <v>1664</v>
      </c>
      <c r="C248" s="6" t="s">
        <v>1665</v>
      </c>
      <c r="D248" s="6" t="s">
        <v>1666</v>
      </c>
      <c r="E248" s="6" t="s">
        <v>923</v>
      </c>
      <c r="F248" s="6">
        <v>19137</v>
      </c>
      <c r="G248" s="6">
        <v>65500</v>
      </c>
      <c r="H248" s="6" t="s">
        <v>1657</v>
      </c>
    </row>
    <row r="249" ht="22.15" customHeight="1" spans="1:8">
      <c r="A249" s="6">
        <v>246</v>
      </c>
      <c r="B249" s="6" t="s">
        <v>1667</v>
      </c>
      <c r="C249" s="6" t="s">
        <v>1668</v>
      </c>
      <c r="D249" s="6" t="s">
        <v>1669</v>
      </c>
      <c r="E249" s="6" t="s">
        <v>923</v>
      </c>
      <c r="F249" s="6">
        <v>15108</v>
      </c>
      <c r="G249" s="6"/>
      <c r="H249" s="6"/>
    </row>
    <row r="250" ht="22.15" customHeight="1" spans="1:8">
      <c r="A250" s="6">
        <v>247</v>
      </c>
      <c r="B250" s="6" t="s">
        <v>1670</v>
      </c>
      <c r="C250" s="6" t="s">
        <v>1671</v>
      </c>
      <c r="D250" s="6" t="s">
        <v>1008</v>
      </c>
      <c r="E250" s="6" t="s">
        <v>1009</v>
      </c>
      <c r="F250" s="6">
        <v>85034</v>
      </c>
      <c r="G250" s="6">
        <v>62900</v>
      </c>
      <c r="H250" s="6" t="s">
        <v>1672</v>
      </c>
    </row>
    <row r="251" ht="22.15" customHeight="1" spans="1:8">
      <c r="A251" s="6">
        <v>248</v>
      </c>
      <c r="B251" s="6" t="s">
        <v>1673</v>
      </c>
      <c r="C251" s="6" t="s">
        <v>1674</v>
      </c>
      <c r="D251" s="6" t="s">
        <v>1675</v>
      </c>
      <c r="E251" s="6" t="s">
        <v>1009</v>
      </c>
      <c r="F251" s="6">
        <v>85281</v>
      </c>
      <c r="G251" s="6"/>
      <c r="H251" s="6"/>
    </row>
    <row r="252" ht="22.15" customHeight="1" spans="1:8">
      <c r="A252" s="6">
        <v>249</v>
      </c>
      <c r="B252" s="6" t="s">
        <v>1676</v>
      </c>
      <c r="C252" s="6" t="s">
        <v>1677</v>
      </c>
      <c r="D252" s="6" t="s">
        <v>1678</v>
      </c>
      <c r="E252" s="6" t="s">
        <v>1009</v>
      </c>
      <c r="F252" s="6">
        <v>85286</v>
      </c>
      <c r="G252" s="6"/>
      <c r="H252" s="6"/>
    </row>
    <row r="253" ht="22.15" customHeight="1" spans="1:8">
      <c r="A253" s="6">
        <v>250</v>
      </c>
      <c r="B253" s="6" t="s">
        <v>1679</v>
      </c>
      <c r="C253" s="6" t="s">
        <v>1680</v>
      </c>
      <c r="D253" s="6" t="s">
        <v>1008</v>
      </c>
      <c r="E253" s="6" t="s">
        <v>1009</v>
      </c>
      <c r="F253" s="6">
        <v>85043</v>
      </c>
      <c r="G253" s="6"/>
      <c r="H253" s="6"/>
    </row>
    <row r="254" ht="22.15" customHeight="1" spans="1:8">
      <c r="A254" s="6">
        <v>251</v>
      </c>
      <c r="B254" s="6" t="s">
        <v>1681</v>
      </c>
      <c r="C254" s="6" t="s">
        <v>1682</v>
      </c>
      <c r="D254" s="6" t="s">
        <v>1683</v>
      </c>
      <c r="E254" s="6" t="s">
        <v>1196</v>
      </c>
      <c r="F254" s="6">
        <v>27560</v>
      </c>
      <c r="G254" s="6"/>
      <c r="H254" s="6"/>
    </row>
    <row r="255" ht="22.15" customHeight="1" spans="1:8">
      <c r="A255" s="6">
        <v>252</v>
      </c>
      <c r="B255" s="6" t="s">
        <v>1684</v>
      </c>
      <c r="C255" s="6" t="s">
        <v>1685</v>
      </c>
      <c r="D255" s="6" t="s">
        <v>1686</v>
      </c>
      <c r="E255" s="6" t="s">
        <v>936</v>
      </c>
      <c r="F255" s="6">
        <v>92121</v>
      </c>
      <c r="G255" s="6">
        <v>58400</v>
      </c>
      <c r="H255" s="6" t="s">
        <v>1687</v>
      </c>
    </row>
    <row r="256" ht="22.15" customHeight="1" spans="1:8">
      <c r="A256" s="6">
        <v>253</v>
      </c>
      <c r="B256" s="6" t="s">
        <v>1688</v>
      </c>
      <c r="C256" s="6" t="s">
        <v>1689</v>
      </c>
      <c r="D256" s="6" t="s">
        <v>1690</v>
      </c>
      <c r="E256" s="6" t="s">
        <v>936</v>
      </c>
      <c r="F256" s="6">
        <v>92010</v>
      </c>
      <c r="G256" s="6">
        <v>39700</v>
      </c>
      <c r="H256" s="6" t="s">
        <v>1691</v>
      </c>
    </row>
    <row r="257" ht="22.15" customHeight="1" spans="1:8">
      <c r="A257" s="6">
        <v>254</v>
      </c>
      <c r="B257" s="6" t="s">
        <v>1692</v>
      </c>
      <c r="C257" s="6" t="s">
        <v>1693</v>
      </c>
      <c r="D257" s="6" t="s">
        <v>1694</v>
      </c>
      <c r="E257" s="6" t="s">
        <v>936</v>
      </c>
      <c r="F257" s="6">
        <v>92081</v>
      </c>
      <c r="G257" s="6"/>
      <c r="H257" s="6"/>
    </row>
    <row r="258" ht="22.15" customHeight="1" spans="1:8">
      <c r="A258" s="6">
        <v>255</v>
      </c>
      <c r="B258" s="6" t="s">
        <v>1695</v>
      </c>
      <c r="C258" s="6" t="s">
        <v>1696</v>
      </c>
      <c r="D258" s="6" t="s">
        <v>918</v>
      </c>
      <c r="E258" s="6" t="s">
        <v>919</v>
      </c>
      <c r="F258" s="6">
        <v>98108</v>
      </c>
      <c r="G258" s="6">
        <v>26200</v>
      </c>
      <c r="H258" s="6" t="s">
        <v>1697</v>
      </c>
    </row>
    <row r="259" ht="22.15" customHeight="1" spans="1:8">
      <c r="A259" s="6">
        <v>256</v>
      </c>
      <c r="B259" s="6" t="s">
        <v>1698</v>
      </c>
      <c r="C259" s="6" t="s">
        <v>1699</v>
      </c>
      <c r="D259" s="6" t="s">
        <v>1700</v>
      </c>
      <c r="E259" s="6" t="s">
        <v>919</v>
      </c>
      <c r="F259" s="6">
        <v>98312</v>
      </c>
      <c r="G259" s="6"/>
      <c r="H259" s="6"/>
    </row>
    <row r="260" ht="22.15" customHeight="1" spans="1:8">
      <c r="A260" s="6">
        <v>257</v>
      </c>
      <c r="B260" s="6" t="s">
        <v>1701</v>
      </c>
      <c r="C260" s="6" t="s">
        <v>1702</v>
      </c>
      <c r="D260" s="6" t="s">
        <v>1703</v>
      </c>
      <c r="E260" s="6" t="s">
        <v>936</v>
      </c>
      <c r="F260" s="6">
        <v>94577</v>
      </c>
      <c r="G260" s="6">
        <v>42400</v>
      </c>
      <c r="H260" s="6" t="s">
        <v>1704</v>
      </c>
    </row>
    <row r="261" ht="22.15" customHeight="1" spans="1:8">
      <c r="A261" s="6">
        <v>258</v>
      </c>
      <c r="B261" s="6" t="s">
        <v>1705</v>
      </c>
      <c r="C261" s="6" t="s">
        <v>1706</v>
      </c>
      <c r="D261" s="6" t="s">
        <v>1707</v>
      </c>
      <c r="E261" s="6" t="s">
        <v>936</v>
      </c>
      <c r="F261" s="6">
        <v>95131</v>
      </c>
      <c r="G261" s="6">
        <v>25800</v>
      </c>
      <c r="H261" s="6" t="s">
        <v>1708</v>
      </c>
    </row>
    <row r="262" ht="22.15" customHeight="1" spans="1:8">
      <c r="A262" s="6">
        <v>259</v>
      </c>
      <c r="B262" s="6" t="s">
        <v>1709</v>
      </c>
      <c r="C262" s="6" t="s">
        <v>1710</v>
      </c>
      <c r="D262" s="6" t="s">
        <v>1711</v>
      </c>
      <c r="E262" s="6" t="s">
        <v>936</v>
      </c>
      <c r="F262" s="6">
        <v>94080</v>
      </c>
      <c r="G262" s="6">
        <v>188000</v>
      </c>
      <c r="H262" s="6" t="s">
        <v>1712</v>
      </c>
    </row>
    <row r="263" ht="22.15" customHeight="1" spans="1:8">
      <c r="A263" s="6">
        <v>260</v>
      </c>
      <c r="B263" s="6" t="s">
        <v>1713</v>
      </c>
      <c r="C263" s="6" t="s">
        <v>1714</v>
      </c>
      <c r="D263" s="6" t="s">
        <v>1452</v>
      </c>
      <c r="E263" s="6" t="s">
        <v>936</v>
      </c>
      <c r="F263" s="6">
        <v>94080</v>
      </c>
      <c r="G263" s="6">
        <v>224200</v>
      </c>
      <c r="H263" s="6" t="s">
        <v>1687</v>
      </c>
    </row>
    <row r="264" ht="22.15" customHeight="1" spans="1:8">
      <c r="A264" s="6">
        <v>261</v>
      </c>
      <c r="B264" s="6" t="s">
        <v>1715</v>
      </c>
      <c r="C264" s="6" t="s">
        <v>1716</v>
      </c>
      <c r="D264" s="6" t="s">
        <v>1717</v>
      </c>
      <c r="E264" s="6" t="s">
        <v>936</v>
      </c>
      <c r="F264" s="6">
        <v>95035</v>
      </c>
      <c r="G264" s="6"/>
      <c r="H264" s="6"/>
    </row>
    <row r="265" ht="22.15" customHeight="1" spans="1:8">
      <c r="A265" s="6">
        <v>262</v>
      </c>
      <c r="B265" s="6" t="s">
        <v>1718</v>
      </c>
      <c r="C265" s="6" t="s">
        <v>1719</v>
      </c>
      <c r="D265" s="6" t="s">
        <v>1720</v>
      </c>
      <c r="E265" s="6" t="s">
        <v>936</v>
      </c>
      <c r="F265" s="6">
        <v>95133</v>
      </c>
      <c r="G265" s="6"/>
      <c r="H265" s="6"/>
    </row>
    <row r="266" ht="22.15" customHeight="1" spans="1:8">
      <c r="A266" s="6">
        <v>263</v>
      </c>
      <c r="B266" s="6" t="s">
        <v>1721</v>
      </c>
      <c r="C266" s="6" t="s">
        <v>1722</v>
      </c>
      <c r="D266" s="6" t="s">
        <v>1723</v>
      </c>
      <c r="E266" s="6" t="s">
        <v>1487</v>
      </c>
      <c r="F266" s="6">
        <v>50035</v>
      </c>
      <c r="G266" s="6"/>
      <c r="H266" s="6"/>
    </row>
    <row r="267" ht="22.15" customHeight="1" spans="1:8">
      <c r="A267" s="6">
        <v>264</v>
      </c>
      <c r="B267" s="6" t="s">
        <v>1724</v>
      </c>
      <c r="C267" s="6" t="s">
        <v>1725</v>
      </c>
      <c r="D267" s="6" t="s">
        <v>1726</v>
      </c>
      <c r="E267" s="6" t="s">
        <v>936</v>
      </c>
      <c r="F267" s="6">
        <v>95747</v>
      </c>
      <c r="G267" s="6"/>
      <c r="H267" s="6"/>
    </row>
    <row r="268" ht="22.15" customHeight="1" spans="1:8">
      <c r="A268" s="6">
        <v>265</v>
      </c>
      <c r="B268" s="6" t="s">
        <v>1727</v>
      </c>
      <c r="C268" s="6" t="s">
        <v>1728</v>
      </c>
      <c r="D268" s="6" t="s">
        <v>1729</v>
      </c>
      <c r="E268" s="6" t="s">
        <v>936</v>
      </c>
      <c r="F268" s="6">
        <v>95838</v>
      </c>
      <c r="G268" s="6"/>
      <c r="H268" s="6"/>
    </row>
    <row r="269" ht="22.15" customHeight="1" spans="1:8">
      <c r="A269" s="6">
        <v>266</v>
      </c>
      <c r="B269" s="6" t="s">
        <v>1730</v>
      </c>
      <c r="C269" s="6" t="s">
        <v>1731</v>
      </c>
      <c r="D269" s="6" t="s">
        <v>1732</v>
      </c>
      <c r="E269" s="6" t="s">
        <v>1196</v>
      </c>
      <c r="F269" s="6">
        <v>27284</v>
      </c>
      <c r="G269" s="6"/>
      <c r="H269" s="6"/>
    </row>
    <row r="270" ht="22.15" customHeight="1" spans="1:8">
      <c r="A270" s="6">
        <v>267</v>
      </c>
      <c r="B270" s="6" t="s">
        <v>1733</v>
      </c>
      <c r="C270" s="6" t="s">
        <v>1734</v>
      </c>
      <c r="D270" s="6" t="s">
        <v>1735</v>
      </c>
      <c r="E270" s="6" t="s">
        <v>1069</v>
      </c>
      <c r="F270" s="6">
        <v>37086</v>
      </c>
      <c r="G270" s="6"/>
      <c r="H270" s="6"/>
    </row>
    <row r="271" ht="22.15" customHeight="1" spans="1:8">
      <c r="A271" s="6">
        <v>268</v>
      </c>
      <c r="B271" s="6" t="s">
        <v>1736</v>
      </c>
      <c r="C271" s="6" t="s">
        <v>1737</v>
      </c>
      <c r="D271" s="6" t="s">
        <v>1738</v>
      </c>
      <c r="E271" s="6" t="s">
        <v>1155</v>
      </c>
      <c r="F271" s="6">
        <v>33584</v>
      </c>
      <c r="G271" s="6"/>
      <c r="H271" s="6"/>
    </row>
    <row r="272" ht="22.15" customHeight="1" spans="1:8">
      <c r="A272" s="6">
        <v>269</v>
      </c>
      <c r="B272" s="6" t="s">
        <v>1739</v>
      </c>
      <c r="C272" s="6" t="s">
        <v>1740</v>
      </c>
      <c r="D272" s="6" t="s">
        <v>1678</v>
      </c>
      <c r="E272" s="6" t="s">
        <v>1009</v>
      </c>
      <c r="F272" s="6">
        <v>85225</v>
      </c>
      <c r="G272" s="6"/>
      <c r="H272" s="6"/>
    </row>
    <row r="273" ht="22.15" customHeight="1" spans="1:8">
      <c r="A273" s="6">
        <v>270</v>
      </c>
      <c r="B273" s="6" t="s">
        <v>1741</v>
      </c>
      <c r="C273" s="6" t="s">
        <v>1742</v>
      </c>
      <c r="D273" s="6" t="s">
        <v>1008</v>
      </c>
      <c r="E273" s="6" t="s">
        <v>1009</v>
      </c>
      <c r="F273" s="6">
        <v>85040</v>
      </c>
      <c r="G273" s="6"/>
      <c r="H273" s="6"/>
    </row>
    <row r="274" ht="22.15" customHeight="1" spans="1:8">
      <c r="A274" s="6">
        <v>271</v>
      </c>
      <c r="B274" s="6" t="s">
        <v>1743</v>
      </c>
      <c r="C274" s="6" t="s">
        <v>1744</v>
      </c>
      <c r="D274" s="6" t="s">
        <v>1745</v>
      </c>
      <c r="E274" s="6" t="s">
        <v>1385</v>
      </c>
      <c r="F274" s="6">
        <v>48174</v>
      </c>
      <c r="G274" s="6"/>
      <c r="H274" s="6"/>
    </row>
    <row r="275" ht="22.15" customHeight="1" spans="1:8">
      <c r="A275" s="6">
        <v>272</v>
      </c>
      <c r="B275" s="6" t="s">
        <v>1746</v>
      </c>
      <c r="C275" s="6" t="s">
        <v>1747</v>
      </c>
      <c r="D275" s="6" t="s">
        <v>1748</v>
      </c>
      <c r="E275" s="6" t="s">
        <v>1385</v>
      </c>
      <c r="F275" s="6">
        <v>48316</v>
      </c>
      <c r="G275" s="6">
        <v>1000000</v>
      </c>
      <c r="H275" s="6" t="s">
        <v>1749</v>
      </c>
    </row>
    <row r="276" ht="22.15" customHeight="1" spans="1:8">
      <c r="A276" s="6">
        <v>273</v>
      </c>
      <c r="B276" s="6" t="s">
        <v>1750</v>
      </c>
      <c r="C276" s="6" t="s">
        <v>1751</v>
      </c>
      <c r="D276" s="6" t="s">
        <v>1752</v>
      </c>
      <c r="E276" s="6" t="s">
        <v>1385</v>
      </c>
      <c r="F276" s="6">
        <v>48183</v>
      </c>
      <c r="G276" s="6">
        <v>210000</v>
      </c>
      <c r="H276" s="6" t="s">
        <v>1753</v>
      </c>
    </row>
    <row r="277" ht="22.15" customHeight="1" spans="1:8">
      <c r="A277" s="6">
        <v>274</v>
      </c>
      <c r="B277" s="6" t="s">
        <v>1754</v>
      </c>
      <c r="C277" s="6" t="s">
        <v>1755</v>
      </c>
      <c r="D277" s="6" t="s">
        <v>1756</v>
      </c>
      <c r="E277" s="6" t="s">
        <v>936</v>
      </c>
      <c r="F277" s="6">
        <v>91505</v>
      </c>
      <c r="G277" s="6"/>
      <c r="H277" s="6"/>
    </row>
    <row r="278" ht="22.15" customHeight="1" spans="1:8">
      <c r="A278" s="6">
        <v>275</v>
      </c>
      <c r="B278" s="6" t="s">
        <v>1757</v>
      </c>
      <c r="C278" s="6" t="s">
        <v>1758</v>
      </c>
      <c r="D278" s="6" t="s">
        <v>1452</v>
      </c>
      <c r="E278" s="6" t="s">
        <v>1130</v>
      </c>
      <c r="F278" s="6">
        <v>23237</v>
      </c>
      <c r="G278" s="6"/>
      <c r="H278" s="6"/>
    </row>
    <row r="279" ht="22.15" customHeight="1" spans="1:8">
      <c r="A279" s="6">
        <v>276</v>
      </c>
      <c r="B279" s="6" t="s">
        <v>1759</v>
      </c>
      <c r="C279" s="6" t="s">
        <v>1463</v>
      </c>
      <c r="D279" s="6" t="s">
        <v>1262</v>
      </c>
      <c r="E279" s="6" t="s">
        <v>1263</v>
      </c>
      <c r="F279" s="6">
        <v>75063</v>
      </c>
      <c r="G279" s="6"/>
      <c r="H279" s="6" t="s">
        <v>1760</v>
      </c>
    </row>
    <row r="280" ht="22.15" customHeight="1" spans="1:8">
      <c r="A280" s="6">
        <v>277</v>
      </c>
      <c r="B280" s="6" t="s">
        <v>1761</v>
      </c>
      <c r="C280" s="6" t="s">
        <v>1762</v>
      </c>
      <c r="D280" s="6" t="s">
        <v>1763</v>
      </c>
      <c r="E280" s="6" t="s">
        <v>919</v>
      </c>
      <c r="F280" s="6">
        <v>98203</v>
      </c>
      <c r="G280" s="6"/>
      <c r="H280" s="6"/>
    </row>
    <row r="281" ht="22.15" customHeight="1" spans="1:8">
      <c r="A281" s="6">
        <v>278</v>
      </c>
      <c r="B281" s="6" t="s">
        <v>1764</v>
      </c>
      <c r="C281" s="6" t="s">
        <v>1765</v>
      </c>
      <c r="D281" s="6" t="s">
        <v>1424</v>
      </c>
      <c r="E281" s="6" t="s">
        <v>919</v>
      </c>
      <c r="F281" s="6">
        <v>98108</v>
      </c>
      <c r="G281" s="6"/>
      <c r="H281" s="6"/>
    </row>
    <row r="282" ht="22.15" customHeight="1" spans="1:8">
      <c r="A282" s="6">
        <v>279</v>
      </c>
      <c r="B282" s="6" t="s">
        <v>1766</v>
      </c>
      <c r="C282" s="6" t="s">
        <v>1767</v>
      </c>
      <c r="D282" s="6" t="s">
        <v>1768</v>
      </c>
      <c r="E282" s="6" t="s">
        <v>936</v>
      </c>
      <c r="F282" s="6">
        <v>94538</v>
      </c>
      <c r="G282" s="6"/>
      <c r="H282" s="6"/>
    </row>
    <row r="283" ht="22.15" customHeight="1" spans="1:8">
      <c r="A283" s="6">
        <v>280</v>
      </c>
      <c r="B283" s="6" t="s">
        <v>1769</v>
      </c>
      <c r="C283" s="6" t="s">
        <v>1770</v>
      </c>
      <c r="D283" s="6" t="s">
        <v>1720</v>
      </c>
      <c r="E283" s="6" t="s">
        <v>936</v>
      </c>
      <c r="F283" s="6">
        <v>95125</v>
      </c>
      <c r="G283" s="6"/>
      <c r="H283" s="6"/>
    </row>
    <row r="284" ht="22.15" customHeight="1" spans="1:8">
      <c r="A284" s="6">
        <v>281</v>
      </c>
      <c r="B284" s="6" t="s">
        <v>1771</v>
      </c>
      <c r="C284" s="6" t="s">
        <v>1772</v>
      </c>
      <c r="D284" s="6" t="s">
        <v>1773</v>
      </c>
      <c r="E284" s="6" t="s">
        <v>1166</v>
      </c>
      <c r="F284" s="6">
        <v>60515</v>
      </c>
      <c r="G284" s="6"/>
      <c r="H284" s="6"/>
    </row>
    <row r="285" ht="22.15" customHeight="1" spans="1:8">
      <c r="A285" s="6">
        <v>282</v>
      </c>
      <c r="B285" s="6" t="s">
        <v>1774</v>
      </c>
      <c r="C285" s="6" t="s">
        <v>1775</v>
      </c>
      <c r="D285" s="6" t="s">
        <v>1776</v>
      </c>
      <c r="E285" s="6" t="s">
        <v>969</v>
      </c>
      <c r="F285" s="6">
        <v>10472</v>
      </c>
      <c r="G285" s="6"/>
      <c r="H285" s="6"/>
    </row>
    <row r="286" ht="22.15" customHeight="1" spans="1:8">
      <c r="A286" s="6">
        <v>283</v>
      </c>
      <c r="B286" s="6" t="s">
        <v>1777</v>
      </c>
      <c r="C286" s="6" t="s">
        <v>1778</v>
      </c>
      <c r="D286" s="6" t="s">
        <v>1779</v>
      </c>
      <c r="E286" s="6" t="s">
        <v>939</v>
      </c>
      <c r="F286" s="6">
        <v>8691</v>
      </c>
      <c r="G286" s="6">
        <v>1200000</v>
      </c>
      <c r="H286" s="6" t="s">
        <v>1780</v>
      </c>
    </row>
    <row r="287" ht="22.15" customHeight="1" spans="1:8">
      <c r="A287" s="6">
        <v>284</v>
      </c>
      <c r="B287" s="6" t="s">
        <v>1781</v>
      </c>
      <c r="C287" s="6" t="s">
        <v>1778</v>
      </c>
      <c r="D287" s="6" t="s">
        <v>1782</v>
      </c>
      <c r="E287" s="6" t="s">
        <v>939</v>
      </c>
      <c r="F287" s="6" t="s">
        <v>1783</v>
      </c>
      <c r="G287" s="6"/>
      <c r="H287" s="6"/>
    </row>
    <row r="288" ht="22.15" customHeight="1" spans="1:8">
      <c r="A288" s="6">
        <v>285</v>
      </c>
      <c r="B288" s="6" t="s">
        <v>1784</v>
      </c>
      <c r="C288" s="6" t="s">
        <v>1785</v>
      </c>
      <c r="D288" s="6" t="s">
        <v>1786</v>
      </c>
      <c r="E288" s="6" t="s">
        <v>939</v>
      </c>
      <c r="F288" s="6">
        <v>7001</v>
      </c>
      <c r="G288" s="6">
        <v>562200</v>
      </c>
      <c r="H288" s="6" t="s">
        <v>1787</v>
      </c>
    </row>
    <row r="289" ht="22.15" customHeight="1" spans="1:8">
      <c r="A289" s="6">
        <v>286</v>
      </c>
      <c r="B289" s="6" t="s">
        <v>1788</v>
      </c>
      <c r="C289" s="6" t="s">
        <v>1789</v>
      </c>
      <c r="D289" s="6" t="s">
        <v>1790</v>
      </c>
      <c r="E289" s="6" t="s">
        <v>939</v>
      </c>
      <c r="F289" s="6" t="s">
        <v>1791</v>
      </c>
      <c r="G289" s="6"/>
      <c r="H289" s="6"/>
    </row>
    <row r="290" ht="22.15" customHeight="1" spans="1:8">
      <c r="A290" s="6">
        <v>287</v>
      </c>
      <c r="B290" s="6" t="s">
        <v>1792</v>
      </c>
      <c r="C290" s="6" t="s">
        <v>1793</v>
      </c>
      <c r="D290" s="6" t="s">
        <v>1790</v>
      </c>
      <c r="E290" s="6" t="s">
        <v>939</v>
      </c>
      <c r="F290" s="6">
        <v>7001</v>
      </c>
      <c r="G290" s="6"/>
      <c r="H290" s="6"/>
    </row>
    <row r="291" ht="22.15" customHeight="1" spans="1:8">
      <c r="A291" s="6">
        <v>288</v>
      </c>
      <c r="B291" s="6" t="s">
        <v>1794</v>
      </c>
      <c r="C291" s="6" t="s">
        <v>1795</v>
      </c>
      <c r="D291" s="6" t="s">
        <v>1796</v>
      </c>
      <c r="E291" s="6" t="s">
        <v>939</v>
      </c>
      <c r="F291" s="6">
        <v>7008</v>
      </c>
      <c r="G291" s="6">
        <v>10645</v>
      </c>
      <c r="H291" s="6" t="s">
        <v>1797</v>
      </c>
    </row>
    <row r="292" ht="22.15" customHeight="1" spans="1:8">
      <c r="A292" s="6">
        <v>289</v>
      </c>
      <c r="B292" s="6" t="s">
        <v>1798</v>
      </c>
      <c r="C292" s="6" t="s">
        <v>1799</v>
      </c>
      <c r="D292" s="6" t="s">
        <v>1796</v>
      </c>
      <c r="E292" s="6" t="s">
        <v>939</v>
      </c>
      <c r="F292" s="6" t="s">
        <v>1800</v>
      </c>
      <c r="G292" s="6"/>
      <c r="H292" s="6"/>
    </row>
    <row r="293" ht="22.15" customHeight="1" spans="1:8">
      <c r="A293" s="6">
        <v>290</v>
      </c>
      <c r="B293" s="6" t="s">
        <v>1801</v>
      </c>
      <c r="C293" s="6" t="s">
        <v>1802</v>
      </c>
      <c r="D293" s="6" t="s">
        <v>1803</v>
      </c>
      <c r="E293" s="6" t="s">
        <v>936</v>
      </c>
      <c r="F293" s="6">
        <v>93725</v>
      </c>
      <c r="G293" s="6"/>
      <c r="H293" s="6"/>
    </row>
    <row r="294" ht="22.15" customHeight="1" spans="1:8">
      <c r="A294" s="6">
        <v>291</v>
      </c>
      <c r="B294" s="6" t="s">
        <v>1804</v>
      </c>
      <c r="C294" s="6" t="s">
        <v>1805</v>
      </c>
      <c r="D294" s="6" t="s">
        <v>1806</v>
      </c>
      <c r="E294" s="6" t="s">
        <v>936</v>
      </c>
      <c r="F294" s="6" t="s">
        <v>1807</v>
      </c>
      <c r="G294" s="6"/>
      <c r="H294" s="6"/>
    </row>
    <row r="295" ht="22.15" customHeight="1" spans="1:8">
      <c r="A295" s="6">
        <v>292</v>
      </c>
      <c r="B295" s="6" t="s">
        <v>1808</v>
      </c>
      <c r="C295" s="6" t="s">
        <v>1809</v>
      </c>
      <c r="D295" s="6" t="s">
        <v>1810</v>
      </c>
      <c r="E295" s="6" t="s">
        <v>969</v>
      </c>
      <c r="F295" s="6">
        <v>11714</v>
      </c>
      <c r="G295" s="6"/>
      <c r="H295" s="6"/>
    </row>
    <row r="296" ht="22.15" customHeight="1" spans="1:8">
      <c r="A296" s="6">
        <v>293</v>
      </c>
      <c r="B296" s="6" t="s">
        <v>1811</v>
      </c>
      <c r="C296" s="6" t="s">
        <v>1812</v>
      </c>
      <c r="D296" s="6" t="s">
        <v>918</v>
      </c>
      <c r="E296" s="6" t="s">
        <v>919</v>
      </c>
      <c r="F296" s="6">
        <v>98107</v>
      </c>
      <c r="G296" s="6"/>
      <c r="H296" s="6"/>
    </row>
    <row r="297" ht="22.15" customHeight="1" spans="1:8">
      <c r="A297" s="6">
        <v>294</v>
      </c>
      <c r="B297" s="6" t="s">
        <v>1813</v>
      </c>
      <c r="C297" s="6" t="s">
        <v>1814</v>
      </c>
      <c r="D297" s="6" t="s">
        <v>918</v>
      </c>
      <c r="E297" s="6" t="s">
        <v>919</v>
      </c>
      <c r="F297" s="6">
        <v>98134</v>
      </c>
      <c r="G297" s="6"/>
      <c r="H297" s="6"/>
    </row>
    <row r="298" ht="22.15" customHeight="1" spans="1:8">
      <c r="A298" s="6">
        <v>295</v>
      </c>
      <c r="B298" s="6" t="s">
        <v>390</v>
      </c>
      <c r="C298" s="6" t="s">
        <v>1815</v>
      </c>
      <c r="D298" s="6" t="s">
        <v>1816</v>
      </c>
      <c r="E298" s="6" t="s">
        <v>1263</v>
      </c>
      <c r="F298" s="6">
        <v>75241</v>
      </c>
      <c r="G298" s="6"/>
      <c r="H298" s="6"/>
    </row>
    <row r="299" ht="22.15" customHeight="1" spans="1:8">
      <c r="A299" s="6">
        <v>296</v>
      </c>
      <c r="B299" s="6" t="s">
        <v>1817</v>
      </c>
      <c r="C299" s="6" t="s">
        <v>1818</v>
      </c>
      <c r="D299" s="6" t="s">
        <v>1816</v>
      </c>
      <c r="E299" s="6" t="s">
        <v>1263</v>
      </c>
      <c r="F299" s="6">
        <v>75261</v>
      </c>
      <c r="G299" s="6"/>
      <c r="H299" s="6"/>
    </row>
    <row r="300" ht="22.15" customHeight="1" spans="1:8">
      <c r="A300" s="6">
        <v>297</v>
      </c>
      <c r="B300" s="6" t="s">
        <v>1819</v>
      </c>
      <c r="C300" s="6" t="s">
        <v>1820</v>
      </c>
      <c r="D300" s="6" t="s">
        <v>1268</v>
      </c>
      <c r="E300" s="6" t="s">
        <v>1263</v>
      </c>
      <c r="F300" s="6" t="s">
        <v>1821</v>
      </c>
      <c r="G300" s="6"/>
      <c r="H300" s="6"/>
    </row>
    <row r="301" ht="22.15" customHeight="1" spans="1:8">
      <c r="A301" s="6">
        <v>298</v>
      </c>
      <c r="B301" s="6" t="s">
        <v>1822</v>
      </c>
      <c r="C301" s="6" t="s">
        <v>1823</v>
      </c>
      <c r="D301" s="6" t="s">
        <v>1268</v>
      </c>
      <c r="E301" s="6" t="s">
        <v>1263</v>
      </c>
      <c r="F301" s="6">
        <v>76106</v>
      </c>
      <c r="G301" s="6">
        <v>318500</v>
      </c>
      <c r="H301" s="6" t="s">
        <v>1824</v>
      </c>
    </row>
    <row r="302" ht="22.15" customHeight="1" spans="1:8">
      <c r="A302" s="6">
        <v>299</v>
      </c>
      <c r="B302" s="6" t="s">
        <v>1825</v>
      </c>
      <c r="C302" s="6" t="s">
        <v>1826</v>
      </c>
      <c r="D302" s="6" t="s">
        <v>1827</v>
      </c>
      <c r="E302" s="6" t="s">
        <v>1263</v>
      </c>
      <c r="F302" s="6">
        <v>75051</v>
      </c>
      <c r="G302" s="6"/>
      <c r="H302" s="6"/>
    </row>
    <row r="303" ht="22.15" customHeight="1" spans="1:8">
      <c r="A303" s="6">
        <v>300</v>
      </c>
      <c r="B303" s="6" t="s">
        <v>1828</v>
      </c>
      <c r="C303" s="6" t="s">
        <v>1829</v>
      </c>
      <c r="D303" s="6" t="s">
        <v>1457</v>
      </c>
      <c r="E303" s="6" t="s">
        <v>1263</v>
      </c>
      <c r="F303" s="6">
        <v>75019</v>
      </c>
      <c r="G303" s="6"/>
      <c r="H303" s="6"/>
    </row>
    <row r="304" ht="22.15" customHeight="1" spans="1:8">
      <c r="A304" s="6">
        <v>301</v>
      </c>
      <c r="B304" s="6" t="s">
        <v>1830</v>
      </c>
      <c r="C304" s="6" t="s">
        <v>1831</v>
      </c>
      <c r="D304" s="6" t="s">
        <v>1816</v>
      </c>
      <c r="E304" s="6" t="s">
        <v>1263</v>
      </c>
      <c r="F304" s="6">
        <v>76226</v>
      </c>
      <c r="G304" s="6"/>
      <c r="H304" s="6"/>
    </row>
    <row r="305" ht="22.15" customHeight="1" spans="1:8">
      <c r="A305" s="6">
        <v>302</v>
      </c>
      <c r="B305" s="6" t="s">
        <v>1832</v>
      </c>
      <c r="C305" s="6" t="s">
        <v>1833</v>
      </c>
      <c r="D305" s="6" t="s">
        <v>1834</v>
      </c>
      <c r="E305" s="6" t="s">
        <v>1263</v>
      </c>
      <c r="F305" s="6" t="s">
        <v>1835</v>
      </c>
      <c r="G305" s="6"/>
      <c r="H305" s="6"/>
    </row>
    <row r="306" ht="22.15" customHeight="1" spans="1:8">
      <c r="A306" s="6">
        <v>303</v>
      </c>
      <c r="B306" s="6" t="s">
        <v>1836</v>
      </c>
      <c r="C306" s="6" t="s">
        <v>1837</v>
      </c>
      <c r="D306" s="6" t="s">
        <v>1838</v>
      </c>
      <c r="E306" s="6" t="s">
        <v>961</v>
      </c>
      <c r="F306" s="6">
        <v>30308</v>
      </c>
      <c r="G306" s="6"/>
      <c r="H306" s="6"/>
    </row>
    <row r="307" ht="22.15" customHeight="1" spans="1:8">
      <c r="A307" s="6">
        <v>304</v>
      </c>
      <c r="B307" s="6" t="s">
        <v>1839</v>
      </c>
      <c r="C307" s="6" t="s">
        <v>1840</v>
      </c>
      <c r="D307" s="6" t="s">
        <v>1841</v>
      </c>
      <c r="E307" s="6" t="s">
        <v>919</v>
      </c>
      <c r="F307" s="6">
        <v>99224</v>
      </c>
      <c r="G307" s="6"/>
      <c r="H307" s="6"/>
    </row>
    <row r="308" ht="22.15" customHeight="1" spans="1:8">
      <c r="A308" s="6">
        <v>305</v>
      </c>
      <c r="B308" s="6" t="s">
        <v>1842</v>
      </c>
      <c r="C308" s="6" t="s">
        <v>1843</v>
      </c>
      <c r="D308" s="6" t="s">
        <v>1844</v>
      </c>
      <c r="E308" s="6" t="s">
        <v>1385</v>
      </c>
      <c r="F308" s="6" t="s">
        <v>1845</v>
      </c>
      <c r="G308" s="6"/>
      <c r="H308" s="6"/>
    </row>
    <row r="309" ht="22.15" customHeight="1" spans="1:8">
      <c r="A309" s="6">
        <v>306</v>
      </c>
      <c r="B309" s="6" t="s">
        <v>1846</v>
      </c>
      <c r="C309" s="6" t="s">
        <v>1847</v>
      </c>
      <c r="D309" s="6" t="s">
        <v>1732</v>
      </c>
      <c r="E309" s="6" t="s">
        <v>1196</v>
      </c>
      <c r="F309" s="6">
        <v>27284</v>
      </c>
      <c r="G309" s="6"/>
      <c r="H309" s="6"/>
    </row>
    <row r="310" ht="22.15" customHeight="1" spans="1:8">
      <c r="A310" s="6">
        <v>307</v>
      </c>
      <c r="B310" s="6" t="s">
        <v>549</v>
      </c>
      <c r="C310" s="6" t="s">
        <v>1848</v>
      </c>
      <c r="D310" s="6" t="s">
        <v>1575</v>
      </c>
      <c r="E310" s="6" t="s">
        <v>1196</v>
      </c>
      <c r="F310" s="6">
        <v>27284</v>
      </c>
      <c r="G310" s="6"/>
      <c r="H310" s="6"/>
    </row>
    <row r="311" ht="22.15" customHeight="1" spans="1:8">
      <c r="A311" s="6">
        <v>308</v>
      </c>
      <c r="B311" s="6" t="s">
        <v>462</v>
      </c>
      <c r="C311" s="6" t="s">
        <v>1849</v>
      </c>
      <c r="D311" s="6" t="s">
        <v>1850</v>
      </c>
      <c r="E311" s="6" t="s">
        <v>1145</v>
      </c>
      <c r="F311" s="6" t="s">
        <v>1851</v>
      </c>
      <c r="G311" s="6"/>
      <c r="H311" s="6"/>
    </row>
    <row r="312" ht="22.15" customHeight="1" spans="1:8">
      <c r="A312" s="6">
        <v>309</v>
      </c>
      <c r="B312" s="6" t="s">
        <v>1852</v>
      </c>
      <c r="C312" s="6" t="s">
        <v>1853</v>
      </c>
      <c r="D312" s="6" t="s">
        <v>1854</v>
      </c>
      <c r="E312" s="6" t="s">
        <v>1009</v>
      </c>
      <c r="F312" s="6">
        <v>85338</v>
      </c>
      <c r="G312" s="6"/>
      <c r="H312" s="6"/>
    </row>
    <row r="313" ht="22.15" customHeight="1" spans="1:8">
      <c r="A313" s="6">
        <v>310</v>
      </c>
      <c r="B313" s="6" t="s">
        <v>344</v>
      </c>
      <c r="C313" s="6" t="s">
        <v>1855</v>
      </c>
      <c r="D313" s="6" t="s">
        <v>1856</v>
      </c>
      <c r="E313" s="6" t="s">
        <v>1009</v>
      </c>
      <c r="F313" s="6">
        <v>85043</v>
      </c>
      <c r="G313" s="6"/>
      <c r="H313" s="6"/>
    </row>
    <row r="314" ht="22.15" customHeight="1" spans="1:8">
      <c r="A314" s="6">
        <v>311</v>
      </c>
      <c r="B314" s="6" t="s">
        <v>1857</v>
      </c>
      <c r="C314" s="6" t="s">
        <v>1858</v>
      </c>
      <c r="D314" s="6" t="s">
        <v>1859</v>
      </c>
      <c r="E314" s="6" t="s">
        <v>1009</v>
      </c>
      <c r="F314" s="6">
        <v>85323</v>
      </c>
      <c r="G314" s="6"/>
      <c r="H314" s="6"/>
    </row>
    <row r="315" ht="22.15" customHeight="1" spans="1:8">
      <c r="A315" s="6">
        <v>312</v>
      </c>
      <c r="B315" s="6" t="s">
        <v>1860</v>
      </c>
      <c r="C315" s="6" t="s">
        <v>1861</v>
      </c>
      <c r="D315" s="6" t="s">
        <v>1122</v>
      </c>
      <c r="E315" s="6" t="s">
        <v>936</v>
      </c>
      <c r="F315" s="6" t="s">
        <v>1862</v>
      </c>
      <c r="G315" s="6"/>
      <c r="H315" s="6"/>
    </row>
    <row r="316" ht="22.15" customHeight="1" spans="1:8">
      <c r="A316" s="6">
        <v>313</v>
      </c>
      <c r="B316" s="6" t="s">
        <v>1863</v>
      </c>
      <c r="C316" s="6" t="s">
        <v>1864</v>
      </c>
      <c r="D316" s="6" t="s">
        <v>1686</v>
      </c>
      <c r="E316" s="6" t="s">
        <v>936</v>
      </c>
      <c r="F316" s="6">
        <v>92110</v>
      </c>
      <c r="G316" s="6"/>
      <c r="H316" s="6"/>
    </row>
    <row r="317" ht="22.15" customHeight="1" spans="1:8">
      <c r="A317" s="6">
        <v>314</v>
      </c>
      <c r="B317" s="6" t="s">
        <v>1865</v>
      </c>
      <c r="C317" s="6" t="s">
        <v>1866</v>
      </c>
      <c r="D317" s="6" t="s">
        <v>1867</v>
      </c>
      <c r="E317" s="6" t="s">
        <v>936</v>
      </c>
      <c r="F317" s="6">
        <v>92337</v>
      </c>
      <c r="G317" s="6"/>
      <c r="H317" s="6"/>
    </row>
    <row r="318" ht="22.15" customHeight="1" spans="1:8">
      <c r="A318" s="6">
        <v>315</v>
      </c>
      <c r="B318" s="6" t="s">
        <v>1868</v>
      </c>
      <c r="C318" s="6" t="s">
        <v>1869</v>
      </c>
      <c r="D318" s="6" t="s">
        <v>1870</v>
      </c>
      <c r="E318" s="6" t="s">
        <v>936</v>
      </c>
      <c r="F318" s="6">
        <v>95304</v>
      </c>
      <c r="G318" s="6"/>
      <c r="H318" s="6"/>
    </row>
    <row r="319" ht="22.15" customHeight="1" spans="1:8">
      <c r="A319" s="6">
        <v>316</v>
      </c>
      <c r="B319" s="6" t="s">
        <v>1871</v>
      </c>
      <c r="C319" s="6" t="s">
        <v>1872</v>
      </c>
      <c r="D319" s="6" t="s">
        <v>1873</v>
      </c>
      <c r="E319" s="6" t="s">
        <v>936</v>
      </c>
      <c r="F319" s="6" t="s">
        <v>1874</v>
      </c>
      <c r="G319" s="6"/>
      <c r="H319" s="6"/>
    </row>
    <row r="320" ht="22.15" customHeight="1" spans="1:8">
      <c r="A320" s="6">
        <v>317</v>
      </c>
      <c r="B320" s="6" t="s">
        <v>1875</v>
      </c>
      <c r="C320" s="6" t="s">
        <v>1876</v>
      </c>
      <c r="D320" s="6" t="s">
        <v>1877</v>
      </c>
      <c r="E320" s="6" t="s">
        <v>961</v>
      </c>
      <c r="F320" s="6">
        <v>30043</v>
      </c>
      <c r="G320" s="6"/>
      <c r="H320" s="6"/>
    </row>
    <row r="321" ht="22.15" customHeight="1" spans="1:8">
      <c r="A321" s="6">
        <v>318</v>
      </c>
      <c r="B321" s="6" t="s">
        <v>1878</v>
      </c>
      <c r="C321" s="6" t="s">
        <v>1879</v>
      </c>
      <c r="D321" s="6" t="s">
        <v>1165</v>
      </c>
      <c r="E321" s="6" t="s">
        <v>1166</v>
      </c>
      <c r="F321" s="6">
        <v>60642</v>
      </c>
      <c r="G321" s="6"/>
      <c r="H321" s="6"/>
    </row>
    <row r="322" ht="22.15" customHeight="1" spans="1:8">
      <c r="A322" s="6">
        <v>319</v>
      </c>
      <c r="B322" s="6" t="s">
        <v>1880</v>
      </c>
      <c r="C322" s="6" t="s">
        <v>1881</v>
      </c>
      <c r="D322" s="6" t="s">
        <v>1165</v>
      </c>
      <c r="E322" s="6" t="s">
        <v>1166</v>
      </c>
      <c r="F322" s="6" t="s">
        <v>1882</v>
      </c>
      <c r="G322" s="6"/>
      <c r="H322" s="6"/>
    </row>
    <row r="323" ht="22.15" customHeight="1" spans="1:8">
      <c r="A323" s="6">
        <v>320</v>
      </c>
      <c r="B323" s="6" t="s">
        <v>1883</v>
      </c>
      <c r="C323" s="6" t="s">
        <v>1884</v>
      </c>
      <c r="D323" s="6" t="s">
        <v>1885</v>
      </c>
      <c r="E323" s="6" t="s">
        <v>1656</v>
      </c>
      <c r="F323" s="6">
        <v>97124</v>
      </c>
      <c r="G323" s="6"/>
      <c r="H323" s="6"/>
    </row>
    <row r="324" ht="22.15" customHeight="1" spans="1:8">
      <c r="A324" s="6">
        <v>321</v>
      </c>
      <c r="B324" s="6" t="s">
        <v>1886</v>
      </c>
      <c r="C324" s="6" t="s">
        <v>1887</v>
      </c>
      <c r="D324" s="6" t="s">
        <v>1274</v>
      </c>
      <c r="E324" s="6" t="s">
        <v>1166</v>
      </c>
      <c r="F324" s="6">
        <v>60481</v>
      </c>
      <c r="G324" s="6"/>
      <c r="H324" s="6"/>
    </row>
    <row r="325" ht="22.15" customHeight="1" spans="1:8">
      <c r="A325" s="6">
        <v>322</v>
      </c>
      <c r="B325" s="6" t="s">
        <v>1888</v>
      </c>
      <c r="C325" s="6" t="s">
        <v>1889</v>
      </c>
      <c r="D325" s="6" t="s">
        <v>1890</v>
      </c>
      <c r="E325" s="6" t="s">
        <v>939</v>
      </c>
      <c r="F325" s="6">
        <v>8817</v>
      </c>
      <c r="G325" s="6"/>
      <c r="H325" s="6"/>
    </row>
    <row r="326" ht="22.15" customHeight="1" spans="1:8">
      <c r="A326" s="6">
        <v>323</v>
      </c>
      <c r="B326" s="6" t="s">
        <v>1891</v>
      </c>
      <c r="C326" s="6" t="s">
        <v>1892</v>
      </c>
      <c r="D326" s="6" t="s">
        <v>1893</v>
      </c>
      <c r="E326" s="6" t="s">
        <v>939</v>
      </c>
      <c r="F326" s="6">
        <v>7030</v>
      </c>
      <c r="G326" s="6"/>
      <c r="H326" s="6"/>
    </row>
    <row r="327" ht="22.15" customHeight="1" spans="1:8">
      <c r="A327" s="6">
        <v>324</v>
      </c>
      <c r="B327" s="6" t="s">
        <v>1894</v>
      </c>
      <c r="C327" s="6" t="s">
        <v>1895</v>
      </c>
      <c r="D327" s="6" t="s">
        <v>1896</v>
      </c>
      <c r="E327" s="6" t="s">
        <v>1263</v>
      </c>
      <c r="F327" s="6">
        <v>77338</v>
      </c>
      <c r="G327" s="6">
        <v>240000</v>
      </c>
      <c r="H327" s="6" t="s">
        <v>1897</v>
      </c>
    </row>
    <row r="328" ht="22.15" customHeight="1" spans="1:8">
      <c r="A328" s="6">
        <v>325</v>
      </c>
      <c r="B328" s="6" t="s">
        <v>1898</v>
      </c>
      <c r="C328" s="6" t="s">
        <v>1899</v>
      </c>
      <c r="D328" s="6" t="s">
        <v>1477</v>
      </c>
      <c r="E328" s="6" t="s">
        <v>1263</v>
      </c>
      <c r="F328" s="6">
        <v>77090</v>
      </c>
      <c r="G328" s="6"/>
      <c r="H328" s="6"/>
    </row>
    <row r="329" ht="22.15" customHeight="1" spans="1:8">
      <c r="A329" s="6">
        <v>326</v>
      </c>
      <c r="B329" s="6" t="s">
        <v>430</v>
      </c>
      <c r="C329" s="6" t="s">
        <v>1900</v>
      </c>
      <c r="D329" s="6" t="s">
        <v>1901</v>
      </c>
      <c r="E329" s="6" t="s">
        <v>1263</v>
      </c>
      <c r="F329" s="6">
        <v>77423</v>
      </c>
      <c r="G329" s="6"/>
      <c r="H329" s="6"/>
    </row>
    <row r="330" ht="22.15" customHeight="1" spans="1:8">
      <c r="A330" s="6">
        <v>327</v>
      </c>
      <c r="B330" s="6" t="s">
        <v>1902</v>
      </c>
      <c r="C330" s="6" t="s">
        <v>1903</v>
      </c>
      <c r="D330" s="6" t="s">
        <v>1477</v>
      </c>
      <c r="E330" s="6" t="s">
        <v>1263</v>
      </c>
      <c r="F330" s="6">
        <v>77064</v>
      </c>
      <c r="G330" s="6"/>
      <c r="H330" s="6"/>
    </row>
    <row r="331" ht="22.15" customHeight="1" spans="1:8">
      <c r="A331" s="6">
        <v>328</v>
      </c>
      <c r="B331" s="6" t="s">
        <v>1904</v>
      </c>
      <c r="C331" s="6" t="s">
        <v>1905</v>
      </c>
      <c r="D331" s="6" t="s">
        <v>1457</v>
      </c>
      <c r="E331" s="6" t="s">
        <v>1263</v>
      </c>
      <c r="F331" s="6">
        <v>75261</v>
      </c>
      <c r="G331" s="6">
        <v>1000000</v>
      </c>
      <c r="H331" s="6" t="s">
        <v>973</v>
      </c>
    </row>
    <row r="332" ht="22.15" customHeight="1" spans="1:8">
      <c r="A332" s="6">
        <v>329</v>
      </c>
      <c r="B332" s="6" t="s">
        <v>1906</v>
      </c>
      <c r="C332" s="6" t="s">
        <v>1907</v>
      </c>
      <c r="D332" s="6" t="s">
        <v>1908</v>
      </c>
      <c r="E332" s="6" t="s">
        <v>1126</v>
      </c>
      <c r="F332" s="6">
        <v>21742</v>
      </c>
      <c r="G332" s="6"/>
      <c r="H332" s="6"/>
    </row>
    <row r="333" ht="22.15" customHeight="1" spans="1:8">
      <c r="A333" s="6">
        <v>330</v>
      </c>
      <c r="B333" s="6" t="s">
        <v>1909</v>
      </c>
      <c r="C333" s="6" t="s">
        <v>1910</v>
      </c>
      <c r="D333" s="6" t="s">
        <v>1477</v>
      </c>
      <c r="E333" s="6" t="s">
        <v>1263</v>
      </c>
      <c r="F333" s="6">
        <v>77092</v>
      </c>
      <c r="G333" s="6"/>
      <c r="H333" s="6"/>
    </row>
    <row r="334" ht="22.15" customHeight="1" spans="1:8">
      <c r="A334" s="6">
        <v>331</v>
      </c>
      <c r="B334" s="6" t="s">
        <v>1911</v>
      </c>
      <c r="C334" s="6" t="s">
        <v>1910</v>
      </c>
      <c r="D334" s="6" t="s">
        <v>1477</v>
      </c>
      <c r="E334" s="6" t="s">
        <v>1263</v>
      </c>
      <c r="F334" s="6" t="s">
        <v>1912</v>
      </c>
      <c r="G334" s="6"/>
      <c r="H334" s="6"/>
    </row>
    <row r="335" ht="22.15" customHeight="1" spans="1:8">
      <c r="A335" s="6">
        <v>332</v>
      </c>
      <c r="B335" s="6" t="s">
        <v>1913</v>
      </c>
      <c r="C335" s="6" t="s">
        <v>1914</v>
      </c>
      <c r="D335" s="6" t="s">
        <v>1915</v>
      </c>
      <c r="E335" s="6" t="s">
        <v>919</v>
      </c>
      <c r="F335" s="6">
        <v>98034</v>
      </c>
      <c r="G335" s="6"/>
      <c r="H335" s="6"/>
    </row>
    <row r="336" ht="22.15" customHeight="1" spans="1:8">
      <c r="A336" s="6">
        <v>333</v>
      </c>
      <c r="B336" s="6" t="s">
        <v>1916</v>
      </c>
      <c r="C336" s="6" t="s">
        <v>1917</v>
      </c>
      <c r="D336" s="6" t="s">
        <v>1915</v>
      </c>
      <c r="E336" s="6" t="s">
        <v>919</v>
      </c>
      <c r="F336" s="6">
        <v>98034</v>
      </c>
      <c r="G336" s="6"/>
      <c r="H336" s="6"/>
    </row>
    <row r="337" ht="22.15" customHeight="1" spans="1:8">
      <c r="A337" s="6">
        <v>334</v>
      </c>
      <c r="B337" s="6" t="s">
        <v>1918</v>
      </c>
      <c r="C337" s="6" t="s">
        <v>1919</v>
      </c>
      <c r="D337" s="6" t="s">
        <v>976</v>
      </c>
      <c r="E337" s="6" t="s">
        <v>919</v>
      </c>
      <c r="F337" s="6">
        <v>98032</v>
      </c>
      <c r="G337" s="6"/>
      <c r="H337" s="6"/>
    </row>
    <row r="338" ht="22.15" customHeight="1" spans="1:8">
      <c r="A338" s="6">
        <v>335</v>
      </c>
      <c r="B338" s="6" t="s">
        <v>1920</v>
      </c>
      <c r="C338" s="6" t="s">
        <v>1921</v>
      </c>
      <c r="D338" s="6" t="s">
        <v>1268</v>
      </c>
      <c r="E338" s="6" t="s">
        <v>1263</v>
      </c>
      <c r="F338" s="6">
        <v>76131</v>
      </c>
      <c r="G338" s="6"/>
      <c r="H338" s="6"/>
    </row>
    <row r="339" ht="22.15" customHeight="1" spans="1:8">
      <c r="A339" s="6">
        <v>336</v>
      </c>
      <c r="B339" s="6" t="s">
        <v>1922</v>
      </c>
      <c r="C339" s="6" t="s">
        <v>1923</v>
      </c>
      <c r="D339" s="6" t="s">
        <v>1477</v>
      </c>
      <c r="E339" s="6" t="s">
        <v>1263</v>
      </c>
      <c r="F339" s="6">
        <v>77064</v>
      </c>
      <c r="G339" s="6"/>
      <c r="H339" s="6"/>
    </row>
    <row r="340" ht="22.15" customHeight="1" spans="1:8">
      <c r="A340" s="6">
        <v>337</v>
      </c>
      <c r="B340" s="6" t="s">
        <v>1924</v>
      </c>
      <c r="C340" s="6" t="s">
        <v>1925</v>
      </c>
      <c r="D340" s="6" t="s">
        <v>1165</v>
      </c>
      <c r="E340" s="6" t="s">
        <v>1166</v>
      </c>
      <c r="F340" s="6">
        <v>60601</v>
      </c>
      <c r="G340" s="6"/>
      <c r="H340" s="6"/>
    </row>
    <row r="341" ht="22.15" customHeight="1" spans="1:8">
      <c r="A341" s="6">
        <v>338</v>
      </c>
      <c r="B341" s="6" t="s">
        <v>1926</v>
      </c>
      <c r="C341" s="6" t="s">
        <v>1927</v>
      </c>
      <c r="D341" s="6" t="s">
        <v>1928</v>
      </c>
      <c r="E341" s="6" t="s">
        <v>1579</v>
      </c>
      <c r="F341" s="6">
        <v>89115</v>
      </c>
      <c r="G341" s="6"/>
      <c r="H341" s="6"/>
    </row>
    <row r="342" ht="22.15" customHeight="1" spans="1:8">
      <c r="A342" s="6">
        <v>339</v>
      </c>
      <c r="B342" s="6" t="s">
        <v>1929</v>
      </c>
      <c r="C342" s="6" t="s">
        <v>1930</v>
      </c>
      <c r="D342" s="6" t="s">
        <v>1931</v>
      </c>
      <c r="E342" s="6" t="s">
        <v>1166</v>
      </c>
      <c r="F342" s="6">
        <v>60191</v>
      </c>
      <c r="G342" s="6"/>
      <c r="H342" s="6"/>
    </row>
    <row r="343" ht="22.15" customHeight="1" spans="1:8">
      <c r="A343" s="6">
        <v>340</v>
      </c>
      <c r="B343" s="6" t="s">
        <v>1932</v>
      </c>
      <c r="C343" s="6" t="s">
        <v>1139</v>
      </c>
      <c r="D343" s="6" t="s">
        <v>1933</v>
      </c>
      <c r="E343" s="6" t="s">
        <v>1130</v>
      </c>
      <c r="F343" s="6" t="s">
        <v>1141</v>
      </c>
      <c r="G343" s="6"/>
      <c r="H343" s="6"/>
    </row>
    <row r="344" ht="22.15" customHeight="1" spans="1:8">
      <c r="A344" s="6">
        <v>341</v>
      </c>
      <c r="B344" s="6" t="s">
        <v>1934</v>
      </c>
      <c r="C344" s="6" t="s">
        <v>1935</v>
      </c>
      <c r="D344" s="6" t="s">
        <v>1936</v>
      </c>
      <c r="E344" s="6" t="s">
        <v>1499</v>
      </c>
      <c r="F344" s="6" t="s">
        <v>1937</v>
      </c>
      <c r="G344" s="6"/>
      <c r="H344" s="6"/>
    </row>
    <row r="345" ht="22.15" customHeight="1" spans="1:8">
      <c r="A345" s="6">
        <v>342</v>
      </c>
      <c r="B345" s="6" t="s">
        <v>457</v>
      </c>
      <c r="C345" s="6" t="s">
        <v>1938</v>
      </c>
      <c r="D345" s="6" t="s">
        <v>1939</v>
      </c>
      <c r="E345" s="6" t="s">
        <v>1499</v>
      </c>
      <c r="F345" s="6" t="s">
        <v>1940</v>
      </c>
      <c r="G345" s="6"/>
      <c r="H345" s="6"/>
    </row>
    <row r="346" ht="22.15" customHeight="1" spans="1:8">
      <c r="A346" s="6">
        <v>343</v>
      </c>
      <c r="B346" s="6" t="s">
        <v>1941</v>
      </c>
      <c r="C346" s="6" t="s">
        <v>1942</v>
      </c>
      <c r="D346" s="6" t="s">
        <v>1939</v>
      </c>
      <c r="E346" s="6" t="s">
        <v>1499</v>
      </c>
      <c r="F346" s="6" t="s">
        <v>1940</v>
      </c>
      <c r="G346" s="6"/>
      <c r="H346" s="6"/>
    </row>
    <row r="347" ht="22.15" customHeight="1" spans="1:8">
      <c r="A347" s="6">
        <v>344</v>
      </c>
      <c r="B347" s="6" t="s">
        <v>441</v>
      </c>
      <c r="C347" s="6" t="s">
        <v>1943</v>
      </c>
      <c r="D347" s="6" t="s">
        <v>1944</v>
      </c>
      <c r="E347" s="6" t="s">
        <v>1499</v>
      </c>
      <c r="F347" s="6" t="s">
        <v>1945</v>
      </c>
      <c r="G347" s="6"/>
      <c r="H347" s="6"/>
    </row>
    <row r="348" ht="22.15" customHeight="1" spans="1:8">
      <c r="A348" s="6">
        <v>345</v>
      </c>
      <c r="B348" s="6" t="s">
        <v>440</v>
      </c>
      <c r="C348" s="6" t="s">
        <v>1946</v>
      </c>
      <c r="D348" s="6" t="s">
        <v>1939</v>
      </c>
      <c r="E348" s="6" t="s">
        <v>1499</v>
      </c>
      <c r="F348" s="6" t="s">
        <v>1947</v>
      </c>
      <c r="G348" s="6"/>
      <c r="H348" s="6"/>
    </row>
    <row r="349" ht="22.15" customHeight="1" spans="1:8">
      <c r="A349" s="6">
        <v>346</v>
      </c>
      <c r="B349" s="6" t="s">
        <v>1948</v>
      </c>
      <c r="C349" s="6" t="s">
        <v>1949</v>
      </c>
      <c r="D349" s="6" t="s">
        <v>1950</v>
      </c>
      <c r="E349" s="6" t="s">
        <v>1499</v>
      </c>
      <c r="F349" s="6">
        <v>47130</v>
      </c>
      <c r="G349" s="6"/>
      <c r="H349" s="6"/>
    </row>
    <row r="350" ht="22.15" customHeight="1" spans="1:8">
      <c r="A350" s="6">
        <v>347</v>
      </c>
      <c r="B350" s="6" t="s">
        <v>1951</v>
      </c>
      <c r="C350" s="6" t="s">
        <v>1952</v>
      </c>
      <c r="D350" s="6" t="s">
        <v>1944</v>
      </c>
      <c r="E350" s="6" t="s">
        <v>1499</v>
      </c>
      <c r="F350" s="6" t="s">
        <v>1953</v>
      </c>
      <c r="G350" s="6"/>
      <c r="H350" s="6"/>
    </row>
    <row r="351" ht="22.15" customHeight="1" spans="1:8">
      <c r="A351" s="6">
        <v>348</v>
      </c>
      <c r="B351" s="6" t="s">
        <v>1954</v>
      </c>
      <c r="C351" s="6" t="s">
        <v>1955</v>
      </c>
      <c r="D351" s="6" t="s">
        <v>1956</v>
      </c>
      <c r="E351" s="6" t="s">
        <v>1499</v>
      </c>
      <c r="F351" s="6">
        <v>46231</v>
      </c>
      <c r="G351" s="6"/>
      <c r="H351" s="6"/>
    </row>
    <row r="352" ht="22.15" customHeight="1" spans="1:8">
      <c r="A352" s="6">
        <v>349</v>
      </c>
      <c r="B352" s="6" t="s">
        <v>393</v>
      </c>
      <c r="C352" s="6" t="s">
        <v>1957</v>
      </c>
      <c r="D352" s="6" t="s">
        <v>1958</v>
      </c>
      <c r="E352" s="6" t="s">
        <v>1499</v>
      </c>
      <c r="F352" s="6" t="s">
        <v>1959</v>
      </c>
      <c r="G352" s="6"/>
      <c r="H352" s="6"/>
    </row>
    <row r="353" ht="22.15" customHeight="1" spans="1:8">
      <c r="A353" s="6">
        <v>350</v>
      </c>
      <c r="B353" s="6" t="s">
        <v>1960</v>
      </c>
      <c r="C353" s="6" t="s">
        <v>1789</v>
      </c>
      <c r="D353" s="6" t="s">
        <v>1961</v>
      </c>
      <c r="E353" s="6" t="s">
        <v>939</v>
      </c>
      <c r="F353" s="6" t="s">
        <v>1791</v>
      </c>
      <c r="G353" s="6"/>
      <c r="H353" s="6"/>
    </row>
    <row r="354" ht="22.15" customHeight="1" spans="1:8">
      <c r="A354" s="6">
        <v>351</v>
      </c>
      <c r="B354" s="6" t="s">
        <v>1962</v>
      </c>
      <c r="C354" s="6" t="s">
        <v>1963</v>
      </c>
      <c r="D354" s="6" t="s">
        <v>1964</v>
      </c>
      <c r="E354" s="6" t="s">
        <v>936</v>
      </c>
      <c r="F354" s="6">
        <v>92612</v>
      </c>
      <c r="G354" s="6"/>
      <c r="H354" s="6"/>
    </row>
    <row r="355" ht="22.15" customHeight="1" spans="1:8">
      <c r="A355" s="6">
        <v>352</v>
      </c>
      <c r="B355" s="6" t="s">
        <v>1965</v>
      </c>
      <c r="C355" s="6" t="s">
        <v>1966</v>
      </c>
      <c r="D355" s="6" t="s">
        <v>918</v>
      </c>
      <c r="E355" s="6" t="s">
        <v>919</v>
      </c>
      <c r="F355" s="6">
        <v>98121</v>
      </c>
      <c r="G355" s="6"/>
      <c r="H355" s="6"/>
    </row>
    <row r="356" ht="22.15" customHeight="1" spans="1:8">
      <c r="A356" s="6">
        <v>353</v>
      </c>
      <c r="B356" s="6" t="s">
        <v>1967</v>
      </c>
      <c r="C356" s="6" t="s">
        <v>1968</v>
      </c>
      <c r="D356" s="6" t="s">
        <v>1969</v>
      </c>
      <c r="E356" s="6" t="s">
        <v>919</v>
      </c>
      <c r="F356" s="6">
        <v>98004</v>
      </c>
      <c r="G356" s="6"/>
      <c r="H356" s="6"/>
    </row>
    <row r="357" ht="22.15" customHeight="1" spans="1:8">
      <c r="A357" s="6">
        <v>354</v>
      </c>
      <c r="B357" s="6" t="s">
        <v>1970</v>
      </c>
      <c r="C357" s="6" t="s">
        <v>1971</v>
      </c>
      <c r="D357" s="6" t="s">
        <v>976</v>
      </c>
      <c r="E357" s="6" t="s">
        <v>919</v>
      </c>
      <c r="F357" s="6">
        <v>98032</v>
      </c>
      <c r="G357" s="6"/>
      <c r="H357" s="6"/>
    </row>
    <row r="358" ht="22.15" customHeight="1" spans="1:8">
      <c r="A358" s="6">
        <v>355</v>
      </c>
      <c r="B358" s="6" t="s">
        <v>1972</v>
      </c>
      <c r="C358" s="6" t="s">
        <v>1973</v>
      </c>
      <c r="D358" s="6" t="s">
        <v>918</v>
      </c>
      <c r="E358" s="6" t="s">
        <v>919</v>
      </c>
      <c r="F358" s="6">
        <v>98109</v>
      </c>
      <c r="G358" s="6"/>
      <c r="H358" s="6"/>
    </row>
    <row r="359" ht="22.15" customHeight="1" spans="1:8">
      <c r="A359" s="6">
        <v>356</v>
      </c>
      <c r="B359" s="6" t="s">
        <v>1974</v>
      </c>
      <c r="C359" s="6" t="s">
        <v>1971</v>
      </c>
      <c r="D359" s="6" t="s">
        <v>976</v>
      </c>
      <c r="E359" s="6" t="s">
        <v>919</v>
      </c>
      <c r="F359" s="6">
        <v>98032</v>
      </c>
      <c r="G359" s="6"/>
      <c r="H359" s="6"/>
    </row>
    <row r="360" ht="22.15" customHeight="1" spans="1:8">
      <c r="A360" s="6">
        <v>357</v>
      </c>
      <c r="B360" s="6" t="s">
        <v>1975</v>
      </c>
      <c r="C360" s="6" t="s">
        <v>1976</v>
      </c>
      <c r="D360" s="6" t="s">
        <v>1977</v>
      </c>
      <c r="E360" s="6" t="s">
        <v>1155</v>
      </c>
      <c r="F360" s="6">
        <v>33897</v>
      </c>
      <c r="G360" s="6"/>
      <c r="H360" s="6"/>
    </row>
    <row r="361" ht="22.15" customHeight="1" spans="1:8">
      <c r="A361" s="6">
        <v>358</v>
      </c>
      <c r="B361" s="6" t="s">
        <v>1978</v>
      </c>
      <c r="C361" s="6" t="s">
        <v>1979</v>
      </c>
      <c r="D361" s="6" t="s">
        <v>1870</v>
      </c>
      <c r="E361" s="6" t="s">
        <v>936</v>
      </c>
      <c r="F361" s="6">
        <v>95304</v>
      </c>
      <c r="G361" s="6"/>
      <c r="H361" s="6"/>
    </row>
    <row r="362" ht="22.15" customHeight="1" spans="1:8">
      <c r="A362" s="6">
        <v>359</v>
      </c>
      <c r="B362" s="6" t="s">
        <v>1980</v>
      </c>
      <c r="C362" s="6" t="s">
        <v>1981</v>
      </c>
      <c r="D362" s="6" t="s">
        <v>1477</v>
      </c>
      <c r="E362" s="6" t="s">
        <v>1263</v>
      </c>
      <c r="F362" s="6" t="s">
        <v>1982</v>
      </c>
      <c r="G362" s="6"/>
      <c r="H362" s="6"/>
    </row>
    <row r="363" ht="22.15" customHeight="1" spans="1:8">
      <c r="A363" s="6">
        <v>360</v>
      </c>
      <c r="B363" s="6" t="s">
        <v>1983</v>
      </c>
      <c r="C363" s="6" t="s">
        <v>1984</v>
      </c>
      <c r="D363" s="6" t="s">
        <v>1477</v>
      </c>
      <c r="E363" s="6" t="s">
        <v>1263</v>
      </c>
      <c r="F363" s="6" t="s">
        <v>1985</v>
      </c>
      <c r="G363" s="6"/>
      <c r="H363" s="6"/>
    </row>
    <row r="364" ht="22.15" customHeight="1" spans="1:8">
      <c r="A364" s="6">
        <v>361</v>
      </c>
      <c r="B364" s="6" t="s">
        <v>1986</v>
      </c>
      <c r="C364" s="6" t="s">
        <v>1987</v>
      </c>
      <c r="D364" s="6" t="s">
        <v>1988</v>
      </c>
      <c r="E364" s="6" t="s">
        <v>936</v>
      </c>
      <c r="F364" s="6" t="s">
        <v>1989</v>
      </c>
      <c r="G364" s="6"/>
      <c r="H364" s="6"/>
    </row>
    <row r="365" ht="22.15" customHeight="1" spans="1:8">
      <c r="A365" s="6">
        <v>362</v>
      </c>
      <c r="B365" s="6" t="s">
        <v>1990</v>
      </c>
      <c r="C365" s="6" t="s">
        <v>1991</v>
      </c>
      <c r="D365" s="6" t="s">
        <v>1992</v>
      </c>
      <c r="E365" s="6" t="s">
        <v>1238</v>
      </c>
      <c r="F365" s="6">
        <v>41018</v>
      </c>
      <c r="G365" s="6"/>
      <c r="H365" s="6"/>
    </row>
    <row r="366" ht="22.15" customHeight="1" spans="1:8">
      <c r="A366" s="6">
        <v>363</v>
      </c>
      <c r="B366" s="6" t="s">
        <v>1993</v>
      </c>
      <c r="C366" s="6" t="s">
        <v>1994</v>
      </c>
      <c r="D366" s="6" t="s">
        <v>1237</v>
      </c>
      <c r="E366" s="6" t="s">
        <v>1238</v>
      </c>
      <c r="F366" s="6">
        <v>41048</v>
      </c>
      <c r="G366" s="6"/>
      <c r="H366" s="6"/>
    </row>
    <row r="367" ht="22.15" customHeight="1" spans="1:8">
      <c r="A367" s="6">
        <v>364</v>
      </c>
      <c r="B367" s="6" t="s">
        <v>1995</v>
      </c>
      <c r="C367" s="6" t="s">
        <v>1996</v>
      </c>
      <c r="D367" s="6" t="s">
        <v>948</v>
      </c>
      <c r="E367" s="6" t="s">
        <v>939</v>
      </c>
      <c r="F367" s="6">
        <v>8066</v>
      </c>
      <c r="G367" s="6"/>
      <c r="H367" s="6"/>
    </row>
    <row r="368" ht="22.15" customHeight="1" spans="1:8">
      <c r="A368" s="6">
        <v>365</v>
      </c>
      <c r="B368" s="6" t="s">
        <v>1997</v>
      </c>
      <c r="C368" s="6" t="s">
        <v>1998</v>
      </c>
      <c r="D368" s="6" t="s">
        <v>1999</v>
      </c>
      <c r="E368" s="6" t="s">
        <v>939</v>
      </c>
      <c r="F368" s="6">
        <v>8085</v>
      </c>
      <c r="G368" s="6"/>
      <c r="H368" s="6"/>
    </row>
    <row r="369" ht="22.15" customHeight="1" spans="1:8">
      <c r="A369" s="6">
        <v>366</v>
      </c>
      <c r="B369" s="6" t="s">
        <v>2000</v>
      </c>
      <c r="C369" s="6" t="s">
        <v>2001</v>
      </c>
      <c r="D369" s="6" t="s">
        <v>1928</v>
      </c>
      <c r="E369" s="6" t="s">
        <v>1579</v>
      </c>
      <c r="F369" s="6">
        <v>89115</v>
      </c>
      <c r="G369" s="6"/>
      <c r="H369" s="6"/>
    </row>
    <row r="370" ht="22.15" customHeight="1" spans="1:8">
      <c r="A370" s="6">
        <v>367</v>
      </c>
      <c r="B370" s="6" t="s">
        <v>2002</v>
      </c>
      <c r="C370" s="6" t="s">
        <v>2003</v>
      </c>
      <c r="D370" s="6" t="s">
        <v>2004</v>
      </c>
      <c r="E370" s="6" t="s">
        <v>1579</v>
      </c>
      <c r="F370" s="6">
        <v>89115</v>
      </c>
      <c r="G370" s="6"/>
      <c r="H370" s="6"/>
    </row>
    <row r="371" ht="22.15" customHeight="1" spans="1:8">
      <c r="A371" s="6">
        <v>368</v>
      </c>
      <c r="B371" s="6" t="s">
        <v>2005</v>
      </c>
      <c r="C371" s="6" t="s">
        <v>2006</v>
      </c>
      <c r="D371" s="6" t="s">
        <v>1502</v>
      </c>
      <c r="E371" s="6" t="s">
        <v>1155</v>
      </c>
      <c r="F371" s="6">
        <v>32218</v>
      </c>
      <c r="G371" s="6">
        <v>1600000</v>
      </c>
      <c r="H371" s="6"/>
    </row>
    <row r="372" ht="22.15" customHeight="1" spans="1:8">
      <c r="A372" s="6">
        <v>369</v>
      </c>
      <c r="B372" s="6" t="s">
        <v>622</v>
      </c>
      <c r="C372" s="6" t="s">
        <v>2006</v>
      </c>
      <c r="D372" s="6" t="s">
        <v>1502</v>
      </c>
      <c r="E372" s="6" t="s">
        <v>1155</v>
      </c>
      <c r="F372" s="6">
        <v>32218</v>
      </c>
      <c r="G372" s="6"/>
      <c r="H372" s="6"/>
    </row>
    <row r="373" ht="22.15" customHeight="1" spans="1:8">
      <c r="A373" s="6">
        <v>370</v>
      </c>
      <c r="B373" s="6" t="s">
        <v>472</v>
      </c>
      <c r="C373" s="6" t="s">
        <v>2007</v>
      </c>
      <c r="D373" s="6" t="s">
        <v>1502</v>
      </c>
      <c r="E373" s="6" t="s">
        <v>1155</v>
      </c>
      <c r="F373" s="6">
        <v>32221</v>
      </c>
      <c r="G373" s="6"/>
      <c r="H373" s="6"/>
    </row>
    <row r="374" ht="22.15" customHeight="1" spans="1:8">
      <c r="A374" s="6">
        <v>371</v>
      </c>
      <c r="B374" s="6" t="s">
        <v>624</v>
      </c>
      <c r="C374" s="6" t="s">
        <v>2008</v>
      </c>
      <c r="D374" s="6" t="s">
        <v>1502</v>
      </c>
      <c r="E374" s="6" t="s">
        <v>1155</v>
      </c>
      <c r="F374" s="6">
        <v>32219</v>
      </c>
      <c r="G374" s="6">
        <v>237000</v>
      </c>
      <c r="H374" s="6" t="s">
        <v>2009</v>
      </c>
    </row>
    <row r="375" ht="22.15" customHeight="1" spans="1:8">
      <c r="A375" s="6">
        <v>372</v>
      </c>
      <c r="B375" s="6" t="s">
        <v>2010</v>
      </c>
      <c r="C375" s="6" t="s">
        <v>2011</v>
      </c>
      <c r="D375" s="6" t="s">
        <v>2012</v>
      </c>
      <c r="E375" s="6" t="s">
        <v>1155</v>
      </c>
      <c r="F375" s="6">
        <v>32218</v>
      </c>
      <c r="G375" s="6"/>
      <c r="H375" s="6"/>
    </row>
    <row r="376" ht="22.15" customHeight="1" spans="1:8">
      <c r="A376" s="6">
        <v>373</v>
      </c>
      <c r="B376" s="6" t="s">
        <v>2013</v>
      </c>
      <c r="C376" s="6" t="s">
        <v>2014</v>
      </c>
      <c r="D376" s="6" t="s">
        <v>2015</v>
      </c>
      <c r="E376" s="6" t="s">
        <v>969</v>
      </c>
      <c r="F376" s="6">
        <v>10001</v>
      </c>
      <c r="G376" s="6"/>
      <c r="H376" s="6"/>
    </row>
    <row r="377" ht="22.15" customHeight="1" spans="1:8">
      <c r="A377" s="6">
        <v>374</v>
      </c>
      <c r="B377" s="6" t="s">
        <v>2016</v>
      </c>
      <c r="C377" s="6" t="s">
        <v>2017</v>
      </c>
      <c r="D377" s="6" t="s">
        <v>2015</v>
      </c>
      <c r="E377" s="6" t="s">
        <v>969</v>
      </c>
      <c r="F377" s="6">
        <v>10001</v>
      </c>
      <c r="G377" s="6">
        <v>40000</v>
      </c>
      <c r="H377" s="6" t="s">
        <v>2018</v>
      </c>
    </row>
    <row r="378" ht="22.15" customHeight="1" spans="1:8">
      <c r="A378" s="6">
        <v>375</v>
      </c>
      <c r="B378" s="6" t="s">
        <v>2019</v>
      </c>
      <c r="C378" s="6" t="s">
        <v>2020</v>
      </c>
      <c r="D378" s="6" t="s">
        <v>2021</v>
      </c>
      <c r="E378" s="6" t="s">
        <v>969</v>
      </c>
      <c r="F378" s="6">
        <v>10314</v>
      </c>
      <c r="G378" s="6"/>
      <c r="H378" s="6"/>
    </row>
    <row r="379" ht="22.15" customHeight="1" spans="1:8">
      <c r="A379" s="6">
        <v>376</v>
      </c>
      <c r="B379" s="6" t="s">
        <v>2022</v>
      </c>
      <c r="C379" s="6" t="s">
        <v>2023</v>
      </c>
      <c r="D379" s="6" t="s">
        <v>2024</v>
      </c>
      <c r="E379" s="6" t="s">
        <v>969</v>
      </c>
      <c r="F379" s="6" t="s">
        <v>2025</v>
      </c>
      <c r="G379" s="6"/>
      <c r="H379" s="6"/>
    </row>
    <row r="380" ht="22.15" customHeight="1" spans="1:8">
      <c r="A380" s="6">
        <v>377</v>
      </c>
      <c r="B380" s="6" t="s">
        <v>464</v>
      </c>
      <c r="C380" s="6" t="s">
        <v>2026</v>
      </c>
      <c r="D380" s="6" t="s">
        <v>2027</v>
      </c>
      <c r="E380" s="6" t="s">
        <v>1618</v>
      </c>
      <c r="F380" s="6">
        <v>53511</v>
      </c>
      <c r="G380" s="6"/>
      <c r="H380" s="6"/>
    </row>
    <row r="381" ht="22.15" customHeight="1" spans="1:8">
      <c r="A381" s="6">
        <v>378</v>
      </c>
      <c r="B381" s="6" t="s">
        <v>2028</v>
      </c>
      <c r="C381" s="6" t="s">
        <v>2029</v>
      </c>
      <c r="D381" s="6" t="s">
        <v>1125</v>
      </c>
      <c r="E381" s="6" t="s">
        <v>1126</v>
      </c>
      <c r="F381" s="6">
        <v>21240</v>
      </c>
      <c r="G381" s="6"/>
      <c r="H381" s="6"/>
    </row>
    <row r="382" ht="22.15" customHeight="1" spans="1:8">
      <c r="A382" s="6">
        <v>379</v>
      </c>
      <c r="B382" s="6" t="s">
        <v>2030</v>
      </c>
      <c r="C382" s="6" t="s">
        <v>2031</v>
      </c>
      <c r="D382" s="6" t="s">
        <v>2032</v>
      </c>
      <c r="E382" s="6" t="s">
        <v>1166</v>
      </c>
      <c r="F382" s="6">
        <v>60421</v>
      </c>
      <c r="G382" s="6"/>
      <c r="H382" s="6"/>
    </row>
    <row r="383" ht="22.15" customHeight="1" spans="1:8">
      <c r="A383" s="6">
        <v>380</v>
      </c>
      <c r="B383" s="6" t="s">
        <v>2033</v>
      </c>
      <c r="C383" s="6" t="s">
        <v>2034</v>
      </c>
      <c r="D383" s="6" t="s">
        <v>2035</v>
      </c>
      <c r="E383" s="6" t="s">
        <v>965</v>
      </c>
      <c r="F383" s="6">
        <v>45177</v>
      </c>
      <c r="G383" s="6"/>
      <c r="H383" s="6"/>
    </row>
    <row r="384" ht="22.15" customHeight="1" spans="1:8">
      <c r="A384" s="6">
        <v>381</v>
      </c>
      <c r="B384" s="6" t="s">
        <v>398</v>
      </c>
      <c r="C384" s="6" t="s">
        <v>2036</v>
      </c>
      <c r="D384" s="6" t="s">
        <v>2037</v>
      </c>
      <c r="E384" s="6" t="s">
        <v>936</v>
      </c>
      <c r="F384" s="6">
        <v>92408</v>
      </c>
      <c r="G384" s="6"/>
      <c r="H384" s="6"/>
    </row>
    <row r="385" ht="22.15" customHeight="1" spans="1:8">
      <c r="A385" s="6">
        <v>382</v>
      </c>
      <c r="B385" s="6" t="s">
        <v>2038</v>
      </c>
      <c r="C385" s="6" t="s">
        <v>2039</v>
      </c>
      <c r="D385" s="6" t="s">
        <v>2040</v>
      </c>
      <c r="E385" s="6" t="s">
        <v>1166</v>
      </c>
      <c r="F385" s="6">
        <v>61109</v>
      </c>
      <c r="G385" s="6"/>
      <c r="H385" s="6"/>
    </row>
    <row r="386" ht="22.15" customHeight="1" spans="1:8">
      <c r="A386" s="6">
        <v>383</v>
      </c>
      <c r="B386" s="6" t="s">
        <v>2041</v>
      </c>
      <c r="C386" s="6" t="s">
        <v>2042</v>
      </c>
      <c r="D386" s="6" t="s">
        <v>2043</v>
      </c>
      <c r="E386" s="6" t="s">
        <v>936</v>
      </c>
      <c r="F386" s="6">
        <v>92551</v>
      </c>
      <c r="G386" s="6"/>
      <c r="H386" s="6"/>
    </row>
    <row r="387" ht="22.15" customHeight="1" spans="1:8">
      <c r="A387" s="6">
        <v>384</v>
      </c>
      <c r="B387" s="6" t="s">
        <v>2044</v>
      </c>
      <c r="C387" s="6" t="s">
        <v>2045</v>
      </c>
      <c r="D387" s="6" t="s">
        <v>2046</v>
      </c>
      <c r="E387" s="6" t="s">
        <v>2047</v>
      </c>
      <c r="F387" s="6">
        <v>315832</v>
      </c>
      <c r="G387" s="6"/>
      <c r="H387" s="6"/>
    </row>
    <row r="388" ht="22.15" customHeight="1" spans="1:8">
      <c r="A388" s="6">
        <v>385</v>
      </c>
      <c r="B388" s="6" t="s">
        <v>2048</v>
      </c>
      <c r="C388" s="6" t="s">
        <v>2049</v>
      </c>
      <c r="D388" s="6" t="s">
        <v>2050</v>
      </c>
      <c r="E388" s="6" t="s">
        <v>1155</v>
      </c>
      <c r="F388" s="6">
        <v>33811</v>
      </c>
      <c r="G388" s="6"/>
      <c r="H388" s="6"/>
    </row>
    <row r="389" ht="22.15" customHeight="1" spans="1:8">
      <c r="A389" s="6">
        <v>386</v>
      </c>
      <c r="B389" s="6" t="s">
        <v>341</v>
      </c>
      <c r="C389" s="6" t="s">
        <v>2051</v>
      </c>
      <c r="D389" s="6" t="s">
        <v>2052</v>
      </c>
      <c r="E389" s="6" t="s">
        <v>1579</v>
      </c>
      <c r="F389" s="6">
        <v>89044</v>
      </c>
      <c r="G389" s="6"/>
      <c r="H389" s="6"/>
    </row>
    <row r="390" ht="22.15" customHeight="1" spans="1:8">
      <c r="A390" s="6">
        <v>387</v>
      </c>
      <c r="B390" s="6" t="s">
        <v>415</v>
      </c>
      <c r="C390" s="6" t="s">
        <v>2053</v>
      </c>
      <c r="D390" s="6" t="s">
        <v>2054</v>
      </c>
      <c r="E390" s="6" t="s">
        <v>1196</v>
      </c>
      <c r="F390" s="6" t="s">
        <v>2055</v>
      </c>
      <c r="G390" s="6"/>
      <c r="H390" s="6"/>
    </row>
    <row r="391" ht="22.15" customHeight="1" spans="1:8">
      <c r="A391" s="6">
        <v>388</v>
      </c>
      <c r="B391" s="6" t="s">
        <v>2056</v>
      </c>
      <c r="C391" s="6" t="s">
        <v>2057</v>
      </c>
      <c r="D391" s="6" t="s">
        <v>2004</v>
      </c>
      <c r="E391" s="6" t="s">
        <v>1579</v>
      </c>
      <c r="F391" s="6">
        <v>89115</v>
      </c>
      <c r="G391" s="6"/>
      <c r="H391" s="6"/>
    </row>
    <row r="392" ht="22.15" customHeight="1" spans="1:8">
      <c r="A392" s="6">
        <v>389</v>
      </c>
      <c r="B392" s="6" t="s">
        <v>414</v>
      </c>
      <c r="C392" s="6" t="s">
        <v>2058</v>
      </c>
      <c r="D392" s="6" t="s">
        <v>2004</v>
      </c>
      <c r="E392" s="6" t="s">
        <v>1579</v>
      </c>
      <c r="F392" s="6">
        <v>89115</v>
      </c>
      <c r="G392" s="6"/>
      <c r="H392" s="6"/>
    </row>
    <row r="393" ht="22.15" customHeight="1" spans="1:8">
      <c r="A393" s="6">
        <v>390</v>
      </c>
      <c r="B393" s="6" t="s">
        <v>2059</v>
      </c>
      <c r="C393" s="6" t="s">
        <v>2060</v>
      </c>
      <c r="D393" s="6" t="s">
        <v>2061</v>
      </c>
      <c r="E393" s="6" t="s">
        <v>1579</v>
      </c>
      <c r="F393" s="6">
        <v>89115</v>
      </c>
      <c r="G393" s="6"/>
      <c r="H393" s="6"/>
    </row>
    <row r="394" ht="22.15" customHeight="1" spans="1:8">
      <c r="A394" s="6">
        <v>391</v>
      </c>
      <c r="B394" s="6" t="s">
        <v>2062</v>
      </c>
      <c r="C394" s="6" t="s">
        <v>2063</v>
      </c>
      <c r="D394" s="6" t="s">
        <v>2061</v>
      </c>
      <c r="E394" s="6" t="s">
        <v>1579</v>
      </c>
      <c r="F394" s="6">
        <v>89081</v>
      </c>
      <c r="G394" s="6">
        <v>813100</v>
      </c>
      <c r="H394" s="6" t="s">
        <v>945</v>
      </c>
    </row>
    <row r="395" ht="22.15" customHeight="1" spans="1:8">
      <c r="A395" s="6">
        <v>392</v>
      </c>
      <c r="B395" s="6" t="s">
        <v>2064</v>
      </c>
      <c r="C395" s="6" t="s">
        <v>2065</v>
      </c>
      <c r="D395" s="6" t="s">
        <v>2066</v>
      </c>
      <c r="E395" s="6" t="s">
        <v>936</v>
      </c>
      <c r="F395" s="6">
        <v>90621</v>
      </c>
      <c r="G395" s="6"/>
      <c r="H395" s="6"/>
    </row>
    <row r="396" ht="22.15" customHeight="1" spans="1:8">
      <c r="A396" s="6">
        <v>393</v>
      </c>
      <c r="B396" s="6" t="s">
        <v>2067</v>
      </c>
      <c r="C396" s="6" t="s">
        <v>2068</v>
      </c>
      <c r="D396" s="6" t="s">
        <v>2066</v>
      </c>
      <c r="E396" s="6" t="s">
        <v>936</v>
      </c>
      <c r="F396" s="6">
        <v>90620</v>
      </c>
      <c r="G396" s="6">
        <v>238270</v>
      </c>
      <c r="H396" s="6"/>
    </row>
    <row r="397" ht="22.15" customHeight="1" spans="1:8">
      <c r="A397" s="6">
        <v>394</v>
      </c>
      <c r="B397" s="6" t="s">
        <v>2069</v>
      </c>
      <c r="C397" s="6" t="s">
        <v>2070</v>
      </c>
      <c r="D397" s="6" t="s">
        <v>1122</v>
      </c>
      <c r="E397" s="6" t="s">
        <v>936</v>
      </c>
      <c r="F397" s="6">
        <v>90058</v>
      </c>
      <c r="G397" s="6"/>
      <c r="H397" s="6"/>
    </row>
    <row r="398" ht="22.15" customHeight="1" spans="1:8">
      <c r="A398" s="6">
        <v>395</v>
      </c>
      <c r="B398" s="6" t="s">
        <v>2071</v>
      </c>
      <c r="C398" s="6" t="s">
        <v>2072</v>
      </c>
      <c r="D398" s="6" t="s">
        <v>2073</v>
      </c>
      <c r="E398" s="6" t="s">
        <v>936</v>
      </c>
      <c r="F398" s="6" t="s">
        <v>2074</v>
      </c>
      <c r="G398" s="6"/>
      <c r="H398" s="6"/>
    </row>
    <row r="399" ht="22.15" customHeight="1" spans="1:8">
      <c r="A399" s="6">
        <v>396</v>
      </c>
      <c r="B399" s="6" t="s">
        <v>336</v>
      </c>
      <c r="C399" s="6" t="s">
        <v>2075</v>
      </c>
      <c r="D399" s="6" t="s">
        <v>2076</v>
      </c>
      <c r="E399" s="6" t="s">
        <v>936</v>
      </c>
      <c r="F399" s="6">
        <v>92337</v>
      </c>
      <c r="G399" s="6"/>
      <c r="H399" s="6"/>
    </row>
    <row r="400" ht="22.15" customHeight="1" spans="1:8">
      <c r="A400" s="6">
        <v>397</v>
      </c>
      <c r="B400" s="6" t="s">
        <v>2077</v>
      </c>
      <c r="C400" s="6" t="s">
        <v>2078</v>
      </c>
      <c r="D400" s="6" t="s">
        <v>2079</v>
      </c>
      <c r="E400" s="6" t="s">
        <v>1263</v>
      </c>
      <c r="F400" s="6">
        <v>79401</v>
      </c>
      <c r="G400" s="6"/>
      <c r="H400" s="6"/>
    </row>
    <row r="401" ht="22.15" customHeight="1" spans="1:8">
      <c r="A401" s="6">
        <v>398</v>
      </c>
      <c r="B401" s="6" t="s">
        <v>2080</v>
      </c>
      <c r="C401" s="6" t="s">
        <v>2081</v>
      </c>
      <c r="D401" s="6" t="s">
        <v>2082</v>
      </c>
      <c r="E401" s="6" t="s">
        <v>965</v>
      </c>
      <c r="F401" s="6">
        <v>43207</v>
      </c>
      <c r="G401" s="6">
        <v>1000000</v>
      </c>
      <c r="H401" s="6"/>
    </row>
    <row r="402" ht="22.15" customHeight="1" spans="1:8">
      <c r="A402" s="6">
        <v>399</v>
      </c>
      <c r="B402" s="6" t="s">
        <v>2083</v>
      </c>
      <c r="C402" s="6" t="s">
        <v>2084</v>
      </c>
      <c r="D402" s="6" t="s">
        <v>2085</v>
      </c>
      <c r="E402" s="6" t="s">
        <v>969</v>
      </c>
      <c r="F402" s="6">
        <v>10314</v>
      </c>
      <c r="G402" s="6"/>
      <c r="H402" s="6"/>
    </row>
    <row r="403" ht="22.15" customHeight="1" spans="1:8">
      <c r="A403" s="6">
        <v>400</v>
      </c>
      <c r="B403" s="6" t="s">
        <v>2086</v>
      </c>
      <c r="C403" s="6" t="s">
        <v>2087</v>
      </c>
      <c r="D403" s="6" t="s">
        <v>2088</v>
      </c>
      <c r="E403" s="6" t="s">
        <v>1238</v>
      </c>
      <c r="F403" s="6">
        <v>40513</v>
      </c>
      <c r="G403" s="6"/>
      <c r="H403" s="6"/>
    </row>
    <row r="404" ht="22.15" customHeight="1" spans="1:8">
      <c r="A404" s="6">
        <v>401</v>
      </c>
      <c r="B404" s="6" t="s">
        <v>2089</v>
      </c>
      <c r="C404" s="6" t="s">
        <v>2090</v>
      </c>
      <c r="D404" s="6" t="s">
        <v>2091</v>
      </c>
      <c r="E404" s="6" t="s">
        <v>1238</v>
      </c>
      <c r="F404" s="6" t="s">
        <v>2092</v>
      </c>
      <c r="G404" s="6"/>
      <c r="H404" s="6"/>
    </row>
    <row r="405" ht="22.15" customHeight="1" spans="1:8">
      <c r="A405" s="6">
        <v>402</v>
      </c>
      <c r="B405" s="6" t="s">
        <v>2093</v>
      </c>
      <c r="C405" s="6" t="s">
        <v>2094</v>
      </c>
      <c r="D405" s="6" t="s">
        <v>2091</v>
      </c>
      <c r="E405" s="6" t="s">
        <v>1238</v>
      </c>
      <c r="F405" s="6" t="s">
        <v>2095</v>
      </c>
      <c r="G405" s="6"/>
      <c r="H405" s="6"/>
    </row>
    <row r="406" ht="22.15" customHeight="1" spans="1:8">
      <c r="A406" s="6">
        <v>403</v>
      </c>
      <c r="B406" s="6" t="s">
        <v>2096</v>
      </c>
      <c r="C406" s="6" t="s">
        <v>2097</v>
      </c>
      <c r="D406" s="6" t="s">
        <v>2091</v>
      </c>
      <c r="E406" s="6" t="s">
        <v>1238</v>
      </c>
      <c r="F406" s="6">
        <v>40511</v>
      </c>
      <c r="G406" s="6"/>
      <c r="H406" s="6" t="s">
        <v>2098</v>
      </c>
    </row>
    <row r="407" ht="22.15" customHeight="1" spans="1:8">
      <c r="A407" s="6">
        <v>404</v>
      </c>
      <c r="B407" s="6" t="s">
        <v>2099</v>
      </c>
      <c r="C407" s="6" t="s">
        <v>2100</v>
      </c>
      <c r="D407" s="6" t="s">
        <v>2101</v>
      </c>
      <c r="E407" s="6" t="s">
        <v>939</v>
      </c>
      <c r="F407" s="6" t="s">
        <v>1800</v>
      </c>
      <c r="G407" s="6"/>
      <c r="H407" s="6"/>
    </row>
    <row r="408" ht="22.15" customHeight="1" spans="1:8">
      <c r="A408" s="6">
        <v>405</v>
      </c>
      <c r="B408" s="6" t="s">
        <v>2102</v>
      </c>
      <c r="C408" s="6" t="s">
        <v>2103</v>
      </c>
      <c r="D408" s="6" t="s">
        <v>1796</v>
      </c>
      <c r="E408" s="6" t="s">
        <v>939</v>
      </c>
      <c r="F408" s="6">
        <v>7008</v>
      </c>
      <c r="G408" s="6"/>
      <c r="H408" s="6"/>
    </row>
    <row r="409" ht="22.15" customHeight="1" spans="1:8">
      <c r="A409" s="6">
        <v>406</v>
      </c>
      <c r="B409" s="6" t="s">
        <v>2104</v>
      </c>
      <c r="C409" s="6" t="s">
        <v>2103</v>
      </c>
      <c r="D409" s="6" t="s">
        <v>1796</v>
      </c>
      <c r="E409" s="6" t="s">
        <v>939</v>
      </c>
      <c r="F409" s="6">
        <v>7008</v>
      </c>
      <c r="G409" s="6"/>
      <c r="H409" s="6"/>
    </row>
    <row r="410" ht="22.15" customHeight="1" spans="1:8">
      <c r="A410" s="6">
        <v>407</v>
      </c>
      <c r="B410" s="6" t="s">
        <v>2105</v>
      </c>
      <c r="C410" s="6" t="s">
        <v>2106</v>
      </c>
      <c r="D410" s="6" t="s">
        <v>2107</v>
      </c>
      <c r="E410" s="6" t="s">
        <v>939</v>
      </c>
      <c r="F410" s="6">
        <v>8817</v>
      </c>
      <c r="G410" s="6"/>
      <c r="H410" s="6"/>
    </row>
    <row r="411" ht="22.15" customHeight="1" spans="1:8">
      <c r="A411" s="6">
        <v>408</v>
      </c>
      <c r="B411" s="6" t="s">
        <v>2108</v>
      </c>
      <c r="C411" s="6" t="s">
        <v>2109</v>
      </c>
      <c r="D411" s="6" t="s">
        <v>2110</v>
      </c>
      <c r="E411" s="6" t="s">
        <v>936</v>
      </c>
      <c r="F411" s="6">
        <v>90810</v>
      </c>
      <c r="G411" s="6"/>
      <c r="H411" s="6"/>
    </row>
    <row r="412" ht="22.15" customHeight="1" spans="1:8">
      <c r="A412" s="6">
        <v>409</v>
      </c>
      <c r="B412" s="6" t="s">
        <v>2111</v>
      </c>
      <c r="C412" s="6" t="s">
        <v>2112</v>
      </c>
      <c r="D412" s="6" t="s">
        <v>2110</v>
      </c>
      <c r="E412" s="6" t="s">
        <v>936</v>
      </c>
      <c r="F412" s="6">
        <v>90840</v>
      </c>
      <c r="G412" s="6"/>
      <c r="H412" s="6"/>
    </row>
    <row r="413" ht="22.15" customHeight="1" spans="1:8">
      <c r="A413" s="6">
        <v>410</v>
      </c>
      <c r="B413" s="6" t="s">
        <v>2113</v>
      </c>
      <c r="C413" s="6" t="s">
        <v>2114</v>
      </c>
      <c r="D413" s="6" t="s">
        <v>1328</v>
      </c>
      <c r="E413" s="6" t="s">
        <v>936</v>
      </c>
      <c r="F413" s="6">
        <v>92880</v>
      </c>
      <c r="G413" s="6"/>
      <c r="H413" s="6"/>
    </row>
    <row r="414" ht="22.15" customHeight="1" spans="1:8">
      <c r="A414" s="6">
        <v>411</v>
      </c>
      <c r="B414" s="6" t="s">
        <v>395</v>
      </c>
      <c r="C414" s="6" t="s">
        <v>2115</v>
      </c>
      <c r="D414" s="6" t="s">
        <v>2116</v>
      </c>
      <c r="E414" s="6" t="s">
        <v>936</v>
      </c>
      <c r="F414" s="6">
        <v>92374</v>
      </c>
      <c r="G414" s="6"/>
      <c r="H414" s="6"/>
    </row>
    <row r="415" ht="22.15" customHeight="1" spans="1:8">
      <c r="A415" s="6">
        <v>412</v>
      </c>
      <c r="B415" s="6" t="s">
        <v>2117</v>
      </c>
      <c r="C415" s="6" t="s">
        <v>2118</v>
      </c>
      <c r="D415" s="6" t="s">
        <v>2119</v>
      </c>
      <c r="E415" s="6" t="s">
        <v>936</v>
      </c>
      <c r="F415" s="6">
        <v>92410</v>
      </c>
      <c r="G415" s="6"/>
      <c r="H415" s="6"/>
    </row>
    <row r="416" ht="22.15" customHeight="1" spans="1:8">
      <c r="A416" s="6">
        <v>413</v>
      </c>
      <c r="B416" s="6" t="s">
        <v>396</v>
      </c>
      <c r="C416" s="6" t="s">
        <v>2120</v>
      </c>
      <c r="D416" s="6" t="s">
        <v>1540</v>
      </c>
      <c r="E416" s="6" t="s">
        <v>936</v>
      </c>
      <c r="F416" s="6">
        <v>92518</v>
      </c>
      <c r="G416" s="6"/>
      <c r="H416" s="6"/>
    </row>
    <row r="417" ht="22.15" customHeight="1" spans="1:8">
      <c r="A417" s="6">
        <v>414</v>
      </c>
      <c r="B417" s="6" t="s">
        <v>2121</v>
      </c>
      <c r="C417" s="6" t="s">
        <v>2122</v>
      </c>
      <c r="D417" s="6" t="s">
        <v>2123</v>
      </c>
      <c r="E417" s="6" t="s">
        <v>936</v>
      </c>
      <c r="F417" s="6">
        <v>92376</v>
      </c>
      <c r="G417" s="6"/>
      <c r="H417" s="6"/>
    </row>
    <row r="418" ht="22.15" customHeight="1" spans="1:8">
      <c r="A418" s="6">
        <v>415</v>
      </c>
      <c r="B418" s="6" t="s">
        <v>335</v>
      </c>
      <c r="C418" s="6" t="s">
        <v>2124</v>
      </c>
      <c r="D418" s="6" t="s">
        <v>2123</v>
      </c>
      <c r="E418" s="6" t="s">
        <v>936</v>
      </c>
      <c r="F418" s="6">
        <v>92376</v>
      </c>
      <c r="G418" s="6"/>
      <c r="H418" s="6"/>
    </row>
    <row r="419" ht="22.15" customHeight="1" spans="1:8">
      <c r="A419" s="6">
        <v>416</v>
      </c>
      <c r="B419" s="6" t="s">
        <v>403</v>
      </c>
      <c r="C419" s="6" t="s">
        <v>2125</v>
      </c>
      <c r="D419" s="6" t="s">
        <v>2126</v>
      </c>
      <c r="E419" s="6" t="s">
        <v>936</v>
      </c>
      <c r="F419" s="6">
        <v>92571</v>
      </c>
      <c r="G419" s="6"/>
      <c r="H419" s="6"/>
    </row>
    <row r="420" ht="22.15" customHeight="1" spans="1:8">
      <c r="A420" s="6">
        <v>417</v>
      </c>
      <c r="B420" s="8" t="s">
        <v>2127</v>
      </c>
      <c r="C420" s="6" t="s">
        <v>2128</v>
      </c>
      <c r="D420" s="6" t="s">
        <v>2129</v>
      </c>
      <c r="E420" s="6" t="s">
        <v>1126</v>
      </c>
      <c r="F420" s="6">
        <v>20740</v>
      </c>
      <c r="G420" s="6"/>
      <c r="H420" s="6"/>
    </row>
    <row r="421" ht="22.15" customHeight="1" spans="1:8">
      <c r="A421" s="6">
        <v>418</v>
      </c>
      <c r="B421" s="6" t="s">
        <v>2130</v>
      </c>
      <c r="C421" s="6" t="s">
        <v>2131</v>
      </c>
      <c r="D421" s="6" t="s">
        <v>2132</v>
      </c>
      <c r="E421" s="6" t="s">
        <v>1096</v>
      </c>
      <c r="F421" s="6">
        <v>1003</v>
      </c>
      <c r="G421" s="6"/>
      <c r="H421" s="6"/>
    </row>
    <row r="422" ht="22.15" customHeight="1" spans="1:8">
      <c r="A422" s="6">
        <v>419</v>
      </c>
      <c r="B422" s="6" t="s">
        <v>2133</v>
      </c>
      <c r="C422" s="6" t="s">
        <v>2134</v>
      </c>
      <c r="D422" s="6" t="s">
        <v>2135</v>
      </c>
      <c r="E422" s="6" t="s">
        <v>1155</v>
      </c>
      <c r="F422" s="6">
        <v>33897</v>
      </c>
      <c r="G422" s="6">
        <v>270000</v>
      </c>
      <c r="H422" s="6" t="s">
        <v>2136</v>
      </c>
    </row>
    <row r="423" ht="22.15" customHeight="1" spans="1:8">
      <c r="A423" s="6">
        <v>420</v>
      </c>
      <c r="B423" s="6" t="s">
        <v>2137</v>
      </c>
      <c r="C423" s="6" t="s">
        <v>2138</v>
      </c>
      <c r="D423" s="6" t="s">
        <v>2139</v>
      </c>
      <c r="E423" s="6" t="s">
        <v>2140</v>
      </c>
      <c r="F423" s="6">
        <v>66219</v>
      </c>
      <c r="G423" s="6"/>
      <c r="H423" s="6" t="s">
        <v>945</v>
      </c>
    </row>
    <row r="424" ht="22.15" customHeight="1" spans="1:8">
      <c r="A424" s="6">
        <v>421</v>
      </c>
      <c r="B424" s="6" t="s">
        <v>2141</v>
      </c>
      <c r="C424" s="6" t="s">
        <v>2142</v>
      </c>
      <c r="D424" s="6" t="s">
        <v>2139</v>
      </c>
      <c r="E424" s="6" t="s">
        <v>2140</v>
      </c>
      <c r="F424" s="6">
        <v>66219</v>
      </c>
      <c r="G424" s="6">
        <v>267000</v>
      </c>
      <c r="H424" s="6" t="s">
        <v>2143</v>
      </c>
    </row>
    <row r="425" ht="22.15" customHeight="1" spans="1:8">
      <c r="A425" s="6">
        <v>422</v>
      </c>
      <c r="B425" s="6" t="s">
        <v>2144</v>
      </c>
      <c r="C425" s="6" t="s">
        <v>2145</v>
      </c>
      <c r="D425" s="6" t="s">
        <v>2146</v>
      </c>
      <c r="E425" s="6" t="s">
        <v>2140</v>
      </c>
      <c r="F425" s="6">
        <v>66031</v>
      </c>
      <c r="G425" s="6"/>
      <c r="H425" s="6"/>
    </row>
    <row r="426" ht="22.15" customHeight="1" spans="1:8">
      <c r="A426" s="6">
        <v>423</v>
      </c>
      <c r="B426" s="6" t="s">
        <v>2147</v>
      </c>
      <c r="C426" s="6" t="s">
        <v>2148</v>
      </c>
      <c r="D426" s="6" t="s">
        <v>2139</v>
      </c>
      <c r="E426" s="6" t="s">
        <v>2140</v>
      </c>
      <c r="F426" s="6">
        <v>66219</v>
      </c>
      <c r="G426" s="6"/>
      <c r="H426" s="6" t="s">
        <v>945</v>
      </c>
    </row>
    <row r="427" ht="22.15" customHeight="1" spans="1:8">
      <c r="A427" s="6">
        <v>424</v>
      </c>
      <c r="B427" s="6" t="s">
        <v>2149</v>
      </c>
      <c r="C427" s="6" t="s">
        <v>2150</v>
      </c>
      <c r="D427" s="6" t="s">
        <v>1154</v>
      </c>
      <c r="E427" s="6" t="s">
        <v>1155</v>
      </c>
      <c r="F427" s="6">
        <v>32824</v>
      </c>
      <c r="G427" s="6"/>
      <c r="H427" s="6"/>
    </row>
    <row r="428" ht="22.15" customHeight="1" spans="1:8">
      <c r="A428" s="6">
        <v>425</v>
      </c>
      <c r="B428" s="6" t="s">
        <v>475</v>
      </c>
      <c r="C428" s="6" t="s">
        <v>2151</v>
      </c>
      <c r="D428" s="6" t="s">
        <v>2152</v>
      </c>
      <c r="E428" s="6" t="s">
        <v>1155</v>
      </c>
      <c r="F428" s="6">
        <v>32763</v>
      </c>
      <c r="G428" s="6"/>
      <c r="H428" s="6"/>
    </row>
    <row r="429" ht="22.15" customHeight="1" spans="1:8">
      <c r="A429" s="6">
        <v>426</v>
      </c>
      <c r="B429" s="6" t="s">
        <v>2153</v>
      </c>
      <c r="C429" s="6" t="s">
        <v>2154</v>
      </c>
      <c r="D429" s="6" t="s">
        <v>2135</v>
      </c>
      <c r="E429" s="6" t="s">
        <v>1155</v>
      </c>
      <c r="F429" s="6">
        <v>33897</v>
      </c>
      <c r="G429" s="6">
        <v>270000</v>
      </c>
      <c r="H429" s="6" t="s">
        <v>1247</v>
      </c>
    </row>
    <row r="430" ht="22.15" customHeight="1" spans="1:8">
      <c r="A430" s="6">
        <v>427</v>
      </c>
      <c r="B430" s="6" t="s">
        <v>2155</v>
      </c>
      <c r="C430" s="6" t="s">
        <v>2156</v>
      </c>
      <c r="D430" s="6" t="s">
        <v>1154</v>
      </c>
      <c r="E430" s="6" t="s">
        <v>1155</v>
      </c>
      <c r="F430" s="6">
        <v>32819</v>
      </c>
      <c r="G430" s="6"/>
      <c r="H430" s="6"/>
    </row>
    <row r="431" ht="22.15" customHeight="1" spans="1:8">
      <c r="A431" s="6">
        <v>428</v>
      </c>
      <c r="B431" s="6" t="s">
        <v>2157</v>
      </c>
      <c r="C431" s="6" t="s">
        <v>2158</v>
      </c>
      <c r="D431" s="6" t="s">
        <v>2135</v>
      </c>
      <c r="E431" s="6" t="s">
        <v>1155</v>
      </c>
      <c r="F431" s="6">
        <v>33897</v>
      </c>
      <c r="G431" s="6"/>
      <c r="H431" s="6"/>
    </row>
    <row r="432" ht="22.15" customHeight="1" spans="1:8">
      <c r="A432" s="6">
        <v>429</v>
      </c>
      <c r="B432" s="6" t="s">
        <v>544</v>
      </c>
      <c r="C432" s="6" t="s">
        <v>2159</v>
      </c>
      <c r="D432" s="6" t="s">
        <v>2160</v>
      </c>
      <c r="E432" s="6" t="s">
        <v>923</v>
      </c>
      <c r="F432" s="6">
        <v>17015</v>
      </c>
      <c r="G432" s="6"/>
      <c r="H432" s="6"/>
    </row>
    <row r="433" ht="22.15" customHeight="1" spans="1:8">
      <c r="A433" s="6">
        <v>430</v>
      </c>
      <c r="B433" s="6" t="s">
        <v>2161</v>
      </c>
      <c r="C433" s="6" t="s">
        <v>2162</v>
      </c>
      <c r="D433" s="6" t="s">
        <v>2163</v>
      </c>
      <c r="E433" s="6" t="s">
        <v>1126</v>
      </c>
      <c r="F433" s="6">
        <v>21901</v>
      </c>
      <c r="G433" s="6"/>
      <c r="H433" s="6"/>
    </row>
    <row r="434" ht="22.15" customHeight="1" spans="1:8">
      <c r="A434" s="6">
        <v>431</v>
      </c>
      <c r="B434" s="6" t="s">
        <v>2164</v>
      </c>
      <c r="C434" s="6" t="s">
        <v>2165</v>
      </c>
      <c r="D434" s="6" t="s">
        <v>2166</v>
      </c>
      <c r="E434" s="6" t="s">
        <v>923</v>
      </c>
      <c r="F434" s="6" t="s">
        <v>2167</v>
      </c>
      <c r="G434" s="6"/>
      <c r="H434" s="6"/>
    </row>
    <row r="435" ht="22.15" customHeight="1" spans="1:8">
      <c r="A435" s="6">
        <v>432</v>
      </c>
      <c r="B435" s="6" t="s">
        <v>2168</v>
      </c>
      <c r="C435" s="6" t="s">
        <v>2169</v>
      </c>
      <c r="D435" s="6" t="s">
        <v>2170</v>
      </c>
      <c r="E435" s="6" t="s">
        <v>1166</v>
      </c>
      <c r="F435" s="6">
        <v>60433</v>
      </c>
      <c r="G435" s="6">
        <v>700000</v>
      </c>
      <c r="H435" s="6" t="s">
        <v>1093</v>
      </c>
    </row>
    <row r="436" ht="22.15" customHeight="1" spans="1:8">
      <c r="A436" s="6">
        <v>433</v>
      </c>
      <c r="B436" s="6" t="s">
        <v>391</v>
      </c>
      <c r="C436" s="6" t="s">
        <v>2171</v>
      </c>
      <c r="D436" s="6" t="s">
        <v>2170</v>
      </c>
      <c r="E436" s="6" t="s">
        <v>1166</v>
      </c>
      <c r="F436" s="6">
        <v>60433</v>
      </c>
      <c r="G436" s="6"/>
      <c r="H436" s="6"/>
    </row>
    <row r="437" ht="22.15" customHeight="1" spans="1:8">
      <c r="A437" s="6">
        <v>434</v>
      </c>
      <c r="B437" s="6" t="s">
        <v>450</v>
      </c>
      <c r="C437" s="6" t="s">
        <v>2172</v>
      </c>
      <c r="D437" s="6" t="s">
        <v>2173</v>
      </c>
      <c r="E437" s="6" t="s">
        <v>1166</v>
      </c>
      <c r="F437" s="6" t="s">
        <v>2174</v>
      </c>
      <c r="G437" s="6"/>
      <c r="H437" s="6"/>
    </row>
    <row r="438" ht="22.15" customHeight="1" spans="1:8">
      <c r="A438" s="6">
        <v>435</v>
      </c>
      <c r="B438" s="6" t="s">
        <v>2175</v>
      </c>
      <c r="C438" s="6" t="s">
        <v>2176</v>
      </c>
      <c r="D438" s="6" t="s">
        <v>2177</v>
      </c>
      <c r="E438" s="6" t="s">
        <v>1166</v>
      </c>
      <c r="F438" s="6">
        <v>60642</v>
      </c>
      <c r="G438" s="6">
        <v>52000</v>
      </c>
      <c r="H438" s="6"/>
    </row>
    <row r="439" ht="22.15" customHeight="1" spans="1:8">
      <c r="A439" s="6">
        <v>436</v>
      </c>
      <c r="B439" s="6" t="s">
        <v>574</v>
      </c>
      <c r="C439" s="6" t="s">
        <v>2178</v>
      </c>
      <c r="D439" s="6" t="s">
        <v>2179</v>
      </c>
      <c r="E439" s="6" t="s">
        <v>1166</v>
      </c>
      <c r="F439" s="6" t="s">
        <v>2180</v>
      </c>
      <c r="G439" s="6"/>
      <c r="H439" s="6"/>
    </row>
    <row r="440" ht="22.15" customHeight="1" spans="1:8">
      <c r="A440" s="6">
        <v>437</v>
      </c>
      <c r="B440" s="6" t="s">
        <v>2181</v>
      </c>
      <c r="C440" s="6" t="s">
        <v>2182</v>
      </c>
      <c r="D440" s="6" t="s">
        <v>2183</v>
      </c>
      <c r="E440" s="6" t="s">
        <v>1166</v>
      </c>
      <c r="F440" s="6">
        <v>60449</v>
      </c>
      <c r="G440" s="6"/>
      <c r="H440" s="6"/>
    </row>
    <row r="441" ht="22.15" customHeight="1" spans="1:8">
      <c r="A441" s="6">
        <v>438</v>
      </c>
      <c r="B441" s="6" t="s">
        <v>436</v>
      </c>
      <c r="C441" s="6" t="s">
        <v>2184</v>
      </c>
      <c r="D441" s="6" t="s">
        <v>2185</v>
      </c>
      <c r="E441" s="6" t="s">
        <v>1166</v>
      </c>
      <c r="F441" s="6">
        <v>60085</v>
      </c>
      <c r="G441" s="6"/>
      <c r="H441" s="6"/>
    </row>
    <row r="442" ht="22.15" customHeight="1" spans="1:8">
      <c r="A442" s="6">
        <v>439</v>
      </c>
      <c r="B442" s="6" t="s">
        <v>575</v>
      </c>
      <c r="C442" s="6" t="s">
        <v>2186</v>
      </c>
      <c r="D442" s="6" t="s">
        <v>2187</v>
      </c>
      <c r="E442" s="6" t="s">
        <v>1166</v>
      </c>
      <c r="F442" s="6">
        <v>60563</v>
      </c>
      <c r="G442" s="6"/>
      <c r="H442" s="6"/>
    </row>
    <row r="443" ht="22.15" customHeight="1" spans="1:8">
      <c r="A443" s="6">
        <v>440</v>
      </c>
      <c r="B443" s="6" t="s">
        <v>2188</v>
      </c>
      <c r="C443" s="6" t="s">
        <v>2189</v>
      </c>
      <c r="D443" s="6" t="s">
        <v>1165</v>
      </c>
      <c r="E443" s="6" t="s">
        <v>1166</v>
      </c>
      <c r="F443" s="6">
        <v>60608</v>
      </c>
      <c r="G443" s="6">
        <v>150000</v>
      </c>
      <c r="H443" s="6"/>
    </row>
    <row r="444" ht="22.15" customHeight="1" spans="1:8">
      <c r="A444" s="6">
        <v>441</v>
      </c>
      <c r="B444" s="6" t="s">
        <v>2190</v>
      </c>
      <c r="C444" s="6" t="s">
        <v>2191</v>
      </c>
      <c r="D444" s="6" t="s">
        <v>1408</v>
      </c>
      <c r="E444" s="6" t="s">
        <v>1166</v>
      </c>
      <c r="F444" s="6">
        <v>60563</v>
      </c>
      <c r="G444" s="6">
        <v>1000000</v>
      </c>
      <c r="H444" s="6" t="s">
        <v>1093</v>
      </c>
    </row>
    <row r="445" ht="22.15" customHeight="1" spans="1:8">
      <c r="A445" s="6">
        <v>442</v>
      </c>
      <c r="B445" s="6" t="s">
        <v>2192</v>
      </c>
      <c r="C445" s="6" t="s">
        <v>2191</v>
      </c>
      <c r="D445" s="6" t="s">
        <v>1408</v>
      </c>
      <c r="E445" s="6" t="s">
        <v>1166</v>
      </c>
      <c r="F445" s="6">
        <v>60563</v>
      </c>
      <c r="G445" s="6">
        <v>400000</v>
      </c>
      <c r="H445" s="6" t="s">
        <v>973</v>
      </c>
    </row>
    <row r="446" ht="22.15" customHeight="1" spans="1:8">
      <c r="A446" s="6">
        <v>443</v>
      </c>
      <c r="B446" s="6" t="s">
        <v>455</v>
      </c>
      <c r="C446" s="6" t="s">
        <v>2193</v>
      </c>
      <c r="D446" s="6" t="s">
        <v>2194</v>
      </c>
      <c r="E446" s="6" t="s">
        <v>1069</v>
      </c>
      <c r="F446" s="6">
        <v>38118</v>
      </c>
      <c r="G446" s="6"/>
      <c r="H446" s="6"/>
    </row>
    <row r="447" ht="22.15" customHeight="1" spans="1:8">
      <c r="A447" s="6">
        <v>444</v>
      </c>
      <c r="B447" s="6" t="s">
        <v>2195</v>
      </c>
      <c r="C447" s="6" t="s">
        <v>2196</v>
      </c>
      <c r="D447" s="6" t="s">
        <v>2197</v>
      </c>
      <c r="E447" s="6" t="s">
        <v>2198</v>
      </c>
      <c r="F447" s="6" t="s">
        <v>2199</v>
      </c>
      <c r="G447" s="6"/>
      <c r="H447" s="6"/>
    </row>
    <row r="448" ht="22.15" customHeight="1" spans="1:8">
      <c r="A448" s="6">
        <v>445</v>
      </c>
      <c r="B448" s="6" t="s">
        <v>2200</v>
      </c>
      <c r="C448" s="6" t="s">
        <v>2201</v>
      </c>
      <c r="D448" s="6" t="s">
        <v>2202</v>
      </c>
      <c r="E448" s="6" t="s">
        <v>1069</v>
      </c>
      <c r="F448" s="6">
        <v>38128</v>
      </c>
      <c r="G448" s="6"/>
      <c r="H448" s="6"/>
    </row>
    <row r="449" ht="22.15" customHeight="1" spans="1:8">
      <c r="A449" s="6">
        <v>446</v>
      </c>
      <c r="B449" s="6" t="s">
        <v>2203</v>
      </c>
      <c r="C449" s="6" t="s">
        <v>2204</v>
      </c>
      <c r="D449" s="6" t="s">
        <v>2205</v>
      </c>
      <c r="E449" s="6" t="s">
        <v>1069</v>
      </c>
      <c r="F449" s="6">
        <v>38118</v>
      </c>
      <c r="G449" s="6"/>
      <c r="H449" s="6"/>
    </row>
    <row r="450" ht="22.15" customHeight="1" spans="1:8">
      <c r="A450" s="6">
        <v>447</v>
      </c>
      <c r="B450" s="6" t="s">
        <v>443</v>
      </c>
      <c r="C450" s="6" t="s">
        <v>2206</v>
      </c>
      <c r="D450" s="6" t="s">
        <v>2207</v>
      </c>
      <c r="E450" s="6" t="s">
        <v>2198</v>
      </c>
      <c r="F450" s="6">
        <v>38654</v>
      </c>
      <c r="G450" s="6"/>
      <c r="H450" s="6"/>
    </row>
    <row r="451" ht="22.15" customHeight="1" spans="1:8">
      <c r="A451" s="6">
        <v>448</v>
      </c>
      <c r="B451" s="6" t="s">
        <v>569</v>
      </c>
      <c r="C451" s="6" t="s">
        <v>2208</v>
      </c>
      <c r="D451" s="6" t="s">
        <v>972</v>
      </c>
      <c r="E451" s="6" t="s">
        <v>961</v>
      </c>
      <c r="F451" s="6">
        <v>30517</v>
      </c>
      <c r="G451" s="6"/>
      <c r="H451" s="6"/>
    </row>
    <row r="452" ht="22.15" customHeight="1" spans="1:8">
      <c r="A452" s="6">
        <v>449</v>
      </c>
      <c r="B452" s="6" t="s">
        <v>570</v>
      </c>
      <c r="C452" s="6" t="s">
        <v>2209</v>
      </c>
      <c r="D452" s="6" t="s">
        <v>2210</v>
      </c>
      <c r="E452" s="6" t="s">
        <v>961</v>
      </c>
      <c r="F452" s="6">
        <v>30549</v>
      </c>
      <c r="G452" s="6"/>
      <c r="H452" s="6"/>
    </row>
    <row r="453" ht="22.15" customHeight="1" spans="1:8">
      <c r="A453" s="6">
        <v>450</v>
      </c>
      <c r="B453" s="6" t="s">
        <v>591</v>
      </c>
      <c r="C453" s="6" t="s">
        <v>2211</v>
      </c>
      <c r="D453" s="6" t="s">
        <v>2212</v>
      </c>
      <c r="E453" s="6" t="s">
        <v>961</v>
      </c>
      <c r="F453" s="6">
        <v>30549</v>
      </c>
      <c r="G453" s="6"/>
      <c r="H453" s="6"/>
    </row>
    <row r="454" ht="22.15" customHeight="1" spans="1:8">
      <c r="A454" s="6">
        <v>451</v>
      </c>
      <c r="B454" s="6" t="s">
        <v>592</v>
      </c>
      <c r="C454" s="6" t="s">
        <v>2213</v>
      </c>
      <c r="D454" s="6" t="s">
        <v>972</v>
      </c>
      <c r="E454" s="6" t="s">
        <v>961</v>
      </c>
      <c r="F454" s="6">
        <v>30517</v>
      </c>
      <c r="G454" s="6"/>
      <c r="H454" s="6"/>
    </row>
    <row r="455" ht="22.15" customHeight="1" spans="1:8">
      <c r="A455" s="6">
        <v>452</v>
      </c>
      <c r="B455" s="6" t="s">
        <v>2214</v>
      </c>
      <c r="C455" s="6" t="s">
        <v>2215</v>
      </c>
      <c r="D455" s="6" t="s">
        <v>2216</v>
      </c>
      <c r="E455" s="6" t="s">
        <v>1155</v>
      </c>
      <c r="F455" s="6">
        <v>33054</v>
      </c>
      <c r="G455" s="6"/>
      <c r="H455" s="6"/>
    </row>
    <row r="456" ht="22.15" customHeight="1" spans="1:8">
      <c r="A456" s="6">
        <v>453</v>
      </c>
      <c r="B456" s="6" t="s">
        <v>2217</v>
      </c>
      <c r="C456" s="6" t="s">
        <v>2218</v>
      </c>
      <c r="D456" s="6" t="s">
        <v>2219</v>
      </c>
      <c r="E456" s="6" t="s">
        <v>1155</v>
      </c>
      <c r="F456" s="6">
        <v>33182</v>
      </c>
      <c r="G456" s="6">
        <v>335800</v>
      </c>
      <c r="H456" s="6" t="s">
        <v>2220</v>
      </c>
    </row>
    <row r="457" ht="22.15" customHeight="1" spans="1:8">
      <c r="A457" s="6">
        <v>454</v>
      </c>
      <c r="B457" s="6" t="s">
        <v>2221</v>
      </c>
      <c r="C457" s="6" t="s">
        <v>2222</v>
      </c>
      <c r="D457" s="6" t="s">
        <v>1613</v>
      </c>
      <c r="E457" s="6" t="s">
        <v>1155</v>
      </c>
      <c r="F457" s="6">
        <v>33122</v>
      </c>
      <c r="G457" s="6"/>
      <c r="H457" s="6"/>
    </row>
    <row r="458" ht="22.15" customHeight="1" spans="1:8">
      <c r="A458" s="6">
        <v>455</v>
      </c>
      <c r="B458" s="6" t="s">
        <v>2223</v>
      </c>
      <c r="C458" s="6" t="s">
        <v>2218</v>
      </c>
      <c r="D458" s="6" t="s">
        <v>1613</v>
      </c>
      <c r="E458" s="6" t="s">
        <v>1155</v>
      </c>
      <c r="F458" s="6">
        <v>33182</v>
      </c>
      <c r="G458" s="6"/>
      <c r="H458" s="6"/>
    </row>
    <row r="459" ht="22.15" customHeight="1" spans="1:8">
      <c r="A459" s="6">
        <v>456</v>
      </c>
      <c r="B459" s="6" t="s">
        <v>2224</v>
      </c>
      <c r="C459" s="6" t="s">
        <v>2225</v>
      </c>
      <c r="D459" s="6" t="s">
        <v>2226</v>
      </c>
      <c r="E459" s="6" t="s">
        <v>1629</v>
      </c>
      <c r="F459" s="6">
        <v>55414</v>
      </c>
      <c r="G459" s="6"/>
      <c r="H459" s="6"/>
    </row>
    <row r="460" ht="22.15" customHeight="1" spans="1:8">
      <c r="A460" s="6">
        <v>457</v>
      </c>
      <c r="B460" s="6" t="s">
        <v>439</v>
      </c>
      <c r="C460" s="6" t="s">
        <v>2227</v>
      </c>
      <c r="D460" s="6" t="s">
        <v>2228</v>
      </c>
      <c r="E460" s="6" t="s">
        <v>2140</v>
      </c>
      <c r="F460" s="6" t="s">
        <v>2229</v>
      </c>
      <c r="G460" s="6"/>
      <c r="H460" s="6"/>
    </row>
    <row r="461" ht="22.15" customHeight="1" spans="1:8">
      <c r="A461" s="6">
        <v>458</v>
      </c>
      <c r="B461" s="6" t="s">
        <v>2230</v>
      </c>
      <c r="C461" s="6" t="s">
        <v>2231</v>
      </c>
      <c r="D461" s="6" t="s">
        <v>2232</v>
      </c>
      <c r="E461" s="6" t="s">
        <v>2140</v>
      </c>
      <c r="F461" s="6">
        <v>66102</v>
      </c>
      <c r="G461" s="6"/>
      <c r="H461" s="6"/>
    </row>
    <row r="462" ht="22.15" customHeight="1" spans="1:8">
      <c r="A462" s="6">
        <v>459</v>
      </c>
      <c r="B462" s="6" t="s">
        <v>2233</v>
      </c>
      <c r="C462" s="6" t="s">
        <v>2234</v>
      </c>
      <c r="D462" s="6" t="s">
        <v>2235</v>
      </c>
      <c r="E462" s="6" t="s">
        <v>1618</v>
      </c>
      <c r="F462" s="6">
        <v>53144</v>
      </c>
      <c r="G462" s="6"/>
      <c r="H462" s="6"/>
    </row>
    <row r="463" ht="22.15" customHeight="1" spans="1:8">
      <c r="A463" s="6">
        <v>460</v>
      </c>
      <c r="B463" s="6" t="s">
        <v>2236</v>
      </c>
      <c r="C463" s="6" t="s">
        <v>2237</v>
      </c>
      <c r="D463" s="6" t="s">
        <v>2238</v>
      </c>
      <c r="E463" s="6" t="s">
        <v>1618</v>
      </c>
      <c r="F463" s="6">
        <v>53154</v>
      </c>
      <c r="G463" s="6"/>
      <c r="H463" s="6"/>
    </row>
    <row r="464" ht="22.15" customHeight="1" spans="1:8">
      <c r="A464" s="6">
        <v>461</v>
      </c>
      <c r="B464" s="6" t="s">
        <v>2239</v>
      </c>
      <c r="C464" s="6" t="s">
        <v>2240</v>
      </c>
      <c r="D464" s="6" t="s">
        <v>2235</v>
      </c>
      <c r="E464" s="6" t="s">
        <v>1618</v>
      </c>
      <c r="F464" s="6">
        <v>53144</v>
      </c>
      <c r="G464" s="6">
        <v>600000</v>
      </c>
      <c r="H464" s="6" t="s">
        <v>2241</v>
      </c>
    </row>
    <row r="465" ht="22.15" customHeight="1" spans="1:8">
      <c r="A465" s="6">
        <v>462</v>
      </c>
      <c r="B465" s="6" t="s">
        <v>2242</v>
      </c>
      <c r="C465" s="6" t="s">
        <v>2240</v>
      </c>
      <c r="D465" s="6" t="s">
        <v>2235</v>
      </c>
      <c r="E465" s="6" t="s">
        <v>1618</v>
      </c>
      <c r="F465" s="6">
        <v>53144</v>
      </c>
      <c r="G465" s="6"/>
      <c r="H465" s="6"/>
    </row>
    <row r="466" ht="22.15" customHeight="1" spans="1:8">
      <c r="A466" s="6">
        <v>463</v>
      </c>
      <c r="B466" s="6" t="s">
        <v>2243</v>
      </c>
      <c r="C466" s="6" t="s">
        <v>2244</v>
      </c>
      <c r="D466" s="6" t="s">
        <v>2245</v>
      </c>
      <c r="E466" s="6" t="s">
        <v>1063</v>
      </c>
      <c r="F466" s="6">
        <v>36619</v>
      </c>
      <c r="G466" s="6"/>
      <c r="H466" s="6"/>
    </row>
    <row r="467" ht="22.15" customHeight="1" spans="1:8">
      <c r="A467" s="6">
        <v>464</v>
      </c>
      <c r="B467" s="6" t="s">
        <v>2246</v>
      </c>
      <c r="C467" s="6" t="s">
        <v>2247</v>
      </c>
      <c r="D467" s="6" t="s">
        <v>2248</v>
      </c>
      <c r="E467" s="6" t="s">
        <v>1063</v>
      </c>
      <c r="F467" s="6">
        <v>36582</v>
      </c>
      <c r="G467" s="6"/>
      <c r="H467" s="6"/>
    </row>
    <row r="468" ht="22.15" customHeight="1" spans="1:8">
      <c r="A468" s="6">
        <v>465</v>
      </c>
      <c r="B468" s="6" t="s">
        <v>456</v>
      </c>
      <c r="C468" s="6" t="s">
        <v>2249</v>
      </c>
      <c r="D468" s="6" t="s">
        <v>2250</v>
      </c>
      <c r="E468" s="6" t="s">
        <v>1499</v>
      </c>
      <c r="F468" s="6">
        <v>46140</v>
      </c>
      <c r="G468" s="6"/>
      <c r="H468" s="6"/>
    </row>
    <row r="469" ht="22.15" customHeight="1" spans="1:8">
      <c r="A469" s="6">
        <v>466</v>
      </c>
      <c r="B469" s="6" t="s">
        <v>567</v>
      </c>
      <c r="C469" s="6" t="s">
        <v>2251</v>
      </c>
      <c r="D469" s="6" t="s">
        <v>2252</v>
      </c>
      <c r="E469" s="6" t="s">
        <v>1499</v>
      </c>
      <c r="F469" s="6">
        <v>46184</v>
      </c>
      <c r="G469" s="6"/>
      <c r="H469" s="6"/>
    </row>
    <row r="470" ht="22.15" customHeight="1" spans="1:8">
      <c r="A470" s="6">
        <v>467</v>
      </c>
      <c r="B470" s="6" t="s">
        <v>2253</v>
      </c>
      <c r="C470" s="6" t="s">
        <v>2254</v>
      </c>
      <c r="D470" s="6" t="s">
        <v>2255</v>
      </c>
      <c r="E470" s="6" t="s">
        <v>1629</v>
      </c>
      <c r="F470" s="6">
        <v>55379</v>
      </c>
      <c r="G470" s="6"/>
      <c r="H470" s="6"/>
    </row>
    <row r="471" ht="22.15" customHeight="1" spans="1:8">
      <c r="A471" s="6">
        <v>468</v>
      </c>
      <c r="B471" s="6" t="s">
        <v>2256</v>
      </c>
      <c r="C471" s="6" t="s">
        <v>2257</v>
      </c>
      <c r="D471" s="6" t="s">
        <v>2258</v>
      </c>
      <c r="E471" s="6" t="s">
        <v>1629</v>
      </c>
      <c r="F471" s="6" t="s">
        <v>2259</v>
      </c>
      <c r="G471" s="6"/>
      <c r="H471" s="6"/>
    </row>
    <row r="472" ht="22.15" customHeight="1" spans="1:8">
      <c r="A472" s="6">
        <v>469</v>
      </c>
      <c r="B472" s="6" t="s">
        <v>2260</v>
      </c>
      <c r="C472" s="6" t="s">
        <v>2261</v>
      </c>
      <c r="D472" s="6" t="s">
        <v>2255</v>
      </c>
      <c r="E472" s="6" t="s">
        <v>1629</v>
      </c>
      <c r="F472" s="6">
        <v>55379</v>
      </c>
      <c r="G472" s="6">
        <v>162000</v>
      </c>
      <c r="H472" s="6" t="s">
        <v>2262</v>
      </c>
    </row>
    <row r="473" ht="22.15" customHeight="1" spans="1:8">
      <c r="A473" s="6">
        <v>470</v>
      </c>
      <c r="B473" s="6" t="s">
        <v>2263</v>
      </c>
      <c r="C473" s="6" t="s">
        <v>2264</v>
      </c>
      <c r="D473" s="6" t="s">
        <v>2265</v>
      </c>
      <c r="E473" s="6" t="s">
        <v>1629</v>
      </c>
      <c r="F473" s="6">
        <v>55445</v>
      </c>
      <c r="G473" s="6"/>
      <c r="H473" s="6"/>
    </row>
    <row r="474" ht="22.15" customHeight="1" spans="1:8">
      <c r="A474" s="6">
        <v>471</v>
      </c>
      <c r="B474" s="6" t="s">
        <v>2266</v>
      </c>
      <c r="C474" s="6" t="s">
        <v>2267</v>
      </c>
      <c r="D474" s="6" t="s">
        <v>2268</v>
      </c>
      <c r="E474" s="6" t="s">
        <v>1126</v>
      </c>
      <c r="F474" s="6">
        <v>21001</v>
      </c>
      <c r="G474" s="6"/>
      <c r="H474" s="6"/>
    </row>
    <row r="475" ht="22.15" customHeight="1" spans="1:8">
      <c r="A475" s="6">
        <v>472</v>
      </c>
      <c r="B475" s="6" t="s">
        <v>2269</v>
      </c>
      <c r="C475" s="6" t="s">
        <v>2270</v>
      </c>
      <c r="D475" s="6" t="s">
        <v>1125</v>
      </c>
      <c r="E475" s="6" t="s">
        <v>1126</v>
      </c>
      <c r="F475" s="6">
        <v>21224</v>
      </c>
      <c r="G475" s="6"/>
      <c r="H475" s="6"/>
    </row>
    <row r="476" ht="22.15" customHeight="1" spans="1:8">
      <c r="A476" s="6">
        <v>473</v>
      </c>
      <c r="B476" s="6" t="s">
        <v>2271</v>
      </c>
      <c r="C476" s="6" t="s">
        <v>2272</v>
      </c>
      <c r="D476" s="6" t="s">
        <v>2273</v>
      </c>
      <c r="E476" s="6" t="s">
        <v>1126</v>
      </c>
      <c r="F476" s="6">
        <v>21236</v>
      </c>
      <c r="G476" s="6"/>
      <c r="H476" s="6"/>
    </row>
    <row r="477" ht="22.15" customHeight="1" spans="1:8">
      <c r="A477" s="6">
        <v>474</v>
      </c>
      <c r="B477" s="6" t="s">
        <v>530</v>
      </c>
      <c r="C477" s="6" t="s">
        <v>2274</v>
      </c>
      <c r="D477" s="6" t="s">
        <v>2275</v>
      </c>
      <c r="E477" s="6" t="s">
        <v>936</v>
      </c>
      <c r="F477" s="6" t="s">
        <v>2276</v>
      </c>
      <c r="G477" s="6"/>
      <c r="H477" s="6"/>
    </row>
    <row r="478" ht="22.15" customHeight="1" spans="1:8">
      <c r="A478" s="6">
        <v>475</v>
      </c>
      <c r="B478" s="6" t="s">
        <v>2277</v>
      </c>
      <c r="C478" s="6" t="s">
        <v>1979</v>
      </c>
      <c r="D478" s="6" t="s">
        <v>1870</v>
      </c>
      <c r="E478" s="6" t="s">
        <v>936</v>
      </c>
      <c r="F478" s="6" t="s">
        <v>2278</v>
      </c>
      <c r="G478" s="6"/>
      <c r="H478" s="6"/>
    </row>
    <row r="479" ht="22.15" customHeight="1" spans="1:8">
      <c r="A479" s="6">
        <v>476</v>
      </c>
      <c r="B479" s="6" t="s">
        <v>2279</v>
      </c>
      <c r="C479" s="6" t="s">
        <v>2280</v>
      </c>
      <c r="D479" s="6" t="s">
        <v>2281</v>
      </c>
      <c r="E479" s="6" t="s">
        <v>936</v>
      </c>
      <c r="F479" s="6">
        <v>94560</v>
      </c>
      <c r="G479" s="6">
        <v>574650</v>
      </c>
      <c r="H479" s="6" t="s">
        <v>2282</v>
      </c>
    </row>
    <row r="480" ht="22.15" customHeight="1" spans="1:8">
      <c r="A480" s="6">
        <v>477</v>
      </c>
      <c r="B480" s="6" t="s">
        <v>2283</v>
      </c>
      <c r="C480" s="6" t="s">
        <v>1869</v>
      </c>
      <c r="D480" s="6" t="s">
        <v>1870</v>
      </c>
      <c r="E480" s="6" t="s">
        <v>936</v>
      </c>
      <c r="F480" s="6" t="s">
        <v>2278</v>
      </c>
      <c r="G480" s="6"/>
      <c r="H480" s="6"/>
    </row>
    <row r="481" ht="22.15" customHeight="1" spans="1:8">
      <c r="A481" s="6">
        <v>478</v>
      </c>
      <c r="B481" s="6" t="s">
        <v>2284</v>
      </c>
      <c r="C481" s="6" t="s">
        <v>2285</v>
      </c>
      <c r="D481" s="6" t="s">
        <v>2281</v>
      </c>
      <c r="E481" s="6" t="s">
        <v>936</v>
      </c>
      <c r="F481" s="6">
        <v>94560</v>
      </c>
      <c r="G481" s="6"/>
      <c r="H481" s="6"/>
    </row>
    <row r="482" ht="22.15" customHeight="1" spans="1:8">
      <c r="A482" s="6">
        <v>479</v>
      </c>
      <c r="B482" s="6" t="s">
        <v>2286</v>
      </c>
      <c r="C482" s="6" t="s">
        <v>2287</v>
      </c>
      <c r="D482" s="6" t="s">
        <v>2288</v>
      </c>
      <c r="E482" s="6" t="s">
        <v>936</v>
      </c>
      <c r="F482" s="6">
        <v>94503</v>
      </c>
      <c r="G482" s="6"/>
      <c r="H482" s="6"/>
    </row>
    <row r="483" ht="22.15" customHeight="1" spans="1:8">
      <c r="A483" s="6">
        <v>480</v>
      </c>
      <c r="B483" s="6" t="s">
        <v>2289</v>
      </c>
      <c r="C483" s="6" t="s">
        <v>2290</v>
      </c>
      <c r="D483" s="6" t="s">
        <v>1652</v>
      </c>
      <c r="E483" s="6" t="s">
        <v>1653</v>
      </c>
      <c r="F483" s="6">
        <v>73159</v>
      </c>
      <c r="G483" s="6"/>
      <c r="H483" s="6"/>
    </row>
    <row r="484" ht="22.15" customHeight="1" spans="1:8">
      <c r="A484" s="6">
        <v>481</v>
      </c>
      <c r="B484" s="6" t="s">
        <v>2291</v>
      </c>
      <c r="C484" s="6" t="s">
        <v>2292</v>
      </c>
      <c r="D484" s="6" t="s">
        <v>2293</v>
      </c>
      <c r="E484" s="6" t="s">
        <v>1653</v>
      </c>
      <c r="F484" s="6">
        <v>73179</v>
      </c>
      <c r="G484" s="6"/>
      <c r="H484" s="6" t="s">
        <v>2294</v>
      </c>
    </row>
    <row r="485" ht="22.15" customHeight="1" spans="1:8">
      <c r="A485" s="6">
        <v>482</v>
      </c>
      <c r="B485" s="6" t="s">
        <v>2295</v>
      </c>
      <c r="C485" s="6" t="s">
        <v>2296</v>
      </c>
      <c r="D485" s="6" t="s">
        <v>1184</v>
      </c>
      <c r="E485" s="6" t="s">
        <v>965</v>
      </c>
      <c r="F485" s="6">
        <v>44132</v>
      </c>
      <c r="G485" s="6"/>
      <c r="H485" s="6"/>
    </row>
    <row r="486" ht="22.15" customHeight="1" spans="1:8">
      <c r="A486" s="6">
        <v>483</v>
      </c>
      <c r="B486" s="6" t="s">
        <v>399</v>
      </c>
      <c r="C486" s="6" t="s">
        <v>2297</v>
      </c>
      <c r="D486" s="6" t="s">
        <v>2119</v>
      </c>
      <c r="E486" s="6" t="s">
        <v>936</v>
      </c>
      <c r="F486" s="6" t="s">
        <v>2298</v>
      </c>
      <c r="G486" s="6"/>
      <c r="H486" s="6"/>
    </row>
    <row r="487" ht="22.15" customHeight="1" spans="1:8">
      <c r="A487" s="6">
        <v>484</v>
      </c>
      <c r="B487" s="6" t="s">
        <v>2299</v>
      </c>
      <c r="C487" s="6" t="s">
        <v>2300</v>
      </c>
      <c r="D487" s="6" t="s">
        <v>2301</v>
      </c>
      <c r="E487" s="6" t="s">
        <v>936</v>
      </c>
      <c r="F487" s="6">
        <v>92408</v>
      </c>
      <c r="G487" s="6"/>
      <c r="H487" s="6" t="s">
        <v>2302</v>
      </c>
    </row>
    <row r="488" ht="22.15" customHeight="1" spans="1:8">
      <c r="A488" s="6">
        <v>485</v>
      </c>
      <c r="B488" s="6" t="s">
        <v>406</v>
      </c>
      <c r="C488" s="6" t="s">
        <v>2297</v>
      </c>
      <c r="D488" s="6" t="s">
        <v>2119</v>
      </c>
      <c r="E488" s="6" t="s">
        <v>936</v>
      </c>
      <c r="F488" s="6" t="s">
        <v>2298</v>
      </c>
      <c r="G488" s="6"/>
      <c r="H488" s="6"/>
    </row>
    <row r="489" ht="22.15" customHeight="1" spans="1:8">
      <c r="A489" s="6">
        <v>486</v>
      </c>
      <c r="B489" s="6" t="s">
        <v>2303</v>
      </c>
      <c r="C489" s="6" t="s">
        <v>2304</v>
      </c>
      <c r="D489" s="6" t="s">
        <v>2119</v>
      </c>
      <c r="E489" s="6" t="s">
        <v>936</v>
      </c>
      <c r="F489" s="6">
        <v>92408</v>
      </c>
      <c r="G489" s="6">
        <v>514600</v>
      </c>
      <c r="H489" s="6" t="s">
        <v>2305</v>
      </c>
    </row>
    <row r="490" ht="22.15" customHeight="1" spans="1:8">
      <c r="A490" s="6">
        <v>487</v>
      </c>
      <c r="B490" s="6" t="s">
        <v>400</v>
      </c>
      <c r="C490" s="6" t="s">
        <v>2306</v>
      </c>
      <c r="D490" s="6" t="s">
        <v>2307</v>
      </c>
      <c r="E490" s="6" t="s">
        <v>936</v>
      </c>
      <c r="F490" s="6">
        <v>92551</v>
      </c>
      <c r="G490" s="6"/>
      <c r="H490" s="6"/>
    </row>
    <row r="491" ht="22.15" customHeight="1" spans="1:8">
      <c r="A491" s="6">
        <v>488</v>
      </c>
      <c r="B491" s="6" t="s">
        <v>2308</v>
      </c>
      <c r="C491" s="6" t="s">
        <v>2309</v>
      </c>
      <c r="D491" s="6" t="s">
        <v>2119</v>
      </c>
      <c r="E491" s="6" t="s">
        <v>936</v>
      </c>
      <c r="F491" s="6" t="s">
        <v>2310</v>
      </c>
      <c r="G491" s="6"/>
      <c r="H491" s="6"/>
    </row>
    <row r="492" ht="22.15" customHeight="1" spans="1:8">
      <c r="A492" s="6">
        <v>489</v>
      </c>
      <c r="B492" s="6" t="s">
        <v>333</v>
      </c>
      <c r="C492" s="6" t="s">
        <v>2311</v>
      </c>
      <c r="D492" s="6" t="s">
        <v>2307</v>
      </c>
      <c r="E492" s="6" t="s">
        <v>936</v>
      </c>
      <c r="F492" s="6">
        <v>92551</v>
      </c>
      <c r="G492" s="6"/>
      <c r="H492" s="6"/>
    </row>
    <row r="493" ht="22.15" customHeight="1" spans="1:8">
      <c r="A493" s="6">
        <v>490</v>
      </c>
      <c r="B493" s="6" t="s">
        <v>402</v>
      </c>
      <c r="C493" s="6" t="s">
        <v>2312</v>
      </c>
      <c r="D493" s="6" t="s">
        <v>2116</v>
      </c>
      <c r="E493" s="6" t="s">
        <v>936</v>
      </c>
      <c r="F493" s="6">
        <v>92374</v>
      </c>
      <c r="G493" s="6"/>
      <c r="H493" s="6"/>
    </row>
    <row r="494" ht="22.15" customHeight="1" spans="1:8">
      <c r="A494" s="6">
        <v>491</v>
      </c>
      <c r="B494" s="6" t="s">
        <v>424</v>
      </c>
      <c r="C494" s="6" t="s">
        <v>2313</v>
      </c>
      <c r="D494" s="6" t="s">
        <v>2314</v>
      </c>
      <c r="E494" s="6" t="s">
        <v>1166</v>
      </c>
      <c r="F494" s="6">
        <v>60410</v>
      </c>
      <c r="G494" s="6"/>
      <c r="H494" s="6"/>
    </row>
    <row r="495" ht="22.15" customHeight="1" spans="1:8">
      <c r="A495" s="6">
        <v>492</v>
      </c>
      <c r="B495" s="6" t="s">
        <v>2315</v>
      </c>
      <c r="C495" s="6" t="s">
        <v>2316</v>
      </c>
      <c r="D495" s="6" t="s">
        <v>2317</v>
      </c>
      <c r="E495" s="6" t="s">
        <v>1166</v>
      </c>
      <c r="F495" s="6">
        <v>60410</v>
      </c>
      <c r="G495" s="6"/>
      <c r="H495" s="6"/>
    </row>
    <row r="496" ht="22.15" customHeight="1" spans="1:8">
      <c r="A496" s="6">
        <v>493</v>
      </c>
      <c r="B496" s="6" t="s">
        <v>2318</v>
      </c>
      <c r="C496" s="6" t="s">
        <v>2319</v>
      </c>
      <c r="D496" s="6" t="s">
        <v>2183</v>
      </c>
      <c r="E496" s="6" t="s">
        <v>1166</v>
      </c>
      <c r="F496" s="6">
        <v>60449</v>
      </c>
      <c r="G496" s="6"/>
      <c r="H496" s="6"/>
    </row>
    <row r="497" ht="22.15" customHeight="1" spans="1:8">
      <c r="A497" s="6">
        <v>494</v>
      </c>
      <c r="B497" s="6" t="s">
        <v>2320</v>
      </c>
      <c r="C497" s="6" t="s">
        <v>1930</v>
      </c>
      <c r="D497" s="6" t="s">
        <v>1931</v>
      </c>
      <c r="E497" s="6" t="s">
        <v>1166</v>
      </c>
      <c r="F497" s="6">
        <v>60191</v>
      </c>
      <c r="G497" s="6"/>
      <c r="H497" s="6"/>
    </row>
    <row r="498" ht="22.15" customHeight="1" spans="1:8">
      <c r="A498" s="6">
        <v>495</v>
      </c>
      <c r="B498" s="6" t="s">
        <v>2321</v>
      </c>
      <c r="C498" s="6" t="s">
        <v>2322</v>
      </c>
      <c r="D498" s="6" t="s">
        <v>2323</v>
      </c>
      <c r="E498" s="6" t="s">
        <v>1130</v>
      </c>
      <c r="F498" s="6">
        <v>23323</v>
      </c>
      <c r="G498" s="6"/>
      <c r="H498" s="6"/>
    </row>
    <row r="499" ht="22.15" customHeight="1" spans="1:8">
      <c r="A499" s="6">
        <v>496</v>
      </c>
      <c r="B499" s="6" t="s">
        <v>2324</v>
      </c>
      <c r="C499" s="6" t="s">
        <v>2325</v>
      </c>
      <c r="D499" s="6" t="s">
        <v>2326</v>
      </c>
      <c r="E499" s="6" t="s">
        <v>965</v>
      </c>
      <c r="F499" s="6">
        <v>43201</v>
      </c>
      <c r="G499" s="6"/>
      <c r="H499" s="6"/>
    </row>
    <row r="500" ht="22.15" customHeight="1" spans="1:8">
      <c r="A500" s="6">
        <v>497</v>
      </c>
      <c r="B500" s="6" t="s">
        <v>2327</v>
      </c>
      <c r="C500" s="6" t="s">
        <v>2328</v>
      </c>
      <c r="D500" s="6" t="s">
        <v>2329</v>
      </c>
      <c r="E500" s="6" t="s">
        <v>1096</v>
      </c>
      <c r="F500" s="6">
        <v>1532</v>
      </c>
      <c r="G500" s="6"/>
      <c r="H500" s="6"/>
    </row>
    <row r="501" ht="22.15" customHeight="1" spans="1:8">
      <c r="A501" s="6">
        <v>498</v>
      </c>
      <c r="B501" s="6" t="s">
        <v>2330</v>
      </c>
      <c r="C501" s="6" t="s">
        <v>2331</v>
      </c>
      <c r="D501" s="6" t="s">
        <v>1870</v>
      </c>
      <c r="E501" s="6" t="s">
        <v>936</v>
      </c>
      <c r="F501" s="6" t="s">
        <v>2332</v>
      </c>
      <c r="G501" s="6"/>
      <c r="H501" s="6"/>
    </row>
    <row r="502" ht="22.15" customHeight="1" spans="1:8">
      <c r="A502" s="6">
        <v>499</v>
      </c>
      <c r="B502" s="6" t="s">
        <v>2333</v>
      </c>
      <c r="C502" s="6" t="s">
        <v>2334</v>
      </c>
      <c r="D502" s="6" t="s">
        <v>2119</v>
      </c>
      <c r="E502" s="6" t="s">
        <v>936</v>
      </c>
      <c r="F502" s="6" t="s">
        <v>2335</v>
      </c>
      <c r="G502" s="6"/>
      <c r="H502" s="6"/>
    </row>
    <row r="503" ht="22.15" customHeight="1" spans="1:8">
      <c r="A503" s="6">
        <v>500</v>
      </c>
      <c r="B503" s="6" t="s">
        <v>2336</v>
      </c>
      <c r="C503" s="6" t="s">
        <v>2337</v>
      </c>
      <c r="D503" s="6" t="s">
        <v>2123</v>
      </c>
      <c r="E503" s="6" t="s">
        <v>936</v>
      </c>
      <c r="F503" s="6">
        <v>92376</v>
      </c>
      <c r="G503" s="6"/>
      <c r="H503" s="6"/>
    </row>
    <row r="504" ht="22.15" customHeight="1" spans="1:8">
      <c r="A504" s="6">
        <v>501</v>
      </c>
      <c r="B504" s="6" t="s">
        <v>2338</v>
      </c>
      <c r="C504" s="6" t="s">
        <v>2339</v>
      </c>
      <c r="D504" s="6" t="s">
        <v>2340</v>
      </c>
      <c r="E504" s="6" t="s">
        <v>965</v>
      </c>
      <c r="F504" s="6">
        <v>43551</v>
      </c>
      <c r="G504" s="6"/>
      <c r="H504" s="6"/>
    </row>
    <row r="505" ht="22.15" customHeight="1" spans="1:8">
      <c r="A505" s="6">
        <v>502</v>
      </c>
      <c r="B505" s="6" t="s">
        <v>2341</v>
      </c>
      <c r="C505" s="6" t="s">
        <v>2342</v>
      </c>
      <c r="D505" s="6" t="s">
        <v>2343</v>
      </c>
      <c r="E505" s="6" t="s">
        <v>1656</v>
      </c>
      <c r="F505" s="6">
        <v>97124</v>
      </c>
      <c r="G505" s="6">
        <v>303000</v>
      </c>
      <c r="H505" s="6" t="s">
        <v>2344</v>
      </c>
    </row>
    <row r="506" ht="22.15" customHeight="1" spans="1:8">
      <c r="A506" s="6">
        <v>503</v>
      </c>
      <c r="B506" s="6" t="s">
        <v>428</v>
      </c>
      <c r="C506" s="6" t="s">
        <v>2345</v>
      </c>
      <c r="D506" s="6" t="s">
        <v>1655</v>
      </c>
      <c r="E506" s="6" t="s">
        <v>1656</v>
      </c>
      <c r="F506" s="6">
        <v>97203</v>
      </c>
      <c r="G506" s="6"/>
      <c r="H506" s="6"/>
    </row>
    <row r="507" ht="22.15" customHeight="1" spans="1:8">
      <c r="A507" s="6">
        <v>504</v>
      </c>
      <c r="B507" s="6" t="s">
        <v>429</v>
      </c>
      <c r="C507" s="6" t="s">
        <v>2346</v>
      </c>
      <c r="D507" s="6" t="s">
        <v>2347</v>
      </c>
      <c r="E507" s="6" t="s">
        <v>1656</v>
      </c>
      <c r="F507" s="6" t="s">
        <v>2348</v>
      </c>
      <c r="G507" s="6"/>
      <c r="H507" s="6"/>
    </row>
    <row r="508" ht="22.15" customHeight="1" spans="1:8">
      <c r="A508" s="6">
        <v>505</v>
      </c>
      <c r="B508" s="6" t="s">
        <v>2349</v>
      </c>
      <c r="C508" s="6" t="s">
        <v>2350</v>
      </c>
      <c r="D508" s="6" t="s">
        <v>2351</v>
      </c>
      <c r="E508" s="6" t="s">
        <v>1656</v>
      </c>
      <c r="F508" s="6">
        <v>97060</v>
      </c>
      <c r="G508" s="6"/>
      <c r="H508" s="6"/>
    </row>
    <row r="509" ht="22.15" customHeight="1" spans="1:8">
      <c r="A509" s="6">
        <v>506</v>
      </c>
      <c r="B509" s="6" t="s">
        <v>2352</v>
      </c>
      <c r="C509" s="6" t="s">
        <v>2353</v>
      </c>
      <c r="D509" s="6" t="s">
        <v>1666</v>
      </c>
      <c r="E509" s="6" t="s">
        <v>923</v>
      </c>
      <c r="F509" s="6">
        <v>19104</v>
      </c>
      <c r="G509" s="6"/>
      <c r="H509" s="6"/>
    </row>
    <row r="510" ht="22.15" customHeight="1" spans="1:8">
      <c r="A510" s="6">
        <v>507</v>
      </c>
      <c r="B510" s="6" t="s">
        <v>2354</v>
      </c>
      <c r="C510" s="6" t="s">
        <v>2355</v>
      </c>
      <c r="D510" s="6" t="s">
        <v>2356</v>
      </c>
      <c r="E510" s="6" t="s">
        <v>1155</v>
      </c>
      <c r="F510" s="6" t="s">
        <v>2357</v>
      </c>
      <c r="G510" s="6"/>
      <c r="H510" s="6"/>
    </row>
    <row r="511" ht="22.15" customHeight="1" spans="1:8">
      <c r="A511" s="6">
        <v>508</v>
      </c>
      <c r="B511" s="6" t="s">
        <v>2358</v>
      </c>
      <c r="C511" s="6" t="s">
        <v>2359</v>
      </c>
      <c r="D511" s="6" t="s">
        <v>2050</v>
      </c>
      <c r="E511" s="6" t="s">
        <v>1155</v>
      </c>
      <c r="F511" s="6" t="s">
        <v>2360</v>
      </c>
      <c r="G511" s="6"/>
      <c r="H511" s="6"/>
    </row>
    <row r="512" ht="22.15" customHeight="1" spans="1:8">
      <c r="A512" s="6">
        <v>509</v>
      </c>
      <c r="B512" s="6" t="s">
        <v>2361</v>
      </c>
      <c r="C512" s="6" t="s">
        <v>2362</v>
      </c>
      <c r="D512" s="6" t="s">
        <v>1838</v>
      </c>
      <c r="E512" s="6" t="s">
        <v>961</v>
      </c>
      <c r="F512" s="6" t="s">
        <v>2363</v>
      </c>
      <c r="G512" s="6"/>
      <c r="H512" s="6"/>
    </row>
    <row r="513" ht="22.15" customHeight="1" spans="1:8">
      <c r="A513" s="6">
        <v>510</v>
      </c>
      <c r="B513" s="6" t="s">
        <v>2364</v>
      </c>
      <c r="C513" s="6" t="s">
        <v>2365</v>
      </c>
      <c r="D513" s="6" t="s">
        <v>2366</v>
      </c>
      <c r="E513" s="6" t="s">
        <v>2367</v>
      </c>
      <c r="F513" s="6" t="s">
        <v>2368</v>
      </c>
      <c r="G513" s="6"/>
      <c r="H513" s="6"/>
    </row>
    <row r="514" ht="22.15" customHeight="1" spans="1:8">
      <c r="A514" s="6">
        <v>511</v>
      </c>
      <c r="B514" s="6" t="s">
        <v>2369</v>
      </c>
      <c r="C514" s="6" t="s">
        <v>2370</v>
      </c>
      <c r="D514" s="6" t="s">
        <v>2366</v>
      </c>
      <c r="E514" s="6" t="s">
        <v>2367</v>
      </c>
      <c r="F514" s="6" t="s">
        <v>2371</v>
      </c>
      <c r="G514" s="6"/>
      <c r="H514" s="6"/>
    </row>
    <row r="515" ht="22.15" customHeight="1" spans="1:8">
      <c r="A515" s="6">
        <v>512</v>
      </c>
      <c r="B515" s="6" t="s">
        <v>554</v>
      </c>
      <c r="C515" s="6" t="s">
        <v>2372</v>
      </c>
      <c r="D515" s="6" t="s">
        <v>2160</v>
      </c>
      <c r="E515" s="6" t="s">
        <v>923</v>
      </c>
      <c r="F515" s="6" t="s">
        <v>2373</v>
      </c>
      <c r="G515" s="6"/>
      <c r="H515" s="6"/>
    </row>
    <row r="516" ht="22.15" customHeight="1" spans="1:8">
      <c r="A516" s="6">
        <v>513</v>
      </c>
      <c r="B516" s="6" t="s">
        <v>483</v>
      </c>
      <c r="C516" s="6" t="s">
        <v>2374</v>
      </c>
      <c r="D516" s="6" t="s">
        <v>2375</v>
      </c>
      <c r="E516" s="6" t="s">
        <v>923</v>
      </c>
      <c r="F516" s="6" t="s">
        <v>2376</v>
      </c>
      <c r="G516" s="6"/>
      <c r="H516" s="6"/>
    </row>
    <row r="517" ht="22.15" customHeight="1" spans="1:8">
      <c r="A517" s="6">
        <v>514</v>
      </c>
      <c r="B517" s="6" t="s">
        <v>545</v>
      </c>
      <c r="C517" s="6" t="s">
        <v>2377</v>
      </c>
      <c r="D517" s="6" t="s">
        <v>2160</v>
      </c>
      <c r="E517" s="6" t="s">
        <v>923</v>
      </c>
      <c r="F517" s="6" t="s">
        <v>2378</v>
      </c>
      <c r="G517" s="6"/>
      <c r="H517" s="6"/>
    </row>
    <row r="518" ht="22.15" customHeight="1" spans="1:8">
      <c r="A518" s="6">
        <v>515</v>
      </c>
      <c r="B518" s="6" t="s">
        <v>2379</v>
      </c>
      <c r="C518" s="6" t="s">
        <v>2380</v>
      </c>
      <c r="D518" s="6" t="s">
        <v>2381</v>
      </c>
      <c r="E518" s="6" t="s">
        <v>2367</v>
      </c>
      <c r="F518" s="6" t="s">
        <v>2382</v>
      </c>
      <c r="G518" s="6"/>
      <c r="H518" s="6"/>
    </row>
    <row r="519" ht="22.15" customHeight="1" spans="1:8">
      <c r="A519" s="6">
        <v>516</v>
      </c>
      <c r="B519" s="6" t="s">
        <v>2383</v>
      </c>
      <c r="C519" s="6" t="s">
        <v>2384</v>
      </c>
      <c r="D519" s="6" t="s">
        <v>2381</v>
      </c>
      <c r="E519" s="6" t="s">
        <v>2367</v>
      </c>
      <c r="F519" s="6">
        <v>19709</v>
      </c>
      <c r="G519" s="6"/>
      <c r="H519" s="6"/>
    </row>
    <row r="520" ht="22.15" customHeight="1" spans="1:8">
      <c r="A520" s="6">
        <v>517</v>
      </c>
      <c r="B520" s="6" t="s">
        <v>2385</v>
      </c>
      <c r="C520" s="6" t="s">
        <v>2159</v>
      </c>
      <c r="D520" s="6" t="s">
        <v>2160</v>
      </c>
      <c r="E520" s="6" t="s">
        <v>923</v>
      </c>
      <c r="F520" s="6">
        <v>17015</v>
      </c>
      <c r="G520" s="6"/>
      <c r="H520" s="6"/>
    </row>
    <row r="521" ht="22.15" customHeight="1" spans="1:8">
      <c r="A521" s="6">
        <v>518</v>
      </c>
      <c r="B521" s="6" t="s">
        <v>418</v>
      </c>
      <c r="C521" s="6" t="s">
        <v>2386</v>
      </c>
      <c r="D521" s="6" t="s">
        <v>1008</v>
      </c>
      <c r="E521" s="6" t="s">
        <v>1009</v>
      </c>
      <c r="F521" s="6" t="s">
        <v>2387</v>
      </c>
      <c r="G521" s="6"/>
      <c r="H521" s="6"/>
    </row>
    <row r="522" ht="22.15" customHeight="1" spans="1:8">
      <c r="A522" s="6">
        <v>519</v>
      </c>
      <c r="B522" s="6" t="s">
        <v>417</v>
      </c>
      <c r="C522" s="6" t="s">
        <v>2388</v>
      </c>
      <c r="D522" s="6" t="s">
        <v>1854</v>
      </c>
      <c r="E522" s="6" t="s">
        <v>1009</v>
      </c>
      <c r="F522" s="6" t="s">
        <v>2389</v>
      </c>
      <c r="G522" s="6"/>
      <c r="H522" s="6"/>
    </row>
    <row r="523" ht="22.15" customHeight="1" spans="1:8">
      <c r="A523" s="6">
        <v>520</v>
      </c>
      <c r="B523" s="6" t="s">
        <v>2390</v>
      </c>
      <c r="C523" s="6" t="s">
        <v>2391</v>
      </c>
      <c r="D523" s="6" t="s">
        <v>1008</v>
      </c>
      <c r="E523" s="6" t="s">
        <v>1009</v>
      </c>
      <c r="F523" s="6" t="s">
        <v>2392</v>
      </c>
      <c r="G523" s="6"/>
      <c r="H523" s="6"/>
    </row>
    <row r="524" ht="22.15" customHeight="1" spans="1:8">
      <c r="A524" s="6">
        <v>521</v>
      </c>
      <c r="B524" s="6" t="s">
        <v>416</v>
      </c>
      <c r="C524" s="6" t="s">
        <v>2393</v>
      </c>
      <c r="D524" s="6" t="s">
        <v>1008</v>
      </c>
      <c r="E524" s="6" t="s">
        <v>1009</v>
      </c>
      <c r="F524" s="6" t="s">
        <v>2394</v>
      </c>
      <c r="G524" s="6"/>
      <c r="H524" s="6"/>
    </row>
    <row r="525" ht="22.15" customHeight="1" spans="1:8">
      <c r="A525" s="6">
        <v>522</v>
      </c>
      <c r="B525" s="6" t="s">
        <v>2395</v>
      </c>
      <c r="C525" s="6" t="s">
        <v>2393</v>
      </c>
      <c r="D525" s="6" t="s">
        <v>1008</v>
      </c>
      <c r="E525" s="6" t="s">
        <v>1009</v>
      </c>
      <c r="F525" s="6">
        <v>85043</v>
      </c>
      <c r="G525" s="6"/>
      <c r="H525" s="6" t="s">
        <v>2396</v>
      </c>
    </row>
    <row r="526" ht="22.15" customHeight="1" spans="1:8">
      <c r="A526" s="6">
        <v>523</v>
      </c>
      <c r="B526" s="6" t="s">
        <v>2397</v>
      </c>
      <c r="C526" s="6" t="s">
        <v>2398</v>
      </c>
      <c r="D526" s="6" t="s">
        <v>2399</v>
      </c>
      <c r="E526" s="6" t="s">
        <v>1009</v>
      </c>
      <c r="F526" s="6" t="s">
        <v>2400</v>
      </c>
      <c r="G526" s="6"/>
      <c r="H526" s="6"/>
    </row>
    <row r="527" ht="22.15" customHeight="1" spans="1:8">
      <c r="A527" s="6">
        <v>524</v>
      </c>
      <c r="B527" s="6" t="s">
        <v>2401</v>
      </c>
      <c r="C527" s="6" t="s">
        <v>2402</v>
      </c>
      <c r="D527" s="6" t="s">
        <v>1237</v>
      </c>
      <c r="E527" s="6" t="s">
        <v>1238</v>
      </c>
      <c r="F527" s="6">
        <v>41048</v>
      </c>
      <c r="G527" s="6"/>
      <c r="H527" s="6"/>
    </row>
    <row r="528" ht="22.15" customHeight="1" spans="1:8">
      <c r="A528" s="6">
        <v>525</v>
      </c>
      <c r="B528" s="6" t="s">
        <v>2403</v>
      </c>
      <c r="C528" s="6" t="s">
        <v>2404</v>
      </c>
      <c r="D528" s="6" t="s">
        <v>2405</v>
      </c>
      <c r="E528" s="6" t="s">
        <v>1166</v>
      </c>
      <c r="F528" s="6">
        <v>60447</v>
      </c>
      <c r="G528" s="6"/>
      <c r="H528" s="6"/>
    </row>
    <row r="529" ht="22.15" customHeight="1" spans="1:8">
      <c r="A529" s="6">
        <v>526</v>
      </c>
      <c r="B529" s="6" t="s">
        <v>2406</v>
      </c>
      <c r="C529" s="6" t="s">
        <v>2407</v>
      </c>
      <c r="D529" s="6" t="s">
        <v>1944</v>
      </c>
      <c r="E529" s="6" t="s">
        <v>1499</v>
      </c>
      <c r="F529" s="6" t="s">
        <v>2408</v>
      </c>
      <c r="G529" s="6"/>
      <c r="H529" s="6"/>
    </row>
    <row r="530" ht="22.15" customHeight="1" spans="1:8">
      <c r="A530" s="6">
        <v>527</v>
      </c>
      <c r="B530" s="6" t="s">
        <v>2409</v>
      </c>
      <c r="C530" s="6" t="s">
        <v>2410</v>
      </c>
      <c r="D530" s="6" t="s">
        <v>1950</v>
      </c>
      <c r="E530" s="6" t="s">
        <v>1499</v>
      </c>
      <c r="F530" s="6" t="s">
        <v>2411</v>
      </c>
      <c r="G530" s="6"/>
      <c r="H530" s="6"/>
    </row>
    <row r="531" ht="22.15" customHeight="1" spans="1:8">
      <c r="A531" s="6">
        <v>528</v>
      </c>
      <c r="B531" s="6" t="s">
        <v>2412</v>
      </c>
      <c r="C531" s="6" t="s">
        <v>2413</v>
      </c>
      <c r="D531" s="6" t="s">
        <v>2414</v>
      </c>
      <c r="E531" s="6" t="s">
        <v>1238</v>
      </c>
      <c r="F531" s="6">
        <v>40165</v>
      </c>
      <c r="G531" s="6"/>
      <c r="H531" s="6"/>
    </row>
    <row r="532" ht="22.15" customHeight="1" spans="1:8">
      <c r="A532" s="6">
        <v>529</v>
      </c>
      <c r="B532" s="6" t="s">
        <v>2415</v>
      </c>
      <c r="C532" s="6" t="s">
        <v>2416</v>
      </c>
      <c r="D532" s="6" t="s">
        <v>2414</v>
      </c>
      <c r="E532" s="6" t="s">
        <v>1238</v>
      </c>
      <c r="F532" s="6">
        <v>40165</v>
      </c>
      <c r="G532" s="6"/>
      <c r="H532" s="6"/>
    </row>
    <row r="533" ht="22.15" customHeight="1" spans="1:8">
      <c r="A533" s="6">
        <v>530</v>
      </c>
      <c r="B533" s="6" t="s">
        <v>2417</v>
      </c>
      <c r="C533" s="6" t="s">
        <v>2418</v>
      </c>
      <c r="D533" s="6" t="s">
        <v>2419</v>
      </c>
      <c r="E533" s="6" t="s">
        <v>923</v>
      </c>
      <c r="F533" s="6">
        <v>15205</v>
      </c>
      <c r="G533" s="6"/>
      <c r="H533" s="6"/>
    </row>
    <row r="534" ht="22.15" customHeight="1" spans="1:8">
      <c r="A534" s="6">
        <v>531</v>
      </c>
      <c r="B534" s="6" t="s">
        <v>461</v>
      </c>
      <c r="C534" s="6" t="s">
        <v>2420</v>
      </c>
      <c r="D534" s="6" t="s">
        <v>2421</v>
      </c>
      <c r="E534" s="6" t="s">
        <v>923</v>
      </c>
      <c r="F534" s="6" t="s">
        <v>2422</v>
      </c>
      <c r="G534" s="6"/>
      <c r="H534" s="6"/>
    </row>
    <row r="535" ht="22.15" customHeight="1" spans="1:8">
      <c r="A535" s="6">
        <v>532</v>
      </c>
      <c r="B535" s="6" t="s">
        <v>2423</v>
      </c>
      <c r="C535" s="6" t="s">
        <v>2418</v>
      </c>
      <c r="D535" s="6" t="s">
        <v>2424</v>
      </c>
      <c r="E535" s="6" t="s">
        <v>923</v>
      </c>
      <c r="F535" s="6">
        <v>15205</v>
      </c>
      <c r="G535" s="6">
        <v>250000</v>
      </c>
      <c r="H535" s="6" t="s">
        <v>2425</v>
      </c>
    </row>
    <row r="536" ht="22.15" customHeight="1" spans="1:8">
      <c r="A536" s="6">
        <v>533</v>
      </c>
      <c r="B536" s="6" t="s">
        <v>2426</v>
      </c>
      <c r="C536" s="6" t="s">
        <v>2427</v>
      </c>
      <c r="D536" s="6" t="s">
        <v>1782</v>
      </c>
      <c r="E536" s="6" t="s">
        <v>939</v>
      </c>
      <c r="F536" s="6" t="s">
        <v>2428</v>
      </c>
      <c r="G536" s="6"/>
      <c r="H536" s="6"/>
    </row>
    <row r="537" ht="22.15" customHeight="1" spans="1:8">
      <c r="A537" s="6">
        <v>534</v>
      </c>
      <c r="B537" s="6" t="s">
        <v>2429</v>
      </c>
      <c r="C537" s="6" t="s">
        <v>2430</v>
      </c>
      <c r="D537" s="6" t="s">
        <v>2431</v>
      </c>
      <c r="E537" s="6" t="s">
        <v>939</v>
      </c>
      <c r="F537" s="6">
        <v>8691</v>
      </c>
      <c r="G537" s="6"/>
      <c r="H537" s="6"/>
    </row>
    <row r="538" ht="22.15" customHeight="1" spans="1:8">
      <c r="A538" s="6">
        <v>535</v>
      </c>
      <c r="B538" s="6" t="s">
        <v>2432</v>
      </c>
      <c r="C538" s="6" t="s">
        <v>2433</v>
      </c>
      <c r="D538" s="6" t="s">
        <v>1221</v>
      </c>
      <c r="E538" s="6" t="s">
        <v>965</v>
      </c>
      <c r="F538" s="6" t="s">
        <v>2434</v>
      </c>
      <c r="G538" s="6"/>
      <c r="H538" s="6"/>
    </row>
    <row r="539" ht="22.15" customHeight="1" spans="1:8">
      <c r="A539" s="6">
        <v>536</v>
      </c>
      <c r="B539" s="6" t="s">
        <v>2435</v>
      </c>
      <c r="C539" s="6" t="s">
        <v>2436</v>
      </c>
      <c r="D539" s="6" t="s">
        <v>1655</v>
      </c>
      <c r="E539" s="6" t="s">
        <v>1656</v>
      </c>
      <c r="F539" s="6">
        <v>97201</v>
      </c>
      <c r="G539" s="6"/>
      <c r="H539" s="6"/>
    </row>
    <row r="540" ht="22.15" customHeight="1" spans="1:8">
      <c r="A540" s="6">
        <v>537</v>
      </c>
      <c r="B540" s="6" t="s">
        <v>2437</v>
      </c>
      <c r="C540" s="6" t="s">
        <v>2438</v>
      </c>
      <c r="D540" s="6" t="s">
        <v>2439</v>
      </c>
      <c r="E540" s="6" t="s">
        <v>923</v>
      </c>
      <c r="F540" s="6" t="s">
        <v>2440</v>
      </c>
      <c r="G540" s="6"/>
      <c r="H540" s="6"/>
    </row>
    <row r="541" ht="22.15" customHeight="1" spans="1:8">
      <c r="A541" s="6">
        <v>538</v>
      </c>
      <c r="B541" s="6" t="s">
        <v>2441</v>
      </c>
      <c r="C541" s="6" t="s">
        <v>2442</v>
      </c>
      <c r="D541" s="6" t="s">
        <v>2443</v>
      </c>
      <c r="E541" s="6" t="s">
        <v>923</v>
      </c>
      <c r="F541" s="6" t="s">
        <v>2444</v>
      </c>
      <c r="G541" s="6"/>
      <c r="H541" s="6"/>
    </row>
    <row r="542" ht="22.15" customHeight="1" spans="1:8">
      <c r="A542" s="6">
        <v>539</v>
      </c>
      <c r="B542" s="6" t="s">
        <v>2445</v>
      </c>
      <c r="C542" s="6" t="s">
        <v>2446</v>
      </c>
      <c r="D542" s="6" t="s">
        <v>2447</v>
      </c>
      <c r="E542" s="6" t="s">
        <v>936</v>
      </c>
      <c r="F542" s="6">
        <v>92223</v>
      </c>
      <c r="G542" s="6"/>
      <c r="H542" s="6"/>
    </row>
    <row r="543" ht="22.15" customHeight="1" spans="1:8">
      <c r="A543" s="6">
        <v>540</v>
      </c>
      <c r="B543" s="6" t="s">
        <v>2448</v>
      </c>
      <c r="C543" s="6" t="s">
        <v>2449</v>
      </c>
      <c r="D543" s="6" t="s">
        <v>1118</v>
      </c>
      <c r="E543" s="6" t="s">
        <v>1263</v>
      </c>
      <c r="F543" s="6" t="s">
        <v>2450</v>
      </c>
      <c r="G543" s="6"/>
      <c r="H543" s="6"/>
    </row>
    <row r="544" ht="22.15" customHeight="1" spans="1:8">
      <c r="A544" s="6">
        <v>541</v>
      </c>
      <c r="B544" s="6" t="s">
        <v>2451</v>
      </c>
      <c r="C544" s="6" t="s">
        <v>2452</v>
      </c>
      <c r="D544" s="6" t="s">
        <v>2453</v>
      </c>
      <c r="E544" s="6" t="s">
        <v>1499</v>
      </c>
      <c r="F544" s="6">
        <v>47907</v>
      </c>
      <c r="G544" s="6"/>
      <c r="H544" s="6"/>
    </row>
    <row r="545" ht="22.15" customHeight="1" spans="1:8">
      <c r="A545" s="6">
        <v>542</v>
      </c>
      <c r="B545" s="6" t="s">
        <v>2454</v>
      </c>
      <c r="C545" s="6" t="s">
        <v>2455</v>
      </c>
      <c r="D545" s="6" t="s">
        <v>2456</v>
      </c>
      <c r="E545" s="6" t="s">
        <v>919</v>
      </c>
      <c r="F545" s="6" t="s">
        <v>2457</v>
      </c>
      <c r="G545" s="6"/>
      <c r="H545" s="6"/>
    </row>
    <row r="546" ht="22.15" customHeight="1" spans="1:8">
      <c r="A546" s="6">
        <v>543</v>
      </c>
      <c r="B546" s="6" t="s">
        <v>2458</v>
      </c>
      <c r="C546" s="6" t="s">
        <v>2459</v>
      </c>
      <c r="D546" s="6" t="s">
        <v>2460</v>
      </c>
      <c r="E546" s="6" t="s">
        <v>1069</v>
      </c>
      <c r="F546" s="6">
        <v>37013</v>
      </c>
      <c r="G546" s="6"/>
      <c r="H546" s="6"/>
    </row>
    <row r="547" ht="22.15" customHeight="1" spans="1:8">
      <c r="A547" s="6">
        <v>544</v>
      </c>
      <c r="B547" s="6" t="s">
        <v>2461</v>
      </c>
      <c r="C547" s="6" t="s">
        <v>2462</v>
      </c>
      <c r="D547" s="6" t="s">
        <v>2463</v>
      </c>
      <c r="E547" s="6" t="s">
        <v>923</v>
      </c>
      <c r="F547" s="6">
        <v>19526</v>
      </c>
      <c r="G547" s="6"/>
      <c r="H547" s="6"/>
    </row>
    <row r="548" ht="22.15" customHeight="1" spans="1:8">
      <c r="A548" s="6">
        <v>545</v>
      </c>
      <c r="B548" s="6" t="s">
        <v>614</v>
      </c>
      <c r="C548" s="6" t="s">
        <v>2464</v>
      </c>
      <c r="D548" s="6" t="s">
        <v>2465</v>
      </c>
      <c r="E548" s="6" t="s">
        <v>1196</v>
      </c>
      <c r="F548" s="6" t="s">
        <v>2466</v>
      </c>
      <c r="G548" s="6"/>
      <c r="H548" s="6"/>
    </row>
    <row r="549" ht="22.15" customHeight="1" spans="1:8">
      <c r="A549" s="6">
        <v>546</v>
      </c>
      <c r="B549" s="6" t="s">
        <v>2467</v>
      </c>
      <c r="C549" s="6" t="s">
        <v>2468</v>
      </c>
      <c r="D549" s="6" t="s">
        <v>2469</v>
      </c>
      <c r="E549" s="6" t="s">
        <v>1196</v>
      </c>
      <c r="F549" s="6">
        <v>27703</v>
      </c>
      <c r="G549" s="6">
        <v>324500</v>
      </c>
      <c r="H549" s="6" t="s">
        <v>2470</v>
      </c>
    </row>
    <row r="550" ht="22.15" customHeight="1" spans="1:8">
      <c r="A550" s="6">
        <v>547</v>
      </c>
      <c r="B550" s="6" t="s">
        <v>2471</v>
      </c>
      <c r="C550" s="6" t="s">
        <v>2472</v>
      </c>
      <c r="D550" s="6" t="s">
        <v>2473</v>
      </c>
      <c r="E550" s="6" t="s">
        <v>936</v>
      </c>
      <c r="F550" s="6" t="s">
        <v>2474</v>
      </c>
      <c r="G550" s="6"/>
      <c r="H550" s="6"/>
    </row>
    <row r="551" ht="22.15" customHeight="1" spans="1:8">
      <c r="A551" s="6">
        <v>548</v>
      </c>
      <c r="B551" s="6" t="s">
        <v>561</v>
      </c>
      <c r="C551" s="6" t="s">
        <v>2475</v>
      </c>
      <c r="D551" s="6" t="s">
        <v>2476</v>
      </c>
      <c r="E551" s="6" t="s">
        <v>1130</v>
      </c>
      <c r="F551" s="6" t="s">
        <v>2477</v>
      </c>
      <c r="G551" s="6"/>
      <c r="H551" s="6"/>
    </row>
    <row r="552" ht="22.15" customHeight="1" spans="1:8">
      <c r="A552" s="6">
        <v>549</v>
      </c>
      <c r="B552" s="6" t="s">
        <v>2478</v>
      </c>
      <c r="C552" s="6" t="s">
        <v>2479</v>
      </c>
      <c r="D552" s="6" t="s">
        <v>2480</v>
      </c>
      <c r="E552" s="6" t="s">
        <v>1130</v>
      </c>
      <c r="F552" s="6" t="s">
        <v>2481</v>
      </c>
      <c r="G552" s="6"/>
      <c r="H552" s="6"/>
    </row>
    <row r="553" ht="22.15" customHeight="1" spans="1:8">
      <c r="A553" s="6">
        <v>550</v>
      </c>
      <c r="B553" s="6" t="s">
        <v>2482</v>
      </c>
      <c r="C553" s="6" t="s">
        <v>2483</v>
      </c>
      <c r="D553" s="6" t="s">
        <v>800</v>
      </c>
      <c r="E553" s="6" t="s">
        <v>1130</v>
      </c>
      <c r="F553" s="6" t="s">
        <v>2484</v>
      </c>
      <c r="G553" s="6"/>
      <c r="H553" s="6"/>
    </row>
    <row r="554" ht="22.15" customHeight="1" spans="1:8">
      <c r="A554" s="6">
        <v>551</v>
      </c>
      <c r="B554" s="6" t="s">
        <v>2485</v>
      </c>
      <c r="C554" s="6" t="s">
        <v>2486</v>
      </c>
      <c r="D554" s="6" t="s">
        <v>2487</v>
      </c>
      <c r="E554" s="6" t="s">
        <v>1130</v>
      </c>
      <c r="F554" s="6">
        <v>23005</v>
      </c>
      <c r="G554" s="6"/>
      <c r="H554" s="6"/>
    </row>
    <row r="555" ht="22.15" customHeight="1" spans="1:8">
      <c r="A555" s="6">
        <v>552</v>
      </c>
      <c r="B555" s="6" t="s">
        <v>2488</v>
      </c>
      <c r="C555" s="6" t="s">
        <v>2489</v>
      </c>
      <c r="D555" s="6" t="s">
        <v>2487</v>
      </c>
      <c r="E555" s="6" t="s">
        <v>1130</v>
      </c>
      <c r="F555" s="6">
        <v>23005</v>
      </c>
      <c r="G555" s="6"/>
      <c r="H555" s="6"/>
    </row>
    <row r="556" ht="22.15" customHeight="1" spans="1:8">
      <c r="A556" s="6">
        <v>553</v>
      </c>
      <c r="B556" s="6" t="s">
        <v>2490</v>
      </c>
      <c r="C556" s="6" t="s">
        <v>2491</v>
      </c>
      <c r="D556" s="6" t="s">
        <v>2492</v>
      </c>
      <c r="E556" s="6" t="s">
        <v>1579</v>
      </c>
      <c r="F556" s="6" t="s">
        <v>2493</v>
      </c>
      <c r="G556" s="6"/>
      <c r="H556" s="6"/>
    </row>
    <row r="557" ht="22.15" customHeight="1" spans="1:8">
      <c r="A557" s="6">
        <v>554</v>
      </c>
      <c r="B557" s="6" t="s">
        <v>2494</v>
      </c>
      <c r="C557" s="6" t="s">
        <v>2495</v>
      </c>
      <c r="D557" s="6" t="s">
        <v>2496</v>
      </c>
      <c r="E557" s="6" t="s">
        <v>1579</v>
      </c>
      <c r="F557" s="6">
        <v>85906</v>
      </c>
      <c r="G557" s="6">
        <v>634000</v>
      </c>
      <c r="H557" s="6" t="s">
        <v>2497</v>
      </c>
    </row>
    <row r="558" ht="22.15" customHeight="1" spans="1:8">
      <c r="A558" s="6">
        <v>555</v>
      </c>
      <c r="B558" s="6" t="s">
        <v>2498</v>
      </c>
      <c r="C558" s="6" t="s">
        <v>2499</v>
      </c>
      <c r="D558" s="6" t="s">
        <v>2500</v>
      </c>
      <c r="E558" s="6" t="s">
        <v>1579</v>
      </c>
      <c r="F558" s="6">
        <v>89434</v>
      </c>
      <c r="G558" s="6"/>
      <c r="H558" s="6"/>
    </row>
    <row r="559" ht="22.15" customHeight="1" spans="1:8">
      <c r="A559" s="6">
        <v>556</v>
      </c>
      <c r="B559" s="6" t="s">
        <v>533</v>
      </c>
      <c r="C559" s="6" t="s">
        <v>2501</v>
      </c>
      <c r="D559" s="6" t="s">
        <v>2496</v>
      </c>
      <c r="E559" s="6" t="s">
        <v>1579</v>
      </c>
      <c r="F559" s="6">
        <v>89506</v>
      </c>
      <c r="G559" s="6"/>
      <c r="H559" s="6"/>
    </row>
    <row r="560" ht="22.15" customHeight="1" spans="1:8">
      <c r="A560" s="6">
        <v>557</v>
      </c>
      <c r="B560" s="6" t="s">
        <v>426</v>
      </c>
      <c r="C560" s="6" t="s">
        <v>2502</v>
      </c>
      <c r="D560" s="6" t="s">
        <v>2503</v>
      </c>
      <c r="E560" s="6" t="s">
        <v>1263</v>
      </c>
      <c r="F560" s="6" t="s">
        <v>2504</v>
      </c>
      <c r="G560" s="6"/>
      <c r="H560" s="6"/>
    </row>
    <row r="561" ht="22.15" customHeight="1" spans="1:8">
      <c r="A561" s="6">
        <v>558</v>
      </c>
      <c r="B561" s="6" t="s">
        <v>2505</v>
      </c>
      <c r="C561" s="6" t="s">
        <v>2506</v>
      </c>
      <c r="D561" s="6" t="s">
        <v>2507</v>
      </c>
      <c r="E561" s="6" t="s">
        <v>1263</v>
      </c>
      <c r="F561" s="6" t="s">
        <v>2508</v>
      </c>
      <c r="G561" s="6"/>
      <c r="H561" s="6"/>
    </row>
    <row r="562" ht="22.15" customHeight="1" spans="1:8">
      <c r="A562" s="6">
        <v>559</v>
      </c>
      <c r="B562" s="6" t="s">
        <v>2509</v>
      </c>
      <c r="C562" s="6" t="s">
        <v>2510</v>
      </c>
      <c r="D562" s="6" t="s">
        <v>2511</v>
      </c>
      <c r="E562" s="6" t="s">
        <v>1263</v>
      </c>
      <c r="F562" s="6">
        <v>78227</v>
      </c>
      <c r="G562" s="6">
        <v>193900</v>
      </c>
      <c r="H562" s="6" t="s">
        <v>2512</v>
      </c>
    </row>
    <row r="563" ht="22.15" customHeight="1" spans="1:8">
      <c r="A563" s="6">
        <v>560</v>
      </c>
      <c r="B563" s="6" t="s">
        <v>2513</v>
      </c>
      <c r="C563" s="6" t="s">
        <v>2514</v>
      </c>
      <c r="D563" s="6" t="s">
        <v>2515</v>
      </c>
      <c r="E563" s="6" t="s">
        <v>961</v>
      </c>
      <c r="F563" s="6">
        <v>31408</v>
      </c>
      <c r="G563" s="6"/>
      <c r="H563" s="6"/>
    </row>
    <row r="564" ht="22.15" customHeight="1" spans="1:8">
      <c r="A564" s="6">
        <v>561</v>
      </c>
      <c r="B564" s="6" t="s">
        <v>568</v>
      </c>
      <c r="C564" s="6" t="s">
        <v>2516</v>
      </c>
      <c r="D564" s="6" t="s">
        <v>2517</v>
      </c>
      <c r="E564" s="6" t="s">
        <v>961</v>
      </c>
      <c r="F564" s="6">
        <v>31216</v>
      </c>
      <c r="G564" s="6"/>
      <c r="H564" s="6"/>
    </row>
    <row r="565" ht="22.15" customHeight="1" spans="1:8">
      <c r="A565" s="6">
        <v>562</v>
      </c>
      <c r="B565" s="6" t="s">
        <v>2518</v>
      </c>
      <c r="C565" s="6" t="s">
        <v>2519</v>
      </c>
      <c r="D565" s="6" t="s">
        <v>2520</v>
      </c>
      <c r="E565" s="6" t="s">
        <v>936</v>
      </c>
      <c r="F565" s="6" t="s">
        <v>2521</v>
      </c>
      <c r="G565" s="6"/>
      <c r="H565" s="6"/>
    </row>
    <row r="566" ht="22.15" customHeight="1" spans="1:8">
      <c r="A566" s="6">
        <v>563</v>
      </c>
      <c r="B566" s="6" t="s">
        <v>2522</v>
      </c>
      <c r="C566" s="6" t="s">
        <v>2523</v>
      </c>
      <c r="D566" s="6" t="s">
        <v>1582</v>
      </c>
      <c r="E566" s="6" t="s">
        <v>936</v>
      </c>
      <c r="F566" s="6" t="s">
        <v>2524</v>
      </c>
      <c r="G566" s="6"/>
      <c r="H566" s="6"/>
    </row>
    <row r="567" ht="22.15" customHeight="1" spans="1:8">
      <c r="A567" s="6">
        <v>564</v>
      </c>
      <c r="B567" s="6" t="s">
        <v>2525</v>
      </c>
      <c r="C567" s="6" t="s">
        <v>2526</v>
      </c>
      <c r="D567" s="6" t="s">
        <v>1856</v>
      </c>
      <c r="E567" s="6" t="s">
        <v>1009</v>
      </c>
      <c r="F567" s="6" t="s">
        <v>2527</v>
      </c>
      <c r="G567" s="6"/>
      <c r="H567" s="6"/>
    </row>
    <row r="568" ht="22.15" customHeight="1" spans="1:8">
      <c r="A568" s="6">
        <v>565</v>
      </c>
      <c r="B568" s="6" t="s">
        <v>397</v>
      </c>
      <c r="C568" s="6" t="s">
        <v>2528</v>
      </c>
      <c r="D568" s="6" t="s">
        <v>2119</v>
      </c>
      <c r="E568" s="6" t="s">
        <v>936</v>
      </c>
      <c r="F568" s="6">
        <v>92408</v>
      </c>
      <c r="G568" s="6"/>
      <c r="H568" s="6"/>
    </row>
    <row r="569" ht="22.15" customHeight="1" spans="1:8">
      <c r="A569" s="6">
        <v>566</v>
      </c>
      <c r="B569" s="6" t="s">
        <v>2529</v>
      </c>
      <c r="C569" s="6" t="s">
        <v>2530</v>
      </c>
      <c r="D569" s="6" t="s">
        <v>2037</v>
      </c>
      <c r="E569" s="6" t="s">
        <v>936</v>
      </c>
      <c r="F569" s="6">
        <v>92407</v>
      </c>
      <c r="G569" s="6"/>
      <c r="H569" s="6"/>
    </row>
    <row r="570" ht="22.15" customHeight="1" spans="1:8">
      <c r="A570" s="6">
        <v>567</v>
      </c>
      <c r="B570" s="6" t="s">
        <v>2531</v>
      </c>
      <c r="C570" s="6"/>
      <c r="D570" s="6" t="s">
        <v>2532</v>
      </c>
      <c r="E570" s="6" t="s">
        <v>939</v>
      </c>
      <c r="F570" s="6">
        <v>8873</v>
      </c>
      <c r="G570" s="6"/>
      <c r="H570" s="6"/>
    </row>
    <row r="571" ht="22.15" customHeight="1" spans="1:8">
      <c r="A571" s="6">
        <v>568</v>
      </c>
      <c r="B571" s="6" t="s">
        <v>2533</v>
      </c>
      <c r="C571" s="6" t="s">
        <v>2534</v>
      </c>
      <c r="D571" s="6" t="s">
        <v>2535</v>
      </c>
      <c r="E571" s="6" t="s">
        <v>969</v>
      </c>
      <c r="F571" s="6">
        <v>11794</v>
      </c>
      <c r="G571" s="6"/>
      <c r="H571" s="6"/>
    </row>
    <row r="572" ht="22.15" customHeight="1" spans="1:8">
      <c r="A572" s="6">
        <v>569</v>
      </c>
      <c r="B572" s="6" t="s">
        <v>2536</v>
      </c>
      <c r="C572" s="6" t="s">
        <v>2537</v>
      </c>
      <c r="D572" s="6" t="s">
        <v>2538</v>
      </c>
      <c r="E572" s="6" t="s">
        <v>1618</v>
      </c>
      <c r="F572" s="6" t="s">
        <v>2539</v>
      </c>
      <c r="G572" s="6"/>
      <c r="H572" s="6"/>
    </row>
    <row r="573" ht="22.15" customHeight="1" spans="1:8">
      <c r="A573" s="6">
        <v>570</v>
      </c>
      <c r="B573" s="6" t="s">
        <v>2540</v>
      </c>
      <c r="C573" s="6" t="s">
        <v>2541</v>
      </c>
      <c r="D573" s="6" t="s">
        <v>800</v>
      </c>
      <c r="E573" s="6" t="s">
        <v>936</v>
      </c>
      <c r="F573" s="6" t="s">
        <v>2542</v>
      </c>
      <c r="G573" s="6"/>
      <c r="H573" s="6"/>
    </row>
    <row r="574" ht="22.15" customHeight="1" spans="1:8">
      <c r="A574" s="6">
        <v>571</v>
      </c>
      <c r="B574" s="6" t="s">
        <v>2543</v>
      </c>
      <c r="C574" s="6" t="s">
        <v>2544</v>
      </c>
      <c r="D574" s="6" t="s">
        <v>1717</v>
      </c>
      <c r="E574" s="6" t="s">
        <v>936</v>
      </c>
      <c r="F574" s="6" t="s">
        <v>2545</v>
      </c>
      <c r="G574" s="6"/>
      <c r="H574" s="6"/>
    </row>
    <row r="575" ht="22.15" customHeight="1" spans="1:8">
      <c r="A575" s="6">
        <v>572</v>
      </c>
      <c r="B575" s="6" t="s">
        <v>2546</v>
      </c>
      <c r="C575" s="6" t="s">
        <v>2547</v>
      </c>
      <c r="D575" s="6" t="s">
        <v>2548</v>
      </c>
      <c r="E575" s="6" t="s">
        <v>936</v>
      </c>
      <c r="F575" s="6" t="s">
        <v>2549</v>
      </c>
      <c r="G575" s="6"/>
      <c r="H575" s="6"/>
    </row>
    <row r="576" ht="22.15" customHeight="1" spans="1:8">
      <c r="A576" s="6">
        <v>573</v>
      </c>
      <c r="B576" s="6" t="s">
        <v>2550</v>
      </c>
      <c r="C576" s="6" t="s">
        <v>2551</v>
      </c>
      <c r="D576" s="6" t="s">
        <v>1729</v>
      </c>
      <c r="E576" s="6" t="s">
        <v>936</v>
      </c>
      <c r="F576" s="6" t="s">
        <v>2552</v>
      </c>
      <c r="G576" s="6"/>
      <c r="H576" s="6"/>
    </row>
    <row r="577" ht="22.15" customHeight="1" spans="1:8">
      <c r="A577" s="6">
        <v>574</v>
      </c>
      <c r="B577" s="6" t="s">
        <v>2553</v>
      </c>
      <c r="C577" s="6" t="s">
        <v>2554</v>
      </c>
      <c r="D577" s="6" t="s">
        <v>2555</v>
      </c>
      <c r="E577" s="6" t="s">
        <v>936</v>
      </c>
      <c r="F577" s="6" t="s">
        <v>2556</v>
      </c>
      <c r="G577" s="6"/>
      <c r="H577" s="6"/>
    </row>
    <row r="578" ht="22.15" customHeight="1" spans="1:8">
      <c r="A578" s="6">
        <v>575</v>
      </c>
      <c r="B578" s="6" t="s">
        <v>2557</v>
      </c>
      <c r="C578" s="6" t="s">
        <v>2558</v>
      </c>
      <c r="D578" s="6" t="s">
        <v>2559</v>
      </c>
      <c r="E578" s="6" t="s">
        <v>923</v>
      </c>
      <c r="F578" s="6">
        <v>16801</v>
      </c>
      <c r="G578" s="6"/>
      <c r="H578" s="6"/>
    </row>
    <row r="579" ht="22.15" customHeight="1" spans="1:8">
      <c r="A579" s="6">
        <v>576</v>
      </c>
      <c r="B579" s="6" t="s">
        <v>529</v>
      </c>
      <c r="C579" s="6" t="s">
        <v>2560</v>
      </c>
      <c r="D579" s="6" t="s">
        <v>2561</v>
      </c>
      <c r="E579" s="6" t="s">
        <v>936</v>
      </c>
      <c r="F579" s="6" t="s">
        <v>2562</v>
      </c>
      <c r="G579" s="6"/>
      <c r="H579" s="6"/>
    </row>
    <row r="580" ht="22.15" customHeight="1" spans="1:8">
      <c r="A580" s="6">
        <v>577</v>
      </c>
      <c r="B580" s="6" t="s">
        <v>528</v>
      </c>
      <c r="C580" s="6" t="s">
        <v>2563</v>
      </c>
      <c r="D580" s="6" t="s">
        <v>2564</v>
      </c>
      <c r="E580" s="6" t="s">
        <v>936</v>
      </c>
      <c r="F580" s="6">
        <v>95336</v>
      </c>
      <c r="G580" s="6"/>
      <c r="H580" s="6"/>
    </row>
    <row r="581" ht="22.15" customHeight="1" spans="1:8">
      <c r="A581" s="6">
        <v>578</v>
      </c>
      <c r="B581" s="6" t="s">
        <v>2565</v>
      </c>
      <c r="C581" s="6" t="s">
        <v>2566</v>
      </c>
      <c r="D581" s="6" t="s">
        <v>2561</v>
      </c>
      <c r="E581" s="6" t="s">
        <v>936</v>
      </c>
      <c r="F581" s="6">
        <v>95215</v>
      </c>
      <c r="G581" s="6"/>
      <c r="H581" s="6"/>
    </row>
    <row r="582" ht="22.15" customHeight="1" spans="1:8">
      <c r="A582" s="6">
        <v>579</v>
      </c>
      <c r="B582" s="6" t="s">
        <v>2567</v>
      </c>
      <c r="C582" s="6" t="s">
        <v>2568</v>
      </c>
      <c r="D582" s="6" t="s">
        <v>1391</v>
      </c>
      <c r="E582" s="6" t="s">
        <v>1392</v>
      </c>
      <c r="F582" s="6" t="s">
        <v>2569</v>
      </c>
      <c r="G582" s="6"/>
      <c r="H582" s="6"/>
    </row>
    <row r="583" ht="22.15" customHeight="1" spans="1:8">
      <c r="A583" s="6">
        <v>580</v>
      </c>
      <c r="B583" s="6" t="s">
        <v>2570</v>
      </c>
      <c r="C583" s="6" t="s">
        <v>2571</v>
      </c>
      <c r="D583" s="6" t="s">
        <v>1933</v>
      </c>
      <c r="E583" s="6" t="s">
        <v>1130</v>
      </c>
      <c r="F583" s="6" t="s">
        <v>2572</v>
      </c>
      <c r="G583" s="6"/>
      <c r="H583" s="6"/>
    </row>
    <row r="584" ht="22.15" customHeight="1" spans="1:8">
      <c r="A584" s="6">
        <v>581</v>
      </c>
      <c r="B584" s="6" t="s">
        <v>2573</v>
      </c>
      <c r="C584" s="6" t="s">
        <v>2574</v>
      </c>
      <c r="D584" s="6" t="s">
        <v>2575</v>
      </c>
      <c r="E584" s="6" t="s">
        <v>1126</v>
      </c>
      <c r="F584" s="6" t="s">
        <v>2576</v>
      </c>
      <c r="G584" s="6"/>
      <c r="H584" s="6"/>
    </row>
    <row r="585" ht="22.15" customHeight="1" spans="1:8">
      <c r="A585" s="6">
        <v>582</v>
      </c>
      <c r="B585" s="6" t="s">
        <v>2577</v>
      </c>
      <c r="C585" s="6" t="s">
        <v>2578</v>
      </c>
      <c r="D585" s="6" t="s">
        <v>2579</v>
      </c>
      <c r="E585" s="6" t="s">
        <v>1238</v>
      </c>
      <c r="F585" s="6" t="s">
        <v>2580</v>
      </c>
      <c r="G585" s="6"/>
      <c r="H585" s="6"/>
    </row>
    <row r="586" ht="22.15" customHeight="1" spans="1:8">
      <c r="A586" s="6">
        <v>583</v>
      </c>
      <c r="B586" s="6" t="s">
        <v>2581</v>
      </c>
      <c r="C586" s="6" t="s">
        <v>2582</v>
      </c>
      <c r="D586" s="6" t="s">
        <v>2583</v>
      </c>
      <c r="E586" s="6" t="s">
        <v>1238</v>
      </c>
      <c r="F586" s="6" t="s">
        <v>2584</v>
      </c>
      <c r="G586" s="6"/>
      <c r="H586" s="6"/>
    </row>
    <row r="587" ht="22.15" customHeight="1" spans="1:8">
      <c r="A587" s="6">
        <v>584</v>
      </c>
      <c r="B587" s="6" t="s">
        <v>2585</v>
      </c>
      <c r="C587" s="6" t="s">
        <v>2413</v>
      </c>
      <c r="D587" s="6" t="s">
        <v>2414</v>
      </c>
      <c r="E587" s="6" t="s">
        <v>1238</v>
      </c>
      <c r="F587" s="6" t="s">
        <v>2586</v>
      </c>
      <c r="G587" s="6"/>
      <c r="H587" s="6"/>
    </row>
    <row r="588" ht="22.15" customHeight="1" spans="1:8">
      <c r="A588" s="6">
        <v>585</v>
      </c>
      <c r="B588" s="6" t="s">
        <v>2587</v>
      </c>
      <c r="C588" s="6" t="s">
        <v>2588</v>
      </c>
      <c r="D588" s="6" t="s">
        <v>2414</v>
      </c>
      <c r="E588" s="6" t="s">
        <v>1238</v>
      </c>
      <c r="F588" s="6" t="s">
        <v>2589</v>
      </c>
      <c r="G588" s="6"/>
      <c r="H588" s="6"/>
    </row>
    <row r="589" ht="22.15" customHeight="1" spans="1:8">
      <c r="A589" s="6">
        <v>586</v>
      </c>
      <c r="B589" s="6" t="s">
        <v>2590</v>
      </c>
      <c r="C589" s="6" t="s">
        <v>2591</v>
      </c>
      <c r="D589" s="6" t="s">
        <v>2414</v>
      </c>
      <c r="E589" s="6" t="s">
        <v>1238</v>
      </c>
      <c r="F589" s="6">
        <v>40165</v>
      </c>
      <c r="G589" s="6">
        <v>281000</v>
      </c>
      <c r="H589" s="6" t="s">
        <v>2592</v>
      </c>
    </row>
    <row r="590" ht="22.15" customHeight="1" spans="1:8">
      <c r="A590" s="6">
        <v>587</v>
      </c>
      <c r="B590" s="6" t="s">
        <v>470</v>
      </c>
      <c r="C590" s="6" t="s">
        <v>2410</v>
      </c>
      <c r="D590" s="6" t="s">
        <v>1950</v>
      </c>
      <c r="E590" s="6" t="s">
        <v>1499</v>
      </c>
      <c r="F590" s="6" t="s">
        <v>2411</v>
      </c>
      <c r="G590" s="6"/>
      <c r="H590" s="6"/>
    </row>
    <row r="591" ht="22.15" customHeight="1" spans="1:8">
      <c r="A591" s="6">
        <v>588</v>
      </c>
      <c r="B591" s="6" t="s">
        <v>2593</v>
      </c>
      <c r="C591" s="6" t="s">
        <v>2594</v>
      </c>
      <c r="D591" s="6" t="s">
        <v>2414</v>
      </c>
      <c r="E591" s="6" t="s">
        <v>1238</v>
      </c>
      <c r="F591" s="6">
        <v>40165</v>
      </c>
      <c r="G591" s="6"/>
      <c r="H591" s="6"/>
    </row>
    <row r="592" ht="22.15" customHeight="1" spans="1:8">
      <c r="A592" s="6">
        <v>589</v>
      </c>
      <c r="B592" s="6" t="s">
        <v>2595</v>
      </c>
      <c r="C592" s="6" t="s">
        <v>2596</v>
      </c>
      <c r="D592" s="6" t="s">
        <v>918</v>
      </c>
      <c r="E592" s="6" t="s">
        <v>919</v>
      </c>
      <c r="F592" s="6" t="s">
        <v>2597</v>
      </c>
      <c r="G592" s="6"/>
      <c r="H592" s="6"/>
    </row>
    <row r="593" ht="22.15" customHeight="1" spans="1:8">
      <c r="A593" s="6">
        <v>590</v>
      </c>
      <c r="B593" s="6" t="s">
        <v>2598</v>
      </c>
      <c r="C593" s="6" t="s">
        <v>1968</v>
      </c>
      <c r="D593" s="6" t="s">
        <v>1969</v>
      </c>
      <c r="E593" s="6" t="s">
        <v>919</v>
      </c>
      <c r="F593" s="6">
        <v>98004</v>
      </c>
      <c r="G593" s="6"/>
      <c r="H593" s="6"/>
    </row>
    <row r="594" ht="22.15" customHeight="1" spans="1:8">
      <c r="A594" s="6">
        <v>591</v>
      </c>
      <c r="B594" s="6" t="s">
        <v>2599</v>
      </c>
      <c r="C594" s="6"/>
      <c r="D594" s="6" t="s">
        <v>2600</v>
      </c>
      <c r="E594" s="6" t="s">
        <v>939</v>
      </c>
      <c r="F594" s="6">
        <v>8701</v>
      </c>
      <c r="G594" s="6"/>
      <c r="H594" s="6"/>
    </row>
    <row r="595" ht="22.15" customHeight="1" spans="1:8">
      <c r="A595" s="6">
        <v>592</v>
      </c>
      <c r="B595" s="6" t="s">
        <v>2601</v>
      </c>
      <c r="C595" s="6" t="s">
        <v>2602</v>
      </c>
      <c r="D595" s="6" t="s">
        <v>2603</v>
      </c>
      <c r="E595" s="6" t="s">
        <v>1155</v>
      </c>
      <c r="F595" s="6" t="s">
        <v>2604</v>
      </c>
      <c r="G595" s="6"/>
      <c r="H595" s="6"/>
    </row>
    <row r="596" ht="22.15" customHeight="1" spans="1:8">
      <c r="A596" s="6">
        <v>593</v>
      </c>
      <c r="B596" s="6" t="s">
        <v>2605</v>
      </c>
      <c r="C596" s="6" t="s">
        <v>2606</v>
      </c>
      <c r="D596" s="6" t="s">
        <v>2607</v>
      </c>
      <c r="E596" s="6" t="s">
        <v>1155</v>
      </c>
      <c r="F596" s="6" t="s">
        <v>2608</v>
      </c>
      <c r="G596" s="6"/>
      <c r="H596" s="6"/>
    </row>
    <row r="597" ht="22.15" customHeight="1" spans="1:8">
      <c r="A597" s="6">
        <v>594</v>
      </c>
      <c r="B597" s="6" t="s">
        <v>2609</v>
      </c>
      <c r="C597" s="6" t="s">
        <v>2610</v>
      </c>
      <c r="D597" s="6" t="s">
        <v>2611</v>
      </c>
      <c r="E597" s="6" t="s">
        <v>1155</v>
      </c>
      <c r="F597" s="6" t="s">
        <v>2612</v>
      </c>
      <c r="G597" s="6"/>
      <c r="H597" s="6"/>
    </row>
    <row r="598" ht="22.15" customHeight="1" spans="1:8">
      <c r="A598" s="6">
        <v>595</v>
      </c>
      <c r="B598" s="6" t="s">
        <v>2613</v>
      </c>
      <c r="C598" s="6" t="s">
        <v>2614</v>
      </c>
      <c r="D598" s="6" t="s">
        <v>2561</v>
      </c>
      <c r="E598" s="6" t="s">
        <v>936</v>
      </c>
      <c r="F598" s="6" t="s">
        <v>2615</v>
      </c>
      <c r="G598" s="6"/>
      <c r="H598" s="6"/>
    </row>
    <row r="599" ht="22.15" customHeight="1" spans="1:8">
      <c r="A599" s="6">
        <v>596</v>
      </c>
      <c r="B599" s="6" t="s">
        <v>2616</v>
      </c>
      <c r="C599" s="6" t="s">
        <v>2617</v>
      </c>
      <c r="D599" s="6" t="s">
        <v>2618</v>
      </c>
      <c r="E599" s="6" t="s">
        <v>961</v>
      </c>
      <c r="F599" s="6" t="s">
        <v>2619</v>
      </c>
      <c r="G599" s="6"/>
      <c r="H599" s="6"/>
    </row>
    <row r="600" ht="22.15" customHeight="1" spans="1:8">
      <c r="A600" s="6">
        <v>597</v>
      </c>
      <c r="B600" s="6" t="s">
        <v>2620</v>
      </c>
      <c r="C600" s="6" t="s">
        <v>2621</v>
      </c>
      <c r="D600" s="6" t="s">
        <v>2622</v>
      </c>
      <c r="E600" s="6" t="s">
        <v>1166</v>
      </c>
      <c r="F600" s="6" t="s">
        <v>2623</v>
      </c>
      <c r="G600" s="6"/>
      <c r="H600" s="6"/>
    </row>
    <row r="601" ht="22.15" customHeight="1" spans="1:8">
      <c r="A601" s="6">
        <v>598</v>
      </c>
      <c r="B601" s="6" t="s">
        <v>2624</v>
      </c>
      <c r="C601" s="6" t="s">
        <v>2625</v>
      </c>
      <c r="D601" s="6" t="s">
        <v>2626</v>
      </c>
      <c r="E601" s="6" t="s">
        <v>1166</v>
      </c>
      <c r="F601" s="6" t="s">
        <v>2627</v>
      </c>
      <c r="G601" s="6"/>
      <c r="H601" s="6"/>
    </row>
    <row r="602" ht="22.15" customHeight="1" spans="1:8">
      <c r="A602" s="6">
        <v>599</v>
      </c>
      <c r="B602" s="6" t="s">
        <v>413</v>
      </c>
      <c r="C602" s="6" t="s">
        <v>2628</v>
      </c>
      <c r="D602" s="6" t="s">
        <v>1870</v>
      </c>
      <c r="E602" s="6" t="s">
        <v>936</v>
      </c>
      <c r="F602" s="6">
        <v>95391</v>
      </c>
      <c r="G602" s="6"/>
      <c r="H602" s="6"/>
    </row>
    <row r="603" ht="22.15" customHeight="1" spans="1:8">
      <c r="A603" s="6">
        <v>600</v>
      </c>
      <c r="B603" s="6" t="s">
        <v>2629</v>
      </c>
      <c r="C603" s="6" t="s">
        <v>2630</v>
      </c>
      <c r="D603" s="6" t="s">
        <v>2631</v>
      </c>
      <c r="E603" s="6" t="s">
        <v>936</v>
      </c>
      <c r="F603" s="6">
        <v>94005</v>
      </c>
      <c r="G603" s="6"/>
      <c r="H603" s="6"/>
    </row>
    <row r="604" ht="22.15" customHeight="1" spans="1:8">
      <c r="A604" s="6">
        <v>601</v>
      </c>
      <c r="B604" s="6" t="s">
        <v>2632</v>
      </c>
      <c r="C604" s="6"/>
      <c r="D604" s="6" t="s">
        <v>1075</v>
      </c>
      <c r="E604" s="6" t="s">
        <v>1069</v>
      </c>
      <c r="F604" s="6">
        <v>37129</v>
      </c>
      <c r="G604" s="6"/>
      <c r="H604" s="6"/>
    </row>
    <row r="605" ht="22.15" customHeight="1" spans="1:8">
      <c r="A605" s="6">
        <v>602</v>
      </c>
      <c r="B605" s="6" t="s">
        <v>2633</v>
      </c>
      <c r="C605" s="6"/>
      <c r="D605" s="6" t="s">
        <v>2634</v>
      </c>
      <c r="E605" s="6" t="s">
        <v>1166</v>
      </c>
      <c r="F605" s="6">
        <v>60060</v>
      </c>
      <c r="G605" s="6"/>
      <c r="H605" s="6"/>
    </row>
    <row r="606" ht="22.15" customHeight="1" spans="1:8">
      <c r="A606" s="6">
        <v>603</v>
      </c>
      <c r="B606" s="6" t="s">
        <v>2635</v>
      </c>
      <c r="C606" s="6"/>
      <c r="D606" s="6" t="s">
        <v>2636</v>
      </c>
      <c r="E606" s="6" t="s">
        <v>923</v>
      </c>
      <c r="F606" s="6">
        <v>18936</v>
      </c>
      <c r="G606" s="6"/>
      <c r="H606" s="6"/>
    </row>
    <row r="607" ht="22.15" customHeight="1" spans="1:8">
      <c r="A607" s="6">
        <v>604</v>
      </c>
      <c r="B607" s="6" t="s">
        <v>2637</v>
      </c>
      <c r="C607" s="6" t="s">
        <v>1327</v>
      </c>
      <c r="D607" s="6" t="s">
        <v>1328</v>
      </c>
      <c r="E607" s="6" t="s">
        <v>936</v>
      </c>
      <c r="F607" s="6" t="s">
        <v>1329</v>
      </c>
      <c r="G607" s="6"/>
      <c r="H607" s="6"/>
    </row>
    <row r="608" ht="22.15" customHeight="1" spans="1:8">
      <c r="A608" s="6">
        <v>605</v>
      </c>
      <c r="B608" s="6" t="s">
        <v>2638</v>
      </c>
      <c r="C608" s="6" t="s">
        <v>2639</v>
      </c>
      <c r="D608" s="6" t="s">
        <v>2640</v>
      </c>
      <c r="E608" s="6" t="s">
        <v>2641</v>
      </c>
      <c r="F608" s="6">
        <v>84116</v>
      </c>
      <c r="G608" s="6"/>
      <c r="H608" s="6"/>
    </row>
    <row r="609" ht="22.15" customHeight="1" spans="1:8">
      <c r="A609" s="6">
        <v>606</v>
      </c>
      <c r="B609" s="6" t="s">
        <v>422</v>
      </c>
      <c r="C609" s="6" t="s">
        <v>2642</v>
      </c>
      <c r="D609" s="6" t="s">
        <v>2643</v>
      </c>
      <c r="E609" s="6" t="s">
        <v>2641</v>
      </c>
      <c r="F609" s="6">
        <v>84081</v>
      </c>
      <c r="G609" s="6"/>
      <c r="H609" s="6"/>
    </row>
    <row r="610" ht="22.15" customHeight="1" spans="1:8">
      <c r="A610" s="6">
        <v>607</v>
      </c>
      <c r="B610" s="6" t="s">
        <v>423</v>
      </c>
      <c r="C610" s="6" t="s">
        <v>2644</v>
      </c>
      <c r="D610" s="6" t="s">
        <v>2640</v>
      </c>
      <c r="E610" s="6" t="s">
        <v>2641</v>
      </c>
      <c r="F610" s="6" t="s">
        <v>2645</v>
      </c>
      <c r="G610" s="6"/>
      <c r="H610" s="6"/>
    </row>
    <row r="611" ht="22.15" customHeight="1" spans="1:8">
      <c r="A611" s="6">
        <v>608</v>
      </c>
      <c r="B611" s="6" t="s">
        <v>2646</v>
      </c>
      <c r="C611" s="6" t="s">
        <v>2647</v>
      </c>
      <c r="D611" s="6" t="s">
        <v>2648</v>
      </c>
      <c r="E611" s="6" t="s">
        <v>2641</v>
      </c>
      <c r="F611" s="6">
        <v>84104</v>
      </c>
      <c r="G611" s="6"/>
      <c r="H611" s="6"/>
    </row>
    <row r="612" ht="22.15" customHeight="1" spans="1:8">
      <c r="A612" s="6">
        <v>609</v>
      </c>
      <c r="B612" s="6" t="s">
        <v>2649</v>
      </c>
      <c r="C612" s="6" t="s">
        <v>2650</v>
      </c>
      <c r="D612" s="6" t="s">
        <v>2651</v>
      </c>
      <c r="E612" s="6" t="s">
        <v>1166</v>
      </c>
      <c r="F612" s="6">
        <v>62025</v>
      </c>
      <c r="G612" s="6"/>
      <c r="H612" s="6"/>
    </row>
    <row r="613" ht="22.15" customHeight="1" spans="1:8">
      <c r="A613" s="6">
        <v>610</v>
      </c>
      <c r="B613" s="6" t="s">
        <v>2652</v>
      </c>
      <c r="C613" s="6" t="s">
        <v>2653</v>
      </c>
      <c r="D613" s="6" t="s">
        <v>2654</v>
      </c>
      <c r="E613" s="6" t="s">
        <v>1096</v>
      </c>
      <c r="F613" s="6" t="s">
        <v>2655</v>
      </c>
      <c r="G613" s="6"/>
      <c r="H613" s="6"/>
    </row>
    <row r="614" ht="22.15" customHeight="1" spans="1:8">
      <c r="A614" s="6">
        <v>611</v>
      </c>
      <c r="B614" s="6" t="s">
        <v>2656</v>
      </c>
      <c r="C614" s="6" t="s">
        <v>2657</v>
      </c>
      <c r="D614" s="6" t="s">
        <v>2658</v>
      </c>
      <c r="E614" s="6" t="s">
        <v>1126</v>
      </c>
      <c r="F614" s="6">
        <v>21075</v>
      </c>
      <c r="G614" s="6"/>
      <c r="H614" s="6"/>
    </row>
    <row r="615" ht="22.15" customHeight="1" spans="1:8">
      <c r="A615" s="6">
        <v>612</v>
      </c>
      <c r="B615" s="6" t="s">
        <v>532</v>
      </c>
      <c r="C615" s="6" t="s">
        <v>2659</v>
      </c>
      <c r="D615" s="6" t="s">
        <v>2660</v>
      </c>
      <c r="E615" s="6" t="s">
        <v>936</v>
      </c>
      <c r="F615" s="6">
        <v>95837</v>
      </c>
      <c r="G615" s="6"/>
      <c r="H615" s="6"/>
    </row>
    <row r="616" ht="22.15" customHeight="1" spans="1:8">
      <c r="A616" s="6">
        <v>613</v>
      </c>
      <c r="B616" s="6" t="s">
        <v>2661</v>
      </c>
      <c r="C616" s="6" t="s">
        <v>2662</v>
      </c>
      <c r="D616" s="6" t="s">
        <v>2663</v>
      </c>
      <c r="E616" s="6" t="s">
        <v>936</v>
      </c>
      <c r="F616" s="6">
        <v>95691</v>
      </c>
      <c r="G616" s="6"/>
      <c r="H616" s="6"/>
    </row>
    <row r="617" ht="22.15" customHeight="1" spans="1:8">
      <c r="A617" s="6">
        <v>614</v>
      </c>
      <c r="B617" s="6" t="s">
        <v>345</v>
      </c>
      <c r="C617" s="6" t="s">
        <v>2664</v>
      </c>
      <c r="D617" s="6" t="s">
        <v>2665</v>
      </c>
      <c r="E617" s="6" t="s">
        <v>936</v>
      </c>
      <c r="F617" s="6">
        <v>95206</v>
      </c>
      <c r="G617" s="6"/>
      <c r="H617" s="6"/>
    </row>
    <row r="618" ht="22.15" customHeight="1" spans="1:8">
      <c r="A618" s="6">
        <v>615</v>
      </c>
      <c r="B618" s="6" t="s">
        <v>2666</v>
      </c>
      <c r="C618" s="6" t="s">
        <v>2667</v>
      </c>
      <c r="D618" s="6" t="s">
        <v>2668</v>
      </c>
      <c r="E618" s="6" t="s">
        <v>936</v>
      </c>
      <c r="F618" s="6">
        <v>95688</v>
      </c>
      <c r="G618" s="6">
        <v>231993</v>
      </c>
      <c r="H618" s="6"/>
    </row>
    <row r="619" ht="22.15" customHeight="1" spans="1:8">
      <c r="A619" s="6">
        <v>616</v>
      </c>
      <c r="B619" s="6" t="s">
        <v>2669</v>
      </c>
      <c r="C619" s="6" t="s">
        <v>2667</v>
      </c>
      <c r="D619" s="6" t="s">
        <v>2670</v>
      </c>
      <c r="E619" s="6" t="s">
        <v>936</v>
      </c>
      <c r="F619" s="6">
        <v>95688</v>
      </c>
      <c r="G619" s="6"/>
      <c r="H619" s="6"/>
    </row>
    <row r="620" ht="22.15" customHeight="1" spans="1:8">
      <c r="A620" s="6">
        <v>617</v>
      </c>
      <c r="B620" s="6" t="s">
        <v>404</v>
      </c>
      <c r="C620" s="6" t="s">
        <v>2671</v>
      </c>
      <c r="D620" s="6" t="s">
        <v>2123</v>
      </c>
      <c r="E620" s="6" t="s">
        <v>936</v>
      </c>
      <c r="F620" s="6" t="s">
        <v>2672</v>
      </c>
      <c r="G620" s="6"/>
      <c r="H620" s="6"/>
    </row>
    <row r="621" ht="22.15" customHeight="1" spans="1:8">
      <c r="A621" s="6">
        <v>618</v>
      </c>
      <c r="B621" s="6" t="s">
        <v>2673</v>
      </c>
      <c r="C621" s="6" t="s">
        <v>2674</v>
      </c>
      <c r="D621" s="6" t="s">
        <v>1328</v>
      </c>
      <c r="E621" s="6" t="s">
        <v>936</v>
      </c>
      <c r="F621" s="6">
        <v>92880</v>
      </c>
      <c r="G621" s="6"/>
      <c r="H621" s="6"/>
    </row>
    <row r="622" ht="22.15" customHeight="1" spans="1:8">
      <c r="A622" s="6">
        <v>619</v>
      </c>
      <c r="B622" s="6" t="s">
        <v>2675</v>
      </c>
      <c r="C622" s="6" t="s">
        <v>2676</v>
      </c>
      <c r="D622" s="6" t="s">
        <v>2301</v>
      </c>
      <c r="E622" s="6" t="s">
        <v>936</v>
      </c>
      <c r="F622" s="6">
        <v>92408</v>
      </c>
      <c r="G622" s="6"/>
      <c r="H622" s="6"/>
    </row>
    <row r="623" ht="22.15" customHeight="1" spans="1:8">
      <c r="A623" s="6">
        <v>620</v>
      </c>
      <c r="B623" s="6" t="s">
        <v>2677</v>
      </c>
      <c r="C623" s="6" t="s">
        <v>2676</v>
      </c>
      <c r="D623" s="6" t="s">
        <v>2301</v>
      </c>
      <c r="E623" s="6" t="s">
        <v>936</v>
      </c>
      <c r="F623" s="6">
        <v>92408</v>
      </c>
      <c r="G623" s="6"/>
      <c r="H623" s="6"/>
    </row>
    <row r="624" ht="22.15" customHeight="1" spans="1:8">
      <c r="A624" s="6">
        <v>621</v>
      </c>
      <c r="B624" s="6" t="s">
        <v>2678</v>
      </c>
      <c r="C624" s="6" t="s">
        <v>2674</v>
      </c>
      <c r="D624" s="6" t="s">
        <v>1328</v>
      </c>
      <c r="E624" s="6" t="s">
        <v>936</v>
      </c>
      <c r="F624" s="6">
        <v>92880</v>
      </c>
      <c r="G624" s="6"/>
      <c r="H624" s="6"/>
    </row>
    <row r="625" ht="22.15" customHeight="1" spans="1:8">
      <c r="A625" s="6">
        <v>622</v>
      </c>
      <c r="B625" s="6" t="s">
        <v>2679</v>
      </c>
      <c r="C625" s="6"/>
      <c r="D625" s="6" t="s">
        <v>2680</v>
      </c>
      <c r="E625" s="6" t="s">
        <v>939</v>
      </c>
      <c r="F625" s="6">
        <v>7503</v>
      </c>
      <c r="G625" s="6"/>
      <c r="H625" s="6"/>
    </row>
    <row r="626" ht="22.15" customHeight="1" spans="1:8">
      <c r="A626" s="6">
        <v>623</v>
      </c>
      <c r="B626" s="6" t="s">
        <v>2681</v>
      </c>
      <c r="C626" s="6"/>
      <c r="D626" s="6" t="s">
        <v>2682</v>
      </c>
      <c r="E626" s="6" t="s">
        <v>919</v>
      </c>
      <c r="F626" s="6">
        <v>98014</v>
      </c>
      <c r="G626" s="6"/>
      <c r="H626" s="6"/>
    </row>
    <row r="627" ht="22.15" customHeight="1" spans="1:8">
      <c r="A627" s="6">
        <v>624</v>
      </c>
      <c r="B627" s="6" t="s">
        <v>577</v>
      </c>
      <c r="C627" s="6" t="s">
        <v>2683</v>
      </c>
      <c r="D627" s="6" t="s">
        <v>2684</v>
      </c>
      <c r="E627" s="6" t="s">
        <v>1166</v>
      </c>
      <c r="F627" s="6" t="s">
        <v>2685</v>
      </c>
      <c r="G627" s="6"/>
      <c r="H627" s="6"/>
    </row>
    <row r="628" ht="22.15" customHeight="1" spans="1:8">
      <c r="A628" s="6">
        <v>625</v>
      </c>
      <c r="B628" s="6" t="s">
        <v>2686</v>
      </c>
      <c r="C628" s="6" t="s">
        <v>2687</v>
      </c>
      <c r="D628" s="6" t="s">
        <v>1556</v>
      </c>
      <c r="E628" s="6" t="s">
        <v>1557</v>
      </c>
      <c r="F628" s="6">
        <v>63042</v>
      </c>
      <c r="G628" s="6">
        <v>348480</v>
      </c>
      <c r="H628" s="6" t="s">
        <v>2009</v>
      </c>
    </row>
    <row r="629" ht="22.15" customHeight="1" spans="1:8">
      <c r="A629" s="6">
        <v>626</v>
      </c>
      <c r="B629" s="6" t="s">
        <v>2688</v>
      </c>
      <c r="C629" s="6" t="s">
        <v>2689</v>
      </c>
      <c r="D629" s="6" t="s">
        <v>2684</v>
      </c>
      <c r="E629" s="6" t="s">
        <v>1166</v>
      </c>
      <c r="F629" s="6">
        <v>62025</v>
      </c>
      <c r="G629" s="6"/>
      <c r="H629" s="6"/>
    </row>
    <row r="630" ht="22.15" customHeight="1" spans="1:8">
      <c r="A630" s="6">
        <v>627</v>
      </c>
      <c r="B630" s="6" t="s">
        <v>2690</v>
      </c>
      <c r="C630" s="6" t="s">
        <v>2689</v>
      </c>
      <c r="D630" s="6" t="s">
        <v>2684</v>
      </c>
      <c r="E630" s="6" t="s">
        <v>1166</v>
      </c>
      <c r="F630" s="6">
        <v>62025</v>
      </c>
      <c r="G630" s="6"/>
      <c r="H630" s="6"/>
    </row>
    <row r="631" ht="22.15" customHeight="1" spans="1:8">
      <c r="A631" s="6">
        <v>628</v>
      </c>
      <c r="B631" s="6" t="s">
        <v>2691</v>
      </c>
      <c r="C631" s="6" t="s">
        <v>2692</v>
      </c>
      <c r="D631" s="6" t="s">
        <v>2693</v>
      </c>
      <c r="E631" s="6" t="s">
        <v>1557</v>
      </c>
      <c r="F631" s="6" t="s">
        <v>2694</v>
      </c>
      <c r="G631" s="6"/>
      <c r="H631" s="6"/>
    </row>
    <row r="632" ht="22.15" customHeight="1" spans="1:8">
      <c r="A632" s="6">
        <v>629</v>
      </c>
      <c r="B632" s="6" t="s">
        <v>2695</v>
      </c>
      <c r="C632" s="6" t="s">
        <v>2696</v>
      </c>
      <c r="D632" s="6" t="s">
        <v>2697</v>
      </c>
      <c r="E632" s="6" t="s">
        <v>2698</v>
      </c>
      <c r="F632" s="6" t="s">
        <v>2699</v>
      </c>
      <c r="G632" s="6"/>
      <c r="H632" s="6"/>
    </row>
    <row r="633" ht="22.15" customHeight="1" spans="1:8">
      <c r="A633" s="6">
        <v>630</v>
      </c>
      <c r="B633" s="6" t="s">
        <v>2700</v>
      </c>
      <c r="C633" s="6" t="s">
        <v>2701</v>
      </c>
      <c r="D633" s="6" t="s">
        <v>2702</v>
      </c>
      <c r="E633" s="6" t="s">
        <v>1263</v>
      </c>
      <c r="F633" s="6" t="s">
        <v>2703</v>
      </c>
      <c r="G633" s="6"/>
      <c r="H633" s="6"/>
    </row>
    <row r="634" ht="22.15" customHeight="1" spans="1:8">
      <c r="A634" s="6">
        <v>631</v>
      </c>
      <c r="B634" s="6" t="s">
        <v>2704</v>
      </c>
      <c r="C634" s="6" t="s">
        <v>2705</v>
      </c>
      <c r="D634" s="6" t="s">
        <v>1237</v>
      </c>
      <c r="E634" s="6" t="s">
        <v>1238</v>
      </c>
      <c r="F634" s="6">
        <v>41048</v>
      </c>
      <c r="G634" s="6"/>
      <c r="H634" s="6"/>
    </row>
    <row r="635" ht="22.15" customHeight="1" spans="1:8">
      <c r="A635" s="6">
        <v>632</v>
      </c>
      <c r="B635" s="6" t="s">
        <v>2706</v>
      </c>
      <c r="C635" s="6" t="s">
        <v>2705</v>
      </c>
      <c r="D635" s="6" t="s">
        <v>1237</v>
      </c>
      <c r="E635" s="6" t="s">
        <v>1238</v>
      </c>
      <c r="F635" s="6">
        <v>41048</v>
      </c>
      <c r="G635" s="6"/>
      <c r="H635" s="6"/>
    </row>
    <row r="636" ht="22.15" customHeight="1" spans="1:8">
      <c r="A636" s="6">
        <v>633</v>
      </c>
      <c r="B636" s="6" t="s">
        <v>2707</v>
      </c>
      <c r="C636" s="6" t="s">
        <v>2708</v>
      </c>
      <c r="D636" s="6" t="s">
        <v>2326</v>
      </c>
      <c r="E636" s="6" t="s">
        <v>965</v>
      </c>
      <c r="F636" s="6">
        <v>43231</v>
      </c>
      <c r="G636" s="6"/>
      <c r="H636" s="6"/>
    </row>
    <row r="637" ht="22.15" customHeight="1" spans="1:8">
      <c r="A637" s="6">
        <v>634</v>
      </c>
      <c r="B637" s="6" t="s">
        <v>2709</v>
      </c>
      <c r="C637" s="6" t="s">
        <v>2710</v>
      </c>
      <c r="D637" s="6" t="s">
        <v>2711</v>
      </c>
      <c r="E637" s="6" t="s">
        <v>936</v>
      </c>
      <c r="F637" s="6">
        <v>91761</v>
      </c>
      <c r="G637" s="6"/>
      <c r="H637" s="6"/>
    </row>
    <row r="638" ht="22.15" customHeight="1" spans="1:8">
      <c r="A638" s="6">
        <v>635</v>
      </c>
      <c r="B638" s="6" t="s">
        <v>2712</v>
      </c>
      <c r="C638" s="6" t="s">
        <v>2713</v>
      </c>
      <c r="D638" s="6" t="s">
        <v>2714</v>
      </c>
      <c r="E638" s="6" t="s">
        <v>1263</v>
      </c>
      <c r="F638" s="6">
        <v>76028</v>
      </c>
      <c r="G638" s="6"/>
      <c r="H638" s="6"/>
    </row>
    <row r="639" ht="22.15" customHeight="1" spans="1:8">
      <c r="A639" s="6">
        <v>636</v>
      </c>
      <c r="B639" s="6" t="s">
        <v>2715</v>
      </c>
      <c r="C639" s="6" t="s">
        <v>2716</v>
      </c>
      <c r="D639" s="6" t="s">
        <v>2717</v>
      </c>
      <c r="E639" s="6" t="s">
        <v>961</v>
      </c>
      <c r="F639" s="6">
        <v>30107</v>
      </c>
      <c r="G639" s="6"/>
      <c r="H639" s="6"/>
    </row>
    <row r="640" ht="22.15" customHeight="1" spans="1:8">
      <c r="A640" s="6">
        <v>637</v>
      </c>
      <c r="B640" s="6" t="s">
        <v>2718</v>
      </c>
      <c r="C640" s="6" t="s">
        <v>2719</v>
      </c>
      <c r="D640" s="6" t="s">
        <v>1666</v>
      </c>
      <c r="E640" s="6" t="s">
        <v>923</v>
      </c>
      <c r="F640" s="6">
        <v>19114</v>
      </c>
      <c r="G640" s="6"/>
      <c r="H640" s="6"/>
    </row>
    <row r="641" ht="22.15" customHeight="1" spans="1:8">
      <c r="A641" s="6">
        <v>638</v>
      </c>
      <c r="B641" s="6" t="s">
        <v>2720</v>
      </c>
      <c r="C641" s="6" t="s">
        <v>2721</v>
      </c>
      <c r="D641" s="6" t="s">
        <v>2722</v>
      </c>
      <c r="E641" s="6" t="s">
        <v>936</v>
      </c>
      <c r="F641" s="6">
        <v>91789</v>
      </c>
      <c r="G641" s="6"/>
      <c r="H641" s="6"/>
    </row>
    <row r="642" ht="22.15" customHeight="1" spans="1:8">
      <c r="A642" s="6">
        <v>639</v>
      </c>
      <c r="B642" s="6" t="s">
        <v>2723</v>
      </c>
      <c r="C642" s="6" t="s">
        <v>2724</v>
      </c>
      <c r="D642" s="6" t="s">
        <v>2711</v>
      </c>
      <c r="E642" s="6" t="s">
        <v>936</v>
      </c>
      <c r="F642" s="6">
        <v>91764</v>
      </c>
      <c r="G642" s="6"/>
      <c r="H642" s="6"/>
    </row>
    <row r="643" ht="22.15" customHeight="1" spans="1:8">
      <c r="A643" s="6">
        <v>640</v>
      </c>
      <c r="B643" s="6" t="s">
        <v>2725</v>
      </c>
      <c r="C643" s="6" t="s">
        <v>2726</v>
      </c>
      <c r="D643" s="6" t="s">
        <v>1939</v>
      </c>
      <c r="E643" s="6" t="s">
        <v>1166</v>
      </c>
      <c r="F643" s="6">
        <v>60585</v>
      </c>
      <c r="G643" s="6"/>
      <c r="H643" s="6"/>
    </row>
    <row r="644" ht="22.15" customHeight="1" spans="1:8">
      <c r="A644" s="6">
        <v>641</v>
      </c>
      <c r="B644" s="6" t="s">
        <v>2727</v>
      </c>
      <c r="C644" s="6" t="s">
        <v>2728</v>
      </c>
      <c r="D644" s="6" t="s">
        <v>1154</v>
      </c>
      <c r="E644" s="6" t="s">
        <v>1155</v>
      </c>
      <c r="F644" s="6">
        <v>32824</v>
      </c>
      <c r="G644" s="6"/>
      <c r="H644" s="6"/>
    </row>
    <row r="645" ht="22.15" customHeight="1" spans="1:8">
      <c r="A645" s="6">
        <v>642</v>
      </c>
      <c r="B645" s="6" t="s">
        <v>2729</v>
      </c>
      <c r="C645" s="6" t="s">
        <v>2730</v>
      </c>
      <c r="D645" s="6" t="s">
        <v>1536</v>
      </c>
      <c r="E645" s="6" t="s">
        <v>936</v>
      </c>
      <c r="F645" s="6">
        <v>91311</v>
      </c>
      <c r="G645" s="6"/>
      <c r="H645" s="6"/>
    </row>
    <row r="646" ht="22.15" customHeight="1" spans="1:8">
      <c r="A646" s="6">
        <v>643</v>
      </c>
      <c r="B646" s="6" t="s">
        <v>2731</v>
      </c>
      <c r="C646" s="6" t="s">
        <v>2732</v>
      </c>
      <c r="D646" s="6" t="s">
        <v>2326</v>
      </c>
      <c r="E646" s="6" t="s">
        <v>965</v>
      </c>
      <c r="F646" s="6">
        <v>43231</v>
      </c>
      <c r="G646" s="6"/>
      <c r="H646" s="6"/>
    </row>
    <row r="647" ht="22.15" customHeight="1" spans="1:8">
      <c r="A647" s="6">
        <v>644</v>
      </c>
      <c r="B647" s="6" t="s">
        <v>2733</v>
      </c>
      <c r="C647" s="6" t="s">
        <v>2728</v>
      </c>
      <c r="D647" s="6" t="s">
        <v>1154</v>
      </c>
      <c r="E647" s="6" t="s">
        <v>1155</v>
      </c>
      <c r="F647" s="6">
        <v>32824</v>
      </c>
      <c r="G647" s="6"/>
      <c r="H647" s="6"/>
    </row>
    <row r="648" ht="22.15" customHeight="1" spans="1:8">
      <c r="A648" s="6">
        <v>645</v>
      </c>
      <c r="B648" s="6" t="s">
        <v>2734</v>
      </c>
      <c r="C648" s="6" t="s">
        <v>2728</v>
      </c>
      <c r="D648" s="6" t="s">
        <v>1154</v>
      </c>
      <c r="E648" s="6" t="s">
        <v>1155</v>
      </c>
      <c r="F648" s="6">
        <v>32824</v>
      </c>
      <c r="G648" s="6"/>
      <c r="H648" s="6"/>
    </row>
    <row r="649" ht="22.15" customHeight="1" spans="1:8">
      <c r="A649" s="6">
        <v>646</v>
      </c>
      <c r="B649" s="6" t="s">
        <v>2735</v>
      </c>
      <c r="C649" s="6" t="s">
        <v>2736</v>
      </c>
      <c r="D649" s="6" t="s">
        <v>2737</v>
      </c>
      <c r="E649" s="6" t="s">
        <v>961</v>
      </c>
      <c r="F649" s="6">
        <v>30606</v>
      </c>
      <c r="G649" s="6"/>
      <c r="H649" s="6"/>
    </row>
    <row r="650" ht="22.15" customHeight="1" spans="1:8">
      <c r="A650" s="6">
        <v>647</v>
      </c>
      <c r="B650" s="6" t="s">
        <v>2738</v>
      </c>
      <c r="C650" s="6" t="s">
        <v>2739</v>
      </c>
      <c r="D650" s="6" t="s">
        <v>2740</v>
      </c>
      <c r="E650" s="6" t="s">
        <v>1656</v>
      </c>
      <c r="F650" s="6">
        <v>97038</v>
      </c>
      <c r="G650" s="6"/>
      <c r="H650" s="6"/>
    </row>
    <row r="651" ht="22.15" customHeight="1" spans="1:8">
      <c r="A651" s="6">
        <v>648</v>
      </c>
      <c r="B651" s="6" t="s">
        <v>2741</v>
      </c>
      <c r="C651" s="6" t="s">
        <v>2742</v>
      </c>
      <c r="D651" s="6" t="s">
        <v>2743</v>
      </c>
      <c r="E651" s="6" t="s">
        <v>969</v>
      </c>
      <c r="F651" s="6">
        <v>11230</v>
      </c>
      <c r="G651" s="6"/>
      <c r="H651" s="6"/>
    </row>
    <row r="652" ht="22.15" customHeight="1" spans="1:8">
      <c r="A652" s="6">
        <v>649</v>
      </c>
      <c r="B652" s="6" t="s">
        <v>2744</v>
      </c>
      <c r="C652" s="6" t="s">
        <v>2745</v>
      </c>
      <c r="D652" s="6" t="s">
        <v>1686</v>
      </c>
      <c r="E652" s="6" t="s">
        <v>936</v>
      </c>
      <c r="F652" s="6">
        <v>92154</v>
      </c>
      <c r="G652" s="6"/>
      <c r="H652" s="6"/>
    </row>
    <row r="653" ht="22.15" customHeight="1" spans="1:8">
      <c r="A653" s="6">
        <v>650</v>
      </c>
      <c r="B653" s="6" t="s">
        <v>2746</v>
      </c>
      <c r="C653" s="6" t="s">
        <v>2747</v>
      </c>
      <c r="D653" s="6" t="s">
        <v>2021</v>
      </c>
      <c r="E653" s="6" t="s">
        <v>969</v>
      </c>
      <c r="F653" s="6">
        <v>10303</v>
      </c>
      <c r="G653" s="6"/>
      <c r="H653" s="6"/>
    </row>
    <row r="654" ht="22.15" customHeight="1" spans="1:8">
      <c r="A654" s="6">
        <v>651</v>
      </c>
      <c r="B654" s="6" t="s">
        <v>2748</v>
      </c>
      <c r="C654" s="6" t="s">
        <v>2749</v>
      </c>
      <c r="D654" s="6" t="s">
        <v>2750</v>
      </c>
      <c r="E654" s="6" t="s">
        <v>923</v>
      </c>
      <c r="F654" s="6">
        <v>17349</v>
      </c>
      <c r="G654" s="6"/>
      <c r="H654" s="6"/>
    </row>
    <row r="655" ht="22.15" customHeight="1" spans="1:8">
      <c r="A655" s="6">
        <v>652</v>
      </c>
      <c r="B655" s="6" t="s">
        <v>2751</v>
      </c>
      <c r="C655" s="6" t="s">
        <v>2752</v>
      </c>
      <c r="D655" s="6" t="s">
        <v>1474</v>
      </c>
      <c r="E655" s="6" t="s">
        <v>1263</v>
      </c>
      <c r="F655" s="6">
        <v>77494</v>
      </c>
      <c r="G655" s="6"/>
      <c r="H655" s="6"/>
    </row>
    <row r="656" ht="22.15" customHeight="1" spans="1:8">
      <c r="A656" s="6">
        <v>653</v>
      </c>
      <c r="B656" s="6" t="s">
        <v>2753</v>
      </c>
      <c r="C656" s="6" t="s">
        <v>2754</v>
      </c>
      <c r="D656" s="6" t="s">
        <v>2091</v>
      </c>
      <c r="E656" s="6" t="s">
        <v>1238</v>
      </c>
      <c r="F656" s="6">
        <v>40505</v>
      </c>
      <c r="G656" s="6"/>
      <c r="H656" s="6"/>
    </row>
    <row r="657" ht="22.15" customHeight="1" spans="1:8">
      <c r="A657" s="6">
        <v>654</v>
      </c>
      <c r="B657" s="6" t="s">
        <v>2755</v>
      </c>
      <c r="C657" s="6" t="s">
        <v>2756</v>
      </c>
      <c r="D657" s="6" t="s">
        <v>2757</v>
      </c>
      <c r="E657" s="6" t="s">
        <v>1155</v>
      </c>
      <c r="F657" s="6">
        <v>33411</v>
      </c>
      <c r="G657" s="6"/>
      <c r="H657" s="6"/>
    </row>
    <row r="658" ht="22.15" customHeight="1" spans="1:8">
      <c r="A658" s="6">
        <v>655</v>
      </c>
      <c r="B658" s="6" t="s">
        <v>2758</v>
      </c>
      <c r="C658" s="6" t="s">
        <v>2759</v>
      </c>
      <c r="D658" s="6" t="s">
        <v>2760</v>
      </c>
      <c r="E658" s="6" t="s">
        <v>1009</v>
      </c>
      <c r="F658" s="6">
        <v>85281</v>
      </c>
      <c r="G658" s="6"/>
      <c r="H658" s="6"/>
    </row>
    <row r="659" ht="22.15" customHeight="1" spans="1:8">
      <c r="A659" s="6">
        <v>656</v>
      </c>
      <c r="B659" s="6" t="s">
        <v>2761</v>
      </c>
      <c r="C659" s="6" t="s">
        <v>2762</v>
      </c>
      <c r="D659" s="6" t="s">
        <v>2763</v>
      </c>
      <c r="E659" s="6" t="s">
        <v>2641</v>
      </c>
      <c r="F659" s="6">
        <v>84087</v>
      </c>
      <c r="G659" s="6"/>
      <c r="H659" s="6"/>
    </row>
    <row r="660" ht="22.15" customHeight="1" spans="1:8">
      <c r="A660" s="6">
        <v>657</v>
      </c>
      <c r="B660" s="6" t="s">
        <v>2764</v>
      </c>
      <c r="C660" s="6" t="s">
        <v>2765</v>
      </c>
      <c r="D660" s="6" t="s">
        <v>2766</v>
      </c>
      <c r="E660" s="6" t="s">
        <v>1155</v>
      </c>
      <c r="F660" s="6">
        <v>33067</v>
      </c>
      <c r="G660" s="6"/>
      <c r="H660" s="6"/>
    </row>
    <row r="661" ht="22.15" customHeight="1" spans="1:8">
      <c r="A661" s="6">
        <v>658</v>
      </c>
      <c r="B661" s="6" t="s">
        <v>2767</v>
      </c>
      <c r="C661" s="6" t="s">
        <v>2768</v>
      </c>
      <c r="D661" s="6" t="s">
        <v>2757</v>
      </c>
      <c r="E661" s="6" t="s">
        <v>1155</v>
      </c>
      <c r="F661" s="6">
        <v>33411</v>
      </c>
      <c r="G661" s="6"/>
      <c r="H661" s="6"/>
    </row>
    <row r="662" ht="22.15" customHeight="1" spans="1:8">
      <c r="A662" s="6">
        <v>659</v>
      </c>
      <c r="B662" s="6" t="s">
        <v>2769</v>
      </c>
      <c r="C662" s="6" t="s">
        <v>2770</v>
      </c>
      <c r="D662" s="6" t="s">
        <v>2771</v>
      </c>
      <c r="E662" s="6" t="s">
        <v>936</v>
      </c>
      <c r="F662" s="6">
        <v>94606</v>
      </c>
      <c r="G662" s="6"/>
      <c r="H662" s="6"/>
    </row>
    <row r="663" ht="22.15" customHeight="1" spans="1:8">
      <c r="A663" s="6">
        <v>660</v>
      </c>
      <c r="B663" s="6" t="s">
        <v>2772</v>
      </c>
      <c r="C663" s="6" t="s">
        <v>2759</v>
      </c>
      <c r="D663" s="6" t="s">
        <v>2760</v>
      </c>
      <c r="E663" s="6" t="s">
        <v>1009</v>
      </c>
      <c r="F663" s="6">
        <v>85281</v>
      </c>
      <c r="G663" s="6"/>
      <c r="H663" s="6"/>
    </row>
    <row r="664" ht="22.15" customHeight="1" spans="1:8">
      <c r="A664" s="6">
        <v>661</v>
      </c>
      <c r="B664" s="6" t="s">
        <v>2773</v>
      </c>
      <c r="C664" s="6" t="s">
        <v>2774</v>
      </c>
      <c r="D664" s="6" t="s">
        <v>2107</v>
      </c>
      <c r="E664" s="6" t="s">
        <v>939</v>
      </c>
      <c r="F664" s="6">
        <v>8817</v>
      </c>
      <c r="G664" s="6"/>
      <c r="H664" s="6"/>
    </row>
    <row r="665" ht="22.15" customHeight="1" spans="1:8">
      <c r="A665" s="6">
        <v>662</v>
      </c>
      <c r="B665" s="6" t="s">
        <v>2775</v>
      </c>
      <c r="C665" s="6" t="s">
        <v>2776</v>
      </c>
      <c r="D665" s="6" t="s">
        <v>2643</v>
      </c>
      <c r="E665" s="6" t="s">
        <v>2641</v>
      </c>
      <c r="F665" s="6">
        <v>84088</v>
      </c>
      <c r="G665" s="6"/>
      <c r="H665" s="6"/>
    </row>
    <row r="666" ht="22.15" customHeight="1" spans="1:8">
      <c r="A666" s="6">
        <v>663</v>
      </c>
      <c r="B666" s="6" t="s">
        <v>2777</v>
      </c>
      <c r="C666" s="6" t="s">
        <v>2778</v>
      </c>
      <c r="D666" s="6" t="s">
        <v>938</v>
      </c>
      <c r="E666" s="6" t="s">
        <v>1238</v>
      </c>
      <c r="F666" s="6">
        <v>41042</v>
      </c>
      <c r="G666" s="6"/>
      <c r="H666" s="6"/>
    </row>
    <row r="667" ht="22.15" customHeight="1" spans="1:8">
      <c r="A667" s="6">
        <v>664</v>
      </c>
      <c r="B667" s="6" t="s">
        <v>2779</v>
      </c>
      <c r="C667" s="6" t="s">
        <v>2780</v>
      </c>
      <c r="D667" s="6" t="s">
        <v>938</v>
      </c>
      <c r="E667" s="6" t="s">
        <v>1238</v>
      </c>
      <c r="F667" s="6">
        <v>41042</v>
      </c>
      <c r="G667" s="6"/>
      <c r="H667" s="6"/>
    </row>
    <row r="668" ht="22.15" customHeight="1" spans="1:8">
      <c r="A668" s="6">
        <v>665</v>
      </c>
      <c r="B668" s="6" t="s">
        <v>2781</v>
      </c>
      <c r="C668" s="6" t="s">
        <v>2782</v>
      </c>
      <c r="D668" s="6" t="s">
        <v>2783</v>
      </c>
      <c r="E668" s="6" t="s">
        <v>1392</v>
      </c>
      <c r="F668" s="6">
        <v>80501</v>
      </c>
      <c r="G668" s="6"/>
      <c r="H668" s="6"/>
    </row>
    <row r="669" ht="22.15" customHeight="1" spans="1:8">
      <c r="A669" s="6">
        <v>666</v>
      </c>
      <c r="B669" s="6" t="s">
        <v>2784</v>
      </c>
      <c r="C669" s="6" t="s">
        <v>2785</v>
      </c>
      <c r="D669" s="6" t="s">
        <v>2015</v>
      </c>
      <c r="E669" s="6" t="s">
        <v>969</v>
      </c>
      <c r="F669" s="6">
        <v>10018</v>
      </c>
      <c r="G669" s="6"/>
      <c r="H669" s="6"/>
    </row>
    <row r="670" ht="22.15" customHeight="1" spans="1:8">
      <c r="A670" s="6">
        <v>667</v>
      </c>
      <c r="B670" s="6" t="s">
        <v>2786</v>
      </c>
      <c r="C670" s="6" t="s">
        <v>2787</v>
      </c>
      <c r="D670" s="6" t="s">
        <v>2788</v>
      </c>
      <c r="E670" s="6" t="s">
        <v>919</v>
      </c>
      <c r="F670" s="6">
        <v>99212</v>
      </c>
      <c r="G670" s="6"/>
      <c r="H670" s="6"/>
    </row>
    <row r="671" ht="22.15" customHeight="1" spans="1:8">
      <c r="A671" s="6">
        <v>668</v>
      </c>
      <c r="B671" s="6" t="s">
        <v>2789</v>
      </c>
      <c r="C671" s="6" t="s">
        <v>2790</v>
      </c>
      <c r="D671" s="6" t="s">
        <v>2107</v>
      </c>
      <c r="E671" s="6" t="s">
        <v>939</v>
      </c>
      <c r="F671" s="6">
        <v>8837</v>
      </c>
      <c r="G671" s="6"/>
      <c r="H671" s="6"/>
    </row>
    <row r="672" ht="22.15" customHeight="1" spans="1:8">
      <c r="A672" s="6">
        <v>669</v>
      </c>
      <c r="B672" s="6" t="s">
        <v>2791</v>
      </c>
      <c r="C672" s="6" t="s">
        <v>2792</v>
      </c>
      <c r="D672" s="6" t="s">
        <v>2793</v>
      </c>
      <c r="E672" s="6" t="s">
        <v>2794</v>
      </c>
      <c r="F672" s="6">
        <v>63366</v>
      </c>
      <c r="G672" s="6"/>
      <c r="H672" s="6"/>
    </row>
    <row r="673" ht="22.15" customHeight="1" spans="1:8">
      <c r="A673" s="6">
        <v>670</v>
      </c>
      <c r="B673" s="6" t="s">
        <v>2795</v>
      </c>
      <c r="C673" s="6" t="s">
        <v>2796</v>
      </c>
      <c r="D673" s="6" t="s">
        <v>2797</v>
      </c>
      <c r="E673" s="6" t="s">
        <v>1166</v>
      </c>
      <c r="F673" s="6">
        <v>60098</v>
      </c>
      <c r="G673" s="6"/>
      <c r="H673" s="6"/>
    </row>
    <row r="674" ht="22.15" customHeight="1" spans="1:8">
      <c r="A674" s="6">
        <v>671</v>
      </c>
      <c r="B674" s="6" t="s">
        <v>2798</v>
      </c>
      <c r="C674" s="6" t="s">
        <v>2799</v>
      </c>
      <c r="D674" s="6" t="s">
        <v>2800</v>
      </c>
      <c r="E674" s="6" t="s">
        <v>1166</v>
      </c>
      <c r="F674" s="6">
        <v>60131</v>
      </c>
      <c r="G674" s="6"/>
      <c r="H674" s="6"/>
    </row>
    <row r="675" ht="22.15" customHeight="1" spans="1:8">
      <c r="A675" s="6">
        <v>672</v>
      </c>
      <c r="B675" s="6" t="s">
        <v>2801</v>
      </c>
      <c r="C675" s="6" t="s">
        <v>2802</v>
      </c>
      <c r="D675" s="6" t="s">
        <v>2803</v>
      </c>
      <c r="E675" s="6" t="s">
        <v>936</v>
      </c>
      <c r="F675" s="6">
        <v>93291</v>
      </c>
      <c r="G675" s="6"/>
      <c r="H675" s="6"/>
    </row>
    <row r="676" ht="22.15" customHeight="1" spans="1:8">
      <c r="A676" s="6">
        <v>673</v>
      </c>
      <c r="B676" s="6" t="s">
        <v>2804</v>
      </c>
      <c r="C676" s="6" t="s">
        <v>2805</v>
      </c>
      <c r="D676" s="6" t="s">
        <v>2806</v>
      </c>
      <c r="E676" s="6" t="s">
        <v>936</v>
      </c>
      <c r="F676" s="6">
        <v>92821</v>
      </c>
      <c r="G676" s="6"/>
      <c r="H676" s="6"/>
    </row>
    <row r="677" ht="22.15" customHeight="1" spans="1:8">
      <c r="A677" s="6">
        <v>674</v>
      </c>
      <c r="B677" s="6" t="s">
        <v>2807</v>
      </c>
      <c r="C677" s="6" t="s">
        <v>2805</v>
      </c>
      <c r="D677" s="6" t="s">
        <v>2806</v>
      </c>
      <c r="E677" s="6" t="s">
        <v>936</v>
      </c>
      <c r="F677" s="6">
        <v>92821</v>
      </c>
      <c r="G677" s="6"/>
      <c r="H677" s="6"/>
    </row>
    <row r="678" ht="22.15" customHeight="1" spans="1:8">
      <c r="A678" s="6">
        <v>675</v>
      </c>
      <c r="B678" s="6" t="s">
        <v>2808</v>
      </c>
      <c r="C678" s="6" t="s">
        <v>2809</v>
      </c>
      <c r="D678" s="6" t="s">
        <v>2021</v>
      </c>
      <c r="E678" s="6" t="s">
        <v>969</v>
      </c>
      <c r="F678" s="6">
        <v>10308</v>
      </c>
      <c r="G678" s="6"/>
      <c r="H678" s="6"/>
    </row>
    <row r="679" ht="22.15" customHeight="1" spans="1:8">
      <c r="A679" s="6">
        <v>676</v>
      </c>
      <c r="B679" s="6" t="s">
        <v>2810</v>
      </c>
      <c r="C679" s="6" t="s">
        <v>2811</v>
      </c>
      <c r="D679" s="6" t="s">
        <v>2812</v>
      </c>
      <c r="E679" s="6" t="s">
        <v>1263</v>
      </c>
      <c r="F679" s="6">
        <v>76712</v>
      </c>
      <c r="G679" s="6"/>
      <c r="H679" s="6"/>
    </row>
    <row r="680" ht="22.15" customHeight="1" spans="1:8">
      <c r="A680" s="6">
        <v>677</v>
      </c>
      <c r="B680" s="6" t="s">
        <v>2813</v>
      </c>
      <c r="C680" s="6" t="s">
        <v>2814</v>
      </c>
      <c r="D680" s="6" t="s">
        <v>2743</v>
      </c>
      <c r="E680" s="6" t="s">
        <v>969</v>
      </c>
      <c r="F680" s="6" t="s">
        <v>2815</v>
      </c>
      <c r="G680" s="6"/>
      <c r="H680" s="6"/>
    </row>
    <row r="681" ht="22.15" customHeight="1" spans="1:8">
      <c r="A681" s="6">
        <v>678</v>
      </c>
      <c r="B681" s="6" t="s">
        <v>2816</v>
      </c>
      <c r="C681" s="6" t="s">
        <v>2817</v>
      </c>
      <c r="D681" s="6" t="s">
        <v>1165</v>
      </c>
      <c r="E681" s="6" t="s">
        <v>1166</v>
      </c>
      <c r="F681" s="6">
        <v>60660</v>
      </c>
      <c r="G681" s="6"/>
      <c r="H681" s="6"/>
    </row>
    <row r="682" ht="22.15" customHeight="1" spans="1:8">
      <c r="A682" s="6">
        <v>679</v>
      </c>
      <c r="B682" s="6" t="s">
        <v>2818</v>
      </c>
      <c r="C682" s="6" t="s">
        <v>2819</v>
      </c>
      <c r="D682" s="6" t="s">
        <v>2820</v>
      </c>
      <c r="E682" s="6" t="s">
        <v>961</v>
      </c>
      <c r="F682" s="6">
        <v>30005</v>
      </c>
      <c r="G682" s="6"/>
      <c r="H682" s="6"/>
    </row>
    <row r="683" ht="22.15" customHeight="1" spans="1:8">
      <c r="A683" s="6">
        <v>680</v>
      </c>
      <c r="B683" s="6" t="s">
        <v>2821</v>
      </c>
      <c r="C683" s="6" t="s">
        <v>2822</v>
      </c>
      <c r="D683" s="6" t="s">
        <v>2823</v>
      </c>
      <c r="E683" s="6" t="s">
        <v>2824</v>
      </c>
      <c r="F683" s="6">
        <v>68127</v>
      </c>
      <c r="G683" s="6"/>
      <c r="H683" s="6"/>
    </row>
    <row r="684" ht="22.15" customHeight="1" spans="1:8">
      <c r="A684" s="6">
        <v>681</v>
      </c>
      <c r="B684" s="6" t="s">
        <v>2825</v>
      </c>
      <c r="C684" s="6" t="s">
        <v>2826</v>
      </c>
      <c r="D684" s="6" t="s">
        <v>2827</v>
      </c>
      <c r="E684" s="6" t="s">
        <v>1063</v>
      </c>
      <c r="F684" s="6">
        <v>35210</v>
      </c>
      <c r="G684" s="6"/>
      <c r="H684" s="6"/>
    </row>
    <row r="685" ht="22.15" customHeight="1" spans="1:8">
      <c r="A685" s="6">
        <v>682</v>
      </c>
      <c r="B685" s="6" t="s">
        <v>2828</v>
      </c>
      <c r="C685" s="6" t="s">
        <v>2829</v>
      </c>
      <c r="D685" s="6" t="s">
        <v>2830</v>
      </c>
      <c r="E685" s="6" t="s">
        <v>2367</v>
      </c>
      <c r="F685" s="6">
        <v>19975</v>
      </c>
      <c r="G685" s="6"/>
      <c r="H685" s="6"/>
    </row>
    <row r="686" ht="22.15" customHeight="1" spans="1:8">
      <c r="A686" s="6">
        <v>683</v>
      </c>
      <c r="B686" s="6" t="s">
        <v>2831</v>
      </c>
      <c r="C686" s="6" t="s">
        <v>2832</v>
      </c>
      <c r="D686" s="6" t="s">
        <v>2827</v>
      </c>
      <c r="E686" s="6" t="s">
        <v>1063</v>
      </c>
      <c r="F686" s="6">
        <v>35210</v>
      </c>
      <c r="G686" s="6"/>
      <c r="H686" s="6"/>
    </row>
    <row r="687" ht="22.15" customHeight="1" spans="1:8">
      <c r="A687" s="6">
        <v>684</v>
      </c>
      <c r="B687" s="6" t="s">
        <v>2833</v>
      </c>
      <c r="C687" s="6" t="s">
        <v>2834</v>
      </c>
      <c r="D687" s="6" t="s">
        <v>2835</v>
      </c>
      <c r="E687" s="6" t="s">
        <v>939</v>
      </c>
      <c r="F687" s="6">
        <v>8854</v>
      </c>
      <c r="G687" s="6"/>
      <c r="H687" s="6"/>
    </row>
    <row r="688" ht="22.15" customHeight="1" spans="1:8">
      <c r="A688" s="6">
        <v>685</v>
      </c>
      <c r="B688" s="6" t="s">
        <v>2836</v>
      </c>
      <c r="C688" s="6" t="s">
        <v>2837</v>
      </c>
      <c r="D688" s="6" t="s">
        <v>2838</v>
      </c>
      <c r="E688" s="6" t="s">
        <v>1385</v>
      </c>
      <c r="F688" s="6">
        <v>48314</v>
      </c>
      <c r="G688" s="6"/>
      <c r="H688" s="6"/>
    </row>
    <row r="689" ht="22.15" customHeight="1" spans="1:8">
      <c r="A689" s="6">
        <v>686</v>
      </c>
      <c r="B689" s="6" t="s">
        <v>2839</v>
      </c>
      <c r="C689" s="6" t="s">
        <v>2840</v>
      </c>
      <c r="D689" s="6" t="s">
        <v>1408</v>
      </c>
      <c r="E689" s="6" t="s">
        <v>2824</v>
      </c>
      <c r="F689" s="6">
        <v>68818</v>
      </c>
      <c r="G689" s="6"/>
      <c r="H689" s="6"/>
    </row>
    <row r="690" ht="22.15" customHeight="1" spans="1:8">
      <c r="A690" s="6">
        <v>687</v>
      </c>
      <c r="B690" s="6" t="s">
        <v>2841</v>
      </c>
      <c r="C690" s="6" t="s">
        <v>2842</v>
      </c>
      <c r="D690" s="6" t="s">
        <v>2843</v>
      </c>
      <c r="E690" s="6" t="s">
        <v>1196</v>
      </c>
      <c r="F690" s="6">
        <v>27215</v>
      </c>
      <c r="G690" s="6"/>
      <c r="H690" s="6"/>
    </row>
    <row r="691" ht="22.15" customHeight="1" spans="1:8">
      <c r="A691" s="6">
        <v>688</v>
      </c>
      <c r="B691" s="6" t="s">
        <v>2844</v>
      </c>
      <c r="C691" s="6" t="s">
        <v>2845</v>
      </c>
      <c r="D691" s="6" t="s">
        <v>2846</v>
      </c>
      <c r="E691" s="6" t="s">
        <v>1096</v>
      </c>
      <c r="F691" s="6">
        <v>1276</v>
      </c>
      <c r="G691" s="6"/>
      <c r="H691" s="6"/>
    </row>
    <row r="692" ht="22.15" customHeight="1" spans="1:8">
      <c r="A692" s="6">
        <v>689</v>
      </c>
      <c r="B692" s="6" t="s">
        <v>2847</v>
      </c>
      <c r="C692" s="6" t="s">
        <v>2848</v>
      </c>
      <c r="D692" s="6" t="s">
        <v>2849</v>
      </c>
      <c r="E692" s="6" t="s">
        <v>965</v>
      </c>
      <c r="F692" s="6">
        <v>43537</v>
      </c>
      <c r="G692" s="6"/>
      <c r="H692" s="6"/>
    </row>
    <row r="693" ht="22.15" customHeight="1" spans="1:8">
      <c r="A693" s="6">
        <v>690</v>
      </c>
      <c r="B693" s="6" t="s">
        <v>2850</v>
      </c>
      <c r="C693" s="6" t="s">
        <v>2851</v>
      </c>
      <c r="D693" s="6" t="s">
        <v>2852</v>
      </c>
      <c r="E693" s="6" t="s">
        <v>969</v>
      </c>
      <c r="F693" s="6">
        <v>10918</v>
      </c>
      <c r="G693" s="6"/>
      <c r="H693" s="6"/>
    </row>
    <row r="694" ht="22.15" customHeight="1" spans="1:8">
      <c r="A694" s="6">
        <v>691</v>
      </c>
      <c r="B694" s="6" t="s">
        <v>2853</v>
      </c>
      <c r="C694" s="6" t="s">
        <v>2854</v>
      </c>
      <c r="D694" s="6" t="s">
        <v>2855</v>
      </c>
      <c r="E694" s="6" t="s">
        <v>1392</v>
      </c>
      <c r="F694" s="6">
        <v>80301</v>
      </c>
      <c r="G694" s="6"/>
      <c r="H694" s="6"/>
    </row>
    <row r="695" ht="22.15" customHeight="1" spans="1:8">
      <c r="A695" s="6">
        <v>692</v>
      </c>
      <c r="B695" s="6" t="s">
        <v>2856</v>
      </c>
      <c r="C695" s="6" t="s">
        <v>2829</v>
      </c>
      <c r="D695" s="6" t="s">
        <v>2830</v>
      </c>
      <c r="E695" s="6" t="s">
        <v>2367</v>
      </c>
      <c r="F695" s="6">
        <v>19975</v>
      </c>
      <c r="G695" s="6"/>
      <c r="H695" s="6"/>
    </row>
    <row r="696" ht="22.15" customHeight="1" spans="1:8">
      <c r="A696" s="6">
        <v>693</v>
      </c>
      <c r="B696" s="6" t="s">
        <v>2857</v>
      </c>
      <c r="C696" s="6" t="s">
        <v>2858</v>
      </c>
      <c r="D696" s="6" t="s">
        <v>2859</v>
      </c>
      <c r="E696" s="6" t="s">
        <v>1263</v>
      </c>
      <c r="F696" s="6">
        <v>75007</v>
      </c>
      <c r="G696" s="6"/>
      <c r="H696" s="6"/>
    </row>
    <row r="697" ht="22.15" customHeight="1" spans="1:8">
      <c r="A697" s="6">
        <v>694</v>
      </c>
      <c r="B697" s="6" t="s">
        <v>2860</v>
      </c>
      <c r="C697" s="6" t="s">
        <v>2861</v>
      </c>
      <c r="D697" s="6" t="s">
        <v>2862</v>
      </c>
      <c r="E697" s="6" t="s">
        <v>1629</v>
      </c>
      <c r="F697" s="6">
        <v>55449</v>
      </c>
      <c r="G697" s="6"/>
      <c r="H697" s="6"/>
    </row>
    <row r="698" ht="22.15" customHeight="1" spans="1:8">
      <c r="A698" s="6">
        <v>695</v>
      </c>
      <c r="B698" s="6" t="s">
        <v>2863</v>
      </c>
      <c r="C698" s="6" t="s">
        <v>2864</v>
      </c>
      <c r="D698" s="6" t="s">
        <v>2865</v>
      </c>
      <c r="E698" s="6" t="s">
        <v>936</v>
      </c>
      <c r="F698" s="6">
        <v>92833</v>
      </c>
      <c r="G698" s="6"/>
      <c r="H698" s="6"/>
    </row>
    <row r="699" ht="22.15" customHeight="1" spans="1:8">
      <c r="A699" s="6">
        <v>696</v>
      </c>
      <c r="B699" s="6" t="s">
        <v>2866</v>
      </c>
      <c r="C699" s="6" t="s">
        <v>2867</v>
      </c>
      <c r="D699" s="6" t="s">
        <v>2868</v>
      </c>
      <c r="E699" s="6" t="s">
        <v>2869</v>
      </c>
      <c r="F699" s="6">
        <v>1843</v>
      </c>
      <c r="G699" s="6"/>
      <c r="H699" s="6"/>
    </row>
    <row r="700" ht="22.15" customHeight="1" spans="1:8">
      <c r="A700" s="6">
        <v>697</v>
      </c>
      <c r="B700" s="6" t="s">
        <v>2870</v>
      </c>
      <c r="C700" s="6" t="s">
        <v>2871</v>
      </c>
      <c r="D700" s="6" t="s">
        <v>1613</v>
      </c>
      <c r="E700" s="6" t="s">
        <v>1155</v>
      </c>
      <c r="F700" s="6">
        <v>33127</v>
      </c>
      <c r="G700" s="6"/>
      <c r="H700" s="6"/>
    </row>
    <row r="701" ht="22.15" customHeight="1" spans="1:8">
      <c r="A701" s="6">
        <v>698</v>
      </c>
      <c r="B701" s="6" t="s">
        <v>2872</v>
      </c>
      <c r="C701" s="6" t="s">
        <v>2873</v>
      </c>
      <c r="D701" s="6" t="s">
        <v>2874</v>
      </c>
      <c r="E701" s="6" t="s">
        <v>936</v>
      </c>
      <c r="F701" s="6">
        <v>91765</v>
      </c>
      <c r="G701" s="6"/>
      <c r="H701" s="6"/>
    </row>
    <row r="702" ht="22.15" customHeight="1" spans="1:8">
      <c r="A702" s="6">
        <v>699</v>
      </c>
      <c r="B702" s="6" t="s">
        <v>2875</v>
      </c>
      <c r="C702" s="6" t="s">
        <v>2871</v>
      </c>
      <c r="D702" s="6" t="s">
        <v>1613</v>
      </c>
      <c r="E702" s="6" t="s">
        <v>1155</v>
      </c>
      <c r="F702" s="6">
        <v>33127</v>
      </c>
      <c r="G702" s="6"/>
      <c r="H702" s="6"/>
    </row>
    <row r="703" ht="22.15" customHeight="1" spans="1:8">
      <c r="A703" s="6">
        <v>700</v>
      </c>
      <c r="B703" s="6" t="s">
        <v>2876</v>
      </c>
      <c r="C703" s="6" t="s">
        <v>2877</v>
      </c>
      <c r="D703" s="6" t="s">
        <v>2878</v>
      </c>
      <c r="E703" s="6" t="s">
        <v>1017</v>
      </c>
      <c r="F703" s="6">
        <v>6409</v>
      </c>
      <c r="G703" s="6"/>
      <c r="H703" s="6"/>
    </row>
    <row r="704" ht="22.15" customHeight="1" spans="1:8">
      <c r="A704" s="6">
        <v>701</v>
      </c>
      <c r="B704" s="6" t="s">
        <v>2879</v>
      </c>
      <c r="C704" s="6" t="s">
        <v>2880</v>
      </c>
      <c r="D704" s="6" t="s">
        <v>2881</v>
      </c>
      <c r="E704" s="6" t="s">
        <v>965</v>
      </c>
      <c r="F704" s="6">
        <v>44691</v>
      </c>
      <c r="G704" s="6"/>
      <c r="H704" s="6"/>
    </row>
    <row r="705" ht="22.15" customHeight="1" spans="1:8">
      <c r="A705" s="6">
        <v>702</v>
      </c>
      <c r="B705" s="6" t="s">
        <v>2882</v>
      </c>
      <c r="C705" s="6" t="s">
        <v>2710</v>
      </c>
      <c r="D705" s="6" t="s">
        <v>2711</v>
      </c>
      <c r="E705" s="6" t="s">
        <v>936</v>
      </c>
      <c r="F705" s="6">
        <v>91761</v>
      </c>
      <c r="G705" s="6"/>
      <c r="H705" s="6"/>
    </row>
    <row r="706" ht="22.15" customHeight="1" spans="1:8">
      <c r="A706" s="6">
        <v>703</v>
      </c>
      <c r="B706" s="6" t="s">
        <v>2883</v>
      </c>
      <c r="C706" s="6" t="s">
        <v>2884</v>
      </c>
      <c r="D706" s="6" t="s">
        <v>2885</v>
      </c>
      <c r="E706" s="6" t="s">
        <v>919</v>
      </c>
      <c r="F706" s="6">
        <v>98248</v>
      </c>
      <c r="G706" s="6"/>
      <c r="H706" s="6"/>
    </row>
    <row r="707" ht="22.15" customHeight="1" spans="1:8">
      <c r="A707" s="6">
        <v>704</v>
      </c>
      <c r="B707" s="6" t="s">
        <v>2886</v>
      </c>
      <c r="C707" s="6" t="s">
        <v>2887</v>
      </c>
      <c r="D707" s="6" t="s">
        <v>2888</v>
      </c>
      <c r="E707" s="6" t="s">
        <v>1130</v>
      </c>
      <c r="F707" s="6">
        <v>23453</v>
      </c>
      <c r="G707" s="6"/>
      <c r="H707" s="6"/>
    </row>
    <row r="708" ht="22.15" customHeight="1" spans="1:8">
      <c r="A708" s="6">
        <v>705</v>
      </c>
      <c r="B708" s="6" t="s">
        <v>2889</v>
      </c>
      <c r="C708" s="6" t="s">
        <v>2890</v>
      </c>
      <c r="D708" s="6" t="s">
        <v>2891</v>
      </c>
      <c r="E708" s="6" t="s">
        <v>1618</v>
      </c>
      <c r="F708" s="6">
        <v>54703</v>
      </c>
      <c r="G708" s="6"/>
      <c r="H708" s="6"/>
    </row>
    <row r="709" ht="22.15" customHeight="1" spans="1:8">
      <c r="A709" s="6">
        <v>706</v>
      </c>
      <c r="B709" s="6" t="s">
        <v>2892</v>
      </c>
      <c r="C709" s="6" t="s">
        <v>2893</v>
      </c>
      <c r="D709" s="6" t="s">
        <v>2894</v>
      </c>
      <c r="E709" s="6" t="s">
        <v>961</v>
      </c>
      <c r="F709" s="6">
        <v>30286</v>
      </c>
      <c r="G709" s="6"/>
      <c r="H709" s="6"/>
    </row>
    <row r="710" ht="22.15" customHeight="1" spans="1:8">
      <c r="A710" s="6">
        <v>707</v>
      </c>
      <c r="B710" s="6" t="s">
        <v>2895</v>
      </c>
      <c r="C710" s="6" t="s">
        <v>2896</v>
      </c>
      <c r="D710" s="6" t="s">
        <v>2091</v>
      </c>
      <c r="E710" s="6" t="s">
        <v>1145</v>
      </c>
      <c r="F710" s="6">
        <v>29072</v>
      </c>
      <c r="G710" s="6"/>
      <c r="H710" s="6"/>
    </row>
    <row r="711" ht="22.15" customHeight="1" spans="1:8">
      <c r="A711" s="6">
        <v>708</v>
      </c>
      <c r="B711" s="6" t="s">
        <v>2897</v>
      </c>
      <c r="C711" s="6" t="s">
        <v>2762</v>
      </c>
      <c r="D711" s="6" t="s">
        <v>2763</v>
      </c>
      <c r="E711" s="6" t="s">
        <v>2641</v>
      </c>
      <c r="F711" s="6">
        <v>84087</v>
      </c>
      <c r="G711" s="6"/>
      <c r="H711" s="6"/>
    </row>
    <row r="712" ht="22.15" customHeight="1" spans="1:8">
      <c r="A712" s="6">
        <v>709</v>
      </c>
      <c r="B712" s="6" t="s">
        <v>2898</v>
      </c>
      <c r="C712" s="6" t="s">
        <v>2899</v>
      </c>
      <c r="D712" s="6" t="s">
        <v>2419</v>
      </c>
      <c r="E712" s="6" t="s">
        <v>923</v>
      </c>
      <c r="F712" s="6">
        <v>15222</v>
      </c>
      <c r="G712" s="6"/>
      <c r="H712" s="6"/>
    </row>
    <row r="713" ht="22.15" customHeight="1" spans="1:8">
      <c r="A713" s="6">
        <v>710</v>
      </c>
      <c r="B713" s="6" t="s">
        <v>2900</v>
      </c>
      <c r="C713" s="6" t="s">
        <v>2901</v>
      </c>
      <c r="D713" s="6" t="s">
        <v>2902</v>
      </c>
      <c r="E713" s="6" t="s">
        <v>939</v>
      </c>
      <c r="F713" s="6">
        <v>8902</v>
      </c>
      <c r="G713" s="6"/>
      <c r="H713" s="6"/>
    </row>
    <row r="714" ht="22.15" customHeight="1" spans="1:8">
      <c r="A714" s="6">
        <v>711</v>
      </c>
      <c r="B714" s="6" t="s">
        <v>2903</v>
      </c>
      <c r="C714" s="6" t="s">
        <v>2904</v>
      </c>
      <c r="D714" s="6" t="s">
        <v>2905</v>
      </c>
      <c r="E714" s="6" t="s">
        <v>919</v>
      </c>
      <c r="F714" s="6">
        <v>98424</v>
      </c>
      <c r="G714" s="6"/>
      <c r="H714" s="6"/>
    </row>
    <row r="715" ht="22.15" customHeight="1" spans="1:8">
      <c r="A715" s="6">
        <v>712</v>
      </c>
      <c r="B715" s="6" t="s">
        <v>2906</v>
      </c>
      <c r="C715" s="6" t="s">
        <v>2907</v>
      </c>
      <c r="D715" s="6" t="s">
        <v>2908</v>
      </c>
      <c r="E715" s="6" t="s">
        <v>961</v>
      </c>
      <c r="F715" s="6">
        <v>31415</v>
      </c>
      <c r="G715" s="6"/>
      <c r="H715" s="6"/>
    </row>
    <row r="716" ht="22.15" customHeight="1" spans="1:8">
      <c r="A716" s="6">
        <v>713</v>
      </c>
      <c r="B716" s="6" t="s">
        <v>2909</v>
      </c>
      <c r="C716" s="6" t="s">
        <v>2910</v>
      </c>
      <c r="D716" s="6" t="s">
        <v>2911</v>
      </c>
      <c r="E716" s="6" t="s">
        <v>936</v>
      </c>
      <c r="F716" s="6">
        <v>90745</v>
      </c>
      <c r="G716" s="6"/>
      <c r="H716" s="6"/>
    </row>
    <row r="717" ht="22.15" customHeight="1" spans="1:8">
      <c r="A717" s="6">
        <v>714</v>
      </c>
      <c r="B717" s="6" t="s">
        <v>2912</v>
      </c>
      <c r="C717" s="6" t="s">
        <v>2913</v>
      </c>
      <c r="D717" s="6" t="s">
        <v>2914</v>
      </c>
      <c r="E717" s="6" t="s">
        <v>1126</v>
      </c>
      <c r="F717" s="6" t="s">
        <v>2915</v>
      </c>
      <c r="G717" s="6"/>
      <c r="H717" s="6"/>
    </row>
    <row r="718" ht="22.15" customHeight="1" spans="1:8">
      <c r="A718" s="6">
        <v>715</v>
      </c>
      <c r="B718" s="6" t="s">
        <v>2916</v>
      </c>
      <c r="C718" s="6" t="s">
        <v>2917</v>
      </c>
      <c r="D718" s="6" t="s">
        <v>2918</v>
      </c>
      <c r="E718" s="6" t="s">
        <v>1155</v>
      </c>
      <c r="F718" s="6" t="s">
        <v>2919</v>
      </c>
      <c r="G718" s="6"/>
      <c r="H718" s="6"/>
    </row>
    <row r="719" ht="22.15" customHeight="1" spans="1:8">
      <c r="A719" s="6">
        <v>716</v>
      </c>
      <c r="B719" s="6" t="s">
        <v>2920</v>
      </c>
      <c r="C719" s="6" t="s">
        <v>2921</v>
      </c>
      <c r="D719" s="6" t="s">
        <v>2922</v>
      </c>
      <c r="E719" s="6" t="s">
        <v>939</v>
      </c>
      <c r="F719" s="6" t="s">
        <v>2923</v>
      </c>
      <c r="G719" s="6"/>
      <c r="H719" s="6"/>
    </row>
    <row r="720" ht="22.15" customHeight="1" spans="1:8">
      <c r="A720" s="6">
        <v>717</v>
      </c>
      <c r="B720" s="6" t="s">
        <v>2924</v>
      </c>
      <c r="C720" s="6" t="s">
        <v>2925</v>
      </c>
      <c r="D720" s="6" t="s">
        <v>1477</v>
      </c>
      <c r="E720" s="6" t="s">
        <v>1263</v>
      </c>
      <c r="F720" s="6">
        <v>77041</v>
      </c>
      <c r="G720" s="6"/>
      <c r="H720" s="6"/>
    </row>
    <row r="721" ht="22.15" customHeight="1" spans="1:8">
      <c r="A721" s="6">
        <v>718</v>
      </c>
      <c r="B721" s="6" t="s">
        <v>2926</v>
      </c>
      <c r="C721" s="6" t="s">
        <v>2927</v>
      </c>
      <c r="D721" s="6" t="s">
        <v>2928</v>
      </c>
      <c r="E721" s="6" t="s">
        <v>969</v>
      </c>
      <c r="F721" s="6">
        <v>10952</v>
      </c>
      <c r="G721" s="6"/>
      <c r="H721" s="6"/>
    </row>
    <row r="722" ht="22.15" customHeight="1" spans="1:8">
      <c r="A722" s="6">
        <v>719</v>
      </c>
      <c r="B722" s="6" t="s">
        <v>2929</v>
      </c>
      <c r="C722" s="6" t="s">
        <v>2930</v>
      </c>
      <c r="D722" s="6" t="s">
        <v>2931</v>
      </c>
      <c r="E722" s="6" t="s">
        <v>2641</v>
      </c>
      <c r="F722" s="6">
        <v>84043</v>
      </c>
      <c r="G722" s="6"/>
      <c r="H722" s="6"/>
    </row>
    <row r="723" ht="22.15" customHeight="1" spans="1:8">
      <c r="A723" s="6">
        <v>720</v>
      </c>
      <c r="B723" s="6" t="s">
        <v>2932</v>
      </c>
      <c r="C723" s="6" t="s">
        <v>2933</v>
      </c>
      <c r="D723" s="6" t="s">
        <v>1498</v>
      </c>
      <c r="E723" s="6" t="s">
        <v>1499</v>
      </c>
      <c r="F723" s="6">
        <v>46803</v>
      </c>
      <c r="G723" s="6"/>
      <c r="H723" s="6"/>
    </row>
    <row r="724" ht="22.15" customHeight="1" spans="1:8">
      <c r="A724" s="6">
        <v>721</v>
      </c>
      <c r="B724" s="6" t="s">
        <v>2934</v>
      </c>
      <c r="C724" s="6" t="s">
        <v>2935</v>
      </c>
      <c r="D724" s="6" t="s">
        <v>2936</v>
      </c>
      <c r="E724" s="6" t="s">
        <v>936</v>
      </c>
      <c r="F724" s="6">
        <v>91746</v>
      </c>
      <c r="G724" s="6"/>
      <c r="H724" s="6"/>
    </row>
    <row r="725" ht="22.15" customHeight="1" spans="1:8">
      <c r="A725" s="6">
        <v>722</v>
      </c>
      <c r="B725" s="6" t="s">
        <v>2937</v>
      </c>
      <c r="C725" s="6" t="s">
        <v>2938</v>
      </c>
      <c r="D725" s="6" t="s">
        <v>1838</v>
      </c>
      <c r="E725" s="6" t="s">
        <v>961</v>
      </c>
      <c r="F725" s="6">
        <v>30336</v>
      </c>
      <c r="G725" s="6"/>
      <c r="H725" s="6"/>
    </row>
    <row r="726" ht="22.15" customHeight="1" spans="1:8">
      <c r="A726" s="6">
        <v>723</v>
      </c>
      <c r="B726" s="6" t="s">
        <v>2939</v>
      </c>
      <c r="C726" s="6" t="s">
        <v>2940</v>
      </c>
      <c r="D726" s="6" t="s">
        <v>2941</v>
      </c>
      <c r="E726" s="6" t="s">
        <v>939</v>
      </c>
      <c r="F726" s="6">
        <v>7747</v>
      </c>
      <c r="G726" s="6"/>
      <c r="H726" s="6"/>
    </row>
    <row r="727" ht="22.15" customHeight="1" spans="1:8">
      <c r="A727" s="6">
        <v>724</v>
      </c>
      <c r="B727" s="6" t="s">
        <v>2942</v>
      </c>
      <c r="C727" s="6" t="s">
        <v>2943</v>
      </c>
      <c r="D727" s="6" t="s">
        <v>2944</v>
      </c>
      <c r="E727" s="6" t="s">
        <v>1166</v>
      </c>
      <c r="F727" s="6">
        <v>61701</v>
      </c>
      <c r="G727" s="6"/>
      <c r="H727" s="6"/>
    </row>
    <row r="728" ht="22.15" customHeight="1" spans="1:8">
      <c r="A728" s="6">
        <v>725</v>
      </c>
      <c r="B728" s="6" t="s">
        <v>2945</v>
      </c>
      <c r="C728" s="6" t="s">
        <v>2946</v>
      </c>
      <c r="D728" s="6" t="s">
        <v>2947</v>
      </c>
      <c r="E728" s="6" t="s">
        <v>936</v>
      </c>
      <c r="F728" s="6">
        <v>92647</v>
      </c>
      <c r="G728" s="6"/>
      <c r="H728" s="6"/>
    </row>
    <row r="729" ht="22.15" customHeight="1" spans="1:8">
      <c r="A729" s="6">
        <v>726</v>
      </c>
      <c r="B729" s="6" t="s">
        <v>2948</v>
      </c>
      <c r="C729" s="6" t="s">
        <v>2949</v>
      </c>
      <c r="D729" s="6" t="s">
        <v>2480</v>
      </c>
      <c r="E729" s="6" t="s">
        <v>969</v>
      </c>
      <c r="F729" s="6">
        <v>10918</v>
      </c>
      <c r="G729" s="6"/>
      <c r="H729" s="6"/>
    </row>
    <row r="730" ht="22.15" customHeight="1" spans="1:8">
      <c r="A730" s="6">
        <v>727</v>
      </c>
      <c r="B730" s="6" t="s">
        <v>2950</v>
      </c>
      <c r="C730" s="6" t="s">
        <v>2951</v>
      </c>
      <c r="D730" s="6" t="s">
        <v>2110</v>
      </c>
      <c r="E730" s="6" t="s">
        <v>936</v>
      </c>
      <c r="F730" s="6">
        <v>90808</v>
      </c>
      <c r="G730" s="6"/>
      <c r="H730" s="6"/>
    </row>
    <row r="731" ht="22.15" customHeight="1" spans="1:8">
      <c r="A731" s="6">
        <v>728</v>
      </c>
      <c r="B731" s="6" t="s">
        <v>2952</v>
      </c>
      <c r="C731" s="6" t="s">
        <v>2953</v>
      </c>
      <c r="D731" s="6" t="s">
        <v>2954</v>
      </c>
      <c r="E731" s="6" t="s">
        <v>923</v>
      </c>
      <c r="F731" s="6">
        <v>17544</v>
      </c>
      <c r="G731" s="6"/>
      <c r="H731" s="6"/>
    </row>
    <row r="732" ht="22.15" customHeight="1" spans="1:8">
      <c r="A732" s="6">
        <v>729</v>
      </c>
      <c r="B732" s="6" t="s">
        <v>2955</v>
      </c>
      <c r="C732" s="6" t="s">
        <v>2956</v>
      </c>
      <c r="D732" s="6" t="s">
        <v>2957</v>
      </c>
      <c r="E732" s="6" t="s">
        <v>1656</v>
      </c>
      <c r="F732" s="6">
        <v>97005</v>
      </c>
      <c r="G732" s="6"/>
      <c r="H732" s="6"/>
    </row>
    <row r="733" ht="22.15" customHeight="1" spans="1:8">
      <c r="A733" s="6">
        <v>730</v>
      </c>
      <c r="B733" s="6" t="s">
        <v>2958</v>
      </c>
      <c r="C733" s="6" t="s">
        <v>2953</v>
      </c>
      <c r="D733" s="6" t="s">
        <v>2954</v>
      </c>
      <c r="E733" s="6" t="s">
        <v>923</v>
      </c>
      <c r="F733" s="6">
        <v>17544</v>
      </c>
      <c r="G733" s="6"/>
      <c r="H733" s="6"/>
    </row>
    <row r="734" ht="22.15" customHeight="1" spans="1:8">
      <c r="A734" s="6">
        <v>731</v>
      </c>
      <c r="B734" s="6" t="s">
        <v>2959</v>
      </c>
      <c r="C734" s="6" t="s">
        <v>2960</v>
      </c>
      <c r="D734" s="6" t="s">
        <v>2961</v>
      </c>
      <c r="E734" s="6" t="s">
        <v>1656</v>
      </c>
      <c r="F734" s="6">
        <v>97005</v>
      </c>
      <c r="G734" s="6"/>
      <c r="H734" s="6"/>
    </row>
    <row r="735" ht="22.15" customHeight="1" spans="1:8">
      <c r="A735" s="6">
        <v>732</v>
      </c>
      <c r="B735" s="6" t="s">
        <v>2962</v>
      </c>
      <c r="C735" s="6" t="s">
        <v>2963</v>
      </c>
      <c r="D735" s="6" t="s">
        <v>2928</v>
      </c>
      <c r="E735" s="6" t="s">
        <v>969</v>
      </c>
      <c r="F735" s="6">
        <v>10952</v>
      </c>
      <c r="G735" s="6"/>
      <c r="H735" s="6"/>
    </row>
    <row r="736" ht="22.15" customHeight="1" spans="1:8">
      <c r="A736" s="6">
        <v>733</v>
      </c>
      <c r="B736" s="6" t="s">
        <v>2964</v>
      </c>
      <c r="C736" s="6" t="s">
        <v>2899</v>
      </c>
      <c r="D736" s="6" t="s">
        <v>2419</v>
      </c>
      <c r="E736" s="6" t="s">
        <v>923</v>
      </c>
      <c r="F736" s="6">
        <v>15222</v>
      </c>
      <c r="G736" s="6"/>
      <c r="H736" s="6"/>
    </row>
    <row r="737" ht="22.15" customHeight="1" spans="1:8">
      <c r="A737" s="6">
        <v>734</v>
      </c>
      <c r="B737" s="6" t="s">
        <v>2965</v>
      </c>
      <c r="C737" s="6" t="s">
        <v>2966</v>
      </c>
      <c r="D737" s="6" t="s">
        <v>2967</v>
      </c>
      <c r="E737" s="6" t="s">
        <v>1263</v>
      </c>
      <c r="F737" s="6">
        <v>77571</v>
      </c>
      <c r="G737" s="6"/>
      <c r="H737" s="6"/>
    </row>
    <row r="738" ht="22.15" customHeight="1" spans="1:8">
      <c r="A738" s="6">
        <v>735</v>
      </c>
      <c r="B738" s="6" t="s">
        <v>2968</v>
      </c>
      <c r="C738" s="6" t="s">
        <v>2969</v>
      </c>
      <c r="D738" s="6" t="s">
        <v>2970</v>
      </c>
      <c r="E738" s="6" t="s">
        <v>1618</v>
      </c>
      <c r="F738" s="6">
        <v>54571</v>
      </c>
      <c r="G738" s="6"/>
      <c r="H738" s="6"/>
    </row>
    <row r="739" ht="22.15" customHeight="1" spans="1:8">
      <c r="A739" s="6">
        <v>736</v>
      </c>
      <c r="B739" s="6" t="s">
        <v>2971</v>
      </c>
      <c r="C739" s="6" t="s">
        <v>2969</v>
      </c>
      <c r="D739" s="6" t="s">
        <v>2970</v>
      </c>
      <c r="E739" s="6" t="s">
        <v>1618</v>
      </c>
      <c r="F739" s="6">
        <v>54751</v>
      </c>
      <c r="G739" s="6"/>
      <c r="H739" s="6"/>
    </row>
    <row r="740" ht="22.15" customHeight="1" spans="1:8">
      <c r="A740" s="6">
        <v>737</v>
      </c>
      <c r="B740" s="6" t="s">
        <v>2972</v>
      </c>
      <c r="C740" s="6" t="s">
        <v>2973</v>
      </c>
      <c r="D740" s="6" t="s">
        <v>2974</v>
      </c>
      <c r="E740" s="6" t="s">
        <v>965</v>
      </c>
      <c r="F740" s="6">
        <v>43526</v>
      </c>
      <c r="G740" s="6"/>
      <c r="H740" s="6"/>
    </row>
    <row r="741" ht="22.15" customHeight="1" spans="1:8">
      <c r="A741" s="6">
        <v>738</v>
      </c>
      <c r="B741" s="6" t="s">
        <v>2975</v>
      </c>
      <c r="C741" s="6" t="s">
        <v>2976</v>
      </c>
      <c r="D741" s="6" t="s">
        <v>1502</v>
      </c>
      <c r="E741" s="6" t="s">
        <v>1155</v>
      </c>
      <c r="F741" s="6">
        <v>32256</v>
      </c>
      <c r="G741" s="6"/>
      <c r="H741" s="6"/>
    </row>
    <row r="742" ht="22.15" customHeight="1" spans="1:8">
      <c r="A742" s="6">
        <v>739</v>
      </c>
      <c r="B742" s="6" t="s">
        <v>2977</v>
      </c>
      <c r="C742" s="6" t="s">
        <v>2978</v>
      </c>
      <c r="D742" s="6" t="s">
        <v>2979</v>
      </c>
      <c r="E742" s="6" t="s">
        <v>936</v>
      </c>
      <c r="F742" s="6">
        <v>91304</v>
      </c>
      <c r="G742" s="6"/>
      <c r="H742" s="6"/>
    </row>
    <row r="743" ht="22.15" customHeight="1" spans="1:8">
      <c r="A743" s="6">
        <v>740</v>
      </c>
      <c r="B743" s="6" t="s">
        <v>2980</v>
      </c>
      <c r="C743" s="6" t="s">
        <v>2981</v>
      </c>
      <c r="D743" s="6" t="s">
        <v>2982</v>
      </c>
      <c r="E743" s="6" t="s">
        <v>1166</v>
      </c>
      <c r="F743" s="6">
        <v>60174</v>
      </c>
      <c r="G743" s="6"/>
      <c r="H743" s="6"/>
    </row>
    <row r="744" ht="22.15" customHeight="1" spans="1:8">
      <c r="A744" s="6">
        <v>741</v>
      </c>
      <c r="B744" s="6" t="s">
        <v>2983</v>
      </c>
      <c r="C744" s="6" t="s">
        <v>2984</v>
      </c>
      <c r="D744" s="6" t="s">
        <v>2985</v>
      </c>
      <c r="E744" s="6" t="s">
        <v>939</v>
      </c>
      <c r="F744" s="6">
        <v>7047</v>
      </c>
      <c r="G744" s="6"/>
      <c r="H744" s="6"/>
    </row>
    <row r="745" ht="22.15" customHeight="1" spans="1:8">
      <c r="A745" s="6">
        <v>742</v>
      </c>
      <c r="B745" s="6" t="s">
        <v>2986</v>
      </c>
      <c r="C745" s="6" t="s">
        <v>2987</v>
      </c>
      <c r="D745" s="6" t="s">
        <v>2865</v>
      </c>
      <c r="E745" s="6" t="s">
        <v>936</v>
      </c>
      <c r="F745" s="6">
        <v>92833</v>
      </c>
      <c r="G745" s="6"/>
      <c r="H745" s="6"/>
    </row>
    <row r="746" ht="22.15" customHeight="1" spans="1:8">
      <c r="A746" s="6">
        <v>743</v>
      </c>
      <c r="B746" s="6" t="s">
        <v>2988</v>
      </c>
      <c r="C746" s="6" t="s">
        <v>2989</v>
      </c>
      <c r="D746" s="6" t="s">
        <v>2990</v>
      </c>
      <c r="E746" s="6" t="s">
        <v>969</v>
      </c>
      <c r="F746" s="6">
        <v>11101</v>
      </c>
      <c r="G746" s="6"/>
      <c r="H746" s="6"/>
    </row>
    <row r="747" ht="22.15" customHeight="1" spans="1:8">
      <c r="A747" s="6">
        <v>744</v>
      </c>
      <c r="B747" s="6" t="s">
        <v>2991</v>
      </c>
      <c r="C747" s="6" t="s">
        <v>2992</v>
      </c>
      <c r="D747" s="6" t="s">
        <v>1536</v>
      </c>
      <c r="E747" s="6" t="s">
        <v>936</v>
      </c>
      <c r="F747" s="6">
        <v>91311</v>
      </c>
      <c r="G747" s="6"/>
      <c r="H747" s="6"/>
    </row>
    <row r="748" ht="22.15" customHeight="1" spans="1:8">
      <c r="A748" s="6">
        <v>745</v>
      </c>
      <c r="B748" s="6" t="s">
        <v>2993</v>
      </c>
      <c r="C748" s="6" t="s">
        <v>2805</v>
      </c>
      <c r="D748" s="6" t="s">
        <v>2806</v>
      </c>
      <c r="E748" s="6" t="s">
        <v>936</v>
      </c>
      <c r="F748" s="6">
        <v>92821</v>
      </c>
      <c r="G748" s="6"/>
      <c r="H748" s="6"/>
    </row>
    <row r="749" ht="22.15" customHeight="1" spans="1:8">
      <c r="A749" s="6">
        <v>746</v>
      </c>
      <c r="B749" s="6" t="s">
        <v>2994</v>
      </c>
      <c r="C749" s="6" t="s">
        <v>2995</v>
      </c>
      <c r="D749" s="6" t="s">
        <v>1790</v>
      </c>
      <c r="E749" s="6" t="s">
        <v>939</v>
      </c>
      <c r="F749" s="6">
        <v>7001</v>
      </c>
      <c r="G749" s="6"/>
      <c r="H749" s="6"/>
    </row>
    <row r="750" ht="22.15" customHeight="1" spans="1:8">
      <c r="A750" s="6">
        <v>747</v>
      </c>
      <c r="B750" s="6" t="s">
        <v>2996</v>
      </c>
      <c r="C750" s="6" t="s">
        <v>2984</v>
      </c>
      <c r="D750" s="6" t="s">
        <v>2985</v>
      </c>
      <c r="E750" s="6" t="s">
        <v>939</v>
      </c>
      <c r="F750" s="6">
        <v>7047</v>
      </c>
      <c r="G750" s="6"/>
      <c r="H750" s="6"/>
    </row>
    <row r="751" ht="22.15" customHeight="1" spans="1:8">
      <c r="A751" s="6">
        <v>748</v>
      </c>
      <c r="B751" s="6" t="s">
        <v>2997</v>
      </c>
      <c r="C751" s="6" t="s">
        <v>2998</v>
      </c>
      <c r="D751" s="6" t="s">
        <v>2366</v>
      </c>
      <c r="E751" s="6" t="s">
        <v>2367</v>
      </c>
      <c r="F751" s="6">
        <v>19720</v>
      </c>
      <c r="G751" s="6"/>
      <c r="H751" s="6"/>
    </row>
    <row r="752" ht="22.15" customHeight="1" spans="1:8">
      <c r="A752" s="6">
        <v>749</v>
      </c>
      <c r="B752" s="6" t="s">
        <v>2999</v>
      </c>
      <c r="C752" s="6" t="s">
        <v>2998</v>
      </c>
      <c r="D752" s="6" t="s">
        <v>2366</v>
      </c>
      <c r="E752" s="6" t="s">
        <v>2367</v>
      </c>
      <c r="F752" s="6">
        <v>19720</v>
      </c>
      <c r="G752" s="6"/>
      <c r="H752" s="6"/>
    </row>
    <row r="753" ht="22.15" customHeight="1" spans="1:8">
      <c r="A753" s="6">
        <v>750</v>
      </c>
      <c r="B753" s="6" t="s">
        <v>3000</v>
      </c>
      <c r="C753" s="6" t="s">
        <v>3001</v>
      </c>
      <c r="D753" s="6" t="s">
        <v>3002</v>
      </c>
      <c r="E753" s="6" t="s">
        <v>1009</v>
      </c>
      <c r="F753" s="6">
        <v>85258</v>
      </c>
      <c r="G753" s="6"/>
      <c r="H753" s="6"/>
    </row>
    <row r="754" ht="22.15" customHeight="1" spans="1:8">
      <c r="A754" s="6">
        <v>751</v>
      </c>
      <c r="B754" s="6" t="s">
        <v>3003</v>
      </c>
      <c r="C754" s="6" t="s">
        <v>3004</v>
      </c>
      <c r="D754" s="6" t="s">
        <v>2583</v>
      </c>
      <c r="E754" s="6" t="s">
        <v>1238</v>
      </c>
      <c r="F754" s="6">
        <v>40258</v>
      </c>
      <c r="G754" s="6"/>
      <c r="H754" s="6"/>
    </row>
    <row r="755" ht="22.15" customHeight="1" spans="1:8">
      <c r="A755" s="6">
        <v>752</v>
      </c>
      <c r="B755" s="6" t="s">
        <v>3005</v>
      </c>
      <c r="C755" s="6" t="s">
        <v>3006</v>
      </c>
      <c r="D755" s="6" t="s">
        <v>3007</v>
      </c>
      <c r="E755" s="6" t="s">
        <v>1263</v>
      </c>
      <c r="F755" s="6">
        <v>76234</v>
      </c>
      <c r="G755" s="6"/>
      <c r="H755" s="6"/>
    </row>
    <row r="756" ht="22.15" customHeight="1" spans="1:8">
      <c r="A756" s="6">
        <v>753</v>
      </c>
      <c r="B756" s="6" t="s">
        <v>3008</v>
      </c>
      <c r="C756" s="6" t="s">
        <v>3009</v>
      </c>
      <c r="D756" s="6" t="s">
        <v>3010</v>
      </c>
      <c r="E756" s="6" t="s">
        <v>1166</v>
      </c>
      <c r="F756" s="6">
        <v>60090</v>
      </c>
      <c r="G756" s="6"/>
      <c r="H756" s="6"/>
    </row>
    <row r="757" ht="22.15" customHeight="1" spans="1:8">
      <c r="A757" s="6">
        <v>754</v>
      </c>
      <c r="B757" s="6" t="s">
        <v>3011</v>
      </c>
      <c r="C757" s="6" t="s">
        <v>3012</v>
      </c>
      <c r="D757" s="6" t="s">
        <v>3013</v>
      </c>
      <c r="E757" s="6" t="s">
        <v>1196</v>
      </c>
      <c r="F757" s="6">
        <v>28117</v>
      </c>
      <c r="G757" s="6"/>
      <c r="H757" s="6"/>
    </row>
    <row r="758" ht="22.15" customHeight="1" spans="1:8">
      <c r="A758" s="6">
        <v>755</v>
      </c>
      <c r="B758" s="6" t="s">
        <v>3014</v>
      </c>
      <c r="C758" s="6" t="s">
        <v>2946</v>
      </c>
      <c r="D758" s="6" t="s">
        <v>2947</v>
      </c>
      <c r="E758" s="6" t="s">
        <v>936</v>
      </c>
      <c r="F758" s="6">
        <v>92647</v>
      </c>
      <c r="G758" s="6"/>
      <c r="H758" s="6"/>
    </row>
    <row r="759" ht="22.15" customHeight="1" spans="1:8">
      <c r="A759" s="6">
        <v>756</v>
      </c>
      <c r="B759" s="6" t="s">
        <v>3015</v>
      </c>
      <c r="C759" s="6" t="s">
        <v>3016</v>
      </c>
      <c r="D759" s="6" t="s">
        <v>3017</v>
      </c>
      <c r="E759" s="6" t="s">
        <v>1385</v>
      </c>
      <c r="F759" s="6">
        <v>48442</v>
      </c>
      <c r="G759" s="6"/>
      <c r="H759" s="6"/>
    </row>
    <row r="760" ht="22.15" customHeight="1" spans="1:8">
      <c r="A760" s="6">
        <v>757</v>
      </c>
      <c r="B760" s="6" t="s">
        <v>3018</v>
      </c>
      <c r="C760" s="6" t="s">
        <v>3019</v>
      </c>
      <c r="D760" s="6" t="s">
        <v>2643</v>
      </c>
      <c r="E760" s="6" t="s">
        <v>2641</v>
      </c>
      <c r="F760" s="6">
        <v>84088</v>
      </c>
      <c r="G760" s="6"/>
      <c r="H760" s="6"/>
    </row>
    <row r="761" ht="22.15" customHeight="1" spans="1:8">
      <c r="A761" s="6">
        <v>758</v>
      </c>
      <c r="B761" s="6" t="s">
        <v>3020</v>
      </c>
      <c r="C761" s="6" t="s">
        <v>3021</v>
      </c>
      <c r="D761" s="6" t="s">
        <v>3022</v>
      </c>
      <c r="E761" s="6" t="s">
        <v>1096</v>
      </c>
      <c r="F761" s="6">
        <v>2032</v>
      </c>
      <c r="G761" s="6"/>
      <c r="H761" s="6"/>
    </row>
    <row r="762" ht="22.15" customHeight="1" spans="1:8">
      <c r="A762" s="6">
        <v>759</v>
      </c>
      <c r="B762" s="6" t="s">
        <v>3023</v>
      </c>
      <c r="C762" s="6" t="s">
        <v>3021</v>
      </c>
      <c r="D762" s="6" t="s">
        <v>3022</v>
      </c>
      <c r="E762" s="6" t="s">
        <v>1096</v>
      </c>
      <c r="F762" s="6">
        <v>2032</v>
      </c>
      <c r="G762" s="6"/>
      <c r="H762" s="6"/>
    </row>
    <row r="763" ht="22.15" customHeight="1" spans="1:8">
      <c r="A763" s="6">
        <v>760</v>
      </c>
      <c r="B763" s="6" t="s">
        <v>3024</v>
      </c>
      <c r="C763" s="6" t="s">
        <v>3025</v>
      </c>
      <c r="D763" s="6" t="s">
        <v>3026</v>
      </c>
      <c r="E763" s="6" t="s">
        <v>1385</v>
      </c>
      <c r="F763" s="6">
        <v>49512</v>
      </c>
      <c r="G763" s="6"/>
      <c r="H763" s="6"/>
    </row>
    <row r="764" ht="22.15" customHeight="1" spans="1:8">
      <c r="A764" s="6">
        <v>761</v>
      </c>
      <c r="B764" s="6" t="s">
        <v>3027</v>
      </c>
      <c r="C764" s="6" t="s">
        <v>3028</v>
      </c>
      <c r="D764" s="6" t="s">
        <v>2944</v>
      </c>
      <c r="E764" s="6" t="s">
        <v>1629</v>
      </c>
      <c r="F764" s="6">
        <v>55420</v>
      </c>
      <c r="G764" s="6"/>
      <c r="H764" s="6"/>
    </row>
    <row r="765" ht="22.15" customHeight="1" spans="1:8">
      <c r="A765" s="6">
        <v>762</v>
      </c>
      <c r="B765" s="6" t="s">
        <v>3029</v>
      </c>
      <c r="C765" s="6" t="s">
        <v>3030</v>
      </c>
      <c r="D765" s="6" t="s">
        <v>2835</v>
      </c>
      <c r="E765" s="6" t="s">
        <v>939</v>
      </c>
      <c r="F765" s="6">
        <v>8854</v>
      </c>
      <c r="G765" s="6"/>
      <c r="H765" s="6"/>
    </row>
    <row r="766" ht="22.15" customHeight="1" spans="1:8">
      <c r="A766" s="6">
        <v>763</v>
      </c>
      <c r="B766" s="6" t="s">
        <v>3031</v>
      </c>
      <c r="C766" s="6" t="s">
        <v>3032</v>
      </c>
      <c r="D766" s="6" t="s">
        <v>918</v>
      </c>
      <c r="E766" s="6" t="s">
        <v>919</v>
      </c>
      <c r="F766" s="6">
        <v>98109</v>
      </c>
      <c r="G766" s="6"/>
      <c r="H766" s="6"/>
    </row>
    <row r="767" ht="22.15" customHeight="1" spans="1:8">
      <c r="A767" s="6">
        <v>764</v>
      </c>
      <c r="B767" s="6" t="s">
        <v>3033</v>
      </c>
      <c r="C767" s="6" t="s">
        <v>3032</v>
      </c>
      <c r="D767" s="6" t="s">
        <v>918</v>
      </c>
      <c r="E767" s="6" t="s">
        <v>919</v>
      </c>
      <c r="F767" s="6">
        <v>98109</v>
      </c>
      <c r="G767" s="6"/>
      <c r="H767" s="6"/>
    </row>
    <row r="768" ht="22.15" customHeight="1" spans="1:8">
      <c r="A768" s="6">
        <v>765</v>
      </c>
      <c r="B768" s="6" t="s">
        <v>3034</v>
      </c>
      <c r="C768" s="6" t="s">
        <v>3032</v>
      </c>
      <c r="D768" s="6" t="s">
        <v>918</v>
      </c>
      <c r="E768" s="6" t="s">
        <v>919</v>
      </c>
      <c r="F768" s="6">
        <v>98109</v>
      </c>
      <c r="G768" s="6"/>
      <c r="H768" s="6"/>
    </row>
    <row r="769" ht="22.15" customHeight="1" spans="1:8">
      <c r="A769" s="6">
        <v>766</v>
      </c>
      <c r="B769" s="6" t="s">
        <v>3035</v>
      </c>
      <c r="C769" s="6" t="s">
        <v>3032</v>
      </c>
      <c r="D769" s="6" t="s">
        <v>918</v>
      </c>
      <c r="E769" s="6" t="s">
        <v>919</v>
      </c>
      <c r="F769" s="6">
        <v>98109</v>
      </c>
      <c r="G769" s="6"/>
      <c r="H769" s="6"/>
    </row>
    <row r="770" ht="22.15" customHeight="1" spans="1:8">
      <c r="A770" s="6">
        <v>767</v>
      </c>
      <c r="B770" s="6" t="s">
        <v>3036</v>
      </c>
      <c r="C770" s="6" t="s">
        <v>3032</v>
      </c>
      <c r="D770" s="6" t="s">
        <v>918</v>
      </c>
      <c r="E770" s="6" t="s">
        <v>919</v>
      </c>
      <c r="F770" s="6">
        <v>98109</v>
      </c>
      <c r="G770" s="6"/>
      <c r="H770" s="6"/>
    </row>
    <row r="771" ht="22.15" customHeight="1" spans="1:8">
      <c r="A771" s="6">
        <v>768</v>
      </c>
      <c r="B771" s="6" t="s">
        <v>3037</v>
      </c>
      <c r="C771" s="6"/>
      <c r="D771" s="6" t="s">
        <v>3038</v>
      </c>
      <c r="E771" s="6" t="s">
        <v>1155</v>
      </c>
      <c r="F771" s="6">
        <v>33315</v>
      </c>
      <c r="G771" s="6"/>
      <c r="H771" s="6"/>
    </row>
    <row r="772" ht="22.15" customHeight="1" spans="1:8">
      <c r="A772" s="6">
        <v>769</v>
      </c>
      <c r="B772" s="6" t="s">
        <v>3039</v>
      </c>
      <c r="C772" s="6" t="s">
        <v>3040</v>
      </c>
      <c r="D772" s="6" t="s">
        <v>1763</v>
      </c>
      <c r="E772" s="6" t="s">
        <v>919</v>
      </c>
      <c r="F772" s="6" t="s">
        <v>3041</v>
      </c>
      <c r="G772" s="6"/>
      <c r="H772" s="6"/>
    </row>
    <row r="773" ht="22.15" customHeight="1" spans="1:8">
      <c r="A773" s="6">
        <v>770</v>
      </c>
      <c r="B773" s="6" t="s">
        <v>3042</v>
      </c>
      <c r="C773" s="6" t="s">
        <v>3043</v>
      </c>
      <c r="D773" s="6" t="s">
        <v>1424</v>
      </c>
      <c r="E773" s="6" t="s">
        <v>919</v>
      </c>
      <c r="F773" s="6">
        <v>98118</v>
      </c>
      <c r="G773" s="6"/>
      <c r="H773" s="6"/>
    </row>
    <row r="774" ht="22.15" customHeight="1" spans="1:8">
      <c r="A774" s="6">
        <v>771</v>
      </c>
      <c r="B774" s="6" t="s">
        <v>3044</v>
      </c>
      <c r="C774" s="6"/>
      <c r="D774" s="6" t="s">
        <v>3045</v>
      </c>
      <c r="E774" s="6" t="s">
        <v>939</v>
      </c>
      <c r="F774" s="6">
        <v>7866</v>
      </c>
      <c r="G774" s="6"/>
      <c r="H774" s="6"/>
    </row>
    <row r="775" ht="22.15" customHeight="1" spans="1:8">
      <c r="A775" s="6">
        <v>772</v>
      </c>
      <c r="B775" s="6" t="s">
        <v>3046</v>
      </c>
      <c r="C775" s="6"/>
      <c r="D775" s="6" t="s">
        <v>3047</v>
      </c>
      <c r="E775" s="6" t="s">
        <v>969</v>
      </c>
      <c r="F775" s="6">
        <v>11726</v>
      </c>
      <c r="G775" s="6"/>
      <c r="H775" s="6"/>
    </row>
    <row r="776" ht="22.15" customHeight="1" spans="1:8">
      <c r="A776" s="6">
        <v>773</v>
      </c>
      <c r="B776" s="6" t="s">
        <v>3048</v>
      </c>
      <c r="C776" s="6" t="s">
        <v>3049</v>
      </c>
      <c r="D776" s="6" t="s">
        <v>3050</v>
      </c>
      <c r="E776" s="6" t="s">
        <v>1263</v>
      </c>
      <c r="F776" s="6">
        <v>77802</v>
      </c>
      <c r="G776" s="6"/>
      <c r="H776" s="6"/>
    </row>
    <row r="777" ht="22.15" customHeight="1" spans="1:8">
      <c r="A777" s="6">
        <v>774</v>
      </c>
      <c r="B777" s="6" t="s">
        <v>3051</v>
      </c>
      <c r="C777" s="6" t="s">
        <v>3052</v>
      </c>
      <c r="D777" s="6" t="s">
        <v>1008</v>
      </c>
      <c r="E777" s="6" t="s">
        <v>1009</v>
      </c>
      <c r="F777" s="6">
        <v>85034</v>
      </c>
      <c r="G777" s="6"/>
      <c r="H777" s="6"/>
    </row>
    <row r="778" ht="22.15" customHeight="1" spans="1:8">
      <c r="A778" s="6">
        <v>775</v>
      </c>
      <c r="B778" s="6" t="s">
        <v>3053</v>
      </c>
      <c r="C778" s="6" t="s">
        <v>1881</v>
      </c>
      <c r="D778" s="6" t="s">
        <v>2177</v>
      </c>
      <c r="E778" s="6" t="s">
        <v>1166</v>
      </c>
      <c r="F778" s="6">
        <v>60642</v>
      </c>
      <c r="G778" s="6">
        <v>51970</v>
      </c>
      <c r="H778" s="6" t="s">
        <v>3054</v>
      </c>
    </row>
    <row r="779" ht="22.15" customHeight="1" spans="1:8">
      <c r="A779" s="6">
        <v>776</v>
      </c>
      <c r="B779" s="6" t="s">
        <v>3055</v>
      </c>
      <c r="C779" s="6" t="s">
        <v>3056</v>
      </c>
      <c r="D779" s="6" t="s">
        <v>2170</v>
      </c>
      <c r="E779" s="6" t="s">
        <v>1166</v>
      </c>
      <c r="F779" s="6">
        <v>40433</v>
      </c>
      <c r="G779" s="6">
        <v>475104</v>
      </c>
      <c r="H779" s="6" t="s">
        <v>3054</v>
      </c>
    </row>
    <row r="780" ht="22.15" customHeight="1" spans="1:8">
      <c r="A780" s="6">
        <v>777</v>
      </c>
      <c r="B780" s="6" t="s">
        <v>3057</v>
      </c>
      <c r="C780" s="6" t="s">
        <v>3058</v>
      </c>
      <c r="D780" s="6" t="s">
        <v>1796</v>
      </c>
      <c r="E780" s="6" t="s">
        <v>939</v>
      </c>
      <c r="F780" s="6">
        <v>8085</v>
      </c>
      <c r="G780" s="6">
        <v>1064515</v>
      </c>
      <c r="H780" s="6" t="s">
        <v>3059</v>
      </c>
    </row>
    <row r="781" ht="22.15" customHeight="1" spans="1:8">
      <c r="A781" s="6">
        <v>778</v>
      </c>
      <c r="B781" s="6" t="s">
        <v>3060</v>
      </c>
      <c r="C781" s="6" t="s">
        <v>3061</v>
      </c>
      <c r="D781" s="6" t="s">
        <v>1816</v>
      </c>
      <c r="E781" s="6" t="s">
        <v>1263</v>
      </c>
      <c r="F781" s="6">
        <v>75241</v>
      </c>
      <c r="G781" s="6">
        <v>500000</v>
      </c>
      <c r="H781" s="6" t="s">
        <v>3062</v>
      </c>
    </row>
    <row r="782" ht="22.15" customHeight="1" spans="1:8">
      <c r="A782" s="6">
        <v>779</v>
      </c>
      <c r="B782" s="6" t="s">
        <v>3063</v>
      </c>
      <c r="C782" s="6" t="s">
        <v>2189</v>
      </c>
      <c r="D782" s="6" t="s">
        <v>1165</v>
      </c>
      <c r="E782" s="6" t="s">
        <v>1166</v>
      </c>
      <c r="F782" s="6">
        <v>60608</v>
      </c>
      <c r="G782" s="6">
        <v>150000</v>
      </c>
      <c r="H782" s="6" t="s">
        <v>3064</v>
      </c>
    </row>
    <row r="783" ht="22.15" customHeight="1" spans="1:8">
      <c r="A783" s="6">
        <v>780</v>
      </c>
      <c r="B783" s="6" t="s">
        <v>3065</v>
      </c>
      <c r="C783" s="6" t="s">
        <v>3066</v>
      </c>
      <c r="D783" s="6" t="s">
        <v>1208</v>
      </c>
      <c r="E783" s="6" t="s">
        <v>965</v>
      </c>
      <c r="F783" s="6">
        <v>43062</v>
      </c>
      <c r="G783" s="6">
        <v>800000</v>
      </c>
      <c r="H783" s="6" t="s">
        <v>3067</v>
      </c>
    </row>
    <row r="784" ht="22.15" customHeight="1" spans="1:8">
      <c r="A784" s="6">
        <v>781</v>
      </c>
      <c r="B784" s="6" t="s">
        <v>3068</v>
      </c>
      <c r="C784" s="6" t="s">
        <v>3069</v>
      </c>
      <c r="D784" s="6" t="s">
        <v>2082</v>
      </c>
      <c r="E784" s="6" t="s">
        <v>965</v>
      </c>
      <c r="F784" s="6">
        <v>43207</v>
      </c>
      <c r="G784" s="6">
        <v>1000000</v>
      </c>
      <c r="H784" s="6"/>
    </row>
    <row r="785" ht="22.15" customHeight="1" spans="1:8">
      <c r="A785" s="6">
        <v>782</v>
      </c>
      <c r="B785" s="6" t="s">
        <v>3070</v>
      </c>
      <c r="C785" s="6" t="s">
        <v>3071</v>
      </c>
      <c r="D785" s="6" t="s">
        <v>2507</v>
      </c>
      <c r="E785" s="6" t="s">
        <v>1263</v>
      </c>
      <c r="F785" s="6">
        <v>78666</v>
      </c>
      <c r="G785" s="6">
        <v>85000</v>
      </c>
      <c r="H785" s="6" t="s">
        <v>3072</v>
      </c>
    </row>
    <row r="786" ht="22.15" customHeight="1" spans="1:8">
      <c r="A786" s="6">
        <v>783</v>
      </c>
      <c r="B786" s="6" t="s">
        <v>3073</v>
      </c>
      <c r="C786" s="6" t="s">
        <v>1427</v>
      </c>
      <c r="D786" s="6" t="s">
        <v>1428</v>
      </c>
      <c r="E786" s="6" t="s">
        <v>939</v>
      </c>
      <c r="F786" s="6">
        <v>7074</v>
      </c>
      <c r="G786" s="6">
        <v>75000</v>
      </c>
      <c r="H786" s="6" t="s">
        <v>3074</v>
      </c>
    </row>
    <row r="787" ht="22.15" customHeight="1" spans="1:8">
      <c r="A787" s="6">
        <v>784</v>
      </c>
      <c r="B787" s="6" t="s">
        <v>3075</v>
      </c>
      <c r="C787" s="6" t="s">
        <v>3076</v>
      </c>
      <c r="D787" s="6" t="s">
        <v>2631</v>
      </c>
      <c r="E787" s="6" t="s">
        <v>936</v>
      </c>
      <c r="F787" s="6">
        <v>94005</v>
      </c>
      <c r="G787" s="6"/>
      <c r="H787" s="6"/>
    </row>
    <row r="788" ht="22.15" customHeight="1" spans="1:8">
      <c r="A788" s="6">
        <v>785</v>
      </c>
      <c r="B788" s="6" t="s">
        <v>3077</v>
      </c>
      <c r="C788" s="6" t="s">
        <v>3078</v>
      </c>
      <c r="D788" s="6" t="s">
        <v>2473</v>
      </c>
      <c r="E788" s="6" t="s">
        <v>936</v>
      </c>
      <c r="F788" s="6">
        <v>94107</v>
      </c>
      <c r="G788" s="6"/>
      <c r="H788" s="6"/>
    </row>
    <row r="789" ht="22.15" customHeight="1" spans="1:8">
      <c r="A789" s="6">
        <v>786</v>
      </c>
      <c r="B789" s="6" t="s">
        <v>3079</v>
      </c>
      <c r="C789" s="6" t="s">
        <v>3080</v>
      </c>
      <c r="D789" s="6" t="s">
        <v>3081</v>
      </c>
      <c r="E789" s="6" t="s">
        <v>936</v>
      </c>
      <c r="F789" s="6">
        <v>90278</v>
      </c>
      <c r="G789" s="6"/>
      <c r="H789" s="6"/>
    </row>
    <row r="790" ht="22.15" customHeight="1" spans="1:8">
      <c r="A790" s="6">
        <v>787</v>
      </c>
      <c r="B790" s="6" t="s">
        <v>3082</v>
      </c>
      <c r="C790" s="6" t="s">
        <v>3083</v>
      </c>
      <c r="D790" s="6" t="s">
        <v>1964</v>
      </c>
      <c r="E790" s="6" t="s">
        <v>936</v>
      </c>
      <c r="F790" s="6">
        <v>92614</v>
      </c>
      <c r="G790" s="6"/>
      <c r="H790" s="6"/>
    </row>
    <row r="791" ht="22.15" customHeight="1" spans="1:8">
      <c r="A791" s="6">
        <v>788</v>
      </c>
      <c r="B791" s="6" t="s">
        <v>3084</v>
      </c>
      <c r="C791" s="6" t="s">
        <v>1861</v>
      </c>
      <c r="D791" s="6" t="s">
        <v>1122</v>
      </c>
      <c r="E791" s="6" t="s">
        <v>936</v>
      </c>
      <c r="F791" s="6">
        <v>90065</v>
      </c>
      <c r="G791" s="6"/>
      <c r="H791" s="6"/>
    </row>
    <row r="792" ht="22.15" customHeight="1" spans="1:8">
      <c r="A792" s="6">
        <v>789</v>
      </c>
      <c r="B792" s="6" t="s">
        <v>3085</v>
      </c>
      <c r="C792" s="6" t="s">
        <v>1864</v>
      </c>
      <c r="D792" s="6" t="s">
        <v>1686</v>
      </c>
      <c r="E792" s="6" t="s">
        <v>936</v>
      </c>
      <c r="F792" s="6">
        <v>92110</v>
      </c>
      <c r="G792" s="6"/>
      <c r="H792" s="6"/>
    </row>
    <row r="793" ht="22.15" customHeight="1" spans="1:8">
      <c r="A793" s="6">
        <v>790</v>
      </c>
      <c r="B793" s="6" t="s">
        <v>3086</v>
      </c>
      <c r="C793" s="6" t="s">
        <v>3087</v>
      </c>
      <c r="D793" s="6" t="s">
        <v>3088</v>
      </c>
      <c r="E793" s="6" t="s">
        <v>936</v>
      </c>
      <c r="F793" s="6">
        <v>94085</v>
      </c>
      <c r="G793" s="6"/>
      <c r="H793" s="6"/>
    </row>
    <row r="794" ht="22.15" customHeight="1" spans="1:8">
      <c r="A794" s="6">
        <v>791</v>
      </c>
      <c r="B794" s="6" t="s">
        <v>3089</v>
      </c>
      <c r="C794" s="6" t="s">
        <v>3090</v>
      </c>
      <c r="D794" s="6" t="s">
        <v>2660</v>
      </c>
      <c r="E794" s="6" t="s">
        <v>936</v>
      </c>
      <c r="F794" s="6">
        <v>95826</v>
      </c>
      <c r="G794" s="6"/>
      <c r="H794" s="6"/>
    </row>
    <row r="795" ht="22.15" customHeight="1" spans="1:8">
      <c r="A795" s="6">
        <v>792</v>
      </c>
      <c r="B795" s="6" t="s">
        <v>3091</v>
      </c>
      <c r="C795" s="6" t="s">
        <v>3092</v>
      </c>
      <c r="D795" s="6" t="s">
        <v>1416</v>
      </c>
      <c r="E795" s="6" t="s">
        <v>1392</v>
      </c>
      <c r="F795" s="6">
        <v>80216</v>
      </c>
      <c r="G795" s="6"/>
      <c r="H795" s="6"/>
    </row>
    <row r="796" ht="22.15" customHeight="1" spans="1:8">
      <c r="A796" s="6">
        <v>793</v>
      </c>
      <c r="B796" s="6" t="s">
        <v>3093</v>
      </c>
      <c r="C796" s="6" t="s">
        <v>3094</v>
      </c>
      <c r="D796" s="6" t="s">
        <v>3095</v>
      </c>
      <c r="E796" s="6" t="s">
        <v>936</v>
      </c>
      <c r="F796" s="6">
        <v>95377</v>
      </c>
      <c r="G796" s="6"/>
      <c r="H796" s="6"/>
    </row>
    <row r="797" ht="22.15" customHeight="1" spans="1:8">
      <c r="A797" s="6">
        <v>794</v>
      </c>
      <c r="B797" s="6" t="s">
        <v>541</v>
      </c>
      <c r="C797" s="6" t="s">
        <v>3096</v>
      </c>
      <c r="D797" s="6" t="s">
        <v>3097</v>
      </c>
      <c r="E797" s="6" t="s">
        <v>939</v>
      </c>
      <c r="F797" s="6">
        <v>8085</v>
      </c>
      <c r="G797" s="6"/>
      <c r="H797" s="6"/>
    </row>
    <row r="798" ht="22.15" customHeight="1" spans="1:8">
      <c r="A798" s="6">
        <v>795</v>
      </c>
      <c r="B798" s="6" t="s">
        <v>478</v>
      </c>
      <c r="C798" s="6" t="s">
        <v>3098</v>
      </c>
      <c r="D798" s="6" t="s">
        <v>3099</v>
      </c>
      <c r="E798" s="6" t="s">
        <v>939</v>
      </c>
      <c r="F798" s="6">
        <v>8512</v>
      </c>
      <c r="G798" s="6"/>
      <c r="H798" s="6"/>
    </row>
    <row r="799" ht="22.15" customHeight="1" spans="1:8">
      <c r="A799" s="6">
        <v>796</v>
      </c>
      <c r="B799" s="6" t="s">
        <v>479</v>
      </c>
      <c r="C799" s="6" t="s">
        <v>3100</v>
      </c>
      <c r="D799" s="6" t="s">
        <v>3101</v>
      </c>
      <c r="E799" s="6" t="s">
        <v>939</v>
      </c>
      <c r="F799" s="6">
        <v>8873</v>
      </c>
      <c r="G799" s="6"/>
      <c r="H799" s="6"/>
    </row>
    <row r="800" ht="22.15" customHeight="1" spans="1:8">
      <c r="A800" s="6">
        <v>797</v>
      </c>
      <c r="B800" s="6" t="s">
        <v>3102</v>
      </c>
      <c r="C800" s="6" t="s">
        <v>3103</v>
      </c>
      <c r="D800" s="6" t="s">
        <v>1277</v>
      </c>
      <c r="E800" s="6" t="s">
        <v>1263</v>
      </c>
      <c r="F800" s="6">
        <v>78712</v>
      </c>
      <c r="G800" s="6"/>
      <c r="H800" s="6"/>
    </row>
    <row r="801" ht="22.15" customHeight="1" spans="1:8">
      <c r="A801" s="6">
        <v>798</v>
      </c>
      <c r="B801" s="6" t="s">
        <v>3104</v>
      </c>
      <c r="C801" s="6" t="s">
        <v>3105</v>
      </c>
      <c r="D801" s="6" t="s">
        <v>1008</v>
      </c>
      <c r="E801" s="6" t="s">
        <v>1009</v>
      </c>
      <c r="F801" s="6" t="s">
        <v>2392</v>
      </c>
      <c r="G801" s="6"/>
      <c r="H801" s="6"/>
    </row>
    <row r="802" ht="22.15" customHeight="1" spans="1:8">
      <c r="A802" s="6">
        <v>799</v>
      </c>
      <c r="B802" s="6" t="s">
        <v>3106</v>
      </c>
      <c r="C802" s="6" t="s">
        <v>3107</v>
      </c>
      <c r="D802" s="6" t="s">
        <v>1613</v>
      </c>
      <c r="E802" s="6" t="s">
        <v>1155</v>
      </c>
      <c r="F802" s="6">
        <v>33137</v>
      </c>
      <c r="G802" s="6"/>
      <c r="H802" s="6"/>
    </row>
    <row r="803" ht="22.15" customHeight="1" spans="1:8">
      <c r="A803" s="6">
        <v>800</v>
      </c>
      <c r="B803" s="6" t="s">
        <v>3108</v>
      </c>
      <c r="C803" s="6" t="s">
        <v>3109</v>
      </c>
      <c r="D803" s="6" t="s">
        <v>2918</v>
      </c>
      <c r="E803" s="6" t="s">
        <v>1155</v>
      </c>
      <c r="F803" s="6">
        <v>33605</v>
      </c>
      <c r="G803" s="6"/>
      <c r="H803" s="6"/>
    </row>
    <row r="804" ht="22.15" customHeight="1" spans="1:8">
      <c r="A804" s="6">
        <v>801</v>
      </c>
      <c r="B804" s="6" t="s">
        <v>3110</v>
      </c>
      <c r="C804" s="6" t="s">
        <v>2156</v>
      </c>
      <c r="D804" s="6" t="s">
        <v>2603</v>
      </c>
      <c r="E804" s="6" t="s">
        <v>1155</v>
      </c>
      <c r="F804" s="6">
        <v>32819</v>
      </c>
      <c r="G804" s="6"/>
      <c r="H804" s="6"/>
    </row>
    <row r="805" ht="22.15" customHeight="1" spans="1:8">
      <c r="A805" s="6">
        <v>802</v>
      </c>
      <c r="B805" s="6" t="s">
        <v>3111</v>
      </c>
      <c r="C805" s="6" t="s">
        <v>1881</v>
      </c>
      <c r="D805" s="6" t="s">
        <v>1165</v>
      </c>
      <c r="E805" s="6" t="s">
        <v>1166</v>
      </c>
      <c r="F805" s="6">
        <v>60642</v>
      </c>
      <c r="G805" s="6"/>
      <c r="H805" s="6"/>
    </row>
    <row r="806" ht="22.15" customHeight="1" spans="1:8">
      <c r="A806" s="6">
        <v>803</v>
      </c>
      <c r="B806" s="6" t="s">
        <v>3112</v>
      </c>
      <c r="C806" s="6" t="s">
        <v>3113</v>
      </c>
      <c r="D806" s="6" t="s">
        <v>1944</v>
      </c>
      <c r="E806" s="6" t="s">
        <v>1499</v>
      </c>
      <c r="F806" s="6">
        <v>46231</v>
      </c>
      <c r="G806" s="6"/>
      <c r="H806" s="6"/>
    </row>
    <row r="807" ht="22.15" customHeight="1" spans="1:8">
      <c r="A807" s="6">
        <v>804</v>
      </c>
      <c r="B807" s="6" t="s">
        <v>3114</v>
      </c>
      <c r="C807" s="6" t="s">
        <v>3115</v>
      </c>
      <c r="D807" s="6" t="s">
        <v>2456</v>
      </c>
      <c r="E807" s="6" t="s">
        <v>919</v>
      </c>
      <c r="F807" s="6">
        <v>98421</v>
      </c>
      <c r="G807" s="6"/>
      <c r="H807" s="6"/>
    </row>
    <row r="808" ht="22.15" customHeight="1" spans="1:8">
      <c r="A808" s="6">
        <v>805</v>
      </c>
      <c r="B808" s="6" t="s">
        <v>3116</v>
      </c>
      <c r="C808" s="6" t="s">
        <v>3117</v>
      </c>
      <c r="D808" s="6" t="s">
        <v>1838</v>
      </c>
      <c r="E808" s="6" t="s">
        <v>961</v>
      </c>
      <c r="F808" s="6">
        <v>30318</v>
      </c>
      <c r="G808" s="6"/>
      <c r="H808" s="6"/>
    </row>
    <row r="809" ht="22.15" customHeight="1" spans="1:8">
      <c r="A809" s="6">
        <v>806</v>
      </c>
      <c r="B809" s="6" t="s">
        <v>3118</v>
      </c>
      <c r="C809" s="6" t="s">
        <v>3119</v>
      </c>
      <c r="D809" s="6" t="s">
        <v>3120</v>
      </c>
      <c r="E809" s="6" t="s">
        <v>1096</v>
      </c>
      <c r="F809" s="6">
        <v>2118</v>
      </c>
      <c r="G809" s="6"/>
      <c r="H809" s="6"/>
    </row>
    <row r="810" ht="22.15" customHeight="1" spans="1:8">
      <c r="A810" s="6">
        <v>807</v>
      </c>
      <c r="B810" s="6" t="s">
        <v>3121</v>
      </c>
      <c r="C810" s="6" t="s">
        <v>3122</v>
      </c>
      <c r="D810" s="6" t="s">
        <v>1125</v>
      </c>
      <c r="E810" s="6" t="s">
        <v>1126</v>
      </c>
      <c r="F810" s="6">
        <v>21224</v>
      </c>
      <c r="G810" s="6"/>
      <c r="H810" s="6"/>
    </row>
    <row r="811" ht="22.15" customHeight="1" spans="1:8">
      <c r="A811" s="6">
        <v>808</v>
      </c>
      <c r="B811" s="6" t="s">
        <v>3123</v>
      </c>
      <c r="C811" s="6" t="s">
        <v>3124</v>
      </c>
      <c r="D811" s="6" t="s">
        <v>2226</v>
      </c>
      <c r="E811" s="6" t="s">
        <v>1629</v>
      </c>
      <c r="F811" s="6">
        <v>55414</v>
      </c>
      <c r="G811" s="6"/>
      <c r="H811" s="6"/>
    </row>
    <row r="812" ht="22.15" customHeight="1" spans="1:8">
      <c r="A812" s="6">
        <v>809</v>
      </c>
      <c r="B812" s="6" t="s">
        <v>3125</v>
      </c>
      <c r="C812" s="6" t="s">
        <v>3126</v>
      </c>
      <c r="D812" s="6" t="s">
        <v>1202</v>
      </c>
      <c r="E812" s="6" t="s">
        <v>1196</v>
      </c>
      <c r="F812" s="6" t="s">
        <v>3127</v>
      </c>
      <c r="G812" s="6"/>
      <c r="H812" s="6"/>
    </row>
    <row r="813" ht="22.15" customHeight="1" spans="1:8">
      <c r="A813" s="6">
        <v>810</v>
      </c>
      <c r="B813" s="6" t="s">
        <v>3128</v>
      </c>
      <c r="C813" s="6" t="s">
        <v>3129</v>
      </c>
      <c r="D813" s="6" t="s">
        <v>1928</v>
      </c>
      <c r="E813" s="6" t="s">
        <v>1579</v>
      </c>
      <c r="F813" s="6" t="s">
        <v>3130</v>
      </c>
      <c r="G813" s="6"/>
      <c r="H813" s="6"/>
    </row>
    <row r="814" ht="22.15" customHeight="1" spans="1:8">
      <c r="A814" s="6">
        <v>811</v>
      </c>
      <c r="B814" s="6" t="s">
        <v>3131</v>
      </c>
      <c r="C814" s="6" t="s">
        <v>3132</v>
      </c>
      <c r="D814" s="6" t="s">
        <v>2743</v>
      </c>
      <c r="E814" s="6" t="s">
        <v>969</v>
      </c>
      <c r="F814" s="6">
        <v>11232</v>
      </c>
      <c r="G814" s="6"/>
      <c r="H814" s="6"/>
    </row>
    <row r="815" ht="22.15" customHeight="1" spans="1:8">
      <c r="A815" s="6">
        <v>812</v>
      </c>
      <c r="B815" s="6" t="s">
        <v>3133</v>
      </c>
      <c r="C815" s="6" t="s">
        <v>3134</v>
      </c>
      <c r="D815" s="6" t="s">
        <v>2015</v>
      </c>
      <c r="E815" s="6" t="s">
        <v>969</v>
      </c>
      <c r="F815" s="6">
        <v>10001</v>
      </c>
      <c r="G815" s="6"/>
      <c r="H815" s="6"/>
    </row>
    <row r="816" ht="22.15" customHeight="1" spans="1:8">
      <c r="A816" s="6">
        <v>813</v>
      </c>
      <c r="B816" s="6" t="s">
        <v>3135</v>
      </c>
      <c r="C816" s="6" t="s">
        <v>3136</v>
      </c>
      <c r="D816" s="6" t="s">
        <v>1655</v>
      </c>
      <c r="E816" s="6" t="s">
        <v>1656</v>
      </c>
      <c r="F816" s="6">
        <v>97210</v>
      </c>
      <c r="G816" s="6"/>
      <c r="H816" s="6"/>
    </row>
    <row r="817" ht="22.15" customHeight="1" spans="1:8">
      <c r="A817" s="6">
        <v>814</v>
      </c>
      <c r="B817" s="6" t="s">
        <v>630</v>
      </c>
      <c r="C817" s="6" t="s">
        <v>3137</v>
      </c>
      <c r="D817" s="6" t="s">
        <v>3138</v>
      </c>
      <c r="E817" s="6" t="s">
        <v>1155</v>
      </c>
      <c r="F817" s="6">
        <v>33570</v>
      </c>
      <c r="G817" s="6"/>
      <c r="H817" s="6"/>
    </row>
    <row r="818" ht="22.15" customHeight="1" spans="1:8">
      <c r="A818" s="6">
        <v>815</v>
      </c>
      <c r="B818" s="6" t="s">
        <v>473</v>
      </c>
      <c r="C818" s="6" t="s">
        <v>2049</v>
      </c>
      <c r="D818" s="6" t="s">
        <v>2050</v>
      </c>
      <c r="E818" s="6" t="s">
        <v>1155</v>
      </c>
      <c r="F818" s="6">
        <v>33811</v>
      </c>
      <c r="G818" s="6"/>
      <c r="H818" s="6"/>
    </row>
    <row r="819" ht="22.15" customHeight="1" spans="1:8">
      <c r="A819" s="6">
        <v>816</v>
      </c>
      <c r="B819" s="6" t="s">
        <v>474</v>
      </c>
      <c r="C819" s="6" t="s">
        <v>3139</v>
      </c>
      <c r="D819" s="6" t="s">
        <v>3140</v>
      </c>
      <c r="E819" s="6" t="s">
        <v>1155</v>
      </c>
      <c r="F819" s="6">
        <v>33823</v>
      </c>
      <c r="G819" s="6"/>
      <c r="H819" s="6"/>
    </row>
    <row r="820" ht="22.15" customHeight="1" spans="1:8">
      <c r="A820" s="6">
        <v>817</v>
      </c>
      <c r="B820" s="6" t="s">
        <v>576</v>
      </c>
      <c r="C820" s="6" t="s">
        <v>3141</v>
      </c>
      <c r="D820" s="6" t="s">
        <v>3142</v>
      </c>
      <c r="E820" s="6" t="s">
        <v>1155</v>
      </c>
      <c r="F820" s="6">
        <v>33475</v>
      </c>
      <c r="G820" s="6"/>
      <c r="H820" s="6"/>
    </row>
    <row r="821" ht="22.15" customHeight="1" spans="1:8">
      <c r="A821" s="6">
        <v>818</v>
      </c>
      <c r="B821" s="6" t="s">
        <v>3143</v>
      </c>
      <c r="C821" s="6" t="s">
        <v>3144</v>
      </c>
      <c r="D821" s="6" t="s">
        <v>1666</v>
      </c>
      <c r="E821" s="6" t="s">
        <v>923</v>
      </c>
      <c r="F821" s="6">
        <v>19104</v>
      </c>
      <c r="G821" s="6"/>
      <c r="H821" s="6"/>
    </row>
    <row r="822" ht="22.15" customHeight="1" spans="1:8">
      <c r="A822" s="6">
        <v>819</v>
      </c>
      <c r="B822" s="6" t="s">
        <v>3145</v>
      </c>
      <c r="C822" s="6" t="s">
        <v>3146</v>
      </c>
      <c r="D822" s="6" t="s">
        <v>1079</v>
      </c>
      <c r="E822" s="6" t="s">
        <v>1069</v>
      </c>
      <c r="F822" s="6">
        <v>37211</v>
      </c>
      <c r="G822" s="6"/>
      <c r="H822" s="6"/>
    </row>
    <row r="823" ht="22.15" customHeight="1" spans="1:8">
      <c r="A823" s="6">
        <v>820</v>
      </c>
      <c r="B823" s="6" t="s">
        <v>487</v>
      </c>
      <c r="C823" s="6" t="s">
        <v>3147</v>
      </c>
      <c r="D823" s="6" t="s">
        <v>3099</v>
      </c>
      <c r="E823" s="6" t="s">
        <v>939</v>
      </c>
      <c r="F823" s="6">
        <v>8512</v>
      </c>
      <c r="G823" s="6"/>
      <c r="H823" s="6"/>
    </row>
    <row r="824" ht="22.15" customHeight="1" spans="1:8">
      <c r="A824" s="6">
        <v>821</v>
      </c>
      <c r="B824" s="6" t="s">
        <v>3148</v>
      </c>
      <c r="C824" s="6" t="s">
        <v>3146</v>
      </c>
      <c r="D824" s="6" t="s">
        <v>1079</v>
      </c>
      <c r="E824" s="6" t="s">
        <v>1069</v>
      </c>
      <c r="F824" s="6">
        <v>37211</v>
      </c>
      <c r="G824" s="6"/>
      <c r="H824" s="6"/>
    </row>
    <row r="825" ht="22.15" customHeight="1" spans="1:8">
      <c r="A825" s="6">
        <v>822</v>
      </c>
      <c r="B825" s="6" t="s">
        <v>3149</v>
      </c>
      <c r="C825" s="6" t="s">
        <v>3150</v>
      </c>
      <c r="D825" s="6" t="s">
        <v>1277</v>
      </c>
      <c r="E825" s="6" t="s">
        <v>1263</v>
      </c>
      <c r="F825" s="6">
        <v>78758</v>
      </c>
      <c r="G825" s="6"/>
      <c r="H825" s="6"/>
    </row>
    <row r="826" ht="22.15" customHeight="1" spans="1:8">
      <c r="A826" s="6">
        <v>823</v>
      </c>
      <c r="B826" s="6" t="s">
        <v>3151</v>
      </c>
      <c r="C826" s="6" t="s">
        <v>1910</v>
      </c>
      <c r="D826" s="6" t="s">
        <v>1477</v>
      </c>
      <c r="E826" s="6" t="s">
        <v>1263</v>
      </c>
      <c r="F826" s="6">
        <v>77092</v>
      </c>
      <c r="G826" s="6"/>
      <c r="H826" s="6"/>
    </row>
    <row r="827" ht="22.15" customHeight="1" spans="1:8">
      <c r="A827" s="6">
        <v>824</v>
      </c>
      <c r="B827" s="6" t="s">
        <v>3152</v>
      </c>
      <c r="C827" s="6" t="s">
        <v>3153</v>
      </c>
      <c r="D827" s="6" t="s">
        <v>1816</v>
      </c>
      <c r="E827" s="6" t="s">
        <v>1263</v>
      </c>
      <c r="F827" s="6">
        <v>75235</v>
      </c>
      <c r="G827" s="6"/>
      <c r="H827" s="6"/>
    </row>
    <row r="828" ht="22.15" customHeight="1" spans="1:8">
      <c r="A828" s="6">
        <v>825</v>
      </c>
      <c r="B828" s="6" t="s">
        <v>3154</v>
      </c>
      <c r="C828" s="6" t="s">
        <v>3155</v>
      </c>
      <c r="D828" s="6" t="s">
        <v>3156</v>
      </c>
      <c r="E828" s="6" t="s">
        <v>1263</v>
      </c>
      <c r="F828" s="6">
        <v>78217</v>
      </c>
      <c r="G828" s="6"/>
      <c r="H828" s="6"/>
    </row>
    <row r="829" ht="22.15" customHeight="1" spans="1:8">
      <c r="A829" s="6">
        <v>826</v>
      </c>
      <c r="B829" s="6" t="s">
        <v>3157</v>
      </c>
      <c r="C829" s="6" t="s">
        <v>3158</v>
      </c>
      <c r="D829" s="6" t="s">
        <v>3159</v>
      </c>
      <c r="E829" s="6" t="s">
        <v>2140</v>
      </c>
      <c r="F829" s="6" t="s">
        <v>3160</v>
      </c>
      <c r="G829" s="6"/>
      <c r="H829" s="6"/>
    </row>
    <row r="830" ht="22.15" customHeight="1" spans="1:8">
      <c r="A830" s="6">
        <v>827</v>
      </c>
      <c r="B830" s="6" t="s">
        <v>3161</v>
      </c>
      <c r="C830" s="6" t="s">
        <v>3162</v>
      </c>
      <c r="D830" s="6" t="s">
        <v>3163</v>
      </c>
      <c r="E830" s="6" t="s">
        <v>1653</v>
      </c>
      <c r="F830" s="6">
        <v>74116</v>
      </c>
      <c r="G830" s="6"/>
      <c r="H830" s="6"/>
    </row>
    <row r="831" ht="22.15" customHeight="1" spans="1:8">
      <c r="A831" s="6">
        <v>828</v>
      </c>
      <c r="B831" s="6" t="s">
        <v>3164</v>
      </c>
      <c r="C831" s="6" t="s">
        <v>3165</v>
      </c>
      <c r="D831" s="6" t="s">
        <v>1008</v>
      </c>
      <c r="E831" s="6" t="s">
        <v>1009</v>
      </c>
      <c r="F831" s="6">
        <v>85043</v>
      </c>
      <c r="G831" s="6"/>
      <c r="H831" s="6"/>
    </row>
    <row r="832" ht="22.15" customHeight="1" spans="1:8">
      <c r="A832" s="6">
        <v>829</v>
      </c>
      <c r="B832" s="6" t="s">
        <v>3166</v>
      </c>
      <c r="C832" s="6" t="s">
        <v>3167</v>
      </c>
      <c r="D832" s="6" t="s">
        <v>3168</v>
      </c>
      <c r="E832" s="6" t="s">
        <v>1009</v>
      </c>
      <c r="F832" s="6">
        <v>85756</v>
      </c>
      <c r="G832" s="6"/>
      <c r="H832" s="6"/>
    </row>
    <row r="833" ht="22.15" customHeight="1" spans="1:8">
      <c r="A833" s="6">
        <v>830</v>
      </c>
      <c r="B833" s="6" t="s">
        <v>3169</v>
      </c>
      <c r="C833" s="6" t="s">
        <v>3170</v>
      </c>
      <c r="D833" s="6" t="s">
        <v>918</v>
      </c>
      <c r="E833" s="6" t="s">
        <v>919</v>
      </c>
      <c r="F833" s="6">
        <v>98133</v>
      </c>
      <c r="G833" s="6"/>
      <c r="H833" s="6"/>
    </row>
    <row r="834" ht="22.15" customHeight="1" spans="1:8">
      <c r="A834" s="6">
        <v>831</v>
      </c>
      <c r="B834" s="6" t="s">
        <v>3171</v>
      </c>
      <c r="C834" s="6" t="s">
        <v>3052</v>
      </c>
      <c r="D834" s="6" t="s">
        <v>1008</v>
      </c>
      <c r="E834" s="6" t="s">
        <v>1009</v>
      </c>
      <c r="F834" s="6" t="s">
        <v>3172</v>
      </c>
      <c r="G834" s="6"/>
      <c r="H834" s="6"/>
    </row>
    <row r="835" ht="22.15" customHeight="1" spans="1:8">
      <c r="A835" s="6">
        <v>832</v>
      </c>
      <c r="B835" s="6" t="s">
        <v>3173</v>
      </c>
      <c r="C835" s="6" t="s">
        <v>3078</v>
      </c>
      <c r="D835" s="6" t="s">
        <v>2473</v>
      </c>
      <c r="E835" s="6" t="s">
        <v>936</v>
      </c>
      <c r="F835" s="6">
        <v>94107</v>
      </c>
      <c r="G835" s="6"/>
      <c r="H835" s="6"/>
    </row>
    <row r="836" ht="22.15" customHeight="1" spans="1:8">
      <c r="A836" s="6">
        <v>833</v>
      </c>
      <c r="B836" s="6" t="s">
        <v>3174</v>
      </c>
      <c r="C836" s="6"/>
      <c r="D836" s="6" t="s">
        <v>3081</v>
      </c>
      <c r="E836" s="6" t="s">
        <v>936</v>
      </c>
      <c r="F836" s="6">
        <v>90277</v>
      </c>
      <c r="G836" s="6"/>
      <c r="H836" s="6" t="s">
        <v>3175</v>
      </c>
    </row>
    <row r="837" ht="22.15" customHeight="1" spans="1:8">
      <c r="A837" s="6">
        <v>834</v>
      </c>
      <c r="B837" s="6" t="s">
        <v>3176</v>
      </c>
      <c r="C837" s="6" t="s">
        <v>3177</v>
      </c>
      <c r="D837" s="6" t="s">
        <v>1122</v>
      </c>
      <c r="E837" s="6" t="s">
        <v>936</v>
      </c>
      <c r="F837" s="6">
        <v>90064</v>
      </c>
      <c r="G837" s="6">
        <v>28800</v>
      </c>
      <c r="H837" s="6" t="s">
        <v>3178</v>
      </c>
    </row>
    <row r="838" ht="22.15" customHeight="1" spans="1:8">
      <c r="A838" s="6">
        <v>835</v>
      </c>
      <c r="B838" s="6" t="s">
        <v>3179</v>
      </c>
      <c r="C838" s="6" t="s">
        <v>3083</v>
      </c>
      <c r="D838" s="6" t="s">
        <v>1964</v>
      </c>
      <c r="E838" s="6" t="s">
        <v>936</v>
      </c>
      <c r="F838" s="6">
        <v>92614</v>
      </c>
      <c r="G838" s="6"/>
      <c r="H838" s="6"/>
    </row>
    <row r="839" ht="22.15" customHeight="1" spans="1:8">
      <c r="A839" s="6">
        <v>836</v>
      </c>
      <c r="B839" s="6" t="s">
        <v>3180</v>
      </c>
      <c r="C839" s="6" t="s">
        <v>3181</v>
      </c>
      <c r="D839" s="6" t="s">
        <v>1122</v>
      </c>
      <c r="E839" s="6" t="s">
        <v>936</v>
      </c>
      <c r="F839" s="6">
        <v>90065</v>
      </c>
      <c r="G839" s="6"/>
      <c r="H839" s="6"/>
    </row>
    <row r="840" ht="22.15" customHeight="1" spans="1:8">
      <c r="A840" s="6">
        <v>837</v>
      </c>
      <c r="B840" s="6" t="s">
        <v>3182</v>
      </c>
      <c r="C840" s="6" t="s">
        <v>1864</v>
      </c>
      <c r="D840" s="6" t="s">
        <v>1686</v>
      </c>
      <c r="E840" s="6" t="s">
        <v>936</v>
      </c>
      <c r="F840" s="6" t="s">
        <v>3183</v>
      </c>
      <c r="G840" s="6"/>
      <c r="H840" s="6"/>
    </row>
    <row r="841" ht="22.15" customHeight="1" spans="1:8">
      <c r="A841" s="6">
        <v>838</v>
      </c>
      <c r="B841" s="6" t="s">
        <v>3184</v>
      </c>
      <c r="C841" s="6" t="s">
        <v>3185</v>
      </c>
      <c r="D841" s="6" t="s">
        <v>3088</v>
      </c>
      <c r="E841" s="6" t="s">
        <v>936</v>
      </c>
      <c r="F841" s="6">
        <v>94085</v>
      </c>
      <c r="G841" s="6">
        <v>24000</v>
      </c>
      <c r="H841" s="6" t="s">
        <v>3186</v>
      </c>
    </row>
    <row r="842" ht="22.15" customHeight="1" spans="1:8">
      <c r="A842" s="6">
        <v>839</v>
      </c>
      <c r="B842" s="6" t="s">
        <v>3187</v>
      </c>
      <c r="C842" s="6" t="s">
        <v>3188</v>
      </c>
      <c r="D842" s="6" t="s">
        <v>3189</v>
      </c>
      <c r="E842" s="6" t="s">
        <v>936</v>
      </c>
      <c r="F842" s="6">
        <v>94702</v>
      </c>
      <c r="G842" s="6">
        <v>21000</v>
      </c>
      <c r="H842" s="6" t="s">
        <v>3190</v>
      </c>
    </row>
    <row r="843" ht="22.15" customHeight="1" spans="1:8">
      <c r="A843" s="6">
        <v>840</v>
      </c>
      <c r="B843" s="6" t="s">
        <v>3191</v>
      </c>
      <c r="C843" s="6" t="s">
        <v>3192</v>
      </c>
      <c r="D843" s="6" t="s">
        <v>2660</v>
      </c>
      <c r="E843" s="6" t="s">
        <v>936</v>
      </c>
      <c r="F843" s="6">
        <v>95826</v>
      </c>
      <c r="G843" s="6">
        <v>20000</v>
      </c>
      <c r="H843" s="6" t="s">
        <v>3193</v>
      </c>
    </row>
    <row r="844" ht="22.15" customHeight="1" spans="1:8">
      <c r="A844" s="6">
        <v>841</v>
      </c>
      <c r="B844" s="6" t="s">
        <v>3194</v>
      </c>
      <c r="C844" s="6" t="s">
        <v>3195</v>
      </c>
      <c r="D844" s="6" t="s">
        <v>1416</v>
      </c>
      <c r="E844" s="6" t="s">
        <v>1392</v>
      </c>
      <c r="F844" s="6">
        <v>80216</v>
      </c>
      <c r="G844" s="6"/>
      <c r="H844" s="6"/>
    </row>
    <row r="845" ht="22.15" customHeight="1" spans="1:8">
      <c r="A845" s="6">
        <v>842</v>
      </c>
      <c r="B845" s="6" t="s">
        <v>3196</v>
      </c>
      <c r="C845" s="6" t="s">
        <v>3197</v>
      </c>
      <c r="D845" s="6" t="s">
        <v>2855</v>
      </c>
      <c r="E845" s="6" t="s">
        <v>1392</v>
      </c>
      <c r="F845" s="6">
        <v>80301</v>
      </c>
      <c r="G845" s="6"/>
      <c r="H845" s="6"/>
    </row>
    <row r="846" ht="22.15" customHeight="1" spans="1:8">
      <c r="A846" s="6">
        <v>843</v>
      </c>
      <c r="B846" s="6" t="s">
        <v>3198</v>
      </c>
      <c r="C846" s="6" t="s">
        <v>3199</v>
      </c>
      <c r="D846" s="6" t="s">
        <v>1591</v>
      </c>
      <c r="E846" s="6" t="s">
        <v>1155</v>
      </c>
      <c r="F846" s="6">
        <v>33169</v>
      </c>
      <c r="G846" s="6">
        <v>37440</v>
      </c>
      <c r="H846" s="6"/>
    </row>
    <row r="847" ht="22.15" customHeight="1" spans="1:8">
      <c r="A847" s="6">
        <v>844</v>
      </c>
      <c r="B847" s="6" t="s">
        <v>638</v>
      </c>
      <c r="C847" s="6" t="s">
        <v>3107</v>
      </c>
      <c r="D847" s="6" t="s">
        <v>1613</v>
      </c>
      <c r="E847" s="6" t="s">
        <v>1155</v>
      </c>
      <c r="F847" s="6">
        <v>33137</v>
      </c>
      <c r="G847" s="6"/>
      <c r="H847" s="6"/>
    </row>
    <row r="848" ht="22.15" customHeight="1" spans="1:8">
      <c r="A848" s="6">
        <v>845</v>
      </c>
      <c r="B848" s="6" t="s">
        <v>3200</v>
      </c>
      <c r="C848" s="6" t="s">
        <v>3201</v>
      </c>
      <c r="D848" s="6" t="s">
        <v>2918</v>
      </c>
      <c r="E848" s="6" t="s">
        <v>1155</v>
      </c>
      <c r="F848" s="6">
        <v>33605</v>
      </c>
      <c r="G848" s="6"/>
      <c r="H848" s="6"/>
    </row>
    <row r="849" ht="22.15" customHeight="1" spans="1:8">
      <c r="A849" s="6">
        <v>846</v>
      </c>
      <c r="B849" s="6" t="s">
        <v>640</v>
      </c>
      <c r="C849" s="6" t="s">
        <v>2156</v>
      </c>
      <c r="D849" s="6" t="s">
        <v>1154</v>
      </c>
      <c r="E849" s="6" t="s">
        <v>1155</v>
      </c>
      <c r="F849" s="6">
        <v>32819</v>
      </c>
      <c r="G849" s="6"/>
      <c r="H849" s="6"/>
    </row>
    <row r="850" ht="22.15" customHeight="1" spans="1:8">
      <c r="A850" s="6">
        <v>847</v>
      </c>
      <c r="B850" s="6" t="s">
        <v>642</v>
      </c>
      <c r="C850" s="6" t="s">
        <v>3202</v>
      </c>
      <c r="D850" s="6" t="s">
        <v>3203</v>
      </c>
      <c r="E850" s="6" t="s">
        <v>1155</v>
      </c>
      <c r="F850" s="6">
        <v>33610</v>
      </c>
      <c r="G850" s="6"/>
      <c r="H850" s="6"/>
    </row>
    <row r="851" ht="22.15" customHeight="1" spans="1:8">
      <c r="A851" s="6">
        <v>848</v>
      </c>
      <c r="B851" s="6" t="s">
        <v>644</v>
      </c>
      <c r="C851" s="6" t="s">
        <v>2222</v>
      </c>
      <c r="D851" s="6" t="s">
        <v>3204</v>
      </c>
      <c r="E851" s="6" t="s">
        <v>1155</v>
      </c>
      <c r="F851" s="6">
        <v>33122</v>
      </c>
      <c r="G851" s="6"/>
      <c r="H851" s="6"/>
    </row>
    <row r="852" ht="22.15" customHeight="1" spans="1:8">
      <c r="A852" s="6">
        <v>849</v>
      </c>
      <c r="B852" s="6" t="s">
        <v>3205</v>
      </c>
      <c r="C852" s="6" t="s">
        <v>3206</v>
      </c>
      <c r="D852" s="6" t="s">
        <v>2603</v>
      </c>
      <c r="E852" s="6" t="s">
        <v>1155</v>
      </c>
      <c r="F852" s="6">
        <v>32812</v>
      </c>
      <c r="G852" s="6"/>
      <c r="H852" s="6"/>
    </row>
    <row r="853" ht="22.15" customHeight="1" spans="1:8">
      <c r="A853" s="6">
        <v>850</v>
      </c>
      <c r="B853" s="6" t="s">
        <v>3207</v>
      </c>
      <c r="C853" s="6"/>
      <c r="D853" s="6" t="s">
        <v>1838</v>
      </c>
      <c r="E853" s="6" t="s">
        <v>961</v>
      </c>
      <c r="F853" s="6">
        <v>30318</v>
      </c>
      <c r="G853" s="6"/>
      <c r="H853" s="6" t="s">
        <v>3208</v>
      </c>
    </row>
    <row r="854" ht="22.15" customHeight="1" spans="1:8">
      <c r="A854" s="6">
        <v>851</v>
      </c>
      <c r="B854" s="6" t="s">
        <v>3209</v>
      </c>
      <c r="C854" s="6" t="s">
        <v>3117</v>
      </c>
      <c r="D854" s="6" t="s">
        <v>2618</v>
      </c>
      <c r="E854" s="6" t="s">
        <v>961</v>
      </c>
      <c r="F854" s="6" t="s">
        <v>3210</v>
      </c>
      <c r="G854" s="6"/>
      <c r="H854" s="6"/>
    </row>
    <row r="855" ht="22.15" customHeight="1" spans="1:8">
      <c r="A855" s="6">
        <v>852</v>
      </c>
      <c r="B855" s="6" t="s">
        <v>3211</v>
      </c>
      <c r="C855" s="6" t="s">
        <v>3212</v>
      </c>
      <c r="D855" s="6" t="s">
        <v>1877</v>
      </c>
      <c r="E855" s="6" t="s">
        <v>961</v>
      </c>
      <c r="F855" s="6">
        <v>30043</v>
      </c>
      <c r="G855" s="6"/>
      <c r="H855" s="6"/>
    </row>
    <row r="856" ht="22.15" customHeight="1" spans="1:8">
      <c r="A856" s="6">
        <v>853</v>
      </c>
      <c r="B856" s="6" t="s">
        <v>3213</v>
      </c>
      <c r="C856" s="6" t="s">
        <v>989</v>
      </c>
      <c r="D856" s="6" t="s">
        <v>3214</v>
      </c>
      <c r="E856" s="6" t="s">
        <v>961</v>
      </c>
      <c r="F856" s="6">
        <v>30096</v>
      </c>
      <c r="G856" s="6"/>
      <c r="H856" s="6"/>
    </row>
    <row r="857" ht="22.15" customHeight="1" spans="1:8">
      <c r="A857" s="6">
        <v>854</v>
      </c>
      <c r="B857" s="6" t="s">
        <v>3215</v>
      </c>
      <c r="C857" s="6" t="s">
        <v>1930</v>
      </c>
      <c r="D857" s="6" t="s">
        <v>1931</v>
      </c>
      <c r="E857" s="6" t="s">
        <v>1166</v>
      </c>
      <c r="F857" s="6">
        <v>60191</v>
      </c>
      <c r="G857" s="6"/>
      <c r="H857" s="6"/>
    </row>
    <row r="858" ht="22.15" customHeight="1" spans="1:8">
      <c r="A858" s="6">
        <v>855</v>
      </c>
      <c r="B858" s="6" t="s">
        <v>3216</v>
      </c>
      <c r="C858" s="6" t="s">
        <v>3113</v>
      </c>
      <c r="D858" s="6" t="s">
        <v>1944</v>
      </c>
      <c r="E858" s="6" t="s">
        <v>1499</v>
      </c>
      <c r="F858" s="6" t="s">
        <v>1945</v>
      </c>
      <c r="G858" s="6"/>
      <c r="H858" s="6"/>
    </row>
    <row r="859" ht="22.15" customHeight="1" spans="1:8">
      <c r="A859" s="6">
        <v>856</v>
      </c>
      <c r="B859" s="6" t="s">
        <v>3217</v>
      </c>
      <c r="C859" s="6" t="s">
        <v>3218</v>
      </c>
      <c r="D859" s="6" t="s">
        <v>3219</v>
      </c>
      <c r="E859" s="6" t="s">
        <v>936</v>
      </c>
      <c r="F859" s="6">
        <v>91340</v>
      </c>
      <c r="G859" s="6"/>
      <c r="H859" s="6"/>
    </row>
    <row r="860" ht="22.15" customHeight="1" spans="1:8">
      <c r="A860" s="6">
        <v>857</v>
      </c>
      <c r="B860" s="6" t="s">
        <v>3220</v>
      </c>
      <c r="C860" s="6" t="s">
        <v>3221</v>
      </c>
      <c r="D860" s="6" t="s">
        <v>3222</v>
      </c>
      <c r="E860" s="6" t="s">
        <v>936</v>
      </c>
      <c r="F860" s="6">
        <v>92835</v>
      </c>
      <c r="G860" s="6"/>
      <c r="H860" s="6"/>
    </row>
    <row r="861" ht="22.15" customHeight="1" spans="1:8">
      <c r="A861" s="6">
        <v>858</v>
      </c>
      <c r="B861" s="6" t="s">
        <v>3223</v>
      </c>
      <c r="C861" s="6" t="s">
        <v>3119</v>
      </c>
      <c r="D861" s="6" t="s">
        <v>3120</v>
      </c>
      <c r="E861" s="6" t="s">
        <v>1096</v>
      </c>
      <c r="F861" s="6">
        <v>2118</v>
      </c>
      <c r="G861" s="6"/>
      <c r="H861" s="6"/>
    </row>
    <row r="862" ht="22.15" customHeight="1" spans="1:8">
      <c r="A862" s="6">
        <v>859</v>
      </c>
      <c r="B862" s="6" t="s">
        <v>3224</v>
      </c>
      <c r="C862" s="6" t="s">
        <v>1105</v>
      </c>
      <c r="D862" s="6" t="s">
        <v>3225</v>
      </c>
      <c r="E862" s="6" t="s">
        <v>1096</v>
      </c>
      <c r="F862" s="6">
        <v>2150</v>
      </c>
      <c r="G862" s="6"/>
      <c r="H862" s="6"/>
    </row>
    <row r="863" ht="22.15" customHeight="1" spans="1:8">
      <c r="A863" s="6">
        <v>860</v>
      </c>
      <c r="B863" s="6" t="s">
        <v>3226</v>
      </c>
      <c r="C863" s="6" t="s">
        <v>3227</v>
      </c>
      <c r="D863" s="6" t="s">
        <v>3228</v>
      </c>
      <c r="E863" s="6" t="s">
        <v>1385</v>
      </c>
      <c r="F863" s="6">
        <v>48083</v>
      </c>
      <c r="G863" s="6"/>
      <c r="H863" s="6"/>
    </row>
    <row r="864" ht="22.15" customHeight="1" spans="1:8">
      <c r="A864" s="6">
        <v>861</v>
      </c>
      <c r="B864" s="6" t="s">
        <v>3229</v>
      </c>
      <c r="C864" s="6" t="s">
        <v>3124</v>
      </c>
      <c r="D864" s="6" t="s">
        <v>2226</v>
      </c>
      <c r="E864" s="6" t="s">
        <v>1629</v>
      </c>
      <c r="F864" s="6" t="s">
        <v>3230</v>
      </c>
      <c r="G864" s="6"/>
      <c r="H864" s="6"/>
    </row>
    <row r="865" ht="22.15" customHeight="1" spans="1:8">
      <c r="A865" s="6">
        <v>862</v>
      </c>
      <c r="B865" s="6" t="s">
        <v>3231</v>
      </c>
      <c r="C865" s="6" t="s">
        <v>3232</v>
      </c>
      <c r="D865" s="6" t="s">
        <v>3233</v>
      </c>
      <c r="E865" s="6" t="s">
        <v>1629</v>
      </c>
      <c r="F865" s="6">
        <v>55442</v>
      </c>
      <c r="G865" s="6"/>
      <c r="H865" s="6"/>
    </row>
    <row r="866" ht="22.15" customHeight="1" spans="1:8">
      <c r="A866" s="6">
        <v>863</v>
      </c>
      <c r="B866" s="6" t="s">
        <v>3234</v>
      </c>
      <c r="C866" s="6"/>
      <c r="D866" s="6" t="s">
        <v>1198</v>
      </c>
      <c r="E866" s="6" t="s">
        <v>1196</v>
      </c>
      <c r="F866" s="6">
        <v>28201</v>
      </c>
      <c r="G866" s="6"/>
      <c r="H866" s="6" t="s">
        <v>3235</v>
      </c>
    </row>
    <row r="867" ht="22.15" customHeight="1" spans="1:8">
      <c r="A867" s="6">
        <v>864</v>
      </c>
      <c r="B867" s="6" t="s">
        <v>3236</v>
      </c>
      <c r="C867" s="6" t="s">
        <v>3237</v>
      </c>
      <c r="D867" s="6" t="s">
        <v>2202</v>
      </c>
      <c r="E867" s="6" t="s">
        <v>1196</v>
      </c>
      <c r="F867" s="6">
        <v>27609</v>
      </c>
      <c r="G867" s="6"/>
      <c r="H867" s="6"/>
    </row>
    <row r="868" ht="22.15" customHeight="1" spans="1:8">
      <c r="A868" s="6">
        <v>865</v>
      </c>
      <c r="B868" s="6" t="s">
        <v>3238</v>
      </c>
      <c r="C868" s="6" t="s">
        <v>3239</v>
      </c>
      <c r="D868" s="6" t="s">
        <v>1202</v>
      </c>
      <c r="E868" s="6" t="s">
        <v>1196</v>
      </c>
      <c r="F868" s="6">
        <v>28269</v>
      </c>
      <c r="G868" s="6"/>
      <c r="H868" s="6"/>
    </row>
    <row r="869" ht="22.15" customHeight="1" spans="1:8">
      <c r="A869" s="6">
        <v>866</v>
      </c>
      <c r="B869" s="6" t="s">
        <v>3240</v>
      </c>
      <c r="C869" s="6" t="s">
        <v>1892</v>
      </c>
      <c r="D869" s="6" t="s">
        <v>1893</v>
      </c>
      <c r="E869" s="6" t="s">
        <v>939</v>
      </c>
      <c r="F869" s="6">
        <v>7030</v>
      </c>
      <c r="G869" s="6"/>
      <c r="H869" s="6"/>
    </row>
    <row r="870" ht="22.15" customHeight="1" spans="1:8">
      <c r="A870" s="6">
        <v>867</v>
      </c>
      <c r="B870" s="6" t="s">
        <v>3241</v>
      </c>
      <c r="C870" s="6" t="s">
        <v>3242</v>
      </c>
      <c r="D870" s="6" t="s">
        <v>2004</v>
      </c>
      <c r="E870" s="6" t="s">
        <v>1579</v>
      </c>
      <c r="F870" s="6">
        <v>89120</v>
      </c>
      <c r="G870" s="6"/>
      <c r="H870" s="6" t="s">
        <v>3243</v>
      </c>
    </row>
    <row r="871" ht="22.15" customHeight="1" spans="1:8">
      <c r="A871" s="6">
        <v>868</v>
      </c>
      <c r="B871" s="6" t="s">
        <v>3244</v>
      </c>
      <c r="C871" s="6" t="s">
        <v>3245</v>
      </c>
      <c r="D871" s="6" t="s">
        <v>2004</v>
      </c>
      <c r="E871" s="6" t="s">
        <v>1579</v>
      </c>
      <c r="F871" s="6">
        <v>89119</v>
      </c>
      <c r="G871" s="6"/>
      <c r="H871" s="6"/>
    </row>
    <row r="872" ht="22.15" customHeight="1" spans="1:8">
      <c r="A872" s="6">
        <v>869</v>
      </c>
      <c r="B872" s="6" t="s">
        <v>3246</v>
      </c>
      <c r="C872" s="6" t="s">
        <v>3247</v>
      </c>
      <c r="D872" s="6" t="s">
        <v>2004</v>
      </c>
      <c r="E872" s="6" t="s">
        <v>1579</v>
      </c>
      <c r="F872" s="6">
        <v>89115</v>
      </c>
      <c r="G872" s="6"/>
      <c r="H872" s="6"/>
    </row>
    <row r="873" ht="22.15" customHeight="1" spans="1:8">
      <c r="A873" s="6">
        <v>870</v>
      </c>
      <c r="B873" s="6" t="s">
        <v>3248</v>
      </c>
      <c r="C873" s="6" t="s">
        <v>3132</v>
      </c>
      <c r="D873" s="6" t="s">
        <v>2743</v>
      </c>
      <c r="E873" s="6" t="s">
        <v>969</v>
      </c>
      <c r="F873" s="6">
        <v>11232</v>
      </c>
      <c r="G873" s="6"/>
      <c r="H873" s="6"/>
    </row>
    <row r="874" ht="22.15" customHeight="1" spans="1:8">
      <c r="A874" s="6">
        <v>871</v>
      </c>
      <c r="B874" s="6" t="s">
        <v>3249</v>
      </c>
      <c r="C874" s="6" t="s">
        <v>3250</v>
      </c>
      <c r="D874" s="6" t="s">
        <v>1776</v>
      </c>
      <c r="E874" s="6" t="s">
        <v>969</v>
      </c>
      <c r="F874" s="6">
        <v>10474</v>
      </c>
      <c r="G874" s="6"/>
      <c r="H874" s="6"/>
    </row>
    <row r="875" ht="22.15" customHeight="1" spans="1:8">
      <c r="A875" s="6">
        <v>872</v>
      </c>
      <c r="B875" s="6" t="s">
        <v>3251</v>
      </c>
      <c r="C875" s="6" t="s">
        <v>3252</v>
      </c>
      <c r="D875" s="6" t="s">
        <v>3253</v>
      </c>
      <c r="E875" s="6" t="s">
        <v>969</v>
      </c>
      <c r="F875" s="6">
        <v>11378</v>
      </c>
      <c r="G875" s="6"/>
      <c r="H875" s="6"/>
    </row>
    <row r="876" ht="22.15" customHeight="1" spans="1:8">
      <c r="A876" s="6">
        <v>873</v>
      </c>
      <c r="B876" s="6" t="s">
        <v>3254</v>
      </c>
      <c r="C876" s="6" t="s">
        <v>3255</v>
      </c>
      <c r="D876" s="6" t="s">
        <v>1175</v>
      </c>
      <c r="E876" s="6" t="s">
        <v>965</v>
      </c>
      <c r="F876" s="6">
        <v>45232</v>
      </c>
      <c r="G876" s="6"/>
      <c r="H876" s="6" t="s">
        <v>3256</v>
      </c>
    </row>
    <row r="877" ht="22.15" customHeight="1" spans="1:8">
      <c r="A877" s="6">
        <v>874</v>
      </c>
      <c r="B877" s="6" t="s">
        <v>3257</v>
      </c>
      <c r="C877" s="6" t="s">
        <v>3258</v>
      </c>
      <c r="D877" s="6" t="s">
        <v>2326</v>
      </c>
      <c r="E877" s="6" t="s">
        <v>965</v>
      </c>
      <c r="F877" s="6">
        <v>43204</v>
      </c>
      <c r="G877" s="6"/>
      <c r="H877" s="6"/>
    </row>
    <row r="878" ht="22.15" customHeight="1" spans="1:8">
      <c r="A878" s="6">
        <v>875</v>
      </c>
      <c r="B878" s="6" t="s">
        <v>3259</v>
      </c>
      <c r="C878" s="6" t="s">
        <v>3260</v>
      </c>
      <c r="D878" s="6" t="s">
        <v>3261</v>
      </c>
      <c r="E878" s="6" t="s">
        <v>965</v>
      </c>
      <c r="F878" s="6">
        <v>43228</v>
      </c>
      <c r="G878" s="6"/>
      <c r="H878" s="6"/>
    </row>
    <row r="879" ht="22.15" customHeight="1" spans="1:8">
      <c r="A879" s="6">
        <v>876</v>
      </c>
      <c r="B879" s="6" t="s">
        <v>3262</v>
      </c>
      <c r="C879" s="6" t="s">
        <v>3263</v>
      </c>
      <c r="D879" s="6" t="s">
        <v>3264</v>
      </c>
      <c r="E879" s="6" t="s">
        <v>1130</v>
      </c>
      <c r="F879" s="6">
        <v>23454</v>
      </c>
      <c r="G879" s="6"/>
      <c r="H879" s="6"/>
    </row>
    <row r="880" ht="22.15" customHeight="1" spans="1:8">
      <c r="A880" s="6">
        <v>877</v>
      </c>
      <c r="B880" s="6" t="s">
        <v>3265</v>
      </c>
      <c r="C880" s="6" t="s">
        <v>3266</v>
      </c>
      <c r="D880" s="6" t="s">
        <v>1655</v>
      </c>
      <c r="E880" s="6" t="s">
        <v>1656</v>
      </c>
      <c r="F880" s="6">
        <v>97210</v>
      </c>
      <c r="G880" s="6"/>
      <c r="H880" s="6" t="s">
        <v>3267</v>
      </c>
    </row>
    <row r="881" ht="22.15" customHeight="1" spans="1:8">
      <c r="A881" s="6">
        <v>878</v>
      </c>
      <c r="B881" s="6" t="s">
        <v>3268</v>
      </c>
      <c r="C881" s="6" t="s">
        <v>3269</v>
      </c>
      <c r="D881" s="6" t="s">
        <v>3270</v>
      </c>
      <c r="E881" s="6" t="s">
        <v>1656</v>
      </c>
      <c r="F881" s="6" t="s">
        <v>3271</v>
      </c>
      <c r="G881" s="6"/>
      <c r="H881" s="6"/>
    </row>
    <row r="882" ht="22.15" customHeight="1" spans="1:8">
      <c r="A882" s="6">
        <v>879</v>
      </c>
      <c r="B882" s="6" t="s">
        <v>3272</v>
      </c>
      <c r="C882" s="6" t="s">
        <v>3273</v>
      </c>
      <c r="D882" s="6" t="s">
        <v>3274</v>
      </c>
      <c r="E882" s="6" t="s">
        <v>936</v>
      </c>
      <c r="F882" s="6" t="s">
        <v>3275</v>
      </c>
      <c r="G882" s="6"/>
      <c r="H882" s="6"/>
    </row>
    <row r="883" ht="22.15" customHeight="1" spans="1:8">
      <c r="A883" s="6">
        <v>880</v>
      </c>
      <c r="B883" s="6" t="s">
        <v>3276</v>
      </c>
      <c r="C883" s="6" t="s">
        <v>3277</v>
      </c>
      <c r="D883" s="6" t="s">
        <v>1729</v>
      </c>
      <c r="E883" s="6" t="s">
        <v>936</v>
      </c>
      <c r="F883" s="6">
        <v>95838</v>
      </c>
      <c r="G883" s="6"/>
      <c r="H883" s="6"/>
    </row>
    <row r="884" ht="22.15" customHeight="1" spans="1:8">
      <c r="A884" s="6">
        <v>881</v>
      </c>
      <c r="B884" s="6" t="s">
        <v>3278</v>
      </c>
      <c r="C884" s="6" t="s">
        <v>3279</v>
      </c>
      <c r="D884" s="6" t="s">
        <v>3280</v>
      </c>
      <c r="E884" s="6" t="s">
        <v>936</v>
      </c>
      <c r="F884" s="6">
        <v>95054</v>
      </c>
      <c r="G884" s="6"/>
      <c r="H884" s="6"/>
    </row>
    <row r="885" ht="22.15" customHeight="1" spans="1:8">
      <c r="A885" s="6">
        <v>882</v>
      </c>
      <c r="B885" s="6" t="s">
        <v>3281</v>
      </c>
      <c r="C885" s="6" t="s">
        <v>3282</v>
      </c>
      <c r="D885" s="6" t="s">
        <v>3283</v>
      </c>
      <c r="E885" s="6" t="s">
        <v>936</v>
      </c>
      <c r="F885" s="6">
        <v>94577</v>
      </c>
      <c r="G885" s="6"/>
      <c r="H885" s="6"/>
    </row>
    <row r="886" ht="22.15" customHeight="1" spans="1:8">
      <c r="A886" s="6">
        <v>883</v>
      </c>
      <c r="B886" s="6" t="s">
        <v>3284</v>
      </c>
      <c r="C886" s="6" t="s">
        <v>3285</v>
      </c>
      <c r="D886" s="6" t="s">
        <v>1720</v>
      </c>
      <c r="E886" s="6" t="s">
        <v>936</v>
      </c>
      <c r="F886" s="6">
        <v>95131</v>
      </c>
      <c r="G886" s="6"/>
      <c r="H886" s="6"/>
    </row>
    <row r="887" ht="22.15" customHeight="1" spans="1:8">
      <c r="A887" s="6">
        <v>884</v>
      </c>
      <c r="B887" s="6" t="s">
        <v>3286</v>
      </c>
      <c r="C887" s="6" t="s">
        <v>3146</v>
      </c>
      <c r="D887" s="6" t="s">
        <v>1079</v>
      </c>
      <c r="E887" s="6" t="s">
        <v>1069</v>
      </c>
      <c r="F887" s="6">
        <v>37211</v>
      </c>
      <c r="G887" s="6"/>
      <c r="H887" s="6"/>
    </row>
    <row r="888" ht="22.15" customHeight="1" spans="1:8">
      <c r="A888" s="6">
        <v>885</v>
      </c>
      <c r="B888" s="6" t="s">
        <v>3287</v>
      </c>
      <c r="C888" s="6"/>
      <c r="D888" s="6" t="s">
        <v>1262</v>
      </c>
      <c r="E888" s="6" t="s">
        <v>1263</v>
      </c>
      <c r="F888" s="6">
        <v>75014</v>
      </c>
      <c r="G888" s="6"/>
      <c r="H888" s="6" t="s">
        <v>3288</v>
      </c>
    </row>
    <row r="889" ht="22.15" customHeight="1" spans="1:8">
      <c r="A889" s="6">
        <v>886</v>
      </c>
      <c r="B889" s="6" t="s">
        <v>3289</v>
      </c>
      <c r="C889" s="6"/>
      <c r="D889" s="6" t="s">
        <v>1277</v>
      </c>
      <c r="E889" s="6" t="s">
        <v>1263</v>
      </c>
      <c r="F889" s="6">
        <v>73301</v>
      </c>
      <c r="G889" s="6"/>
      <c r="H889" s="6" t="s">
        <v>3290</v>
      </c>
    </row>
    <row r="890" ht="22.15" customHeight="1" spans="1:8">
      <c r="A890" s="6">
        <v>887</v>
      </c>
      <c r="B890" s="6" t="s">
        <v>3291</v>
      </c>
      <c r="C890" s="6" t="s">
        <v>1910</v>
      </c>
      <c r="D890" s="6" t="s">
        <v>1477</v>
      </c>
      <c r="E890" s="6" t="s">
        <v>1263</v>
      </c>
      <c r="F890" s="6" t="s">
        <v>1912</v>
      </c>
      <c r="G890" s="6"/>
      <c r="H890" s="6"/>
    </row>
    <row r="891" ht="22.15" customHeight="1" spans="1:8">
      <c r="A891" s="6">
        <v>888</v>
      </c>
      <c r="B891" s="6" t="s">
        <v>3292</v>
      </c>
      <c r="C891" s="6" t="s">
        <v>3293</v>
      </c>
      <c r="D891" s="6" t="s">
        <v>918</v>
      </c>
      <c r="E891" s="6" t="s">
        <v>919</v>
      </c>
      <c r="F891" s="6">
        <v>98108</v>
      </c>
      <c r="G891" s="6"/>
      <c r="H891" s="6"/>
    </row>
    <row r="892" ht="22.15" customHeight="1" spans="1:8">
      <c r="A892" s="6">
        <v>889</v>
      </c>
      <c r="B892" s="6" t="s">
        <v>3294</v>
      </c>
      <c r="C892" s="6" t="s">
        <v>1823</v>
      </c>
      <c r="D892" s="6" t="s">
        <v>1268</v>
      </c>
      <c r="E892" s="6" t="s">
        <v>1263</v>
      </c>
      <c r="F892" s="6">
        <v>76106</v>
      </c>
      <c r="G892" s="6"/>
      <c r="H892" s="6"/>
    </row>
    <row r="893" ht="22.15" customHeight="1" spans="1:8">
      <c r="A893" s="6">
        <v>890</v>
      </c>
      <c r="B893" s="6" t="s">
        <v>3295</v>
      </c>
      <c r="C893" s="6" t="s">
        <v>3296</v>
      </c>
      <c r="D893" s="6" t="s">
        <v>3050</v>
      </c>
      <c r="E893" s="6" t="s">
        <v>1263</v>
      </c>
      <c r="F893" s="6">
        <v>77802</v>
      </c>
      <c r="G893" s="6"/>
      <c r="H893" s="6"/>
    </row>
    <row r="894" ht="22.15" customHeight="1" spans="1:8">
      <c r="A894" s="6">
        <v>891</v>
      </c>
      <c r="B894" s="6" t="s">
        <v>3297</v>
      </c>
      <c r="C894" s="6" t="s">
        <v>3298</v>
      </c>
      <c r="D894" s="6" t="s">
        <v>3299</v>
      </c>
      <c r="E894" s="6" t="s">
        <v>1263</v>
      </c>
      <c r="F894" s="6">
        <v>78728</v>
      </c>
      <c r="G894" s="6"/>
      <c r="H894" s="6"/>
    </row>
    <row r="895" ht="22.15" customHeight="1" spans="1:8">
      <c r="A895" s="6">
        <v>892</v>
      </c>
      <c r="B895" s="6" t="s">
        <v>3300</v>
      </c>
      <c r="C895" s="6" t="s">
        <v>3301</v>
      </c>
      <c r="D895" s="6" t="s">
        <v>1140</v>
      </c>
      <c r="E895" s="6" t="s">
        <v>1130</v>
      </c>
      <c r="F895" s="6">
        <v>22151</v>
      </c>
      <c r="G895" s="6">
        <v>126900</v>
      </c>
      <c r="H895" s="6" t="s">
        <v>3302</v>
      </c>
    </row>
    <row r="896" ht="22.15" customHeight="1" spans="1:8">
      <c r="A896" s="6">
        <v>893</v>
      </c>
      <c r="B896" s="6" t="s">
        <v>3303</v>
      </c>
      <c r="C896" s="6"/>
      <c r="D896" s="6" t="s">
        <v>2323</v>
      </c>
      <c r="E896" s="6" t="s">
        <v>1130</v>
      </c>
      <c r="F896" s="6"/>
      <c r="G896" s="6"/>
      <c r="H896" s="6" t="s">
        <v>3304</v>
      </c>
    </row>
    <row r="897" ht="22.15" customHeight="1" spans="1:8">
      <c r="A897" s="6">
        <v>894</v>
      </c>
      <c r="B897" s="6" t="s">
        <v>3305</v>
      </c>
      <c r="C897" s="6" t="s">
        <v>3306</v>
      </c>
      <c r="D897" s="6" t="s">
        <v>1452</v>
      </c>
      <c r="E897" s="6" t="s">
        <v>1130</v>
      </c>
      <c r="F897" s="6">
        <v>23230</v>
      </c>
      <c r="G897" s="6">
        <v>11900</v>
      </c>
      <c r="H897" s="6" t="s">
        <v>3307</v>
      </c>
    </row>
    <row r="898" ht="22.15" customHeight="1" spans="1:8">
      <c r="A898" s="6">
        <v>895</v>
      </c>
      <c r="B898" s="6" t="s">
        <v>3308</v>
      </c>
      <c r="C898" s="6" t="s">
        <v>3309</v>
      </c>
      <c r="D898" s="6" t="s">
        <v>800</v>
      </c>
      <c r="E898" s="6" t="s">
        <v>1130</v>
      </c>
      <c r="F898" s="6">
        <v>23230</v>
      </c>
      <c r="G898" s="6"/>
      <c r="H898" s="6"/>
    </row>
    <row r="899" ht="22.15" customHeight="1" spans="1:8">
      <c r="A899" s="6">
        <v>896</v>
      </c>
      <c r="B899" s="6" t="s">
        <v>3310</v>
      </c>
      <c r="C899" s="6" t="s">
        <v>3263</v>
      </c>
      <c r="D899" s="6" t="s">
        <v>3264</v>
      </c>
      <c r="E899" s="6" t="s">
        <v>1130</v>
      </c>
      <c r="F899" s="6">
        <v>23454</v>
      </c>
      <c r="G899" s="6"/>
      <c r="H899" s="6"/>
    </row>
    <row r="900" ht="22.15" customHeight="1" spans="1:8">
      <c r="A900" s="6">
        <v>897</v>
      </c>
      <c r="B900" s="6" t="s">
        <v>3311</v>
      </c>
      <c r="C900" s="6" t="s">
        <v>3312</v>
      </c>
      <c r="D900" s="6" t="s">
        <v>1915</v>
      </c>
      <c r="E900" s="6" t="s">
        <v>919</v>
      </c>
      <c r="F900" s="6">
        <v>98034</v>
      </c>
      <c r="G900" s="6"/>
      <c r="H900" s="6"/>
    </row>
    <row r="901" ht="22.15" customHeight="1" spans="1:8">
      <c r="A901" s="6">
        <v>898</v>
      </c>
      <c r="B901" s="6" t="s">
        <v>3313</v>
      </c>
      <c r="C901" s="6" t="s">
        <v>3314</v>
      </c>
      <c r="D901" s="6" t="s">
        <v>3315</v>
      </c>
      <c r="E901" s="6" t="s">
        <v>919</v>
      </c>
      <c r="F901" s="6">
        <v>98133</v>
      </c>
      <c r="G901" s="6">
        <v>38400</v>
      </c>
      <c r="H901" s="6" t="s">
        <v>3316</v>
      </c>
    </row>
    <row r="902" ht="22.15" customHeight="1" spans="1:8">
      <c r="A902" s="6">
        <v>899</v>
      </c>
      <c r="B902" s="6" t="s">
        <v>3317</v>
      </c>
      <c r="C902" s="6" t="s">
        <v>3318</v>
      </c>
      <c r="D902" s="6" t="s">
        <v>918</v>
      </c>
      <c r="E902" s="6" t="s">
        <v>919</v>
      </c>
      <c r="F902" s="6">
        <v>98121</v>
      </c>
      <c r="G902" s="6">
        <v>18900</v>
      </c>
      <c r="H902" s="6" t="s">
        <v>3319</v>
      </c>
    </row>
    <row r="903" ht="22.15" customHeight="1" spans="1:8">
      <c r="A903" s="6">
        <v>900</v>
      </c>
      <c r="B903" s="6" t="s">
        <v>3320</v>
      </c>
      <c r="C903" s="6" t="s">
        <v>3321</v>
      </c>
      <c r="D903" s="6" t="s">
        <v>918</v>
      </c>
      <c r="E903" s="6" t="s">
        <v>919</v>
      </c>
      <c r="F903" s="6">
        <v>98134</v>
      </c>
      <c r="G903" s="6"/>
      <c r="H903" s="6"/>
    </row>
    <row r="904" ht="22.15" customHeight="1" spans="1:8">
      <c r="A904" s="6">
        <v>901</v>
      </c>
      <c r="B904" s="6" t="s">
        <v>3322</v>
      </c>
      <c r="C904" s="6" t="s">
        <v>3323</v>
      </c>
      <c r="D904" s="6" t="s">
        <v>1424</v>
      </c>
      <c r="E904" s="6" t="s">
        <v>919</v>
      </c>
      <c r="F904" s="6">
        <v>98188</v>
      </c>
      <c r="G904" s="6"/>
      <c r="H904" s="6"/>
    </row>
    <row r="905" ht="22.15" customHeight="1" spans="1:8">
      <c r="A905" s="6">
        <v>902</v>
      </c>
      <c r="B905" s="6" t="s">
        <v>3324</v>
      </c>
      <c r="C905" s="6" t="s">
        <v>3325</v>
      </c>
      <c r="D905" s="6" t="s">
        <v>1617</v>
      </c>
      <c r="E905" s="6" t="s">
        <v>1618</v>
      </c>
      <c r="F905" s="6">
        <v>53215</v>
      </c>
      <c r="G905" s="6"/>
      <c r="H905" s="6"/>
    </row>
    <row r="906" ht="22.15" customHeight="1" spans="1:8">
      <c r="A906" s="6">
        <v>903</v>
      </c>
      <c r="B906" s="6" t="s">
        <v>3326</v>
      </c>
      <c r="C906" s="6" t="s">
        <v>3327</v>
      </c>
      <c r="D906" s="6" t="s">
        <v>976</v>
      </c>
      <c r="E906" s="6" t="s">
        <v>919</v>
      </c>
      <c r="F906" s="6">
        <v>98032</v>
      </c>
      <c r="G906" s="6"/>
      <c r="H906" s="6"/>
    </row>
    <row r="907" ht="22.15" customHeight="1" spans="1:8">
      <c r="A907" s="6">
        <v>904</v>
      </c>
      <c r="B907" s="6" t="s">
        <v>3328</v>
      </c>
      <c r="C907" s="6" t="s">
        <v>1004</v>
      </c>
      <c r="D907" s="6" t="s">
        <v>1001</v>
      </c>
      <c r="E907" s="6" t="s">
        <v>923</v>
      </c>
      <c r="F907" s="6" t="s">
        <v>1005</v>
      </c>
      <c r="G907" s="6"/>
      <c r="H907" s="6"/>
    </row>
    <row r="908" ht="22.15" customHeight="1" spans="1:8">
      <c r="A908" s="6">
        <v>905</v>
      </c>
      <c r="B908" s="6" t="s">
        <v>3329</v>
      </c>
      <c r="C908" s="6" t="s">
        <v>3330</v>
      </c>
      <c r="D908" s="6" t="s">
        <v>3331</v>
      </c>
      <c r="E908" s="6" t="s">
        <v>2824</v>
      </c>
      <c r="F908" s="6">
        <v>68127</v>
      </c>
      <c r="G908" s="6"/>
      <c r="H908" s="6"/>
    </row>
    <row r="909" ht="22.15" customHeight="1" spans="1:8">
      <c r="A909" s="6">
        <v>906</v>
      </c>
      <c r="B909" s="6" t="s">
        <v>3332</v>
      </c>
      <c r="C909" s="6" t="s">
        <v>982</v>
      </c>
      <c r="D909" s="6" t="s">
        <v>983</v>
      </c>
      <c r="E909" s="6" t="s">
        <v>961</v>
      </c>
      <c r="F909" s="6">
        <v>30291</v>
      </c>
      <c r="G909" s="6"/>
      <c r="H909" s="6"/>
    </row>
    <row r="910" ht="22.15" customHeight="1" spans="1:8">
      <c r="A910" s="6">
        <v>907</v>
      </c>
      <c r="B910" s="6" t="s">
        <v>3333</v>
      </c>
      <c r="C910" s="6" t="s">
        <v>3334</v>
      </c>
      <c r="D910" s="6" t="s">
        <v>1001</v>
      </c>
      <c r="E910" s="6" t="s">
        <v>923</v>
      </c>
      <c r="F910" s="6">
        <v>18640</v>
      </c>
      <c r="G910" s="6"/>
      <c r="H910" s="6"/>
    </row>
    <row r="911" ht="22.15" customHeight="1" spans="1:8">
      <c r="A911" s="6">
        <v>908</v>
      </c>
      <c r="B911" s="6" t="s">
        <v>3335</v>
      </c>
      <c r="C911" s="6" t="s">
        <v>3336</v>
      </c>
      <c r="D911" s="6" t="s">
        <v>3337</v>
      </c>
      <c r="E911" s="6" t="s">
        <v>923</v>
      </c>
      <c r="F911" s="6">
        <v>18512</v>
      </c>
      <c r="G911" s="6"/>
      <c r="H911" s="6"/>
    </row>
    <row r="912" ht="22.15" customHeight="1" spans="1:8">
      <c r="A912" s="6">
        <v>909</v>
      </c>
      <c r="B912" s="6" t="s">
        <v>3338</v>
      </c>
      <c r="C912" s="6" t="s">
        <v>3339</v>
      </c>
      <c r="D912" s="6" t="s">
        <v>3340</v>
      </c>
      <c r="E912" s="6" t="s">
        <v>936</v>
      </c>
      <c r="F912" s="6">
        <v>92345</v>
      </c>
      <c r="G912" s="6"/>
      <c r="H912" s="6"/>
    </row>
    <row r="913" ht="22.15" customHeight="1" spans="1:8">
      <c r="A913" s="6">
        <v>910</v>
      </c>
      <c r="B913" s="6" t="s">
        <v>3341</v>
      </c>
      <c r="C913" s="6" t="s">
        <v>3342</v>
      </c>
      <c r="D913" s="6" t="s">
        <v>3343</v>
      </c>
      <c r="E913" s="6" t="s">
        <v>923</v>
      </c>
      <c r="F913" s="6">
        <v>17963</v>
      </c>
      <c r="G913" s="6"/>
      <c r="H913" s="6"/>
    </row>
    <row r="914" ht="22.15" customHeight="1" spans="1:8">
      <c r="A914" s="6">
        <v>911</v>
      </c>
      <c r="B914" s="6" t="s">
        <v>3344</v>
      </c>
      <c r="C914" s="6" t="s">
        <v>3345</v>
      </c>
      <c r="D914" s="6" t="s">
        <v>1867</v>
      </c>
      <c r="E914" s="6" t="s">
        <v>936</v>
      </c>
      <c r="F914" s="6">
        <v>92335</v>
      </c>
      <c r="G914" s="6"/>
      <c r="H914" s="6"/>
    </row>
    <row r="915" ht="22.15" customHeight="1" spans="1:8">
      <c r="A915" s="6">
        <v>912</v>
      </c>
      <c r="B915" s="6" t="s">
        <v>3346</v>
      </c>
      <c r="C915" s="6" t="s">
        <v>3347</v>
      </c>
      <c r="D915" s="6" t="s">
        <v>1867</v>
      </c>
      <c r="E915" s="6" t="s">
        <v>936</v>
      </c>
      <c r="F915" s="6" t="s">
        <v>3348</v>
      </c>
      <c r="G915" s="6"/>
      <c r="H915" s="6"/>
    </row>
    <row r="916" ht="22.15" customHeight="1" spans="1:8">
      <c r="A916" s="6">
        <v>913</v>
      </c>
      <c r="B916" s="6" t="s">
        <v>3349</v>
      </c>
      <c r="C916" s="6" t="s">
        <v>3350</v>
      </c>
      <c r="D916" s="6" t="s">
        <v>1268</v>
      </c>
      <c r="E916" s="6" t="s">
        <v>1263</v>
      </c>
      <c r="F916" s="6">
        <v>76106</v>
      </c>
      <c r="G916" s="6"/>
      <c r="H916" s="6"/>
    </row>
    <row r="917" ht="22.15" customHeight="1" spans="1:8">
      <c r="A917" s="6">
        <v>914</v>
      </c>
      <c r="B917" s="6" t="s">
        <v>3351</v>
      </c>
      <c r="C917" s="6" t="s">
        <v>3352</v>
      </c>
      <c r="D917" s="6" t="s">
        <v>2119</v>
      </c>
      <c r="E917" s="6" t="s">
        <v>936</v>
      </c>
      <c r="F917" s="6">
        <v>92408</v>
      </c>
      <c r="G917" s="6"/>
      <c r="H917" s="6"/>
    </row>
    <row r="918" ht="22.15" customHeight="1" spans="1:8">
      <c r="A918" s="6">
        <v>915</v>
      </c>
      <c r="B918" s="6" t="s">
        <v>3353</v>
      </c>
      <c r="C918" s="6" t="s">
        <v>3354</v>
      </c>
      <c r="D918" s="6" t="s">
        <v>3355</v>
      </c>
      <c r="E918" s="6" t="s">
        <v>923</v>
      </c>
      <c r="F918" s="6">
        <v>17408</v>
      </c>
      <c r="G918" s="6"/>
      <c r="H918" s="6"/>
    </row>
    <row r="919" ht="22.15" customHeight="1" spans="1:8">
      <c r="A919" s="6">
        <v>916</v>
      </c>
      <c r="B919" s="6" t="s">
        <v>3356</v>
      </c>
      <c r="C919" s="6" t="s">
        <v>3357</v>
      </c>
      <c r="D919" s="6" t="s">
        <v>3358</v>
      </c>
      <c r="E919" s="6" t="s">
        <v>923</v>
      </c>
      <c r="F919" s="6">
        <v>18643</v>
      </c>
      <c r="G919" s="6"/>
      <c r="H919" s="6"/>
    </row>
    <row r="920" ht="22.15" customHeight="1" spans="1:8">
      <c r="A920" s="6">
        <v>917</v>
      </c>
      <c r="B920" s="6" t="s">
        <v>3359</v>
      </c>
      <c r="C920" s="6" t="s">
        <v>3360</v>
      </c>
      <c r="D920" s="6" t="s">
        <v>935</v>
      </c>
      <c r="E920" s="6" t="s">
        <v>936</v>
      </c>
      <c r="F920" s="6" t="s">
        <v>3361</v>
      </c>
      <c r="G920" s="6"/>
      <c r="H920" s="6"/>
    </row>
    <row r="921" ht="22.15" customHeight="1" spans="1:8">
      <c r="A921" s="6">
        <v>918</v>
      </c>
      <c r="B921" s="6" t="s">
        <v>3362</v>
      </c>
      <c r="C921" s="6" t="s">
        <v>3363</v>
      </c>
      <c r="D921" s="6" t="s">
        <v>3364</v>
      </c>
      <c r="E921" s="6" t="s">
        <v>961</v>
      </c>
      <c r="F921" s="6">
        <v>30168</v>
      </c>
      <c r="G921" s="6"/>
      <c r="H921" s="6"/>
    </row>
    <row r="922" ht="22.15" customHeight="1" spans="1:8">
      <c r="A922" s="6">
        <v>919</v>
      </c>
      <c r="B922" s="6" t="s">
        <v>3365</v>
      </c>
      <c r="C922" s="6" t="s">
        <v>3366</v>
      </c>
      <c r="D922" s="6" t="s">
        <v>1260</v>
      </c>
      <c r="E922" s="6" t="s">
        <v>923</v>
      </c>
      <c r="F922" s="6">
        <v>18020</v>
      </c>
      <c r="G922" s="6"/>
      <c r="H922" s="6"/>
    </row>
    <row r="923" ht="22.15" customHeight="1" spans="1:8">
      <c r="A923" s="6">
        <v>920</v>
      </c>
      <c r="B923" s="6" t="s">
        <v>3367</v>
      </c>
      <c r="C923" s="6" t="s">
        <v>3368</v>
      </c>
      <c r="D923" s="6" t="s">
        <v>2126</v>
      </c>
      <c r="E923" s="6" t="s">
        <v>936</v>
      </c>
      <c r="F923" s="6" t="s">
        <v>3369</v>
      </c>
      <c r="G923" s="6"/>
      <c r="H923" s="6"/>
    </row>
    <row r="924" ht="22.15" customHeight="1" spans="1:8">
      <c r="A924" s="6">
        <v>921</v>
      </c>
      <c r="B924" s="6" t="s">
        <v>3370</v>
      </c>
      <c r="C924" s="6" t="s">
        <v>3371</v>
      </c>
      <c r="D924" s="6" t="s">
        <v>2160</v>
      </c>
      <c r="E924" s="6" t="s">
        <v>923</v>
      </c>
      <c r="F924" s="6">
        <v>17013</v>
      </c>
      <c r="G924" s="6"/>
      <c r="H924" s="6"/>
    </row>
    <row r="925" ht="22.15" customHeight="1" spans="1:8">
      <c r="A925" s="6">
        <v>922</v>
      </c>
      <c r="B925" s="6" t="s">
        <v>3372</v>
      </c>
      <c r="C925" s="6" t="s">
        <v>3373</v>
      </c>
      <c r="D925" s="6" t="s">
        <v>2160</v>
      </c>
      <c r="E925" s="6" t="s">
        <v>923</v>
      </c>
      <c r="F925" s="6">
        <v>17015</v>
      </c>
      <c r="G925" s="6"/>
      <c r="H925" s="6"/>
    </row>
    <row r="926" ht="22.15" customHeight="1" spans="1:8">
      <c r="A926" s="6">
        <v>923</v>
      </c>
      <c r="B926" s="6" t="s">
        <v>3374</v>
      </c>
      <c r="C926" s="6" t="s">
        <v>3375</v>
      </c>
      <c r="D926" s="6" t="s">
        <v>3364</v>
      </c>
      <c r="E926" s="6" t="s">
        <v>961</v>
      </c>
      <c r="F926" s="6">
        <v>30168</v>
      </c>
      <c r="G926" s="6"/>
      <c r="H926" s="6"/>
    </row>
    <row r="927" ht="22.15" customHeight="1" spans="1:8">
      <c r="A927" s="6">
        <v>924</v>
      </c>
      <c r="B927" s="6" t="s">
        <v>3376</v>
      </c>
      <c r="C927" s="6" t="s">
        <v>3377</v>
      </c>
      <c r="D927" s="6" t="s">
        <v>3378</v>
      </c>
      <c r="E927" s="6" t="s">
        <v>923</v>
      </c>
      <c r="F927" s="6">
        <v>17257</v>
      </c>
      <c r="G927" s="6"/>
      <c r="H927" s="6"/>
    </row>
    <row r="928" ht="22.15" customHeight="1" spans="1:8">
      <c r="A928" s="6">
        <v>925</v>
      </c>
      <c r="B928" s="6" t="s">
        <v>3379</v>
      </c>
      <c r="C928" s="6" t="s">
        <v>3380</v>
      </c>
      <c r="D928" s="6" t="s">
        <v>3095</v>
      </c>
      <c r="E928" s="6" t="s">
        <v>936</v>
      </c>
      <c r="F928" s="6">
        <v>95376</v>
      </c>
      <c r="G928" s="6"/>
      <c r="H928" s="6"/>
    </row>
    <row r="929" ht="22.15" customHeight="1" spans="1:8">
      <c r="A929" s="6">
        <v>926</v>
      </c>
      <c r="B929" s="6" t="s">
        <v>3381</v>
      </c>
      <c r="C929" s="6" t="s">
        <v>3382</v>
      </c>
      <c r="D929" s="6" t="s">
        <v>3383</v>
      </c>
      <c r="E929" s="6" t="s">
        <v>1499</v>
      </c>
      <c r="F929" s="6">
        <v>46404</v>
      </c>
      <c r="G929" s="6"/>
      <c r="H929" s="6"/>
    </row>
    <row r="930" ht="22.15" customHeight="1" spans="1:8">
      <c r="A930" s="6">
        <v>927</v>
      </c>
      <c r="B930" s="6" t="s">
        <v>3384</v>
      </c>
      <c r="C930" s="6" t="s">
        <v>3385</v>
      </c>
      <c r="D930" s="6" t="s">
        <v>3386</v>
      </c>
      <c r="E930" s="6" t="s">
        <v>1263</v>
      </c>
      <c r="F930" s="6">
        <v>75149</v>
      </c>
      <c r="G930" s="6"/>
      <c r="H930" s="6"/>
    </row>
    <row r="931" ht="22.15" customHeight="1" spans="1:8">
      <c r="A931" s="6">
        <v>928</v>
      </c>
      <c r="B931" s="6" t="s">
        <v>3387</v>
      </c>
      <c r="C931" s="6" t="s">
        <v>3388</v>
      </c>
      <c r="D931" s="6" t="s">
        <v>3389</v>
      </c>
      <c r="E931" s="6" t="s">
        <v>1618</v>
      </c>
      <c r="F931" s="6">
        <v>53158</v>
      </c>
      <c r="G931" s="6"/>
      <c r="H931" s="6"/>
    </row>
    <row r="932" ht="22.15" customHeight="1" spans="1:8">
      <c r="A932" s="6">
        <v>929</v>
      </c>
      <c r="B932" s="6" t="s">
        <v>3390</v>
      </c>
      <c r="C932" s="6" t="s">
        <v>3391</v>
      </c>
      <c r="D932" s="6" t="s">
        <v>3392</v>
      </c>
      <c r="E932" s="6" t="s">
        <v>965</v>
      </c>
      <c r="F932" s="6">
        <v>44139</v>
      </c>
      <c r="G932" s="6"/>
      <c r="H932" s="6"/>
    </row>
    <row r="933" ht="22.15" customHeight="1" spans="1:8">
      <c r="A933" s="6">
        <v>930</v>
      </c>
      <c r="B933" s="6" t="s">
        <v>3393</v>
      </c>
      <c r="C933" s="6" t="s">
        <v>3394</v>
      </c>
      <c r="D933" s="6" t="s">
        <v>2911</v>
      </c>
      <c r="E933" s="6" t="s">
        <v>936</v>
      </c>
      <c r="F933" s="6" t="s">
        <v>3395</v>
      </c>
      <c r="G933" s="6"/>
      <c r="H933" s="6"/>
    </row>
    <row r="934" ht="22.15" customHeight="1" spans="1:8">
      <c r="A934" s="6">
        <v>931</v>
      </c>
      <c r="B934" s="6" t="s">
        <v>3396</v>
      </c>
      <c r="C934" s="6" t="s">
        <v>3397</v>
      </c>
      <c r="D934" s="6" t="s">
        <v>980</v>
      </c>
      <c r="E934" s="6" t="s">
        <v>961</v>
      </c>
      <c r="F934" s="6">
        <v>30344</v>
      </c>
      <c r="G934" s="6"/>
      <c r="H934" s="6"/>
    </row>
    <row r="935" ht="22.15" customHeight="1" spans="1:8">
      <c r="A935" s="6">
        <v>932</v>
      </c>
      <c r="B935" s="6" t="s">
        <v>3398</v>
      </c>
      <c r="C935" s="6" t="s">
        <v>3399</v>
      </c>
      <c r="D935" s="6" t="s">
        <v>1455</v>
      </c>
      <c r="E935" s="6" t="s">
        <v>1263</v>
      </c>
      <c r="F935" s="6">
        <v>75261</v>
      </c>
      <c r="G935" s="6"/>
      <c r="H935" s="6"/>
    </row>
    <row r="936" ht="22.15" customHeight="1" spans="1:8">
      <c r="A936" s="6">
        <v>933</v>
      </c>
      <c r="B936" s="6" t="s">
        <v>3400</v>
      </c>
      <c r="C936" s="6" t="s">
        <v>3401</v>
      </c>
      <c r="D936" s="6" t="s">
        <v>1999</v>
      </c>
      <c r="E936" s="6" t="s">
        <v>939</v>
      </c>
      <c r="F936" s="6">
        <v>8085</v>
      </c>
      <c r="G936" s="6"/>
      <c r="H936" s="6"/>
    </row>
    <row r="937" ht="22.15" customHeight="1" spans="1:8">
      <c r="A937" s="6">
        <v>934</v>
      </c>
      <c r="B937" s="6" t="s">
        <v>3402</v>
      </c>
      <c r="C937" s="6" t="s">
        <v>3403</v>
      </c>
      <c r="D937" s="6" t="s">
        <v>3404</v>
      </c>
      <c r="E937" s="6" t="s">
        <v>936</v>
      </c>
      <c r="F937" s="6">
        <v>90501</v>
      </c>
      <c r="G937" s="6"/>
      <c r="H937" s="6"/>
    </row>
    <row r="938" ht="22.15" customHeight="1" spans="1:8">
      <c r="A938" s="6">
        <v>935</v>
      </c>
      <c r="B938" s="6" t="s">
        <v>3405</v>
      </c>
      <c r="C938" s="6" t="s">
        <v>3401</v>
      </c>
      <c r="D938" s="6" t="s">
        <v>3097</v>
      </c>
      <c r="E938" s="6" t="s">
        <v>939</v>
      </c>
      <c r="F938" s="6">
        <v>8085</v>
      </c>
      <c r="G938" s="6"/>
      <c r="H938" s="6"/>
    </row>
    <row r="939" ht="22.15" customHeight="1" spans="1:8">
      <c r="A939" s="6">
        <v>936</v>
      </c>
      <c r="B939" s="6" t="s">
        <v>3406</v>
      </c>
      <c r="C939" s="6" t="s">
        <v>3407</v>
      </c>
      <c r="D939" s="6" t="s">
        <v>3408</v>
      </c>
      <c r="E939" s="6" t="s">
        <v>1499</v>
      </c>
      <c r="F939" s="6">
        <v>46143</v>
      </c>
      <c r="G939" s="6"/>
      <c r="H939" s="6"/>
    </row>
    <row r="940" ht="22.15" customHeight="1" spans="1:8">
      <c r="A940" s="6">
        <v>937</v>
      </c>
      <c r="B940" s="6" t="s">
        <v>3409</v>
      </c>
      <c r="C940" s="6" t="s">
        <v>3410</v>
      </c>
      <c r="D940" s="6" t="s">
        <v>2123</v>
      </c>
      <c r="E940" s="6" t="s">
        <v>936</v>
      </c>
      <c r="F940" s="6" t="s">
        <v>3411</v>
      </c>
      <c r="G940" s="6"/>
      <c r="H940" s="6"/>
    </row>
    <row r="941" ht="22.15" customHeight="1" spans="1:8">
      <c r="A941" s="6">
        <v>938</v>
      </c>
      <c r="B941" s="6" t="s">
        <v>3412</v>
      </c>
      <c r="C941" s="6" t="s">
        <v>3413</v>
      </c>
      <c r="D941" s="6" t="s">
        <v>3414</v>
      </c>
      <c r="E941" s="6" t="s">
        <v>939</v>
      </c>
      <c r="F941" s="6">
        <v>8810</v>
      </c>
      <c r="G941" s="6"/>
      <c r="H941" s="6"/>
    </row>
    <row r="942" ht="22.15" customHeight="1" spans="1:8">
      <c r="A942" s="6">
        <v>939</v>
      </c>
      <c r="B942" s="6" t="s">
        <v>3415</v>
      </c>
      <c r="C942" s="6" t="s">
        <v>3416</v>
      </c>
      <c r="D942" s="6" t="s">
        <v>2035</v>
      </c>
      <c r="E942" s="6" t="s">
        <v>936</v>
      </c>
      <c r="F942" s="6" t="s">
        <v>3417</v>
      </c>
      <c r="G942" s="6"/>
      <c r="H942" s="6"/>
    </row>
    <row r="943" ht="22.15" customHeight="1" spans="1:8">
      <c r="A943" s="6">
        <v>940</v>
      </c>
      <c r="B943" s="6" t="s">
        <v>3418</v>
      </c>
      <c r="C943" s="6" t="s">
        <v>3419</v>
      </c>
      <c r="D943" s="6" t="s">
        <v>3420</v>
      </c>
      <c r="E943" s="6" t="s">
        <v>961</v>
      </c>
      <c r="F943" s="6">
        <v>30253</v>
      </c>
      <c r="G943" s="6"/>
      <c r="H943" s="6"/>
    </row>
    <row r="944" ht="22.15" customHeight="1" spans="1:8">
      <c r="A944" s="6">
        <v>941</v>
      </c>
      <c r="B944" s="6" t="s">
        <v>3421</v>
      </c>
      <c r="C944" s="6" t="s">
        <v>3422</v>
      </c>
      <c r="D944" s="6" t="s">
        <v>2032</v>
      </c>
      <c r="E944" s="6" t="s">
        <v>1166</v>
      </c>
      <c r="F944" s="6">
        <v>60421</v>
      </c>
      <c r="G944" s="6"/>
      <c r="H944" s="6"/>
    </row>
    <row r="945" ht="22.15" customHeight="1" spans="1:8">
      <c r="A945" s="6">
        <v>942</v>
      </c>
      <c r="B945" s="6" t="s">
        <v>3423</v>
      </c>
      <c r="C945" s="6" t="s">
        <v>3424</v>
      </c>
      <c r="D945" s="6" t="s">
        <v>1655</v>
      </c>
      <c r="E945" s="6" t="s">
        <v>1656</v>
      </c>
      <c r="F945" s="6">
        <v>97203</v>
      </c>
      <c r="G945" s="6"/>
      <c r="H945" s="6"/>
    </row>
    <row r="946" ht="22.15" customHeight="1" spans="1:8">
      <c r="A946" s="6">
        <v>943</v>
      </c>
      <c r="B946" s="6" t="s">
        <v>3425</v>
      </c>
      <c r="C946" s="6" t="s">
        <v>3426</v>
      </c>
      <c r="D946" s="6" t="s">
        <v>2307</v>
      </c>
      <c r="E946" s="6" t="s">
        <v>936</v>
      </c>
      <c r="F946" s="6">
        <v>92551</v>
      </c>
      <c r="G946" s="6"/>
      <c r="H946" s="6"/>
    </row>
    <row r="947" ht="22.15" customHeight="1" spans="1:8">
      <c r="A947" s="6">
        <v>944</v>
      </c>
      <c r="B947" s="6" t="s">
        <v>3427</v>
      </c>
      <c r="C947" s="6" t="s">
        <v>3428</v>
      </c>
      <c r="D947" s="6" t="s">
        <v>3378</v>
      </c>
      <c r="E947" s="6" t="s">
        <v>923</v>
      </c>
      <c r="F947" s="6">
        <v>17257</v>
      </c>
      <c r="G947" s="6"/>
      <c r="H947" s="6"/>
    </row>
    <row r="948" ht="22.15" customHeight="1" spans="1:8">
      <c r="A948" s="6">
        <v>945</v>
      </c>
      <c r="B948" s="6" t="s">
        <v>3429</v>
      </c>
      <c r="C948" s="6" t="s">
        <v>3430</v>
      </c>
      <c r="D948" s="6" t="s">
        <v>3431</v>
      </c>
      <c r="E948" s="6" t="s">
        <v>1263</v>
      </c>
      <c r="F948" s="6">
        <v>75172</v>
      </c>
      <c r="G948" s="6"/>
      <c r="H948" s="6"/>
    </row>
    <row r="949" ht="22.15" customHeight="1" spans="1:8">
      <c r="A949" s="6">
        <v>946</v>
      </c>
      <c r="B949" s="6" t="s">
        <v>3432</v>
      </c>
      <c r="C949" s="6" t="s">
        <v>3433</v>
      </c>
      <c r="D949" s="6" t="s">
        <v>983</v>
      </c>
      <c r="E949" s="6" t="s">
        <v>961</v>
      </c>
      <c r="F949" s="6">
        <v>30291</v>
      </c>
      <c r="G949" s="6"/>
      <c r="H949" s="6"/>
    </row>
    <row r="950" ht="22.15" customHeight="1" spans="1:8">
      <c r="A950" s="6">
        <v>947</v>
      </c>
      <c r="B950" s="6" t="s">
        <v>3434</v>
      </c>
      <c r="C950" s="6" t="s">
        <v>3435</v>
      </c>
      <c r="D950" s="6" t="s">
        <v>976</v>
      </c>
      <c r="E950" s="6" t="s">
        <v>919</v>
      </c>
      <c r="F950" s="6">
        <v>98032</v>
      </c>
      <c r="G950" s="6"/>
      <c r="H950" s="6"/>
    </row>
    <row r="951" ht="22.15" customHeight="1" spans="1:8">
      <c r="A951" s="6">
        <v>948</v>
      </c>
      <c r="B951" s="6" t="s">
        <v>3436</v>
      </c>
      <c r="C951" s="6" t="s">
        <v>3437</v>
      </c>
      <c r="D951" s="6" t="s">
        <v>3420</v>
      </c>
      <c r="E951" s="6" t="s">
        <v>961</v>
      </c>
      <c r="F951" s="6">
        <v>30253</v>
      </c>
      <c r="G951" s="6"/>
      <c r="H951" s="6"/>
    </row>
    <row r="952" ht="22.15" customHeight="1" spans="1:8">
      <c r="A952" s="6">
        <v>949</v>
      </c>
      <c r="B952" s="6" t="s">
        <v>3438</v>
      </c>
      <c r="C952" s="6" t="s">
        <v>3439</v>
      </c>
      <c r="D952" s="6" t="s">
        <v>1816</v>
      </c>
      <c r="E952" s="6" t="s">
        <v>1263</v>
      </c>
      <c r="F952" s="6">
        <v>75236</v>
      </c>
      <c r="G952" s="6"/>
      <c r="H952" s="6"/>
    </row>
    <row r="953" ht="22.15" customHeight="1" spans="1:8">
      <c r="A953" s="6">
        <v>950</v>
      </c>
      <c r="B953" s="6" t="s">
        <v>3440</v>
      </c>
      <c r="C953" s="6" t="s">
        <v>3441</v>
      </c>
      <c r="D953" s="6" t="s">
        <v>1867</v>
      </c>
      <c r="E953" s="6" t="s">
        <v>936</v>
      </c>
      <c r="F953" s="6">
        <v>92335</v>
      </c>
      <c r="G953" s="6"/>
      <c r="H953" s="6"/>
    </row>
    <row r="954" ht="22.15" customHeight="1" spans="1:8">
      <c r="A954" s="6">
        <v>951</v>
      </c>
      <c r="B954" s="6" t="s">
        <v>3442</v>
      </c>
      <c r="C954" s="6" t="s">
        <v>3443</v>
      </c>
      <c r="D954" s="6" t="s">
        <v>2684</v>
      </c>
      <c r="E954" s="6" t="s">
        <v>1166</v>
      </c>
      <c r="F954" s="6">
        <v>62025</v>
      </c>
      <c r="G954" s="6"/>
      <c r="H954" s="6"/>
    </row>
    <row r="955" ht="22.15" customHeight="1" spans="1:8">
      <c r="A955" s="6">
        <v>952</v>
      </c>
      <c r="B955" s="6" t="s">
        <v>3444</v>
      </c>
      <c r="C955" s="6" t="s">
        <v>3445</v>
      </c>
      <c r="D955" s="6" t="s">
        <v>3446</v>
      </c>
      <c r="E955" s="6" t="s">
        <v>1557</v>
      </c>
      <c r="F955" s="6">
        <v>63755</v>
      </c>
      <c r="G955" s="6"/>
      <c r="H955" s="6"/>
    </row>
    <row r="956" ht="22.15" customHeight="1" spans="1:8">
      <c r="A956" s="6">
        <v>953</v>
      </c>
      <c r="B956" s="6" t="s">
        <v>3447</v>
      </c>
      <c r="C956" s="6" t="s">
        <v>3448</v>
      </c>
      <c r="D956" s="6" t="s">
        <v>3449</v>
      </c>
      <c r="E956" s="6" t="s">
        <v>1557</v>
      </c>
      <c r="F956" s="6">
        <v>63376</v>
      </c>
      <c r="G956" s="6"/>
      <c r="H956" s="6"/>
    </row>
    <row r="957" ht="22.15" customHeight="1" spans="1:8">
      <c r="A957" s="6">
        <v>954</v>
      </c>
      <c r="B957" s="6" t="s">
        <v>3450</v>
      </c>
      <c r="C957" s="6" t="s">
        <v>3451</v>
      </c>
      <c r="D957" s="6" t="s">
        <v>3452</v>
      </c>
      <c r="E957" s="6" t="s">
        <v>965</v>
      </c>
      <c r="F957" s="6" t="s">
        <v>3453</v>
      </c>
      <c r="G957" s="6"/>
      <c r="H957" s="6"/>
    </row>
    <row r="958" ht="22.15" customHeight="1" spans="1:8">
      <c r="A958" s="6">
        <v>955</v>
      </c>
      <c r="B958" s="6" t="s">
        <v>3454</v>
      </c>
      <c r="C958" s="6" t="s">
        <v>3455</v>
      </c>
      <c r="D958" s="6" t="s">
        <v>2116</v>
      </c>
      <c r="E958" s="6" t="s">
        <v>936</v>
      </c>
      <c r="F958" s="6">
        <v>92374</v>
      </c>
      <c r="G958" s="6"/>
      <c r="H958" s="6"/>
    </row>
    <row r="959" ht="22.15" customHeight="1" spans="1:8">
      <c r="A959" s="6">
        <v>956</v>
      </c>
      <c r="B959" s="6" t="s">
        <v>3456</v>
      </c>
      <c r="C959" s="6" t="s">
        <v>3457</v>
      </c>
      <c r="D959" s="6" t="s">
        <v>986</v>
      </c>
      <c r="E959" s="6" t="s">
        <v>961</v>
      </c>
      <c r="F959" s="6">
        <v>30122</v>
      </c>
      <c r="G959" s="6"/>
      <c r="H959" s="6"/>
    </row>
    <row r="960" ht="22.15" customHeight="1" spans="1:8">
      <c r="A960" s="6">
        <v>957</v>
      </c>
      <c r="B960" s="6" t="s">
        <v>3458</v>
      </c>
      <c r="C960" s="6" t="s">
        <v>3459</v>
      </c>
      <c r="D960" s="6" t="s">
        <v>1268</v>
      </c>
      <c r="E960" s="6" t="s">
        <v>1263</v>
      </c>
      <c r="F960" s="6">
        <v>76177</v>
      </c>
      <c r="G960" s="6"/>
      <c r="H960" s="6"/>
    </row>
    <row r="961" ht="22.15" customHeight="1" spans="1:8">
      <c r="A961" s="6">
        <v>958</v>
      </c>
      <c r="B961" s="6" t="s">
        <v>3460</v>
      </c>
      <c r="C961" s="6" t="s">
        <v>3461</v>
      </c>
      <c r="D961" s="6" t="s">
        <v>3462</v>
      </c>
      <c r="E961" s="6" t="s">
        <v>969</v>
      </c>
      <c r="F961" s="6">
        <v>11779</v>
      </c>
      <c r="G961" s="6"/>
      <c r="H961" s="6"/>
    </row>
    <row r="962" ht="22.15" customHeight="1" spans="1:8">
      <c r="A962" s="6">
        <v>959</v>
      </c>
      <c r="B962" s="6" t="s">
        <v>3463</v>
      </c>
      <c r="C962" s="6" t="s">
        <v>3464</v>
      </c>
      <c r="D962" s="6" t="s">
        <v>3465</v>
      </c>
      <c r="E962" s="6" t="s">
        <v>1499</v>
      </c>
      <c r="F962" s="6">
        <v>47620</v>
      </c>
      <c r="G962" s="6"/>
      <c r="H962" s="6"/>
    </row>
    <row r="963" ht="22.15" customHeight="1" spans="1:8">
      <c r="A963" s="6">
        <v>960</v>
      </c>
      <c r="B963" s="6" t="s">
        <v>3466</v>
      </c>
      <c r="C963" s="6" t="s">
        <v>3467</v>
      </c>
      <c r="D963" s="6" t="s">
        <v>992</v>
      </c>
      <c r="E963" s="6" t="s">
        <v>923</v>
      </c>
      <c r="F963" s="6">
        <v>18202</v>
      </c>
      <c r="G963" s="6"/>
      <c r="H963" s="6"/>
    </row>
    <row r="964" ht="22.15" customHeight="1" spans="1:8">
      <c r="A964" s="6">
        <v>961</v>
      </c>
      <c r="B964" s="6" t="s">
        <v>3468</v>
      </c>
      <c r="C964" s="6" t="s">
        <v>3469</v>
      </c>
      <c r="D964" s="6" t="s">
        <v>3013</v>
      </c>
      <c r="E964" s="6" t="s">
        <v>1499</v>
      </c>
      <c r="F964" s="6">
        <v>46158</v>
      </c>
      <c r="G964" s="6"/>
      <c r="H964" s="6"/>
    </row>
    <row r="965" ht="22.15" customHeight="1" spans="1:8">
      <c r="A965" s="6">
        <v>962</v>
      </c>
      <c r="B965" s="6" t="s">
        <v>3470</v>
      </c>
      <c r="C965" s="6" t="s">
        <v>3471</v>
      </c>
      <c r="D965" s="6" t="s">
        <v>3472</v>
      </c>
      <c r="E965" s="6" t="s">
        <v>1499</v>
      </c>
      <c r="F965" s="6">
        <v>46168</v>
      </c>
      <c r="G965" s="6"/>
      <c r="H965" s="6"/>
    </row>
    <row r="966" ht="22.15" customHeight="1" spans="1:8">
      <c r="A966" s="6">
        <v>963</v>
      </c>
      <c r="B966" s="6" t="s">
        <v>3473</v>
      </c>
      <c r="C966" s="6" t="s">
        <v>3474</v>
      </c>
      <c r="D966" s="6" t="s">
        <v>3475</v>
      </c>
      <c r="E966" s="6" t="s">
        <v>961</v>
      </c>
      <c r="F966" s="6">
        <v>31705</v>
      </c>
      <c r="G966" s="6"/>
      <c r="H966" s="6"/>
    </row>
    <row r="967" ht="22.15" customHeight="1" spans="1:8">
      <c r="A967" s="6">
        <v>964</v>
      </c>
      <c r="B967" s="6" t="s">
        <v>3476</v>
      </c>
      <c r="C967" s="6" t="s">
        <v>3477</v>
      </c>
      <c r="D967" s="6" t="s">
        <v>3478</v>
      </c>
      <c r="E967" s="6" t="s">
        <v>1145</v>
      </c>
      <c r="F967" s="6">
        <v>29626</v>
      </c>
      <c r="G967" s="6"/>
      <c r="H967" s="6"/>
    </row>
    <row r="968" ht="22.15" customHeight="1" spans="1:8">
      <c r="A968" s="6">
        <v>965</v>
      </c>
      <c r="B968" s="6" t="s">
        <v>3479</v>
      </c>
      <c r="C968" s="6" t="s">
        <v>3480</v>
      </c>
      <c r="D968" s="6" t="s">
        <v>2640</v>
      </c>
      <c r="E968" s="6" t="s">
        <v>2641</v>
      </c>
      <c r="F968" s="6">
        <v>84104</v>
      </c>
      <c r="G968" s="6"/>
      <c r="H968" s="6"/>
    </row>
    <row r="969" ht="22.15" customHeight="1" spans="1:8">
      <c r="A969" s="6">
        <v>966</v>
      </c>
      <c r="B969" s="6" t="s">
        <v>3481</v>
      </c>
      <c r="C969" s="6" t="s">
        <v>3482</v>
      </c>
      <c r="D969" s="6" t="s">
        <v>3483</v>
      </c>
      <c r="E969" s="6" t="s">
        <v>1499</v>
      </c>
      <c r="F969" s="6">
        <v>46168</v>
      </c>
      <c r="G969" s="6"/>
      <c r="H969" s="6"/>
    </row>
    <row r="970" ht="22.15" customHeight="1" spans="1:8">
      <c r="A970" s="6">
        <v>967</v>
      </c>
      <c r="B970" s="6" t="s">
        <v>3484</v>
      </c>
      <c r="C970" s="6" t="s">
        <v>3485</v>
      </c>
      <c r="D970" s="6" t="s">
        <v>3486</v>
      </c>
      <c r="E970" s="6" t="s">
        <v>923</v>
      </c>
      <c r="F970" s="6">
        <v>17745</v>
      </c>
      <c r="G970" s="6"/>
      <c r="H970" s="6"/>
    </row>
    <row r="971" ht="22.15" customHeight="1" spans="1:8">
      <c r="A971" s="6">
        <v>968</v>
      </c>
      <c r="B971" s="6" t="s">
        <v>3487</v>
      </c>
      <c r="C971" s="6" t="s">
        <v>3488</v>
      </c>
      <c r="D971" s="6" t="s">
        <v>3489</v>
      </c>
      <c r="E971" s="6" t="s">
        <v>936</v>
      </c>
      <c r="F971" s="6">
        <v>91730</v>
      </c>
      <c r="G971" s="6"/>
      <c r="H971" s="6"/>
    </row>
    <row r="972" ht="22.15" customHeight="1" spans="1:8">
      <c r="A972" s="6">
        <v>969</v>
      </c>
      <c r="B972" s="6" t="s">
        <v>3490</v>
      </c>
      <c r="C972" s="6" t="s">
        <v>3491</v>
      </c>
      <c r="D972" s="6" t="s">
        <v>3492</v>
      </c>
      <c r="E972" s="6" t="s">
        <v>961</v>
      </c>
      <c r="F972" s="6">
        <v>31322</v>
      </c>
      <c r="G972" s="6"/>
      <c r="H972" s="6"/>
    </row>
    <row r="973" ht="22.15" customHeight="1" spans="1:8">
      <c r="A973" s="6">
        <v>970</v>
      </c>
      <c r="B973" s="6" t="s">
        <v>3493</v>
      </c>
      <c r="C973" s="6" t="s">
        <v>3494</v>
      </c>
      <c r="D973" s="6" t="s">
        <v>2032</v>
      </c>
      <c r="E973" s="6" t="s">
        <v>1166</v>
      </c>
      <c r="F973" s="6">
        <v>60421</v>
      </c>
      <c r="G973" s="6"/>
      <c r="H973" s="6"/>
    </row>
    <row r="974" ht="22.15" customHeight="1" spans="1:8">
      <c r="A974" s="6">
        <v>971</v>
      </c>
      <c r="B974" s="6" t="s">
        <v>3495</v>
      </c>
      <c r="C974" s="6" t="s">
        <v>3496</v>
      </c>
      <c r="D974" s="6" t="s">
        <v>3095</v>
      </c>
      <c r="E974" s="6" t="s">
        <v>936</v>
      </c>
      <c r="F974" s="6">
        <v>95377</v>
      </c>
      <c r="G974" s="6"/>
      <c r="H974" s="6"/>
    </row>
    <row r="975" ht="22.15" customHeight="1" spans="1:8">
      <c r="A975" s="6">
        <v>972</v>
      </c>
      <c r="B975" s="6" t="s">
        <v>3497</v>
      </c>
      <c r="C975" s="6" t="s">
        <v>3498</v>
      </c>
      <c r="D975" s="6" t="s">
        <v>2711</v>
      </c>
      <c r="E975" s="6" t="s">
        <v>936</v>
      </c>
      <c r="F975" s="6">
        <v>91764</v>
      </c>
      <c r="G975" s="6"/>
      <c r="H975" s="6"/>
    </row>
    <row r="976" ht="22.15" customHeight="1" spans="1:8">
      <c r="A976" s="6">
        <v>973</v>
      </c>
      <c r="B976" s="6" t="s">
        <v>3499</v>
      </c>
      <c r="C976" s="6" t="s">
        <v>3500</v>
      </c>
      <c r="D976" s="6" t="s">
        <v>2583</v>
      </c>
      <c r="E976" s="6" t="s">
        <v>1238</v>
      </c>
      <c r="F976" s="6">
        <v>40219</v>
      </c>
      <c r="G976" s="6"/>
      <c r="H976" s="6"/>
    </row>
    <row r="977" ht="22.15" customHeight="1" spans="1:8">
      <c r="A977" s="6">
        <v>974</v>
      </c>
      <c r="B977" s="6" t="s">
        <v>3501</v>
      </c>
      <c r="C977" s="6" t="s">
        <v>3502</v>
      </c>
      <c r="D977" s="6" t="s">
        <v>3340</v>
      </c>
      <c r="E977" s="6" t="s">
        <v>936</v>
      </c>
      <c r="F977" s="6">
        <v>92395</v>
      </c>
      <c r="G977" s="6"/>
      <c r="H977" s="6"/>
    </row>
    <row r="978" ht="22.15" customHeight="1" spans="1:8">
      <c r="A978" s="6">
        <v>975</v>
      </c>
      <c r="B978" s="6" t="s">
        <v>3503</v>
      </c>
      <c r="C978" s="6" t="s">
        <v>3504</v>
      </c>
      <c r="D978" s="6" t="s">
        <v>3505</v>
      </c>
      <c r="E978" s="6" t="s">
        <v>923</v>
      </c>
      <c r="F978" s="6" t="s">
        <v>3506</v>
      </c>
      <c r="G978" s="6"/>
      <c r="H978" s="6"/>
    </row>
    <row r="979" ht="22.15" customHeight="1" spans="1:8">
      <c r="A979" s="6">
        <v>976</v>
      </c>
      <c r="B979" s="6" t="s">
        <v>3507</v>
      </c>
      <c r="C979" s="6" t="s">
        <v>3508</v>
      </c>
      <c r="D979" s="6" t="s">
        <v>3509</v>
      </c>
      <c r="E979" s="6" t="s">
        <v>936</v>
      </c>
      <c r="F979" s="6">
        <v>86004</v>
      </c>
      <c r="G979" s="6"/>
      <c r="H979" s="6"/>
    </row>
    <row r="980" ht="22.15" customHeight="1" spans="1:8">
      <c r="A980" s="6">
        <v>977</v>
      </c>
      <c r="B980" s="6" t="s">
        <v>3510</v>
      </c>
      <c r="C980" s="6" t="s">
        <v>3511</v>
      </c>
      <c r="D980" s="6" t="s">
        <v>3512</v>
      </c>
      <c r="E980" s="6" t="s">
        <v>936</v>
      </c>
      <c r="F980" s="6">
        <v>95357</v>
      </c>
      <c r="G980" s="6"/>
      <c r="H980" s="6"/>
    </row>
    <row r="981" ht="22.15" customHeight="1" spans="1:8">
      <c r="A981" s="6">
        <v>978</v>
      </c>
      <c r="B981" s="6" t="s">
        <v>3513</v>
      </c>
      <c r="C981" s="6" t="s">
        <v>3514</v>
      </c>
      <c r="D981" s="6" t="s">
        <v>2711</v>
      </c>
      <c r="E981" s="6" t="s">
        <v>936</v>
      </c>
      <c r="F981" s="6">
        <v>91761</v>
      </c>
      <c r="G981" s="6"/>
      <c r="H981" s="6"/>
    </row>
    <row r="982" ht="22.15" customHeight="1" spans="1:8">
      <c r="A982" s="6">
        <v>979</v>
      </c>
      <c r="B982" s="6" t="s">
        <v>3515</v>
      </c>
      <c r="C982" s="6" t="s">
        <v>3516</v>
      </c>
      <c r="D982" s="6" t="s">
        <v>3517</v>
      </c>
      <c r="E982" s="6" t="s">
        <v>1166</v>
      </c>
      <c r="F982" s="6">
        <v>62025</v>
      </c>
      <c r="G982" s="6"/>
      <c r="H982" s="6"/>
    </row>
    <row r="983" ht="22.15" customHeight="1" spans="1:8">
      <c r="A983" s="6">
        <v>980</v>
      </c>
      <c r="B983" s="6" t="s">
        <v>3518</v>
      </c>
      <c r="C983" s="6" t="s">
        <v>3519</v>
      </c>
      <c r="D983" s="6" t="s">
        <v>3520</v>
      </c>
      <c r="E983" s="6" t="s">
        <v>936</v>
      </c>
      <c r="F983" s="6">
        <v>91708</v>
      </c>
      <c r="G983" s="6"/>
      <c r="H983" s="6"/>
    </row>
    <row r="984" ht="22.15" customHeight="1" spans="1:8">
      <c r="A984" s="6">
        <v>981</v>
      </c>
      <c r="B984" s="6" t="s">
        <v>3521</v>
      </c>
      <c r="C984" s="6" t="s">
        <v>3522</v>
      </c>
      <c r="D984" s="6" t="s">
        <v>3523</v>
      </c>
      <c r="E984" s="6" t="s">
        <v>936</v>
      </c>
      <c r="F984" s="6">
        <v>91708</v>
      </c>
      <c r="G984" s="6"/>
      <c r="H984" s="6"/>
    </row>
    <row r="985" ht="22.15" customHeight="1" spans="1:8">
      <c r="A985" s="6">
        <v>982</v>
      </c>
      <c r="B985" s="6" t="s">
        <v>3524</v>
      </c>
      <c r="C985" s="6" t="s">
        <v>3525</v>
      </c>
      <c r="D985" s="6" t="s">
        <v>3526</v>
      </c>
      <c r="E985" s="6" t="s">
        <v>961</v>
      </c>
      <c r="F985" s="6" t="s">
        <v>984</v>
      </c>
      <c r="G985" s="6"/>
      <c r="H985" s="6"/>
    </row>
    <row r="986" ht="22.15" customHeight="1" spans="1:8">
      <c r="A986" s="6">
        <v>983</v>
      </c>
      <c r="B986" s="6" t="s">
        <v>3527</v>
      </c>
      <c r="C986" s="6" t="s">
        <v>3528</v>
      </c>
      <c r="D986" s="6" t="s">
        <v>3529</v>
      </c>
      <c r="E986" s="6" t="s">
        <v>936</v>
      </c>
      <c r="F986" s="6">
        <v>95020</v>
      </c>
      <c r="G986" s="6"/>
      <c r="H986" s="6"/>
    </row>
    <row r="987" ht="22.15" customHeight="1" spans="1:8">
      <c r="A987" s="6">
        <v>984</v>
      </c>
      <c r="B987" s="6" t="s">
        <v>3530</v>
      </c>
      <c r="C987" s="6" t="s">
        <v>3531</v>
      </c>
      <c r="D987" s="6" t="s">
        <v>2431</v>
      </c>
      <c r="E987" s="6" t="s">
        <v>939</v>
      </c>
      <c r="F987" s="6">
        <v>8691</v>
      </c>
      <c r="G987" s="6"/>
      <c r="H987" s="6"/>
    </row>
    <row r="988" ht="22.15" customHeight="1" spans="1:8">
      <c r="A988" s="6">
        <v>985</v>
      </c>
      <c r="B988" s="6" t="s">
        <v>3532</v>
      </c>
      <c r="C988" s="6" t="s">
        <v>2309</v>
      </c>
      <c r="D988" s="6" t="s">
        <v>2119</v>
      </c>
      <c r="E988" s="6" t="s">
        <v>936</v>
      </c>
      <c r="F988" s="6" t="s">
        <v>2298</v>
      </c>
      <c r="G988" s="6"/>
      <c r="H988" s="6"/>
    </row>
    <row r="989" ht="22.15" customHeight="1" spans="1:8">
      <c r="A989" s="6">
        <v>986</v>
      </c>
      <c r="B989" s="6" t="s">
        <v>3533</v>
      </c>
      <c r="C989" s="6" t="s">
        <v>3534</v>
      </c>
      <c r="D989" s="6" t="s">
        <v>1271</v>
      </c>
      <c r="E989" s="6" t="s">
        <v>1263</v>
      </c>
      <c r="F989" s="6" t="s">
        <v>3535</v>
      </c>
      <c r="G989" s="6"/>
      <c r="H989" s="6"/>
    </row>
    <row r="990" ht="22.15" customHeight="1" spans="1:8">
      <c r="A990" s="6">
        <v>987</v>
      </c>
      <c r="B990" s="6" t="s">
        <v>3536</v>
      </c>
      <c r="C990" s="6" t="s">
        <v>3537</v>
      </c>
      <c r="D990" s="6" t="s">
        <v>2205</v>
      </c>
      <c r="E990" s="6" t="s">
        <v>1069</v>
      </c>
      <c r="F990" s="6" t="s">
        <v>3538</v>
      </c>
      <c r="G990" s="6"/>
      <c r="H990" s="6"/>
    </row>
    <row r="991" ht="22.15" customHeight="1" spans="1:8">
      <c r="A991" s="6">
        <v>988</v>
      </c>
      <c r="B991" s="6" t="s">
        <v>3539</v>
      </c>
      <c r="C991" s="6" t="s">
        <v>2240</v>
      </c>
      <c r="D991" s="6" t="s">
        <v>1622</v>
      </c>
      <c r="E991" s="6" t="s">
        <v>1618</v>
      </c>
      <c r="F991" s="6" t="s">
        <v>3540</v>
      </c>
      <c r="G991" s="6"/>
      <c r="H991" s="6"/>
    </row>
    <row r="992" ht="22.15" customHeight="1" spans="1:8">
      <c r="A992" s="6">
        <v>989</v>
      </c>
      <c r="B992" s="6" t="s">
        <v>3541</v>
      </c>
      <c r="C992" s="6" t="s">
        <v>1866</v>
      </c>
      <c r="D992" s="6" t="s">
        <v>1867</v>
      </c>
      <c r="E992" s="6" t="s">
        <v>936</v>
      </c>
      <c r="F992" s="6" t="s">
        <v>3542</v>
      </c>
      <c r="G992" s="6"/>
      <c r="H992" s="6"/>
    </row>
    <row r="993" ht="22.15" customHeight="1" spans="1:8">
      <c r="A993" s="6">
        <v>990</v>
      </c>
      <c r="B993" s="6" t="s">
        <v>3543</v>
      </c>
      <c r="C993" s="6" t="s">
        <v>3544</v>
      </c>
      <c r="D993" s="6" t="s">
        <v>2037</v>
      </c>
      <c r="E993" s="6" t="s">
        <v>936</v>
      </c>
      <c r="F993" s="6" t="s">
        <v>3545</v>
      </c>
      <c r="G993" s="6"/>
      <c r="H993" s="6"/>
    </row>
    <row r="994" ht="22.15" customHeight="1" spans="1:8">
      <c r="A994" s="6">
        <v>991</v>
      </c>
      <c r="B994" s="6" t="s">
        <v>3546</v>
      </c>
      <c r="C994" s="6" t="s">
        <v>3547</v>
      </c>
      <c r="D994" s="6" t="s">
        <v>2711</v>
      </c>
      <c r="E994" s="6" t="s">
        <v>936</v>
      </c>
      <c r="F994" s="6">
        <v>91761</v>
      </c>
      <c r="G994" s="6"/>
      <c r="H994" s="6"/>
    </row>
    <row r="995" ht="22.15" customHeight="1" spans="1:8">
      <c r="A995" s="6">
        <v>992</v>
      </c>
      <c r="B995" s="6" t="s">
        <v>3548</v>
      </c>
      <c r="C995" s="6" t="s">
        <v>3549</v>
      </c>
      <c r="D995" s="6" t="s">
        <v>3550</v>
      </c>
      <c r="E995" s="6" t="s">
        <v>1166</v>
      </c>
      <c r="F995" s="6">
        <v>60446</v>
      </c>
      <c r="G995" s="6"/>
      <c r="H995" s="6"/>
    </row>
    <row r="996" ht="22.15" customHeight="1" spans="1:8">
      <c r="A996" s="6">
        <v>993</v>
      </c>
      <c r="B996" s="6" t="s">
        <v>3551</v>
      </c>
      <c r="C996" s="6" t="s">
        <v>3552</v>
      </c>
      <c r="D996" s="6" t="s">
        <v>2326</v>
      </c>
      <c r="E996" s="6" t="s">
        <v>965</v>
      </c>
      <c r="F996" s="6">
        <v>43228</v>
      </c>
      <c r="G996" s="6"/>
      <c r="H996" s="6"/>
    </row>
    <row r="997" ht="22.15" customHeight="1" spans="1:8">
      <c r="A997" s="6">
        <v>994</v>
      </c>
      <c r="B997" s="6" t="s">
        <v>3553</v>
      </c>
      <c r="C997" s="6" t="s">
        <v>3554</v>
      </c>
      <c r="D997" s="6" t="s">
        <v>1816</v>
      </c>
      <c r="E997" s="6" t="s">
        <v>1263</v>
      </c>
      <c r="F997" s="6">
        <v>75215</v>
      </c>
      <c r="G997" s="6"/>
      <c r="H997" s="6"/>
    </row>
    <row r="998" ht="22.15" customHeight="1" spans="1:8">
      <c r="A998" s="6">
        <v>995</v>
      </c>
      <c r="B998" s="6" t="s">
        <v>3555</v>
      </c>
      <c r="C998" s="6" t="s">
        <v>3556</v>
      </c>
      <c r="D998" s="6" t="s">
        <v>2665</v>
      </c>
      <c r="E998" s="6" t="s">
        <v>936</v>
      </c>
      <c r="F998" s="6">
        <v>95215</v>
      </c>
      <c r="G998" s="6"/>
      <c r="H998" s="6"/>
    </row>
    <row r="999" ht="22.15" customHeight="1" spans="1:8">
      <c r="A999" s="6">
        <v>996</v>
      </c>
      <c r="B999" s="6" t="s">
        <v>3557</v>
      </c>
      <c r="C999" s="6" t="s">
        <v>3558</v>
      </c>
      <c r="D999" s="6" t="s">
        <v>960</v>
      </c>
      <c r="E999" s="6" t="s">
        <v>961</v>
      </c>
      <c r="F999" s="6">
        <v>30567</v>
      </c>
      <c r="G999" s="6"/>
      <c r="H999" s="6"/>
    </row>
    <row r="1000" ht="22.15" customHeight="1" spans="1:8">
      <c r="A1000" s="6">
        <v>997</v>
      </c>
      <c r="B1000" s="6" t="s">
        <v>3559</v>
      </c>
      <c r="C1000" s="6" t="s">
        <v>3560</v>
      </c>
      <c r="D1000" s="6" t="s">
        <v>976</v>
      </c>
      <c r="E1000" s="6" t="s">
        <v>919</v>
      </c>
      <c r="F1000" s="6">
        <v>98032</v>
      </c>
      <c r="G1000" s="6"/>
      <c r="H1000" s="6"/>
    </row>
    <row r="1001" ht="22.15" customHeight="1" spans="1:8">
      <c r="A1001" s="6">
        <v>998</v>
      </c>
      <c r="B1001" s="6" t="s">
        <v>3561</v>
      </c>
      <c r="C1001" s="6" t="s">
        <v>3562</v>
      </c>
      <c r="D1001" s="6" t="s">
        <v>2194</v>
      </c>
      <c r="E1001" s="6" t="s">
        <v>1069</v>
      </c>
      <c r="F1001" s="6">
        <v>38108</v>
      </c>
      <c r="G1001" s="6"/>
      <c r="H1001" s="6"/>
    </row>
    <row r="1002" ht="22.15" customHeight="1" spans="1:8">
      <c r="A1002" s="6">
        <v>999</v>
      </c>
      <c r="B1002" s="6" t="s">
        <v>3563</v>
      </c>
      <c r="C1002" s="6" t="s">
        <v>3564</v>
      </c>
      <c r="D1002" s="6" t="s">
        <v>3565</v>
      </c>
      <c r="E1002" s="6" t="s">
        <v>1392</v>
      </c>
      <c r="F1002" s="6">
        <v>80601</v>
      </c>
      <c r="G1002" s="6"/>
      <c r="H1002" s="6"/>
    </row>
    <row r="1003" ht="22.15" customHeight="1" spans="1:8">
      <c r="A1003" s="6">
        <v>1000</v>
      </c>
      <c r="B1003" s="6" t="s">
        <v>3566</v>
      </c>
      <c r="C1003" s="6" t="s">
        <v>3567</v>
      </c>
      <c r="D1003" s="6" t="s">
        <v>3568</v>
      </c>
      <c r="E1003" s="6" t="s">
        <v>1196</v>
      </c>
      <c r="F1003" s="6">
        <v>28613</v>
      </c>
      <c r="G1003" s="6"/>
      <c r="H1003" s="6"/>
    </row>
    <row r="1004" ht="22.15" customHeight="1" spans="1:8">
      <c r="A1004" s="6">
        <v>1001</v>
      </c>
      <c r="B1004" s="6" t="s">
        <v>3569</v>
      </c>
      <c r="C1004" s="6" t="s">
        <v>3570</v>
      </c>
      <c r="D1004" s="6" t="s">
        <v>1655</v>
      </c>
      <c r="E1004" s="6" t="s">
        <v>1069</v>
      </c>
      <c r="F1004" s="6">
        <v>37148</v>
      </c>
      <c r="G1004" s="6"/>
      <c r="H1004" s="6"/>
    </row>
    <row r="1005" ht="22.15" customHeight="1" spans="1:8">
      <c r="A1005" s="6">
        <v>1002</v>
      </c>
      <c r="B1005" s="6" t="s">
        <v>3571</v>
      </c>
      <c r="C1005" s="6" t="s">
        <v>3572</v>
      </c>
      <c r="D1005" s="6" t="s">
        <v>1268</v>
      </c>
      <c r="E1005" s="6" t="s">
        <v>1263</v>
      </c>
      <c r="F1005" s="6" t="s">
        <v>3573</v>
      </c>
      <c r="G1005" s="6"/>
      <c r="H1005" s="6"/>
    </row>
    <row r="1006" ht="22.15" customHeight="1" spans="1:8">
      <c r="A1006" s="6">
        <v>1003</v>
      </c>
      <c r="B1006" s="6" t="s">
        <v>3574</v>
      </c>
      <c r="C1006" s="6" t="s">
        <v>3575</v>
      </c>
      <c r="D1006" s="6" t="s">
        <v>2160</v>
      </c>
      <c r="E1006" s="6" t="s">
        <v>923</v>
      </c>
      <c r="F1006" s="6" t="s">
        <v>3576</v>
      </c>
      <c r="G1006" s="6"/>
      <c r="H1006" s="6"/>
    </row>
    <row r="1007" ht="22.15" customHeight="1" spans="1:8">
      <c r="A1007" s="6">
        <v>1004</v>
      </c>
      <c r="B1007" s="6" t="s">
        <v>3577</v>
      </c>
      <c r="C1007" s="6" t="s">
        <v>3578</v>
      </c>
      <c r="D1007" s="6" t="s">
        <v>2665</v>
      </c>
      <c r="E1007" s="6" t="s">
        <v>936</v>
      </c>
      <c r="F1007" s="6">
        <v>95206</v>
      </c>
      <c r="G1007" s="6"/>
      <c r="H1007" s="6"/>
    </row>
    <row r="1008" ht="22.15" customHeight="1" spans="1:8">
      <c r="A1008" s="6">
        <v>1005</v>
      </c>
      <c r="B1008" s="6" t="s">
        <v>3579</v>
      </c>
      <c r="C1008" s="6" t="s">
        <v>3580</v>
      </c>
      <c r="D1008" s="6" t="s">
        <v>1936</v>
      </c>
      <c r="E1008" s="6" t="s">
        <v>1499</v>
      </c>
      <c r="F1008" s="6">
        <v>46075</v>
      </c>
      <c r="G1008" s="6"/>
      <c r="H1008" s="6"/>
    </row>
    <row r="1009" ht="22.15" customHeight="1" spans="1:8">
      <c r="A1009" s="6">
        <v>1006</v>
      </c>
      <c r="B1009" s="6" t="s">
        <v>3581</v>
      </c>
      <c r="C1009" s="6" t="s">
        <v>3582</v>
      </c>
      <c r="D1009" s="6" t="s">
        <v>1154</v>
      </c>
      <c r="E1009" s="6" t="s">
        <v>1155</v>
      </c>
      <c r="F1009" s="6">
        <v>32824</v>
      </c>
      <c r="G1009" s="6"/>
      <c r="H1009" s="6"/>
    </row>
    <row r="1010" ht="22.15" customHeight="1" spans="1:8">
      <c r="A1010" s="6">
        <v>1007</v>
      </c>
      <c r="B1010" s="6" t="s">
        <v>3583</v>
      </c>
      <c r="C1010" s="6" t="s">
        <v>3584</v>
      </c>
      <c r="D1010" s="6" t="s">
        <v>3585</v>
      </c>
      <c r="E1010" s="6" t="s">
        <v>923</v>
      </c>
      <c r="F1010" s="6">
        <v>19530</v>
      </c>
      <c r="G1010" s="6"/>
      <c r="H1010" s="6"/>
    </row>
    <row r="1011" ht="22.15" customHeight="1" spans="1:8">
      <c r="A1011" s="6">
        <v>1008</v>
      </c>
      <c r="B1011" s="6" t="s">
        <v>3586</v>
      </c>
      <c r="C1011" s="6" t="s">
        <v>3587</v>
      </c>
      <c r="D1011" s="6" t="s">
        <v>1008</v>
      </c>
      <c r="E1011" s="6" t="s">
        <v>1009</v>
      </c>
      <c r="F1011" s="6" t="s">
        <v>3588</v>
      </c>
      <c r="G1011" s="6"/>
      <c r="H1011" s="6"/>
    </row>
    <row r="1012" ht="22.15" customHeight="1" spans="1:8">
      <c r="A1012" s="6">
        <v>1009</v>
      </c>
      <c r="B1012" s="6" t="s">
        <v>3589</v>
      </c>
      <c r="C1012" s="6" t="s">
        <v>3590</v>
      </c>
      <c r="D1012" s="6" t="s">
        <v>2123</v>
      </c>
      <c r="E1012" s="6" t="s">
        <v>936</v>
      </c>
      <c r="F1012" s="6">
        <v>92376</v>
      </c>
      <c r="G1012" s="6"/>
      <c r="H1012" s="6"/>
    </row>
    <row r="1013" ht="22.15" customHeight="1" spans="1:8">
      <c r="A1013" s="6">
        <v>1010</v>
      </c>
      <c r="B1013" s="6" t="s">
        <v>3591</v>
      </c>
      <c r="C1013" s="6" t="s">
        <v>3592</v>
      </c>
      <c r="D1013" s="6" t="s">
        <v>2228</v>
      </c>
      <c r="E1013" s="6" t="s">
        <v>2140</v>
      </c>
      <c r="F1013" s="6">
        <v>66021</v>
      </c>
      <c r="G1013" s="6"/>
      <c r="H1013" s="6"/>
    </row>
    <row r="1014" ht="22.15" customHeight="1" spans="1:8">
      <c r="A1014" s="6">
        <v>1011</v>
      </c>
      <c r="B1014" s="6" t="s">
        <v>3593</v>
      </c>
      <c r="C1014" s="6" t="s">
        <v>3594</v>
      </c>
      <c r="D1014" s="6" t="s">
        <v>2941</v>
      </c>
      <c r="E1014" s="6" t="s">
        <v>1126</v>
      </c>
      <c r="F1014" s="6">
        <v>21001</v>
      </c>
      <c r="G1014" s="6"/>
      <c r="H1014" s="6"/>
    </row>
    <row r="1015" ht="22.15" customHeight="1" spans="1:8">
      <c r="A1015" s="6">
        <v>1012</v>
      </c>
      <c r="B1015" s="6" t="s">
        <v>3595</v>
      </c>
      <c r="C1015" s="6" t="s">
        <v>3596</v>
      </c>
      <c r="D1015" s="6" t="s">
        <v>2941</v>
      </c>
      <c r="E1015" s="6" t="s">
        <v>1126</v>
      </c>
      <c r="F1015" s="6">
        <v>21001</v>
      </c>
      <c r="G1015" s="6"/>
      <c r="H1015" s="6"/>
    </row>
    <row r="1016" ht="22.15" customHeight="1" spans="1:8">
      <c r="A1016" s="6">
        <v>1013</v>
      </c>
      <c r="B1016" s="6" t="s">
        <v>3597</v>
      </c>
      <c r="C1016" s="6" t="s">
        <v>3598</v>
      </c>
      <c r="D1016" s="6" t="s">
        <v>1408</v>
      </c>
      <c r="E1016" s="6" t="s">
        <v>1166</v>
      </c>
      <c r="F1016" s="6">
        <v>60502</v>
      </c>
      <c r="G1016" s="6"/>
      <c r="H1016" s="6"/>
    </row>
    <row r="1017" ht="22.15" customHeight="1" spans="1:8">
      <c r="A1017" s="6">
        <v>1014</v>
      </c>
      <c r="B1017" s="6" t="s">
        <v>3599</v>
      </c>
      <c r="C1017" s="6" t="s">
        <v>3600</v>
      </c>
      <c r="D1017" s="6" t="s">
        <v>2126</v>
      </c>
      <c r="E1017" s="6" t="s">
        <v>936</v>
      </c>
      <c r="F1017" s="6">
        <v>92571</v>
      </c>
      <c r="G1017" s="6"/>
      <c r="H1017" s="6"/>
    </row>
    <row r="1018" ht="22.15" customHeight="1" spans="1:8">
      <c r="A1018" s="6">
        <v>1015</v>
      </c>
      <c r="B1018" s="6" t="s">
        <v>3601</v>
      </c>
      <c r="C1018" s="6" t="s">
        <v>3602</v>
      </c>
      <c r="D1018" s="6" t="s">
        <v>2941</v>
      </c>
      <c r="E1018" s="6" t="s">
        <v>1126</v>
      </c>
      <c r="F1018" s="6">
        <v>21001</v>
      </c>
      <c r="G1018" s="6"/>
      <c r="H1018" s="6"/>
    </row>
    <row r="1019" ht="22.15" customHeight="1" spans="1:8">
      <c r="A1019" s="6">
        <v>1016</v>
      </c>
      <c r="B1019" s="6" t="s">
        <v>3603</v>
      </c>
      <c r="C1019" s="6" t="s">
        <v>3604</v>
      </c>
      <c r="D1019" s="6" t="s">
        <v>3605</v>
      </c>
      <c r="E1019" s="6" t="s">
        <v>939</v>
      </c>
      <c r="F1019" s="6">
        <v>8844</v>
      </c>
      <c r="G1019" s="6"/>
      <c r="H1019" s="6"/>
    </row>
    <row r="1020" ht="22.15" customHeight="1" spans="1:8">
      <c r="A1020" s="6">
        <v>1017</v>
      </c>
      <c r="B1020" s="6" t="s">
        <v>3606</v>
      </c>
      <c r="C1020" s="6" t="s">
        <v>3607</v>
      </c>
      <c r="D1020" s="6" t="s">
        <v>3608</v>
      </c>
      <c r="E1020" s="6" t="s">
        <v>1385</v>
      </c>
      <c r="F1020" s="6">
        <v>48601</v>
      </c>
      <c r="G1020" s="6"/>
      <c r="H1020" s="6"/>
    </row>
    <row r="1021" ht="22.15" customHeight="1" spans="1:8">
      <c r="A1021" s="6">
        <v>1018</v>
      </c>
      <c r="B1021" s="6" t="s">
        <v>3609</v>
      </c>
      <c r="C1021" s="6"/>
      <c r="D1021" s="6" t="s">
        <v>3610</v>
      </c>
      <c r="E1021" s="6" t="s">
        <v>1145</v>
      </c>
      <c r="F1021" s="6">
        <v>29730</v>
      </c>
      <c r="G1021" s="6"/>
      <c r="H1021" s="6"/>
    </row>
    <row r="1022" ht="22.15" customHeight="1" spans="1:8">
      <c r="A1022" s="6">
        <v>1019</v>
      </c>
      <c r="B1022" s="6" t="s">
        <v>3611</v>
      </c>
      <c r="C1022" s="6" t="s">
        <v>3612</v>
      </c>
      <c r="D1022" s="6" t="s">
        <v>2116</v>
      </c>
      <c r="E1022" s="6" t="s">
        <v>936</v>
      </c>
      <c r="F1022" s="6" t="s">
        <v>3613</v>
      </c>
      <c r="G1022" s="6"/>
      <c r="H1022" s="6"/>
    </row>
    <row r="1023" ht="22.15" customHeight="1" spans="1:8">
      <c r="A1023" s="6">
        <v>1020</v>
      </c>
      <c r="B1023" s="6" t="s">
        <v>3614</v>
      </c>
      <c r="C1023" s="6" t="s">
        <v>3615</v>
      </c>
      <c r="D1023" s="6" t="s">
        <v>3616</v>
      </c>
      <c r="E1023" s="6" t="s">
        <v>969</v>
      </c>
      <c r="F1023" s="6">
        <v>11214</v>
      </c>
      <c r="G1023" s="6"/>
      <c r="H1023" s="6"/>
    </row>
    <row r="1024" ht="22.15" customHeight="1" spans="1:8">
      <c r="A1024" s="6"/>
      <c r="B1024" s="6"/>
      <c r="C1024" s="6"/>
      <c r="D1024" s="6"/>
      <c r="E1024" s="6"/>
      <c r="F1024" s="6"/>
      <c r="G1024" s="6"/>
      <c r="H1024" s="6"/>
    </row>
  </sheetData>
  <sheetProtection formatCells="0" insertHyperlinks="0" autoFilter="0"/>
  <mergeCells count="2">
    <mergeCell ref="A1:H1"/>
    <mergeCell ref="A2:H2"/>
  </mergeCells>
  <conditionalFormatting sqref="A3:A1048576">
    <cfRule type="duplicateValues" dxfId="0" priority="1"/>
  </conditionalFormatting>
  <hyperlinks>
    <hyperlink ref="I4" location="目录!A1" display="返回目录"/>
  </hyperlink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omments xmlns="https://web.wps.cn/et/2018/main" xmlns:s="http://schemas.openxmlformats.org/spreadsheetml/2006/main"/>
</file>

<file path=customXml/item2.xml><?xml version="1.0" encoding="utf-8"?>
<woProps xmlns="https://web.wps.cn/et/2018/main" xmlns:s="http://schemas.openxmlformats.org/spreadsheetml/2006/main">
  <woSheetsProps>
    <woSheetProps sheetStid="40" interlineOnOff="0" interlineColor="0" isDbSheet="0" isDashBoardSheet="0"/>
    <woSheetProps sheetStid="35" interlineOnOff="0" interlineColor="0" isDbSheet="0" isDashBoardSheet="0"/>
    <woSheetProps sheetStid="2" interlineOnOff="0" interlineColor="0" isDbSheet="0" isDashBoardSheet="0"/>
    <woSheetProps sheetStid="42" interlineOnOff="0" interlineColor="0" isDbSheet="0" isDashBoardSheet="0"/>
    <woSheetProps sheetStid="43" interlineOnOff="0" interlineColor="0" isDbSheet="0" isDashBoardSheet="0"/>
    <woSheetProps sheetStid="93" interlineOnOff="0" interlineColor="0" isDbSheet="0" isDashBoardSheet="0"/>
    <woSheetProps sheetStid="98" interlineOnOff="0" interlineColor="0" isDbSheet="0" isDashBoardSheet="0"/>
    <woSheetProps sheetStid="45" interlineOnOff="0" interlineColor="0" isDbSheet="0" isDashBoardSheet="0"/>
    <woSheetProps sheetStid="38" interlineOnOff="0" interlineColor="0" isDbSheet="0" isDashBoardSheet="0"/>
    <woSheetProps sheetStid="91" interlineOnOff="0" interlineColor="0" isDbSheet="0" isDashBoardSheet="0"/>
    <woSheetProps sheetStid="37" interlineOnOff="0" interlineColor="0" isDbSheet="0" isDashBoardSheet="0"/>
    <woSheetProps sheetStid="89" interlineOnOff="0" interlineColor="0" isDbSheet="0" isDashBoardSheet="0"/>
    <woSheetProps sheetStid="97" interlineOnOff="0" interlineColor="0" isDbSheet="0" isDashBoardSheet="0"/>
    <woSheetProps sheetStid="73" interlineOnOff="0" interlineColor="0" isDbSheet="0" isDashBoardSheet="0"/>
    <woSheetProps sheetStid="96" interlineOnOff="0" interlineColor="0" isDbSheet="0" isDashBoardSheet="0"/>
    <woSheetProps sheetStid="68" interlineOnOff="0" interlineColor="0" isDbSheet="0" isDashBoardSheet="0"/>
    <woSheetProps sheetStid="67" interlineOnOff="0" interlineColor="0" isDbSheet="0" isDashBoardSheet="0"/>
    <woSheetProps sheetStid="87" interlineOnOff="0" interlineColor="0" isDbSheet="0" isDashBoardSheet="0"/>
    <woSheetProps sheetStid="77" interlineOnOff="0" interlineColor="0" isDbSheet="0" isDashBoardSheet="0"/>
    <woSheetProps sheetStid="88" interlineOnOff="0" interlineColor="0" isDbSheet="0" isDashBoardSheet="0"/>
    <woSheetProps sheetStid="12" interlineOnOff="0" interlineColor="0" isDbSheet="0" isDashBoardSheet="0"/>
    <woSheetProps sheetStid="44" interlineOnOff="0" interlineColor="0" isDbSheet="0" isDashBoardSheet="0"/>
    <woSheetProps sheetStid="58" interlineOnOff="0" interlineColor="0" isDbSheet="0" isDashBoardSheet="0"/>
    <woSheetProps sheetStid="92" interlineOnOff="0" interlineColor="0" isDbSheet="0" isDashBoardSheet="0"/>
    <woSheetProps sheetStid="90" interlineOnOff="0" interlineColor="0" isDbSheet="0" isDashBoardSheet="0"/>
    <woSheetProps sheetStid="95" interlineOnOff="0" interlineColor="0" isDbSheet="0" isDashBoardSheet="0"/>
    <woSheetProps sheetStid="54" interlineOnOff="0" interlineColor="0" isDbSheet="0" isDashBoardSheet="0"/>
    <woSheetProps sheetStid="47" interlineOnOff="0" interlineColor="0" isDbSheet="0" isDashBoardSheet="0"/>
    <woSheetProps sheetStid="55" interlineOnOff="0" interlineColor="0" isDbSheet="0" isDashBoardSheet="0"/>
  </woSheetsProps>
  <woBookProps>
    <bookSettings isFilterShared="1" isAutoUpdatePaused="0" filterType="conn" isMergeTasksAutoUpdate="0" isInserPicAsAttachment="0"/>
  </woBookProps>
</woProps>
</file>

<file path=customXml/item3.xml><?xml version="1.0" encoding="utf-8"?>
<allowEditUser xmlns="https://web.wps.cn/et/2018/main" xmlns:s="http://schemas.openxmlformats.org/spreadsheetml/2006/main" hasInvisiblePropRange="0">
  <rangeList sheetStid="40" master=""/>
  <rangeList sheetStid="35" master=""/>
  <rangeList sheetStid="2" master=""/>
  <rangeList sheetStid="42" master=""/>
  <rangeList sheetStid="43" master=""/>
  <rangeList sheetStid="93" master=""/>
  <rangeList sheetStid="98" master=""/>
  <rangeList sheetStid="45" master=""/>
  <rangeList sheetStid="38" master=""/>
  <rangeList sheetStid="91" master=""/>
  <rangeList sheetStid="37" master=""/>
  <rangeList sheetStid="89" master=""/>
  <rangeList sheetStid="97" master=""/>
  <rangeList sheetStid="73" master=""/>
  <rangeList sheetStid="96" master=""/>
  <rangeList sheetStid="68" master=""/>
  <rangeList sheetStid="67" master=""/>
  <rangeList sheetStid="87" master=""/>
  <rangeList sheetStid="77" master=""/>
  <rangeList sheetStid="88" master=""/>
  <rangeList sheetStid="12" master=""/>
  <rangeList sheetStid="44" master="">
    <arrUserId title="区域1_1_1_3" rangeCreator="" othersAccessPermission="edit"/>
    <arrUserId title="区域1_1_1_1_1_1_1_1_1" rangeCreator="" othersAccessPermission="edit"/>
    <arrUserId title="区域1_1_2_1_1_1_1_1" rangeCreator="" othersAccessPermission="edit"/>
  </rangeList>
  <rangeList sheetStid="58" master=""/>
  <rangeList sheetStid="92" master=""/>
  <rangeList sheetStid="90" master=""/>
  <rangeList sheetStid="95" master=""/>
  <rangeList sheetStid="54" master=""/>
  <rangeList sheetStid="47" master=""/>
  <rangeList sheetStid="55" master=""/>
</allowEditUser>
</file>

<file path=customXml/item4.xml><?xml version="1.0" encoding="utf-8"?>
<pixelators xmlns="https://web.wps.cn/et/2018/main" xmlns:s="http://schemas.openxmlformats.org/spreadsheetml/2006/main">
  <pixelatorList sheetStid="40"/>
  <pixelatorList sheetStid="35"/>
  <pixelatorList sheetStid="2"/>
  <pixelatorList sheetStid="42"/>
  <pixelatorList sheetStid="43"/>
  <pixelatorList sheetStid="93"/>
  <pixelatorList sheetStid="98"/>
  <pixelatorList sheetStid="45"/>
  <pixelatorList sheetStid="38"/>
  <pixelatorList sheetStid="91"/>
  <pixelatorList sheetStid="37"/>
  <pixelatorList sheetStid="89"/>
  <pixelatorList sheetStid="97"/>
  <pixelatorList sheetStid="73"/>
  <pixelatorList sheetStid="96"/>
  <pixelatorList sheetStid="68"/>
  <pixelatorList sheetStid="67"/>
  <pixelatorList sheetStid="87"/>
  <pixelatorList sheetStid="77"/>
  <pixelatorList sheetStid="88"/>
  <pixelatorList sheetStid="12"/>
  <pixelatorList sheetStid="44"/>
  <pixelatorList sheetStid="58"/>
  <pixelatorList sheetStid="92"/>
  <pixelatorList sheetStid="90"/>
  <pixelatorList sheetStid="95"/>
  <pixelatorList sheetStid="54"/>
  <pixelatorList sheetStid="47"/>
  <pixelatorList sheetStid="55"/>
  <pixelatorList sheetStid="99"/>
</pixelator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WWO_base_provider_20220117102555-321f3fca00</Application>
  <HeadingPairs>
    <vt:vector size="2" baseType="variant">
      <vt:variant>
        <vt:lpstr>工作表</vt:lpstr>
      </vt:variant>
      <vt:variant>
        <vt:i4>29</vt:i4>
      </vt:variant>
    </vt:vector>
  </HeadingPairs>
  <TitlesOfParts>
    <vt:vector size="29" baseType="lpstr">
      <vt:lpstr>美国加拿大船期表</vt:lpstr>
      <vt:lpstr>发货须知（重要）</vt:lpstr>
      <vt:lpstr>目录</vt:lpstr>
      <vt:lpstr>加拿大空运专线（包税）</vt:lpstr>
      <vt:lpstr>加拿大限时达-海派报价</vt:lpstr>
      <vt:lpstr>加拿大限时达-卡车专线</vt:lpstr>
      <vt:lpstr>加拿大极速上架专线</vt:lpstr>
      <vt:lpstr>加拿大卡派专线</vt:lpstr>
      <vt:lpstr>美国空运专线（包税）</vt:lpstr>
      <vt:lpstr>美国化妆品空运专线（包税）</vt:lpstr>
      <vt:lpstr>美国普船直拼</vt:lpstr>
      <vt:lpstr>洛杉矶专线</vt:lpstr>
      <vt:lpstr>美国极速上架专线</vt:lpstr>
      <vt:lpstr>美森海卡专线（卡派）</vt:lpstr>
      <vt:lpstr>奥克兰专线</vt:lpstr>
      <vt:lpstr>美东专线</vt:lpstr>
      <vt:lpstr>芝加哥专线</vt:lpstr>
      <vt:lpstr>萨凡纳专线</vt:lpstr>
      <vt:lpstr>以星海卡限时达</vt:lpstr>
      <vt:lpstr>美国DG专线</vt:lpstr>
      <vt:lpstr>美国海派专线-综合报价</vt:lpstr>
      <vt:lpstr>加拿大海派专线</vt:lpstr>
      <vt:lpstr>加拿大限时达-化妆品海派报价</vt:lpstr>
      <vt:lpstr>加拿大限时达-化妆品卡车专线</vt:lpstr>
      <vt:lpstr>加拿大化妆品专线卡派包税</vt:lpstr>
      <vt:lpstr>加拿大DG卡派专线</vt:lpstr>
      <vt:lpstr>加拿大FBA仓对照表</vt:lpstr>
      <vt:lpstr>美国包税产品附加费</vt:lpstr>
      <vt:lpstr>美国仓库地址</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86180</dc:creator>
  <cp:lastModifiedBy>大烧饼</cp:lastModifiedBy>
  <dcterms:created xsi:type="dcterms:W3CDTF">2022-10-28T05:47:00Z</dcterms:created>
  <dcterms:modified xsi:type="dcterms:W3CDTF">2025-01-14T15:56:00Z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2936D92AF087480399530F4D442AF4DB_13</vt:lpwstr>
  </property>
  <property fmtid="{D5CDD505-2E9C-101B-9397-08002B2CF9AE}" pid="3" name="KSOProductBuildVer">
    <vt:lpwstr>2052-0.0.0.0</vt:lpwstr>
  </property>
</Properties>
</file>