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sz val="14"/>
            <rFont val="宋体"/>
            <charset val="134"/>
          </rPr>
          <t>手动填写该批次种第一优先运输批次的数量，根据目的不断调整数字直到得出理想值</t>
        </r>
      </text>
    </comment>
    <comment ref="H1" authorId="0">
      <text>
        <r>
          <rPr>
            <sz val="9"/>
            <rFont val="宋体"/>
            <charset val="134"/>
          </rPr>
          <t>单件箱规，不是外箱</t>
        </r>
      </text>
    </comment>
    <comment ref="L1" authorId="0">
      <text>
        <r>
          <rPr>
            <sz val="14"/>
            <rFont val="宋体"/>
            <charset val="134"/>
          </rPr>
          <t>快递要更改为除以5000</t>
        </r>
      </text>
    </comment>
    <comment ref="S1" authorId="0">
      <text>
        <r>
          <rPr>
            <sz val="12"/>
            <rFont val="宋体"/>
            <charset val="134"/>
          </rPr>
          <t>供应商交货后可能刚好错过开船日期，故保留7天做为风险周期</t>
        </r>
      </text>
    </comment>
    <comment ref="X1" authorId="0">
      <text>
        <r>
          <rPr>
            <sz val="14"/>
            <rFont val="宋体"/>
            <charset val="134"/>
          </rPr>
          <t>按上一批预计售罄日期减去5，做为安全系数</t>
        </r>
      </text>
    </comment>
    <comment ref="AF1" authorId="0">
      <text>
        <r>
          <rPr>
            <sz val="14"/>
            <rFont val="宋体"/>
            <charset val="134"/>
          </rPr>
          <t>根据前面得出大致销售周期后手动填写</t>
        </r>
      </text>
    </comment>
    <comment ref="AI1" authorId="0">
      <text>
        <r>
          <rPr>
            <sz val="9"/>
            <rFont val="宋体"/>
            <charset val="134"/>
          </rPr>
          <t>单个批次方案后的最终平均头程（单件）</t>
        </r>
      </text>
    </comment>
    <comment ref="Q3" authorId="0">
      <text>
        <r>
          <rPr>
            <sz val="9"/>
            <rFont val="宋体"/>
            <charset val="134"/>
          </rPr>
          <t>相同批次就是相同下单日期</t>
        </r>
      </text>
    </comment>
    <comment ref="Q4" authorId="0">
      <text>
        <r>
          <rPr>
            <sz val="12"/>
            <rFont val="宋体"/>
            <charset val="134"/>
          </rPr>
          <t>根据上一批售罄日期一步步倒推推算出来的合理的下单日期</t>
        </r>
      </text>
    </comment>
    <comment ref="Q5" authorId="0">
      <text>
        <r>
          <rPr>
            <sz val="9"/>
            <rFont val="宋体"/>
            <charset val="134"/>
          </rPr>
          <t xml:space="preserve">相同批次就是相同下单日期
</t>
        </r>
      </text>
    </comment>
  </commentList>
</comments>
</file>

<file path=xl/sharedStrings.xml><?xml version="1.0" encoding="utf-8"?>
<sst xmlns="http://schemas.openxmlformats.org/spreadsheetml/2006/main" count="52" uniqueCount="44">
  <si>
    <t>方案</t>
  </si>
  <si>
    <t>批次</t>
  </si>
  <si>
    <t>批次总数</t>
  </si>
  <si>
    <t>物流方案</t>
  </si>
  <si>
    <t>物流仓</t>
  </si>
  <si>
    <t>货代公司</t>
  </si>
  <si>
    <t>数量</t>
  </si>
  <si>
    <t>长/cm</t>
  </si>
  <si>
    <t>宽/cm</t>
  </si>
  <si>
    <t>高/cm</t>
  </si>
  <si>
    <t>毛重/kg</t>
  </si>
  <si>
    <t>体积重</t>
  </si>
  <si>
    <t>材积重</t>
  </si>
  <si>
    <t>报价</t>
  </si>
  <si>
    <t>头程费用</t>
  </si>
  <si>
    <t>单个头程</t>
  </si>
  <si>
    <t>下单日期</t>
  </si>
  <si>
    <t>生产周期</t>
  </si>
  <si>
    <t>海运时间差</t>
  </si>
  <si>
    <t>发货日期</t>
  </si>
  <si>
    <t>运输耗时</t>
  </si>
  <si>
    <t>到仓日期</t>
  </si>
  <si>
    <t>可售日期±5天</t>
  </si>
  <si>
    <t>续货开售日期-5天</t>
  </si>
  <si>
    <t>按销量算</t>
  </si>
  <si>
    <t>销售周期</t>
  </si>
  <si>
    <t>日销量</t>
  </si>
  <si>
    <t>按周期算</t>
  </si>
  <si>
    <t>最终销售周期</t>
  </si>
  <si>
    <t>安全天数</t>
  </si>
  <si>
    <t>计划售罄日期</t>
  </si>
  <si>
    <t>批次平摊费用</t>
  </si>
  <si>
    <t>汇率</t>
  </si>
  <si>
    <t>备注</t>
  </si>
  <si>
    <t>方案1</t>
  </si>
  <si>
    <t>首批</t>
  </si>
  <si>
    <t>快船</t>
  </si>
  <si>
    <t>FBA仓</t>
  </si>
  <si>
    <t>首批不填</t>
  </si>
  <si>
    <t>慢船</t>
  </si>
  <si>
    <t>海外仓</t>
  </si>
  <si>
    <t>补货推算</t>
  </si>
  <si>
    <r>
      <t>说明</t>
    </r>
    <r>
      <rPr>
        <sz val="11"/>
        <color theme="1"/>
        <rFont val="微软雅黑"/>
        <charset val="134"/>
      </rPr>
      <t xml:space="preserve">
1.请查看批注中的定义和说明；
2.只需要填写</t>
    </r>
    <r>
      <rPr>
        <sz val="11"/>
        <color rgb="FFFF0000"/>
        <rFont val="微软雅黑"/>
        <charset val="134"/>
      </rPr>
      <t>红色字体</t>
    </r>
    <r>
      <rPr>
        <sz val="11"/>
        <color theme="1"/>
        <rFont val="微软雅黑"/>
        <charset val="134"/>
      </rPr>
      <t>部分；公式自动计算结果值
3.此为2个大批次的前提下进行推算的模板
4.此表可科学分配单个批次的运输方式和对应数量，可分方案对比开支差别</t>
    </r>
  </si>
  <si>
    <t xml:space="preserve"> </t>
  </si>
</sst>
</file>

<file path=xl/styles.xml><?xml version="1.0" encoding="utf-8"?>
<styleSheet xmlns="http://schemas.openxmlformats.org/spreadsheetml/2006/main">
  <numFmts count="10">
    <numFmt numFmtId="5" formatCode="&quot;￥&quot;#,##0;&quot;￥&quot;\-#,##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7" formatCode="&quot;￥&quot;#,##0.00;&quot;￥&quot;\-#,##0.00"/>
    <numFmt numFmtId="43" formatCode="_ * #,##0.00_ ;_ * \-#,##0.00_ ;_ * &quot;-&quot;??_ ;_ @_ "/>
    <numFmt numFmtId="176" formatCode="\$#,##0.00;\-\$#,##0.00"/>
    <numFmt numFmtId="177" formatCode="m&quot;月&quot;d&quot;日&quot;;@"/>
    <numFmt numFmtId="178" formatCode="0_ "/>
    <numFmt numFmtId="179" formatCode="0.0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7030A0"/>
      <name val="微软雅黑"/>
      <charset val="134"/>
    </font>
    <font>
      <sz val="11"/>
      <name val="微软雅黑"/>
      <charset val="134"/>
    </font>
    <font>
      <sz val="2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12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1" borderId="21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1" borderId="19" applyNumberFormat="0" applyAlignment="0" applyProtection="0">
      <alignment vertical="center"/>
    </xf>
    <xf numFmtId="0" fontId="22" fillId="11" borderId="20" applyNumberFormat="0" applyAlignment="0" applyProtection="0">
      <alignment vertical="center"/>
    </xf>
    <xf numFmtId="0" fontId="24" fillId="28" borderId="25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7" fontId="2" fillId="0" borderId="0" xfId="0" applyNumberFormat="1" applyFont="1" applyFill="1" applyAlignment="1">
      <alignment horizontal="center" vertical="center"/>
    </xf>
    <xf numFmtId="5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7" fontId="2" fillId="2" borderId="1" xfId="0" applyNumberFormat="1" applyFont="1" applyFill="1" applyBorder="1" applyAlignment="1">
      <alignment horizontal="center" vertical="center"/>
    </xf>
    <xf numFmtId="5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7" fontId="2" fillId="0" borderId="3" xfId="0" applyNumberFormat="1" applyFont="1" applyFill="1" applyBorder="1" applyAlignment="1">
      <alignment horizontal="center" vertical="center"/>
    </xf>
    <xf numFmtId="5" fontId="1" fillId="0" borderId="3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58" fontId="1" fillId="0" borderId="3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1" fillId="2" borderId="3" xfId="0" applyNumberFormat="1" applyFont="1" applyFill="1" applyBorder="1" applyAlignment="1">
      <alignment horizontal="center" vertical="center"/>
    </xf>
    <xf numFmtId="178" fontId="2" fillId="2" borderId="17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570230</xdr:colOff>
      <xdr:row>4</xdr:row>
      <xdr:rowOff>73025</xdr:rowOff>
    </xdr:from>
    <xdr:to>
      <xdr:col>31</xdr:col>
      <xdr:colOff>601980</xdr:colOff>
      <xdr:row>9</xdr:row>
      <xdr:rowOff>73025</xdr:rowOff>
    </xdr:to>
    <xdr:cxnSp>
      <xdr:nvCxnSpPr>
        <xdr:cNvPr id="2" name="直接箭头连接符 1"/>
        <xdr:cNvCxnSpPr/>
      </xdr:nvCxnSpPr>
      <xdr:spPr>
        <a:xfrm flipH="1" flipV="1">
          <a:off x="18006695" y="1177925"/>
          <a:ext cx="4286250" cy="1143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411480</xdr:colOff>
      <xdr:row>3</xdr:row>
      <xdr:rowOff>114935</xdr:rowOff>
    </xdr:from>
    <xdr:to>
      <xdr:col>31</xdr:col>
      <xdr:colOff>538480</xdr:colOff>
      <xdr:row>8</xdr:row>
      <xdr:rowOff>104140</xdr:rowOff>
    </xdr:to>
    <xdr:cxnSp>
      <xdr:nvCxnSpPr>
        <xdr:cNvPr id="3" name="直接箭头连接符 2"/>
        <xdr:cNvCxnSpPr/>
      </xdr:nvCxnSpPr>
      <xdr:spPr>
        <a:xfrm flipH="1" flipV="1">
          <a:off x="19892010" y="991235"/>
          <a:ext cx="2337435" cy="11322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327025</xdr:colOff>
      <xdr:row>1</xdr:row>
      <xdr:rowOff>125730</xdr:rowOff>
    </xdr:from>
    <xdr:to>
      <xdr:col>33</xdr:col>
      <xdr:colOff>305435</xdr:colOff>
      <xdr:row>6</xdr:row>
      <xdr:rowOff>179070</xdr:rowOff>
    </xdr:to>
    <xdr:cxnSp>
      <xdr:nvCxnSpPr>
        <xdr:cNvPr id="5" name="直接箭头连接符 4"/>
        <xdr:cNvCxnSpPr/>
      </xdr:nvCxnSpPr>
      <xdr:spPr>
        <a:xfrm flipV="1">
          <a:off x="10528300" y="544830"/>
          <a:ext cx="13268960" cy="11963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3</xdr:row>
      <xdr:rowOff>93345</xdr:rowOff>
    </xdr:from>
    <xdr:to>
      <xdr:col>8</xdr:col>
      <xdr:colOff>262890</xdr:colOff>
      <xdr:row>7</xdr:row>
      <xdr:rowOff>104775</xdr:rowOff>
    </xdr:to>
    <xdr:cxnSp>
      <xdr:nvCxnSpPr>
        <xdr:cNvPr id="6" name="直接箭头连接符 5"/>
        <xdr:cNvCxnSpPr/>
      </xdr:nvCxnSpPr>
      <xdr:spPr>
        <a:xfrm flipH="1" flipV="1">
          <a:off x="4511675" y="969645"/>
          <a:ext cx="835660" cy="92583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400685</xdr:colOff>
      <xdr:row>1</xdr:row>
      <xdr:rowOff>104775</xdr:rowOff>
    </xdr:from>
    <xdr:to>
      <xdr:col>8</xdr:col>
      <xdr:colOff>400685</xdr:colOff>
      <xdr:row>6</xdr:row>
      <xdr:rowOff>189230</xdr:rowOff>
    </xdr:to>
    <xdr:cxnSp>
      <xdr:nvCxnSpPr>
        <xdr:cNvPr id="7" name="直接箭头连接符 6"/>
        <xdr:cNvCxnSpPr/>
      </xdr:nvCxnSpPr>
      <xdr:spPr>
        <a:xfrm flipH="1" flipV="1">
          <a:off x="4500880" y="523875"/>
          <a:ext cx="984250" cy="12274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"/>
  <sheetViews>
    <sheetView tabSelected="1" zoomScale="90" zoomScaleNormal="90" topLeftCell="I1" workbookViewId="0">
      <pane ySplit="1" topLeftCell="A2" activePane="bottomLeft" state="frozen"/>
      <selection/>
      <selection pane="bottomLeft" activeCell="P20" sqref="P20"/>
    </sheetView>
  </sheetViews>
  <sheetFormatPr defaultColWidth="11.375" defaultRowHeight="18" customHeight="1"/>
  <cols>
    <col min="1" max="1" width="7.725" style="2" customWidth="1"/>
    <col min="2" max="2" width="9.18333333333333" style="2" customWidth="1"/>
    <col min="3" max="3" width="9.725" style="3" customWidth="1"/>
    <col min="4" max="4" width="9.725" style="4" customWidth="1"/>
    <col min="5" max="5" width="7.725" style="4" customWidth="1"/>
    <col min="6" max="6" width="9.725" style="4" customWidth="1"/>
    <col min="7" max="7" width="6.45833333333333" style="2" customWidth="1"/>
    <col min="8" max="9" width="6.45833333333333" style="3" customWidth="1"/>
    <col min="10" max="10" width="6.24166666666667" style="3" customWidth="1"/>
    <col min="11" max="11" width="7.63333333333333" style="3" customWidth="1"/>
    <col min="12" max="12" width="10" style="2" customWidth="1"/>
    <col min="13" max="13" width="7.725" style="2" customWidth="1"/>
    <col min="14" max="14" width="8.90833333333333" style="5" customWidth="1"/>
    <col min="15" max="15" width="10.1833333333333" style="6" customWidth="1"/>
    <col min="16" max="16" width="10" style="7" customWidth="1"/>
    <col min="17" max="17" width="9.725" style="8" customWidth="1"/>
    <col min="18" max="18" width="9.725" style="9" customWidth="1"/>
    <col min="19" max="19" width="12" style="9" customWidth="1"/>
    <col min="20" max="20" width="10.5416666666667" style="2" customWidth="1"/>
    <col min="21" max="21" width="8.875" style="3" customWidth="1"/>
    <col min="22" max="22" width="10.5416666666667" style="2" customWidth="1"/>
    <col min="23" max="23" width="14.9083333333333" style="2" customWidth="1"/>
    <col min="24" max="24" width="18.6333333333333" style="2" customWidth="1"/>
    <col min="25" max="25" width="9.90833333333333" style="9" customWidth="1"/>
    <col min="26" max="26" width="8.45833333333333" style="10" customWidth="1"/>
    <col min="27" max="27" width="8.45833333333333" style="9" customWidth="1"/>
    <col min="28" max="28" width="9.90833333333333" style="9" customWidth="1"/>
    <col min="29" max="29" width="8.45833333333333" style="9" customWidth="1"/>
    <col min="30" max="30" width="8.45833333333333" style="10" customWidth="1"/>
    <col min="31" max="31" width="2.18333333333333" style="9" customWidth="1"/>
    <col min="32" max="32" width="13.9083333333333" style="9" customWidth="1"/>
    <col min="33" max="33" width="9.725" style="10" customWidth="1"/>
    <col min="34" max="34" width="14.275" style="2" customWidth="1"/>
    <col min="35" max="35" width="14.275" style="7" customWidth="1"/>
    <col min="36" max="36" width="7.90833333333333" style="11" customWidth="1"/>
    <col min="37" max="37" width="18.0583333333333" style="2" customWidth="1"/>
    <col min="38" max="16384" width="11.375" style="2" customWidth="1"/>
  </cols>
  <sheetData>
    <row r="1" s="1" customFormat="1" ht="33" customHeight="1" spans="1:37">
      <c r="A1" s="1" t="s">
        <v>0</v>
      </c>
      <c r="B1" s="1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36" t="s">
        <v>13</v>
      </c>
      <c r="O1" s="37" t="s">
        <v>14</v>
      </c>
      <c r="P1" s="38" t="s">
        <v>15</v>
      </c>
      <c r="Q1" s="43" t="s">
        <v>16</v>
      </c>
      <c r="R1" s="44" t="s">
        <v>17</v>
      </c>
      <c r="S1" s="44" t="s">
        <v>18</v>
      </c>
      <c r="T1" s="12" t="s">
        <v>19</v>
      </c>
      <c r="U1" s="13" t="s">
        <v>20</v>
      </c>
      <c r="V1" s="12" t="s">
        <v>21</v>
      </c>
      <c r="W1" s="12" t="s">
        <v>22</v>
      </c>
      <c r="X1" s="45" t="s">
        <v>23</v>
      </c>
      <c r="Y1" s="52" t="s">
        <v>24</v>
      </c>
      <c r="Z1" s="53" t="s">
        <v>25</v>
      </c>
      <c r="AA1" s="53" t="s">
        <v>26</v>
      </c>
      <c r="AB1" s="52" t="s">
        <v>27</v>
      </c>
      <c r="AC1" s="53" t="s">
        <v>25</v>
      </c>
      <c r="AD1" s="53" t="s">
        <v>26</v>
      </c>
      <c r="AE1" s="52"/>
      <c r="AF1" s="54" t="s">
        <v>28</v>
      </c>
      <c r="AG1" s="58" t="s">
        <v>29</v>
      </c>
      <c r="AH1" s="12" t="s">
        <v>30</v>
      </c>
      <c r="AI1" s="38" t="s">
        <v>31</v>
      </c>
      <c r="AJ1" s="59" t="s">
        <v>32</v>
      </c>
      <c r="AK1" s="60" t="s">
        <v>33</v>
      </c>
    </row>
    <row r="2" s="2" customFormat="1" customHeight="1" spans="1:37">
      <c r="A2" s="15" t="s">
        <v>34</v>
      </c>
      <c r="B2" s="16" t="s">
        <v>35</v>
      </c>
      <c r="C2" s="17">
        <v>2000</v>
      </c>
      <c r="D2" s="18" t="s">
        <v>36</v>
      </c>
      <c r="E2" s="19" t="s">
        <v>37</v>
      </c>
      <c r="F2" s="19"/>
      <c r="G2" s="17">
        <v>600</v>
      </c>
      <c r="H2" s="17">
        <v>22</v>
      </c>
      <c r="I2" s="17">
        <v>19.5</v>
      </c>
      <c r="J2" s="17">
        <v>6.8</v>
      </c>
      <c r="K2" s="17">
        <v>0.75</v>
      </c>
      <c r="L2" s="39">
        <f>H2*I2*J2/6000*G2</f>
        <v>291.72</v>
      </c>
      <c r="M2" s="39">
        <f>G2*K2</f>
        <v>450</v>
      </c>
      <c r="N2" s="40">
        <v>20</v>
      </c>
      <c r="O2" s="41">
        <f>N2*MAX(L2:M2)</f>
        <v>9000</v>
      </c>
      <c r="P2" s="42">
        <f>O2/G2/AJ2</f>
        <v>2.34375</v>
      </c>
      <c r="Q2" s="46">
        <v>44562</v>
      </c>
      <c r="R2" s="47">
        <v>15</v>
      </c>
      <c r="S2" s="47">
        <v>7</v>
      </c>
      <c r="T2" s="48">
        <f>Q2+R2+S2</f>
        <v>44584</v>
      </c>
      <c r="U2" s="17">
        <v>30</v>
      </c>
      <c r="V2" s="48">
        <f>T2+U2</f>
        <v>44614</v>
      </c>
      <c r="W2" s="48">
        <f>V2+5</f>
        <v>44619</v>
      </c>
      <c r="X2" s="49" t="s">
        <v>38</v>
      </c>
      <c r="Y2" s="52"/>
      <c r="Z2" s="55">
        <f>G2/AA2</f>
        <v>40</v>
      </c>
      <c r="AA2" s="56">
        <v>15</v>
      </c>
      <c r="AB2" s="52"/>
      <c r="AC2" s="57"/>
      <c r="AD2" s="49" t="e">
        <f>G2/AC2</f>
        <v>#DIV/0!</v>
      </c>
      <c r="AE2" s="52"/>
      <c r="AF2" s="47">
        <v>40</v>
      </c>
      <c r="AG2" s="49" t="s">
        <v>38</v>
      </c>
      <c r="AH2" s="48">
        <f>V2+Z2</f>
        <v>44654</v>
      </c>
      <c r="AI2" s="42">
        <f>(O2+O3)/(G2+G3)/AJ2</f>
        <v>1.93359375</v>
      </c>
      <c r="AJ2" s="61">
        <v>6.4</v>
      </c>
      <c r="AK2" s="39"/>
    </row>
    <row r="3" s="2" customFormat="1" customHeight="1" spans="1:37">
      <c r="A3" s="20"/>
      <c r="B3" s="16" t="s">
        <v>35</v>
      </c>
      <c r="C3" s="17"/>
      <c r="D3" s="18" t="s">
        <v>39</v>
      </c>
      <c r="E3" s="19" t="s">
        <v>40</v>
      </c>
      <c r="F3" s="19"/>
      <c r="G3" s="21">
        <f>C2-G2</f>
        <v>1400</v>
      </c>
      <c r="H3" s="17">
        <v>22</v>
      </c>
      <c r="I3" s="17">
        <v>19.5</v>
      </c>
      <c r="J3" s="17">
        <v>6.8</v>
      </c>
      <c r="K3" s="17">
        <v>0.75</v>
      </c>
      <c r="L3" s="39">
        <f>H3*I3*J3/6000*G3</f>
        <v>680.68</v>
      </c>
      <c r="M3" s="39">
        <f>G3*K3</f>
        <v>1050</v>
      </c>
      <c r="N3" s="40">
        <v>15</v>
      </c>
      <c r="O3" s="41">
        <f>N3*MAX(L3:M3)</f>
        <v>15750</v>
      </c>
      <c r="P3" s="42">
        <f>O3/G3/AJ3</f>
        <v>1.7578125</v>
      </c>
      <c r="Q3" s="46">
        <f>Q2</f>
        <v>44562</v>
      </c>
      <c r="R3" s="47">
        <v>15</v>
      </c>
      <c r="S3" s="47">
        <v>7</v>
      </c>
      <c r="T3" s="48">
        <f>Q3+R3+S3</f>
        <v>44584</v>
      </c>
      <c r="U3" s="17">
        <v>50</v>
      </c>
      <c r="V3" s="48">
        <f>T3+U3</f>
        <v>44634</v>
      </c>
      <c r="W3" s="48">
        <f>V3+5</f>
        <v>44639</v>
      </c>
      <c r="X3" s="48">
        <f>AH2-5</f>
        <v>44649</v>
      </c>
      <c r="Y3" s="52"/>
      <c r="Z3" s="55" t="e">
        <f>G3/AA3</f>
        <v>#DIV/0!</v>
      </c>
      <c r="AA3" s="56"/>
      <c r="AB3" s="52"/>
      <c r="AC3" s="57">
        <v>55</v>
      </c>
      <c r="AD3" s="49">
        <f>G3/AC3</f>
        <v>25.4545454545455</v>
      </c>
      <c r="AE3" s="52"/>
      <c r="AF3" s="47">
        <v>55</v>
      </c>
      <c r="AG3" s="49">
        <f>AH2-W3</f>
        <v>15</v>
      </c>
      <c r="AH3" s="48">
        <f>X3+AF3</f>
        <v>44704</v>
      </c>
      <c r="AI3" s="42"/>
      <c r="AJ3" s="61">
        <v>6.4</v>
      </c>
      <c r="AK3" s="39"/>
    </row>
    <row r="4" s="2" customFormat="1" customHeight="1" spans="1:37">
      <c r="A4" s="20"/>
      <c r="B4" s="22" t="s">
        <v>41</v>
      </c>
      <c r="C4" s="23">
        <v>5000</v>
      </c>
      <c r="D4" s="18" t="s">
        <v>39</v>
      </c>
      <c r="E4" s="19" t="s">
        <v>40</v>
      </c>
      <c r="F4" s="19"/>
      <c r="G4" s="17">
        <v>1200</v>
      </c>
      <c r="H4" s="17">
        <v>22</v>
      </c>
      <c r="I4" s="17">
        <v>19.5</v>
      </c>
      <c r="J4" s="17">
        <v>6.8</v>
      </c>
      <c r="K4" s="17">
        <v>0.75</v>
      </c>
      <c r="L4" s="39">
        <f>H4*I4*J4/6000*G4</f>
        <v>583.44</v>
      </c>
      <c r="M4" s="39">
        <f>G4*K4</f>
        <v>900</v>
      </c>
      <c r="N4" s="40">
        <v>25</v>
      </c>
      <c r="O4" s="41">
        <f>N4*MAX(L4:M4)</f>
        <v>22500</v>
      </c>
      <c r="P4" s="42">
        <f>O4/G4/AJ4</f>
        <v>2.9296875</v>
      </c>
      <c r="Q4" s="50">
        <f>T4-S4-R4</f>
        <v>44632</v>
      </c>
      <c r="R4" s="47">
        <v>15</v>
      </c>
      <c r="S4" s="47">
        <v>7</v>
      </c>
      <c r="T4" s="48">
        <f>V4-U4</f>
        <v>44654</v>
      </c>
      <c r="U4" s="17">
        <v>30</v>
      </c>
      <c r="V4" s="48">
        <f>W4-5</f>
        <v>44684</v>
      </c>
      <c r="W4" s="48">
        <f>AH3-AG4</f>
        <v>44689</v>
      </c>
      <c r="X4" s="48">
        <f>AH3-5</f>
        <v>44699</v>
      </c>
      <c r="Y4" s="52"/>
      <c r="Z4" s="55">
        <f>G4/AA4</f>
        <v>34.2857142857143</v>
      </c>
      <c r="AA4" s="56">
        <v>35</v>
      </c>
      <c r="AB4" s="52"/>
      <c r="AC4" s="57"/>
      <c r="AD4" s="49" t="e">
        <f>G4/AC4</f>
        <v>#DIV/0!</v>
      </c>
      <c r="AE4" s="52"/>
      <c r="AF4" s="47">
        <v>43</v>
      </c>
      <c r="AG4" s="47">
        <v>15</v>
      </c>
      <c r="AH4" s="48">
        <f>X4+AF4</f>
        <v>44742</v>
      </c>
      <c r="AI4" s="42">
        <f>(O4+O5)/(G4+G5)/AJ4</f>
        <v>2.484375</v>
      </c>
      <c r="AJ4" s="61">
        <v>6.4</v>
      </c>
      <c r="AK4" s="39"/>
    </row>
    <row r="5" s="2" customFormat="1" customHeight="1" spans="1:37">
      <c r="A5" s="24"/>
      <c r="B5" s="25"/>
      <c r="C5" s="26"/>
      <c r="D5" s="18" t="s">
        <v>39</v>
      </c>
      <c r="E5" s="19" t="s">
        <v>40</v>
      </c>
      <c r="F5" s="19"/>
      <c r="G5" s="21">
        <f>C4-G4</f>
        <v>3800</v>
      </c>
      <c r="H5" s="17">
        <v>22</v>
      </c>
      <c r="I5" s="17">
        <v>19.5</v>
      </c>
      <c r="J5" s="17">
        <v>6.8</v>
      </c>
      <c r="K5" s="17">
        <v>0.75</v>
      </c>
      <c r="L5" s="39">
        <f>H5*I5*J5/6000*G5</f>
        <v>1847.56</v>
      </c>
      <c r="M5" s="39">
        <f>G5*K5</f>
        <v>2850</v>
      </c>
      <c r="N5" s="40">
        <v>20</v>
      </c>
      <c r="O5" s="41">
        <f>N5*MAX(L5:M5)</f>
        <v>57000</v>
      </c>
      <c r="P5" s="42">
        <f>O5/G5/AJ5</f>
        <v>2.34375</v>
      </c>
      <c r="Q5" s="51">
        <f>Q4</f>
        <v>44632</v>
      </c>
      <c r="R5" s="47">
        <v>15</v>
      </c>
      <c r="S5" s="47">
        <v>14</v>
      </c>
      <c r="T5" s="48">
        <f>Q5+R5+S5</f>
        <v>44661</v>
      </c>
      <c r="U5" s="17">
        <v>50</v>
      </c>
      <c r="V5" s="48">
        <f>T5+U5</f>
        <v>44711</v>
      </c>
      <c r="W5" s="48">
        <f>V5+5</f>
        <v>44716</v>
      </c>
      <c r="X5" s="48">
        <f>AH4-5</f>
        <v>44737</v>
      </c>
      <c r="Y5" s="52"/>
      <c r="Z5" s="55">
        <f>G5/AA5</f>
        <v>76</v>
      </c>
      <c r="AA5" s="56">
        <v>50</v>
      </c>
      <c r="AB5" s="52"/>
      <c r="AC5" s="57"/>
      <c r="AD5" s="49" t="e">
        <f>G5/AC5</f>
        <v>#DIV/0!</v>
      </c>
      <c r="AE5" s="52"/>
      <c r="AF5" s="47">
        <v>60</v>
      </c>
      <c r="AG5" s="49">
        <f>AH4-W5</f>
        <v>26</v>
      </c>
      <c r="AH5" s="48">
        <f>X5+AF5</f>
        <v>44797</v>
      </c>
      <c r="AI5" s="42"/>
      <c r="AJ5" s="61">
        <v>6.4</v>
      </c>
      <c r="AK5" s="39"/>
    </row>
    <row r="6" s="2" customFormat="1" customHeight="1" spans="3:36">
      <c r="C6" s="3"/>
      <c r="D6" s="4"/>
      <c r="E6" s="4"/>
      <c r="F6" s="4"/>
      <c r="H6" s="3"/>
      <c r="I6" s="3"/>
      <c r="J6" s="3"/>
      <c r="K6" s="3"/>
      <c r="N6" s="5"/>
      <c r="O6" s="6"/>
      <c r="P6" s="7"/>
      <c r="Q6" s="8"/>
      <c r="R6" s="9"/>
      <c r="S6" s="9"/>
      <c r="U6" s="3"/>
      <c r="Y6" s="9"/>
      <c r="Z6" s="10"/>
      <c r="AA6" s="9"/>
      <c r="AB6" s="9"/>
      <c r="AC6" s="9"/>
      <c r="AD6" s="10"/>
      <c r="AE6" s="9"/>
      <c r="AF6" s="9"/>
      <c r="AG6" s="10"/>
      <c r="AI6" s="7"/>
      <c r="AJ6" s="11"/>
    </row>
    <row r="7" s="2" customFormat="1" customHeight="1" spans="3:36">
      <c r="C7" s="3"/>
      <c r="D7" s="4"/>
      <c r="E7" s="4"/>
      <c r="F7" s="4"/>
      <c r="H7" s="3"/>
      <c r="I7" s="3"/>
      <c r="J7" s="3"/>
      <c r="K7" s="3"/>
      <c r="N7" s="5"/>
      <c r="O7" s="7"/>
      <c r="P7" s="7"/>
      <c r="Q7" s="8"/>
      <c r="R7" s="9"/>
      <c r="S7" s="9"/>
      <c r="U7" s="3"/>
      <c r="Y7" s="9"/>
      <c r="Z7" s="10"/>
      <c r="AA7" s="9"/>
      <c r="AB7" s="9"/>
      <c r="AC7" s="9"/>
      <c r="AD7" s="10"/>
      <c r="AE7" s="9"/>
      <c r="AF7" s="9"/>
      <c r="AG7" s="10"/>
      <c r="AI7" s="7"/>
      <c r="AJ7" s="11"/>
    </row>
    <row r="8" customHeight="1" spans="1:6">
      <c r="A8" s="27" t="s">
        <v>42</v>
      </c>
      <c r="B8" s="28"/>
      <c r="C8" s="28"/>
      <c r="D8" s="28"/>
      <c r="E8" s="28"/>
      <c r="F8" s="29"/>
    </row>
    <row r="9" customHeight="1" spans="1:6">
      <c r="A9" s="30"/>
      <c r="B9" s="31"/>
      <c r="C9" s="31"/>
      <c r="D9" s="31"/>
      <c r="E9" s="31"/>
      <c r="F9" s="32"/>
    </row>
    <row r="10" customHeight="1" spans="1:6">
      <c r="A10" s="30"/>
      <c r="B10" s="31"/>
      <c r="C10" s="31"/>
      <c r="D10" s="31"/>
      <c r="E10" s="31"/>
      <c r="F10" s="32"/>
    </row>
    <row r="11" customHeight="1" spans="1:6">
      <c r="A11" s="30"/>
      <c r="B11" s="31"/>
      <c r="C11" s="31"/>
      <c r="D11" s="31"/>
      <c r="E11" s="31"/>
      <c r="F11" s="32"/>
    </row>
    <row r="12" customHeight="1" spans="1:6">
      <c r="A12" s="30"/>
      <c r="B12" s="31"/>
      <c r="C12" s="31"/>
      <c r="D12" s="31"/>
      <c r="E12" s="31"/>
      <c r="F12" s="32"/>
    </row>
    <row r="13" customHeight="1" spans="1:6">
      <c r="A13" s="33"/>
      <c r="B13" s="34"/>
      <c r="C13" s="34"/>
      <c r="D13" s="34"/>
      <c r="E13" s="34"/>
      <c r="F13" s="35"/>
    </row>
    <row r="25" customHeight="1" spans="34:34">
      <c r="AH25" s="2" t="s">
        <v>43</v>
      </c>
    </row>
  </sheetData>
  <mergeCells count="11">
    <mergeCell ref="A2:A5"/>
    <mergeCell ref="B4:B5"/>
    <mergeCell ref="C2:C3"/>
    <mergeCell ref="C4:C5"/>
    <mergeCell ref="Y1:Y5"/>
    <mergeCell ref="AB1:AB5"/>
    <mergeCell ref="AE1:AE5"/>
    <mergeCell ref="AI2:AI3"/>
    <mergeCell ref="AI4:AI5"/>
    <mergeCell ref="AK2:AK3"/>
    <mergeCell ref="A8:F13"/>
  </mergeCells>
  <pageMargins left="0.75" right="0.75" top="1" bottom="1" header="0.5" footer="0.5"/>
  <headerFooter/>
  <ignoredErrors>
    <ignoredError sqref="V4:W4 T4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Jason</cp:lastModifiedBy>
  <dcterms:created xsi:type="dcterms:W3CDTF">2021-03-29T03:13:00Z</dcterms:created>
  <dcterms:modified xsi:type="dcterms:W3CDTF">2022-02-24T13:22:10Z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27034CF34EFE4156BA99754BD4E70B39</vt:lpwstr>
  </property>
  <property fmtid="{D5CDD505-2E9C-101B-9397-08002B2CF9AE}" pid="3" name="KSOProductBuildVer">
    <vt:lpwstr>2052-11.1.0.11365</vt:lpwstr>
  </property>
</Properties>
</file>