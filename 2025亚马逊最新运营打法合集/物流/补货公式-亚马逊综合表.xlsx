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8" activeTab="15"/>
  </bookViews>
  <sheets>
    <sheet name="试用期业务员" sheetId="1" r:id="rId1"/>
    <sheet name="绩效考核" sheetId="2" r:id="rId2"/>
    <sheet name="日报综合" sheetId="4" r:id="rId3"/>
    <sheet name="每日数据" sheetId="8" r:id="rId4"/>
    <sheet name="周报综合" sheetId="3" r:id="rId5"/>
    <sheet name="周营销数据" sheetId="7" r:id="rId6"/>
    <sheet name="广告周报" sheetId="10" r:id="rId7"/>
    <sheet name="广告操作记录" sheetId="6" r:id="rId8"/>
    <sheet name="FBA补货预警" sheetId="5" r:id="rId9"/>
    <sheet name="listing优化操作记录" sheetId="9" r:id="rId10"/>
    <sheet name="每周退货数据" sheetId="11" r:id="rId11"/>
    <sheet name="每周ROI表格追踪" sheetId="16" r:id="rId12"/>
    <sheet name="简易数据报告" sheetId="12" r:id="rId13"/>
    <sheet name="推广运营计划周报" sheetId="13" r:id="rId14"/>
    <sheet name="年度备货销售计划" sheetId="14" r:id="rId15"/>
    <sheet name="新品推广计划" sheetId="15" r:id="rId16"/>
  </sheets>
  <calcPr calcId="144525"/>
</workbook>
</file>

<file path=xl/comments1.xml><?xml version="1.0" encoding="utf-8"?>
<comments xmlns="http://schemas.openxmlformats.org/spreadsheetml/2006/main">
  <authors>
    <author>liyi09</author>
  </authors>
  <commentList>
    <comment ref="F1" authorId="0">
      <text>
        <r>
          <rPr>
            <sz val="9"/>
            <rFont val="宋体"/>
            <charset val="134"/>
          </rPr>
          <t>固定7天追踪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2" authorId="0">
      <text>
        <r>
          <rPr>
            <sz val="9"/>
            <rFont val="宋体"/>
            <charset val="134"/>
          </rPr>
          <t>总库存=在库+在途+接收中+转库</t>
        </r>
      </text>
    </comment>
    <comment ref="M2" authorId="0">
      <text>
        <r>
          <rPr>
            <sz val="9"/>
            <rFont val="宋体"/>
            <charset val="134"/>
          </rPr>
          <t>备货天数 =   下采购
单到可售的时间+安全库存天数 7天左右</t>
        </r>
      </text>
    </comment>
    <comment ref="N2" authorId="0">
      <text>
        <r>
          <rPr>
            <sz val="9"/>
            <rFont val="宋体"/>
            <charset val="134"/>
          </rPr>
          <t>给工厂下单的日期</t>
        </r>
      </text>
    </comment>
    <comment ref="P2" authorId="0">
      <text>
        <r>
          <rPr>
            <sz val="9"/>
            <rFont val="宋体"/>
            <charset val="134"/>
          </rPr>
          <t>日均销量 = 3日销量 / 3 * 3日权重 + 7日销量 / 7 * 7日权重 + 14日销量 / 14 * 14日权重 + 30日销量 / 30 * 30日权重   这里3、7、14、30日权重依次为0、0.5、0.3、0.2</t>
        </r>
      </text>
    </comment>
  </commentList>
</comments>
</file>

<file path=xl/comments3.xml><?xml version="1.0" encoding="utf-8"?>
<comments xmlns="http://schemas.openxmlformats.org/spreadsheetml/2006/main">
  <authors>
    <author>liyi09</author>
  </authors>
  <commentList>
    <comment ref="B4" authorId="0">
      <text>
        <r>
          <rPr>
            <sz val="9"/>
            <rFont val="宋体"/>
            <charset val="134"/>
          </rPr>
          <t>修改日期</t>
        </r>
      </text>
    </comment>
    <comment ref="F4" authorId="0">
      <text>
        <r>
          <rPr>
            <sz val="9"/>
            <rFont val="宋体"/>
            <charset val="134"/>
          </rPr>
          <t>公式自动填充 7天追踪</t>
        </r>
      </text>
    </comment>
  </commentList>
</comments>
</file>

<file path=xl/comments4.xml><?xml version="1.0" encoding="utf-8"?>
<comments xmlns="http://schemas.openxmlformats.org/spreadsheetml/2006/main">
  <authors>
    <author>liyi09</author>
    <author>Administrator</author>
  </authors>
  <commentList>
    <comment ref="N1" authorId="0">
      <text>
        <r>
          <rPr>
            <sz val="9"/>
            <rFont val="宋体"/>
            <charset val="134"/>
          </rPr>
          <t>由于推广期、稳定期、上升期的售价不同，此处取平均值价格</t>
        </r>
      </text>
    </comment>
    <comment ref="S1" authorId="0">
      <text>
        <r>
          <rPr>
            <sz val="16"/>
            <rFont val="宋体"/>
            <charset val="134"/>
          </rPr>
          <t>成本价</t>
        </r>
      </text>
    </comment>
    <comment ref="R4" authorId="0">
      <text>
        <r>
          <rPr>
            <sz val="9"/>
            <rFont val="宋体"/>
            <charset val="134"/>
          </rPr>
          <t>参照空运备货计划表</t>
        </r>
      </text>
    </comment>
    <comment ref="S4" authorId="0">
      <text>
        <r>
          <rPr>
            <sz val="9"/>
            <rFont val="宋体"/>
            <charset val="134"/>
          </rPr>
          <t>参考海运补货计划表</t>
        </r>
      </text>
    </comment>
    <comment ref="V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AI4" authorId="0">
      <text>
        <r>
          <rPr>
            <sz val="9"/>
            <rFont val="宋体"/>
            <charset val="134"/>
          </rPr>
          <t>个人测评的留评率，留评内容，是否在预计时间内达到留评数量</t>
        </r>
      </text>
    </comment>
    <comment ref="AK4" authorId="0">
      <text>
        <r>
          <rPr>
            <sz val="9"/>
            <rFont val="宋体"/>
            <charset val="134"/>
          </rPr>
          <t>特殊产品需要留视频的，或者留feedback的是否留了</t>
        </r>
      </text>
    </comment>
    <comment ref="AN4" authorId="0">
      <text>
        <r>
          <rPr>
            <sz val="9"/>
            <rFont val="宋体"/>
            <charset val="134"/>
          </rPr>
          <t>参加LD后的效果分析，出单情况与CPC对比</t>
        </r>
      </text>
    </comment>
    <comment ref="AP4" authorId="1">
      <text>
        <r>
          <rPr>
            <sz val="9"/>
            <rFont val="微软雅黑"/>
            <charset val="134"/>
          </rPr>
          <t>广告坑位不在前三页，打”/”,须加钱或换词</t>
        </r>
      </text>
    </comment>
    <comment ref="AR4" authorId="0">
      <text>
        <r>
          <rPr>
            <sz val="9"/>
            <rFont val="宋体"/>
            <charset val="134"/>
          </rPr>
          <t>观察CTR和CR，以及追踪广告位置，每天要做一个记录</t>
        </r>
      </text>
    </comment>
    <comment ref="AT4" authorId="0">
      <text>
        <r>
          <rPr>
            <sz val="9"/>
            <rFont val="宋体"/>
            <charset val="134"/>
          </rPr>
          <t>coupon的使用情况</t>
        </r>
      </text>
    </comment>
    <comment ref="AV4" authorId="0">
      <text>
        <r>
          <rPr>
            <sz val="9"/>
            <rFont val="宋体"/>
            <charset val="134"/>
          </rPr>
          <t>促销的效果</t>
        </r>
      </text>
    </comment>
    <comment ref="BA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  <comment ref="BF4" authorId="0">
      <text>
        <r>
          <rPr>
            <sz val="9"/>
            <rFont val="宋体"/>
            <charset val="134"/>
          </rPr>
          <t xml:space="preserve"> 个人刷单费用
+
 公司测评费用
+
 LD费用
+ 
 CPC费用
+
 站外推广费用</t>
        </r>
      </text>
    </comment>
  </commentList>
</comments>
</file>

<file path=xl/sharedStrings.xml><?xml version="1.0" encoding="utf-8"?>
<sst xmlns="http://schemas.openxmlformats.org/spreadsheetml/2006/main" count="2614" uniqueCount="901">
  <si>
    <t>业务薪酬结构分解</t>
  </si>
  <si>
    <t>考核期间：2023年11月</t>
  </si>
  <si>
    <t>姓名</t>
  </si>
  <si>
    <t>岗位</t>
  </si>
  <si>
    <t>试用期业务</t>
  </si>
  <si>
    <t>业绩考核</t>
  </si>
  <si>
    <t>序号</t>
  </si>
  <si>
    <t>考核指标</t>
  </si>
  <si>
    <t>权重</t>
  </si>
  <si>
    <t>目标值要求</t>
  </si>
  <si>
    <t>评分等级</t>
  </si>
  <si>
    <t>得分</t>
  </si>
  <si>
    <t>标准</t>
  </si>
  <si>
    <t>分值</t>
  </si>
  <si>
    <t>自评</t>
  </si>
  <si>
    <t>上级</t>
  </si>
  <si>
    <t>结果</t>
  </si>
  <si>
    <t>销售额</t>
  </si>
  <si>
    <t>1万</t>
  </si>
  <si>
    <t>成交1万及以上</t>
  </si>
  <si>
    <t>成交0.5万及以上</t>
  </si>
  <si>
    <t>成交0.3万及以上</t>
  </si>
  <si>
    <t>未达成0.3万</t>
  </si>
  <si>
    <t>产品刊登总数</t>
  </si>
  <si>
    <t>达成2000及以上</t>
  </si>
  <si>
    <t>达成1800及以上</t>
  </si>
  <si>
    <t>达成1600及以上</t>
  </si>
  <si>
    <t>1600以下</t>
  </si>
  <si>
    <t>业绩考核合计</t>
  </si>
  <si>
    <t>行为考核</t>
  </si>
  <si>
    <t>指标说明</t>
  </si>
  <si>
    <t>工作积极性</t>
  </si>
  <si>
    <t xml:space="preserve">考核员工工作的积极程度               </t>
  </si>
  <si>
    <t>自愿回来加班25小时/月及以上</t>
  </si>
  <si>
    <t>自愿回来加班20小时/月及以上</t>
  </si>
  <si>
    <t>自愿回来加班15小时/月及以上</t>
  </si>
  <si>
    <t>自愿回来加班少于15小时/月</t>
  </si>
  <si>
    <t>工作服从态度</t>
  </si>
  <si>
    <t>对上级安排任务的态度的考核</t>
  </si>
  <si>
    <t>满意服从</t>
  </si>
  <si>
    <t>基本服从</t>
  </si>
  <si>
    <t>埋怨服从</t>
  </si>
  <si>
    <t>报表准时完整性</t>
  </si>
  <si>
    <t>考核是否按时,完整提交报表</t>
  </si>
  <si>
    <t xml:space="preserve">报表真实，完整，准时提交  </t>
  </si>
  <si>
    <t xml:space="preserve">报表真实,内容一般,准时提交  </t>
  </si>
  <si>
    <t>报表不完整或不准时提交</t>
  </si>
  <si>
    <t>行为考核合计</t>
  </si>
  <si>
    <t>附加分</t>
  </si>
  <si>
    <t>可行性建议</t>
  </si>
  <si>
    <t>对部门管理或者业务上的可行性建议</t>
  </si>
  <si>
    <t>被采纳二条</t>
  </si>
  <si>
    <t>被采纳一条</t>
  </si>
  <si>
    <t>无</t>
  </si>
  <si>
    <t>总分</t>
  </si>
  <si>
    <t>总分=业绩考核得分*50%+行为考核得分*50%</t>
  </si>
  <si>
    <t>签名</t>
  </si>
  <si>
    <t>被考核人签字：</t>
  </si>
  <si>
    <t>考核人签名确认：</t>
  </si>
  <si>
    <t>备注：1,考核内容业务填写均须属实，如有虚报或造假行为，当月绩效考核分为0; 2,考核分分为自评和上级评分，最终得分结果取低分; 3，考核总分将会按照《薪酬说明》进行绩效工资结算，并作为《业务人员晋升标准》中的晋升或降级的考核标准；</t>
  </si>
  <si>
    <t>跨境电商业务同事绩效考核表</t>
  </si>
  <si>
    <t>职位</t>
  </si>
  <si>
    <t xml:space="preserve"> 店铺运营</t>
  </si>
  <si>
    <t>平台</t>
  </si>
  <si>
    <t>5000美金</t>
  </si>
  <si>
    <t>成交5000美金及以上</t>
  </si>
  <si>
    <t>成交3000美金及以上</t>
  </si>
  <si>
    <t>成交1000美金及以上</t>
  </si>
  <si>
    <t>未达成1000美金</t>
  </si>
  <si>
    <t>销售额增长率</t>
  </si>
  <si>
    <t>每月递增40%</t>
  </si>
  <si>
    <t>递增40%以上</t>
  </si>
  <si>
    <t>递增20%及以上</t>
  </si>
  <si>
    <t>递增10%及以上</t>
  </si>
  <si>
    <t>递增10%以下</t>
  </si>
  <si>
    <t>列在每日排名表的产品刊登完成程度</t>
  </si>
  <si>
    <t>每日排名表列出产品
全部SKU上传完成</t>
  </si>
  <si>
    <t>完成率100%</t>
  </si>
  <si>
    <t>完成率80%及以上</t>
  </si>
  <si>
    <t>完成率不足80%</t>
  </si>
  <si>
    <t>净利润增长率</t>
  </si>
  <si>
    <t>每月递增30%</t>
  </si>
  <si>
    <t>递增30%以上</t>
  </si>
  <si>
    <t>自愿回来加班30小时/月及以上</t>
  </si>
  <si>
    <t>不服从</t>
  </si>
  <si>
    <t>报表填写准时完整性</t>
  </si>
  <si>
    <t xml:space="preserve">报表真实，完整，准时填写 </t>
  </si>
  <si>
    <t xml:space="preserve">报表真实,内容一般,准时填写 </t>
  </si>
  <si>
    <t>报表不完整或不准时填写</t>
  </si>
  <si>
    <t>同事间工作配合性</t>
  </si>
  <si>
    <t>考核同事间工作配合分享帮助程度</t>
  </si>
  <si>
    <t>积极配合同事工作</t>
  </si>
  <si>
    <t>基本配合同事工作</t>
  </si>
  <si>
    <t>不配合同事工作</t>
  </si>
  <si>
    <t>总分=业绩考核得分*70%+行为考核得分*30%</t>
  </si>
  <si>
    <t>账号安全性</t>
  </si>
  <si>
    <t xml:space="preserve">
1.店铺由于个人运营原因被关闭，扣除一个月工资和当月全部绩效工资
2.店铺由于个人运营原因被移除一个产品类目，扣除1000元工资和当月全部绩效工资
</t>
  </si>
  <si>
    <r>
      <rPr>
        <sz val="11"/>
        <rFont val="黑体"/>
        <charset val="134"/>
      </rPr>
      <t xml:space="preserve">备注：
1,考核内容业务填写均须属实，如有虚报或造假行为，当月绩效考核分为0;
2,考核分分为自评和上级评分，最终得分结果取低分; 
</t>
    </r>
    <r>
      <rPr>
        <b/>
        <sz val="11"/>
        <color indexed="10"/>
        <rFont val="黑体"/>
        <charset val="134"/>
      </rPr>
      <t xml:space="preserve">3.综合得分60-80分为及格，保持工资不变；低于60分，工资乘以系数0.9；高于80分为优秀，工资乘以系数1.1
</t>
    </r>
    <r>
      <rPr>
        <sz val="11"/>
        <rFont val="黑体"/>
        <charset val="134"/>
      </rPr>
      <t xml:space="preserve">
4.一个同事负责多个平台，总分=考核最好的平台占分比为80%，其他第二第三平台占比为20%
</t>
    </r>
  </si>
  <si>
    <t>周目标：目标是类目前100名，推关键词 game cameras with night vision motion activated上首页，关键词刷单</t>
  </si>
  <si>
    <t>第1周（每日更新）</t>
  </si>
  <si>
    <t>今日日志（做了啥）</t>
  </si>
  <si>
    <t>客诉，差评问题反馈</t>
  </si>
  <si>
    <t>类目排名</t>
  </si>
  <si>
    <t>售价</t>
  </si>
  <si>
    <t>销量</t>
  </si>
  <si>
    <t>库存</t>
  </si>
  <si>
    <t>运输在途</t>
  </si>
  <si>
    <t>采购在途</t>
  </si>
  <si>
    <r>
      <rPr>
        <b/>
        <sz val="10"/>
        <color theme="1"/>
        <rFont val="Calibri"/>
        <charset val="134"/>
      </rPr>
      <t>review</t>
    </r>
    <r>
      <rPr>
        <b/>
        <sz val="10"/>
        <color theme="1"/>
        <rFont val="Arial Unicode MS"/>
        <charset val="134"/>
      </rPr>
      <t>分数</t>
    </r>
  </si>
  <si>
    <r>
      <rPr>
        <b/>
        <sz val="10"/>
        <color theme="1"/>
        <rFont val="Arial Unicode MS"/>
        <charset val="134"/>
      </rPr>
      <t>review</t>
    </r>
    <r>
      <rPr>
        <b/>
        <sz val="10"/>
        <color theme="1"/>
        <rFont val="宋体"/>
        <charset val="134"/>
      </rPr>
      <t>数量</t>
    </r>
  </si>
  <si>
    <r>
      <rPr>
        <b/>
        <sz val="10"/>
        <color theme="1"/>
        <rFont val="Arial Unicode MS"/>
        <charset val="134"/>
      </rPr>
      <t>QA</t>
    </r>
    <r>
      <rPr>
        <b/>
        <sz val="10"/>
        <color theme="1"/>
        <rFont val="宋体"/>
        <charset val="134"/>
      </rPr>
      <t>数量</t>
    </r>
  </si>
  <si>
    <t>流量</t>
  </si>
  <si>
    <t>转化</t>
  </si>
  <si>
    <t>核心关键词1</t>
  </si>
  <si>
    <t>广告竞价</t>
  </si>
  <si>
    <t>广告位置</t>
  </si>
  <si>
    <t>自然排名</t>
  </si>
  <si>
    <t>核心关键词2</t>
  </si>
  <si>
    <t>核心关键词3</t>
  </si>
  <si>
    <t>2023.3.25</t>
  </si>
  <si>
    <t>1.优化产品listing和Title  2.优化CPC广告，加入新的关键词，增加商品投入广告 3.和CAM-014做关联销售</t>
  </si>
  <si>
    <t xml:space="preserve"> #179,645 in Sports &amp; Outdoors (See Top 100 in Sports &amp; Outdoors)
    #255 in Hunting &amp; Trail Cameras
    #2954 in Hunting &amp; Shooting Optics
    #4685 in Security &amp; Surveillance Equipment
</t>
  </si>
  <si>
    <t>69.99</t>
  </si>
  <si>
    <t>0</t>
  </si>
  <si>
    <t>163</t>
  </si>
  <si>
    <t>200</t>
  </si>
  <si>
    <t>5.0</t>
  </si>
  <si>
    <t>1</t>
  </si>
  <si>
    <t>14</t>
  </si>
  <si>
    <t xml:space="preserve">game cameras with night vision motion activated
</t>
  </si>
  <si>
    <t>第2页第24位</t>
  </si>
  <si>
    <t>第一页第47位</t>
  </si>
  <si>
    <t>hunting  camera</t>
  </si>
  <si>
    <t>第1页第29位</t>
  </si>
  <si>
    <t>第1页第38位</t>
  </si>
  <si>
    <t>2023.3.26</t>
  </si>
  <si>
    <t>1.上传小视频            2.根据广告报表中的曝光降序添加白金词    3.提价$1</t>
  </si>
  <si>
    <t xml:space="preserve"> #66,563 in Sports &amp; Outdoors (See Top 100 in Sports &amp; Outdoors)
    #103 in Hunting &amp; Trail Cameras
</t>
  </si>
  <si>
    <t>3</t>
  </si>
  <si>
    <t>160</t>
  </si>
  <si>
    <t>12</t>
  </si>
  <si>
    <t>没有数据</t>
  </si>
  <si>
    <t>第1页第48位</t>
  </si>
  <si>
    <t>第1页第33位</t>
  </si>
  <si>
    <t>2023.3.27</t>
  </si>
  <si>
    <t>1.重新创建和CAM007，CAM014的关联销售，建立$2coupon                  2.提高商品投放的竞价                          3.站外联系做开箱视频，通过game cameras with night vision motion activated关键词下单                   5. 提高自动广告竞价，降低手动广告竞价，搜集精准关键词    6.优化产品listing   7.加入CPC广告词no glow infrared trail camera</t>
  </si>
  <si>
    <t xml:space="preserve">#134,078 in Sports &amp; Outdoors (See Top 100 in Sports &amp; Outdoors)
    #213 in Hunting &amp; Trail Cameras
</t>
  </si>
  <si>
    <t>2</t>
  </si>
  <si>
    <t>165</t>
  </si>
  <si>
    <t>第1页第41位</t>
  </si>
  <si>
    <t>第1页第35位</t>
  </si>
  <si>
    <t>2023.3.28</t>
  </si>
  <si>
    <t>1.$2无法生效，建立5%coupon                             2.微调产品Title            3.提高商品投放的竞价                          4.提高自动广告投放竞价</t>
  </si>
  <si>
    <t xml:space="preserve"> #83,972 in Sports &amp; Outdoors (See Top 100 in Sports &amp; Outdoors)
    #130 in Hunting &amp; Trail Cameras
</t>
  </si>
  <si>
    <t>4</t>
  </si>
  <si>
    <t>38</t>
  </si>
  <si>
    <t>第1页倒数第4位</t>
  </si>
  <si>
    <t>第1页倒数第17位</t>
  </si>
  <si>
    <t>第1页第40位</t>
  </si>
  <si>
    <t>2023.3.29</t>
  </si>
  <si>
    <t>1.优化产品主图               2.优化A+页面文案</t>
  </si>
  <si>
    <t xml:space="preserve"> #72,133 in Sports &amp; Outdoors (See Top 100 in Sports &amp; Outdoors)
    #114 in Hunting &amp; Trail Cameras
</t>
  </si>
  <si>
    <t>第1页倒数第二位</t>
  </si>
  <si>
    <t>第1页第27位</t>
  </si>
  <si>
    <t>第1页第39位</t>
  </si>
  <si>
    <t>第2周（每日更新）</t>
  </si>
  <si>
    <t>2023.4.1</t>
  </si>
  <si>
    <t>1.加入B07BHLVXF7到商品投放               2.降低B07CPZ35B3商品投放价格</t>
  </si>
  <si>
    <t xml:space="preserve"> #72,372 in Sports &amp; Outdoors (See Top 100 in Sports &amp; Outdoors)
    #104 in Hunting &amp; Trail Cameras
</t>
  </si>
  <si>
    <t>149</t>
  </si>
  <si>
    <t>只有订单数量没有流量和转化的数据，明天看数据情况更新</t>
  </si>
  <si>
    <t>第1页第55位</t>
  </si>
  <si>
    <t>第1页第18位</t>
  </si>
  <si>
    <t>第1页第45位</t>
  </si>
  <si>
    <t>2023.4.2</t>
  </si>
  <si>
    <t>1.提价&amp;2销售               2.加入关键词hunting cameras，
hunting cameras with night vision waterproof，
hunting camera到精准投放</t>
  </si>
  <si>
    <t xml:space="preserve">#68,960 in Sports &amp; Outdoors (See Top 100 in Sports &amp; Outdoors)
    #99 in Hunting &amp; Trail Cameras
</t>
  </si>
  <si>
    <t>146</t>
  </si>
  <si>
    <t>完全没有数据，待更新</t>
  </si>
  <si>
    <t>第1页第54位</t>
  </si>
  <si>
    <t>第1页第13位</t>
  </si>
  <si>
    <t>第1页第57位</t>
  </si>
  <si>
    <t>第1页第28位</t>
  </si>
  <si>
    <t>2023.4.3</t>
  </si>
  <si>
    <t>1.广告位置靠后，竞争对手hunting camera关键词搜索在第一页，提高关键词竞价到$3                   2.根据品牌分析添加bird camera motion activated，
best trail camera，bird camera motion activated，campark trail camera，campark trail camera 14mp 1080p广告词</t>
  </si>
  <si>
    <t xml:space="preserve">#59,055 in Sports &amp; Outdoors (See Top 100 in Sports &amp; Outdoors)
    #85 in Hunting &amp; Trail Cameras
</t>
  </si>
  <si>
    <t>70.99</t>
  </si>
  <si>
    <t>第2页第56位</t>
  </si>
  <si>
    <t>第1页第15位</t>
  </si>
  <si>
    <t>第四页第一位</t>
  </si>
  <si>
    <t>2023.4.4</t>
  </si>
  <si>
    <t>1.优化listing中的FLAGPOWER trail camera 为FLAGPOWER hunting game camera                 2.根据广告报表曝光量倒序优化ST</t>
  </si>
  <si>
    <t xml:space="preserve">#57,023 in Sports &amp; Outdoors (See Top 100 in Sports &amp; Outdoors)
    #89 in Hunting &amp; Trail Cameras
</t>
  </si>
  <si>
    <t>142</t>
  </si>
  <si>
    <t>第1页第56位</t>
  </si>
  <si>
    <t>第3页第2位</t>
  </si>
  <si>
    <t>周目标：保持类目排名前100， 在视频相关处上传两段产品相关视频</t>
  </si>
  <si>
    <t>第3周（每日更新）</t>
  </si>
  <si>
    <t>2023.4.8</t>
  </si>
  <si>
    <t>1.上传相关视频                       2.增加关键词hunting camera motion activated,
hunting camera night vision, 
hunting camera with night vision     3.关闭没有曝光的关键词</t>
  </si>
  <si>
    <t xml:space="preserve"> #73,122 in Sports &amp; Outdoors (See Top 100 in Sports &amp; Outdoors)
    #107 in Hunting &amp; Trail Cameras
</t>
  </si>
  <si>
    <t>43</t>
  </si>
  <si>
    <t>2023.4.9</t>
  </si>
  <si>
    <t>1.刷2留1  2.根据广告报表优化ST关键词</t>
  </si>
  <si>
    <t>5</t>
  </si>
  <si>
    <t>269</t>
  </si>
  <si>
    <t>62</t>
  </si>
  <si>
    <t>36</t>
  </si>
  <si>
    <t>第1页第10位</t>
  </si>
  <si>
    <t>第1页第22位</t>
  </si>
  <si>
    <t>2023.4.10</t>
  </si>
  <si>
    <t>1.优化产品listing，精炼16MP Photo &amp; 1080P HD Video的描述               2.优化产品title</t>
  </si>
  <si>
    <t xml:space="preserve"> #72,147 in Sports &amp; Outdoors (See Top 100 in Sports &amp; Outdoors)
    #114 in Hunting &amp; Trail Cameras
</t>
  </si>
  <si>
    <t>59</t>
  </si>
  <si>
    <t>31</t>
  </si>
  <si>
    <t>第1页第23位</t>
  </si>
  <si>
    <t>2023.4.11</t>
  </si>
  <si>
    <t>1.降低产品投放ASIN投放的竞价               2.增加关键词game camera with memory card</t>
  </si>
  <si>
    <t xml:space="preserve">#67,265 in Sports &amp; Outdoors (See Top 100 in Sports &amp; Outdoors)
    #93 in Hunting &amp; Trail Cameras
</t>
  </si>
  <si>
    <t>277</t>
  </si>
  <si>
    <t>47</t>
  </si>
  <si>
    <t>45</t>
  </si>
  <si>
    <t>第1页第12位</t>
  </si>
  <si>
    <t>2023.4.12</t>
  </si>
  <si>
    <t xml:space="preserve">1.优化ST关键词 </t>
  </si>
  <si>
    <t>#49,429 in Sports &amp; Outdoors (See Top 100 in Sports &amp; Outdoors)
#69 in Hunting &amp; Trail Cameras</t>
  </si>
  <si>
    <t>317</t>
  </si>
  <si>
    <t>29</t>
  </si>
  <si>
    <t>第3页第27位</t>
  </si>
  <si>
    <t>第1页第32位</t>
  </si>
  <si>
    <t>2023.4.13</t>
  </si>
  <si>
    <t>1.根据广告报表优化ST关键词和广告关键词                            2.优化listing“No Glow Infrared Technology”中的描述                 3.上传一段拍摄视频</t>
  </si>
  <si>
    <t xml:space="preserve"> #41,883 in Sports &amp; Outdoors (See Top 100 in Sports &amp; Outdoors)
    #54 in Hunting &amp; Trail Cameras
</t>
  </si>
  <si>
    <t>313</t>
  </si>
  <si>
    <t>第1页第14位</t>
  </si>
  <si>
    <t>第1页第11位</t>
  </si>
  <si>
    <t>周目标：进入类目前50，尝试调价到71.99，刷2留1，po一段视频</t>
  </si>
  <si>
    <t>第4周（每日更新）</t>
  </si>
  <si>
    <t>2023.4.15</t>
  </si>
  <si>
    <t>1.增加长尾词game cameras with night vision motion activated waterproof，16m9 1080p game camera invisible lights</t>
  </si>
  <si>
    <t xml:space="preserve"> #45,566 in Sports &amp; Outdoors (See Top 100 in Sports &amp; Outdoors)
    #54 in Hunting &amp; Trail Cameras
</t>
  </si>
  <si>
    <t>310</t>
  </si>
  <si>
    <t>第2页第31位</t>
  </si>
  <si>
    <t>第1页第36位</t>
  </si>
  <si>
    <t>2023.4.16</t>
  </si>
  <si>
    <t>1.增加game cam，bluetooth wildlife camera，game camera night vision motion activated，game tracker camera为广泛匹配                  2. 优化listing：IP66 Waterproof &amp; Compact and Sturdy这点的描述,listing中添加品牌+词根词：FLAGPOWER wildlife camera</t>
  </si>
  <si>
    <t xml:space="preserve">#83,273 in Sports &amp; Outdoors (See Top 100 in Sports &amp; Outdoors)
    #114 in Hunting &amp; Trail Cameras
</t>
  </si>
  <si>
    <t>308</t>
  </si>
  <si>
    <t>40</t>
  </si>
  <si>
    <t>第1页最后一位</t>
  </si>
  <si>
    <t>第2页第11位</t>
  </si>
  <si>
    <t>第1页第49位</t>
  </si>
  <si>
    <t>2023.4.17</t>
  </si>
  <si>
    <t>1.优化产品长尾广告词，优化listing中的关键词</t>
  </si>
  <si>
    <t xml:space="preserve"> #26,676 in Sports &amp; Outdoors (See Top 100 in Sports &amp; Outdoors)
    #29 in Hunting &amp; Trail Cameras
</t>
  </si>
  <si>
    <t>20</t>
  </si>
  <si>
    <t>288</t>
  </si>
  <si>
    <t>49</t>
  </si>
  <si>
    <t>第1页第2位</t>
  </si>
  <si>
    <t>第1页第1位</t>
  </si>
  <si>
    <t>2023.4.18</t>
  </si>
  <si>
    <t>1.上传产品开箱视频，设置品牌投放广告                        2.刷2留1</t>
  </si>
  <si>
    <t xml:space="preserve"> #44,261 in Sports &amp; Outdoors (See Top 100 in Sports &amp; Outdoors)
    #54 in Hunting &amp; Trail Cameras
</t>
  </si>
  <si>
    <t>284</t>
  </si>
  <si>
    <t>0%%</t>
  </si>
  <si>
    <t>第1页第5位</t>
  </si>
  <si>
    <t>第1页第17位</t>
  </si>
  <si>
    <t>第1页第51位</t>
  </si>
  <si>
    <t>第1页第37位</t>
  </si>
  <si>
    <t>2023.4.19</t>
  </si>
  <si>
    <t xml:space="preserve">1.尝试提价$1                          2.添加有转化关键词game camera with day                      </t>
  </si>
  <si>
    <t xml:space="preserve">#38,960 in Sports &amp; Outdoors (See Top 100 in Sports &amp; Outdoors)
    #53 in Hunting &amp; Trail Cameras
</t>
  </si>
  <si>
    <t>第1页第7位</t>
  </si>
  <si>
    <t>第1页第24位</t>
  </si>
  <si>
    <t>周目标：保持前50，尝试调价到72.99，刷2留1</t>
  </si>
  <si>
    <t>第5周（每日更新）</t>
  </si>
  <si>
    <t>2023.4.22</t>
  </si>
  <si>
    <t>1.提高品牌投放中关键词hunting camera和game cameras with night vision motion activated的竞价</t>
  </si>
  <si>
    <t>71.99</t>
  </si>
  <si>
    <t>262</t>
  </si>
  <si>
    <t>54</t>
  </si>
  <si>
    <t>第1页第6位</t>
  </si>
  <si>
    <t>第1页第26位</t>
  </si>
  <si>
    <t>2023.4.24</t>
  </si>
  <si>
    <t>上传SD卡操作视频，加入CPC广告词no glow infrared trail camera为精准广告</t>
  </si>
  <si>
    <t xml:space="preserve"> #22,416 in Sports &amp; Outdoors (See Top 100 in Sports &amp; Outdoors)
    #29 in Hunting &amp; Trail Cameras
</t>
  </si>
  <si>
    <t>72.99</t>
  </si>
  <si>
    <t>13</t>
  </si>
  <si>
    <t>243</t>
  </si>
  <si>
    <t>56</t>
  </si>
  <si>
    <t>第1页第16位</t>
  </si>
  <si>
    <t>2023.4.25</t>
  </si>
  <si>
    <t>1.刷2留1                             2.上传1个视频review</t>
  </si>
  <si>
    <t xml:space="preserve"> #39,561 in Sports &amp; Outdoors (See Top 100 in Sports &amp; Outdoors)
    #38 in Hunting &amp; Trail Cameras
</t>
  </si>
  <si>
    <t>70</t>
  </si>
  <si>
    <t>2023.4.26</t>
  </si>
  <si>
    <t>优化品牌投放关键的竞价</t>
  </si>
  <si>
    <t xml:space="preserve">#36,530 in Sports &amp; Outdoors (See Top 100 in Sports &amp; Outdoors)
    #48 in Hunting &amp; Trail Cameras
</t>
  </si>
  <si>
    <t>73.99</t>
  </si>
  <si>
    <t>8</t>
  </si>
  <si>
    <t>234</t>
  </si>
  <si>
    <t>68</t>
  </si>
  <si>
    <t>第1页第9位</t>
  </si>
  <si>
    <t>第1页第19位</t>
  </si>
  <si>
    <t>2023.4.28</t>
  </si>
  <si>
    <t xml:space="preserve">1.上传加图片的review               2.刷2留1                               3.根据广告报表优化CPC关键词                 </t>
  </si>
  <si>
    <t>1.图片和视频的质量不高   2.触发时间比较慢</t>
  </si>
  <si>
    <t xml:space="preserve"> #31,473 in Sports &amp; Outdoors (See Top 100 in Sports &amp; Outdoors)
    #41 in Hunting &amp; Trail Cameras
</t>
  </si>
  <si>
    <t>223</t>
  </si>
  <si>
    <t>3.5</t>
  </si>
  <si>
    <t>第1页第34位</t>
  </si>
  <si>
    <t>2023.4.29</t>
  </si>
  <si>
    <t xml:space="preserve">#55,793 in Sports &amp; Outdoors (See Top 100 in Sports &amp; Outdoors)
    #73 in Hunting &amp; Trail Cameras
</t>
  </si>
  <si>
    <t>221</t>
  </si>
  <si>
    <t>第1页第3位</t>
  </si>
  <si>
    <t>周目标：进入类目前100，提高review分数到4.2， 提价到$76.99</t>
  </si>
  <si>
    <t>第6周（每日更新）</t>
  </si>
  <si>
    <t>2023.5.5</t>
  </si>
  <si>
    <t>1.留1个评论                           2. 优化cpc广告词</t>
  </si>
  <si>
    <t xml:space="preserve"> #74,253 in Sports &amp; Outdoors (See Top 100 in Sports &amp; Outdoors)
    #104 in Hunting &amp; Trail Cameras
</t>
  </si>
  <si>
    <t>75.99</t>
  </si>
  <si>
    <t>203</t>
  </si>
  <si>
    <t>3.8</t>
  </si>
  <si>
    <t>6</t>
  </si>
  <si>
    <t>第3页第16位</t>
  </si>
  <si>
    <t>2023.5.6</t>
  </si>
  <si>
    <t>1.刷2留1                         2.留一个review                        3.优化广告关键词的竞价</t>
  </si>
  <si>
    <t xml:space="preserve">#49,501 in Sports &amp; Outdoors (See Top 100 in Sports &amp; Outdoors)
    #69 in Hunting &amp; Trail Cameras
</t>
  </si>
  <si>
    <t>199</t>
  </si>
  <si>
    <t>第1页第52位</t>
  </si>
  <si>
    <t>2023.5.7</t>
  </si>
  <si>
    <t>1.优化title                           2.优化listing关键词</t>
  </si>
  <si>
    <t xml:space="preserve"> #63,079 in Sports &amp; Outdoors (See Top 100 in Sports &amp; Outdoors)
    #94 in Hunting &amp; Trail Cameras
</t>
  </si>
  <si>
    <t>197</t>
  </si>
  <si>
    <t>7</t>
  </si>
  <si>
    <t>44</t>
  </si>
  <si>
    <t>2023.5.10</t>
  </si>
  <si>
    <t>1.提价$1                               2.提交game cameras with night vision motion activated广告竞价</t>
  </si>
  <si>
    <t xml:space="preserve">#45,677 in Sports &amp; Outdoors (See Top 100 in Sports &amp; Outdoors)
    #67 in Hunting &amp; Trail Cameras
</t>
  </si>
  <si>
    <t>76.99</t>
  </si>
  <si>
    <t>183</t>
  </si>
  <si>
    <t>第2页倒数第3位</t>
  </si>
  <si>
    <t>周目标：进入类目前50，上传两段视频</t>
  </si>
  <si>
    <t>第7周（每日更新）</t>
  </si>
  <si>
    <t>2023.5.15</t>
  </si>
  <si>
    <t>根据广告报表优化广告词和广告竞价</t>
  </si>
  <si>
    <t xml:space="preserve">#85,233 in Sports &amp; Outdoors (See Top 100 in Sports &amp; Outdoors)
    #148 in Hunting &amp; Trail Cameras
</t>
  </si>
  <si>
    <t>173</t>
  </si>
  <si>
    <t>9</t>
  </si>
  <si>
    <t>2023.5.16</t>
  </si>
  <si>
    <t>1.上传产品开箱视频                  2.优化产品listing</t>
  </si>
  <si>
    <t>169</t>
  </si>
  <si>
    <t>第2页最后一位</t>
  </si>
  <si>
    <t>2023.5.17</t>
  </si>
  <si>
    <t>1.优化CPC广告                2.优化产品listing的像素卖点   3.刷2留1</t>
  </si>
  <si>
    <t xml:space="preserve">#40,330 in Sports &amp; Outdoors (See Top 100 in Sports &amp; Outdoors)
    #60 in Hunting &amp; Trail Cameras
</t>
  </si>
  <si>
    <t>167</t>
  </si>
  <si>
    <t>35</t>
  </si>
  <si>
    <t>第2页第32位</t>
  </si>
  <si>
    <t>第1页第4位</t>
  </si>
  <si>
    <t>2023.5.18</t>
  </si>
  <si>
    <t>提取竞争对手标题和listing中的关键词，加入广告</t>
  </si>
  <si>
    <t xml:space="preserve">#41,628 in Sports &amp; Outdoors (See Top 100 in Sports &amp; Outdoors)
    #60 in Hunting &amp; Trail Cameras
</t>
  </si>
  <si>
    <t>162</t>
  </si>
  <si>
    <t>第2页第18位</t>
  </si>
  <si>
    <t>周目标：保持在类目前100，继续留评提高review分数，一周计划刷两单，在订单量保持的情况下提高售价</t>
  </si>
  <si>
    <t>第8周（每日更新）</t>
  </si>
  <si>
    <t>2023.5.20</t>
  </si>
  <si>
    <t>1.5%coupon                        2.优化CPC广告</t>
  </si>
  <si>
    <t xml:space="preserve"> #70,186 in Sports &amp; Outdoors (See Top 100 in Sports &amp; Outdoors)
    #111 in Hunting &amp; Trail Cameras
</t>
  </si>
  <si>
    <t>159</t>
  </si>
  <si>
    <t>10</t>
  </si>
  <si>
    <t>2023.5.21</t>
  </si>
  <si>
    <t>优化产品广告词，上传review</t>
  </si>
  <si>
    <t xml:space="preserve"> #67,101 in Sports &amp; Outdoors (See Top 100 in Sports &amp; Outdoors)
    #100 in Hunting &amp; Trail Cameras
</t>
  </si>
  <si>
    <t>157</t>
  </si>
  <si>
    <t>第1页第8位</t>
  </si>
  <si>
    <t>2023.5.22</t>
  </si>
  <si>
    <t>根据广告报表，优化关键词</t>
  </si>
  <si>
    <t xml:space="preserve">#125,901 in Sports &amp; Outdoors (See Top 100 in Sports &amp; Outdoors)
    #213 in Hunting &amp; Trail Cameras
</t>
  </si>
  <si>
    <t>第2页第7位</t>
  </si>
  <si>
    <t>第2页第5位</t>
  </si>
  <si>
    <t>2023.5.23</t>
  </si>
  <si>
    <t xml:space="preserve">添加竞争对手标题中的关键词到CPC广告：Hunting Scouting Cam， Trail Game Camera with Night Vision Motion Activated ，Wildlife Scouting Hunting Camera </t>
  </si>
  <si>
    <t xml:space="preserve">#118,563 in Sports &amp; Outdoors (See Top 100 in Sports &amp; Outdoors)
    #199 in Hunting &amp; Trail Cameras
</t>
  </si>
  <si>
    <t>156</t>
  </si>
  <si>
    <t>第1页第30位</t>
  </si>
  <si>
    <t>2023.5.24</t>
  </si>
  <si>
    <t>1.降价$1                                   2.优化广告词竞价</t>
  </si>
  <si>
    <t xml:space="preserve"> #151,779 in Sports &amp; Outdoors (See Top 100 in Sports &amp; Outdoors)
    #253 in Hunting &amp; Trail Cameras
</t>
  </si>
  <si>
    <t>4.0</t>
  </si>
  <si>
    <t>11</t>
  </si>
  <si>
    <t>第3页第17位</t>
  </si>
  <si>
    <t>周目标：保持类目前100，提高review分数，优化产品广告，尽可能的找相关拍摄视频</t>
  </si>
  <si>
    <t>第10周（每日更新）</t>
  </si>
  <si>
    <t>2023.6.3</t>
  </si>
  <si>
    <t>加入品牌分析中有转换的关键词到CPC， 优化ASIN投放</t>
  </si>
  <si>
    <t xml:space="preserve">#59,968 in Sports &amp; Outdoors (See Top 100 in Sports &amp; Outdoors)
    #95 in Hunting &amp; Trail Cameras
</t>
  </si>
  <si>
    <t>133</t>
  </si>
  <si>
    <t>28</t>
  </si>
  <si>
    <t>2023.6.4</t>
  </si>
  <si>
    <t>优化listing关键词</t>
  </si>
  <si>
    <t xml:space="preserve">#132,830 in Sports &amp; Outdoors (See Top 100 in Sports &amp; Outdoors)
    #228 in Hunting &amp; Trail Cameras
</t>
  </si>
  <si>
    <t>第1页第42位</t>
  </si>
  <si>
    <t>2023.6.5</t>
  </si>
  <si>
    <t>优化了广告关键词</t>
  </si>
  <si>
    <t xml:space="preserve"> #75,632 in Sports &amp; Outdoors (See Top 100 in Sports &amp; Outdoors)
    #140 in Hunting &amp; Trail Cameras
</t>
  </si>
  <si>
    <t>131</t>
  </si>
  <si>
    <t>周目标：保持类目前100，提高review分数，优化产品广告</t>
  </si>
  <si>
    <t>第11周（每日更新）</t>
  </si>
  <si>
    <t>2023.6.10</t>
  </si>
  <si>
    <t>优化cpc广告</t>
  </si>
  <si>
    <t xml:space="preserve">#75,163 in Sports &amp; Outdoors (See Top 100 in Sports &amp; Outdoors)
#132 in Hunting &amp; Trail Cameras
</t>
  </si>
  <si>
    <t>120</t>
  </si>
  <si>
    <t>24</t>
  </si>
  <si>
    <t>第1页第21位</t>
  </si>
  <si>
    <t>2023.6.11</t>
  </si>
  <si>
    <t>优化ST关键词</t>
  </si>
  <si>
    <t xml:space="preserve">#55,994 in Sports &amp; Outdoors (See Top 100 in Sports &amp; Outdoors)
    #100 in Hunting &amp; Trail Cameras
</t>
  </si>
  <si>
    <t>116</t>
  </si>
  <si>
    <t>第2页第8位</t>
  </si>
  <si>
    <t>2023.6.13</t>
  </si>
  <si>
    <t>根据广告报表增加CPC广告词</t>
  </si>
  <si>
    <t xml:space="preserve">#41,604 in Sports &amp; Outdoors (See Top 100 in Sports &amp; Outdoors)
    #94 in Hunting &amp; Trail Cameras
</t>
  </si>
  <si>
    <t>110</t>
  </si>
  <si>
    <t>第1页倒数第3位</t>
  </si>
  <si>
    <t>第1页第25位</t>
  </si>
  <si>
    <t>第1页第53位</t>
  </si>
  <si>
    <t>第13周（每日更新）</t>
  </si>
  <si>
    <t>2023.6.17</t>
  </si>
  <si>
    <t xml:space="preserve">#79,329 in Sports &amp; Outdoors (See Top 100 in Sports &amp; Outdoors)
    #147 in Hunting &amp; Trail Cameras
</t>
  </si>
  <si>
    <t>105</t>
  </si>
  <si>
    <t>3.9</t>
  </si>
  <si>
    <t>2023.6.18</t>
  </si>
  <si>
    <t>第一个晚上设置好，这台照相机运转正常。拍了43张照片和视频。从那以后就不能用了。在设置中没有更改任何内容</t>
  </si>
  <si>
    <t xml:space="preserve"> #85,070 in Sports &amp; Outdoors (See Top 100 in Sports &amp; Outdoors)
    #153 in Hunting &amp; Trail Cameras
</t>
  </si>
  <si>
    <t>103</t>
  </si>
  <si>
    <t>16</t>
  </si>
  <si>
    <t>2023.6.19</t>
  </si>
  <si>
    <t>1.根据广告报表优化ST关键词2.根据亚马逊关键词搜索周数据，添加关键词</t>
  </si>
  <si>
    <t xml:space="preserve">#145,663 in Sports &amp; Outdoors (See Top 100 in Sports &amp; Outdoors)
    #249 in Hunting &amp; Trail Cameras
</t>
  </si>
  <si>
    <t>100</t>
  </si>
  <si>
    <t>2023.6.21</t>
  </si>
  <si>
    <t>增加$2coupon</t>
  </si>
  <si>
    <t xml:space="preserve"> #138,862 in Sports &amp; Outdoors (See Top 100 in Sports &amp; Outdoors)
    #255 in Hunting &amp; Trail Cameras
</t>
  </si>
  <si>
    <t>第1页倒数第5位</t>
  </si>
  <si>
    <t>第1页第44位</t>
  </si>
  <si>
    <t>2023.6.24</t>
  </si>
  <si>
    <t>优化CPC广告关键词</t>
  </si>
  <si>
    <t xml:space="preserve">#115,977 in Sports &amp; Outdoors (See Top 100 in Sports &amp; Outdoors)
    #194 in Hunting &amp; Trail Cameras
</t>
  </si>
  <si>
    <t>96</t>
  </si>
  <si>
    <t>3.7</t>
  </si>
  <si>
    <t>周目标：5%coupon+优化产品广告</t>
  </si>
  <si>
    <t>第14周（每日更新）</t>
  </si>
  <si>
    <t>2023.7.3</t>
  </si>
  <si>
    <t>86</t>
  </si>
  <si>
    <t>18</t>
  </si>
  <si>
    <t>26</t>
  </si>
  <si>
    <t>第1页第46位</t>
  </si>
  <si>
    <t>2023.7.4</t>
  </si>
  <si>
    <t xml:space="preserve">#59,742 in Sports &amp; Outdoors (See Top 100 in Sports &amp; Outdoors)
    #107 in Hunting &amp; Trail Cameras
</t>
  </si>
  <si>
    <t>80</t>
  </si>
  <si>
    <t>2023.7.5</t>
  </si>
  <si>
    <t>结合广告报表中Total Advertising Cost of Sales (ACoS)，7 Day Advertised SKU Sales ，Impressions三个值选出广告词添加到CPC中</t>
  </si>
  <si>
    <t xml:space="preserve">#50,233 in Sports &amp; Outdoors (See Top 100 in Sports &amp; Outdoors)
    #98 in Hunting &amp; Trail Cameras
</t>
  </si>
  <si>
    <t>76</t>
  </si>
  <si>
    <t>37</t>
  </si>
  <si>
    <t>第2页倒数第4位</t>
  </si>
  <si>
    <t>第2页第17位</t>
  </si>
  <si>
    <t>2023.7.6</t>
  </si>
  <si>
    <t>给产品安排留评</t>
  </si>
  <si>
    <t xml:space="preserve">#77,941 in Sports &amp; Outdoors (See Top 100 in Sports &amp; Outdoors)
    #144 in Hunting &amp; Trail Cameras
</t>
  </si>
  <si>
    <t>74</t>
  </si>
  <si>
    <t>广告位和自然排名和前一天的一样</t>
  </si>
  <si>
    <t>第2页第49位</t>
  </si>
  <si>
    <t>周目标：本周po两个review，尽量在减少广告花费的情况下处理剩余库存</t>
  </si>
  <si>
    <t>第15周（每日更新）</t>
  </si>
  <si>
    <t>2023.7.8</t>
  </si>
  <si>
    <t>搜索广告词广告位，关掉有花费没有转化的广告词</t>
  </si>
  <si>
    <t xml:space="preserve">#145,732 in Sports &amp; Outdoors (See Top 100 in Sports &amp; Outdoors)
    #276 in Hunting &amp; Trail Cameras
</t>
  </si>
  <si>
    <t>71</t>
  </si>
  <si>
    <t>2023.7.11</t>
  </si>
  <si>
    <t xml:space="preserve"> #106,924 in Sports &amp; Outdoors (See Top 100 in Sports &amp; Outdoors)
    #210 in Hunting &amp; Trail Cameras
</t>
  </si>
  <si>
    <t>64</t>
  </si>
  <si>
    <t>2023.7.12</t>
  </si>
  <si>
    <t>根据广告竞争对手的title，listing 优化ST关键词</t>
  </si>
  <si>
    <t xml:space="preserve">#109,308 in Sports &amp; Outdoors (See Top 100 in Sports &amp; Outdoors)
    #222 in Hunting &amp; Trail Cameras
</t>
  </si>
  <si>
    <t>63</t>
  </si>
  <si>
    <t>33</t>
  </si>
  <si>
    <t>第2页第27位</t>
  </si>
  <si>
    <t>2023.7.13</t>
  </si>
  <si>
    <t>上传review</t>
  </si>
  <si>
    <t xml:space="preserve"> #75,330 in Sports &amp; Outdoors (See Top 100 in Sports &amp; Outdoors)
    #155 in Hunting &amp; Trail Cameras
</t>
  </si>
  <si>
    <t>第1页第58位</t>
  </si>
  <si>
    <t>第1页第20位</t>
  </si>
  <si>
    <t>第3页第11位</t>
  </si>
  <si>
    <t>周目标：本结合COUPON+低预算广告销售</t>
  </si>
  <si>
    <t>第17周（每日更新）</t>
  </si>
  <si>
    <t>2023.7.22</t>
  </si>
  <si>
    <t>降低广告预算</t>
  </si>
  <si>
    <t xml:space="preserve">#80,545 in Sports &amp; Outdoors (See Top 100 in Sports &amp; Outdoors)
    #183 in Hunting &amp; Trail Cameras
</t>
  </si>
  <si>
    <t>22</t>
  </si>
  <si>
    <t>21</t>
  </si>
  <si>
    <t>2023.7.24</t>
  </si>
  <si>
    <t xml:space="preserve">#153,239 in Sports &amp; Outdoors (See Top 100 in Sports &amp; Outdoors) 
</t>
  </si>
  <si>
    <t>2023.7.25</t>
  </si>
  <si>
    <t>1.优化CPC广告关键词 2.留评</t>
  </si>
  <si>
    <t xml:space="preserve">#137,590 in Sports &amp; Outdoors (See Top 100 in Sports &amp; Outdoors) 
</t>
  </si>
  <si>
    <t>第2页第14位</t>
  </si>
  <si>
    <t>图片</t>
  </si>
  <si>
    <t>日期</t>
  </si>
  <si>
    <t>周</t>
  </si>
  <si>
    <t>二</t>
  </si>
  <si>
    <t>三</t>
  </si>
  <si>
    <t>四</t>
  </si>
  <si>
    <t>五</t>
  </si>
  <si>
    <t>六</t>
  </si>
  <si>
    <t>日</t>
  </si>
  <si>
    <t>一</t>
  </si>
  <si>
    <t>访问数</t>
  </si>
  <si>
    <t>刷单费用</t>
  </si>
  <si>
    <t>刷单数量</t>
  </si>
  <si>
    <t>广告数据</t>
  </si>
  <si>
    <t>广告展现</t>
  </si>
  <si>
    <t>广告点击</t>
  </si>
  <si>
    <t>广告订单</t>
  </si>
  <si>
    <t>广告费用</t>
  </si>
  <si>
    <t>前台结果</t>
  </si>
  <si>
    <t>自然关键词排名</t>
  </si>
  <si>
    <t>小类目排名</t>
  </si>
  <si>
    <t>大类排名</t>
  </si>
  <si>
    <t>好评数量</t>
  </si>
  <si>
    <t>差评数量</t>
  </si>
  <si>
    <t>评分</t>
  </si>
  <si>
    <t>评论数量</t>
  </si>
  <si>
    <t>SKU1：</t>
  </si>
  <si>
    <t>广告自然流量比</t>
  </si>
  <si>
    <t>CTR</t>
  </si>
  <si>
    <t>CPC</t>
  </si>
  <si>
    <t>广告转化率</t>
  </si>
  <si>
    <t>总转化率</t>
  </si>
  <si>
    <t>实际订单数</t>
  </si>
  <si>
    <t>实际销售额</t>
  </si>
  <si>
    <t>总费用</t>
  </si>
  <si>
    <t>费用占比</t>
  </si>
  <si>
    <t>销量增长率</t>
  </si>
  <si>
    <t>/</t>
  </si>
  <si>
    <t>SKU2：</t>
  </si>
  <si>
    <t>SKU3：</t>
  </si>
  <si>
    <t>SKU4：</t>
  </si>
  <si>
    <t>每周亚马逊报表统计</t>
  </si>
  <si>
    <t>日期：</t>
  </si>
  <si>
    <t>12.2-12.8</t>
  </si>
  <si>
    <t>最近一周产品开发类目方向：</t>
  </si>
  <si>
    <t>最近一周上新的产品：</t>
  </si>
  <si>
    <t>本周销售业绩：</t>
  </si>
  <si>
    <t>周一至周日</t>
  </si>
  <si>
    <t>中国时间</t>
  </si>
  <si>
    <t>给截图就行</t>
  </si>
  <si>
    <t>广告总成本：给截图就行</t>
  </si>
  <si>
    <t xml:space="preserve">数据报告父商品详情页面上的销售量与访问量
</t>
  </si>
  <si>
    <t>自己认为现在出现的主要问题，或者哪些产品没有推广起来：</t>
  </si>
  <si>
    <t>每周营销数据</t>
  </si>
  <si>
    <t>项目</t>
  </si>
  <si>
    <t>SKU1:</t>
  </si>
  <si>
    <t>转化率</t>
  </si>
  <si>
    <t>SKU2:</t>
  </si>
  <si>
    <t>SKU3:</t>
  </si>
  <si>
    <t>SKU</t>
  </si>
  <si>
    <t>广告活动名称</t>
  </si>
  <si>
    <t>广告组名称</t>
  </si>
  <si>
    <t>投放</t>
  </si>
  <si>
    <t>匹配类型</t>
  </si>
  <si>
    <t>展现量</t>
  </si>
  <si>
    <t>点击量</t>
  </si>
  <si>
    <t>花费</t>
  </si>
  <si>
    <t>总销售量(#)</t>
  </si>
  <si>
    <t>CR</t>
  </si>
  <si>
    <t>事项</t>
  </si>
  <si>
    <t>原</t>
  </si>
  <si>
    <t>新</t>
  </si>
  <si>
    <t>追踪日期</t>
  </si>
  <si>
    <t>今天日期</t>
  </si>
  <si>
    <t>FBA补货公式</t>
  </si>
  <si>
    <t>产品名称</t>
  </si>
  <si>
    <t>ASIN</t>
  </si>
  <si>
    <t>在库</t>
  </si>
  <si>
    <t>在库供应天数</t>
  </si>
  <si>
    <t>在途</t>
  </si>
  <si>
    <t>接收中</t>
  </si>
  <si>
    <t>转库</t>
  </si>
  <si>
    <t>总库存</t>
  </si>
  <si>
    <t>总库存
供应天数</t>
  </si>
  <si>
    <t>断货日期</t>
  </si>
  <si>
    <t>备货天数</t>
  </si>
  <si>
    <t>补货日期</t>
  </si>
  <si>
    <t>补货量</t>
  </si>
  <si>
    <t>日均销量</t>
  </si>
  <si>
    <t>3日销量</t>
  </si>
  <si>
    <t>7日销量</t>
  </si>
  <si>
    <t>14日销量</t>
  </si>
  <si>
    <t>30日销量</t>
  </si>
  <si>
    <t>库存预警</t>
  </si>
  <si>
    <t>***</t>
  </si>
  <si>
    <t>B001</t>
  </si>
  <si>
    <t>C001</t>
  </si>
  <si>
    <t>D001</t>
  </si>
  <si>
    <t>备注：1.粉色底纹是需要运营输入的部分，其他部分不允许改动；
2.需要运营养成好习惯，已发货的货件及时标注已发货方能后台才能再入库显示，可以更准确反映在途情况；
3.未发货的或者货件发了其中一部分，未发部分不要标注已发货。
4.该算法是按照在途可以保证既有库存不断货的情况进行的，如果在途也赶不上，请发红单。
5.该表单需要3-5天更新一次粉色底纹数据，如果数据变化大加大更新频率</t>
  </si>
  <si>
    <t>Listing优化记录</t>
  </si>
  <si>
    <t>效果跟踪</t>
  </si>
  <si>
    <t>2023/1/14-1/20</t>
  </si>
  <si>
    <t>2023/1/21-1/27</t>
  </si>
  <si>
    <t>月退货率</t>
  </si>
  <si>
    <t>销售数量</t>
  </si>
  <si>
    <t>退货数量</t>
  </si>
  <si>
    <t>总退货率</t>
  </si>
  <si>
    <t>质量问题退货数量</t>
  </si>
  <si>
    <t>店铺：</t>
  </si>
  <si>
    <t>质量问题退货率</t>
  </si>
  <si>
    <t>SKU：</t>
  </si>
  <si>
    <t>差评统计</t>
  </si>
  <si>
    <t>首单备货数</t>
  </si>
  <si>
    <t>交期</t>
  </si>
  <si>
    <t>开售时间</t>
  </si>
  <si>
    <t>进价</t>
  </si>
  <si>
    <t>FBA费用</t>
  </si>
  <si>
    <t>海运头程</t>
  </si>
  <si>
    <t>空运头程</t>
  </si>
  <si>
    <t>月仓储</t>
  </si>
  <si>
    <t>平台费</t>
  </si>
  <si>
    <t>海运成本价</t>
  </si>
  <si>
    <t>空运成本价</t>
  </si>
  <si>
    <t>海运毛利</t>
  </si>
  <si>
    <t>海运
毛利率</t>
  </si>
  <si>
    <t>空运毛利</t>
  </si>
  <si>
    <t>空运
毛利率</t>
  </si>
  <si>
    <t>个人测评
费用</t>
  </si>
  <si>
    <t>公司测评
费用</t>
  </si>
  <si>
    <t>LD费用</t>
  </si>
  <si>
    <t>站外deal
费用</t>
  </si>
  <si>
    <t>预计推广安排</t>
  </si>
  <si>
    <t>补货计划</t>
  </si>
  <si>
    <t>海运 预计 投入</t>
  </si>
  <si>
    <t>空运 预计 投入</t>
  </si>
  <si>
    <t>推广效果追踪</t>
  </si>
  <si>
    <t>海运实际投入&amp;产出</t>
  </si>
  <si>
    <t>空运实际投入&amp;产出</t>
  </si>
  <si>
    <t>推广结束后整理</t>
  </si>
  <si>
    <t>From</t>
  </si>
  <si>
    <t>To</t>
  </si>
  <si>
    <t>天数</t>
  </si>
  <si>
    <t>日均销量
目标</t>
  </si>
  <si>
    <t>周销量
目标</t>
  </si>
  <si>
    <t>定价策略</t>
  </si>
  <si>
    <t>个人测评</t>
  </si>
  <si>
    <t>公司测评</t>
  </si>
  <si>
    <t>QA</t>
  </si>
  <si>
    <t>LD</t>
  </si>
  <si>
    <t>BD</t>
  </si>
  <si>
    <t>CPC费用</t>
  </si>
  <si>
    <t>Coupon</t>
  </si>
  <si>
    <t>促销</t>
  </si>
  <si>
    <t>站外</t>
  </si>
  <si>
    <t>目标评论
数量星级</t>
  </si>
  <si>
    <t>空运
补货计划</t>
  </si>
  <si>
    <t>海运
补货计划</t>
  </si>
  <si>
    <t>预计
货本投入</t>
  </si>
  <si>
    <t>预计
头程投入</t>
  </si>
  <si>
    <t>预计
营销投入</t>
  </si>
  <si>
    <t>预计总投入</t>
  </si>
  <si>
    <t>预计总产出</t>
  </si>
  <si>
    <t>实际ROI</t>
  </si>
  <si>
    <t>月总结</t>
  </si>
  <si>
    <t>实际星级</t>
  </si>
  <si>
    <t>实际个人
测评数量</t>
  </si>
  <si>
    <t>完成
情况</t>
  </si>
  <si>
    <t>实际公司
测评数量</t>
  </si>
  <si>
    <t>CPC&amp;关键词上首页</t>
  </si>
  <si>
    <t>实扣CPC
费用</t>
  </si>
  <si>
    <t>货本投入</t>
  </si>
  <si>
    <t>实际海运
头程投入</t>
  </si>
  <si>
    <t>实际
营销投入</t>
  </si>
  <si>
    <t>实际总投入</t>
  </si>
  <si>
    <t>实际总产出</t>
  </si>
  <si>
    <t>实际空运
头程投入</t>
  </si>
  <si>
    <t>15</t>
  </si>
  <si>
    <t>17</t>
  </si>
  <si>
    <t>19</t>
  </si>
  <si>
    <t>23</t>
  </si>
  <si>
    <t>25</t>
  </si>
  <si>
    <t>27</t>
  </si>
  <si>
    <t>30</t>
  </si>
  <si>
    <t>32</t>
  </si>
  <si>
    <t>34</t>
  </si>
  <si>
    <t>39</t>
  </si>
  <si>
    <t>41</t>
  </si>
  <si>
    <t>42</t>
  </si>
  <si>
    <t>46</t>
  </si>
  <si>
    <t>48</t>
  </si>
  <si>
    <t>50</t>
  </si>
  <si>
    <t>51</t>
  </si>
  <si>
    <t>52</t>
  </si>
  <si>
    <t>53</t>
  </si>
  <si>
    <t>55</t>
  </si>
  <si>
    <t>57</t>
  </si>
  <si>
    <t>58</t>
  </si>
  <si>
    <t>60</t>
  </si>
  <si>
    <t>61</t>
  </si>
  <si>
    <t>65</t>
  </si>
  <si>
    <t>66</t>
  </si>
  <si>
    <t>67</t>
  </si>
  <si>
    <t>总计</t>
  </si>
  <si>
    <t>周数</t>
  </si>
  <si>
    <t>阶段销量（PCS）</t>
  </si>
  <si>
    <t>产品营销投入</t>
  </si>
  <si>
    <t>头程运费投入</t>
  </si>
  <si>
    <t>阶段总投入</t>
  </si>
  <si>
    <t>毛利额</t>
  </si>
  <si>
    <t>毛利率</t>
  </si>
  <si>
    <t>阶段总销售额</t>
  </si>
  <si>
    <t>阶段总毛利额</t>
  </si>
  <si>
    <t>阶段ROI（不含退货率）</t>
  </si>
  <si>
    <t>首批6000总计</t>
  </si>
  <si>
    <t>推广费用</t>
  </si>
  <si>
    <t>总利润</t>
  </si>
  <si>
    <t>除退货营收</t>
  </si>
  <si>
    <t>ROI（含退货率）</t>
  </si>
  <si>
    <t>半年总计</t>
  </si>
  <si>
    <t>19.6.30总计</t>
  </si>
  <si>
    <t>19.12.31总计</t>
  </si>
  <si>
    <t>项目时间安排</t>
  </si>
  <si>
    <t>推广期市场费用预算（$）</t>
  </si>
  <si>
    <t>销售目标</t>
  </si>
  <si>
    <t>排名目标</t>
  </si>
  <si>
    <t>推广人</t>
  </si>
  <si>
    <t>FBA首批到货时间</t>
  </si>
  <si>
    <t>启动时间</t>
  </si>
  <si>
    <t>推广
结束时间</t>
  </si>
  <si>
    <t>review
预算</t>
  </si>
  <si>
    <t>最低亏本促销价</t>
  </si>
  <si>
    <t>低价亏本
预算</t>
  </si>
  <si>
    <t>PPC广告
预算</t>
  </si>
  <si>
    <t>deal活动
预算</t>
  </si>
  <si>
    <t>总预算</t>
  </si>
  <si>
    <t>零毛利率
售价</t>
  </si>
  <si>
    <t>最低售价</t>
  </si>
  <si>
    <t>最终目标
售价</t>
  </si>
  <si>
    <t>最高
日销量</t>
  </si>
  <si>
    <t>关键词1</t>
  </si>
  <si>
    <t>关键词2</t>
  </si>
  <si>
    <t>关键词3</t>
  </si>
  <si>
    <t>标题</t>
  </si>
  <si>
    <t>五点描述</t>
  </si>
  <si>
    <t>详情描述</t>
  </si>
  <si>
    <t>关键词</t>
  </si>
  <si>
    <t>关键词搜索页</t>
  </si>
  <si>
    <t>标签</t>
  </si>
  <si>
    <t>review</t>
  </si>
  <si>
    <t>PPC</t>
  </si>
  <si>
    <t>排名</t>
  </si>
  <si>
    <t>访问数百分比</t>
  </si>
  <si>
    <t>页面浏览数</t>
  </si>
  <si>
    <t>页面浏览数百分比</t>
  </si>
  <si>
    <t>购买按钮页面浏览率</t>
  </si>
  <si>
    <t>已订购商品数</t>
  </si>
  <si>
    <t>金额</t>
  </si>
  <si>
    <t>数量</t>
  </si>
  <si>
    <t>跟踪表部分asin数据状态和登记日期</t>
  </si>
  <si>
    <t>备货计划</t>
  </si>
  <si>
    <t>推广计划周报</t>
  </si>
  <si>
    <t>推广计划本月报</t>
  </si>
  <si>
    <t>推广计划下月预计报</t>
  </si>
  <si>
    <t>Type</t>
  </si>
  <si>
    <t>Brand</t>
  </si>
  <si>
    <t>product-name</t>
  </si>
  <si>
    <t>Track Date</t>
  </si>
  <si>
    <t>Price</t>
  </si>
  <si>
    <t>RANK</t>
  </si>
  <si>
    <t>product star</t>
  </si>
  <si>
    <t>review (数量）</t>
  </si>
  <si>
    <t>Sales</t>
  </si>
  <si>
    <t>Inventory</t>
  </si>
  <si>
    <t>本月底预计剩余库存余量</t>
  </si>
  <si>
    <t>预计下月所需库存量</t>
  </si>
  <si>
    <t>在途库存量1</t>
  </si>
  <si>
    <t>本月发货时间</t>
  </si>
  <si>
    <t>预计库存到货时间</t>
  </si>
  <si>
    <t>预计产品到货时间当天在仓余量</t>
  </si>
  <si>
    <t>预计库存到货后合计库存在仓余量(减去预估销量后剩余的库存）</t>
  </si>
  <si>
    <t>预计下月底亚马逊库存在仓余量</t>
  </si>
  <si>
    <t>是否会缺货？填写是或否</t>
  </si>
  <si>
    <t>本周计划上评</t>
  </si>
  <si>
    <t>上评完成率</t>
  </si>
  <si>
    <t>本周计划销量</t>
  </si>
  <si>
    <t>本周销量完成率（均按照实际完成填写）</t>
  </si>
  <si>
    <t>本周推广计划费用$（广告/站内站外推广加刷单刷评论，含刷单中介佣金+刷单产品成本、fba佣金、fba物流费）</t>
  </si>
  <si>
    <t>本周推广计划花费完成率</t>
  </si>
  <si>
    <t>本月计划上评</t>
  </si>
  <si>
    <t>本月完成率</t>
  </si>
  <si>
    <t>本月计划销量</t>
  </si>
  <si>
    <t>本月销量完成率</t>
  </si>
  <si>
    <t>本月推广计划费用$（广告/站内站外推广加刷单刷评论，含刷单中介佣金+刷单产品成本、fba佣金、fba物流费）</t>
  </si>
  <si>
    <t>本月推广计划花费完成率</t>
  </si>
  <si>
    <t>下月计划上评</t>
  </si>
  <si>
    <t>下月完成率</t>
  </si>
  <si>
    <t>下月计划销量</t>
  </si>
  <si>
    <t>下月销量完成率</t>
  </si>
  <si>
    <t>下月推广计划费用$（广告/站内站外推广加刷单刷评论，含刷单中介佣金+刷单产品成本、fba佣金、fba物流费）</t>
  </si>
  <si>
    <t>下月推广计划花费完成率</t>
  </si>
  <si>
    <t>A产品asin12335bo销售美国推广计划</t>
  </si>
  <si>
    <t>进度计划</t>
  </si>
  <si>
    <t>备注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</si>
  <si>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</si>
  <si>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5月</t>
    </r>
  </si>
  <si>
    <r>
      <rPr>
        <sz val="11"/>
        <color theme="1"/>
        <rFont val="Tahoma"/>
        <charset val="134"/>
      </rPr>
      <t>6月</t>
    </r>
  </si>
  <si>
    <r>
      <rPr>
        <sz val="11"/>
        <color theme="1"/>
        <rFont val="Tahoma"/>
        <charset val="134"/>
      </rPr>
      <t>7月</t>
    </r>
  </si>
  <si>
    <r>
      <rPr>
        <sz val="11"/>
        <color theme="1"/>
        <rFont val="Tahoma"/>
        <charset val="134"/>
      </rPr>
      <t>8月</t>
    </r>
  </si>
  <si>
    <r>
      <rPr>
        <sz val="11"/>
        <color theme="1"/>
        <rFont val="Tahoma"/>
        <charset val="134"/>
      </rPr>
      <t>9月</t>
    </r>
  </si>
  <si>
    <r>
      <rPr>
        <sz val="11"/>
        <color theme="1"/>
        <rFont val="Tahoma"/>
        <charset val="134"/>
      </rPr>
      <t>10月</t>
    </r>
  </si>
  <si>
    <r>
      <rPr>
        <sz val="11"/>
        <color theme="1"/>
        <rFont val="Tahoma"/>
        <charset val="134"/>
      </rPr>
      <t>11月</t>
    </r>
  </si>
  <si>
    <r>
      <rPr>
        <sz val="11"/>
        <color theme="1"/>
        <rFont val="Tahoma"/>
        <charset val="134"/>
      </rPr>
      <t>12月</t>
    </r>
  </si>
  <si>
    <r>
      <rPr>
        <sz val="11"/>
        <color theme="1"/>
        <rFont val="Tahoma"/>
        <charset val="134"/>
      </rPr>
      <t>1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</si>
  <si>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2月</t>
    </r>
  </si>
  <si>
    <r>
      <rPr>
        <sz val="11"/>
        <color theme="1"/>
        <rFont val="Tahoma"/>
        <charset val="134"/>
      </rPr>
      <t>3月</t>
    </r>
  </si>
  <si>
    <t>价格</t>
  </si>
  <si>
    <t>产品成本</t>
  </si>
  <si>
    <t>产品总成本</t>
  </si>
  <si>
    <t>亚马逊佣金</t>
  </si>
  <si>
    <t>FBA物流</t>
  </si>
  <si>
    <t>退货</t>
  </si>
  <si>
    <t>站内广告</t>
  </si>
  <si>
    <t>测评费用（含测评亚马逊佣金、fba物流费和中介佣金）</t>
  </si>
  <si>
    <t>头程</t>
  </si>
  <si>
    <r>
      <rPr>
        <b/>
        <sz val="11"/>
        <color theme="1"/>
        <rFont val="宋体"/>
        <charset val="134"/>
      </rPr>
      <t>站内</t>
    </r>
    <r>
      <rPr>
        <b/>
        <sz val="11"/>
        <color theme="1"/>
        <rFont val="Tahoma"/>
        <charset val="134"/>
      </rPr>
      <t>deal</t>
    </r>
  </si>
  <si>
    <r>
      <rPr>
        <b/>
        <sz val="11"/>
        <color theme="1"/>
        <rFont val="宋体"/>
        <charset val="134"/>
      </rPr>
      <t>站外</t>
    </r>
    <r>
      <rPr>
        <b/>
        <sz val="11"/>
        <color theme="1"/>
        <rFont val="Tahoma"/>
        <charset val="134"/>
      </rPr>
      <t>deal</t>
    </r>
  </si>
  <si>
    <t>推广</t>
  </si>
  <si>
    <t>备注其他推广手段</t>
  </si>
  <si>
    <t>利润</t>
  </si>
  <si>
    <r>
      <rPr>
        <sz val="16"/>
        <color theme="1"/>
        <rFont val="Tahoma"/>
        <charset val="134"/>
      </rPr>
      <t xml:space="preserve">1. </t>
    </r>
    <r>
      <rPr>
        <sz val="16"/>
        <color theme="1"/>
        <rFont val="宋体"/>
        <charset val="134"/>
      </rPr>
      <t>英国年度销量预计：</t>
    </r>
    <r>
      <rPr>
        <sz val="16"/>
        <color theme="1"/>
        <rFont val="Tahoma"/>
        <charset val="134"/>
      </rPr>
      <t xml:space="preserve">pcs    </t>
    </r>
    <r>
      <rPr>
        <sz val="16"/>
        <color theme="1"/>
        <rFont val="宋体"/>
        <charset val="134"/>
      </rPr>
      <t>销售额预计：</t>
    </r>
    <r>
      <rPr>
        <sz val="16"/>
        <color theme="1"/>
        <rFont val="Tahoma"/>
        <charset val="134"/>
      </rPr>
      <t xml:space="preserve">   
2. </t>
    </r>
    <r>
      <rPr>
        <sz val="16"/>
        <rFont val="宋体"/>
        <charset val="134"/>
      </rPr>
      <t>年度毛利润额（除去退货广告推广测评</t>
    </r>
    <r>
      <rPr>
        <sz val="16"/>
        <rFont val="Tahoma"/>
        <charset val="134"/>
      </rPr>
      <t>deal</t>
    </r>
    <r>
      <rPr>
        <sz val="16"/>
        <rFont val="宋体"/>
        <charset val="134"/>
      </rPr>
      <t>等）：</t>
    </r>
    <r>
      <rPr>
        <sz val="16"/>
        <rFont val="Tahoma"/>
        <charset val="134"/>
      </rPr>
      <t xml:space="preserve"> </t>
    </r>
    <r>
      <rPr>
        <sz val="16"/>
        <color rgb="FFFF0000"/>
        <rFont val="Tahoma"/>
        <charset val="134"/>
      </rPr>
      <t xml:space="preserve">
</t>
    </r>
    <r>
      <rPr>
        <sz val="16"/>
        <rFont val="Tahoma"/>
        <charset val="134"/>
      </rPr>
      <t xml:space="preserve">3. </t>
    </r>
    <r>
      <rPr>
        <sz val="16"/>
        <rFont val="宋体"/>
        <charset val="134"/>
      </rPr>
      <t>毛利润率</t>
    </r>
    <r>
      <rPr>
        <sz val="16"/>
        <rFont val="Tahoma"/>
        <charset val="134"/>
      </rPr>
      <t>:</t>
    </r>
  </si>
  <si>
    <t>百晓生爆款打造推广计划</t>
  </si>
  <si>
    <t>项目名称</t>
  </si>
  <si>
    <t>项目解释</t>
  </si>
  <si>
    <t>推广目标</t>
  </si>
  <si>
    <t>测评数量</t>
  </si>
  <si>
    <t>预算金额-$</t>
  </si>
  <si>
    <t>时间周期(days)</t>
  </si>
  <si>
    <t>实施细节</t>
  </si>
  <si>
    <t>vine voice</t>
  </si>
  <si>
    <t>30个产品计划</t>
  </si>
  <si>
    <t>rank10000</t>
  </si>
  <si>
    <t>新品期30天</t>
  </si>
  <si>
    <t>测评人计划</t>
  </si>
  <si>
    <t>60美金</t>
  </si>
  <si>
    <t>giveaway、coupon</t>
  </si>
  <si>
    <t>Product descriptionA+、
From the manufacturer</t>
  </si>
  <si>
    <t>主图视频</t>
  </si>
  <si>
    <t>图片建模</t>
  </si>
  <si>
    <t>CPC、ams广告、ARA及对手广告数据获取出单词竞价标准</t>
  </si>
  <si>
    <t>长期</t>
  </si>
  <si>
    <t>预算季度20%，前期控制排名，曝光优化图片，acos不管理，刷单刷广告词，中期转化率20%控制。后期CTR千分之5-1%,CR转化率10%合格,CR行业转化率15%.</t>
  </si>
  <si>
    <t>TopReviewer</t>
  </si>
  <si>
    <t>亚马逊职业测评师对产品做专业评测上传视频或文字测评内容，提供给消费者说服力和引导力，是最终形成购买的关键因素</t>
  </si>
  <si>
    <t>RANK30000</t>
  </si>
  <si>
    <t>5-10个优质Top reviewer,2个视频，3个图片，2个文字评字数50字</t>
  </si>
  <si>
    <t>超链和权威链接分享</t>
  </si>
  <si>
    <t>邮件分享或超链提高转化</t>
  </si>
  <si>
    <t>刷单（真实购买）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</si>
  <si>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</si>
  <si>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</si>
  <si>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</si>
  <si>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螺旋式刷，配合广告曝光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</si>
  <si>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</si>
  <si>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</si>
  <si>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</si>
  <si>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</si>
  <si>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直评论、qa、feedback</t>
  </si>
  <si>
    <t>每周增加2-3个直评</t>
  </si>
  <si>
    <t>每周1-3，埋词引导</t>
  </si>
  <si>
    <t>老账号购买</t>
  </si>
  <si>
    <t>社交红人推广、FaceBook、youtube红人、tomoson红人、刷促销量</t>
  </si>
  <si>
    <t xml:space="preserve">http://www.baixiaotangtop.com/BBS/Detail/10066 </t>
  </si>
  <si>
    <t>通过Yotube外部流量，通过reviewer测评最终形成购买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</si>
  <si>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</si>
  <si>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</si>
  <si>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</si>
  <si>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</si>
  <si>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</si>
  <si>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</si>
  <si>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增加权重、点好评</t>
  </si>
  <si>
    <t>LD、LD加购、天天秒杀</t>
  </si>
  <si>
    <t>增加权重曝光</t>
  </si>
  <si>
    <t>月4次</t>
  </si>
  <si>
    <t>确定好秒杀时间</t>
  </si>
  <si>
    <t>sd类型平台促销、各个国外电子类或reddit类型网站发帖、可品牌合作</t>
  </si>
  <si>
    <t>http://www.baixiaotangtop.com/BBS/Detail/10066</t>
  </si>
  <si>
    <t>发帖sd50-150美金，品牌合作最低20美金</t>
  </si>
  <si>
    <t>电台、电视广告、bbc类型媒体、新闻网站</t>
  </si>
  <si>
    <t>联系发稿上新闻</t>
  </si>
  <si>
    <t>独立站引流到亚马逊+亚马逊联盟</t>
  </si>
  <si>
    <t>做透明计划或独家计划、限购、防断货、调价等等</t>
  </si>
  <si>
    <t>其他</t>
  </si>
</sst>
</file>

<file path=xl/styles.xml><?xml version="1.0" encoding="utf-8"?>
<styleSheet xmlns="http://schemas.openxmlformats.org/spreadsheetml/2006/main">
  <numFmts count="48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mmmm\-yy"/>
    <numFmt numFmtId="178" formatCode="#\ ?/?"/>
    <numFmt numFmtId="26" formatCode="\$#,##0.00_);[Red]\(\$#,##0.00\)"/>
    <numFmt numFmtId="179" formatCode="[$-804]aaa"/>
    <numFmt numFmtId="180" formatCode="[DBNum1][$-804]m&quot;月&quot;d&quot;日&quot;"/>
    <numFmt numFmtId="8" formatCode="&quot;￥&quot;#,##0.00;[Red]&quot;￥&quot;\-#,##0.00"/>
    <numFmt numFmtId="181" formatCode="yyyy/m/d;@"/>
    <numFmt numFmtId="182" formatCode="[$-804]aaaa"/>
    <numFmt numFmtId="183" formatCode="mm/dd/yy"/>
    <numFmt numFmtId="184" formatCode="yy/m/d"/>
    <numFmt numFmtId="185" formatCode="[DBNum1]上午/下午h&quot;时&quot;mm&quot;分&quot;"/>
    <numFmt numFmtId="186" formatCode="dd\-mmm\-yy"/>
    <numFmt numFmtId="187" formatCode="h:mm\ AM/PM"/>
    <numFmt numFmtId="25" formatCode="\$#,##0.00_);\(\$#,##0.00\)"/>
    <numFmt numFmtId="188" formatCode="mmmmm"/>
    <numFmt numFmtId="189" formatCode="\¥#,##0.00;[Red]\¥\-#,##0.00"/>
    <numFmt numFmtId="190" formatCode="&quot;US$&quot;#,##0.00_);\(&quot;US$&quot;#,##0.00\)"/>
    <numFmt numFmtId="191" formatCode="\¥#,##0.00;\¥\-#,##0.00"/>
    <numFmt numFmtId="192" formatCode="&quot;第&quot;@&quot;周&quot;"/>
    <numFmt numFmtId="193" formatCode="[DBNum1]h&quot;时&quot;mm&quot;分&quot;"/>
    <numFmt numFmtId="194" formatCode="#\ ??"/>
    <numFmt numFmtId="195" formatCode="0_ "/>
    <numFmt numFmtId="196" formatCode="0.0%"/>
    <numFmt numFmtId="197" formatCode="0.00_ "/>
    <numFmt numFmtId="198" formatCode="#,##0_ "/>
    <numFmt numFmtId="199" formatCode="\$#,##0;\-\$#,##0"/>
    <numFmt numFmtId="5" formatCode="&quot;￥&quot;#,##0;&quot;￥&quot;\-#,##0"/>
    <numFmt numFmtId="200" formatCode="#,##0.00_ "/>
    <numFmt numFmtId="201" formatCode="\¥#,##0;\¥\-#,##0"/>
    <numFmt numFmtId="202" formatCode="mmmmm\-yy"/>
    <numFmt numFmtId="203" formatCode="m/d"/>
    <numFmt numFmtId="204" formatCode="[DBNum1][$-804]yyyy&quot;年&quot;m&quot;月&quot;d&quot;日&quot;"/>
    <numFmt numFmtId="205" formatCode="h:mm:ss\ AM/PM"/>
    <numFmt numFmtId="206" formatCode="\$#,##0.00;\-\$#,##0.00"/>
    <numFmt numFmtId="43" formatCode="_ * #,##0.00_ ;_ * \-#,##0.00_ ;_ * &quot;-&quot;??_ ;_ @_ "/>
    <numFmt numFmtId="207" formatCode="#\ ??/??"/>
    <numFmt numFmtId="41" formatCode="_ * #,##0_ ;_ * \-#,##0_ ;_ * &quot;-&quot;_ ;_ @_ "/>
    <numFmt numFmtId="42" formatCode="_ &quot;￥&quot;* #,##0_ ;_ &quot;￥&quot;* \-#,##0_ ;_ &quot;￥&quot;* &quot;-&quot;_ ;_ @_ "/>
    <numFmt numFmtId="24" formatCode="\$#,##0_);[Red]\(\$#,##0\)"/>
    <numFmt numFmtId="7" formatCode="&quot;￥&quot;#,##0.00;&quot;￥&quot;\-#,##0.00"/>
    <numFmt numFmtId="208" formatCode="m&quot;月&quot;d&quot;日&quot;;@"/>
    <numFmt numFmtId="209" formatCode="\¥#,##0;[Red]\¥\-#,##0"/>
    <numFmt numFmtId="210" formatCode="0.0_ "/>
    <numFmt numFmtId="44" formatCode="_ &quot;￥&quot;* #,##0.00_ ;_ &quot;￥&quot;* \-#,##0.00_ ;_ &quot;￥&quot;* &quot;-&quot;??_ ;_ @_ "/>
    <numFmt numFmtId="211" formatCode="yyyy/m/d\ h:mm\ AM/PM"/>
  </numFmts>
  <fonts count="7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u/>
      <sz val="10"/>
      <color rgb="FF0000FF"/>
      <name val="微软雅黑"/>
      <charset val="0"/>
    </font>
    <font>
      <sz val="11"/>
      <color theme="1"/>
      <name val="Tahoma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Tahoma"/>
      <charset val="134"/>
    </font>
    <font>
      <sz val="16"/>
      <color theme="1"/>
      <name val="Tahoma"/>
      <charset val="134"/>
    </font>
    <font>
      <b/>
      <sz val="26"/>
      <color theme="1"/>
      <name val="宋体"/>
      <charset val="134"/>
    </font>
    <font>
      <b/>
      <sz val="26"/>
      <color theme="1"/>
      <name val="Tahoma"/>
      <charset val="134"/>
    </font>
    <font>
      <b/>
      <sz val="8"/>
      <color theme="1"/>
      <name val="Arial Unicode MS"/>
      <charset val="134"/>
    </font>
    <font>
      <b/>
      <sz val="8"/>
      <color rgb="FF000000"/>
      <name val="Arial Unicode MS"/>
      <charset val="134"/>
    </font>
    <font>
      <sz val="9"/>
      <color theme="1"/>
      <name val="宋体"/>
      <charset val="134"/>
    </font>
    <font>
      <sz val="8"/>
      <color rgb="FF000000"/>
      <name val="Verdana"/>
      <charset val="134"/>
    </font>
    <font>
      <sz val="9"/>
      <color theme="1"/>
      <name val="微软雅黑"/>
      <charset val="134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0"/>
      <name val="微软雅黑"/>
      <charset val="134"/>
    </font>
    <font>
      <sz val="9"/>
      <color theme="1"/>
      <name val="宋体"/>
      <charset val="134"/>
      <scheme val="minor"/>
    </font>
    <font>
      <sz val="10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微软雅黑"/>
      <charset val="134"/>
    </font>
    <font>
      <sz val="10"/>
      <color indexed="8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rgb="FFFF0000"/>
      <name val="Calibri"/>
      <charset val="134"/>
    </font>
    <font>
      <b/>
      <sz val="10"/>
      <color theme="1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0.5"/>
      <name val="黑体"/>
      <charset val="134"/>
    </font>
    <font>
      <b/>
      <sz val="10"/>
      <name val="黑体"/>
      <charset val="134"/>
    </font>
    <font>
      <sz val="11"/>
      <color rgb="FFFF0000"/>
      <name val="黑体"/>
      <charset val="134"/>
    </font>
    <font>
      <sz val="11"/>
      <name val="黑体"/>
      <charset val="134"/>
    </font>
    <font>
      <sz val="10"/>
      <name val="黑体"/>
      <charset val="134"/>
    </font>
    <font>
      <b/>
      <sz val="10.5"/>
      <name val="黑体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0"/>
      <color theme="1"/>
      <name val="Calibri"/>
      <charset val="134"/>
    </font>
    <font>
      <sz val="16"/>
      <color theme="1"/>
      <name val="宋体"/>
      <charset val="134"/>
    </font>
    <font>
      <sz val="16"/>
      <name val="宋体"/>
      <charset val="134"/>
    </font>
    <font>
      <sz val="16"/>
      <name val="Tahoma"/>
      <charset val="134"/>
    </font>
    <font>
      <sz val="16"/>
      <color rgb="FFFF0000"/>
      <name val="Tahoma"/>
      <charset val="134"/>
    </font>
    <font>
      <b/>
      <sz val="11"/>
      <color indexed="10"/>
      <name val="黑体"/>
      <charset val="134"/>
    </font>
    <font>
      <sz val="16"/>
      <name val="宋体"/>
      <charset val="134"/>
    </font>
    <font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</fills>
  <borders count="35">
    <border>
      <left/>
      <right/>
      <top/>
      <bottom/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rgb="FF7030A0"/>
      </left>
      <right style="hair">
        <color rgb="FF7030A0"/>
      </right>
      <top/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7"/>
      </left>
      <right style="hair">
        <color theme="7"/>
      </right>
      <top/>
      <bottom style="hair">
        <color theme="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>
      <alignment vertical="center"/>
    </xf>
    <xf numFmtId="0" fontId="37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63" fillId="57" borderId="34" applyNumberFormat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61" fillId="37" borderId="34" applyNumberFormat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43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50" fillId="0" borderId="29" applyNumberFormat="0" applyFill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39" borderId="32" applyNumberFormat="0" applyAlignment="0" applyProtection="0">
      <alignment vertical="center"/>
    </xf>
    <xf numFmtId="0" fontId="53" fillId="37" borderId="31" applyNumberFormat="0" applyAlignment="0" applyProtection="0">
      <alignment vertical="center"/>
    </xf>
    <xf numFmtId="0" fontId="52" fillId="0" borderId="2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0" fillId="35" borderId="30" applyNumberFormat="0" applyFont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9" fillId="0" borderId="28" applyNumberFormat="0" applyFill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0" fillId="0" borderId="33" applyNumberFormat="0" applyFill="0" applyAlignment="0" applyProtection="0">
      <alignment vertical="center"/>
    </xf>
  </cellStyleXfs>
  <cellXfs count="385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wrapText="1"/>
    </xf>
    <xf numFmtId="0" fontId="3" fillId="0" borderId="4" xfId="43" applyFont="1" applyFill="1" applyBorder="1" applyAlignment="1">
      <alignment vertical="center" wrapText="1"/>
    </xf>
    <xf numFmtId="0" fontId="4" fillId="0" borderId="4" xfId="43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wrapText="1"/>
    </xf>
    <xf numFmtId="0" fontId="1" fillId="0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Fill="1" applyAlignment="1"/>
    <xf numFmtId="0" fontId="5" fillId="0" borderId="11" xfId="0" applyFont="1" applyFill="1" applyBorder="1" applyAlignment="1"/>
    <xf numFmtId="0" fontId="6" fillId="2" borderId="11" xfId="0" applyFont="1" applyFill="1" applyBorder="1" applyAlignment="1"/>
    <xf numFmtId="0" fontId="5" fillId="2" borderId="11" xfId="0" applyFont="1" applyFill="1" applyBorder="1" applyAlignment="1"/>
    <xf numFmtId="0" fontId="7" fillId="3" borderId="11" xfId="0" applyFont="1" applyFill="1" applyBorder="1" applyAlignment="1"/>
    <xf numFmtId="0" fontId="7" fillId="4" borderId="11" xfId="0" applyFont="1" applyFill="1" applyBorder="1" applyAlignment="1"/>
    <xf numFmtId="0" fontId="7" fillId="4" borderId="11" xfId="0" applyFont="1" applyFill="1" applyBorder="1" applyAlignment="1">
      <alignment wrapText="1"/>
    </xf>
    <xf numFmtId="0" fontId="6" fillId="4" borderId="11" xfId="0" applyFont="1" applyFill="1" applyBorder="1" applyAlignment="1"/>
    <xf numFmtId="0" fontId="8" fillId="4" borderId="11" xfId="0" applyFont="1" applyFill="1" applyBorder="1" applyAlignment="1"/>
    <xf numFmtId="0" fontId="9" fillId="0" borderId="1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2" fillId="5" borderId="5" xfId="0" applyNumberFormat="1" applyFont="1" applyFill="1" applyBorder="1" applyAlignment="1">
      <alignment horizontal="center" vertical="center" wrapText="1"/>
    </xf>
    <xf numFmtId="0" fontId="12" fillId="5" borderId="6" xfId="0" applyNumberFormat="1" applyFont="1" applyFill="1" applyBorder="1" applyAlignment="1">
      <alignment horizontal="center" vertical="center" wrapText="1"/>
    </xf>
    <xf numFmtId="208" fontId="1" fillId="0" borderId="12" xfId="0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2" fillId="5" borderId="6" xfId="0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wrapText="1"/>
    </xf>
    <xf numFmtId="0" fontId="6" fillId="0" borderId="11" xfId="0" applyFont="1" applyFill="1" applyBorder="1" applyAlignment="1">
      <alignment horizontal="left" vertical="top" wrapText="1"/>
    </xf>
    <xf numFmtId="0" fontId="5" fillId="0" borderId="0" xfId="0" applyFont="1" applyFill="1" applyBorder="1" applyAlignment="1"/>
    <xf numFmtId="0" fontId="6" fillId="0" borderId="11" xfId="0" applyFont="1" applyFill="1" applyBorder="1" applyAlignment="1"/>
    <xf numFmtId="10" fontId="6" fillId="0" borderId="11" xfId="0" applyNumberFormat="1" applyFont="1" applyFill="1" applyBorder="1" applyAlignment="1"/>
    <xf numFmtId="10" fontId="5" fillId="0" borderId="11" xfId="0" applyNumberFormat="1" applyFont="1" applyFill="1" applyBorder="1" applyAlignment="1"/>
    <xf numFmtId="0" fontId="15" fillId="11" borderId="11" xfId="0" applyFont="1" applyFill="1" applyBorder="1" applyAlignment="1">
      <alignment horizontal="left" wrapText="1"/>
    </xf>
    <xf numFmtId="10" fontId="15" fillId="11" borderId="11" xfId="0" applyNumberFormat="1" applyFont="1" applyFill="1" applyBorder="1" applyAlignment="1">
      <alignment horizontal="left" wrapText="1"/>
    </xf>
    <xf numFmtId="3" fontId="15" fillId="11" borderId="11" xfId="0" applyNumberFormat="1" applyFont="1" applyFill="1" applyBorder="1" applyAlignment="1">
      <alignment horizontal="left" wrapText="1"/>
    </xf>
    <xf numFmtId="9" fontId="5" fillId="0" borderId="11" xfId="0" applyNumberFormat="1" applyFont="1" applyFill="1" applyBorder="1" applyAlignment="1"/>
    <xf numFmtId="9" fontId="15" fillId="11" borderId="11" xfId="0" applyNumberFormat="1" applyFont="1" applyFill="1" applyBorder="1" applyAlignment="1">
      <alignment horizontal="left" wrapText="1"/>
    </xf>
    <xf numFmtId="190" fontId="15" fillId="11" borderId="11" xfId="0" applyNumberFormat="1" applyFont="1" applyFill="1" applyBorder="1" applyAlignment="1">
      <alignment horizontal="left" wrapText="1"/>
    </xf>
    <xf numFmtId="0" fontId="1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Fill="1" applyAlignment="1">
      <alignment vertical="center" wrapText="1"/>
    </xf>
    <xf numFmtId="0" fontId="16" fillId="0" borderId="0" xfId="0" applyFont="1" applyFill="1" applyAlignment="1">
      <alignment horizontal="center" vertical="center" wrapText="1"/>
    </xf>
    <xf numFmtId="192" fontId="16" fillId="0" borderId="0" xfId="0" applyNumberFormat="1" applyFont="1" applyFill="1" applyAlignment="1">
      <alignment horizontal="center" vertical="center"/>
    </xf>
    <xf numFmtId="208" fontId="16" fillId="0" borderId="0" xfId="0" applyNumberFormat="1" applyFont="1" applyFill="1" applyAlignment="1">
      <alignment horizontal="center" vertical="center"/>
    </xf>
    <xf numFmtId="195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95" fontId="16" fillId="4" borderId="11" xfId="0" applyNumberFormat="1" applyFont="1" applyFill="1" applyBorder="1" applyAlignment="1">
      <alignment horizontal="center" vertical="center"/>
    </xf>
    <xf numFmtId="208" fontId="16" fillId="4" borderId="11" xfId="0" applyNumberFormat="1" applyFont="1" applyFill="1" applyBorder="1" applyAlignment="1">
      <alignment horizontal="center" vertical="center"/>
    </xf>
    <xf numFmtId="192" fontId="16" fillId="0" borderId="11" xfId="0" applyNumberFormat="1" applyFont="1" applyFill="1" applyBorder="1" applyAlignment="1">
      <alignment horizontal="center" vertical="center"/>
    </xf>
    <xf numFmtId="208" fontId="16" fillId="0" borderId="11" xfId="0" applyNumberFormat="1" applyFont="1" applyFill="1" applyBorder="1" applyAlignment="1">
      <alignment horizontal="center" vertical="center"/>
    </xf>
    <xf numFmtId="195" fontId="16" fillId="0" borderId="11" xfId="0" applyNumberFormat="1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195" fontId="16" fillId="0" borderId="15" xfId="0" applyNumberFormat="1" applyFont="1" applyFill="1" applyBorder="1" applyAlignment="1">
      <alignment horizontal="center" vertical="center" wrapText="1"/>
    </xf>
    <xf numFmtId="208" fontId="16" fillId="0" borderId="15" xfId="0" applyNumberFormat="1" applyFont="1" applyFill="1" applyBorder="1" applyAlignment="1">
      <alignment horizontal="center" vertical="center" wrapText="1"/>
    </xf>
    <xf numFmtId="192" fontId="16" fillId="0" borderId="16" xfId="0" applyNumberFormat="1" applyFont="1" applyFill="1" applyBorder="1" applyAlignment="1">
      <alignment horizontal="center" vertical="center"/>
    </xf>
    <xf numFmtId="208" fontId="16" fillId="0" borderId="16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206" fontId="16" fillId="0" borderId="11" xfId="0" applyNumberFormat="1" applyFont="1" applyFill="1" applyBorder="1" applyAlignment="1">
      <alignment horizontal="center" vertical="center"/>
    </xf>
    <xf numFmtId="181" fontId="16" fillId="0" borderId="15" xfId="0" applyNumberFormat="1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10" fontId="16" fillId="0" borderId="11" xfId="0" applyNumberFormat="1" applyFont="1" applyFill="1" applyBorder="1" applyAlignment="1">
      <alignment horizontal="center" vertical="center"/>
    </xf>
    <xf numFmtId="24" fontId="16" fillId="0" borderId="11" xfId="0" applyNumberFormat="1" applyFont="1" applyFill="1" applyBorder="1" applyAlignment="1">
      <alignment horizontal="center" vertical="center"/>
    </xf>
    <xf numFmtId="206" fontId="16" fillId="0" borderId="11" xfId="0" applyNumberFormat="1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181" fontId="16" fillId="13" borderId="11" xfId="0" applyNumberFormat="1" applyFont="1" applyFill="1" applyBorder="1" applyAlignment="1">
      <alignment horizontal="center" vertical="center"/>
    </xf>
    <xf numFmtId="181" fontId="16" fillId="13" borderId="11" xfId="0" applyNumberFormat="1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/>
    </xf>
    <xf numFmtId="5" fontId="16" fillId="0" borderId="15" xfId="0" applyNumberFormat="1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6" fillId="15" borderId="11" xfId="0" applyFont="1" applyFill="1" applyBorder="1" applyAlignment="1">
      <alignment horizontal="center" vertical="center"/>
    </xf>
    <xf numFmtId="206" fontId="16" fillId="0" borderId="16" xfId="0" applyNumberFormat="1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196" fontId="16" fillId="0" borderId="15" xfId="0" applyNumberFormat="1" applyFont="1" applyFill="1" applyBorder="1" applyAlignment="1">
      <alignment horizontal="center" vertical="center" wrapText="1"/>
    </xf>
    <xf numFmtId="196" fontId="18" fillId="0" borderId="15" xfId="0" applyNumberFormat="1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6" fillId="12" borderId="0" xfId="0" applyFont="1" applyFill="1" applyAlignment="1">
      <alignment horizontal="center" vertical="center"/>
    </xf>
    <xf numFmtId="0" fontId="16" fillId="12" borderId="11" xfId="0" applyFont="1" applyFill="1" applyBorder="1" applyAlignment="1">
      <alignment horizontal="center" vertical="center" wrapText="1"/>
    </xf>
    <xf numFmtId="0" fontId="16" fillId="12" borderId="11" xfId="0" applyFont="1" applyFill="1" applyBorder="1" applyAlignment="1">
      <alignment vertical="center" wrapText="1"/>
    </xf>
    <xf numFmtId="198" fontId="16" fillId="0" borderId="11" xfId="0" applyNumberFormat="1" applyFont="1" applyFill="1" applyBorder="1" applyAlignment="1">
      <alignment horizontal="center" vertical="center"/>
    </xf>
    <xf numFmtId="200" fontId="16" fillId="4" borderId="11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49" fontId="16" fillId="0" borderId="11" xfId="0" applyNumberFormat="1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 vertical="center" wrapText="1"/>
    </xf>
    <xf numFmtId="192" fontId="16" fillId="2" borderId="0" xfId="0" applyNumberFormat="1" applyFont="1" applyFill="1" applyAlignment="1">
      <alignment horizontal="center" vertical="center"/>
    </xf>
    <xf numFmtId="195" fontId="16" fillId="17" borderId="11" xfId="0" applyNumberFormat="1" applyFont="1" applyFill="1" applyBorder="1" applyAlignment="1">
      <alignment horizontal="center" vertical="center"/>
    </xf>
    <xf numFmtId="0" fontId="16" fillId="17" borderId="13" xfId="0" applyFont="1" applyFill="1" applyBorder="1" applyAlignment="1">
      <alignment horizontal="center" vertical="center"/>
    </xf>
    <xf numFmtId="195" fontId="16" fillId="0" borderId="11" xfId="0" applyNumberFormat="1" applyFont="1" applyFill="1" applyBorder="1" applyAlignment="1">
      <alignment horizontal="center" vertical="center" wrapText="1"/>
    </xf>
    <xf numFmtId="0" fontId="16" fillId="12" borderId="1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10" fontId="16" fillId="0" borderId="13" xfId="0" applyNumberFormat="1" applyFont="1" applyFill="1" applyBorder="1" applyAlignment="1">
      <alignment horizontal="center" vertical="center"/>
    </xf>
    <xf numFmtId="10" fontId="16" fillId="0" borderId="0" xfId="0" applyNumberFormat="1" applyFont="1" applyFill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10" fontId="16" fillId="0" borderId="17" xfId="0" applyNumberFormat="1" applyFont="1" applyFill="1" applyBorder="1" applyAlignment="1">
      <alignment horizontal="center" vertical="center"/>
    </xf>
    <xf numFmtId="200" fontId="16" fillId="0" borderId="13" xfId="0" applyNumberFormat="1" applyFont="1" applyFill="1" applyBorder="1" applyAlignment="1">
      <alignment horizontal="center" vertical="center"/>
    </xf>
    <xf numFmtId="200" fontId="16" fillId="0" borderId="17" xfId="0" applyNumberFormat="1" applyFont="1" applyFill="1" applyBorder="1" applyAlignment="1">
      <alignment horizontal="center" vertical="center"/>
    </xf>
    <xf numFmtId="200" fontId="16" fillId="0" borderId="0" xfId="0" applyNumberFormat="1" applyFont="1" applyFill="1" applyAlignment="1">
      <alignment horizontal="center" vertical="center"/>
    </xf>
    <xf numFmtId="0" fontId="16" fillId="17" borderId="17" xfId="0" applyFont="1" applyFill="1" applyBorder="1" applyAlignment="1">
      <alignment horizontal="center" vertical="center"/>
    </xf>
    <xf numFmtId="206" fontId="16" fillId="4" borderId="11" xfId="0" applyNumberFormat="1" applyFont="1" applyFill="1" applyBorder="1" applyAlignment="1">
      <alignment horizontal="center" vertical="center"/>
    </xf>
    <xf numFmtId="192" fontId="16" fillId="2" borderId="0" xfId="0" applyNumberFormat="1" applyFont="1" applyFill="1" applyAlignment="1">
      <alignment horizontal="center" vertical="center" wrapText="1"/>
    </xf>
    <xf numFmtId="0" fontId="16" fillId="17" borderId="1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0" fontId="22" fillId="18" borderId="11" xfId="20" applyFont="1" applyFill="1" applyBorder="1" applyAlignment="1">
      <alignment horizontal="center" vertical="center"/>
    </xf>
    <xf numFmtId="58" fontId="22" fillId="18" borderId="11" xfId="1" applyNumberFormat="1" applyFont="1" applyFill="1" applyBorder="1" applyAlignment="1">
      <alignment horizontal="center" vertical="center"/>
    </xf>
    <xf numFmtId="0" fontId="22" fillId="19" borderId="11" xfId="20" applyFont="1" applyFill="1" applyBorder="1" applyAlignment="1">
      <alignment horizontal="center" vertical="center" wrapText="1"/>
    </xf>
    <xf numFmtId="198" fontId="1" fillId="0" borderId="11" xfId="0" applyNumberFormat="1" applyFont="1" applyFill="1" applyBorder="1" applyAlignment="1">
      <alignment horizontal="center" vertical="center"/>
    </xf>
    <xf numFmtId="195" fontId="1" fillId="0" borderId="11" xfId="0" applyNumberFormat="1" applyFont="1" applyFill="1" applyBorder="1" applyAlignment="1">
      <alignment horizontal="center" vertical="center"/>
    </xf>
    <xf numFmtId="206" fontId="1" fillId="0" borderId="11" xfId="0" applyNumberFormat="1" applyFont="1" applyFill="1" applyBorder="1" applyAlignment="1">
      <alignment horizontal="center" vertical="center"/>
    </xf>
    <xf numFmtId="10" fontId="1" fillId="0" borderId="11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208" fontId="1" fillId="0" borderId="0" xfId="0" applyNumberFormat="1" applyFont="1" applyFill="1" applyBorder="1" applyAlignment="1">
      <alignment vertical="center"/>
    </xf>
    <xf numFmtId="208" fontId="1" fillId="0" borderId="0" xfId="0" applyNumberFormat="1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208" fontId="1" fillId="20" borderId="11" xfId="0" applyNumberFormat="1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208" fontId="1" fillId="0" borderId="13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208" fontId="1" fillId="0" borderId="11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center" vertical="center" wrapText="1"/>
    </xf>
    <xf numFmtId="20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208" fontId="1" fillId="20" borderId="11" xfId="0" applyNumberFormat="1" applyFont="1" applyFill="1" applyBorder="1" applyAlignment="1">
      <alignment horizontal="center" vertical="center" wrapText="1"/>
    </xf>
    <xf numFmtId="208" fontId="1" fillId="0" borderId="11" xfId="0" applyNumberFormat="1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left" vertical="center" wrapText="1"/>
    </xf>
    <xf numFmtId="0" fontId="0" fillId="0" borderId="0" xfId="0" applyFill="1" applyAlignment="1"/>
    <xf numFmtId="0" fontId="23" fillId="0" borderId="1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95" fontId="0" fillId="0" borderId="0" xfId="0" applyNumberFormat="1" applyFont="1" applyFill="1" applyBorder="1" applyAlignment="1">
      <alignment horizontal="center" vertical="center"/>
    </xf>
    <xf numFmtId="181" fontId="0" fillId="0" borderId="0" xfId="0" applyNumberFormat="1" applyFont="1" applyFill="1" applyBorder="1" applyAlignment="1">
      <alignment horizontal="center" vertical="center"/>
    </xf>
    <xf numFmtId="210" fontId="0" fillId="0" borderId="0" xfId="0" applyNumberFormat="1" applyFont="1" applyFill="1" applyBorder="1" applyAlignment="1">
      <alignment horizontal="center" vertical="center"/>
    </xf>
    <xf numFmtId="0" fontId="24" fillId="21" borderId="11" xfId="0" applyFont="1" applyFill="1" applyBorder="1" applyAlignment="1">
      <alignment horizontal="left" vertical="center"/>
    </xf>
    <xf numFmtId="14" fontId="25" fillId="21" borderId="11" xfId="0" applyNumberFormat="1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left" vertical="top" wrapText="1"/>
    </xf>
    <xf numFmtId="0" fontId="27" fillId="0" borderId="11" xfId="0" applyFont="1" applyFill="1" applyBorder="1" applyAlignment="1">
      <alignment horizontal="center" vertical="center" wrapText="1"/>
    </xf>
    <xf numFmtId="0" fontId="0" fillId="21" borderId="11" xfId="0" applyFont="1" applyFill="1" applyBorder="1" applyAlignment="1">
      <alignment horizontal="center" vertical="center"/>
    </xf>
    <xf numFmtId="195" fontId="0" fillId="21" borderId="11" xfId="0" applyNumberFormat="1" applyFont="1" applyFill="1" applyBorder="1" applyAlignment="1">
      <alignment horizontal="center" vertical="center"/>
    </xf>
    <xf numFmtId="195" fontId="27" fillId="0" borderId="11" xfId="0" applyNumberFormat="1" applyFont="1" applyFill="1" applyBorder="1" applyAlignment="1">
      <alignment horizontal="center" vertical="center" wrapText="1"/>
    </xf>
    <xf numFmtId="181" fontId="27" fillId="0" borderId="11" xfId="0" applyNumberFormat="1" applyFont="1" applyFill="1" applyBorder="1" applyAlignment="1">
      <alignment horizontal="center" vertical="center"/>
    </xf>
    <xf numFmtId="195" fontId="0" fillId="0" borderId="11" xfId="0" applyNumberFormat="1" applyFont="1" applyFill="1" applyBorder="1" applyAlignment="1">
      <alignment horizontal="center" vertical="center"/>
    </xf>
    <xf numFmtId="181" fontId="0" fillId="0" borderId="11" xfId="0" applyNumberFormat="1" applyFont="1" applyFill="1" applyBorder="1" applyAlignment="1">
      <alignment horizontal="center" vertical="center"/>
    </xf>
    <xf numFmtId="195" fontId="27" fillId="0" borderId="11" xfId="0" applyNumberFormat="1" applyFont="1" applyFill="1" applyBorder="1" applyAlignment="1">
      <alignment horizontal="center" vertical="center"/>
    </xf>
    <xf numFmtId="210" fontId="27" fillId="0" borderId="11" xfId="0" applyNumberFormat="1" applyFont="1" applyFill="1" applyBorder="1" applyAlignment="1">
      <alignment horizontal="center" vertical="center"/>
    </xf>
    <xf numFmtId="210" fontId="0" fillId="0" borderId="11" xfId="0" applyNumberFormat="1" applyFont="1" applyFill="1" applyBorder="1" applyAlignment="1">
      <alignment horizontal="center" vertical="center"/>
    </xf>
    <xf numFmtId="0" fontId="0" fillId="0" borderId="11" xfId="0" applyFill="1" applyBorder="1" applyAlignment="1"/>
    <xf numFmtId="0" fontId="0" fillId="0" borderId="0" xfId="0" applyFill="1" applyBorder="1" applyAlignment="1"/>
    <xf numFmtId="0" fontId="23" fillId="0" borderId="0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208" fontId="1" fillId="0" borderId="11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0" fillId="0" borderId="11" xfId="0" applyFont="1" applyFill="1" applyBorder="1" applyAlignment="1">
      <alignment horizontal="center" vertical="center"/>
    </xf>
    <xf numFmtId="198" fontId="30" fillId="0" borderId="11" xfId="0" applyNumberFormat="1" applyFont="1" applyFill="1" applyBorder="1" applyAlignment="1">
      <alignment horizontal="center" vertical="center"/>
    </xf>
    <xf numFmtId="206" fontId="30" fillId="0" borderId="11" xfId="0" applyNumberFormat="1" applyFont="1" applyFill="1" applyBorder="1" applyAlignment="1">
      <alignment horizontal="center" vertical="center"/>
    </xf>
    <xf numFmtId="10" fontId="30" fillId="0" borderId="11" xfId="0" applyNumberFormat="1" applyFont="1" applyFill="1" applyBorder="1" applyAlignment="1">
      <alignment horizontal="center" vertical="center"/>
    </xf>
    <xf numFmtId="198" fontId="1" fillId="0" borderId="0" xfId="0" applyNumberFormat="1" applyFont="1" applyFill="1" applyBorder="1" applyAlignment="1">
      <alignment horizontal="center" vertical="center"/>
    </xf>
    <xf numFmtId="195" fontId="1" fillId="0" borderId="0" xfId="0" applyNumberFormat="1" applyFont="1" applyFill="1" applyBorder="1" applyAlignment="1">
      <alignment vertical="center"/>
    </xf>
    <xf numFmtId="206" fontId="1" fillId="0" borderId="0" xfId="0" applyNumberFormat="1" applyFont="1" applyFill="1" applyAlignment="1">
      <alignment horizontal="center" vertical="center"/>
    </xf>
    <xf numFmtId="195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vertical="center"/>
    </xf>
    <xf numFmtId="206" fontId="1" fillId="0" borderId="0" xfId="0" applyNumberFormat="1" applyFont="1" applyFill="1" applyBorder="1" applyAlignment="1">
      <alignment vertical="center"/>
    </xf>
    <xf numFmtId="0" fontId="22" fillId="20" borderId="13" xfId="20" applyFont="1" applyFill="1" applyBorder="1" applyAlignment="1">
      <alignment horizontal="center" vertical="center" wrapText="1"/>
    </xf>
    <xf numFmtId="198" fontId="22" fillId="20" borderId="11" xfId="20" applyNumberFormat="1" applyFont="1" applyFill="1" applyBorder="1" applyAlignment="1">
      <alignment horizontal="center" vertical="center" wrapText="1"/>
    </xf>
    <xf numFmtId="198" fontId="22" fillId="22" borderId="17" xfId="1" applyNumberFormat="1" applyFont="1" applyFill="1" applyBorder="1" applyAlignment="1">
      <alignment horizontal="center" vertical="center"/>
    </xf>
    <xf numFmtId="198" fontId="1" fillId="0" borderId="13" xfId="0" applyNumberFormat="1" applyFont="1" applyFill="1" applyBorder="1" applyAlignment="1">
      <alignment horizontal="center" vertical="center"/>
    </xf>
    <xf numFmtId="198" fontId="1" fillId="0" borderId="17" xfId="0" applyNumberFormat="1" applyFont="1" applyFill="1" applyBorder="1" applyAlignment="1">
      <alignment horizontal="center" vertical="center"/>
    </xf>
    <xf numFmtId="195" fontId="22" fillId="20" borderId="11" xfId="20" applyNumberFormat="1" applyFont="1" applyFill="1" applyBorder="1" applyAlignment="1">
      <alignment horizontal="center" vertical="center" wrapText="1"/>
    </xf>
    <xf numFmtId="195" fontId="22" fillId="22" borderId="17" xfId="1" applyNumberFormat="1" applyFont="1" applyFill="1" applyBorder="1" applyAlignment="1">
      <alignment horizontal="center" vertical="center"/>
    </xf>
    <xf numFmtId="195" fontId="1" fillId="0" borderId="13" xfId="0" applyNumberFormat="1" applyFont="1" applyFill="1" applyBorder="1" applyAlignment="1">
      <alignment horizontal="center" vertical="center"/>
    </xf>
    <xf numFmtId="195" fontId="1" fillId="0" borderId="17" xfId="0" applyNumberFormat="1" applyFont="1" applyFill="1" applyBorder="1" applyAlignment="1">
      <alignment horizontal="center" vertical="center"/>
    </xf>
    <xf numFmtId="206" fontId="22" fillId="22" borderId="17" xfId="1" applyNumberFormat="1" applyFont="1" applyFill="1" applyBorder="1" applyAlignment="1">
      <alignment horizontal="center" vertical="center"/>
    </xf>
    <xf numFmtId="206" fontId="1" fillId="0" borderId="13" xfId="0" applyNumberFormat="1" applyFont="1" applyFill="1" applyBorder="1" applyAlignment="1">
      <alignment horizontal="center" vertical="center"/>
    </xf>
    <xf numFmtId="206" fontId="1" fillId="0" borderId="17" xfId="0" applyNumberFormat="1" applyFont="1" applyFill="1" applyBorder="1" applyAlignment="1">
      <alignment horizontal="center" vertical="center"/>
    </xf>
    <xf numFmtId="206" fontId="22" fillId="22" borderId="17" xfId="20" applyNumberFormat="1" applyFont="1" applyFill="1" applyBorder="1" applyAlignment="1">
      <alignment horizontal="center" vertical="center"/>
    </xf>
    <xf numFmtId="195" fontId="22" fillId="22" borderId="17" xfId="20" applyNumberFormat="1" applyFont="1" applyFill="1" applyBorder="1" applyAlignment="1">
      <alignment horizontal="center" vertical="center"/>
    </xf>
    <xf numFmtId="10" fontId="22" fillId="20" borderId="11" xfId="20" applyNumberFormat="1" applyFont="1" applyFill="1" applyBorder="1" applyAlignment="1">
      <alignment horizontal="center" vertical="center" wrapText="1"/>
    </xf>
    <xf numFmtId="10" fontId="22" fillId="23" borderId="17" xfId="1" applyNumberFormat="1" applyFont="1" applyFill="1" applyBorder="1" applyAlignment="1">
      <alignment horizontal="center" vertical="center"/>
    </xf>
    <xf numFmtId="10" fontId="1" fillId="0" borderId="13" xfId="0" applyNumberFormat="1" applyFont="1" applyFill="1" applyBorder="1" applyAlignment="1">
      <alignment horizontal="center" vertical="center"/>
    </xf>
    <xf numFmtId="10" fontId="1" fillId="0" borderId="17" xfId="0" applyNumberFormat="1" applyFont="1" applyFill="1" applyBorder="1" applyAlignment="1">
      <alignment horizontal="center" vertical="center"/>
    </xf>
    <xf numFmtId="206" fontId="22" fillId="20" borderId="11" xfId="20" applyNumberFormat="1" applyFont="1" applyFill="1" applyBorder="1" applyAlignment="1">
      <alignment horizontal="center" vertical="center" wrapText="1"/>
    </xf>
    <xf numFmtId="206" fontId="1" fillId="23" borderId="17" xfId="0" applyNumberFormat="1" applyFont="1" applyFill="1" applyBorder="1" applyAlignment="1">
      <alignment horizontal="center" vertical="center"/>
    </xf>
    <xf numFmtId="195" fontId="1" fillId="23" borderId="17" xfId="0" applyNumberFormat="1" applyFont="1" applyFill="1" applyBorder="1" applyAlignment="1">
      <alignment horizontal="center" vertical="center"/>
    </xf>
    <xf numFmtId="206" fontId="22" fillId="23" borderId="17" xfId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6" fillId="0" borderId="23" xfId="0" applyFont="1" applyFill="1" applyBorder="1" applyAlignment="1"/>
    <xf numFmtId="0" fontId="6" fillId="0" borderId="23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 wrapText="1"/>
    </xf>
    <xf numFmtId="0" fontId="5" fillId="0" borderId="21" xfId="0" applyFont="1" applyFill="1" applyBorder="1" applyAlignment="1">
      <alignment horizontal="center" wrapText="1"/>
    </xf>
    <xf numFmtId="0" fontId="5" fillId="0" borderId="2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24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198" fontId="1" fillId="0" borderId="0" xfId="0" applyNumberFormat="1" applyFont="1" applyFill="1" applyAlignment="1">
      <alignment horizontal="center" vertical="center"/>
    </xf>
    <xf numFmtId="195" fontId="1" fillId="0" borderId="0" xfId="0" applyNumberFormat="1" applyFont="1" applyFill="1" applyAlignment="1">
      <alignment horizontal="center" vertical="center"/>
    </xf>
    <xf numFmtId="210" fontId="1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99" fontId="1" fillId="0" borderId="0" xfId="0" applyNumberFormat="1" applyFont="1" applyFill="1" applyAlignment="1">
      <alignment horizontal="center" vertical="center"/>
    </xf>
    <xf numFmtId="208" fontId="22" fillId="0" borderId="11" xfId="20" applyNumberFormat="1" applyFont="1" applyFill="1" applyBorder="1" applyAlignment="1">
      <alignment horizontal="center" vertical="center" wrapText="1"/>
    </xf>
    <xf numFmtId="208" fontId="22" fillId="17" borderId="11" xfId="20" applyNumberFormat="1" applyFont="1" applyFill="1" applyBorder="1" applyAlignment="1">
      <alignment horizontal="center" vertical="center"/>
    </xf>
    <xf numFmtId="0" fontId="22" fillId="0" borderId="11" xfId="20" applyFont="1" applyFill="1" applyBorder="1" applyAlignment="1">
      <alignment horizontal="center" vertical="center" wrapText="1"/>
    </xf>
    <xf numFmtId="0" fontId="22" fillId="17" borderId="11" xfId="20" applyFont="1" applyFill="1" applyBorder="1" applyAlignment="1">
      <alignment horizontal="center" vertical="center"/>
    </xf>
    <xf numFmtId="198" fontId="22" fillId="0" borderId="11" xfId="20" applyNumberFormat="1" applyFont="1" applyFill="1" applyBorder="1" applyAlignment="1">
      <alignment horizontal="center" vertical="center" wrapText="1"/>
    </xf>
    <xf numFmtId="198" fontId="22" fillId="22" borderId="11" xfId="1" applyNumberFormat="1" applyFont="1" applyFill="1" applyBorder="1" applyAlignment="1">
      <alignment horizontal="center" vertical="center"/>
    </xf>
    <xf numFmtId="195" fontId="22" fillId="0" borderId="11" xfId="20" applyNumberFormat="1" applyFont="1" applyFill="1" applyBorder="1" applyAlignment="1">
      <alignment horizontal="center" vertical="center" wrapText="1"/>
    </xf>
    <xf numFmtId="195" fontId="22" fillId="22" borderId="11" xfId="1" applyNumberFormat="1" applyFont="1" applyFill="1" applyBorder="1" applyAlignment="1">
      <alignment horizontal="center" vertical="center"/>
    </xf>
    <xf numFmtId="206" fontId="22" fillId="0" borderId="11" xfId="20" applyNumberFormat="1" applyFont="1" applyFill="1" applyBorder="1" applyAlignment="1">
      <alignment horizontal="center" vertical="center" wrapText="1"/>
    </xf>
    <xf numFmtId="206" fontId="22" fillId="22" borderId="11" xfId="1" applyNumberFormat="1" applyFont="1" applyFill="1" applyBorder="1" applyAlignment="1">
      <alignment horizontal="center" vertical="center"/>
    </xf>
    <xf numFmtId="206" fontId="22" fillId="22" borderId="11" xfId="20" applyNumberFormat="1" applyFont="1" applyFill="1" applyBorder="1" applyAlignment="1">
      <alignment horizontal="center" vertical="center"/>
    </xf>
    <xf numFmtId="195" fontId="22" fillId="22" borderId="11" xfId="20" applyNumberFormat="1" applyFont="1" applyFill="1" applyBorder="1" applyAlignment="1">
      <alignment horizontal="center" vertical="center"/>
    </xf>
    <xf numFmtId="198" fontId="22" fillId="23" borderId="11" xfId="1" applyNumberFormat="1" applyFont="1" applyFill="1" applyBorder="1" applyAlignment="1">
      <alignment horizontal="center" vertical="center"/>
    </xf>
    <xf numFmtId="195" fontId="22" fillId="23" borderId="11" xfId="1" applyNumberFormat="1" applyFont="1" applyFill="1" applyBorder="1" applyAlignment="1">
      <alignment horizontal="center" vertical="center"/>
    </xf>
    <xf numFmtId="206" fontId="22" fillId="23" borderId="11" xfId="1" applyNumberFormat="1" applyFont="1" applyFill="1" applyBorder="1" applyAlignment="1">
      <alignment horizontal="center" vertical="center"/>
    </xf>
    <xf numFmtId="195" fontId="22" fillId="0" borderId="16" xfId="20" applyNumberFormat="1" applyFont="1" applyFill="1" applyBorder="1" applyAlignment="1">
      <alignment horizontal="center" vertical="center" wrapText="1"/>
    </xf>
    <xf numFmtId="195" fontId="22" fillId="24" borderId="11" xfId="1" applyNumberFormat="1" applyFont="1" applyFill="1" applyBorder="1" applyAlignment="1">
      <alignment horizontal="center" vertical="center"/>
    </xf>
    <xf numFmtId="195" fontId="22" fillId="0" borderId="26" xfId="20" applyNumberFormat="1" applyFont="1" applyFill="1" applyBorder="1" applyAlignment="1">
      <alignment horizontal="center" vertical="center" wrapText="1"/>
    </xf>
    <xf numFmtId="210" fontId="22" fillId="0" borderId="26" xfId="20" applyNumberFormat="1" applyFont="1" applyFill="1" applyBorder="1" applyAlignment="1">
      <alignment horizontal="center" vertical="center" wrapText="1"/>
    </xf>
    <xf numFmtId="210" fontId="22" fillId="24" borderId="11" xfId="1" applyNumberFormat="1" applyFont="1" applyFill="1" applyBorder="1" applyAlignment="1">
      <alignment horizontal="center" vertical="center"/>
    </xf>
    <xf numFmtId="195" fontId="22" fillId="0" borderId="15" xfId="20" applyNumberFormat="1" applyFont="1" applyFill="1" applyBorder="1" applyAlignment="1">
      <alignment horizontal="center" vertical="center" wrapText="1"/>
    </xf>
    <xf numFmtId="10" fontId="22" fillId="25" borderId="11" xfId="1" applyNumberFormat="1" applyFont="1" applyFill="1" applyBorder="1" applyAlignment="1">
      <alignment horizontal="center" vertical="center"/>
    </xf>
    <xf numFmtId="10" fontId="1" fillId="25" borderId="11" xfId="0" applyNumberFormat="1" applyFont="1" applyFill="1" applyBorder="1" applyAlignment="1">
      <alignment horizontal="center" vertical="center"/>
    </xf>
    <xf numFmtId="206" fontId="22" fillId="25" borderId="11" xfId="1" applyNumberFormat="1" applyFont="1" applyFill="1" applyBorder="1" applyAlignment="1">
      <alignment horizontal="center" vertical="center"/>
    </xf>
    <xf numFmtId="206" fontId="1" fillId="25" borderId="11" xfId="0" applyNumberFormat="1" applyFont="1" applyFill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199" fontId="1" fillId="0" borderId="11" xfId="0" applyNumberFormat="1" applyFont="1" applyFill="1" applyBorder="1" applyAlignment="1">
      <alignment horizontal="center" vertical="center"/>
    </xf>
    <xf numFmtId="199" fontId="22" fillId="25" borderId="11" xfId="1" applyNumberFormat="1" applyFont="1" applyFill="1" applyBorder="1" applyAlignment="1">
      <alignment horizontal="center" vertical="center"/>
    </xf>
    <xf numFmtId="210" fontId="1" fillId="0" borderId="1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31" fillId="3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32" fillId="3" borderId="11" xfId="0" applyFont="1" applyFill="1" applyBorder="1" applyAlignment="1">
      <alignment vertical="center" wrapText="1"/>
    </xf>
    <xf numFmtId="0" fontId="32" fillId="26" borderId="11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/>
    </xf>
    <xf numFmtId="0" fontId="34" fillId="0" borderId="11" xfId="0" applyFont="1" applyFill="1" applyBorder="1" applyAlignment="1">
      <alignment vertical="center" wrapText="1"/>
    </xf>
    <xf numFmtId="10" fontId="34" fillId="0" borderId="15" xfId="0" applyNumberFormat="1" applyFont="1" applyFill="1" applyBorder="1" applyAlignment="1">
      <alignment horizontal="left" vertical="center"/>
    </xf>
    <xf numFmtId="0" fontId="33" fillId="0" borderId="11" xfId="0" applyFont="1" applyFill="1" applyBorder="1" applyAlignment="1">
      <alignment horizontal="left" vertical="center" wrapText="1"/>
    </xf>
    <xf numFmtId="10" fontId="34" fillId="0" borderId="15" xfId="0" applyNumberFormat="1" applyFont="1" applyFill="1" applyBorder="1" applyAlignment="1">
      <alignment vertical="center" wrapText="1"/>
    </xf>
    <xf numFmtId="197" fontId="0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9" fontId="33" fillId="0" borderId="11" xfId="0" applyNumberFormat="1" applyFont="1" applyFill="1" applyBorder="1" applyAlignment="1">
      <alignment horizontal="left" vertical="center"/>
    </xf>
    <xf numFmtId="210" fontId="0" fillId="0" borderId="0" xfId="0" applyNumberFormat="1" applyFill="1" applyBorder="1" applyAlignment="1">
      <alignment horizontal="left" vertical="center"/>
    </xf>
    <xf numFmtId="10" fontId="0" fillId="0" borderId="0" xfId="0" applyNumberFormat="1" applyFont="1" applyFill="1" applyBorder="1" applyAlignment="1">
      <alignment horizontal="left" vertical="center"/>
    </xf>
    <xf numFmtId="49" fontId="35" fillId="0" borderId="11" xfId="0" applyNumberFormat="1" applyFont="1" applyFill="1" applyBorder="1" applyAlignment="1">
      <alignment horizontal="left" vertical="center"/>
    </xf>
    <xf numFmtId="0" fontId="36" fillId="3" borderId="11" xfId="0" applyFont="1" applyFill="1" applyBorder="1" applyAlignment="1">
      <alignment vertical="center" wrapText="1"/>
    </xf>
    <xf numFmtId="10" fontId="33" fillId="0" borderId="11" xfId="0" applyNumberFormat="1" applyFont="1" applyFill="1" applyBorder="1" applyAlignment="1" applyProtection="1">
      <alignment horizontal="left" vertical="center"/>
    </xf>
    <xf numFmtId="9" fontId="33" fillId="0" borderId="11" xfId="0" applyNumberFormat="1" applyFont="1" applyFill="1" applyBorder="1" applyAlignment="1">
      <alignment vertical="center" wrapText="1"/>
    </xf>
    <xf numFmtId="0" fontId="33" fillId="0" borderId="11" xfId="0" applyNumberFormat="1" applyFont="1" applyFill="1" applyBorder="1" applyAlignment="1" applyProtection="1">
      <alignment vertical="center" wrapText="1"/>
    </xf>
    <xf numFmtId="0" fontId="34" fillId="0" borderId="11" xfId="0" applyNumberFormat="1" applyFont="1" applyFill="1" applyBorder="1" applyAlignment="1" applyProtection="1">
      <alignment horizontal="left" vertical="center"/>
    </xf>
    <xf numFmtId="10" fontId="34" fillId="0" borderId="11" xfId="0" applyNumberFormat="1" applyFont="1" applyFill="1" applyBorder="1" applyAlignment="1" applyProtection="1">
      <alignment horizontal="left" vertical="center"/>
    </xf>
    <xf numFmtId="49" fontId="34" fillId="0" borderId="11" xfId="0" applyNumberFormat="1" applyFont="1" applyFill="1" applyBorder="1" applyAlignment="1">
      <alignment horizontal="left" vertical="center"/>
    </xf>
    <xf numFmtId="0" fontId="33" fillId="0" borderId="11" xfId="0" applyNumberFormat="1" applyFont="1" applyFill="1" applyBorder="1" applyAlignment="1" applyProtection="1">
      <alignment horizontal="left" vertical="center"/>
    </xf>
    <xf numFmtId="0" fontId="36" fillId="27" borderId="11" xfId="0" applyFont="1" applyFill="1" applyBorder="1" applyAlignment="1">
      <alignment vertical="center" wrapText="1"/>
    </xf>
    <xf numFmtId="9" fontId="34" fillId="0" borderId="11" xfId="0" applyNumberFormat="1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34" fillId="0" borderId="11" xfId="0" applyNumberFormat="1" applyFont="1" applyFill="1" applyBorder="1" applyAlignment="1" applyProtection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36" fillId="4" borderId="11" xfId="0" applyFont="1" applyFill="1" applyBorder="1" applyAlignment="1">
      <alignment vertical="center" wrapText="1"/>
    </xf>
    <xf numFmtId="10" fontId="34" fillId="0" borderId="11" xfId="0" applyNumberFormat="1" applyFont="1" applyFill="1" applyBorder="1" applyAlignment="1">
      <alignment horizontal="left" vertical="center" wrapText="1"/>
    </xf>
    <xf numFmtId="9" fontId="34" fillId="0" borderId="11" xfId="0" applyNumberFormat="1" applyFont="1" applyFill="1" applyBorder="1" applyAlignment="1">
      <alignment vertical="center"/>
    </xf>
    <xf numFmtId="10" fontId="34" fillId="0" borderId="15" xfId="0" applyNumberFormat="1" applyFont="1" applyFill="1" applyBorder="1" applyAlignment="1">
      <alignment horizontal="left" vertical="center" wrapText="1"/>
    </xf>
    <xf numFmtId="9" fontId="34" fillId="0" borderId="13" xfId="0" applyNumberFormat="1" applyFont="1" applyFill="1" applyBorder="1" applyAlignment="1">
      <alignment horizontal="center" vertical="center" wrapText="1"/>
    </xf>
    <xf numFmtId="9" fontId="34" fillId="0" borderId="17" xfId="0" applyNumberFormat="1" applyFont="1" applyFill="1" applyBorder="1" applyAlignment="1">
      <alignment horizontal="center" vertical="center" wrapText="1"/>
    </xf>
    <xf numFmtId="0" fontId="37" fillId="0" borderId="0" xfId="0" applyFont="1" applyFill="1" applyBorder="1" applyAlignment="1"/>
    <xf numFmtId="0" fontId="37" fillId="0" borderId="0" xfId="0" applyFont="1" applyFill="1" applyBorder="1" applyAlignment="1" applyProtection="1">
      <protection locked="0"/>
    </xf>
    <xf numFmtId="0" fontId="38" fillId="0" borderId="23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 wrapText="1"/>
    </xf>
    <xf numFmtId="0" fontId="37" fillId="0" borderId="11" xfId="0" applyFont="1" applyFill="1" applyBorder="1" applyAlignment="1"/>
    <xf numFmtId="0" fontId="37" fillId="0" borderId="16" xfId="0" applyFont="1" applyFill="1" applyBorder="1" applyAlignment="1"/>
    <xf numFmtId="0" fontId="39" fillId="0" borderId="16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1" xfId="0" applyFont="1" applyFill="1" applyBorder="1" applyAlignment="1" applyProtection="1">
      <alignment horizontal="center" vertical="center" wrapText="1"/>
    </xf>
    <xf numFmtId="0" fontId="40" fillId="0" borderId="11" xfId="0" applyFont="1" applyFill="1" applyBorder="1" applyAlignment="1">
      <alignment horizontal="right" vertical="center" wrapText="1"/>
    </xf>
    <xf numFmtId="0" fontId="40" fillId="0" borderId="15" xfId="0" applyFont="1" applyFill="1" applyBorder="1" applyAlignment="1">
      <alignment horizontal="right" vertical="center" wrapText="1"/>
    </xf>
    <xf numFmtId="0" fontId="39" fillId="0" borderId="11" xfId="0" applyFont="1" applyFill="1" applyBorder="1" applyAlignment="1">
      <alignment horizontal="right" vertical="center" wrapText="1"/>
    </xf>
    <xf numFmtId="0" fontId="39" fillId="0" borderId="13" xfId="0" applyFont="1" applyFill="1" applyBorder="1" applyAlignment="1" applyProtection="1">
      <alignment horizontal="left" vertical="center" wrapText="1"/>
    </xf>
    <xf numFmtId="0" fontId="39" fillId="0" borderId="14" xfId="0" applyFont="1" applyFill="1" applyBorder="1" applyAlignment="1" applyProtection="1">
      <alignment horizontal="left" vertical="center" wrapText="1"/>
    </xf>
    <xf numFmtId="0" fontId="41" fillId="0" borderId="19" xfId="0" applyFont="1" applyFill="1" applyBorder="1" applyAlignment="1">
      <alignment horizontal="left" vertical="center" wrapText="1"/>
    </xf>
    <xf numFmtId="0" fontId="42" fillId="0" borderId="0" xfId="0" applyFont="1" applyFill="1" applyBorder="1" applyAlignment="1">
      <alignment horizontal="left" vertical="center" wrapText="1"/>
    </xf>
    <xf numFmtId="0" fontId="39" fillId="0" borderId="13" xfId="0" applyFont="1" applyFill="1" applyBorder="1" applyAlignment="1">
      <alignment vertical="center" wrapText="1"/>
    </xf>
    <xf numFmtId="0" fontId="39" fillId="0" borderId="14" xfId="0" applyFont="1" applyFill="1" applyBorder="1" applyAlignment="1">
      <alignment vertical="center" wrapText="1"/>
    </xf>
    <xf numFmtId="0" fontId="39" fillId="0" borderId="11" xfId="0" applyFont="1" applyFill="1" applyBorder="1" applyAlignment="1">
      <alignment vertical="center" wrapText="1"/>
    </xf>
    <xf numFmtId="0" fontId="39" fillId="0" borderId="16" xfId="0" applyFont="1" applyFill="1" applyBorder="1" applyAlignment="1" applyProtection="1">
      <alignment vertical="center" wrapText="1"/>
    </xf>
    <xf numFmtId="0" fontId="39" fillId="0" borderId="11" xfId="0" applyNumberFormat="1" applyFont="1" applyFill="1" applyBorder="1" applyAlignment="1">
      <alignment horizontal="center" vertical="center" wrapText="1"/>
    </xf>
    <xf numFmtId="9" fontId="39" fillId="0" borderId="11" xfId="0" applyNumberFormat="1" applyFont="1" applyFill="1" applyBorder="1" applyAlignment="1" applyProtection="1">
      <alignment horizontal="center" vertical="center" wrapText="1"/>
    </xf>
    <xf numFmtId="9" fontId="39" fillId="0" borderId="11" xfId="0" applyNumberFormat="1" applyFont="1" applyFill="1" applyBorder="1" applyAlignment="1">
      <alignment horizontal="left" vertical="center" wrapText="1"/>
    </xf>
    <xf numFmtId="9" fontId="39" fillId="0" borderId="11" xfId="0" applyNumberFormat="1" applyFont="1" applyFill="1" applyBorder="1" applyAlignment="1">
      <alignment horizontal="center" vertical="center" wrapText="1"/>
    </xf>
    <xf numFmtId="9" fontId="39" fillId="0" borderId="26" xfId="0" applyNumberFormat="1" applyFont="1" applyFill="1" applyBorder="1" applyAlignment="1">
      <alignment horizontal="left" vertical="center" wrapText="1"/>
    </xf>
    <xf numFmtId="9" fontId="43" fillId="0" borderId="11" xfId="0" applyNumberFormat="1" applyFont="1" applyFill="1" applyBorder="1" applyAlignment="1">
      <alignment horizontal="left" vertical="center" wrapText="1"/>
    </xf>
    <xf numFmtId="0" fontId="39" fillId="0" borderId="11" xfId="0" applyFont="1" applyFill="1" applyBorder="1" applyAlignment="1" applyProtection="1">
      <alignment horizontal="center" vertical="center" wrapText="1"/>
      <protection locked="0"/>
    </xf>
    <xf numFmtId="0" fontId="39" fillId="0" borderId="17" xfId="0" applyFont="1" applyFill="1" applyBorder="1" applyAlignment="1">
      <alignment vertical="center" wrapText="1"/>
    </xf>
    <xf numFmtId="0" fontId="39" fillId="28" borderId="11" xfId="0" applyFont="1" applyFill="1" applyBorder="1" applyAlignment="1">
      <alignment horizontal="center" vertical="center" wrapText="1"/>
    </xf>
    <xf numFmtId="0" fontId="39" fillId="28" borderId="16" xfId="0" applyFont="1" applyFill="1" applyBorder="1" applyAlignment="1">
      <alignment horizontal="center" vertical="center" wrapText="1"/>
    </xf>
    <xf numFmtId="0" fontId="39" fillId="28" borderId="11" xfId="0" applyFont="1" applyFill="1" applyBorder="1" applyAlignment="1" applyProtection="1">
      <alignment horizontal="center" vertical="center" wrapText="1"/>
    </xf>
    <xf numFmtId="0" fontId="43" fillId="28" borderId="11" xfId="0" applyFont="1" applyFill="1" applyBorder="1" applyAlignment="1">
      <alignment vertical="center" wrapText="1"/>
    </xf>
    <xf numFmtId="0" fontId="39" fillId="28" borderId="15" xfId="0" applyFont="1" applyFill="1" applyBorder="1" applyAlignment="1">
      <alignment horizontal="center" vertical="center" wrapText="1"/>
    </xf>
    <xf numFmtId="0" fontId="44" fillId="28" borderId="11" xfId="0" applyFont="1" applyFill="1" applyBorder="1" applyAlignment="1">
      <alignment horizontal="center" vertical="center" wrapText="1"/>
    </xf>
    <xf numFmtId="0" fontId="39" fillId="0" borderId="17" xfId="0" applyFont="1" applyFill="1" applyBorder="1" applyAlignment="1" applyProtection="1">
      <alignment horizontal="left" vertical="center" wrapText="1"/>
    </xf>
    <xf numFmtId="0" fontId="42" fillId="0" borderId="0" xfId="0" applyFont="1" applyFill="1" applyBorder="1" applyAlignment="1" applyProtection="1">
      <protection locked="0"/>
    </xf>
    <xf numFmtId="0" fontId="42" fillId="0" borderId="0" xfId="0" applyFont="1" applyFill="1" applyBorder="1" applyAlignment="1"/>
    <xf numFmtId="0" fontId="37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horizontal="center" vertical="center"/>
    </xf>
    <xf numFmtId="0" fontId="45" fillId="0" borderId="23" xfId="0" applyFont="1" applyFill="1" applyBorder="1" applyAlignment="1" applyProtection="1">
      <alignment horizontal="right" vertical="center"/>
      <protection locked="0"/>
    </xf>
    <xf numFmtId="0" fontId="39" fillId="0" borderId="20" xfId="0" applyFont="1" applyFill="1" applyBorder="1" applyAlignment="1">
      <alignment horizontal="center" vertical="center" wrapText="1"/>
    </xf>
    <xf numFmtId="0" fontId="39" fillId="0" borderId="24" xfId="0" applyFont="1" applyFill="1" applyBorder="1" applyAlignment="1">
      <alignment horizontal="center" vertical="center" wrapText="1"/>
    </xf>
    <xf numFmtId="0" fontId="39" fillId="0" borderId="26" xfId="0" applyFont="1" applyFill="1" applyBorder="1" applyAlignment="1">
      <alignment horizontal="center" vertical="center" wrapText="1"/>
    </xf>
    <xf numFmtId="0" fontId="39" fillId="0" borderId="21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39" fillId="0" borderId="15" xfId="0" applyFont="1" applyFill="1" applyBorder="1" applyAlignment="1">
      <alignment horizontal="center" vertical="center" wrapText="1"/>
    </xf>
    <xf numFmtId="0" fontId="37" fillId="0" borderId="19" xfId="0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horizontal="left" vertical="center" wrapText="1"/>
    </xf>
    <xf numFmtId="0" fontId="39" fillId="0" borderId="11" xfId="0" applyFont="1" applyFill="1" applyBorder="1" applyAlignment="1">
      <alignment horizontal="left" vertical="center" wrapText="1"/>
    </xf>
    <xf numFmtId="49" fontId="39" fillId="0" borderId="11" xfId="0" applyNumberFormat="1" applyFont="1" applyFill="1" applyBorder="1" applyAlignment="1">
      <alignment horizontal="center" vertical="center" wrapText="1"/>
    </xf>
    <xf numFmtId="0" fontId="39" fillId="0" borderId="11" xfId="0" applyNumberFormat="1" applyFont="1" applyFill="1" applyBorder="1" applyAlignment="1" applyProtection="1">
      <alignment horizontal="center" vertical="center" wrapText="1"/>
    </xf>
    <xf numFmtId="49" fontId="39" fillId="0" borderId="11" xfId="0" applyNumberFormat="1" applyFont="1" applyFill="1" applyBorder="1" applyAlignment="1" applyProtection="1">
      <alignment horizontal="center" vertical="center" wrapText="1"/>
    </xf>
    <xf numFmtId="9" fontId="39" fillId="0" borderId="20" xfId="0" applyNumberFormat="1" applyFont="1" applyFill="1" applyBorder="1" applyAlignment="1">
      <alignment horizontal="center" vertical="center" wrapText="1"/>
    </xf>
    <xf numFmtId="9" fontId="39" fillId="0" borderId="24" xfId="0" applyNumberFormat="1" applyFont="1" applyFill="1" applyBorder="1" applyAlignment="1">
      <alignment horizontal="center" vertical="center" wrapText="1"/>
    </xf>
    <xf numFmtId="9" fontId="39" fillId="0" borderId="21" xfId="0" applyNumberFormat="1" applyFont="1" applyFill="1" applyBorder="1" applyAlignment="1">
      <alignment horizontal="center" vertical="center" wrapText="1"/>
    </xf>
    <xf numFmtId="9" fontId="39" fillId="0" borderId="18" xfId="0" applyNumberFormat="1" applyFont="1" applyFill="1" applyBorder="1" applyAlignment="1">
      <alignment horizontal="center" vertical="center" wrapText="1"/>
    </xf>
    <xf numFmtId="0" fontId="39" fillId="0" borderId="11" xfId="0" applyFont="1" applyFill="1" applyBorder="1" applyAlignment="1" applyProtection="1">
      <alignment vertical="center" wrapText="1"/>
    </xf>
    <xf numFmtId="0" fontId="39" fillId="28" borderId="26" xfId="0" applyFont="1" applyFill="1" applyBorder="1" applyAlignment="1">
      <alignment horizontal="center" vertical="center" wrapText="1"/>
    </xf>
  </cellXfs>
  <cellStyles count="51">
    <cellStyle name="常规" xfId="0" builtinId="0"/>
    <cellStyle name="常规 12 2 4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常规 23" xfId="20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customXml" Target="../customXml/item4.xml"/><Relationship Id="rId22" Type="http://schemas.openxmlformats.org/officeDocument/2006/relationships/customXml" Target="../customXml/item3.xml"/><Relationship Id="rId21" Type="http://schemas.openxmlformats.org/officeDocument/2006/relationships/customXml" Target="../customXml/item2.xml"/><Relationship Id="rId2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xiaotangtop.com/BBS/Detail/10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R7" sqref="R7"/>
    </sheetView>
  </sheetViews>
  <sheetFormatPr defaultColWidth="9" defaultRowHeight="14.25"/>
  <cols>
    <col min="1" max="1" width="4.75" style="327" customWidth="1"/>
    <col min="2" max="2" width="3.75" style="327" customWidth="1"/>
    <col min="3" max="3" width="9" style="327"/>
    <col min="4" max="4" width="1.5" style="327" customWidth="1"/>
    <col min="5" max="5" width="9" style="327"/>
    <col min="6" max="6" width="2.75" style="327" customWidth="1"/>
    <col min="7" max="7" width="7.75" style="327" customWidth="1"/>
    <col min="8" max="8" width="5.5" style="327" customWidth="1"/>
    <col min="9" max="9" width="10.25" style="327" customWidth="1"/>
    <col min="10" max="10" width="7.625" style="327" customWidth="1"/>
    <col min="11" max="11" width="7" style="327" customWidth="1"/>
    <col min="12" max="12" width="2.875" style="327" customWidth="1"/>
    <col min="13" max="13" width="9" style="327"/>
    <col min="14" max="14" width="2.875" style="327" customWidth="1"/>
    <col min="15" max="15" width="4.375" style="327" customWidth="1"/>
    <col min="16" max="16384" width="9" style="327"/>
  </cols>
  <sheetData>
    <row r="1" s="327" customFormat="1" spans="1:15">
      <c r="A1" s="365" t="s"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</row>
    <row r="2" s="327" customFormat="1" spans="1:15">
      <c r="A2" s="366" t="s">
        <v>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</row>
    <row r="3" s="327" customFormat="1" spans="1:15">
      <c r="A3" s="330" t="s">
        <v>2</v>
      </c>
      <c r="B3" s="330"/>
      <c r="C3" s="330"/>
      <c r="D3" s="330"/>
      <c r="E3" s="330" t="s">
        <v>3</v>
      </c>
      <c r="F3" s="330"/>
      <c r="G3" s="330"/>
      <c r="H3" s="375" t="s">
        <v>4</v>
      </c>
      <c r="I3" s="375"/>
      <c r="J3" s="375"/>
      <c r="K3" s="375"/>
      <c r="L3" s="375"/>
      <c r="M3" s="375"/>
      <c r="N3" s="375"/>
      <c r="O3" s="375"/>
    </row>
    <row r="4" s="327" customFormat="1" spans="1:15">
      <c r="A4" s="330" t="s">
        <v>5</v>
      </c>
      <c r="B4" s="330" t="s">
        <v>6</v>
      </c>
      <c r="C4" s="330" t="s">
        <v>7</v>
      </c>
      <c r="D4" s="330"/>
      <c r="E4" s="330" t="s">
        <v>8</v>
      </c>
      <c r="F4" s="330"/>
      <c r="G4" s="330" t="s">
        <v>9</v>
      </c>
      <c r="H4" s="330"/>
      <c r="I4" s="330" t="s">
        <v>10</v>
      </c>
      <c r="J4" s="330"/>
      <c r="K4" s="330" t="s">
        <v>11</v>
      </c>
      <c r="L4" s="330"/>
      <c r="M4" s="330"/>
      <c r="N4" s="330"/>
      <c r="O4" s="330"/>
    </row>
    <row r="5" s="327" customFormat="1" ht="27" spans="1:15">
      <c r="A5" s="330"/>
      <c r="B5" s="330"/>
      <c r="C5" s="330"/>
      <c r="D5" s="330"/>
      <c r="E5" s="330"/>
      <c r="F5" s="330"/>
      <c r="G5" s="330"/>
      <c r="H5" s="330"/>
      <c r="I5" s="330" t="s">
        <v>12</v>
      </c>
      <c r="J5" s="330" t="s">
        <v>13</v>
      </c>
      <c r="K5" s="330" t="s">
        <v>14</v>
      </c>
      <c r="L5" s="330"/>
      <c r="M5" s="330" t="s">
        <v>15</v>
      </c>
      <c r="N5" s="330"/>
      <c r="O5" s="330" t="s">
        <v>16</v>
      </c>
    </row>
    <row r="6" s="327" customFormat="1" ht="23.1" customHeight="1" spans="1:15">
      <c r="A6" s="330"/>
      <c r="B6" s="330">
        <v>1</v>
      </c>
      <c r="C6" s="330" t="s">
        <v>17</v>
      </c>
      <c r="D6" s="330"/>
      <c r="E6" s="347">
        <v>60</v>
      </c>
      <c r="F6" s="376"/>
      <c r="G6" s="330" t="s">
        <v>18</v>
      </c>
      <c r="H6" s="330"/>
      <c r="I6" s="345" t="s">
        <v>19</v>
      </c>
      <c r="J6" s="330">
        <v>60</v>
      </c>
      <c r="K6" s="330">
        <v>60</v>
      </c>
      <c r="L6" s="330"/>
      <c r="M6" s="330"/>
      <c r="N6" s="330"/>
      <c r="O6" s="355">
        <f>MIN(K6,M6)</f>
        <v>60</v>
      </c>
    </row>
    <row r="7" s="327" customFormat="1" ht="23.1" customHeight="1" spans="1:15">
      <c r="A7" s="330"/>
      <c r="B7" s="331"/>
      <c r="C7" s="330"/>
      <c r="D7" s="330"/>
      <c r="E7" s="376"/>
      <c r="F7" s="376"/>
      <c r="G7" s="330"/>
      <c r="H7" s="330"/>
      <c r="I7" s="345" t="s">
        <v>20</v>
      </c>
      <c r="J7" s="330">
        <v>40</v>
      </c>
      <c r="K7" s="330"/>
      <c r="L7" s="330"/>
      <c r="M7" s="330"/>
      <c r="N7" s="330"/>
      <c r="O7" s="355"/>
    </row>
    <row r="8" s="327" customFormat="1" ht="23.1" customHeight="1" spans="1:15">
      <c r="A8" s="330"/>
      <c r="B8" s="331"/>
      <c r="C8" s="330"/>
      <c r="D8" s="330"/>
      <c r="E8" s="376"/>
      <c r="F8" s="376"/>
      <c r="G8" s="330"/>
      <c r="H8" s="330"/>
      <c r="I8" s="345" t="s">
        <v>21</v>
      </c>
      <c r="J8" s="330">
        <v>20</v>
      </c>
      <c r="K8" s="330"/>
      <c r="L8" s="330"/>
      <c r="M8" s="330"/>
      <c r="N8" s="330"/>
      <c r="O8" s="355"/>
    </row>
    <row r="9" s="327" customFormat="1" ht="23.1" customHeight="1" spans="1:15">
      <c r="A9" s="330"/>
      <c r="B9" s="331"/>
      <c r="C9" s="330"/>
      <c r="D9" s="330"/>
      <c r="E9" s="376"/>
      <c r="F9" s="376"/>
      <c r="G9" s="330"/>
      <c r="H9" s="330"/>
      <c r="I9" s="383" t="s">
        <v>22</v>
      </c>
      <c r="J9" s="330">
        <v>0</v>
      </c>
      <c r="K9" s="330"/>
      <c r="L9" s="330"/>
      <c r="M9" s="330"/>
      <c r="N9" s="330"/>
      <c r="O9" s="355"/>
    </row>
    <row r="10" s="327" customFormat="1" ht="27" spans="1:15">
      <c r="A10" s="330"/>
      <c r="B10" s="330">
        <v>2</v>
      </c>
      <c r="C10" s="330" t="s">
        <v>23</v>
      </c>
      <c r="D10" s="330"/>
      <c r="E10" s="347">
        <v>40</v>
      </c>
      <c r="F10" s="376"/>
      <c r="G10" s="347">
        <v>2000</v>
      </c>
      <c r="H10" s="347"/>
      <c r="I10" s="345" t="s">
        <v>24</v>
      </c>
      <c r="J10" s="330">
        <v>40</v>
      </c>
      <c r="K10" s="330">
        <v>40</v>
      </c>
      <c r="L10" s="330"/>
      <c r="M10" s="330"/>
      <c r="N10" s="330"/>
      <c r="O10" s="355">
        <f>MIN(K10,M10)</f>
        <v>40</v>
      </c>
    </row>
    <row r="11" s="327" customFormat="1" ht="27" spans="1:15">
      <c r="A11" s="330"/>
      <c r="B11" s="330"/>
      <c r="C11" s="330"/>
      <c r="D11" s="330"/>
      <c r="E11" s="376"/>
      <c r="F11" s="376"/>
      <c r="G11" s="347"/>
      <c r="H11" s="347"/>
      <c r="I11" s="345" t="s">
        <v>25</v>
      </c>
      <c r="J11" s="330">
        <v>30</v>
      </c>
      <c r="K11" s="330"/>
      <c r="L11" s="330"/>
      <c r="M11" s="330"/>
      <c r="N11" s="330"/>
      <c r="O11" s="355"/>
    </row>
    <row r="12" s="327" customFormat="1" ht="27" spans="1:15">
      <c r="A12" s="330"/>
      <c r="B12" s="330"/>
      <c r="C12" s="330"/>
      <c r="D12" s="330"/>
      <c r="E12" s="376"/>
      <c r="F12" s="376"/>
      <c r="G12" s="347"/>
      <c r="H12" s="347"/>
      <c r="I12" s="345" t="s">
        <v>26</v>
      </c>
      <c r="J12" s="330">
        <v>15</v>
      </c>
      <c r="K12" s="330"/>
      <c r="L12" s="330"/>
      <c r="M12" s="330"/>
      <c r="N12" s="330"/>
      <c r="O12" s="355"/>
    </row>
    <row r="13" s="327" customFormat="1" spans="1:15">
      <c r="A13" s="330"/>
      <c r="B13" s="330"/>
      <c r="C13" s="330"/>
      <c r="D13" s="330"/>
      <c r="E13" s="376"/>
      <c r="F13" s="376"/>
      <c r="G13" s="347"/>
      <c r="H13" s="347"/>
      <c r="I13" s="345" t="s">
        <v>27</v>
      </c>
      <c r="J13" s="330">
        <v>0</v>
      </c>
      <c r="K13" s="330"/>
      <c r="L13" s="330"/>
      <c r="M13" s="330"/>
      <c r="N13" s="330"/>
      <c r="O13" s="355"/>
    </row>
    <row r="14" s="327" customFormat="1" ht="12.95" customHeight="1" spans="1:15">
      <c r="A14" s="330"/>
      <c r="B14" s="336" t="s">
        <v>28</v>
      </c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58">
        <f>SUM(O6:O13)</f>
        <v>100</v>
      </c>
    </row>
    <row r="15" s="327" customFormat="1" spans="1:15">
      <c r="A15" s="330" t="s">
        <v>29</v>
      </c>
      <c r="B15" s="330" t="s">
        <v>6</v>
      </c>
      <c r="C15" s="330" t="s">
        <v>7</v>
      </c>
      <c r="D15" s="330"/>
      <c r="E15" s="330" t="s">
        <v>8</v>
      </c>
      <c r="F15" s="330"/>
      <c r="G15" s="330" t="s">
        <v>30</v>
      </c>
      <c r="H15" s="330"/>
      <c r="I15" s="330" t="s">
        <v>10</v>
      </c>
      <c r="J15" s="330"/>
      <c r="K15" s="330" t="s">
        <v>11</v>
      </c>
      <c r="L15" s="330"/>
      <c r="M15" s="330"/>
      <c r="N15" s="330"/>
      <c r="O15" s="330"/>
    </row>
    <row r="16" s="327" customFormat="1" ht="27" spans="1:15">
      <c r="A16" s="330"/>
      <c r="B16" s="330"/>
      <c r="C16" s="330"/>
      <c r="D16" s="330"/>
      <c r="E16" s="330"/>
      <c r="F16" s="330"/>
      <c r="G16" s="330"/>
      <c r="H16" s="330"/>
      <c r="I16" s="330" t="s">
        <v>12</v>
      </c>
      <c r="J16" s="330" t="s">
        <v>13</v>
      </c>
      <c r="K16" s="330" t="s">
        <v>14</v>
      </c>
      <c r="L16" s="330"/>
      <c r="M16" s="330" t="s">
        <v>15</v>
      </c>
      <c r="N16" s="330"/>
      <c r="O16" s="330" t="s">
        <v>16</v>
      </c>
    </row>
    <row r="17" s="327" customFormat="1" ht="42.95" customHeight="1" spans="1:15">
      <c r="A17" s="330"/>
      <c r="B17" s="335">
        <v>1</v>
      </c>
      <c r="C17" s="335" t="s">
        <v>31</v>
      </c>
      <c r="D17" s="335"/>
      <c r="E17" s="377">
        <v>40</v>
      </c>
      <c r="F17" s="378"/>
      <c r="G17" s="348" t="s">
        <v>32</v>
      </c>
      <c r="H17" s="348"/>
      <c r="I17" s="349" t="s">
        <v>33</v>
      </c>
      <c r="J17" s="335">
        <v>40</v>
      </c>
      <c r="K17" s="353">
        <v>40</v>
      </c>
      <c r="L17" s="353"/>
      <c r="M17" s="353"/>
      <c r="N17" s="353"/>
      <c r="O17" s="357">
        <f>MIN(K17,M17)</f>
        <v>40</v>
      </c>
    </row>
    <row r="18" s="327" customFormat="1" ht="47.1" customHeight="1" spans="1:15">
      <c r="A18" s="330"/>
      <c r="B18" s="335"/>
      <c r="C18" s="335"/>
      <c r="D18" s="335"/>
      <c r="E18" s="378"/>
      <c r="F18" s="378"/>
      <c r="G18" s="348"/>
      <c r="H18" s="348"/>
      <c r="I18" s="349" t="s">
        <v>34</v>
      </c>
      <c r="J18" s="335">
        <v>30</v>
      </c>
      <c r="K18" s="353"/>
      <c r="L18" s="353"/>
      <c r="M18" s="353"/>
      <c r="N18" s="353"/>
      <c r="O18" s="357"/>
    </row>
    <row r="19" s="327" customFormat="1" ht="47.1" customHeight="1" spans="1:15">
      <c r="A19" s="330"/>
      <c r="B19" s="335"/>
      <c r="C19" s="335"/>
      <c r="D19" s="335"/>
      <c r="E19" s="378"/>
      <c r="F19" s="378"/>
      <c r="G19" s="348"/>
      <c r="H19" s="348"/>
      <c r="I19" s="349" t="s">
        <v>35</v>
      </c>
      <c r="J19" s="335">
        <v>15</v>
      </c>
      <c r="K19" s="353"/>
      <c r="L19" s="353"/>
      <c r="M19" s="353"/>
      <c r="N19" s="353"/>
      <c r="O19" s="357"/>
    </row>
    <row r="20" s="327" customFormat="1" ht="40.5" spans="1:15">
      <c r="A20" s="330"/>
      <c r="B20" s="335"/>
      <c r="C20" s="335"/>
      <c r="D20" s="335"/>
      <c r="E20" s="378"/>
      <c r="F20" s="378"/>
      <c r="G20" s="348"/>
      <c r="H20" s="348"/>
      <c r="I20" s="349" t="s">
        <v>36</v>
      </c>
      <c r="J20" s="335">
        <v>0</v>
      </c>
      <c r="K20" s="353"/>
      <c r="L20" s="353"/>
      <c r="M20" s="353"/>
      <c r="N20" s="353"/>
      <c r="O20" s="357"/>
    </row>
    <row r="21" s="327" customFormat="1" spans="1:15">
      <c r="A21" s="330"/>
      <c r="B21" s="330">
        <v>2</v>
      </c>
      <c r="C21" s="330" t="s">
        <v>37</v>
      </c>
      <c r="D21" s="330"/>
      <c r="E21" s="347">
        <v>40</v>
      </c>
      <c r="F21" s="376"/>
      <c r="G21" s="350" t="s">
        <v>38</v>
      </c>
      <c r="H21" s="350"/>
      <c r="I21" s="349" t="s">
        <v>39</v>
      </c>
      <c r="J21" s="330">
        <v>40</v>
      </c>
      <c r="K21" s="330">
        <v>40</v>
      </c>
      <c r="L21" s="330"/>
      <c r="M21" s="330"/>
      <c r="N21" s="330"/>
      <c r="O21" s="355">
        <f>MIN(K21,M21)</f>
        <v>40</v>
      </c>
    </row>
    <row r="22" s="327" customFormat="1" spans="1:15">
      <c r="A22" s="330"/>
      <c r="B22" s="330"/>
      <c r="C22" s="330"/>
      <c r="D22" s="330"/>
      <c r="E22" s="376"/>
      <c r="F22" s="376"/>
      <c r="G22" s="350"/>
      <c r="H22" s="350"/>
      <c r="I22" s="349" t="s">
        <v>40</v>
      </c>
      <c r="J22" s="330">
        <v>24</v>
      </c>
      <c r="K22" s="330"/>
      <c r="L22" s="330"/>
      <c r="M22" s="330"/>
      <c r="N22" s="330"/>
      <c r="O22" s="355"/>
    </row>
    <row r="23" s="327" customFormat="1" spans="1:15">
      <c r="A23" s="330"/>
      <c r="B23" s="330"/>
      <c r="C23" s="330"/>
      <c r="D23" s="330"/>
      <c r="E23" s="376"/>
      <c r="F23" s="376"/>
      <c r="G23" s="350"/>
      <c r="H23" s="350"/>
      <c r="I23" s="349" t="s">
        <v>41</v>
      </c>
      <c r="J23" s="330">
        <v>0</v>
      </c>
      <c r="K23" s="330"/>
      <c r="L23" s="330"/>
      <c r="M23" s="330"/>
      <c r="N23" s="330"/>
      <c r="O23" s="355"/>
    </row>
    <row r="24" s="327" customFormat="1" ht="36" customHeight="1" spans="1:15">
      <c r="A24" s="330"/>
      <c r="B24" s="333">
        <v>3</v>
      </c>
      <c r="C24" s="367" t="s">
        <v>42</v>
      </c>
      <c r="D24" s="368"/>
      <c r="E24" s="377">
        <v>20</v>
      </c>
      <c r="F24" s="376"/>
      <c r="G24" s="379" t="s">
        <v>43</v>
      </c>
      <c r="H24" s="380"/>
      <c r="I24" s="352" t="s">
        <v>44</v>
      </c>
      <c r="J24" s="330">
        <v>20</v>
      </c>
      <c r="K24" s="367">
        <v>20</v>
      </c>
      <c r="L24" s="368"/>
      <c r="M24" s="367"/>
      <c r="N24" s="368"/>
      <c r="O24" s="356">
        <f>MIN(K24,M24)</f>
        <v>20</v>
      </c>
    </row>
    <row r="25" s="327" customFormat="1" ht="39" customHeight="1" spans="1:15">
      <c r="A25" s="330"/>
      <c r="B25" s="369"/>
      <c r="C25" s="370"/>
      <c r="D25" s="371"/>
      <c r="E25" s="378"/>
      <c r="F25" s="376"/>
      <c r="G25" s="381"/>
      <c r="H25" s="382"/>
      <c r="I25" s="352" t="s">
        <v>45</v>
      </c>
      <c r="J25" s="330">
        <v>12</v>
      </c>
      <c r="K25" s="370"/>
      <c r="L25" s="371"/>
      <c r="M25" s="370"/>
      <c r="N25" s="371"/>
      <c r="O25" s="384"/>
    </row>
    <row r="26" s="327" customFormat="1" ht="36" customHeight="1" spans="1:15">
      <c r="A26" s="330"/>
      <c r="B26" s="369"/>
      <c r="C26" s="370"/>
      <c r="D26" s="371"/>
      <c r="E26" s="378"/>
      <c r="F26" s="376"/>
      <c r="G26" s="381"/>
      <c r="H26" s="382"/>
      <c r="I26" s="352" t="s">
        <v>46</v>
      </c>
      <c r="J26" s="330">
        <v>0</v>
      </c>
      <c r="K26" s="370"/>
      <c r="L26" s="371"/>
      <c r="M26" s="370"/>
      <c r="N26" s="371"/>
      <c r="O26" s="384"/>
    </row>
    <row r="27" s="327" customFormat="1" spans="1:15">
      <c r="A27" s="330"/>
      <c r="B27" s="336" t="s">
        <v>47</v>
      </c>
      <c r="C27" s="336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55">
        <f>SUM(O17:O26)</f>
        <v>100</v>
      </c>
    </row>
    <row r="28" s="327" customFormat="1" ht="18" customHeight="1" spans="1:15">
      <c r="A28" s="333"/>
      <c r="B28" s="330" t="s">
        <v>48</v>
      </c>
      <c r="C28" s="330" t="s">
        <v>49</v>
      </c>
      <c r="D28" s="330"/>
      <c r="E28" s="347">
        <v>10</v>
      </c>
      <c r="F28" s="376"/>
      <c r="G28" s="350" t="s">
        <v>50</v>
      </c>
      <c r="H28" s="350"/>
      <c r="I28" s="349" t="s">
        <v>51</v>
      </c>
      <c r="J28" s="330">
        <v>10</v>
      </c>
      <c r="K28" s="330"/>
      <c r="L28" s="330"/>
      <c r="M28" s="330"/>
      <c r="N28" s="330"/>
      <c r="O28" s="355">
        <f>MIN(K28,M28)</f>
        <v>0</v>
      </c>
    </row>
    <row r="29" s="327" customFormat="1" ht="18" customHeight="1" spans="1:15">
      <c r="A29" s="369"/>
      <c r="B29" s="330"/>
      <c r="C29" s="330"/>
      <c r="D29" s="330"/>
      <c r="E29" s="376"/>
      <c r="F29" s="376"/>
      <c r="G29" s="350"/>
      <c r="H29" s="350"/>
      <c r="I29" s="349" t="s">
        <v>52</v>
      </c>
      <c r="J29" s="330">
        <v>5</v>
      </c>
      <c r="K29" s="330"/>
      <c r="L29" s="330"/>
      <c r="M29" s="330"/>
      <c r="N29" s="330"/>
      <c r="O29" s="355"/>
    </row>
    <row r="30" s="327" customFormat="1" spans="1:15">
      <c r="A30" s="372"/>
      <c r="B30" s="330"/>
      <c r="C30" s="330"/>
      <c r="D30" s="330"/>
      <c r="E30" s="376"/>
      <c r="F30" s="376"/>
      <c r="G30" s="350"/>
      <c r="H30" s="350"/>
      <c r="I30" s="349" t="s">
        <v>53</v>
      </c>
      <c r="J30" s="330">
        <v>0</v>
      </c>
      <c r="K30" s="330"/>
      <c r="L30" s="330"/>
      <c r="M30" s="330"/>
      <c r="N30" s="330"/>
      <c r="O30" s="355"/>
    </row>
    <row r="31" s="327" customFormat="1" spans="1:15">
      <c r="A31" s="330" t="s">
        <v>54</v>
      </c>
      <c r="B31" s="338" t="s">
        <v>55</v>
      </c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60">
        <f>0.5*(O14+O27)+O28</f>
        <v>100</v>
      </c>
    </row>
    <row r="32" s="327" customFormat="1" spans="1:15">
      <c r="A32" s="335" t="s">
        <v>56</v>
      </c>
      <c r="B32" s="339" t="s">
        <v>57</v>
      </c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61"/>
    </row>
    <row r="33" s="327" customFormat="1" spans="1:15">
      <c r="A33" s="335"/>
      <c r="B33" s="339" t="s">
        <v>58</v>
      </c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61"/>
    </row>
    <row r="34" s="327" customFormat="1" spans="2:15">
      <c r="B34" s="373" t="s">
        <v>59</v>
      </c>
      <c r="C34" s="373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</row>
    <row r="35" s="327" customFormat="1" spans="2:15"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</row>
    <row r="36" s="327" customFormat="1" spans="2:15"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</row>
  </sheetData>
  <sheetProtection formatCells="0" insertHyperlinks="0" autoFilter="0"/>
  <mergeCells count="73">
    <mergeCell ref="A1:O1"/>
    <mergeCell ref="A2:O2"/>
    <mergeCell ref="B3:D3"/>
    <mergeCell ref="E3:G3"/>
    <mergeCell ref="H3:O3"/>
    <mergeCell ref="I4:J4"/>
    <mergeCell ref="K4:O4"/>
    <mergeCell ref="K5:L5"/>
    <mergeCell ref="M5:N5"/>
    <mergeCell ref="B14:N14"/>
    <mergeCell ref="I15:J15"/>
    <mergeCell ref="K15:O15"/>
    <mergeCell ref="K16:L16"/>
    <mergeCell ref="M16:N16"/>
    <mergeCell ref="B27:N27"/>
    <mergeCell ref="B31:N31"/>
    <mergeCell ref="B32:O32"/>
    <mergeCell ref="B33:O33"/>
    <mergeCell ref="A4:A14"/>
    <mergeCell ref="A15:A27"/>
    <mergeCell ref="A28:A30"/>
    <mergeCell ref="A32:A33"/>
    <mergeCell ref="B4:B5"/>
    <mergeCell ref="B6:B9"/>
    <mergeCell ref="B10:B13"/>
    <mergeCell ref="B15:B16"/>
    <mergeCell ref="B17:B20"/>
    <mergeCell ref="B21:B23"/>
    <mergeCell ref="B24:B26"/>
    <mergeCell ref="B28:B30"/>
    <mergeCell ref="E24:E26"/>
    <mergeCell ref="O6:O9"/>
    <mergeCell ref="O10:O13"/>
    <mergeCell ref="O17:O20"/>
    <mergeCell ref="O21:O23"/>
    <mergeCell ref="O24:O26"/>
    <mergeCell ref="O28:O30"/>
    <mergeCell ref="C4:D5"/>
    <mergeCell ref="E4:F5"/>
    <mergeCell ref="G4:H5"/>
    <mergeCell ref="C6:D9"/>
    <mergeCell ref="E6:F9"/>
    <mergeCell ref="G6:H9"/>
    <mergeCell ref="K6:L9"/>
    <mergeCell ref="M6:N9"/>
    <mergeCell ref="C10:D13"/>
    <mergeCell ref="E10:F13"/>
    <mergeCell ref="G10:H13"/>
    <mergeCell ref="K10:L13"/>
    <mergeCell ref="M10:N13"/>
    <mergeCell ref="C15:D16"/>
    <mergeCell ref="E15:F16"/>
    <mergeCell ref="G15:H16"/>
    <mergeCell ref="C17:D20"/>
    <mergeCell ref="E17:F20"/>
    <mergeCell ref="G17:H20"/>
    <mergeCell ref="K17:L20"/>
    <mergeCell ref="M17:N20"/>
    <mergeCell ref="C21:D23"/>
    <mergeCell ref="E21:F23"/>
    <mergeCell ref="G21:H23"/>
    <mergeCell ref="K21:L23"/>
    <mergeCell ref="M21:N23"/>
    <mergeCell ref="C24:D26"/>
    <mergeCell ref="G24:H26"/>
    <mergeCell ref="K24:L26"/>
    <mergeCell ref="M24:N26"/>
    <mergeCell ref="C28:D30"/>
    <mergeCell ref="E28:F30"/>
    <mergeCell ref="G28:H30"/>
    <mergeCell ref="K28:L30"/>
    <mergeCell ref="M28:N30"/>
    <mergeCell ref="B34:O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O39" sqref="O39"/>
    </sheetView>
  </sheetViews>
  <sheetFormatPr defaultColWidth="8.66666666666667" defaultRowHeight="14.25"/>
  <cols>
    <col min="1" max="1" width="5.25" style="327" customWidth="1"/>
    <col min="2" max="2" width="4.125" style="327" customWidth="1"/>
    <col min="3" max="3" width="9" style="327"/>
    <col min="4" max="4" width="8.375" style="327" customWidth="1"/>
    <col min="5" max="5" width="9.875" style="327" customWidth="1"/>
    <col min="6" max="6" width="12.375" style="327" customWidth="1"/>
    <col min="7" max="7" width="25.125" style="327" customWidth="1"/>
    <col min="8" max="8" width="4.625" style="327" customWidth="1"/>
    <col min="9" max="9" width="4.5" style="327" customWidth="1"/>
    <col min="10" max="10" width="1" style="327" customWidth="1"/>
    <col min="11" max="11" width="2.5" style="327" customWidth="1"/>
    <col min="12" max="12" width="1.75" style="327" customWidth="1"/>
    <col min="13" max="13" width="4" style="327" customWidth="1"/>
    <col min="14" max="32" width="9" style="327"/>
    <col min="33" max="16384" width="8.66666666666667" style="327"/>
  </cols>
  <sheetData>
    <row r="1" s="327" customFormat="1" ht="34.5" customHeight="1" spans="1:13">
      <c r="A1" s="329" t="s">
        <v>60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</row>
    <row r="2" s="327" customFormat="1" ht="30.75" customHeight="1" spans="1:13">
      <c r="A2" s="330" t="s">
        <v>2</v>
      </c>
      <c r="B2" s="330"/>
      <c r="C2" s="330"/>
      <c r="D2" s="330"/>
      <c r="E2" s="330" t="s">
        <v>61</v>
      </c>
      <c r="F2" s="343" t="s">
        <v>62</v>
      </c>
      <c r="G2" s="344" t="s">
        <v>63</v>
      </c>
      <c r="H2" s="344"/>
      <c r="I2" s="344"/>
      <c r="J2" s="344"/>
      <c r="K2" s="344"/>
      <c r="L2" s="344"/>
      <c r="M2" s="354"/>
    </row>
    <row r="3" s="327" customFormat="1" ht="18.75" customHeight="1" spans="1:13">
      <c r="A3" s="330" t="s">
        <v>5</v>
      </c>
      <c r="B3" s="330" t="s">
        <v>6</v>
      </c>
      <c r="C3" s="330" t="s">
        <v>7</v>
      </c>
      <c r="D3" s="330"/>
      <c r="E3" s="330" t="s">
        <v>9</v>
      </c>
      <c r="F3" s="330"/>
      <c r="G3" s="330" t="s">
        <v>10</v>
      </c>
      <c r="H3" s="330"/>
      <c r="I3" s="330" t="s">
        <v>11</v>
      </c>
      <c r="J3" s="330"/>
      <c r="K3" s="330"/>
      <c r="L3" s="330"/>
      <c r="M3" s="330"/>
    </row>
    <row r="4" s="327" customFormat="1" ht="27" spans="1:13">
      <c r="A4" s="330"/>
      <c r="B4" s="330"/>
      <c r="C4" s="330"/>
      <c r="D4" s="330"/>
      <c r="E4" s="330"/>
      <c r="F4" s="330"/>
      <c r="G4" s="330" t="s">
        <v>12</v>
      </c>
      <c r="H4" s="330" t="s">
        <v>13</v>
      </c>
      <c r="I4" s="330" t="s">
        <v>14</v>
      </c>
      <c r="J4" s="330"/>
      <c r="K4" s="330" t="s">
        <v>15</v>
      </c>
      <c r="L4" s="330"/>
      <c r="M4" s="330" t="s">
        <v>16</v>
      </c>
    </row>
    <row r="5" s="327" customFormat="1" ht="18" customHeight="1" spans="1:13">
      <c r="A5" s="330"/>
      <c r="B5" s="330">
        <v>1</v>
      </c>
      <c r="C5" s="330" t="s">
        <v>17</v>
      </c>
      <c r="D5" s="330"/>
      <c r="E5" s="330" t="s">
        <v>64</v>
      </c>
      <c r="F5" s="330"/>
      <c r="G5" s="345" t="s">
        <v>65</v>
      </c>
      <c r="H5" s="330">
        <v>30</v>
      </c>
      <c r="I5" s="330">
        <v>30</v>
      </c>
      <c r="J5" s="330"/>
      <c r="K5" s="330">
        <v>30</v>
      </c>
      <c r="L5" s="330"/>
      <c r="M5" s="355">
        <v>30</v>
      </c>
    </row>
    <row r="6" s="327" customFormat="1" ht="18" customHeight="1" spans="1:13">
      <c r="A6" s="330"/>
      <c r="B6" s="331"/>
      <c r="C6" s="330"/>
      <c r="D6" s="330"/>
      <c r="E6" s="330"/>
      <c r="F6" s="330"/>
      <c r="G6" s="345" t="s">
        <v>66</v>
      </c>
      <c r="H6" s="330">
        <v>20</v>
      </c>
      <c r="I6" s="330"/>
      <c r="J6" s="330"/>
      <c r="K6" s="330"/>
      <c r="L6" s="330"/>
      <c r="M6" s="355"/>
    </row>
    <row r="7" s="327" customFormat="1" ht="18" customHeight="1" spans="1:13">
      <c r="A7" s="330"/>
      <c r="B7" s="331"/>
      <c r="C7" s="330"/>
      <c r="D7" s="330"/>
      <c r="E7" s="330"/>
      <c r="F7" s="330"/>
      <c r="G7" s="345" t="s">
        <v>67</v>
      </c>
      <c r="H7" s="330">
        <v>15</v>
      </c>
      <c r="I7" s="330"/>
      <c r="J7" s="330"/>
      <c r="K7" s="330"/>
      <c r="L7" s="330"/>
      <c r="M7" s="355"/>
    </row>
    <row r="8" s="327" customFormat="1" ht="18" customHeight="1" spans="1:13">
      <c r="A8" s="330"/>
      <c r="B8" s="332"/>
      <c r="C8" s="333"/>
      <c r="D8" s="333"/>
      <c r="E8" s="333"/>
      <c r="F8" s="333"/>
      <c r="G8" s="346" t="s">
        <v>68</v>
      </c>
      <c r="H8" s="333">
        <v>0</v>
      </c>
      <c r="I8" s="333"/>
      <c r="J8" s="333"/>
      <c r="K8" s="333"/>
      <c r="L8" s="333"/>
      <c r="M8" s="356"/>
    </row>
    <row r="9" s="327" customFormat="1" ht="18" customHeight="1" spans="1:13">
      <c r="A9" s="334"/>
      <c r="B9" s="330">
        <v>2</v>
      </c>
      <c r="C9" s="330" t="s">
        <v>69</v>
      </c>
      <c r="D9" s="330"/>
      <c r="E9" s="347" t="s">
        <v>70</v>
      </c>
      <c r="F9" s="347"/>
      <c r="G9" s="345" t="s">
        <v>71</v>
      </c>
      <c r="H9" s="330">
        <v>30</v>
      </c>
      <c r="I9" s="330">
        <v>10</v>
      </c>
      <c r="J9" s="330"/>
      <c r="K9" s="330">
        <v>10</v>
      </c>
      <c r="L9" s="330"/>
      <c r="M9" s="355">
        <v>10</v>
      </c>
    </row>
    <row r="10" s="327" customFormat="1" ht="18" customHeight="1" spans="1:13">
      <c r="A10" s="334"/>
      <c r="B10" s="330"/>
      <c r="C10" s="330"/>
      <c r="D10" s="330"/>
      <c r="E10" s="347"/>
      <c r="F10" s="347"/>
      <c r="G10" s="345" t="s">
        <v>72</v>
      </c>
      <c r="H10" s="330">
        <v>20</v>
      </c>
      <c r="I10" s="330"/>
      <c r="J10" s="330"/>
      <c r="K10" s="330"/>
      <c r="L10" s="330"/>
      <c r="M10" s="355"/>
    </row>
    <row r="11" s="327" customFormat="1" ht="18" customHeight="1" spans="1:13">
      <c r="A11" s="334"/>
      <c r="B11" s="330"/>
      <c r="C11" s="330"/>
      <c r="D11" s="330"/>
      <c r="E11" s="347"/>
      <c r="F11" s="347"/>
      <c r="G11" s="345" t="s">
        <v>73</v>
      </c>
      <c r="H11" s="330">
        <v>5</v>
      </c>
      <c r="I11" s="330"/>
      <c r="J11" s="330"/>
      <c r="K11" s="330"/>
      <c r="L11" s="330"/>
      <c r="M11" s="355"/>
    </row>
    <row r="12" s="327" customFormat="1" ht="18" customHeight="1" spans="1:13">
      <c r="A12" s="334"/>
      <c r="B12" s="330"/>
      <c r="C12" s="333"/>
      <c r="D12" s="333"/>
      <c r="E12" s="347"/>
      <c r="F12" s="347"/>
      <c r="G12" s="345" t="s">
        <v>74</v>
      </c>
      <c r="H12" s="330">
        <v>0</v>
      </c>
      <c r="I12" s="330"/>
      <c r="J12" s="330"/>
      <c r="K12" s="330"/>
      <c r="L12" s="330"/>
      <c r="M12" s="355"/>
    </row>
    <row r="13" s="327" customFormat="1" ht="18" customHeight="1" spans="1:13">
      <c r="A13" s="334"/>
      <c r="B13" s="330">
        <v>3</v>
      </c>
      <c r="C13" s="330" t="s">
        <v>75</v>
      </c>
      <c r="D13" s="330"/>
      <c r="E13" s="347" t="s">
        <v>76</v>
      </c>
      <c r="F13" s="347"/>
      <c r="G13" s="345" t="s">
        <v>77</v>
      </c>
      <c r="H13" s="330">
        <v>20</v>
      </c>
      <c r="I13" s="330">
        <v>20</v>
      </c>
      <c r="J13" s="330"/>
      <c r="K13" s="330">
        <v>20</v>
      </c>
      <c r="L13" s="330"/>
      <c r="M13" s="355">
        <v>20</v>
      </c>
    </row>
    <row r="14" s="327" customFormat="1" ht="18" customHeight="1" spans="1:13">
      <c r="A14" s="334"/>
      <c r="B14" s="330"/>
      <c r="C14" s="330"/>
      <c r="D14" s="330"/>
      <c r="E14" s="347"/>
      <c r="F14" s="347"/>
      <c r="G14" s="345" t="s">
        <v>78</v>
      </c>
      <c r="H14" s="330">
        <v>10</v>
      </c>
      <c r="I14" s="330"/>
      <c r="J14" s="330"/>
      <c r="K14" s="330"/>
      <c r="L14" s="330"/>
      <c r="M14" s="355"/>
    </row>
    <row r="15" s="327" customFormat="1" ht="18" customHeight="1" spans="1:13">
      <c r="A15" s="334"/>
      <c r="B15" s="330"/>
      <c r="C15" s="330"/>
      <c r="D15" s="330"/>
      <c r="E15" s="347"/>
      <c r="F15" s="347"/>
      <c r="G15" s="345" t="s">
        <v>79</v>
      </c>
      <c r="H15" s="330">
        <v>0</v>
      </c>
      <c r="I15" s="330"/>
      <c r="J15" s="330"/>
      <c r="K15" s="330"/>
      <c r="L15" s="330"/>
      <c r="M15" s="355"/>
    </row>
    <row r="16" s="327" customFormat="1" ht="18" customHeight="1" spans="1:13">
      <c r="A16" s="334"/>
      <c r="B16" s="335">
        <v>4</v>
      </c>
      <c r="C16" s="335" t="s">
        <v>80</v>
      </c>
      <c r="D16" s="335"/>
      <c r="E16" s="347" t="s">
        <v>81</v>
      </c>
      <c r="F16" s="347"/>
      <c r="G16" s="345" t="s">
        <v>82</v>
      </c>
      <c r="H16" s="335">
        <v>20</v>
      </c>
      <c r="I16" s="353">
        <v>5</v>
      </c>
      <c r="J16" s="353"/>
      <c r="K16" s="353">
        <v>5</v>
      </c>
      <c r="L16" s="353"/>
      <c r="M16" s="357">
        <f>MIN(I16,K16)</f>
        <v>5</v>
      </c>
    </row>
    <row r="17" s="327" customFormat="1" ht="18" customHeight="1" spans="1:13">
      <c r="A17" s="334"/>
      <c r="B17" s="335"/>
      <c r="C17" s="335"/>
      <c r="D17" s="335"/>
      <c r="E17" s="347"/>
      <c r="F17" s="347"/>
      <c r="G17" s="345" t="s">
        <v>72</v>
      </c>
      <c r="H17" s="335">
        <v>15</v>
      </c>
      <c r="I17" s="353"/>
      <c r="J17" s="353"/>
      <c r="K17" s="353"/>
      <c r="L17" s="353"/>
      <c r="M17" s="357"/>
    </row>
    <row r="18" s="328" customFormat="1" ht="18" customHeight="1" spans="1:13">
      <c r="A18" s="334"/>
      <c r="B18" s="335"/>
      <c r="C18" s="335"/>
      <c r="D18" s="335"/>
      <c r="E18" s="347"/>
      <c r="F18" s="347"/>
      <c r="G18" s="345" t="s">
        <v>73</v>
      </c>
      <c r="H18" s="335">
        <v>5</v>
      </c>
      <c r="I18" s="353"/>
      <c r="J18" s="353"/>
      <c r="K18" s="353"/>
      <c r="L18" s="353"/>
      <c r="M18" s="357"/>
    </row>
    <row r="19" s="328" customFormat="1" ht="18" customHeight="1" spans="1:13">
      <c r="A19" s="334"/>
      <c r="B19" s="335"/>
      <c r="C19" s="335"/>
      <c r="D19" s="335"/>
      <c r="E19" s="347"/>
      <c r="F19" s="347"/>
      <c r="G19" s="345" t="s">
        <v>74</v>
      </c>
      <c r="H19" s="330">
        <v>0</v>
      </c>
      <c r="I19" s="353"/>
      <c r="J19" s="353"/>
      <c r="K19" s="353"/>
      <c r="L19" s="353"/>
      <c r="M19" s="357"/>
    </row>
    <row r="20" s="328" customFormat="1" ht="18" customHeight="1" spans="1:13">
      <c r="A20" s="334"/>
      <c r="B20" s="336" t="s">
        <v>28</v>
      </c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58">
        <f>SUM(M5:M19)</f>
        <v>65</v>
      </c>
    </row>
    <row r="21" s="328" customFormat="1" ht="18" customHeight="1" spans="1:13">
      <c r="A21" s="334" t="s">
        <v>29</v>
      </c>
      <c r="B21" s="330" t="s">
        <v>6</v>
      </c>
      <c r="C21" s="330" t="s">
        <v>7</v>
      </c>
      <c r="D21" s="330"/>
      <c r="E21" s="330" t="s">
        <v>30</v>
      </c>
      <c r="F21" s="330"/>
      <c r="G21" s="330" t="s">
        <v>10</v>
      </c>
      <c r="H21" s="330"/>
      <c r="I21" s="330" t="s">
        <v>11</v>
      </c>
      <c r="J21" s="330"/>
      <c r="K21" s="330"/>
      <c r="L21" s="330"/>
      <c r="M21" s="330"/>
    </row>
    <row r="22" s="327" customFormat="1" ht="25.5" customHeight="1" spans="1:13">
      <c r="A22" s="334"/>
      <c r="B22" s="330"/>
      <c r="C22" s="330"/>
      <c r="D22" s="330"/>
      <c r="E22" s="330"/>
      <c r="F22" s="330"/>
      <c r="G22" s="330" t="s">
        <v>12</v>
      </c>
      <c r="H22" s="330" t="s">
        <v>13</v>
      </c>
      <c r="I22" s="330" t="s">
        <v>14</v>
      </c>
      <c r="J22" s="330"/>
      <c r="K22" s="330" t="s">
        <v>15</v>
      </c>
      <c r="L22" s="330"/>
      <c r="M22" s="330" t="s">
        <v>16</v>
      </c>
    </row>
    <row r="23" s="327" customFormat="1" ht="18" customHeight="1" spans="1:13">
      <c r="A23" s="334"/>
      <c r="B23" s="335">
        <v>1</v>
      </c>
      <c r="C23" s="335" t="s">
        <v>31</v>
      </c>
      <c r="D23" s="335"/>
      <c r="E23" s="348" t="s">
        <v>32</v>
      </c>
      <c r="F23" s="348"/>
      <c r="G23" s="349" t="s">
        <v>83</v>
      </c>
      <c r="H23" s="335">
        <v>30</v>
      </c>
      <c r="I23" s="353">
        <v>40</v>
      </c>
      <c r="J23" s="353"/>
      <c r="K23" s="353">
        <v>30</v>
      </c>
      <c r="L23" s="353"/>
      <c r="M23" s="357">
        <v>30</v>
      </c>
    </row>
    <row r="24" s="327" customFormat="1" ht="18" customHeight="1" spans="1:13">
      <c r="A24" s="334"/>
      <c r="B24" s="335"/>
      <c r="C24" s="335"/>
      <c r="D24" s="335"/>
      <c r="E24" s="348"/>
      <c r="F24" s="348"/>
      <c r="G24" s="349" t="s">
        <v>34</v>
      </c>
      <c r="H24" s="335">
        <v>20</v>
      </c>
      <c r="I24" s="353"/>
      <c r="J24" s="353"/>
      <c r="K24" s="353"/>
      <c r="L24" s="353"/>
      <c r="M24" s="357"/>
    </row>
    <row r="25" s="328" customFormat="1" ht="18" customHeight="1" spans="1:13">
      <c r="A25" s="334"/>
      <c r="B25" s="335"/>
      <c r="C25" s="335"/>
      <c r="D25" s="335"/>
      <c r="E25" s="348"/>
      <c r="F25" s="348"/>
      <c r="G25" s="349" t="s">
        <v>35</v>
      </c>
      <c r="H25" s="335">
        <v>15</v>
      </c>
      <c r="I25" s="353"/>
      <c r="J25" s="353"/>
      <c r="K25" s="353"/>
      <c r="L25" s="353"/>
      <c r="M25" s="357"/>
    </row>
    <row r="26" s="328" customFormat="1" ht="18" customHeight="1" spans="1:13">
      <c r="A26" s="334"/>
      <c r="B26" s="335"/>
      <c r="C26" s="335"/>
      <c r="D26" s="335"/>
      <c r="E26" s="348"/>
      <c r="F26" s="348"/>
      <c r="G26" s="349" t="s">
        <v>36</v>
      </c>
      <c r="H26" s="335">
        <v>0</v>
      </c>
      <c r="I26" s="353"/>
      <c r="J26" s="353"/>
      <c r="K26" s="353"/>
      <c r="L26" s="353"/>
      <c r="M26" s="357"/>
    </row>
    <row r="27" s="328" customFormat="1" ht="18" customHeight="1" spans="1:13">
      <c r="A27" s="334"/>
      <c r="B27" s="330">
        <v>2</v>
      </c>
      <c r="C27" s="330" t="s">
        <v>37</v>
      </c>
      <c r="D27" s="330"/>
      <c r="E27" s="350" t="s">
        <v>38</v>
      </c>
      <c r="F27" s="350"/>
      <c r="G27" s="349" t="s">
        <v>39</v>
      </c>
      <c r="H27" s="330">
        <v>30</v>
      </c>
      <c r="I27" s="330">
        <v>30</v>
      </c>
      <c r="J27" s="330"/>
      <c r="K27" s="330">
        <v>20</v>
      </c>
      <c r="L27" s="330"/>
      <c r="M27" s="355">
        <f>MIN(I27,K27)</f>
        <v>20</v>
      </c>
    </row>
    <row r="28" s="328" customFormat="1" ht="18" customHeight="1" spans="1:13">
      <c r="A28" s="334"/>
      <c r="B28" s="330"/>
      <c r="C28" s="330"/>
      <c r="D28" s="330"/>
      <c r="E28" s="350"/>
      <c r="F28" s="350"/>
      <c r="G28" s="349" t="s">
        <v>40</v>
      </c>
      <c r="H28" s="330">
        <v>15</v>
      </c>
      <c r="I28" s="330"/>
      <c r="J28" s="330"/>
      <c r="K28" s="330"/>
      <c r="L28" s="330"/>
      <c r="M28" s="355"/>
    </row>
    <row r="29" s="328" customFormat="1" ht="18" customHeight="1" spans="1:13">
      <c r="A29" s="334"/>
      <c r="B29" s="330"/>
      <c r="C29" s="330"/>
      <c r="D29" s="330"/>
      <c r="E29" s="350"/>
      <c r="F29" s="350"/>
      <c r="G29" s="349" t="s">
        <v>41</v>
      </c>
      <c r="H29" s="330">
        <v>5</v>
      </c>
      <c r="I29" s="330"/>
      <c r="J29" s="330"/>
      <c r="K29" s="330"/>
      <c r="L29" s="330"/>
      <c r="M29" s="355"/>
    </row>
    <row r="30" s="327" customFormat="1" ht="18" customHeight="1" spans="1:13">
      <c r="A30" s="334"/>
      <c r="B30" s="330"/>
      <c r="C30" s="330"/>
      <c r="D30" s="330"/>
      <c r="E30" s="350"/>
      <c r="F30" s="350"/>
      <c r="G30" s="351" t="s">
        <v>84</v>
      </c>
      <c r="H30" s="330">
        <v>0</v>
      </c>
      <c r="I30" s="330"/>
      <c r="J30" s="330"/>
      <c r="K30" s="330"/>
      <c r="L30" s="330"/>
      <c r="M30" s="355"/>
    </row>
    <row r="31" s="327" customFormat="1" ht="18" customHeight="1" spans="1:13">
      <c r="A31" s="334"/>
      <c r="B31" s="330">
        <v>3</v>
      </c>
      <c r="C31" s="330" t="s">
        <v>85</v>
      </c>
      <c r="D31" s="330"/>
      <c r="E31" s="350" t="s">
        <v>43</v>
      </c>
      <c r="F31" s="350"/>
      <c r="G31" s="352" t="s">
        <v>86</v>
      </c>
      <c r="H31" s="330">
        <v>20</v>
      </c>
      <c r="I31" s="330">
        <v>20</v>
      </c>
      <c r="J31" s="330"/>
      <c r="K31" s="330">
        <v>20</v>
      </c>
      <c r="L31" s="330"/>
      <c r="M31" s="355">
        <f>MIN(I31,K31)</f>
        <v>20</v>
      </c>
    </row>
    <row r="32" s="327" customFormat="1" ht="18" customHeight="1" spans="1:13">
      <c r="A32" s="334"/>
      <c r="B32" s="330"/>
      <c r="C32" s="330"/>
      <c r="D32" s="330"/>
      <c r="E32" s="350"/>
      <c r="F32" s="350"/>
      <c r="G32" s="352" t="s">
        <v>87</v>
      </c>
      <c r="H32" s="330">
        <v>10</v>
      </c>
      <c r="I32" s="330"/>
      <c r="J32" s="330"/>
      <c r="K32" s="330"/>
      <c r="L32" s="330"/>
      <c r="M32" s="355"/>
    </row>
    <row r="33" s="327" customFormat="1" ht="18" customHeight="1" spans="1:13">
      <c r="A33" s="334"/>
      <c r="B33" s="330"/>
      <c r="C33" s="330"/>
      <c r="D33" s="330"/>
      <c r="E33" s="350"/>
      <c r="F33" s="350"/>
      <c r="G33" s="352" t="s">
        <v>88</v>
      </c>
      <c r="H33" s="330">
        <v>0</v>
      </c>
      <c r="I33" s="330"/>
      <c r="J33" s="330"/>
      <c r="K33" s="330"/>
      <c r="L33" s="330"/>
      <c r="M33" s="355"/>
    </row>
    <row r="34" s="327" customFormat="1" ht="18" customHeight="1" spans="1:13">
      <c r="A34" s="334"/>
      <c r="B34" s="330">
        <v>4</v>
      </c>
      <c r="C34" s="330" t="s">
        <v>89</v>
      </c>
      <c r="D34" s="330"/>
      <c r="E34" s="350" t="s">
        <v>90</v>
      </c>
      <c r="F34" s="350"/>
      <c r="G34" s="352" t="s">
        <v>91</v>
      </c>
      <c r="H34" s="330">
        <v>20</v>
      </c>
      <c r="I34" s="330">
        <v>10</v>
      </c>
      <c r="J34" s="330"/>
      <c r="K34" s="330">
        <v>5</v>
      </c>
      <c r="L34" s="330"/>
      <c r="M34" s="355">
        <v>5</v>
      </c>
    </row>
    <row r="35" s="327" customFormat="1" ht="18" customHeight="1" spans="1:13">
      <c r="A35" s="334"/>
      <c r="B35" s="330"/>
      <c r="C35" s="330"/>
      <c r="D35" s="330"/>
      <c r="E35" s="350"/>
      <c r="F35" s="350"/>
      <c r="G35" s="352" t="s">
        <v>92</v>
      </c>
      <c r="H35" s="330">
        <v>10</v>
      </c>
      <c r="I35" s="330"/>
      <c r="J35" s="330"/>
      <c r="K35" s="330"/>
      <c r="L35" s="330"/>
      <c r="M35" s="355"/>
    </row>
    <row r="36" s="327" customFormat="1" ht="18" customHeight="1" spans="1:13">
      <c r="A36" s="334"/>
      <c r="B36" s="330"/>
      <c r="C36" s="330"/>
      <c r="D36" s="330"/>
      <c r="E36" s="350"/>
      <c r="F36" s="350"/>
      <c r="G36" s="352" t="s">
        <v>93</v>
      </c>
      <c r="H36" s="330">
        <v>0</v>
      </c>
      <c r="I36" s="330"/>
      <c r="J36" s="330"/>
      <c r="K36" s="330"/>
      <c r="L36" s="330"/>
      <c r="M36" s="355"/>
    </row>
    <row r="37" s="327" customFormat="1" ht="18" customHeight="1" spans="1:13">
      <c r="A37" s="330"/>
      <c r="B37" s="337" t="s">
        <v>47</v>
      </c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59">
        <f>SUM(M23:M36)</f>
        <v>75</v>
      </c>
    </row>
    <row r="38" s="327" customFormat="1" ht="18" customHeight="1" spans="1:13">
      <c r="A38" s="330" t="s">
        <v>54</v>
      </c>
      <c r="B38" s="338" t="s">
        <v>94</v>
      </c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60"/>
    </row>
    <row r="39" s="327" customFormat="1" ht="19.5" customHeight="1" spans="1:13">
      <c r="A39" s="335" t="s">
        <v>56</v>
      </c>
      <c r="B39" s="339" t="s">
        <v>57</v>
      </c>
      <c r="C39" s="340"/>
      <c r="D39" s="340"/>
      <c r="E39" s="340"/>
      <c r="F39" s="340"/>
      <c r="G39" s="340"/>
      <c r="H39" s="340"/>
      <c r="I39" s="340"/>
      <c r="J39" s="340"/>
      <c r="K39" s="340"/>
      <c r="L39" s="340"/>
      <c r="M39" s="361"/>
    </row>
    <row r="40" s="327" customFormat="1" ht="21.75" customHeight="1" spans="1:13">
      <c r="A40" s="335"/>
      <c r="B40" s="339" t="s">
        <v>58</v>
      </c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61"/>
    </row>
    <row r="41" s="328" customFormat="1" ht="21.75" customHeight="1" spans="1:14">
      <c r="A41" s="341" t="s">
        <v>95</v>
      </c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  <c r="M41" s="341"/>
      <c r="N41" s="362"/>
    </row>
    <row r="42" s="328" customFormat="1" ht="48.75" customHeight="1" spans="1:14">
      <c r="A42" s="342" t="s">
        <v>96</v>
      </c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62"/>
    </row>
    <row r="43" s="327" customFormat="1" ht="30.75" customHeight="1" spans="1:14">
      <c r="A43" s="342" t="s">
        <v>97</v>
      </c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63"/>
    </row>
    <row r="44" s="327" customFormat="1" spans="1:14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63"/>
    </row>
    <row r="45" s="327" customFormat="1" ht="96.75" customHeight="1" spans="1:14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63"/>
    </row>
    <row r="46" s="327" customFormat="1" spans="13:13">
      <c r="M46" s="364"/>
    </row>
  </sheetData>
  <sheetProtection formatCells="0" insertHyperlinks="0" autoFilter="0"/>
  <mergeCells count="75">
    <mergeCell ref="A1:M1"/>
    <mergeCell ref="B2:D2"/>
    <mergeCell ref="G3:H3"/>
    <mergeCell ref="I3:M3"/>
    <mergeCell ref="I4:J4"/>
    <mergeCell ref="K4:L4"/>
    <mergeCell ref="B20:L20"/>
    <mergeCell ref="G21:H21"/>
    <mergeCell ref="I21:M21"/>
    <mergeCell ref="I22:J22"/>
    <mergeCell ref="K22:L22"/>
    <mergeCell ref="B37:L37"/>
    <mergeCell ref="B38:L38"/>
    <mergeCell ref="B39:M39"/>
    <mergeCell ref="B40:M40"/>
    <mergeCell ref="A41:M41"/>
    <mergeCell ref="A42:M42"/>
    <mergeCell ref="A3:A20"/>
    <mergeCell ref="A21:A37"/>
    <mergeCell ref="A39:A40"/>
    <mergeCell ref="B3:B4"/>
    <mergeCell ref="B5:B8"/>
    <mergeCell ref="B9:B12"/>
    <mergeCell ref="B13:B15"/>
    <mergeCell ref="B16:B19"/>
    <mergeCell ref="B21:B22"/>
    <mergeCell ref="B23:B26"/>
    <mergeCell ref="B27:B30"/>
    <mergeCell ref="B31:B33"/>
    <mergeCell ref="B34:B36"/>
    <mergeCell ref="M5:M8"/>
    <mergeCell ref="M9:M12"/>
    <mergeCell ref="M13:M15"/>
    <mergeCell ref="M16:M19"/>
    <mergeCell ref="M23:M26"/>
    <mergeCell ref="M27:M30"/>
    <mergeCell ref="M31:M33"/>
    <mergeCell ref="M34:M36"/>
    <mergeCell ref="C3:D4"/>
    <mergeCell ref="E3:F4"/>
    <mergeCell ref="C5:D8"/>
    <mergeCell ref="E5:F8"/>
    <mergeCell ref="I5:J8"/>
    <mergeCell ref="K5:L8"/>
    <mergeCell ref="C9:D12"/>
    <mergeCell ref="E9:F12"/>
    <mergeCell ref="I9:J12"/>
    <mergeCell ref="K9:L12"/>
    <mergeCell ref="C13:D15"/>
    <mergeCell ref="E13:F15"/>
    <mergeCell ref="I13:J15"/>
    <mergeCell ref="K13:L15"/>
    <mergeCell ref="C16:D19"/>
    <mergeCell ref="E16:F19"/>
    <mergeCell ref="I16:J19"/>
    <mergeCell ref="K16:L19"/>
    <mergeCell ref="C21:D22"/>
    <mergeCell ref="E21:F22"/>
    <mergeCell ref="C23:D26"/>
    <mergeCell ref="E23:F26"/>
    <mergeCell ref="I23:J26"/>
    <mergeCell ref="K23:L26"/>
    <mergeCell ref="C27:D30"/>
    <mergeCell ref="E27:F30"/>
    <mergeCell ref="I27:J30"/>
    <mergeCell ref="K27:L30"/>
    <mergeCell ref="C31:D33"/>
    <mergeCell ref="E31:F33"/>
    <mergeCell ref="I31:J33"/>
    <mergeCell ref="K31:L33"/>
    <mergeCell ref="C34:D36"/>
    <mergeCell ref="E34:F36"/>
    <mergeCell ref="I34:J36"/>
    <mergeCell ref="K34:L36"/>
    <mergeCell ref="A43:M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topLeftCell="A3" workbookViewId="0">
      <selection activeCell="H22" sqref="H22"/>
    </sheetView>
  </sheetViews>
  <sheetFormatPr defaultColWidth="9" defaultRowHeight="13.5"/>
  <cols>
    <col min="1" max="1" width="14" style="291" customWidth="1"/>
    <col min="2" max="2" width="23.25" style="291" customWidth="1"/>
    <col min="3" max="3" width="11.75" style="291" customWidth="1"/>
    <col min="4" max="4" width="21.75" style="291" customWidth="1"/>
    <col min="5" max="6" width="9" style="291"/>
    <col min="7" max="7" width="14" style="291" customWidth="1"/>
    <col min="8" max="8" width="18" style="291" customWidth="1"/>
    <col min="9" max="9" width="13.25" style="291" customWidth="1"/>
    <col min="10" max="10" width="9" style="291"/>
    <col min="11" max="11" width="17" style="291" customWidth="1"/>
    <col min="12" max="22" width="9" style="291"/>
    <col min="23" max="23" width="17.375" style="291" customWidth="1"/>
    <col min="24" max="16384" width="9" style="291"/>
  </cols>
  <sheetData>
    <row r="1" s="291" customFormat="1" ht="66" customHeight="1" spans="1:23">
      <c r="A1" s="292" t="s">
        <v>98</v>
      </c>
      <c r="B1" s="293"/>
      <c r="C1" s="293"/>
      <c r="D1" s="294"/>
      <c r="E1" s="302"/>
      <c r="F1" s="302"/>
      <c r="G1" s="303"/>
      <c r="H1" s="294"/>
      <c r="I1" s="305"/>
      <c r="J1" s="306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320"/>
      <c r="W1" s="320"/>
    </row>
    <row r="2" s="291" customFormat="1" ht="54" customHeight="1" spans="1:26">
      <c r="A2" s="295" t="s">
        <v>99</v>
      </c>
      <c r="B2" s="295" t="s">
        <v>100</v>
      </c>
      <c r="C2" s="296" t="s">
        <v>101</v>
      </c>
      <c r="D2" s="296" t="s">
        <v>102</v>
      </c>
      <c r="E2" s="296" t="s">
        <v>103</v>
      </c>
      <c r="F2" s="296" t="s">
        <v>104</v>
      </c>
      <c r="G2" s="296" t="s">
        <v>105</v>
      </c>
      <c r="H2" s="296" t="s">
        <v>106</v>
      </c>
      <c r="I2" s="296" t="s">
        <v>107</v>
      </c>
      <c r="J2" s="296" t="s">
        <v>108</v>
      </c>
      <c r="K2" s="296" t="s">
        <v>109</v>
      </c>
      <c r="L2" s="296" t="s">
        <v>110</v>
      </c>
      <c r="M2" s="296" t="s">
        <v>111</v>
      </c>
      <c r="N2" s="296" t="s">
        <v>112</v>
      </c>
      <c r="O2" s="308" t="s">
        <v>113</v>
      </c>
      <c r="P2" s="308" t="s">
        <v>114</v>
      </c>
      <c r="Q2" s="308" t="s">
        <v>115</v>
      </c>
      <c r="R2" s="308" t="s">
        <v>116</v>
      </c>
      <c r="S2" s="316" t="s">
        <v>117</v>
      </c>
      <c r="T2" s="316" t="s">
        <v>114</v>
      </c>
      <c r="U2" s="316" t="s">
        <v>115</v>
      </c>
      <c r="V2" s="316" t="s">
        <v>116</v>
      </c>
      <c r="W2" s="321" t="s">
        <v>118</v>
      </c>
      <c r="X2" s="321" t="s">
        <v>114</v>
      </c>
      <c r="Y2" s="321" t="s">
        <v>115</v>
      </c>
      <c r="Z2" s="321" t="s">
        <v>116</v>
      </c>
    </row>
    <row r="3" s="291" customFormat="1" ht="64" customHeight="1" spans="1:26">
      <c r="A3" s="297" t="s">
        <v>119</v>
      </c>
      <c r="B3" s="298" t="s">
        <v>120</v>
      </c>
      <c r="C3" s="299" t="s">
        <v>53</v>
      </c>
      <c r="D3" s="300" t="s">
        <v>121</v>
      </c>
      <c r="E3" s="304" t="s">
        <v>122</v>
      </c>
      <c r="F3" s="304" t="s">
        <v>123</v>
      </c>
      <c r="G3" s="304" t="s">
        <v>124</v>
      </c>
      <c r="H3" s="304" t="s">
        <v>125</v>
      </c>
      <c r="I3" s="304" t="s">
        <v>123</v>
      </c>
      <c r="J3" s="304" t="s">
        <v>126</v>
      </c>
      <c r="K3" s="304" t="s">
        <v>127</v>
      </c>
      <c r="L3" s="307" t="s">
        <v>123</v>
      </c>
      <c r="M3" s="304" t="s">
        <v>128</v>
      </c>
      <c r="N3" s="309">
        <v>0.1429</v>
      </c>
      <c r="O3" s="310" t="s">
        <v>129</v>
      </c>
      <c r="P3" s="311">
        <v>2.75</v>
      </c>
      <c r="Q3" s="317" t="s">
        <v>130</v>
      </c>
      <c r="R3" s="317" t="s">
        <v>131</v>
      </c>
      <c r="S3" s="318" t="s">
        <v>132</v>
      </c>
      <c r="T3" s="319">
        <v>2.78</v>
      </c>
      <c r="U3" s="322" t="s">
        <v>133</v>
      </c>
      <c r="V3" s="322" t="s">
        <v>134</v>
      </c>
      <c r="W3" s="323"/>
      <c r="X3" s="323"/>
      <c r="Y3" s="323"/>
      <c r="Z3" s="323"/>
    </row>
    <row r="4" s="291" customFormat="1" ht="64" customHeight="1" spans="1:26">
      <c r="A4" s="297" t="s">
        <v>135</v>
      </c>
      <c r="B4" s="298" t="s">
        <v>136</v>
      </c>
      <c r="C4" s="299" t="s">
        <v>53</v>
      </c>
      <c r="D4" s="300" t="s">
        <v>137</v>
      </c>
      <c r="E4" s="304" t="s">
        <v>122</v>
      </c>
      <c r="F4" s="304" t="s">
        <v>138</v>
      </c>
      <c r="G4" s="304" t="s">
        <v>139</v>
      </c>
      <c r="H4" s="304" t="s">
        <v>125</v>
      </c>
      <c r="I4" s="304" t="s">
        <v>123</v>
      </c>
      <c r="J4" s="304" t="s">
        <v>126</v>
      </c>
      <c r="K4" s="304" t="s">
        <v>127</v>
      </c>
      <c r="L4" s="307" t="s">
        <v>123</v>
      </c>
      <c r="M4" s="304" t="s">
        <v>140</v>
      </c>
      <c r="N4" s="312" t="s">
        <v>141</v>
      </c>
      <c r="O4" s="310" t="s">
        <v>129</v>
      </c>
      <c r="P4" s="311">
        <v>2.75</v>
      </c>
      <c r="Q4" s="317"/>
      <c r="R4" s="317" t="s">
        <v>142</v>
      </c>
      <c r="S4" s="318" t="s">
        <v>132</v>
      </c>
      <c r="T4" s="319">
        <v>2.78</v>
      </c>
      <c r="U4" s="322"/>
      <c r="V4" s="322" t="s">
        <v>143</v>
      </c>
      <c r="W4" s="323"/>
      <c r="X4" s="323"/>
      <c r="Y4" s="323"/>
      <c r="Z4" s="323"/>
    </row>
    <row r="5" s="291" customFormat="1" ht="127" customHeight="1" spans="1:26">
      <c r="A5" s="297" t="s">
        <v>144</v>
      </c>
      <c r="B5" s="298" t="s">
        <v>145</v>
      </c>
      <c r="C5" s="299"/>
      <c r="D5" s="300" t="s">
        <v>146</v>
      </c>
      <c r="E5" s="304" t="s">
        <v>122</v>
      </c>
      <c r="F5" s="304" t="s">
        <v>147</v>
      </c>
      <c r="G5" s="304" t="s">
        <v>148</v>
      </c>
      <c r="H5" s="304" t="s">
        <v>125</v>
      </c>
      <c r="I5" s="304" t="s">
        <v>123</v>
      </c>
      <c r="J5" s="304" t="s">
        <v>126</v>
      </c>
      <c r="K5" s="304" t="s">
        <v>147</v>
      </c>
      <c r="L5" s="307" t="s">
        <v>123</v>
      </c>
      <c r="M5" s="312">
        <v>27</v>
      </c>
      <c r="N5" s="312" t="s">
        <v>141</v>
      </c>
      <c r="O5" s="310" t="s">
        <v>129</v>
      </c>
      <c r="P5" s="311">
        <v>2.75</v>
      </c>
      <c r="Q5" s="317"/>
      <c r="R5" s="317" t="s">
        <v>149</v>
      </c>
      <c r="S5" s="318" t="s">
        <v>132</v>
      </c>
      <c r="T5" s="319">
        <v>2.78</v>
      </c>
      <c r="U5" s="322"/>
      <c r="V5" s="322" t="s">
        <v>150</v>
      </c>
      <c r="W5" s="323"/>
      <c r="X5" s="323"/>
      <c r="Y5" s="323"/>
      <c r="Z5" s="323"/>
    </row>
    <row r="6" s="291" customFormat="1" ht="127" customHeight="1" spans="1:26">
      <c r="A6" s="297" t="s">
        <v>151</v>
      </c>
      <c r="B6" s="298" t="s">
        <v>152</v>
      </c>
      <c r="C6" s="299"/>
      <c r="D6" s="300" t="s">
        <v>153</v>
      </c>
      <c r="E6" s="304" t="s">
        <v>122</v>
      </c>
      <c r="F6" s="304" t="s">
        <v>147</v>
      </c>
      <c r="G6" s="304" t="s">
        <v>124</v>
      </c>
      <c r="H6" s="304" t="s">
        <v>125</v>
      </c>
      <c r="I6" s="304" t="s">
        <v>123</v>
      </c>
      <c r="J6" s="304" t="s">
        <v>126</v>
      </c>
      <c r="K6" s="304" t="s">
        <v>147</v>
      </c>
      <c r="L6" s="307" t="s">
        <v>154</v>
      </c>
      <c r="M6" s="304" t="s">
        <v>155</v>
      </c>
      <c r="N6" s="313">
        <v>0.1053</v>
      </c>
      <c r="O6" s="310" t="s">
        <v>129</v>
      </c>
      <c r="P6" s="311">
        <v>2.75</v>
      </c>
      <c r="Q6" s="317" t="s">
        <v>156</v>
      </c>
      <c r="R6" s="317" t="s">
        <v>157</v>
      </c>
      <c r="S6" s="318" t="s">
        <v>132</v>
      </c>
      <c r="T6" s="319">
        <v>2.78</v>
      </c>
      <c r="U6" s="322" t="s">
        <v>133</v>
      </c>
      <c r="V6" s="322" t="s">
        <v>158</v>
      </c>
      <c r="W6" s="323"/>
      <c r="X6" s="323"/>
      <c r="Y6" s="323"/>
      <c r="Z6" s="323"/>
    </row>
    <row r="7" s="291" customFormat="1" ht="127" customHeight="1" spans="1:26">
      <c r="A7" s="297" t="s">
        <v>159</v>
      </c>
      <c r="B7" s="298" t="s">
        <v>160</v>
      </c>
      <c r="C7" s="299"/>
      <c r="D7" s="300" t="s">
        <v>161</v>
      </c>
      <c r="E7" s="304" t="s">
        <v>122</v>
      </c>
      <c r="F7" s="304" t="s">
        <v>154</v>
      </c>
      <c r="G7" s="304" t="s">
        <v>139</v>
      </c>
      <c r="H7" s="304" t="s">
        <v>125</v>
      </c>
      <c r="I7" s="304" t="s">
        <v>123</v>
      </c>
      <c r="J7" s="304" t="s">
        <v>126</v>
      </c>
      <c r="K7" s="304" t="s">
        <v>147</v>
      </c>
      <c r="L7" s="307" t="s">
        <v>154</v>
      </c>
      <c r="M7" s="312" t="s">
        <v>141</v>
      </c>
      <c r="N7" s="312" t="s">
        <v>141</v>
      </c>
      <c r="O7" s="310" t="s">
        <v>129</v>
      </c>
      <c r="P7" s="311">
        <v>2.75</v>
      </c>
      <c r="Q7" s="317" t="s">
        <v>162</v>
      </c>
      <c r="R7" s="317" t="s">
        <v>158</v>
      </c>
      <c r="S7" s="318" t="s">
        <v>132</v>
      </c>
      <c r="T7" s="319">
        <v>2.78</v>
      </c>
      <c r="U7" s="322" t="s">
        <v>163</v>
      </c>
      <c r="V7" s="322" t="s">
        <v>164</v>
      </c>
      <c r="W7" s="323"/>
      <c r="X7" s="323"/>
      <c r="Y7" s="323"/>
      <c r="Z7" s="323"/>
    </row>
    <row r="8" s="291" customFormat="1" ht="66" customHeight="1" spans="1:23">
      <c r="A8" s="292" t="s">
        <v>98</v>
      </c>
      <c r="B8" s="293"/>
      <c r="C8" s="293"/>
      <c r="D8" s="294"/>
      <c r="E8" s="302"/>
      <c r="F8" s="302"/>
      <c r="G8" s="303"/>
      <c r="H8" s="294"/>
      <c r="I8" s="305"/>
      <c r="J8" s="306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320"/>
      <c r="W8" s="320"/>
    </row>
    <row r="9" s="291" customFormat="1" ht="54" customHeight="1" spans="1:26">
      <c r="A9" s="295" t="s">
        <v>165</v>
      </c>
      <c r="B9" s="295" t="s">
        <v>100</v>
      </c>
      <c r="C9" s="296" t="s">
        <v>101</v>
      </c>
      <c r="D9" s="296" t="s">
        <v>102</v>
      </c>
      <c r="E9" s="296" t="s">
        <v>103</v>
      </c>
      <c r="F9" s="296" t="s">
        <v>104</v>
      </c>
      <c r="G9" s="296" t="s">
        <v>105</v>
      </c>
      <c r="H9" s="296" t="s">
        <v>106</v>
      </c>
      <c r="I9" s="296" t="s">
        <v>107</v>
      </c>
      <c r="J9" s="296" t="s">
        <v>108</v>
      </c>
      <c r="K9" s="296" t="s">
        <v>109</v>
      </c>
      <c r="L9" s="296" t="s">
        <v>110</v>
      </c>
      <c r="M9" s="296" t="s">
        <v>111</v>
      </c>
      <c r="N9" s="296" t="s">
        <v>112</v>
      </c>
      <c r="O9" s="308" t="s">
        <v>113</v>
      </c>
      <c r="P9" s="308" t="s">
        <v>114</v>
      </c>
      <c r="Q9" s="308" t="s">
        <v>115</v>
      </c>
      <c r="R9" s="308" t="s">
        <v>116</v>
      </c>
      <c r="S9" s="316" t="s">
        <v>117</v>
      </c>
      <c r="T9" s="316" t="s">
        <v>114</v>
      </c>
      <c r="U9" s="316" t="s">
        <v>115</v>
      </c>
      <c r="V9" s="316" t="s">
        <v>116</v>
      </c>
      <c r="W9" s="321" t="s">
        <v>118</v>
      </c>
      <c r="X9" s="321" t="s">
        <v>114</v>
      </c>
      <c r="Y9" s="321" t="s">
        <v>115</v>
      </c>
      <c r="Z9" s="321" t="s">
        <v>116</v>
      </c>
    </row>
    <row r="10" s="291" customFormat="1" ht="64" customHeight="1" spans="1:26">
      <c r="A10" s="297" t="s">
        <v>166</v>
      </c>
      <c r="B10" s="298" t="s">
        <v>167</v>
      </c>
      <c r="C10" s="299" t="s">
        <v>53</v>
      </c>
      <c r="D10" s="300" t="s">
        <v>168</v>
      </c>
      <c r="E10" s="304" t="s">
        <v>122</v>
      </c>
      <c r="F10" s="304" t="s">
        <v>127</v>
      </c>
      <c r="G10" s="304" t="s">
        <v>169</v>
      </c>
      <c r="H10" s="304" t="s">
        <v>125</v>
      </c>
      <c r="I10" s="304" t="s">
        <v>123</v>
      </c>
      <c r="J10" s="304" t="s">
        <v>126</v>
      </c>
      <c r="K10" s="304" t="s">
        <v>147</v>
      </c>
      <c r="L10" s="307" t="s">
        <v>154</v>
      </c>
      <c r="M10" s="314" t="s">
        <v>170</v>
      </c>
      <c r="N10" s="315"/>
      <c r="O10" s="310" t="s">
        <v>129</v>
      </c>
      <c r="P10" s="311">
        <v>2.75</v>
      </c>
      <c r="Q10" s="317" t="s">
        <v>171</v>
      </c>
      <c r="R10" s="317" t="s">
        <v>172</v>
      </c>
      <c r="S10" s="318" t="s">
        <v>132</v>
      </c>
      <c r="T10" s="319">
        <v>2.78</v>
      </c>
      <c r="U10" s="322" t="s">
        <v>133</v>
      </c>
      <c r="V10" s="322" t="s">
        <v>173</v>
      </c>
      <c r="W10" s="323"/>
      <c r="X10" s="323"/>
      <c r="Y10" s="323"/>
      <c r="Z10" s="323"/>
    </row>
    <row r="11" s="291" customFormat="1" ht="64" customHeight="1" spans="1:26">
      <c r="A11" s="297" t="s">
        <v>174</v>
      </c>
      <c r="B11" s="298" t="s">
        <v>175</v>
      </c>
      <c r="C11" s="299" t="s">
        <v>53</v>
      </c>
      <c r="D11" s="300" t="s">
        <v>176</v>
      </c>
      <c r="E11" s="304" t="s">
        <v>122</v>
      </c>
      <c r="F11" s="304" t="s">
        <v>138</v>
      </c>
      <c r="G11" s="304" t="s">
        <v>177</v>
      </c>
      <c r="H11" s="304" t="s">
        <v>125</v>
      </c>
      <c r="I11" s="304" t="s">
        <v>123</v>
      </c>
      <c r="J11" s="304" t="s">
        <v>126</v>
      </c>
      <c r="K11" s="304" t="s">
        <v>147</v>
      </c>
      <c r="L11" s="307" t="s">
        <v>154</v>
      </c>
      <c r="M11" s="314" t="s">
        <v>178</v>
      </c>
      <c r="N11" s="315"/>
      <c r="O11" s="310" t="s">
        <v>129</v>
      </c>
      <c r="P11" s="311">
        <v>2.75</v>
      </c>
      <c r="Q11" s="317" t="s">
        <v>179</v>
      </c>
      <c r="R11" s="317" t="s">
        <v>180</v>
      </c>
      <c r="S11" s="318" t="s">
        <v>132</v>
      </c>
      <c r="T11" s="319">
        <v>2.78</v>
      </c>
      <c r="U11" s="322" t="s">
        <v>181</v>
      </c>
      <c r="V11" s="322" t="s">
        <v>182</v>
      </c>
      <c r="W11" s="323"/>
      <c r="X11" s="323"/>
      <c r="Y11" s="323"/>
      <c r="Z11" s="323"/>
    </row>
    <row r="12" s="291" customFormat="1" ht="64" customHeight="1" spans="1:26">
      <c r="A12" s="297" t="s">
        <v>183</v>
      </c>
      <c r="B12" s="298" t="s">
        <v>184</v>
      </c>
      <c r="C12" s="299" t="s">
        <v>53</v>
      </c>
      <c r="D12" s="300" t="s">
        <v>185</v>
      </c>
      <c r="E12" s="304" t="s">
        <v>186</v>
      </c>
      <c r="F12" s="304" t="s">
        <v>127</v>
      </c>
      <c r="G12" s="304" t="s">
        <v>177</v>
      </c>
      <c r="H12" s="304" t="s">
        <v>125</v>
      </c>
      <c r="I12" s="304" t="s">
        <v>123</v>
      </c>
      <c r="J12" s="304" t="s">
        <v>126</v>
      </c>
      <c r="K12" s="304" t="s">
        <v>147</v>
      </c>
      <c r="L12" s="307" t="s">
        <v>154</v>
      </c>
      <c r="M12" s="304"/>
      <c r="N12" s="315"/>
      <c r="O12" s="310" t="s">
        <v>129</v>
      </c>
      <c r="P12" s="311">
        <v>2.75</v>
      </c>
      <c r="Q12" s="317" t="s">
        <v>187</v>
      </c>
      <c r="R12" s="317" t="s">
        <v>188</v>
      </c>
      <c r="S12" s="318" t="s">
        <v>132</v>
      </c>
      <c r="T12" s="319">
        <v>3</v>
      </c>
      <c r="U12" s="322"/>
      <c r="V12" s="322" t="s">
        <v>189</v>
      </c>
      <c r="W12" s="323"/>
      <c r="X12" s="323"/>
      <c r="Y12" s="323"/>
      <c r="Z12" s="323"/>
    </row>
    <row r="13" s="291" customFormat="1" ht="64" customHeight="1" spans="1:26">
      <c r="A13" s="297" t="s">
        <v>190</v>
      </c>
      <c r="B13" s="298" t="s">
        <v>191</v>
      </c>
      <c r="C13" s="299" t="s">
        <v>53</v>
      </c>
      <c r="D13" s="300" t="s">
        <v>192</v>
      </c>
      <c r="E13" s="304" t="s">
        <v>186</v>
      </c>
      <c r="F13" s="304" t="s">
        <v>154</v>
      </c>
      <c r="G13" s="304" t="s">
        <v>193</v>
      </c>
      <c r="H13" s="304" t="s">
        <v>125</v>
      </c>
      <c r="I13" s="304" t="s">
        <v>123</v>
      </c>
      <c r="J13" s="304" t="s">
        <v>126</v>
      </c>
      <c r="K13" s="304" t="s">
        <v>147</v>
      </c>
      <c r="L13" s="307" t="s">
        <v>154</v>
      </c>
      <c r="M13" s="304"/>
      <c r="N13" s="315"/>
      <c r="O13" s="310" t="s">
        <v>129</v>
      </c>
      <c r="P13" s="311">
        <v>2.75</v>
      </c>
      <c r="Q13" s="317" t="s">
        <v>194</v>
      </c>
      <c r="R13" s="317" t="s">
        <v>188</v>
      </c>
      <c r="S13" s="318" t="s">
        <v>132</v>
      </c>
      <c r="T13" s="319">
        <v>3</v>
      </c>
      <c r="U13" s="322" t="s">
        <v>133</v>
      </c>
      <c r="V13" s="322" t="s">
        <v>195</v>
      </c>
      <c r="W13" s="323"/>
      <c r="X13" s="323"/>
      <c r="Y13" s="323"/>
      <c r="Z13" s="323"/>
    </row>
    <row r="14" s="291" customFormat="1" ht="127" customHeight="1" spans="1:26">
      <c r="A14" s="297"/>
      <c r="B14" s="298"/>
      <c r="C14" s="299"/>
      <c r="D14" s="300"/>
      <c r="E14" s="304"/>
      <c r="F14" s="304"/>
      <c r="G14" s="304"/>
      <c r="H14" s="304"/>
      <c r="I14" s="304"/>
      <c r="J14" s="304"/>
      <c r="K14" s="304"/>
      <c r="L14" s="307"/>
      <c r="M14" s="304"/>
      <c r="N14" s="315"/>
      <c r="O14" s="310"/>
      <c r="P14" s="311"/>
      <c r="Q14" s="317"/>
      <c r="R14" s="317"/>
      <c r="S14" s="318"/>
      <c r="T14" s="319"/>
      <c r="U14" s="322"/>
      <c r="V14" s="322"/>
      <c r="W14" s="323"/>
      <c r="X14" s="323"/>
      <c r="Y14" s="323"/>
      <c r="Z14" s="323"/>
    </row>
    <row r="15" s="291" customFormat="1" ht="66" customHeight="1" spans="1:23">
      <c r="A15" s="292" t="s">
        <v>196</v>
      </c>
      <c r="B15" s="293"/>
      <c r="C15" s="293"/>
      <c r="D15" s="294"/>
      <c r="E15" s="302"/>
      <c r="F15" s="302"/>
      <c r="G15" s="303"/>
      <c r="H15" s="294"/>
      <c r="I15" s="305"/>
      <c r="J15" s="306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320"/>
      <c r="W15" s="320"/>
    </row>
    <row r="16" s="291" customFormat="1" ht="54" customHeight="1" spans="1:26">
      <c r="A16" s="295" t="s">
        <v>197</v>
      </c>
      <c r="B16" s="295" t="s">
        <v>100</v>
      </c>
      <c r="C16" s="296" t="s">
        <v>101</v>
      </c>
      <c r="D16" s="296" t="s">
        <v>102</v>
      </c>
      <c r="E16" s="296" t="s">
        <v>103</v>
      </c>
      <c r="F16" s="296" t="s">
        <v>104</v>
      </c>
      <c r="G16" s="296" t="s">
        <v>105</v>
      </c>
      <c r="H16" s="296" t="s">
        <v>106</v>
      </c>
      <c r="I16" s="296" t="s">
        <v>107</v>
      </c>
      <c r="J16" s="296" t="s">
        <v>108</v>
      </c>
      <c r="K16" s="296" t="s">
        <v>109</v>
      </c>
      <c r="L16" s="296" t="s">
        <v>110</v>
      </c>
      <c r="M16" s="296" t="s">
        <v>111</v>
      </c>
      <c r="N16" s="296" t="s">
        <v>112</v>
      </c>
      <c r="O16" s="308" t="s">
        <v>113</v>
      </c>
      <c r="P16" s="308" t="s">
        <v>114</v>
      </c>
      <c r="Q16" s="308" t="s">
        <v>115</v>
      </c>
      <c r="R16" s="308" t="s">
        <v>116</v>
      </c>
      <c r="S16" s="316" t="s">
        <v>117</v>
      </c>
      <c r="T16" s="316" t="s">
        <v>114</v>
      </c>
      <c r="U16" s="316" t="s">
        <v>115</v>
      </c>
      <c r="V16" s="316" t="s">
        <v>116</v>
      </c>
      <c r="W16" s="321" t="s">
        <v>118</v>
      </c>
      <c r="X16" s="321" t="s">
        <v>114</v>
      </c>
      <c r="Y16" s="321" t="s">
        <v>115</v>
      </c>
      <c r="Z16" s="321" t="s">
        <v>116</v>
      </c>
    </row>
    <row r="17" s="291" customFormat="1" ht="64" customHeight="1" spans="1:26">
      <c r="A17" s="297" t="s">
        <v>198</v>
      </c>
      <c r="B17" s="298" t="s">
        <v>199</v>
      </c>
      <c r="C17" s="299" t="s">
        <v>53</v>
      </c>
      <c r="D17" s="300" t="s">
        <v>200</v>
      </c>
      <c r="E17" s="304" t="s">
        <v>186</v>
      </c>
      <c r="F17" s="304" t="s">
        <v>127</v>
      </c>
      <c r="G17" s="304" t="s">
        <v>169</v>
      </c>
      <c r="H17" s="304" t="s">
        <v>125</v>
      </c>
      <c r="I17" s="304" t="s">
        <v>123</v>
      </c>
      <c r="J17" s="304" t="s">
        <v>126</v>
      </c>
      <c r="K17" s="304" t="s">
        <v>147</v>
      </c>
      <c r="L17" s="307" t="s">
        <v>154</v>
      </c>
      <c r="M17" s="314" t="s">
        <v>201</v>
      </c>
      <c r="N17" s="309">
        <v>0.0233</v>
      </c>
      <c r="O17" s="310" t="s">
        <v>129</v>
      </c>
      <c r="P17" s="311">
        <v>2.75</v>
      </c>
      <c r="Q17" s="317"/>
      <c r="R17" s="317" t="s">
        <v>180</v>
      </c>
      <c r="S17" s="318" t="s">
        <v>132</v>
      </c>
      <c r="T17" s="319">
        <v>2.78</v>
      </c>
      <c r="U17" s="322"/>
      <c r="V17" s="322" t="s">
        <v>150</v>
      </c>
      <c r="W17" s="323"/>
      <c r="X17" s="323"/>
      <c r="Y17" s="323"/>
      <c r="Z17" s="323"/>
    </row>
    <row r="18" s="291" customFormat="1" ht="64" customHeight="1" spans="1:26">
      <c r="A18" s="297" t="s">
        <v>202</v>
      </c>
      <c r="B18" s="298" t="s">
        <v>203</v>
      </c>
      <c r="C18" s="299" t="s">
        <v>53</v>
      </c>
      <c r="D18" s="300" t="s">
        <v>200</v>
      </c>
      <c r="E18" s="304" t="s">
        <v>186</v>
      </c>
      <c r="F18" s="304" t="s">
        <v>204</v>
      </c>
      <c r="G18" s="304" t="s">
        <v>205</v>
      </c>
      <c r="H18" s="304" t="s">
        <v>206</v>
      </c>
      <c r="I18" s="304" t="s">
        <v>123</v>
      </c>
      <c r="J18" s="304" t="s">
        <v>126</v>
      </c>
      <c r="K18" s="304" t="s">
        <v>147</v>
      </c>
      <c r="L18" s="307" t="s">
        <v>154</v>
      </c>
      <c r="M18" s="314" t="s">
        <v>207</v>
      </c>
      <c r="N18" s="309">
        <v>0.1389</v>
      </c>
      <c r="O18" s="310" t="s">
        <v>129</v>
      </c>
      <c r="P18" s="311">
        <v>2.75</v>
      </c>
      <c r="Q18" s="317" t="s">
        <v>162</v>
      </c>
      <c r="R18" s="317" t="s">
        <v>208</v>
      </c>
      <c r="S18" s="318" t="s">
        <v>132</v>
      </c>
      <c r="T18" s="319">
        <v>2.78</v>
      </c>
      <c r="U18" s="317" t="s">
        <v>131</v>
      </c>
      <c r="V18" s="322" t="s">
        <v>209</v>
      </c>
      <c r="W18" s="323"/>
      <c r="X18" s="323"/>
      <c r="Y18" s="323"/>
      <c r="Z18" s="323"/>
    </row>
    <row r="19" s="291" customFormat="1" ht="64" customHeight="1" spans="1:26">
      <c r="A19" s="297" t="s">
        <v>210</v>
      </c>
      <c r="B19" s="298" t="s">
        <v>211</v>
      </c>
      <c r="C19" s="299" t="s">
        <v>53</v>
      </c>
      <c r="D19" s="300" t="s">
        <v>212</v>
      </c>
      <c r="E19" s="304" t="s">
        <v>186</v>
      </c>
      <c r="F19" s="304" t="s">
        <v>127</v>
      </c>
      <c r="G19" s="304" t="s">
        <v>205</v>
      </c>
      <c r="H19" s="304" t="s">
        <v>213</v>
      </c>
      <c r="I19" s="304" t="s">
        <v>123</v>
      </c>
      <c r="J19" s="304" t="s">
        <v>126</v>
      </c>
      <c r="K19" s="304" t="s">
        <v>147</v>
      </c>
      <c r="L19" s="307" t="s">
        <v>154</v>
      </c>
      <c r="M19" s="314" t="s">
        <v>214</v>
      </c>
      <c r="N19" s="309">
        <v>0.0323</v>
      </c>
      <c r="O19" s="310" t="s">
        <v>129</v>
      </c>
      <c r="P19" s="311">
        <v>2.75</v>
      </c>
      <c r="Q19" s="317"/>
      <c r="R19" s="317" t="s">
        <v>180</v>
      </c>
      <c r="S19" s="318" t="s">
        <v>132</v>
      </c>
      <c r="T19" s="319">
        <v>2.78</v>
      </c>
      <c r="U19" s="317"/>
      <c r="V19" s="322" t="s">
        <v>215</v>
      </c>
      <c r="W19" s="323"/>
      <c r="X19" s="323"/>
      <c r="Y19" s="323"/>
      <c r="Z19" s="323"/>
    </row>
    <row r="20" s="291" customFormat="1" ht="64" customHeight="1" spans="1:26">
      <c r="A20" s="297" t="s">
        <v>216</v>
      </c>
      <c r="B20" s="298" t="s">
        <v>217</v>
      </c>
      <c r="C20" s="299" t="s">
        <v>53</v>
      </c>
      <c r="D20" s="300" t="s">
        <v>218</v>
      </c>
      <c r="E20" s="304" t="s">
        <v>186</v>
      </c>
      <c r="F20" s="304" t="s">
        <v>138</v>
      </c>
      <c r="G20" s="304" t="s">
        <v>219</v>
      </c>
      <c r="H20" s="304" t="s">
        <v>220</v>
      </c>
      <c r="I20" s="304" t="s">
        <v>123</v>
      </c>
      <c r="J20" s="304" t="s">
        <v>126</v>
      </c>
      <c r="K20" s="304" t="s">
        <v>147</v>
      </c>
      <c r="L20" s="307" t="s">
        <v>154</v>
      </c>
      <c r="M20" s="314" t="s">
        <v>221</v>
      </c>
      <c r="N20" s="309">
        <v>0.0667</v>
      </c>
      <c r="O20" s="310" t="s">
        <v>129</v>
      </c>
      <c r="P20" s="311">
        <v>2.75</v>
      </c>
      <c r="Q20" s="317"/>
      <c r="R20" s="317" t="s">
        <v>222</v>
      </c>
      <c r="S20" s="318" t="s">
        <v>132</v>
      </c>
      <c r="T20" s="319">
        <v>2.78</v>
      </c>
      <c r="U20" s="317"/>
      <c r="V20" s="322" t="s">
        <v>209</v>
      </c>
      <c r="W20" s="323"/>
      <c r="X20" s="323"/>
      <c r="Y20" s="323"/>
      <c r="Z20" s="323"/>
    </row>
    <row r="21" s="291" customFormat="1" ht="64" customHeight="1" spans="1:26">
      <c r="A21" s="297" t="s">
        <v>223</v>
      </c>
      <c r="B21" s="298" t="s">
        <v>224</v>
      </c>
      <c r="C21" s="299"/>
      <c r="D21" s="300" t="s">
        <v>225</v>
      </c>
      <c r="E21" s="304" t="s">
        <v>186</v>
      </c>
      <c r="F21" s="304" t="s">
        <v>147</v>
      </c>
      <c r="G21" s="304" t="s">
        <v>226</v>
      </c>
      <c r="H21" s="304" t="s">
        <v>123</v>
      </c>
      <c r="I21" s="304" t="s">
        <v>123</v>
      </c>
      <c r="J21" s="304" t="s">
        <v>126</v>
      </c>
      <c r="K21" s="304" t="s">
        <v>147</v>
      </c>
      <c r="L21" s="307" t="s">
        <v>154</v>
      </c>
      <c r="M21" s="314" t="s">
        <v>227</v>
      </c>
      <c r="N21" s="309">
        <v>0.069</v>
      </c>
      <c r="O21" s="310" t="s">
        <v>129</v>
      </c>
      <c r="P21" s="311">
        <v>2.75</v>
      </c>
      <c r="Q21" s="317" t="s">
        <v>180</v>
      </c>
      <c r="R21" s="317" t="s">
        <v>228</v>
      </c>
      <c r="S21" s="318" t="s">
        <v>132</v>
      </c>
      <c r="T21" s="319">
        <v>2.78</v>
      </c>
      <c r="U21" s="322" t="s">
        <v>163</v>
      </c>
      <c r="V21" s="322" t="s">
        <v>229</v>
      </c>
      <c r="W21" s="323"/>
      <c r="X21" s="323"/>
      <c r="Y21" s="323"/>
      <c r="Z21" s="323"/>
    </row>
    <row r="22" s="291" customFormat="1" ht="96" customHeight="1" spans="1:26">
      <c r="A22" s="297" t="s">
        <v>230</v>
      </c>
      <c r="B22" s="298" t="s">
        <v>231</v>
      </c>
      <c r="C22" s="299"/>
      <c r="D22" s="300" t="s">
        <v>232</v>
      </c>
      <c r="E22" s="304" t="s">
        <v>186</v>
      </c>
      <c r="F22" s="304" t="s">
        <v>154</v>
      </c>
      <c r="G22" s="304" t="s">
        <v>233</v>
      </c>
      <c r="H22" s="304" t="s">
        <v>123</v>
      </c>
      <c r="I22" s="304" t="s">
        <v>123</v>
      </c>
      <c r="J22" s="304" t="s">
        <v>126</v>
      </c>
      <c r="K22" s="304" t="s">
        <v>147</v>
      </c>
      <c r="L22" s="307" t="s">
        <v>154</v>
      </c>
      <c r="M22" s="314"/>
      <c r="N22" s="315"/>
      <c r="O22" s="310" t="s">
        <v>129</v>
      </c>
      <c r="P22" s="311">
        <v>2.75</v>
      </c>
      <c r="Q22" s="317" t="s">
        <v>208</v>
      </c>
      <c r="R22" s="317" t="s">
        <v>234</v>
      </c>
      <c r="S22" s="318" t="s">
        <v>132</v>
      </c>
      <c r="T22" s="319">
        <v>2.78</v>
      </c>
      <c r="U22" s="322" t="s">
        <v>235</v>
      </c>
      <c r="V22" s="317" t="s">
        <v>133</v>
      </c>
      <c r="W22" s="323"/>
      <c r="X22" s="323"/>
      <c r="Y22" s="323"/>
      <c r="Z22" s="323"/>
    </row>
    <row r="24" s="291" customFormat="1" ht="66" customHeight="1" spans="1:23">
      <c r="A24" s="292" t="s">
        <v>236</v>
      </c>
      <c r="B24" s="293"/>
      <c r="C24" s="293"/>
      <c r="D24" s="294"/>
      <c r="E24" s="302"/>
      <c r="F24" s="302"/>
      <c r="G24" s="303"/>
      <c r="H24" s="294"/>
      <c r="I24" s="305"/>
      <c r="J24" s="306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320"/>
      <c r="W24" s="320"/>
    </row>
    <row r="25" s="291" customFormat="1" ht="54" customHeight="1" spans="1:26">
      <c r="A25" s="295" t="s">
        <v>237</v>
      </c>
      <c r="B25" s="295" t="s">
        <v>100</v>
      </c>
      <c r="C25" s="296" t="s">
        <v>101</v>
      </c>
      <c r="D25" s="296" t="s">
        <v>102</v>
      </c>
      <c r="E25" s="296" t="s">
        <v>103</v>
      </c>
      <c r="F25" s="296" t="s">
        <v>104</v>
      </c>
      <c r="G25" s="296" t="s">
        <v>105</v>
      </c>
      <c r="H25" s="296" t="s">
        <v>106</v>
      </c>
      <c r="I25" s="296" t="s">
        <v>107</v>
      </c>
      <c r="J25" s="296" t="s">
        <v>108</v>
      </c>
      <c r="K25" s="296" t="s">
        <v>109</v>
      </c>
      <c r="L25" s="296" t="s">
        <v>110</v>
      </c>
      <c r="M25" s="296" t="s">
        <v>111</v>
      </c>
      <c r="N25" s="296" t="s">
        <v>112</v>
      </c>
      <c r="O25" s="308" t="s">
        <v>113</v>
      </c>
      <c r="P25" s="308" t="s">
        <v>114</v>
      </c>
      <c r="Q25" s="308" t="s">
        <v>115</v>
      </c>
      <c r="R25" s="308" t="s">
        <v>116</v>
      </c>
      <c r="S25" s="316" t="s">
        <v>117</v>
      </c>
      <c r="T25" s="316" t="s">
        <v>114</v>
      </c>
      <c r="U25" s="316" t="s">
        <v>115</v>
      </c>
      <c r="V25" s="316" t="s">
        <v>116</v>
      </c>
      <c r="W25" s="321" t="s">
        <v>118</v>
      </c>
      <c r="X25" s="321" t="s">
        <v>114</v>
      </c>
      <c r="Y25" s="321" t="s">
        <v>115</v>
      </c>
      <c r="Z25" s="321" t="s">
        <v>116</v>
      </c>
    </row>
    <row r="26" s="291" customFormat="1" ht="64" customHeight="1" spans="1:26">
      <c r="A26" s="297" t="s">
        <v>238</v>
      </c>
      <c r="B26" s="298" t="s">
        <v>239</v>
      </c>
      <c r="C26" s="299" t="s">
        <v>53</v>
      </c>
      <c r="D26" s="300" t="s">
        <v>240</v>
      </c>
      <c r="E26" s="304" t="s">
        <v>186</v>
      </c>
      <c r="F26" s="304" t="s">
        <v>154</v>
      </c>
      <c r="G26" s="304" t="s">
        <v>241</v>
      </c>
      <c r="H26" s="304" t="s">
        <v>123</v>
      </c>
      <c r="I26" s="304" t="s">
        <v>123</v>
      </c>
      <c r="J26" s="304" t="s">
        <v>126</v>
      </c>
      <c r="K26" s="304" t="s">
        <v>147</v>
      </c>
      <c r="L26" s="307" t="s">
        <v>154</v>
      </c>
      <c r="M26" s="314" t="s">
        <v>123</v>
      </c>
      <c r="N26" s="309">
        <v>0</v>
      </c>
      <c r="O26" s="310" t="s">
        <v>129</v>
      </c>
      <c r="P26" s="311">
        <v>2.75</v>
      </c>
      <c r="Q26" s="317" t="s">
        <v>242</v>
      </c>
      <c r="R26" s="317" t="s">
        <v>188</v>
      </c>
      <c r="S26" s="318" t="s">
        <v>132</v>
      </c>
      <c r="T26" s="319">
        <v>2.78</v>
      </c>
      <c r="U26" s="322" t="s">
        <v>163</v>
      </c>
      <c r="V26" s="322" t="s">
        <v>243</v>
      </c>
      <c r="W26" s="323"/>
      <c r="X26" s="323"/>
      <c r="Y26" s="323"/>
      <c r="Z26" s="323"/>
    </row>
    <row r="27" s="291" customFormat="1" ht="152" customHeight="1" spans="1:26">
      <c r="A27" s="297" t="s">
        <v>244</v>
      </c>
      <c r="B27" s="298" t="s">
        <v>245</v>
      </c>
      <c r="C27" s="299" t="s">
        <v>53</v>
      </c>
      <c r="D27" s="300" t="s">
        <v>246</v>
      </c>
      <c r="E27" s="304" t="s">
        <v>186</v>
      </c>
      <c r="F27" s="304" t="s">
        <v>147</v>
      </c>
      <c r="G27" s="304" t="s">
        <v>247</v>
      </c>
      <c r="H27" s="304" t="s">
        <v>123</v>
      </c>
      <c r="I27" s="304" t="s">
        <v>123</v>
      </c>
      <c r="J27" s="304" t="s">
        <v>126</v>
      </c>
      <c r="K27" s="304" t="s">
        <v>147</v>
      </c>
      <c r="L27" s="307" t="s">
        <v>154</v>
      </c>
      <c r="M27" s="314" t="s">
        <v>248</v>
      </c>
      <c r="N27" s="309">
        <v>0.075</v>
      </c>
      <c r="O27" s="310" t="s">
        <v>129</v>
      </c>
      <c r="P27" s="311">
        <v>2.75</v>
      </c>
      <c r="Q27" s="317" t="s">
        <v>249</v>
      </c>
      <c r="R27" s="317" t="s">
        <v>250</v>
      </c>
      <c r="S27" s="318" t="s">
        <v>132</v>
      </c>
      <c r="T27" s="319">
        <v>2.78</v>
      </c>
      <c r="U27" s="322" t="s">
        <v>172</v>
      </c>
      <c r="V27" s="322" t="s">
        <v>251</v>
      </c>
      <c r="W27" s="323"/>
      <c r="X27" s="323"/>
      <c r="Y27" s="323"/>
      <c r="Z27" s="323"/>
    </row>
    <row r="28" s="291" customFormat="1" ht="152" customHeight="1" spans="1:26">
      <c r="A28" s="297" t="s">
        <v>252</v>
      </c>
      <c r="B28" s="298" t="s">
        <v>253</v>
      </c>
      <c r="C28" s="299" t="s">
        <v>53</v>
      </c>
      <c r="D28" s="300" t="s">
        <v>254</v>
      </c>
      <c r="E28" s="304" t="s">
        <v>186</v>
      </c>
      <c r="F28" s="304" t="s">
        <v>255</v>
      </c>
      <c r="G28" s="304" t="s">
        <v>256</v>
      </c>
      <c r="H28" s="304" t="s">
        <v>123</v>
      </c>
      <c r="I28" s="304" t="s">
        <v>123</v>
      </c>
      <c r="J28" s="304" t="s">
        <v>126</v>
      </c>
      <c r="K28" s="304" t="s">
        <v>147</v>
      </c>
      <c r="L28" s="307" t="s">
        <v>154</v>
      </c>
      <c r="M28" s="314" t="s">
        <v>257</v>
      </c>
      <c r="N28" s="309">
        <v>0.4082</v>
      </c>
      <c r="O28" s="310" t="s">
        <v>129</v>
      </c>
      <c r="P28" s="311">
        <v>2.75</v>
      </c>
      <c r="Q28" s="317" t="s">
        <v>258</v>
      </c>
      <c r="R28" s="317" t="s">
        <v>172</v>
      </c>
      <c r="S28" s="318" t="s">
        <v>132</v>
      </c>
      <c r="T28" s="319">
        <v>2.78</v>
      </c>
      <c r="U28" s="322" t="s">
        <v>259</v>
      </c>
      <c r="V28" s="322" t="s">
        <v>229</v>
      </c>
      <c r="W28" s="323"/>
      <c r="X28" s="323"/>
      <c r="Y28" s="323"/>
      <c r="Z28" s="323"/>
    </row>
    <row r="29" s="291" customFormat="1" ht="152" customHeight="1" spans="1:26">
      <c r="A29" s="297" t="s">
        <v>260</v>
      </c>
      <c r="B29" s="298" t="s">
        <v>261</v>
      </c>
      <c r="C29" s="299" t="s">
        <v>53</v>
      </c>
      <c r="D29" s="300" t="s">
        <v>262</v>
      </c>
      <c r="E29" s="304" t="s">
        <v>186</v>
      </c>
      <c r="F29" s="304" t="s">
        <v>154</v>
      </c>
      <c r="G29" s="304" t="s">
        <v>263</v>
      </c>
      <c r="H29" s="304" t="s">
        <v>123</v>
      </c>
      <c r="I29" s="304" t="s">
        <v>123</v>
      </c>
      <c r="J29" s="304" t="s">
        <v>126</v>
      </c>
      <c r="K29" s="304" t="s">
        <v>147</v>
      </c>
      <c r="L29" s="307" t="s">
        <v>154</v>
      </c>
      <c r="M29" s="314" t="s">
        <v>123</v>
      </c>
      <c r="N29" s="309" t="s">
        <v>264</v>
      </c>
      <c r="O29" s="310" t="s">
        <v>129</v>
      </c>
      <c r="P29" s="311">
        <v>2.75</v>
      </c>
      <c r="Q29" s="317" t="s">
        <v>265</v>
      </c>
      <c r="R29" s="317" t="s">
        <v>266</v>
      </c>
      <c r="S29" s="318" t="s">
        <v>132</v>
      </c>
      <c r="T29" s="319">
        <v>2.78</v>
      </c>
      <c r="U29" s="322" t="s">
        <v>267</v>
      </c>
      <c r="V29" s="322" t="s">
        <v>268</v>
      </c>
      <c r="W29" s="323"/>
      <c r="X29" s="323"/>
      <c r="Y29" s="323"/>
      <c r="Z29" s="323"/>
    </row>
    <row r="30" s="291" customFormat="1" ht="152" customHeight="1" spans="1:26">
      <c r="A30" s="297" t="s">
        <v>269</v>
      </c>
      <c r="B30" s="298" t="s">
        <v>270</v>
      </c>
      <c r="C30" s="299" t="s">
        <v>53</v>
      </c>
      <c r="D30" s="300" t="s">
        <v>271</v>
      </c>
      <c r="E30" s="304" t="s">
        <v>186</v>
      </c>
      <c r="F30" s="304" t="s">
        <v>154</v>
      </c>
      <c r="G30" s="304" t="s">
        <v>219</v>
      </c>
      <c r="H30" s="304" t="s">
        <v>123</v>
      </c>
      <c r="I30" s="304" t="s">
        <v>123</v>
      </c>
      <c r="J30" s="304" t="s">
        <v>126</v>
      </c>
      <c r="K30" s="304" t="s">
        <v>147</v>
      </c>
      <c r="L30" s="307" t="s">
        <v>154</v>
      </c>
      <c r="M30" s="314"/>
      <c r="N30" s="309"/>
      <c r="O30" s="310" t="s">
        <v>129</v>
      </c>
      <c r="P30" s="311">
        <v>2.75</v>
      </c>
      <c r="Q30" s="317" t="s">
        <v>258</v>
      </c>
      <c r="R30" s="317" t="s">
        <v>272</v>
      </c>
      <c r="S30" s="318" t="s">
        <v>132</v>
      </c>
      <c r="T30" s="319">
        <v>2.78</v>
      </c>
      <c r="U30" s="322" t="s">
        <v>273</v>
      </c>
      <c r="V30" s="322" t="s">
        <v>142</v>
      </c>
      <c r="W30" s="323"/>
      <c r="X30" s="323"/>
      <c r="Y30" s="323"/>
      <c r="Z30" s="323"/>
    </row>
    <row r="31" s="291" customFormat="1" ht="96" customHeight="1" spans="1:26">
      <c r="A31" s="297"/>
      <c r="B31" s="298"/>
      <c r="C31" s="299"/>
      <c r="D31" s="300"/>
      <c r="E31" s="304"/>
      <c r="F31" s="304"/>
      <c r="G31" s="304"/>
      <c r="H31" s="304"/>
      <c r="I31" s="304"/>
      <c r="J31" s="304"/>
      <c r="K31" s="304"/>
      <c r="L31" s="307"/>
      <c r="M31" s="314"/>
      <c r="N31" s="315"/>
      <c r="O31" s="310"/>
      <c r="P31" s="311"/>
      <c r="Q31" s="317"/>
      <c r="R31" s="317"/>
      <c r="S31" s="318"/>
      <c r="T31" s="319"/>
      <c r="U31" s="322"/>
      <c r="V31" s="317"/>
      <c r="W31" s="323"/>
      <c r="X31" s="323"/>
      <c r="Y31" s="323"/>
      <c r="Z31" s="323"/>
    </row>
    <row r="32" s="291" customFormat="1" ht="66" customHeight="1" spans="1:23">
      <c r="A32" s="292" t="s">
        <v>274</v>
      </c>
      <c r="B32" s="293"/>
      <c r="C32" s="293"/>
      <c r="D32" s="294"/>
      <c r="E32" s="302"/>
      <c r="F32" s="302"/>
      <c r="G32" s="303"/>
      <c r="H32" s="294"/>
      <c r="I32" s="305"/>
      <c r="J32" s="306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320"/>
      <c r="W32" s="320"/>
    </row>
    <row r="33" s="291" customFormat="1" ht="54" customHeight="1" spans="1:26">
      <c r="A33" s="295" t="s">
        <v>275</v>
      </c>
      <c r="B33" s="295" t="s">
        <v>100</v>
      </c>
      <c r="C33" s="296" t="s">
        <v>101</v>
      </c>
      <c r="D33" s="296" t="s">
        <v>102</v>
      </c>
      <c r="E33" s="296" t="s">
        <v>103</v>
      </c>
      <c r="F33" s="296" t="s">
        <v>104</v>
      </c>
      <c r="G33" s="296" t="s">
        <v>105</v>
      </c>
      <c r="H33" s="296" t="s">
        <v>106</v>
      </c>
      <c r="I33" s="296" t="s">
        <v>107</v>
      </c>
      <c r="J33" s="296" t="s">
        <v>108</v>
      </c>
      <c r="K33" s="296" t="s">
        <v>109</v>
      </c>
      <c r="L33" s="296" t="s">
        <v>110</v>
      </c>
      <c r="M33" s="296" t="s">
        <v>111</v>
      </c>
      <c r="N33" s="296" t="s">
        <v>112</v>
      </c>
      <c r="O33" s="308" t="s">
        <v>113</v>
      </c>
      <c r="P33" s="308" t="s">
        <v>114</v>
      </c>
      <c r="Q33" s="308" t="s">
        <v>115</v>
      </c>
      <c r="R33" s="308" t="s">
        <v>116</v>
      </c>
      <c r="S33" s="316" t="s">
        <v>117</v>
      </c>
      <c r="T33" s="316" t="s">
        <v>114</v>
      </c>
      <c r="U33" s="316" t="s">
        <v>115</v>
      </c>
      <c r="V33" s="316" t="s">
        <v>116</v>
      </c>
      <c r="W33" s="321" t="s">
        <v>118</v>
      </c>
      <c r="X33" s="321" t="s">
        <v>114</v>
      </c>
      <c r="Y33" s="321" t="s">
        <v>115</v>
      </c>
      <c r="Z33" s="321" t="s">
        <v>116</v>
      </c>
    </row>
    <row r="34" s="291" customFormat="1" ht="64" customHeight="1" spans="1:26">
      <c r="A34" s="297" t="s">
        <v>276</v>
      </c>
      <c r="B34" s="298" t="s">
        <v>277</v>
      </c>
      <c r="C34" s="299" t="s">
        <v>53</v>
      </c>
      <c r="D34" s="300" t="s">
        <v>240</v>
      </c>
      <c r="E34" s="304" t="s">
        <v>278</v>
      </c>
      <c r="F34" s="304" t="s">
        <v>204</v>
      </c>
      <c r="G34" s="304" t="s">
        <v>279</v>
      </c>
      <c r="H34" s="304" t="s">
        <v>123</v>
      </c>
      <c r="I34" s="304" t="s">
        <v>123</v>
      </c>
      <c r="J34" s="304" t="s">
        <v>126</v>
      </c>
      <c r="K34" s="304" t="s">
        <v>138</v>
      </c>
      <c r="L34" s="307" t="s">
        <v>204</v>
      </c>
      <c r="M34" s="314" t="s">
        <v>280</v>
      </c>
      <c r="N34" s="309">
        <v>0.0926</v>
      </c>
      <c r="O34" s="310" t="s">
        <v>129</v>
      </c>
      <c r="P34" s="311">
        <v>2.75</v>
      </c>
      <c r="Q34" s="317" t="s">
        <v>258</v>
      </c>
      <c r="R34" s="317" t="s">
        <v>188</v>
      </c>
      <c r="S34" s="318" t="s">
        <v>132</v>
      </c>
      <c r="T34" s="319">
        <v>2.78</v>
      </c>
      <c r="U34" s="322" t="s">
        <v>281</v>
      </c>
      <c r="V34" s="322" t="s">
        <v>282</v>
      </c>
      <c r="W34" s="323"/>
      <c r="X34" s="323"/>
      <c r="Y34" s="323"/>
      <c r="Z34" s="323"/>
    </row>
    <row r="35" s="291" customFormat="1" ht="64" customHeight="1" spans="1:26">
      <c r="A35" s="297" t="s">
        <v>283</v>
      </c>
      <c r="B35" s="298" t="s">
        <v>284</v>
      </c>
      <c r="C35" s="299" t="s">
        <v>53</v>
      </c>
      <c r="D35" s="300" t="s">
        <v>285</v>
      </c>
      <c r="E35" s="304" t="s">
        <v>286</v>
      </c>
      <c r="F35" s="304" t="s">
        <v>287</v>
      </c>
      <c r="G35" s="304" t="s">
        <v>288</v>
      </c>
      <c r="H35" s="304" t="s">
        <v>123</v>
      </c>
      <c r="I35" s="304" t="s">
        <v>123</v>
      </c>
      <c r="J35" s="304" t="s">
        <v>126</v>
      </c>
      <c r="K35" s="304" t="s">
        <v>138</v>
      </c>
      <c r="L35" s="307" t="s">
        <v>204</v>
      </c>
      <c r="M35" s="314" t="s">
        <v>289</v>
      </c>
      <c r="N35" s="309">
        <v>0.2321</v>
      </c>
      <c r="O35" s="310" t="s">
        <v>129</v>
      </c>
      <c r="P35" s="311">
        <v>2.75</v>
      </c>
      <c r="Q35" s="317" t="s">
        <v>259</v>
      </c>
      <c r="R35" s="317" t="s">
        <v>188</v>
      </c>
      <c r="S35" s="318" t="s">
        <v>132</v>
      </c>
      <c r="T35" s="319">
        <v>2.78</v>
      </c>
      <c r="U35" s="322" t="s">
        <v>163</v>
      </c>
      <c r="V35" s="322" t="s">
        <v>290</v>
      </c>
      <c r="W35" s="323"/>
      <c r="X35" s="323"/>
      <c r="Y35" s="323"/>
      <c r="Z35" s="323"/>
    </row>
    <row r="36" s="291" customFormat="1" ht="64" customHeight="1" spans="1:26">
      <c r="A36" s="297" t="s">
        <v>291</v>
      </c>
      <c r="B36" s="298" t="s">
        <v>292</v>
      </c>
      <c r="C36" s="299" t="s">
        <v>53</v>
      </c>
      <c r="D36" s="300" t="s">
        <v>293</v>
      </c>
      <c r="E36" s="304" t="s">
        <v>286</v>
      </c>
      <c r="F36" s="304" t="s">
        <v>138</v>
      </c>
      <c r="G36" s="304" t="s">
        <v>288</v>
      </c>
      <c r="H36" s="304" t="s">
        <v>123</v>
      </c>
      <c r="I36" s="304" t="s">
        <v>123</v>
      </c>
      <c r="J36" s="304" t="s">
        <v>126</v>
      </c>
      <c r="K36" s="304" t="s">
        <v>138</v>
      </c>
      <c r="L36" s="307" t="s">
        <v>204</v>
      </c>
      <c r="M36" s="314" t="s">
        <v>294</v>
      </c>
      <c r="N36" s="309">
        <v>0.1029</v>
      </c>
      <c r="O36" s="310" t="s">
        <v>129</v>
      </c>
      <c r="P36" s="311">
        <v>2.75</v>
      </c>
      <c r="Q36" s="317" t="s">
        <v>259</v>
      </c>
      <c r="R36" s="317" t="s">
        <v>188</v>
      </c>
      <c r="S36" s="318" t="s">
        <v>132</v>
      </c>
      <c r="T36" s="319">
        <v>2.78</v>
      </c>
      <c r="U36" s="322" t="s">
        <v>163</v>
      </c>
      <c r="V36" s="322" t="s">
        <v>290</v>
      </c>
      <c r="W36" s="323"/>
      <c r="X36" s="323"/>
      <c r="Y36" s="323"/>
      <c r="Z36" s="323"/>
    </row>
    <row r="37" s="291" customFormat="1" ht="64" customHeight="1" spans="1:26">
      <c r="A37" s="297" t="s">
        <v>295</v>
      </c>
      <c r="B37" s="298" t="s">
        <v>296</v>
      </c>
      <c r="C37" s="299" t="s">
        <v>53</v>
      </c>
      <c r="D37" s="300" t="s">
        <v>297</v>
      </c>
      <c r="E37" s="304" t="s">
        <v>298</v>
      </c>
      <c r="F37" s="304" t="s">
        <v>299</v>
      </c>
      <c r="G37" s="304" t="s">
        <v>300</v>
      </c>
      <c r="H37" s="304" t="s">
        <v>123</v>
      </c>
      <c r="I37" s="304" t="s">
        <v>123</v>
      </c>
      <c r="J37" s="304" t="s">
        <v>126</v>
      </c>
      <c r="K37" s="304" t="s">
        <v>154</v>
      </c>
      <c r="L37" s="307" t="s">
        <v>204</v>
      </c>
      <c r="M37" s="314" t="s">
        <v>301</v>
      </c>
      <c r="N37" s="309">
        <v>0.1176</v>
      </c>
      <c r="O37" s="310" t="s">
        <v>129</v>
      </c>
      <c r="P37" s="311">
        <v>2.75</v>
      </c>
      <c r="Q37" s="317" t="s">
        <v>133</v>
      </c>
      <c r="R37" s="317" t="s">
        <v>302</v>
      </c>
      <c r="S37" s="318" t="s">
        <v>132</v>
      </c>
      <c r="T37" s="319">
        <v>2.78</v>
      </c>
      <c r="U37" s="322" t="s">
        <v>259</v>
      </c>
      <c r="V37" s="322" t="s">
        <v>303</v>
      </c>
      <c r="W37" s="323"/>
      <c r="X37" s="323"/>
      <c r="Y37" s="323"/>
      <c r="Z37" s="323"/>
    </row>
    <row r="38" s="291" customFormat="1" ht="64" customHeight="1" spans="1:26">
      <c r="A38" s="297" t="s">
        <v>304</v>
      </c>
      <c r="B38" s="298" t="s">
        <v>305</v>
      </c>
      <c r="C38" s="301" t="s">
        <v>306</v>
      </c>
      <c r="D38" s="300" t="s">
        <v>307</v>
      </c>
      <c r="E38" s="304" t="s">
        <v>298</v>
      </c>
      <c r="F38" s="304" t="s">
        <v>154</v>
      </c>
      <c r="G38" s="304" t="s">
        <v>308</v>
      </c>
      <c r="H38" s="304" t="s">
        <v>123</v>
      </c>
      <c r="I38" s="304" t="s">
        <v>123</v>
      </c>
      <c r="J38" s="304" t="s">
        <v>309</v>
      </c>
      <c r="K38" s="304" t="s">
        <v>204</v>
      </c>
      <c r="L38" s="307" t="s">
        <v>204</v>
      </c>
      <c r="M38" s="314"/>
      <c r="N38" s="309"/>
      <c r="O38" s="310" t="s">
        <v>129</v>
      </c>
      <c r="P38" s="311">
        <v>2.75</v>
      </c>
      <c r="Q38" s="317" t="s">
        <v>259</v>
      </c>
      <c r="R38" s="317" t="s">
        <v>266</v>
      </c>
      <c r="S38" s="318" t="s">
        <v>132</v>
      </c>
      <c r="T38" s="319">
        <v>2.78</v>
      </c>
      <c r="U38" s="322" t="s">
        <v>258</v>
      </c>
      <c r="V38" s="322" t="s">
        <v>310</v>
      </c>
      <c r="W38" s="323"/>
      <c r="X38" s="323"/>
      <c r="Y38" s="323"/>
      <c r="Z38" s="323"/>
    </row>
    <row r="39" s="291" customFormat="1" ht="64" customHeight="1" spans="1:26">
      <c r="A39" s="297" t="s">
        <v>311</v>
      </c>
      <c r="B39" s="298" t="s">
        <v>253</v>
      </c>
      <c r="C39" s="301" t="s">
        <v>53</v>
      </c>
      <c r="D39" s="300" t="s">
        <v>312</v>
      </c>
      <c r="E39" s="304" t="s">
        <v>298</v>
      </c>
      <c r="F39" s="304" t="s">
        <v>147</v>
      </c>
      <c r="G39" s="304" t="s">
        <v>313</v>
      </c>
      <c r="H39" s="304" t="s">
        <v>123</v>
      </c>
      <c r="I39" s="304" t="s">
        <v>123</v>
      </c>
      <c r="J39" s="304" t="s">
        <v>309</v>
      </c>
      <c r="K39" s="304" t="s">
        <v>204</v>
      </c>
      <c r="L39" s="307" t="s">
        <v>204</v>
      </c>
      <c r="M39" s="314"/>
      <c r="N39" s="309"/>
      <c r="O39" s="310" t="s">
        <v>129</v>
      </c>
      <c r="P39" s="311">
        <v>2.75</v>
      </c>
      <c r="Q39" s="317" t="s">
        <v>258</v>
      </c>
      <c r="R39" s="317" t="s">
        <v>290</v>
      </c>
      <c r="S39" s="318" t="s">
        <v>132</v>
      </c>
      <c r="T39" s="319">
        <v>2.78</v>
      </c>
      <c r="U39" s="322" t="s">
        <v>314</v>
      </c>
      <c r="V39" s="322" t="s">
        <v>172</v>
      </c>
      <c r="W39" s="323"/>
      <c r="X39" s="323"/>
      <c r="Y39" s="323"/>
      <c r="Z39" s="323"/>
    </row>
    <row r="40" s="291" customFormat="1" ht="66" customHeight="1" spans="1:23">
      <c r="A40" s="292" t="s">
        <v>315</v>
      </c>
      <c r="B40" s="293"/>
      <c r="C40" s="293"/>
      <c r="D40" s="294"/>
      <c r="E40" s="302"/>
      <c r="F40" s="302"/>
      <c r="G40" s="303"/>
      <c r="H40" s="294"/>
      <c r="I40" s="305"/>
      <c r="J40" s="306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320"/>
      <c r="W40" s="320"/>
    </row>
    <row r="41" s="291" customFormat="1" ht="54" customHeight="1" spans="1:26">
      <c r="A41" s="295" t="s">
        <v>316</v>
      </c>
      <c r="B41" s="295" t="s">
        <v>100</v>
      </c>
      <c r="C41" s="296" t="s">
        <v>101</v>
      </c>
      <c r="D41" s="296" t="s">
        <v>102</v>
      </c>
      <c r="E41" s="296" t="s">
        <v>103</v>
      </c>
      <c r="F41" s="296" t="s">
        <v>104</v>
      </c>
      <c r="G41" s="296" t="s">
        <v>105</v>
      </c>
      <c r="H41" s="296" t="s">
        <v>106</v>
      </c>
      <c r="I41" s="296" t="s">
        <v>107</v>
      </c>
      <c r="J41" s="296" t="s">
        <v>108</v>
      </c>
      <c r="K41" s="296" t="s">
        <v>109</v>
      </c>
      <c r="L41" s="296" t="s">
        <v>110</v>
      </c>
      <c r="M41" s="296" t="s">
        <v>111</v>
      </c>
      <c r="N41" s="296" t="s">
        <v>112</v>
      </c>
      <c r="O41" s="308" t="s">
        <v>113</v>
      </c>
      <c r="P41" s="308" t="s">
        <v>114</v>
      </c>
      <c r="Q41" s="308" t="s">
        <v>115</v>
      </c>
      <c r="R41" s="308" t="s">
        <v>116</v>
      </c>
      <c r="S41" s="316" t="s">
        <v>117</v>
      </c>
      <c r="T41" s="316" t="s">
        <v>114</v>
      </c>
      <c r="U41" s="316" t="s">
        <v>115</v>
      </c>
      <c r="V41" s="316" t="s">
        <v>116</v>
      </c>
      <c r="W41" s="321" t="s">
        <v>118</v>
      </c>
      <c r="X41" s="321" t="s">
        <v>114</v>
      </c>
      <c r="Y41" s="321" t="s">
        <v>115</v>
      </c>
      <c r="Z41" s="321" t="s">
        <v>116</v>
      </c>
    </row>
    <row r="42" s="291" customFormat="1" ht="64" customHeight="1" spans="1:26">
      <c r="A42" s="297" t="s">
        <v>317</v>
      </c>
      <c r="B42" s="298" t="s">
        <v>318</v>
      </c>
      <c r="C42" s="299" t="s">
        <v>53</v>
      </c>
      <c r="D42" s="300" t="s">
        <v>319</v>
      </c>
      <c r="E42" s="304" t="s">
        <v>320</v>
      </c>
      <c r="F42" s="304" t="s">
        <v>138</v>
      </c>
      <c r="G42" s="304" t="s">
        <v>321</v>
      </c>
      <c r="H42" s="304" t="s">
        <v>123</v>
      </c>
      <c r="I42" s="304" t="s">
        <v>123</v>
      </c>
      <c r="J42" s="304" t="s">
        <v>322</v>
      </c>
      <c r="K42" s="304" t="s">
        <v>323</v>
      </c>
      <c r="L42" s="307" t="s">
        <v>204</v>
      </c>
      <c r="M42" s="314"/>
      <c r="N42" s="309"/>
      <c r="O42" s="310" t="s">
        <v>129</v>
      </c>
      <c r="P42" s="311">
        <v>2.75</v>
      </c>
      <c r="Q42" s="317" t="s">
        <v>258</v>
      </c>
      <c r="R42" s="317" t="s">
        <v>324</v>
      </c>
      <c r="S42" s="318" t="s">
        <v>132</v>
      </c>
      <c r="T42" s="319">
        <v>2.78</v>
      </c>
      <c r="U42" s="322" t="s">
        <v>163</v>
      </c>
      <c r="V42" s="322" t="s">
        <v>273</v>
      </c>
      <c r="W42" s="323"/>
      <c r="X42" s="323"/>
      <c r="Y42" s="323"/>
      <c r="Z42" s="323"/>
    </row>
    <row r="43" s="291" customFormat="1" ht="64" customHeight="1" spans="1:26">
      <c r="A43" s="297" t="s">
        <v>325</v>
      </c>
      <c r="B43" s="298" t="s">
        <v>326</v>
      </c>
      <c r="C43" s="299" t="s">
        <v>53</v>
      </c>
      <c r="D43" s="300" t="s">
        <v>327</v>
      </c>
      <c r="E43" s="304" t="s">
        <v>320</v>
      </c>
      <c r="F43" s="304" t="s">
        <v>154</v>
      </c>
      <c r="G43" s="304" t="s">
        <v>328</v>
      </c>
      <c r="H43" s="304" t="s">
        <v>123</v>
      </c>
      <c r="I43" s="304" t="s">
        <v>123</v>
      </c>
      <c r="J43" s="304" t="s">
        <v>322</v>
      </c>
      <c r="K43" s="304" t="s">
        <v>323</v>
      </c>
      <c r="L43" s="307" t="s">
        <v>204</v>
      </c>
      <c r="M43" s="314" t="s">
        <v>221</v>
      </c>
      <c r="N43" s="309">
        <v>0.0889</v>
      </c>
      <c r="O43" s="310" t="s">
        <v>129</v>
      </c>
      <c r="P43" s="311">
        <v>2.75</v>
      </c>
      <c r="Q43" s="317" t="s">
        <v>329</v>
      </c>
      <c r="R43" s="317" t="s">
        <v>172</v>
      </c>
      <c r="S43" s="318" t="s">
        <v>132</v>
      </c>
      <c r="T43" s="319">
        <v>2.78</v>
      </c>
      <c r="U43" s="322" t="s">
        <v>163</v>
      </c>
      <c r="V43" s="322" t="s">
        <v>310</v>
      </c>
      <c r="W43" s="323"/>
      <c r="X43" s="323"/>
      <c r="Y43" s="323"/>
      <c r="Z43" s="323"/>
    </row>
    <row r="44" s="291" customFormat="1" ht="64" customHeight="1" spans="1:26">
      <c r="A44" s="297" t="s">
        <v>330</v>
      </c>
      <c r="B44" s="298" t="s">
        <v>331</v>
      </c>
      <c r="C44" s="299" t="s">
        <v>53</v>
      </c>
      <c r="D44" s="300" t="s">
        <v>332</v>
      </c>
      <c r="E44" s="304" t="s">
        <v>320</v>
      </c>
      <c r="F44" s="304" t="s">
        <v>147</v>
      </c>
      <c r="G44" s="304" t="s">
        <v>333</v>
      </c>
      <c r="H44" s="304" t="s">
        <v>123</v>
      </c>
      <c r="I44" s="304" t="s">
        <v>123</v>
      </c>
      <c r="J44" s="304" t="s">
        <v>322</v>
      </c>
      <c r="K44" s="304" t="s">
        <v>334</v>
      </c>
      <c r="L44" s="307" t="s">
        <v>204</v>
      </c>
      <c r="M44" s="314" t="s">
        <v>335</v>
      </c>
      <c r="N44" s="309">
        <v>0.0455</v>
      </c>
      <c r="O44" s="310" t="s">
        <v>129</v>
      </c>
      <c r="P44" s="311">
        <v>2.75</v>
      </c>
      <c r="Q44" s="317" t="s">
        <v>258</v>
      </c>
      <c r="R44" s="317" t="s">
        <v>172</v>
      </c>
      <c r="S44" s="318" t="s">
        <v>132</v>
      </c>
      <c r="T44" s="319">
        <v>2.78</v>
      </c>
      <c r="U44" s="322" t="s">
        <v>163</v>
      </c>
      <c r="V44" s="322" t="s">
        <v>229</v>
      </c>
      <c r="W44" s="323"/>
      <c r="X44" s="323"/>
      <c r="Y44" s="323"/>
      <c r="Z44" s="323"/>
    </row>
    <row r="45" s="291" customFormat="1" ht="64" customHeight="1" spans="1:26">
      <c r="A45" s="297" t="s">
        <v>336</v>
      </c>
      <c r="B45" s="298" t="s">
        <v>337</v>
      </c>
      <c r="C45" s="299" t="s">
        <v>53</v>
      </c>
      <c r="D45" s="300" t="s">
        <v>338</v>
      </c>
      <c r="E45" s="304" t="s">
        <v>339</v>
      </c>
      <c r="F45" s="304" t="s">
        <v>138</v>
      </c>
      <c r="G45" s="304" t="s">
        <v>340</v>
      </c>
      <c r="H45" s="304" t="s">
        <v>123</v>
      </c>
      <c r="I45" s="304" t="s">
        <v>123</v>
      </c>
      <c r="J45" s="304" t="s">
        <v>322</v>
      </c>
      <c r="K45" s="304" t="s">
        <v>299</v>
      </c>
      <c r="L45" s="307" t="s">
        <v>204</v>
      </c>
      <c r="M45" s="314"/>
      <c r="N45" s="309"/>
      <c r="O45" s="310" t="s">
        <v>129</v>
      </c>
      <c r="P45" s="311">
        <v>2.9</v>
      </c>
      <c r="Q45" s="317" t="s">
        <v>341</v>
      </c>
      <c r="R45" s="317" t="s">
        <v>290</v>
      </c>
      <c r="S45" s="318" t="s">
        <v>132</v>
      </c>
      <c r="T45" s="319">
        <v>2.78</v>
      </c>
      <c r="U45" s="322" t="s">
        <v>163</v>
      </c>
      <c r="V45" s="322" t="s">
        <v>229</v>
      </c>
      <c r="W45" s="323"/>
      <c r="X45" s="323"/>
      <c r="Y45" s="323"/>
      <c r="Z45" s="323"/>
    </row>
    <row r="46" s="291" customFormat="1" ht="64" customHeight="1" spans="1:26">
      <c r="A46" s="297"/>
      <c r="B46" s="298"/>
      <c r="C46" s="301"/>
      <c r="D46" s="300"/>
      <c r="E46" s="304"/>
      <c r="F46" s="304"/>
      <c r="G46" s="304"/>
      <c r="H46" s="304"/>
      <c r="I46" s="304"/>
      <c r="J46" s="304"/>
      <c r="K46" s="304"/>
      <c r="L46" s="307"/>
      <c r="M46" s="314"/>
      <c r="N46" s="309"/>
      <c r="O46" s="310"/>
      <c r="P46" s="311"/>
      <c r="Q46" s="317"/>
      <c r="R46" s="317"/>
      <c r="S46" s="318"/>
      <c r="T46" s="319"/>
      <c r="U46" s="322"/>
      <c r="V46" s="322"/>
      <c r="W46" s="323"/>
      <c r="X46" s="323"/>
      <c r="Y46" s="323"/>
      <c r="Z46" s="323"/>
    </row>
    <row r="47" s="291" customFormat="1" ht="64" customHeight="1" spans="1:26">
      <c r="A47" s="297"/>
      <c r="B47" s="298"/>
      <c r="C47" s="301"/>
      <c r="D47" s="300"/>
      <c r="E47" s="304"/>
      <c r="F47" s="304"/>
      <c r="G47" s="304"/>
      <c r="H47" s="304"/>
      <c r="I47" s="304"/>
      <c r="J47" s="304"/>
      <c r="K47" s="304"/>
      <c r="L47" s="307"/>
      <c r="M47" s="314"/>
      <c r="N47" s="309"/>
      <c r="O47" s="310"/>
      <c r="P47" s="311"/>
      <c r="Q47" s="317"/>
      <c r="R47" s="317"/>
      <c r="S47" s="318"/>
      <c r="T47" s="319"/>
      <c r="U47" s="322"/>
      <c r="V47" s="322"/>
      <c r="W47" s="323"/>
      <c r="X47" s="323"/>
      <c r="Y47" s="323"/>
      <c r="Z47" s="323"/>
    </row>
    <row r="48" s="291" customFormat="1" ht="66" customHeight="1" spans="1:23">
      <c r="A48" s="292" t="s">
        <v>342</v>
      </c>
      <c r="B48" s="293"/>
      <c r="C48" s="293"/>
      <c r="D48" s="294"/>
      <c r="E48" s="302"/>
      <c r="F48" s="302"/>
      <c r="G48" s="303"/>
      <c r="H48" s="294"/>
      <c r="I48" s="305"/>
      <c r="J48" s="306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320"/>
      <c r="W48" s="320"/>
    </row>
    <row r="49" s="291" customFormat="1" ht="54" customHeight="1" spans="1:26">
      <c r="A49" s="295" t="s">
        <v>343</v>
      </c>
      <c r="B49" s="295" t="s">
        <v>100</v>
      </c>
      <c r="C49" s="296" t="s">
        <v>101</v>
      </c>
      <c r="D49" s="296" t="s">
        <v>102</v>
      </c>
      <c r="E49" s="296" t="s">
        <v>103</v>
      </c>
      <c r="F49" s="296" t="s">
        <v>104</v>
      </c>
      <c r="G49" s="296" t="s">
        <v>105</v>
      </c>
      <c r="H49" s="296" t="s">
        <v>106</v>
      </c>
      <c r="I49" s="296" t="s">
        <v>107</v>
      </c>
      <c r="J49" s="296" t="s">
        <v>108</v>
      </c>
      <c r="K49" s="296" t="s">
        <v>109</v>
      </c>
      <c r="L49" s="296" t="s">
        <v>110</v>
      </c>
      <c r="M49" s="296" t="s">
        <v>111</v>
      </c>
      <c r="N49" s="296" t="s">
        <v>112</v>
      </c>
      <c r="O49" s="308" t="s">
        <v>113</v>
      </c>
      <c r="P49" s="308" t="s">
        <v>114</v>
      </c>
      <c r="Q49" s="308" t="s">
        <v>115</v>
      </c>
      <c r="R49" s="308" t="s">
        <v>116</v>
      </c>
      <c r="S49" s="316" t="s">
        <v>117</v>
      </c>
      <c r="T49" s="316" t="s">
        <v>114</v>
      </c>
      <c r="U49" s="316" t="s">
        <v>115</v>
      </c>
      <c r="V49" s="316" t="s">
        <v>116</v>
      </c>
      <c r="W49" s="321" t="s">
        <v>118</v>
      </c>
      <c r="X49" s="321" t="s">
        <v>114</v>
      </c>
      <c r="Y49" s="321" t="s">
        <v>115</v>
      </c>
      <c r="Z49" s="321" t="s">
        <v>116</v>
      </c>
    </row>
    <row r="50" s="291" customFormat="1" ht="64" customHeight="1" spans="1:26">
      <c r="A50" s="297" t="s">
        <v>344</v>
      </c>
      <c r="B50" s="298" t="s">
        <v>345</v>
      </c>
      <c r="C50" s="299" t="s">
        <v>53</v>
      </c>
      <c r="D50" s="300" t="s">
        <v>346</v>
      </c>
      <c r="E50" s="304" t="s">
        <v>339</v>
      </c>
      <c r="F50" s="304" t="s">
        <v>138</v>
      </c>
      <c r="G50" s="304" t="s">
        <v>347</v>
      </c>
      <c r="H50" s="304" t="s">
        <v>123</v>
      </c>
      <c r="I50" s="304" t="s">
        <v>123</v>
      </c>
      <c r="J50" s="304" t="s">
        <v>322</v>
      </c>
      <c r="K50" s="304" t="s">
        <v>348</v>
      </c>
      <c r="L50" s="307" t="s">
        <v>204</v>
      </c>
      <c r="M50" s="314" t="s">
        <v>248</v>
      </c>
      <c r="N50" s="309">
        <v>0.05</v>
      </c>
      <c r="O50" s="310" t="s">
        <v>129</v>
      </c>
      <c r="P50" s="311">
        <v>2.75</v>
      </c>
      <c r="Q50" s="317" t="s">
        <v>258</v>
      </c>
      <c r="R50" s="317" t="s">
        <v>172</v>
      </c>
      <c r="S50" s="318" t="s">
        <v>132</v>
      </c>
      <c r="T50" s="319">
        <v>2.78</v>
      </c>
      <c r="U50" s="322" t="s">
        <v>281</v>
      </c>
      <c r="V50" s="322" t="s">
        <v>282</v>
      </c>
      <c r="W50" s="323"/>
      <c r="X50" s="323"/>
      <c r="Y50" s="323"/>
      <c r="Z50" s="323"/>
    </row>
    <row r="51" s="291" customFormat="1" ht="64" customHeight="1" spans="1:26">
      <c r="A51" s="297" t="s">
        <v>349</v>
      </c>
      <c r="B51" s="298" t="s">
        <v>350</v>
      </c>
      <c r="C51" s="299" t="s">
        <v>53</v>
      </c>
      <c r="D51" s="300" t="s">
        <v>346</v>
      </c>
      <c r="E51" s="304" t="s">
        <v>339</v>
      </c>
      <c r="F51" s="304" t="s">
        <v>154</v>
      </c>
      <c r="G51" s="304" t="s">
        <v>351</v>
      </c>
      <c r="H51" s="304" t="s">
        <v>123</v>
      </c>
      <c r="I51" s="304" t="s">
        <v>123</v>
      </c>
      <c r="J51" s="304" t="s">
        <v>322</v>
      </c>
      <c r="K51" s="304" t="s">
        <v>348</v>
      </c>
      <c r="L51" s="307" t="s">
        <v>204</v>
      </c>
      <c r="M51" s="314" t="s">
        <v>220</v>
      </c>
      <c r="N51" s="309">
        <v>0.0851</v>
      </c>
      <c r="O51" s="310" t="s">
        <v>129</v>
      </c>
      <c r="P51" s="311">
        <v>2.75</v>
      </c>
      <c r="Q51" s="317" t="s">
        <v>352</v>
      </c>
      <c r="R51" s="317" t="s">
        <v>290</v>
      </c>
      <c r="S51" s="318" t="s">
        <v>132</v>
      </c>
      <c r="T51" s="319">
        <v>2.78</v>
      </c>
      <c r="U51" s="322" t="s">
        <v>222</v>
      </c>
      <c r="V51" s="322" t="s">
        <v>265</v>
      </c>
      <c r="W51" s="323"/>
      <c r="X51" s="323"/>
      <c r="Y51" s="323"/>
      <c r="Z51" s="323"/>
    </row>
    <row r="52" s="291" customFormat="1" ht="64" customHeight="1" spans="1:26">
      <c r="A52" s="297" t="s">
        <v>353</v>
      </c>
      <c r="B52" s="298" t="s">
        <v>354</v>
      </c>
      <c r="C52" s="299" t="s">
        <v>53</v>
      </c>
      <c r="D52" s="300" t="s">
        <v>355</v>
      </c>
      <c r="E52" s="304" t="s">
        <v>339</v>
      </c>
      <c r="F52" s="304" t="s">
        <v>147</v>
      </c>
      <c r="G52" s="304" t="s">
        <v>356</v>
      </c>
      <c r="H52" s="304" t="s">
        <v>123</v>
      </c>
      <c r="I52" s="304" t="s">
        <v>123</v>
      </c>
      <c r="J52" s="304" t="s">
        <v>322</v>
      </c>
      <c r="K52" s="304" t="s">
        <v>348</v>
      </c>
      <c r="L52" s="307" t="s">
        <v>204</v>
      </c>
      <c r="M52" s="314" t="s">
        <v>357</v>
      </c>
      <c r="N52" s="309">
        <v>0.0571</v>
      </c>
      <c r="O52" s="310" t="s">
        <v>129</v>
      </c>
      <c r="P52" s="311">
        <v>2.75</v>
      </c>
      <c r="Q52" s="317" t="s">
        <v>281</v>
      </c>
      <c r="R52" s="317" t="s">
        <v>358</v>
      </c>
      <c r="S52" s="318" t="s">
        <v>132</v>
      </c>
      <c r="T52" s="319">
        <v>2.78</v>
      </c>
      <c r="U52" s="322" t="s">
        <v>359</v>
      </c>
      <c r="V52" s="322" t="s">
        <v>290</v>
      </c>
      <c r="W52" s="323"/>
      <c r="X52" s="323"/>
      <c r="Y52" s="323"/>
      <c r="Z52" s="323"/>
    </row>
    <row r="53" s="291" customFormat="1" ht="64" customHeight="1" spans="1:26">
      <c r="A53" s="297" t="s">
        <v>360</v>
      </c>
      <c r="B53" s="298" t="s">
        <v>361</v>
      </c>
      <c r="C53" s="299" t="s">
        <v>53</v>
      </c>
      <c r="D53" s="300" t="s">
        <v>362</v>
      </c>
      <c r="E53" s="304" t="s">
        <v>339</v>
      </c>
      <c r="F53" s="304" t="s">
        <v>204</v>
      </c>
      <c r="G53" s="304" t="s">
        <v>363</v>
      </c>
      <c r="H53" s="304" t="s">
        <v>123</v>
      </c>
      <c r="I53" s="304" t="s">
        <v>123</v>
      </c>
      <c r="J53" s="304" t="s">
        <v>322</v>
      </c>
      <c r="K53" s="304" t="s">
        <v>348</v>
      </c>
      <c r="L53" s="307" t="s">
        <v>204</v>
      </c>
      <c r="M53" s="314"/>
      <c r="N53" s="309"/>
      <c r="O53" s="310" t="s">
        <v>129</v>
      </c>
      <c r="P53" s="311">
        <v>2.75</v>
      </c>
      <c r="Q53" s="317" t="s">
        <v>314</v>
      </c>
      <c r="R53" s="317" t="s">
        <v>364</v>
      </c>
      <c r="S53" s="318" t="s">
        <v>132</v>
      </c>
      <c r="T53" s="319">
        <v>2.78</v>
      </c>
      <c r="U53" s="322" t="s">
        <v>281</v>
      </c>
      <c r="V53" s="322" t="s">
        <v>229</v>
      </c>
      <c r="W53" s="323"/>
      <c r="X53" s="323"/>
      <c r="Y53" s="323"/>
      <c r="Z53" s="323"/>
    </row>
    <row r="54" s="291" customFormat="1" ht="66" customHeight="1" spans="1:23">
      <c r="A54" s="292" t="s">
        <v>365</v>
      </c>
      <c r="B54" s="293"/>
      <c r="C54" s="293"/>
      <c r="D54" s="294"/>
      <c r="E54" s="302"/>
      <c r="F54" s="302"/>
      <c r="G54" s="303"/>
      <c r="H54" s="294"/>
      <c r="I54" s="305"/>
      <c r="J54" s="306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320"/>
      <c r="W54" s="320"/>
    </row>
    <row r="55" s="291" customFormat="1" ht="54" customHeight="1" spans="1:26">
      <c r="A55" s="295" t="s">
        <v>366</v>
      </c>
      <c r="B55" s="295" t="s">
        <v>100</v>
      </c>
      <c r="C55" s="296" t="s">
        <v>101</v>
      </c>
      <c r="D55" s="296" t="s">
        <v>102</v>
      </c>
      <c r="E55" s="296" t="s">
        <v>103</v>
      </c>
      <c r="F55" s="296" t="s">
        <v>104</v>
      </c>
      <c r="G55" s="296" t="s">
        <v>105</v>
      </c>
      <c r="H55" s="296" t="s">
        <v>106</v>
      </c>
      <c r="I55" s="296" t="s">
        <v>107</v>
      </c>
      <c r="J55" s="296" t="s">
        <v>108</v>
      </c>
      <c r="K55" s="296" t="s">
        <v>109</v>
      </c>
      <c r="L55" s="296" t="s">
        <v>110</v>
      </c>
      <c r="M55" s="296" t="s">
        <v>111</v>
      </c>
      <c r="N55" s="296" t="s">
        <v>112</v>
      </c>
      <c r="O55" s="308" t="s">
        <v>113</v>
      </c>
      <c r="P55" s="308" t="s">
        <v>114</v>
      </c>
      <c r="Q55" s="308" t="s">
        <v>115</v>
      </c>
      <c r="R55" s="308" t="s">
        <v>116</v>
      </c>
      <c r="S55" s="316" t="s">
        <v>117</v>
      </c>
      <c r="T55" s="316" t="s">
        <v>114</v>
      </c>
      <c r="U55" s="316" t="s">
        <v>115</v>
      </c>
      <c r="V55" s="316" t="s">
        <v>116</v>
      </c>
      <c r="W55" s="321" t="s">
        <v>118</v>
      </c>
      <c r="X55" s="321" t="s">
        <v>114</v>
      </c>
      <c r="Y55" s="321" t="s">
        <v>115</v>
      </c>
      <c r="Z55" s="321" t="s">
        <v>116</v>
      </c>
    </row>
    <row r="56" s="291" customFormat="1" ht="64" customHeight="1" spans="1:26">
      <c r="A56" s="297" t="s">
        <v>367</v>
      </c>
      <c r="B56" s="298" t="s">
        <v>368</v>
      </c>
      <c r="C56" s="299" t="s">
        <v>53</v>
      </c>
      <c r="D56" s="300" t="s">
        <v>369</v>
      </c>
      <c r="E56" s="304" t="s">
        <v>339</v>
      </c>
      <c r="F56" s="304" t="s">
        <v>138</v>
      </c>
      <c r="G56" s="304" t="s">
        <v>370</v>
      </c>
      <c r="H56" s="304" t="s">
        <v>123</v>
      </c>
      <c r="I56" s="304" t="s">
        <v>123</v>
      </c>
      <c r="J56" s="304" t="s">
        <v>322</v>
      </c>
      <c r="K56" s="304" t="s">
        <v>371</v>
      </c>
      <c r="L56" s="307" t="s">
        <v>204</v>
      </c>
      <c r="M56" s="314"/>
      <c r="N56" s="309"/>
      <c r="O56" s="310" t="s">
        <v>129</v>
      </c>
      <c r="P56" s="311">
        <v>2.75</v>
      </c>
      <c r="Q56" s="317" t="s">
        <v>359</v>
      </c>
      <c r="R56" s="317" t="s">
        <v>229</v>
      </c>
      <c r="S56" s="318" t="s">
        <v>132</v>
      </c>
      <c r="T56" s="319">
        <v>2.78</v>
      </c>
      <c r="U56" s="322" t="s">
        <v>222</v>
      </c>
      <c r="V56" s="322" t="s">
        <v>172</v>
      </c>
      <c r="W56" s="323"/>
      <c r="X56" s="323"/>
      <c r="Y56" s="323"/>
      <c r="Z56" s="323"/>
    </row>
    <row r="57" s="291" customFormat="1" ht="64" customHeight="1" spans="1:26">
      <c r="A57" s="297" t="s">
        <v>372</v>
      </c>
      <c r="B57" s="298" t="s">
        <v>373</v>
      </c>
      <c r="C57" s="299" t="s">
        <v>53</v>
      </c>
      <c r="D57" s="300" t="s">
        <v>374</v>
      </c>
      <c r="E57" s="304" t="s">
        <v>339</v>
      </c>
      <c r="F57" s="304" t="s">
        <v>147</v>
      </c>
      <c r="G57" s="304" t="s">
        <v>375</v>
      </c>
      <c r="H57" s="304" t="s">
        <v>123</v>
      </c>
      <c r="I57" s="304" t="s">
        <v>123</v>
      </c>
      <c r="J57" s="304" t="s">
        <v>322</v>
      </c>
      <c r="K57" s="304" t="s">
        <v>371</v>
      </c>
      <c r="L57" s="307" t="s">
        <v>204</v>
      </c>
      <c r="M57" s="314" t="s">
        <v>257</v>
      </c>
      <c r="N57" s="313">
        <v>0.0408</v>
      </c>
      <c r="O57" s="310" t="s">
        <v>129</v>
      </c>
      <c r="P57" s="311">
        <v>2.75</v>
      </c>
      <c r="Q57" s="317" t="s">
        <v>258</v>
      </c>
      <c r="R57" s="317" t="s">
        <v>290</v>
      </c>
      <c r="S57" s="318" t="s">
        <v>132</v>
      </c>
      <c r="T57" s="319">
        <v>2.78</v>
      </c>
      <c r="U57" s="322" t="s">
        <v>376</v>
      </c>
      <c r="V57" s="322" t="s">
        <v>282</v>
      </c>
      <c r="W57" s="323"/>
      <c r="X57" s="323"/>
      <c r="Y57" s="323"/>
      <c r="Z57" s="323"/>
    </row>
    <row r="58" s="291" customFormat="1" ht="64" customHeight="1" spans="1:26">
      <c r="A58" s="297" t="s">
        <v>377</v>
      </c>
      <c r="B58" s="298" t="s">
        <v>378</v>
      </c>
      <c r="C58" s="299" t="s">
        <v>53</v>
      </c>
      <c r="D58" s="300" t="s">
        <v>379</v>
      </c>
      <c r="E58" s="304" t="s">
        <v>339</v>
      </c>
      <c r="F58" s="304" t="s">
        <v>123</v>
      </c>
      <c r="G58" s="304" t="s">
        <v>375</v>
      </c>
      <c r="H58" s="304" t="s">
        <v>123</v>
      </c>
      <c r="I58" s="304" t="s">
        <v>123</v>
      </c>
      <c r="J58" s="304" t="s">
        <v>322</v>
      </c>
      <c r="K58" s="304" t="s">
        <v>371</v>
      </c>
      <c r="L58" s="307" t="s">
        <v>204</v>
      </c>
      <c r="M58" s="314"/>
      <c r="N58" s="309"/>
      <c r="O58" s="310" t="s">
        <v>129</v>
      </c>
      <c r="P58" s="311">
        <v>2.75</v>
      </c>
      <c r="Q58" s="317" t="s">
        <v>258</v>
      </c>
      <c r="R58" s="317" t="s">
        <v>380</v>
      </c>
      <c r="S58" s="318" t="s">
        <v>132</v>
      </c>
      <c r="T58" s="319">
        <v>2.78</v>
      </c>
      <c r="U58" s="322" t="s">
        <v>272</v>
      </c>
      <c r="V58" s="322" t="s">
        <v>381</v>
      </c>
      <c r="W58" s="323"/>
      <c r="X58" s="323"/>
      <c r="Y58" s="323"/>
      <c r="Z58" s="323"/>
    </row>
    <row r="59" s="291" customFormat="1" ht="64" customHeight="1" spans="1:26">
      <c r="A59" s="297" t="s">
        <v>382</v>
      </c>
      <c r="B59" s="298" t="s">
        <v>383</v>
      </c>
      <c r="C59" s="299" t="s">
        <v>53</v>
      </c>
      <c r="D59" s="300" t="s">
        <v>384</v>
      </c>
      <c r="E59" s="304" t="s">
        <v>339</v>
      </c>
      <c r="F59" s="304" t="s">
        <v>127</v>
      </c>
      <c r="G59" s="304" t="s">
        <v>385</v>
      </c>
      <c r="H59" s="304" t="s">
        <v>123</v>
      </c>
      <c r="I59" s="304" t="s">
        <v>123</v>
      </c>
      <c r="J59" s="304" t="s">
        <v>322</v>
      </c>
      <c r="K59" s="304" t="s">
        <v>371</v>
      </c>
      <c r="L59" s="307" t="s">
        <v>204</v>
      </c>
      <c r="M59" s="314"/>
      <c r="N59" s="309"/>
      <c r="O59" s="310" t="s">
        <v>129</v>
      </c>
      <c r="P59" s="311">
        <v>2.75</v>
      </c>
      <c r="Q59" s="317" t="s">
        <v>235</v>
      </c>
      <c r="R59" s="317" t="s">
        <v>386</v>
      </c>
      <c r="S59" s="318" t="s">
        <v>132</v>
      </c>
      <c r="T59" s="319">
        <v>2.78</v>
      </c>
      <c r="U59" s="322" t="s">
        <v>281</v>
      </c>
      <c r="V59" s="322" t="s">
        <v>163</v>
      </c>
      <c r="W59" s="323"/>
      <c r="X59" s="323"/>
      <c r="Y59" s="323"/>
      <c r="Z59" s="323"/>
    </row>
    <row r="60" s="291" customFormat="1" ht="64" customHeight="1" spans="1:26">
      <c r="A60" s="297" t="s">
        <v>387</v>
      </c>
      <c r="B60" s="298" t="s">
        <v>388</v>
      </c>
      <c r="C60" s="299" t="s">
        <v>53</v>
      </c>
      <c r="D60" s="300" t="s">
        <v>389</v>
      </c>
      <c r="E60" s="304" t="s">
        <v>320</v>
      </c>
      <c r="F60" s="304" t="s">
        <v>123</v>
      </c>
      <c r="G60" s="304" t="s">
        <v>385</v>
      </c>
      <c r="H60" s="304" t="s">
        <v>123</v>
      </c>
      <c r="I60" s="304" t="s">
        <v>123</v>
      </c>
      <c r="J60" s="304" t="s">
        <v>390</v>
      </c>
      <c r="K60" s="304" t="s">
        <v>391</v>
      </c>
      <c r="L60" s="307" t="s">
        <v>204</v>
      </c>
      <c r="M60" s="314"/>
      <c r="N60" s="309"/>
      <c r="O60" s="310" t="s">
        <v>129</v>
      </c>
      <c r="P60" s="311">
        <v>2.75</v>
      </c>
      <c r="Q60" s="317" t="s">
        <v>162</v>
      </c>
      <c r="R60" s="317" t="s">
        <v>392</v>
      </c>
      <c r="S60" s="318" t="s">
        <v>132</v>
      </c>
      <c r="T60" s="319">
        <v>2.78</v>
      </c>
      <c r="U60" s="322" t="s">
        <v>303</v>
      </c>
      <c r="V60" s="322" t="s">
        <v>143</v>
      </c>
      <c r="W60" s="323"/>
      <c r="X60" s="323"/>
      <c r="Y60" s="323"/>
      <c r="Z60" s="323"/>
    </row>
    <row r="61" s="291" customFormat="1" ht="66" customHeight="1" spans="1:23">
      <c r="A61" s="292" t="s">
        <v>393</v>
      </c>
      <c r="B61" s="293"/>
      <c r="C61" s="293"/>
      <c r="D61" s="294"/>
      <c r="E61" s="302"/>
      <c r="F61" s="302"/>
      <c r="G61" s="303"/>
      <c r="H61" s="294"/>
      <c r="I61" s="305"/>
      <c r="J61" s="306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320"/>
      <c r="W61" s="320"/>
    </row>
    <row r="62" s="291" customFormat="1" ht="54" customHeight="1" spans="1:26">
      <c r="A62" s="295" t="s">
        <v>394</v>
      </c>
      <c r="B62" s="295" t="s">
        <v>100</v>
      </c>
      <c r="C62" s="296" t="s">
        <v>101</v>
      </c>
      <c r="D62" s="296" t="s">
        <v>102</v>
      </c>
      <c r="E62" s="296" t="s">
        <v>103</v>
      </c>
      <c r="F62" s="296" t="s">
        <v>104</v>
      </c>
      <c r="G62" s="296" t="s">
        <v>105</v>
      </c>
      <c r="H62" s="296" t="s">
        <v>106</v>
      </c>
      <c r="I62" s="296" t="s">
        <v>107</v>
      </c>
      <c r="J62" s="296" t="s">
        <v>108</v>
      </c>
      <c r="K62" s="296" t="s">
        <v>109</v>
      </c>
      <c r="L62" s="296" t="s">
        <v>110</v>
      </c>
      <c r="M62" s="296" t="s">
        <v>111</v>
      </c>
      <c r="N62" s="296" t="s">
        <v>112</v>
      </c>
      <c r="O62" s="308" t="s">
        <v>113</v>
      </c>
      <c r="P62" s="308" t="s">
        <v>114</v>
      </c>
      <c r="Q62" s="308" t="s">
        <v>115</v>
      </c>
      <c r="R62" s="308" t="s">
        <v>116</v>
      </c>
      <c r="S62" s="316" t="s">
        <v>117</v>
      </c>
      <c r="T62" s="316" t="s">
        <v>114</v>
      </c>
      <c r="U62" s="316" t="s">
        <v>115</v>
      </c>
      <c r="V62" s="316" t="s">
        <v>116</v>
      </c>
      <c r="W62" s="321" t="s">
        <v>118</v>
      </c>
      <c r="X62" s="321" t="s">
        <v>114</v>
      </c>
      <c r="Y62" s="321" t="s">
        <v>115</v>
      </c>
      <c r="Z62" s="321" t="s">
        <v>116</v>
      </c>
    </row>
    <row r="63" s="291" customFormat="1" ht="64" customHeight="1" spans="1:26">
      <c r="A63" s="297" t="s">
        <v>395</v>
      </c>
      <c r="B63" s="298" t="s">
        <v>396</v>
      </c>
      <c r="C63" s="299" t="s">
        <v>53</v>
      </c>
      <c r="D63" s="300" t="s">
        <v>397</v>
      </c>
      <c r="E63" s="304" t="s">
        <v>320</v>
      </c>
      <c r="F63" s="304" t="s">
        <v>147</v>
      </c>
      <c r="G63" s="304" t="s">
        <v>398</v>
      </c>
      <c r="H63" s="304" t="s">
        <v>123</v>
      </c>
      <c r="I63" s="304" t="s">
        <v>123</v>
      </c>
      <c r="J63" s="304" t="s">
        <v>322</v>
      </c>
      <c r="K63" s="304" t="s">
        <v>287</v>
      </c>
      <c r="L63" s="307" t="s">
        <v>204</v>
      </c>
      <c r="M63" s="314" t="s">
        <v>399</v>
      </c>
      <c r="N63" s="309">
        <v>0.0714</v>
      </c>
      <c r="O63" s="310" t="s">
        <v>129</v>
      </c>
      <c r="P63" s="311">
        <v>2.75</v>
      </c>
      <c r="Q63" s="317" t="s">
        <v>266</v>
      </c>
      <c r="R63" s="317" t="s">
        <v>268</v>
      </c>
      <c r="S63" s="318" t="s">
        <v>132</v>
      </c>
      <c r="T63" s="319">
        <v>2.78</v>
      </c>
      <c r="U63" s="322" t="s">
        <v>180</v>
      </c>
      <c r="V63" s="322" t="s">
        <v>268</v>
      </c>
      <c r="W63" s="323"/>
      <c r="X63" s="323"/>
      <c r="Y63" s="323"/>
      <c r="Z63" s="323"/>
    </row>
    <row r="64" s="291" customFormat="1" ht="64" customHeight="1" spans="1:26">
      <c r="A64" s="297" t="s">
        <v>400</v>
      </c>
      <c r="B64" s="298" t="s">
        <v>401</v>
      </c>
      <c r="C64" s="299" t="s">
        <v>53</v>
      </c>
      <c r="D64" s="300" t="s">
        <v>402</v>
      </c>
      <c r="E64" s="304" t="s">
        <v>320</v>
      </c>
      <c r="F64" s="304" t="s">
        <v>123</v>
      </c>
      <c r="G64" s="304" t="s">
        <v>398</v>
      </c>
      <c r="H64" s="304" t="s">
        <v>123</v>
      </c>
      <c r="I64" s="304" t="s">
        <v>123</v>
      </c>
      <c r="J64" s="304" t="s">
        <v>322</v>
      </c>
      <c r="K64" s="304" t="s">
        <v>287</v>
      </c>
      <c r="L64" s="307" t="s">
        <v>204</v>
      </c>
      <c r="M64" s="314"/>
      <c r="N64" s="309"/>
      <c r="O64" s="310" t="s">
        <v>129</v>
      </c>
      <c r="P64" s="311">
        <v>2.75</v>
      </c>
      <c r="Q64" s="317" t="s">
        <v>258</v>
      </c>
      <c r="R64" s="317" t="s">
        <v>172</v>
      </c>
      <c r="S64" s="318" t="s">
        <v>132</v>
      </c>
      <c r="T64" s="319">
        <v>2.78</v>
      </c>
      <c r="U64" s="322" t="s">
        <v>290</v>
      </c>
      <c r="V64" s="322" t="s">
        <v>403</v>
      </c>
      <c r="W64" s="323"/>
      <c r="X64" s="323"/>
      <c r="Y64" s="323"/>
      <c r="Z64" s="323"/>
    </row>
    <row r="65" s="291" customFormat="1" ht="64" customHeight="1" spans="1:26">
      <c r="A65" s="297" t="s">
        <v>404</v>
      </c>
      <c r="B65" s="298" t="s">
        <v>405</v>
      </c>
      <c r="C65" s="299" t="s">
        <v>53</v>
      </c>
      <c r="D65" s="300" t="s">
        <v>406</v>
      </c>
      <c r="E65" s="304" t="s">
        <v>320</v>
      </c>
      <c r="F65" s="304" t="s">
        <v>147</v>
      </c>
      <c r="G65" s="304" t="s">
        <v>407</v>
      </c>
      <c r="H65" s="304" t="s">
        <v>123</v>
      </c>
      <c r="I65" s="304" t="s">
        <v>123</v>
      </c>
      <c r="J65" s="304" t="s">
        <v>322</v>
      </c>
      <c r="K65" s="304" t="s">
        <v>287</v>
      </c>
      <c r="L65" s="307" t="s">
        <v>204</v>
      </c>
      <c r="M65" s="314"/>
      <c r="N65" s="309"/>
      <c r="O65" s="310" t="s">
        <v>129</v>
      </c>
      <c r="P65" s="311">
        <v>2.75</v>
      </c>
      <c r="Q65" s="317" t="s">
        <v>281</v>
      </c>
      <c r="R65" s="317" t="s">
        <v>303</v>
      </c>
      <c r="S65" s="318" t="s">
        <v>132</v>
      </c>
      <c r="T65" s="319">
        <v>2.78</v>
      </c>
      <c r="U65" s="322" t="s">
        <v>222</v>
      </c>
      <c r="V65" s="322" t="s">
        <v>134</v>
      </c>
      <c r="W65" s="323"/>
      <c r="X65" s="323"/>
      <c r="Y65" s="323"/>
      <c r="Z65" s="323"/>
    </row>
    <row r="66" s="291" customFormat="1" ht="64" customHeight="1" spans="1:26">
      <c r="A66" s="297"/>
      <c r="B66" s="298"/>
      <c r="C66" s="299"/>
      <c r="D66" s="300"/>
      <c r="E66" s="304"/>
      <c r="F66" s="304"/>
      <c r="G66" s="304"/>
      <c r="H66" s="304"/>
      <c r="I66" s="304"/>
      <c r="J66" s="304"/>
      <c r="K66" s="304"/>
      <c r="L66" s="307"/>
      <c r="M66" s="314"/>
      <c r="N66" s="309"/>
      <c r="O66" s="310"/>
      <c r="P66" s="311"/>
      <c r="Q66" s="317"/>
      <c r="R66" s="317"/>
      <c r="S66" s="318"/>
      <c r="T66" s="319"/>
      <c r="U66" s="322"/>
      <c r="V66" s="322"/>
      <c r="W66" s="323"/>
      <c r="X66" s="323"/>
      <c r="Y66" s="323"/>
      <c r="Z66" s="323"/>
    </row>
    <row r="67" s="291" customFormat="1" ht="64" customHeight="1" spans="1:26">
      <c r="A67" s="297"/>
      <c r="B67" s="298"/>
      <c r="C67" s="299"/>
      <c r="D67" s="300"/>
      <c r="E67" s="304"/>
      <c r="F67" s="304"/>
      <c r="G67" s="304"/>
      <c r="H67" s="304"/>
      <c r="I67" s="304"/>
      <c r="J67" s="304"/>
      <c r="K67" s="304"/>
      <c r="L67" s="307"/>
      <c r="M67" s="314"/>
      <c r="N67" s="309"/>
      <c r="O67" s="310"/>
      <c r="P67" s="311"/>
      <c r="Q67" s="317"/>
      <c r="R67" s="317"/>
      <c r="S67" s="318"/>
      <c r="T67" s="319"/>
      <c r="U67" s="322"/>
      <c r="V67" s="322"/>
      <c r="W67" s="323"/>
      <c r="X67" s="323"/>
      <c r="Y67" s="323"/>
      <c r="Z67" s="323"/>
    </row>
    <row r="68" s="291" customFormat="1" ht="66" customHeight="1" spans="1:23">
      <c r="A68" s="292" t="s">
        <v>408</v>
      </c>
      <c r="B68" s="293"/>
      <c r="C68" s="293"/>
      <c r="D68" s="294"/>
      <c r="E68" s="302"/>
      <c r="F68" s="302"/>
      <c r="G68" s="303"/>
      <c r="H68" s="294"/>
      <c r="I68" s="305"/>
      <c r="J68" s="306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320"/>
      <c r="W68" s="320"/>
    </row>
    <row r="69" s="291" customFormat="1" ht="54" customHeight="1" spans="1:26">
      <c r="A69" s="295" t="s">
        <v>409</v>
      </c>
      <c r="B69" s="295" t="s">
        <v>100</v>
      </c>
      <c r="C69" s="296" t="s">
        <v>101</v>
      </c>
      <c r="D69" s="296" t="s">
        <v>102</v>
      </c>
      <c r="E69" s="296" t="s">
        <v>103</v>
      </c>
      <c r="F69" s="296" t="s">
        <v>104</v>
      </c>
      <c r="G69" s="296" t="s">
        <v>105</v>
      </c>
      <c r="H69" s="296" t="s">
        <v>106</v>
      </c>
      <c r="I69" s="296" t="s">
        <v>107</v>
      </c>
      <c r="J69" s="296" t="s">
        <v>108</v>
      </c>
      <c r="K69" s="296" t="s">
        <v>109</v>
      </c>
      <c r="L69" s="296" t="s">
        <v>110</v>
      </c>
      <c r="M69" s="296" t="s">
        <v>111</v>
      </c>
      <c r="N69" s="296" t="s">
        <v>112</v>
      </c>
      <c r="O69" s="308" t="s">
        <v>113</v>
      </c>
      <c r="P69" s="308" t="s">
        <v>114</v>
      </c>
      <c r="Q69" s="308" t="s">
        <v>115</v>
      </c>
      <c r="R69" s="308" t="s">
        <v>116</v>
      </c>
      <c r="S69" s="316" t="s">
        <v>117</v>
      </c>
      <c r="T69" s="316" t="s">
        <v>114</v>
      </c>
      <c r="U69" s="316" t="s">
        <v>115</v>
      </c>
      <c r="V69" s="316" t="s">
        <v>116</v>
      </c>
      <c r="W69" s="321" t="s">
        <v>118</v>
      </c>
      <c r="X69" s="321" t="s">
        <v>114</v>
      </c>
      <c r="Y69" s="321" t="s">
        <v>115</v>
      </c>
      <c r="Z69" s="321" t="s">
        <v>116</v>
      </c>
    </row>
    <row r="70" s="291" customFormat="1" ht="64" customHeight="1" spans="1:26">
      <c r="A70" s="297" t="s">
        <v>410</v>
      </c>
      <c r="B70" s="298" t="s">
        <v>411</v>
      </c>
      <c r="C70" s="299"/>
      <c r="D70" s="300" t="s">
        <v>412</v>
      </c>
      <c r="E70" s="304" t="s">
        <v>320</v>
      </c>
      <c r="F70" s="304" t="s">
        <v>147</v>
      </c>
      <c r="G70" s="304" t="s">
        <v>413</v>
      </c>
      <c r="H70" s="304" t="s">
        <v>123</v>
      </c>
      <c r="I70" s="304" t="s">
        <v>123</v>
      </c>
      <c r="J70" s="304" t="s">
        <v>390</v>
      </c>
      <c r="K70" s="304" t="s">
        <v>287</v>
      </c>
      <c r="L70" s="307" t="s">
        <v>204</v>
      </c>
      <c r="M70" s="314" t="s">
        <v>414</v>
      </c>
      <c r="N70" s="309">
        <v>0</v>
      </c>
      <c r="O70" s="310" t="s">
        <v>129</v>
      </c>
      <c r="P70" s="311">
        <v>2.75</v>
      </c>
      <c r="Q70" s="317" t="s">
        <v>415</v>
      </c>
      <c r="R70" s="317" t="s">
        <v>235</v>
      </c>
      <c r="S70" s="318" t="s">
        <v>132</v>
      </c>
      <c r="T70" s="319">
        <v>2.78</v>
      </c>
      <c r="U70" s="317" t="s">
        <v>259</v>
      </c>
      <c r="V70" s="317" t="s">
        <v>222</v>
      </c>
      <c r="W70" s="323"/>
      <c r="X70" s="323"/>
      <c r="Y70" s="323"/>
      <c r="Z70" s="323"/>
    </row>
    <row r="71" s="291" customFormat="1" ht="64" customHeight="1" spans="1:26">
      <c r="A71" s="297" t="s">
        <v>416</v>
      </c>
      <c r="B71" s="298" t="s">
        <v>417</v>
      </c>
      <c r="C71" s="299"/>
      <c r="D71" s="300" t="s">
        <v>418</v>
      </c>
      <c r="E71" s="304" t="s">
        <v>320</v>
      </c>
      <c r="F71" s="304" t="s">
        <v>138</v>
      </c>
      <c r="G71" s="304" t="s">
        <v>419</v>
      </c>
      <c r="H71" s="304" t="s">
        <v>123</v>
      </c>
      <c r="I71" s="304" t="s">
        <v>123</v>
      </c>
      <c r="J71" s="304" t="s">
        <v>390</v>
      </c>
      <c r="K71" s="304" t="s">
        <v>287</v>
      </c>
      <c r="L71" s="307" t="s">
        <v>204</v>
      </c>
      <c r="M71" s="314"/>
      <c r="N71" s="309"/>
      <c r="O71" s="310" t="s">
        <v>129</v>
      </c>
      <c r="P71" s="311">
        <v>2.75</v>
      </c>
      <c r="Q71" s="317" t="s">
        <v>249</v>
      </c>
      <c r="R71" s="317" t="s">
        <v>420</v>
      </c>
      <c r="S71" s="318" t="s">
        <v>132</v>
      </c>
      <c r="T71" s="319">
        <v>2.78</v>
      </c>
      <c r="U71" s="317" t="s">
        <v>235</v>
      </c>
      <c r="V71" s="317" t="s">
        <v>376</v>
      </c>
      <c r="W71" s="323"/>
      <c r="X71" s="323"/>
      <c r="Y71" s="323"/>
      <c r="Z71" s="323"/>
    </row>
    <row r="72" s="291" customFormat="1" ht="64" customHeight="1" spans="1:26">
      <c r="A72" s="297" t="s">
        <v>421</v>
      </c>
      <c r="B72" s="298" t="s">
        <v>422</v>
      </c>
      <c r="C72" s="299"/>
      <c r="D72" s="300" t="s">
        <v>423</v>
      </c>
      <c r="E72" s="304" t="s">
        <v>320</v>
      </c>
      <c r="F72" s="304" t="s">
        <v>204</v>
      </c>
      <c r="G72" s="304" t="s">
        <v>424</v>
      </c>
      <c r="H72" s="304" t="s">
        <v>123</v>
      </c>
      <c r="I72" s="304" t="s">
        <v>123</v>
      </c>
      <c r="J72" s="304" t="s">
        <v>390</v>
      </c>
      <c r="K72" s="304" t="s">
        <v>287</v>
      </c>
      <c r="L72" s="307" t="s">
        <v>204</v>
      </c>
      <c r="M72" s="314"/>
      <c r="N72" s="309"/>
      <c r="O72" s="310" t="s">
        <v>129</v>
      </c>
      <c r="P72" s="311">
        <v>2.75</v>
      </c>
      <c r="Q72" s="317" t="s">
        <v>425</v>
      </c>
      <c r="R72" s="317" t="s">
        <v>143</v>
      </c>
      <c r="S72" s="318" t="s">
        <v>132</v>
      </c>
      <c r="T72" s="319">
        <v>2.78</v>
      </c>
      <c r="U72" s="317" t="s">
        <v>426</v>
      </c>
      <c r="V72" s="317" t="s">
        <v>427</v>
      </c>
      <c r="W72" s="323"/>
      <c r="X72" s="323"/>
      <c r="Y72" s="323"/>
      <c r="Z72" s="323"/>
    </row>
    <row r="73" s="291" customFormat="1" ht="66" customHeight="1" spans="1:23">
      <c r="A73" s="292" t="s">
        <v>408</v>
      </c>
      <c r="B73" s="293"/>
      <c r="C73" s="293"/>
      <c r="D73" s="294"/>
      <c r="E73" s="302"/>
      <c r="F73" s="302"/>
      <c r="G73" s="303"/>
      <c r="H73" s="294"/>
      <c r="I73" s="305"/>
      <c r="J73" s="306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320"/>
      <c r="W73" s="320"/>
    </row>
    <row r="74" s="291" customFormat="1" ht="54" customHeight="1" spans="1:26">
      <c r="A74" s="295" t="s">
        <v>428</v>
      </c>
      <c r="B74" s="295" t="s">
        <v>100</v>
      </c>
      <c r="C74" s="296" t="s">
        <v>101</v>
      </c>
      <c r="D74" s="296" t="s">
        <v>102</v>
      </c>
      <c r="E74" s="296" t="s">
        <v>103</v>
      </c>
      <c r="F74" s="296" t="s">
        <v>104</v>
      </c>
      <c r="G74" s="296" t="s">
        <v>105</v>
      </c>
      <c r="H74" s="296" t="s">
        <v>106</v>
      </c>
      <c r="I74" s="296" t="s">
        <v>107</v>
      </c>
      <c r="J74" s="296" t="s">
        <v>108</v>
      </c>
      <c r="K74" s="296" t="s">
        <v>109</v>
      </c>
      <c r="L74" s="296" t="s">
        <v>110</v>
      </c>
      <c r="M74" s="296" t="s">
        <v>111</v>
      </c>
      <c r="N74" s="296" t="s">
        <v>112</v>
      </c>
      <c r="O74" s="308" t="s">
        <v>113</v>
      </c>
      <c r="P74" s="308" t="s">
        <v>114</v>
      </c>
      <c r="Q74" s="308" t="s">
        <v>115</v>
      </c>
      <c r="R74" s="308" t="s">
        <v>116</v>
      </c>
      <c r="S74" s="316" t="s">
        <v>117</v>
      </c>
      <c r="T74" s="316" t="s">
        <v>114</v>
      </c>
      <c r="U74" s="316" t="s">
        <v>115</v>
      </c>
      <c r="V74" s="316" t="s">
        <v>116</v>
      </c>
      <c r="W74" s="321" t="s">
        <v>118</v>
      </c>
      <c r="X74" s="321" t="s">
        <v>114</v>
      </c>
      <c r="Y74" s="321" t="s">
        <v>115</v>
      </c>
      <c r="Z74" s="321" t="s">
        <v>116</v>
      </c>
    </row>
    <row r="75" s="291" customFormat="1" ht="64" customHeight="1" spans="1:26">
      <c r="A75" s="297" t="s">
        <v>429</v>
      </c>
      <c r="B75" s="298" t="s">
        <v>401</v>
      </c>
      <c r="C75" s="299"/>
      <c r="D75" s="300" t="s">
        <v>430</v>
      </c>
      <c r="E75" s="304" t="s">
        <v>320</v>
      </c>
      <c r="F75" s="304" t="s">
        <v>147</v>
      </c>
      <c r="G75" s="304" t="s">
        <v>431</v>
      </c>
      <c r="H75" s="304" t="s">
        <v>123</v>
      </c>
      <c r="I75" s="304" t="s">
        <v>123</v>
      </c>
      <c r="J75" s="304" t="s">
        <v>432</v>
      </c>
      <c r="K75" s="304" t="s">
        <v>128</v>
      </c>
      <c r="L75" s="307" t="s">
        <v>204</v>
      </c>
      <c r="M75" s="314"/>
      <c r="N75" s="309"/>
      <c r="O75" s="310" t="s">
        <v>129</v>
      </c>
      <c r="P75" s="311">
        <v>2.75</v>
      </c>
      <c r="Q75" s="317" t="s">
        <v>314</v>
      </c>
      <c r="R75" s="317" t="s">
        <v>290</v>
      </c>
      <c r="S75" s="318" t="s">
        <v>132</v>
      </c>
      <c r="T75" s="319">
        <v>2.78</v>
      </c>
      <c r="U75" s="317" t="s">
        <v>258</v>
      </c>
      <c r="V75" s="317" t="s">
        <v>243</v>
      </c>
      <c r="W75" s="323"/>
      <c r="X75" s="323"/>
      <c r="Y75" s="323"/>
      <c r="Z75" s="323"/>
    </row>
    <row r="76" s="291" customFormat="1" ht="64" customHeight="1" spans="1:26">
      <c r="A76" s="297" t="s">
        <v>433</v>
      </c>
      <c r="B76" s="298" t="s">
        <v>417</v>
      </c>
      <c r="C76" s="324" t="s">
        <v>434</v>
      </c>
      <c r="D76" s="300" t="s">
        <v>435</v>
      </c>
      <c r="E76" s="304" t="s">
        <v>320</v>
      </c>
      <c r="F76" s="304" t="s">
        <v>147</v>
      </c>
      <c r="G76" s="304" t="s">
        <v>436</v>
      </c>
      <c r="H76" s="304" t="s">
        <v>123</v>
      </c>
      <c r="I76" s="304" t="s">
        <v>123</v>
      </c>
      <c r="J76" s="304" t="s">
        <v>432</v>
      </c>
      <c r="K76" s="304" t="s">
        <v>437</v>
      </c>
      <c r="L76" s="307" t="s">
        <v>334</v>
      </c>
      <c r="M76" s="314"/>
      <c r="N76" s="309"/>
      <c r="O76" s="310" t="s">
        <v>129</v>
      </c>
      <c r="P76" s="311">
        <v>2.75</v>
      </c>
      <c r="Q76" s="317" t="s">
        <v>314</v>
      </c>
      <c r="R76" s="317" t="s">
        <v>290</v>
      </c>
      <c r="S76" s="318" t="s">
        <v>132</v>
      </c>
      <c r="T76" s="319">
        <v>2.78</v>
      </c>
      <c r="U76" s="317" t="s">
        <v>258</v>
      </c>
      <c r="V76" s="317" t="s">
        <v>243</v>
      </c>
      <c r="W76" s="323"/>
      <c r="X76" s="323"/>
      <c r="Y76" s="323"/>
      <c r="Z76" s="323"/>
    </row>
    <row r="77" s="291" customFormat="1" ht="64" customHeight="1" spans="1:26">
      <c r="A77" s="297" t="s">
        <v>438</v>
      </c>
      <c r="B77" s="298" t="s">
        <v>439</v>
      </c>
      <c r="C77" s="324"/>
      <c r="D77" s="300" t="s">
        <v>440</v>
      </c>
      <c r="E77" s="304" t="s">
        <v>320</v>
      </c>
      <c r="F77" s="304" t="s">
        <v>138</v>
      </c>
      <c r="G77" s="304" t="s">
        <v>441</v>
      </c>
      <c r="H77" s="304" t="s">
        <v>123</v>
      </c>
      <c r="I77" s="304" t="s">
        <v>123</v>
      </c>
      <c r="J77" s="304" t="s">
        <v>432</v>
      </c>
      <c r="K77" s="304" t="s">
        <v>437</v>
      </c>
      <c r="L77" s="307" t="s">
        <v>334</v>
      </c>
      <c r="M77" s="314"/>
      <c r="N77" s="309"/>
      <c r="O77" s="310" t="s">
        <v>129</v>
      </c>
      <c r="P77" s="311">
        <v>2.75</v>
      </c>
      <c r="Q77" s="317" t="s">
        <v>156</v>
      </c>
      <c r="R77" s="317" t="s">
        <v>158</v>
      </c>
      <c r="S77" s="318" t="s">
        <v>132</v>
      </c>
      <c r="T77" s="319">
        <v>2.78</v>
      </c>
      <c r="U77" s="317" t="s">
        <v>426</v>
      </c>
      <c r="V77" s="317" t="s">
        <v>381</v>
      </c>
      <c r="W77" s="323"/>
      <c r="X77" s="323"/>
      <c r="Y77" s="323"/>
      <c r="Z77" s="323"/>
    </row>
    <row r="78" s="291" customFormat="1" ht="64" customHeight="1" spans="1:26">
      <c r="A78" s="297" t="s">
        <v>442</v>
      </c>
      <c r="B78" s="298" t="s">
        <v>443</v>
      </c>
      <c r="C78" s="324"/>
      <c r="D78" s="300" t="s">
        <v>444</v>
      </c>
      <c r="E78" s="304" t="s">
        <v>320</v>
      </c>
      <c r="F78" s="304" t="s">
        <v>123</v>
      </c>
      <c r="G78" s="304" t="s">
        <v>441</v>
      </c>
      <c r="H78" s="304" t="s">
        <v>123</v>
      </c>
      <c r="I78" s="304" t="s">
        <v>123</v>
      </c>
      <c r="J78" s="304" t="s">
        <v>432</v>
      </c>
      <c r="K78" s="304" t="s">
        <v>437</v>
      </c>
      <c r="L78" s="307" t="s">
        <v>334</v>
      </c>
      <c r="M78" s="314"/>
      <c r="N78" s="309"/>
      <c r="O78" s="310" t="s">
        <v>129</v>
      </c>
      <c r="P78" s="311">
        <v>2.75</v>
      </c>
      <c r="Q78" s="317" t="s">
        <v>445</v>
      </c>
      <c r="R78" s="317" t="s">
        <v>268</v>
      </c>
      <c r="S78" s="318" t="s">
        <v>132</v>
      </c>
      <c r="T78" s="319">
        <v>2.78</v>
      </c>
      <c r="U78" s="317" t="s">
        <v>415</v>
      </c>
      <c r="V78" s="317" t="s">
        <v>446</v>
      </c>
      <c r="W78" s="323"/>
      <c r="X78" s="323"/>
      <c r="Y78" s="323"/>
      <c r="Z78" s="323"/>
    </row>
    <row r="80" s="291" customFormat="1" ht="66" customHeight="1" spans="1:23">
      <c r="A80" s="292" t="s">
        <v>408</v>
      </c>
      <c r="B80" s="293"/>
      <c r="C80" s="293"/>
      <c r="D80" s="294"/>
      <c r="E80" s="302"/>
      <c r="F80" s="302"/>
      <c r="G80" s="303"/>
      <c r="H80" s="294"/>
      <c r="I80" s="305"/>
      <c r="J80" s="306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320"/>
      <c r="W80" s="320"/>
    </row>
    <row r="81" s="291" customFormat="1" ht="54" customHeight="1" spans="1:26">
      <c r="A81" s="295" t="s">
        <v>428</v>
      </c>
      <c r="B81" s="295" t="s">
        <v>100</v>
      </c>
      <c r="C81" s="296" t="s">
        <v>101</v>
      </c>
      <c r="D81" s="296" t="s">
        <v>102</v>
      </c>
      <c r="E81" s="296" t="s">
        <v>103</v>
      </c>
      <c r="F81" s="296" t="s">
        <v>104</v>
      </c>
      <c r="G81" s="296" t="s">
        <v>105</v>
      </c>
      <c r="H81" s="296" t="s">
        <v>106</v>
      </c>
      <c r="I81" s="296" t="s">
        <v>107</v>
      </c>
      <c r="J81" s="296" t="s">
        <v>108</v>
      </c>
      <c r="K81" s="296" t="s">
        <v>109</v>
      </c>
      <c r="L81" s="296" t="s">
        <v>110</v>
      </c>
      <c r="M81" s="296" t="s">
        <v>111</v>
      </c>
      <c r="N81" s="296" t="s">
        <v>112</v>
      </c>
      <c r="O81" s="308" t="s">
        <v>113</v>
      </c>
      <c r="P81" s="308" t="s">
        <v>114</v>
      </c>
      <c r="Q81" s="308" t="s">
        <v>115</v>
      </c>
      <c r="R81" s="308" t="s">
        <v>116</v>
      </c>
      <c r="S81" s="316" t="s">
        <v>117</v>
      </c>
      <c r="T81" s="316" t="s">
        <v>114</v>
      </c>
      <c r="U81" s="316" t="s">
        <v>115</v>
      </c>
      <c r="V81" s="316" t="s">
        <v>116</v>
      </c>
      <c r="W81" s="321" t="s">
        <v>118</v>
      </c>
      <c r="X81" s="321" t="s">
        <v>114</v>
      </c>
      <c r="Y81" s="321" t="s">
        <v>115</v>
      </c>
      <c r="Z81" s="321" t="s">
        <v>116</v>
      </c>
    </row>
    <row r="82" s="291" customFormat="1" ht="64" customHeight="1" spans="1:26">
      <c r="A82" s="297" t="s">
        <v>447</v>
      </c>
      <c r="B82" s="298" t="s">
        <v>448</v>
      </c>
      <c r="C82" s="299"/>
      <c r="D82" s="300" t="s">
        <v>449</v>
      </c>
      <c r="E82" s="304" t="s">
        <v>320</v>
      </c>
      <c r="F82" s="304" t="s">
        <v>127</v>
      </c>
      <c r="G82" s="304" t="s">
        <v>450</v>
      </c>
      <c r="H82" s="304" t="s">
        <v>123</v>
      </c>
      <c r="I82" s="304" t="s">
        <v>123</v>
      </c>
      <c r="J82" s="304" t="s">
        <v>451</v>
      </c>
      <c r="K82" s="304" t="s">
        <v>437</v>
      </c>
      <c r="L82" s="307" t="s">
        <v>334</v>
      </c>
      <c r="M82" s="314"/>
      <c r="N82" s="309"/>
      <c r="O82" s="310" t="s">
        <v>129</v>
      </c>
      <c r="P82" s="311">
        <v>2.75</v>
      </c>
      <c r="Q82" s="317" t="s">
        <v>281</v>
      </c>
      <c r="R82" s="317" t="s">
        <v>229</v>
      </c>
      <c r="S82" s="318" t="s">
        <v>132</v>
      </c>
      <c r="T82" s="319">
        <v>2.78</v>
      </c>
      <c r="U82" s="317" t="s">
        <v>329</v>
      </c>
      <c r="V82" s="317" t="s">
        <v>251</v>
      </c>
      <c r="W82" s="323"/>
      <c r="X82" s="323"/>
      <c r="Y82" s="323"/>
      <c r="Z82" s="323"/>
    </row>
    <row r="83" s="291" customFormat="1" ht="66" customHeight="1" spans="1:23">
      <c r="A83" s="292" t="s">
        <v>452</v>
      </c>
      <c r="B83" s="293"/>
      <c r="C83" s="293"/>
      <c r="D83" s="294"/>
      <c r="E83" s="302"/>
      <c r="F83" s="302"/>
      <c r="G83" s="303"/>
      <c r="H83" s="294"/>
      <c r="I83" s="305"/>
      <c r="J83" s="306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320"/>
      <c r="W83" s="320"/>
    </row>
    <row r="84" s="291" customFormat="1" ht="54" customHeight="1" spans="1:26">
      <c r="A84" s="295" t="s">
        <v>453</v>
      </c>
      <c r="B84" s="295" t="s">
        <v>100</v>
      </c>
      <c r="C84" s="296" t="s">
        <v>101</v>
      </c>
      <c r="D84" s="296" t="s">
        <v>102</v>
      </c>
      <c r="E84" s="296" t="s">
        <v>103</v>
      </c>
      <c r="F84" s="296" t="s">
        <v>104</v>
      </c>
      <c r="G84" s="296" t="s">
        <v>105</v>
      </c>
      <c r="H84" s="296" t="s">
        <v>106</v>
      </c>
      <c r="I84" s="296" t="s">
        <v>107</v>
      </c>
      <c r="J84" s="296" t="s">
        <v>108</v>
      </c>
      <c r="K84" s="296" t="s">
        <v>109</v>
      </c>
      <c r="L84" s="296" t="s">
        <v>110</v>
      </c>
      <c r="M84" s="296" t="s">
        <v>111</v>
      </c>
      <c r="N84" s="296" t="s">
        <v>112</v>
      </c>
      <c r="O84" s="308" t="s">
        <v>113</v>
      </c>
      <c r="P84" s="308" t="s">
        <v>114</v>
      </c>
      <c r="Q84" s="308" t="s">
        <v>115</v>
      </c>
      <c r="R84" s="308" t="s">
        <v>116</v>
      </c>
      <c r="S84" s="316" t="s">
        <v>117</v>
      </c>
      <c r="T84" s="316" t="s">
        <v>114</v>
      </c>
      <c r="U84" s="316" t="s">
        <v>115</v>
      </c>
      <c r="V84" s="316" t="s">
        <v>116</v>
      </c>
      <c r="W84" s="321" t="s">
        <v>118</v>
      </c>
      <c r="X84" s="321" t="s">
        <v>114</v>
      </c>
      <c r="Y84" s="321" t="s">
        <v>115</v>
      </c>
      <c r="Z84" s="321" t="s">
        <v>116</v>
      </c>
    </row>
    <row r="85" s="291" customFormat="1" ht="64" customHeight="1" spans="1:26">
      <c r="A85" s="297" t="s">
        <v>454</v>
      </c>
      <c r="B85" s="298" t="s">
        <v>448</v>
      </c>
      <c r="C85" s="299"/>
      <c r="D85" s="300"/>
      <c r="E85" s="304" t="s">
        <v>320</v>
      </c>
      <c r="F85" s="304" t="s">
        <v>127</v>
      </c>
      <c r="G85" s="304" t="s">
        <v>455</v>
      </c>
      <c r="H85" s="304" t="s">
        <v>123</v>
      </c>
      <c r="I85" s="304" t="s">
        <v>123</v>
      </c>
      <c r="J85" s="304" t="s">
        <v>322</v>
      </c>
      <c r="K85" s="304" t="s">
        <v>456</v>
      </c>
      <c r="L85" s="307" t="s">
        <v>334</v>
      </c>
      <c r="M85" s="314" t="s">
        <v>457</v>
      </c>
      <c r="N85" s="309">
        <v>0</v>
      </c>
      <c r="O85" s="310" t="s">
        <v>129</v>
      </c>
      <c r="P85" s="311">
        <v>2.75</v>
      </c>
      <c r="Q85" s="317" t="s">
        <v>415</v>
      </c>
      <c r="R85" s="317" t="s">
        <v>134</v>
      </c>
      <c r="S85" s="318" t="s">
        <v>132</v>
      </c>
      <c r="T85" s="319">
        <v>2.78</v>
      </c>
      <c r="U85" s="317" t="s">
        <v>303</v>
      </c>
      <c r="V85" s="317" t="s">
        <v>458</v>
      </c>
      <c r="W85" s="323"/>
      <c r="X85" s="323"/>
      <c r="Y85" s="323"/>
      <c r="Z85" s="323"/>
    </row>
    <row r="86" s="291" customFormat="1" ht="64" customHeight="1" spans="1:26">
      <c r="A86" s="297" t="s">
        <v>459</v>
      </c>
      <c r="B86" s="298" t="s">
        <v>417</v>
      </c>
      <c r="C86" s="299"/>
      <c r="D86" s="300" t="s">
        <v>460</v>
      </c>
      <c r="E86" s="304" t="s">
        <v>320</v>
      </c>
      <c r="F86" s="304" t="s">
        <v>323</v>
      </c>
      <c r="G86" s="304" t="s">
        <v>461</v>
      </c>
      <c r="H86" s="304" t="s">
        <v>123</v>
      </c>
      <c r="I86" s="304" t="s">
        <v>123</v>
      </c>
      <c r="J86" s="304" t="s">
        <v>322</v>
      </c>
      <c r="K86" s="304" t="s">
        <v>456</v>
      </c>
      <c r="L86" s="307" t="s">
        <v>334</v>
      </c>
      <c r="M86" s="314" t="s">
        <v>128</v>
      </c>
      <c r="N86" s="309">
        <v>0.4286</v>
      </c>
      <c r="O86" s="310" t="s">
        <v>129</v>
      </c>
      <c r="P86" s="311">
        <v>2.75</v>
      </c>
      <c r="Q86" s="317" t="s">
        <v>266</v>
      </c>
      <c r="R86" s="317" t="s">
        <v>268</v>
      </c>
      <c r="S86" s="318" t="s">
        <v>132</v>
      </c>
      <c r="T86" s="319">
        <v>2.78</v>
      </c>
      <c r="U86" s="322" t="s">
        <v>281</v>
      </c>
      <c r="V86" s="322" t="s">
        <v>282</v>
      </c>
      <c r="W86" s="323"/>
      <c r="X86" s="323"/>
      <c r="Y86" s="323"/>
      <c r="Z86" s="323"/>
    </row>
    <row r="87" s="291" customFormat="1" ht="64" customHeight="1" spans="1:26">
      <c r="A87" s="297" t="s">
        <v>462</v>
      </c>
      <c r="B87" s="298" t="s">
        <v>463</v>
      </c>
      <c r="C87" s="299"/>
      <c r="D87" s="300" t="s">
        <v>464</v>
      </c>
      <c r="E87" s="304" t="s">
        <v>320</v>
      </c>
      <c r="F87" s="304" t="s">
        <v>154</v>
      </c>
      <c r="G87" s="304" t="s">
        <v>465</v>
      </c>
      <c r="H87" s="304" t="s">
        <v>123</v>
      </c>
      <c r="I87" s="304" t="s">
        <v>123</v>
      </c>
      <c r="J87" s="304" t="s">
        <v>322</v>
      </c>
      <c r="K87" s="304" t="s">
        <v>456</v>
      </c>
      <c r="L87" s="307" t="s">
        <v>334</v>
      </c>
      <c r="M87" s="314" t="s">
        <v>466</v>
      </c>
      <c r="N87" s="309">
        <v>0.1081</v>
      </c>
      <c r="O87" s="310" t="s">
        <v>129</v>
      </c>
      <c r="P87" s="311">
        <v>2.75</v>
      </c>
      <c r="Q87" s="317" t="s">
        <v>467</v>
      </c>
      <c r="R87" s="317" t="s">
        <v>446</v>
      </c>
      <c r="S87" s="318" t="s">
        <v>132</v>
      </c>
      <c r="T87" s="319">
        <v>2.78</v>
      </c>
      <c r="U87" s="322" t="s">
        <v>234</v>
      </c>
      <c r="V87" s="322" t="s">
        <v>468</v>
      </c>
      <c r="W87" s="323"/>
      <c r="X87" s="323"/>
      <c r="Y87" s="323"/>
      <c r="Z87" s="323"/>
    </row>
    <row r="88" s="291" customFormat="1" ht="64" customHeight="1" spans="1:26">
      <c r="A88" s="297" t="s">
        <v>469</v>
      </c>
      <c r="B88" s="298" t="s">
        <v>470</v>
      </c>
      <c r="C88" s="299"/>
      <c r="D88" s="300" t="s">
        <v>471</v>
      </c>
      <c r="E88" s="304" t="s">
        <v>320</v>
      </c>
      <c r="F88" s="304" t="s">
        <v>147</v>
      </c>
      <c r="G88" s="304" t="s">
        <v>472</v>
      </c>
      <c r="H88" s="304" t="s">
        <v>123</v>
      </c>
      <c r="I88" s="304" t="s">
        <v>123</v>
      </c>
      <c r="J88" s="304" t="s">
        <v>322</v>
      </c>
      <c r="K88" s="304" t="s">
        <v>456</v>
      </c>
      <c r="L88" s="307" t="s">
        <v>334</v>
      </c>
      <c r="M88" s="314"/>
      <c r="N88" s="309"/>
      <c r="O88" s="310" t="s">
        <v>129</v>
      </c>
      <c r="P88" s="311">
        <v>2.75</v>
      </c>
      <c r="Q88" s="325" t="s">
        <v>473</v>
      </c>
      <c r="R88" s="326"/>
      <c r="S88" s="318" t="s">
        <v>132</v>
      </c>
      <c r="T88" s="319">
        <v>2.78</v>
      </c>
      <c r="U88" s="322" t="s">
        <v>290</v>
      </c>
      <c r="V88" s="322" t="s">
        <v>474</v>
      </c>
      <c r="W88" s="323"/>
      <c r="X88" s="323"/>
      <c r="Y88" s="323"/>
      <c r="Z88" s="323"/>
    </row>
    <row r="89" s="291" customFormat="1" ht="66" customHeight="1" spans="1:23">
      <c r="A89" s="292" t="s">
        <v>475</v>
      </c>
      <c r="B89" s="293"/>
      <c r="C89" s="293"/>
      <c r="D89" s="294"/>
      <c r="E89" s="302"/>
      <c r="F89" s="302"/>
      <c r="G89" s="303"/>
      <c r="H89" s="294"/>
      <c r="I89" s="305"/>
      <c r="J89" s="306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320"/>
      <c r="W89" s="320"/>
    </row>
    <row r="90" s="291" customFormat="1" ht="54" customHeight="1" spans="1:26">
      <c r="A90" s="295" t="s">
        <v>476</v>
      </c>
      <c r="B90" s="295" t="s">
        <v>100</v>
      </c>
      <c r="C90" s="296" t="s">
        <v>101</v>
      </c>
      <c r="D90" s="296" t="s">
        <v>102</v>
      </c>
      <c r="E90" s="296" t="s">
        <v>103</v>
      </c>
      <c r="F90" s="296" t="s">
        <v>104</v>
      </c>
      <c r="G90" s="296" t="s">
        <v>105</v>
      </c>
      <c r="H90" s="296" t="s">
        <v>106</v>
      </c>
      <c r="I90" s="296" t="s">
        <v>107</v>
      </c>
      <c r="J90" s="296" t="s">
        <v>108</v>
      </c>
      <c r="K90" s="296" t="s">
        <v>109</v>
      </c>
      <c r="L90" s="296" t="s">
        <v>110</v>
      </c>
      <c r="M90" s="296" t="s">
        <v>111</v>
      </c>
      <c r="N90" s="296" t="s">
        <v>112</v>
      </c>
      <c r="O90" s="308" t="s">
        <v>113</v>
      </c>
      <c r="P90" s="308" t="s">
        <v>114</v>
      </c>
      <c r="Q90" s="308" t="s">
        <v>115</v>
      </c>
      <c r="R90" s="308" t="s">
        <v>116</v>
      </c>
      <c r="S90" s="316" t="s">
        <v>117</v>
      </c>
      <c r="T90" s="316" t="s">
        <v>114</v>
      </c>
      <c r="U90" s="316" t="s">
        <v>115</v>
      </c>
      <c r="V90" s="316" t="s">
        <v>116</v>
      </c>
      <c r="W90" s="321" t="s">
        <v>118</v>
      </c>
      <c r="X90" s="321" t="s">
        <v>114</v>
      </c>
      <c r="Y90" s="321" t="s">
        <v>115</v>
      </c>
      <c r="Z90" s="321" t="s">
        <v>116</v>
      </c>
    </row>
    <row r="91" s="291" customFormat="1" ht="64" customHeight="1" spans="1:26">
      <c r="A91" s="297" t="s">
        <v>477</v>
      </c>
      <c r="B91" s="298" t="s">
        <v>478</v>
      </c>
      <c r="C91" s="299"/>
      <c r="D91" s="300" t="s">
        <v>479</v>
      </c>
      <c r="E91" s="304" t="s">
        <v>320</v>
      </c>
      <c r="F91" s="304" t="s">
        <v>123</v>
      </c>
      <c r="G91" s="304" t="s">
        <v>480</v>
      </c>
      <c r="H91" s="304" t="s">
        <v>123</v>
      </c>
      <c r="I91" s="304" t="s">
        <v>123</v>
      </c>
      <c r="J91" s="304" t="s">
        <v>322</v>
      </c>
      <c r="K91" s="304" t="s">
        <v>456</v>
      </c>
      <c r="L91" s="307" t="s">
        <v>334</v>
      </c>
      <c r="M91" s="314"/>
      <c r="N91" s="309"/>
      <c r="O91" s="310" t="s">
        <v>129</v>
      </c>
      <c r="P91" s="311">
        <v>2.75</v>
      </c>
      <c r="Q91" s="317" t="s">
        <v>258</v>
      </c>
      <c r="R91" s="317" t="s">
        <v>266</v>
      </c>
      <c r="S91" s="318" t="s">
        <v>132</v>
      </c>
      <c r="T91" s="319">
        <v>2.78</v>
      </c>
      <c r="U91" s="322" t="s">
        <v>302</v>
      </c>
      <c r="V91" s="322" t="s">
        <v>282</v>
      </c>
      <c r="W91" s="323"/>
      <c r="X91" s="323"/>
      <c r="Y91" s="323"/>
      <c r="Z91" s="323"/>
    </row>
    <row r="92" s="291" customFormat="1" ht="64" customHeight="1" spans="1:26">
      <c r="A92" s="297" t="s">
        <v>481</v>
      </c>
      <c r="B92" s="298" t="s">
        <v>401</v>
      </c>
      <c r="C92" s="299"/>
      <c r="D92" s="300" t="s">
        <v>482</v>
      </c>
      <c r="E92" s="304" t="s">
        <v>320</v>
      </c>
      <c r="F92" s="304" t="s">
        <v>127</v>
      </c>
      <c r="G92" s="304" t="s">
        <v>483</v>
      </c>
      <c r="H92" s="304" t="s">
        <v>123</v>
      </c>
      <c r="I92" s="304" t="s">
        <v>123</v>
      </c>
      <c r="J92" s="304" t="s">
        <v>322</v>
      </c>
      <c r="K92" s="304" t="s">
        <v>255</v>
      </c>
      <c r="L92" s="307" t="s">
        <v>334</v>
      </c>
      <c r="M92" s="314" t="s">
        <v>255</v>
      </c>
      <c r="N92" s="309">
        <v>0.05</v>
      </c>
      <c r="O92" s="310" t="s">
        <v>129</v>
      </c>
      <c r="P92" s="311">
        <v>2.75</v>
      </c>
      <c r="Q92" s="317" t="s">
        <v>281</v>
      </c>
      <c r="R92" s="317" t="s">
        <v>415</v>
      </c>
      <c r="S92" s="318" t="s">
        <v>132</v>
      </c>
      <c r="T92" s="319">
        <v>2.78</v>
      </c>
      <c r="U92" s="322" t="s">
        <v>180</v>
      </c>
      <c r="V92" s="322" t="s">
        <v>403</v>
      </c>
      <c r="W92" s="323"/>
      <c r="X92" s="323"/>
      <c r="Y92" s="323"/>
      <c r="Z92" s="323"/>
    </row>
    <row r="93" s="291" customFormat="1" ht="64" customHeight="1" spans="1:26">
      <c r="A93" s="297" t="s">
        <v>484</v>
      </c>
      <c r="B93" s="298" t="s">
        <v>485</v>
      </c>
      <c r="C93" s="299"/>
      <c r="D93" s="300" t="s">
        <v>486</v>
      </c>
      <c r="E93" s="304" t="s">
        <v>320</v>
      </c>
      <c r="F93" s="304" t="s">
        <v>127</v>
      </c>
      <c r="G93" s="304" t="s">
        <v>487</v>
      </c>
      <c r="H93" s="304" t="s">
        <v>123</v>
      </c>
      <c r="I93" s="304" t="s">
        <v>123</v>
      </c>
      <c r="J93" s="304" t="s">
        <v>322</v>
      </c>
      <c r="K93" s="304" t="s">
        <v>255</v>
      </c>
      <c r="L93" s="307" t="s">
        <v>334</v>
      </c>
      <c r="M93" s="314" t="s">
        <v>488</v>
      </c>
      <c r="N93" s="309">
        <v>0.0303</v>
      </c>
      <c r="O93" s="310" t="s">
        <v>129</v>
      </c>
      <c r="P93" s="311">
        <v>2.75</v>
      </c>
      <c r="Q93" s="317" t="s">
        <v>359</v>
      </c>
      <c r="R93" s="317" t="s">
        <v>243</v>
      </c>
      <c r="S93" s="318" t="s">
        <v>132</v>
      </c>
      <c r="T93" s="319">
        <v>2.78</v>
      </c>
      <c r="U93" s="322" t="s">
        <v>272</v>
      </c>
      <c r="V93" s="322" t="s">
        <v>489</v>
      </c>
      <c r="W93" s="323"/>
      <c r="X93" s="323"/>
      <c r="Y93" s="323"/>
      <c r="Z93" s="323"/>
    </row>
    <row r="94" s="291" customFormat="1" ht="64" customHeight="1" spans="1:26">
      <c r="A94" s="297" t="s">
        <v>490</v>
      </c>
      <c r="B94" s="298" t="s">
        <v>491</v>
      </c>
      <c r="C94" s="299"/>
      <c r="D94" s="300" t="s">
        <v>492</v>
      </c>
      <c r="E94" s="304" t="s">
        <v>320</v>
      </c>
      <c r="F94" s="304" t="s">
        <v>127</v>
      </c>
      <c r="G94" s="304" t="s">
        <v>206</v>
      </c>
      <c r="H94" s="304" t="s">
        <v>123</v>
      </c>
      <c r="I94" s="304" t="s">
        <v>123</v>
      </c>
      <c r="J94" s="304" t="s">
        <v>322</v>
      </c>
      <c r="K94" s="304" t="s">
        <v>255</v>
      </c>
      <c r="L94" s="307" t="s">
        <v>334</v>
      </c>
      <c r="M94" s="314"/>
      <c r="N94" s="309"/>
      <c r="O94" s="310" t="s">
        <v>129</v>
      </c>
      <c r="P94" s="311">
        <v>2.75</v>
      </c>
      <c r="Q94" s="317" t="s">
        <v>493</v>
      </c>
      <c r="R94" s="317" t="s">
        <v>381</v>
      </c>
      <c r="S94" s="318" t="s">
        <v>132</v>
      </c>
      <c r="T94" s="319">
        <v>2.78</v>
      </c>
      <c r="U94" s="322" t="s">
        <v>494</v>
      </c>
      <c r="V94" s="322" t="s">
        <v>495</v>
      </c>
      <c r="W94" s="323"/>
      <c r="X94" s="323"/>
      <c r="Y94" s="323"/>
      <c r="Z94" s="323"/>
    </row>
    <row r="96" s="291" customFormat="1" ht="66" customHeight="1" spans="1:23">
      <c r="A96" s="292" t="s">
        <v>496</v>
      </c>
      <c r="B96" s="293"/>
      <c r="C96" s="293"/>
      <c r="D96" s="294"/>
      <c r="E96" s="302"/>
      <c r="F96" s="302"/>
      <c r="G96" s="303"/>
      <c r="H96" s="294"/>
      <c r="I96" s="305"/>
      <c r="J96" s="306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320"/>
      <c r="W96" s="320"/>
    </row>
    <row r="97" s="291" customFormat="1" ht="54" customHeight="1" spans="1:26">
      <c r="A97" s="295" t="s">
        <v>497</v>
      </c>
      <c r="B97" s="295" t="s">
        <v>100</v>
      </c>
      <c r="C97" s="296" t="s">
        <v>101</v>
      </c>
      <c r="D97" s="296" t="s">
        <v>102</v>
      </c>
      <c r="E97" s="296" t="s">
        <v>103</v>
      </c>
      <c r="F97" s="296" t="s">
        <v>104</v>
      </c>
      <c r="G97" s="296" t="s">
        <v>105</v>
      </c>
      <c r="H97" s="296" t="s">
        <v>106</v>
      </c>
      <c r="I97" s="296" t="s">
        <v>107</v>
      </c>
      <c r="J97" s="296" t="s">
        <v>108</v>
      </c>
      <c r="K97" s="296" t="s">
        <v>109</v>
      </c>
      <c r="L97" s="296" t="s">
        <v>110</v>
      </c>
      <c r="M97" s="296" t="s">
        <v>111</v>
      </c>
      <c r="N97" s="296" t="s">
        <v>112</v>
      </c>
      <c r="O97" s="308" t="s">
        <v>113</v>
      </c>
      <c r="P97" s="308" t="s">
        <v>114</v>
      </c>
      <c r="Q97" s="308" t="s">
        <v>115</v>
      </c>
      <c r="R97" s="308" t="s">
        <v>116</v>
      </c>
      <c r="S97" s="316" t="s">
        <v>117</v>
      </c>
      <c r="T97" s="316" t="s">
        <v>114</v>
      </c>
      <c r="U97" s="316" t="s">
        <v>115</v>
      </c>
      <c r="V97" s="316" t="s">
        <v>116</v>
      </c>
      <c r="W97" s="321" t="s">
        <v>118</v>
      </c>
      <c r="X97" s="321" t="s">
        <v>114</v>
      </c>
      <c r="Y97" s="321" t="s">
        <v>115</v>
      </c>
      <c r="Z97" s="321" t="s">
        <v>116</v>
      </c>
    </row>
    <row r="98" s="291" customFormat="1" ht="64" customHeight="1" spans="1:26">
      <c r="A98" s="297" t="s">
        <v>498</v>
      </c>
      <c r="B98" s="298" t="s">
        <v>499</v>
      </c>
      <c r="C98" s="299"/>
      <c r="D98" s="300" t="s">
        <v>500</v>
      </c>
      <c r="E98" s="304" t="s">
        <v>320</v>
      </c>
      <c r="F98" s="304" t="s">
        <v>154</v>
      </c>
      <c r="G98" s="304" t="s">
        <v>221</v>
      </c>
      <c r="H98" s="304" t="s">
        <v>123</v>
      </c>
      <c r="I98" s="304" t="s">
        <v>123</v>
      </c>
      <c r="J98" s="304" t="s">
        <v>322</v>
      </c>
      <c r="K98" s="304" t="s">
        <v>501</v>
      </c>
      <c r="L98" s="307" t="s">
        <v>334</v>
      </c>
      <c r="M98" s="314" t="s">
        <v>502</v>
      </c>
      <c r="N98" s="309">
        <v>0.1905</v>
      </c>
      <c r="O98" s="310" t="s">
        <v>129</v>
      </c>
      <c r="P98" s="311">
        <v>2.75</v>
      </c>
      <c r="Q98" s="317" t="s">
        <v>281</v>
      </c>
      <c r="R98" s="317" t="s">
        <v>302</v>
      </c>
      <c r="S98" s="318" t="s">
        <v>132</v>
      </c>
      <c r="T98" s="319">
        <v>2.78</v>
      </c>
      <c r="U98" s="322" t="s">
        <v>235</v>
      </c>
      <c r="V98" s="322" t="s">
        <v>403</v>
      </c>
      <c r="W98" s="323"/>
      <c r="X98" s="323"/>
      <c r="Y98" s="323"/>
      <c r="Z98" s="323"/>
    </row>
    <row r="99" s="291" customFormat="1" ht="64" customHeight="1" spans="1:26">
      <c r="A99" s="297" t="s">
        <v>503</v>
      </c>
      <c r="B99" s="298" t="s">
        <v>417</v>
      </c>
      <c r="C99" s="299"/>
      <c r="D99" s="300" t="s">
        <v>504</v>
      </c>
      <c r="E99" s="304" t="s">
        <v>320</v>
      </c>
      <c r="F99" s="304" t="s">
        <v>123</v>
      </c>
      <c r="G99" s="304" t="s">
        <v>221</v>
      </c>
      <c r="H99" s="304" t="s">
        <v>123</v>
      </c>
      <c r="I99" s="304" t="s">
        <v>123</v>
      </c>
      <c r="J99" s="304" t="s">
        <v>322</v>
      </c>
      <c r="K99" s="304" t="s">
        <v>501</v>
      </c>
      <c r="L99" s="307" t="s">
        <v>334</v>
      </c>
      <c r="M99" s="314" t="s">
        <v>414</v>
      </c>
      <c r="N99" s="309">
        <v>0</v>
      </c>
      <c r="O99" s="310" t="s">
        <v>129</v>
      </c>
      <c r="P99" s="311">
        <v>2.75</v>
      </c>
      <c r="Q99" s="317" t="s">
        <v>222</v>
      </c>
      <c r="R99" s="317" t="s">
        <v>173</v>
      </c>
      <c r="S99" s="318" t="s">
        <v>132</v>
      </c>
      <c r="T99" s="319">
        <v>2.78</v>
      </c>
      <c r="U99" s="322" t="s">
        <v>282</v>
      </c>
      <c r="V99" s="322" t="s">
        <v>142</v>
      </c>
      <c r="W99" s="323"/>
      <c r="X99" s="323"/>
      <c r="Y99" s="323"/>
      <c r="Z99" s="323"/>
    </row>
    <row r="100" s="291" customFormat="1" ht="64" customHeight="1" spans="1:26">
      <c r="A100" s="297" t="s">
        <v>505</v>
      </c>
      <c r="B100" s="298" t="s">
        <v>506</v>
      </c>
      <c r="C100" s="299"/>
      <c r="D100" s="300" t="s">
        <v>507</v>
      </c>
      <c r="E100" s="304" t="s">
        <v>320</v>
      </c>
      <c r="F100" s="304" t="s">
        <v>123</v>
      </c>
      <c r="G100" s="304" t="s">
        <v>221</v>
      </c>
      <c r="H100" s="304" t="s">
        <v>123</v>
      </c>
      <c r="I100" s="304" t="s">
        <v>123</v>
      </c>
      <c r="J100" s="304" t="s">
        <v>451</v>
      </c>
      <c r="K100" s="304" t="s">
        <v>501</v>
      </c>
      <c r="L100" s="307" t="s">
        <v>334</v>
      </c>
      <c r="M100" s="314"/>
      <c r="N100" s="309"/>
      <c r="O100" s="310" t="s">
        <v>129</v>
      </c>
      <c r="P100" s="311">
        <v>2.75</v>
      </c>
      <c r="Q100" s="317" t="s">
        <v>303</v>
      </c>
      <c r="R100" s="317" t="s">
        <v>310</v>
      </c>
      <c r="S100" s="318" t="s">
        <v>132</v>
      </c>
      <c r="T100" s="319">
        <v>2.78</v>
      </c>
      <c r="U100" s="322" t="s">
        <v>508</v>
      </c>
      <c r="V100" s="322" t="s">
        <v>352</v>
      </c>
      <c r="W100" s="323"/>
      <c r="X100" s="323"/>
      <c r="Y100" s="323"/>
      <c r="Z100" s="323"/>
    </row>
  </sheetData>
  <sheetProtection formatCells="0" insertHyperlinks="0" autoFilter="0"/>
  <mergeCells count="1">
    <mergeCell ref="Q88:R8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9"/>
  <sheetViews>
    <sheetView workbookViewId="0">
      <selection activeCell="S14" sqref="S14"/>
    </sheetView>
  </sheetViews>
  <sheetFormatPr defaultColWidth="10" defaultRowHeight="18" customHeight="1"/>
  <cols>
    <col min="1" max="1" width="21.375" style="169" customWidth="1"/>
    <col min="2" max="2" width="15.625" style="169" customWidth="1"/>
    <col min="3" max="12" width="15.625" style="169" hidden="1" customWidth="1"/>
    <col min="13" max="16384" width="10" style="169"/>
  </cols>
  <sheetData>
    <row r="1" s="168" customFormat="1" customHeight="1" spans="1:33">
      <c r="A1" s="262" t="s">
        <v>509</v>
      </c>
      <c r="B1" s="263" t="s">
        <v>510</v>
      </c>
      <c r="C1" s="263">
        <v>43467</v>
      </c>
      <c r="D1" s="263">
        <v>43468</v>
      </c>
      <c r="E1" s="263">
        <v>43469</v>
      </c>
      <c r="F1" s="263">
        <v>43470</v>
      </c>
      <c r="G1" s="263">
        <v>43471</v>
      </c>
      <c r="H1" s="263">
        <v>43472</v>
      </c>
      <c r="I1" s="263">
        <v>43473</v>
      </c>
      <c r="J1" s="263">
        <v>43474</v>
      </c>
      <c r="K1" s="263">
        <v>43475</v>
      </c>
      <c r="L1" s="263">
        <v>43476</v>
      </c>
      <c r="M1" s="263">
        <v>43476</v>
      </c>
      <c r="N1" s="263">
        <v>43477</v>
      </c>
      <c r="O1" s="263">
        <v>43478</v>
      </c>
      <c r="P1" s="263">
        <v>43479</v>
      </c>
      <c r="Q1" s="263">
        <v>43480</v>
      </c>
      <c r="R1" s="263">
        <v>43481</v>
      </c>
      <c r="S1" s="263">
        <v>43482</v>
      </c>
      <c r="T1" s="263">
        <v>43483</v>
      </c>
      <c r="U1" s="263">
        <v>43484</v>
      </c>
      <c r="V1" s="263">
        <v>43485</v>
      </c>
      <c r="W1" s="263">
        <v>43486</v>
      </c>
      <c r="X1" s="263">
        <v>43487</v>
      </c>
      <c r="Y1" s="263">
        <v>43488</v>
      </c>
      <c r="Z1" s="263">
        <v>43489</v>
      </c>
      <c r="AA1" s="263">
        <v>43490</v>
      </c>
      <c r="AB1" s="263">
        <v>43491</v>
      </c>
      <c r="AC1" s="263">
        <v>43492</v>
      </c>
      <c r="AD1" s="263">
        <v>43493</v>
      </c>
      <c r="AE1" s="263">
        <v>43494</v>
      </c>
      <c r="AF1" s="263">
        <v>43495</v>
      </c>
      <c r="AG1" s="263">
        <v>43496</v>
      </c>
    </row>
    <row r="2" s="169" customFormat="1" customHeight="1" spans="1:33">
      <c r="A2" s="264"/>
      <c r="B2" s="265" t="s">
        <v>511</v>
      </c>
      <c r="C2" s="265" t="s">
        <v>512</v>
      </c>
      <c r="D2" s="265" t="s">
        <v>513</v>
      </c>
      <c r="E2" s="265" t="s">
        <v>514</v>
      </c>
      <c r="F2" s="265" t="s">
        <v>515</v>
      </c>
      <c r="G2" s="265" t="s">
        <v>516</v>
      </c>
      <c r="H2" s="265" t="s">
        <v>517</v>
      </c>
      <c r="I2" s="265" t="s">
        <v>518</v>
      </c>
      <c r="J2" s="265" t="s">
        <v>512</v>
      </c>
      <c r="K2" s="265" t="s">
        <v>513</v>
      </c>
      <c r="L2" s="265" t="s">
        <v>514</v>
      </c>
      <c r="M2" s="265" t="s">
        <v>515</v>
      </c>
      <c r="N2" s="265" t="s">
        <v>516</v>
      </c>
      <c r="O2" s="265" t="s">
        <v>517</v>
      </c>
      <c r="P2" s="265" t="s">
        <v>518</v>
      </c>
      <c r="Q2" s="265" t="s">
        <v>512</v>
      </c>
      <c r="R2" s="265" t="s">
        <v>513</v>
      </c>
      <c r="S2" s="265" t="s">
        <v>514</v>
      </c>
      <c r="T2" s="265" t="s">
        <v>515</v>
      </c>
      <c r="U2" s="265" t="s">
        <v>516</v>
      </c>
      <c r="V2" s="265" t="s">
        <v>517</v>
      </c>
      <c r="W2" s="265" t="s">
        <v>518</v>
      </c>
      <c r="X2" s="265" t="s">
        <v>512</v>
      </c>
      <c r="Y2" s="265" t="s">
        <v>513</v>
      </c>
      <c r="Z2" s="265" t="s">
        <v>514</v>
      </c>
      <c r="AA2" s="265" t="s">
        <v>515</v>
      </c>
      <c r="AB2" s="265" t="s">
        <v>516</v>
      </c>
      <c r="AC2" s="265" t="s">
        <v>517</v>
      </c>
      <c r="AD2" s="265" t="s">
        <v>518</v>
      </c>
      <c r="AE2" s="265" t="s">
        <v>512</v>
      </c>
      <c r="AF2" s="265" t="s">
        <v>513</v>
      </c>
      <c r="AG2" s="265" t="s">
        <v>514</v>
      </c>
    </row>
    <row r="3" s="257" customFormat="1" customHeight="1" spans="1:33">
      <c r="A3" s="266"/>
      <c r="B3" s="267" t="s">
        <v>519</v>
      </c>
      <c r="C3" s="150">
        <v>989</v>
      </c>
      <c r="D3" s="150">
        <v>990</v>
      </c>
      <c r="E3" s="150">
        <v>991</v>
      </c>
      <c r="F3" s="150">
        <v>992</v>
      </c>
      <c r="G3" s="150">
        <v>993</v>
      </c>
      <c r="H3" s="150">
        <v>994</v>
      </c>
      <c r="I3" s="150">
        <v>995</v>
      </c>
      <c r="J3" s="150">
        <v>996</v>
      </c>
      <c r="K3" s="150">
        <v>997</v>
      </c>
      <c r="L3" s="150">
        <v>998</v>
      </c>
      <c r="M3" s="150">
        <v>999</v>
      </c>
      <c r="N3" s="150">
        <v>1000</v>
      </c>
      <c r="O3" s="150">
        <v>1001</v>
      </c>
      <c r="P3" s="150">
        <v>1002</v>
      </c>
      <c r="Q3" s="150">
        <v>1003</v>
      </c>
      <c r="R3" s="150">
        <v>1004</v>
      </c>
      <c r="S3" s="150">
        <v>1005</v>
      </c>
      <c r="T3" s="150">
        <v>1006</v>
      </c>
      <c r="U3" s="150">
        <v>1007</v>
      </c>
      <c r="V3" s="150">
        <v>1008</v>
      </c>
      <c r="W3" s="150">
        <v>1009</v>
      </c>
      <c r="X3" s="150">
        <v>1010</v>
      </c>
      <c r="Y3" s="150">
        <v>1011</v>
      </c>
      <c r="Z3" s="150">
        <v>1012</v>
      </c>
      <c r="AA3" s="150">
        <v>1013</v>
      </c>
      <c r="AB3" s="150">
        <v>1014</v>
      </c>
      <c r="AC3" s="150">
        <v>1015</v>
      </c>
      <c r="AD3" s="150">
        <v>1016</v>
      </c>
      <c r="AE3" s="150">
        <v>1017</v>
      </c>
      <c r="AF3" s="150">
        <v>1018</v>
      </c>
      <c r="AG3" s="150">
        <v>1019</v>
      </c>
    </row>
    <row r="4" s="258" customFormat="1" customHeight="1" spans="1:33">
      <c r="A4" s="268"/>
      <c r="B4" s="269" t="s">
        <v>104</v>
      </c>
      <c r="C4" s="151">
        <v>89</v>
      </c>
      <c r="D4" s="151">
        <v>90</v>
      </c>
      <c r="E4" s="151">
        <v>91</v>
      </c>
      <c r="F4" s="151">
        <v>92</v>
      </c>
      <c r="G4" s="151">
        <v>93</v>
      </c>
      <c r="H4" s="151">
        <v>94</v>
      </c>
      <c r="I4" s="151">
        <v>95</v>
      </c>
      <c r="J4" s="151">
        <v>96</v>
      </c>
      <c r="K4" s="151">
        <v>97</v>
      </c>
      <c r="L4" s="151">
        <v>98</v>
      </c>
      <c r="M4" s="151">
        <v>99</v>
      </c>
      <c r="N4" s="151">
        <v>100</v>
      </c>
      <c r="O4" s="151">
        <v>101</v>
      </c>
      <c r="P4" s="151">
        <v>102</v>
      </c>
      <c r="Q4" s="151">
        <v>103</v>
      </c>
      <c r="R4" s="151">
        <v>104</v>
      </c>
      <c r="S4" s="151">
        <v>105</v>
      </c>
      <c r="T4" s="151">
        <v>106</v>
      </c>
      <c r="U4" s="151">
        <v>107</v>
      </c>
      <c r="V4" s="151">
        <v>108</v>
      </c>
      <c r="W4" s="151">
        <v>109</v>
      </c>
      <c r="X4" s="151">
        <v>110</v>
      </c>
      <c r="Y4" s="151">
        <v>111</v>
      </c>
      <c r="Z4" s="151">
        <v>112</v>
      </c>
      <c r="AA4" s="151">
        <v>113</v>
      </c>
      <c r="AB4" s="151">
        <v>114</v>
      </c>
      <c r="AC4" s="151">
        <v>115</v>
      </c>
      <c r="AD4" s="151">
        <v>116</v>
      </c>
      <c r="AE4" s="151">
        <v>117</v>
      </c>
      <c r="AF4" s="151">
        <v>118</v>
      </c>
      <c r="AG4" s="151">
        <v>119</v>
      </c>
    </row>
    <row r="5" s="210" customFormat="1" customHeight="1" spans="1:33">
      <c r="A5" s="270"/>
      <c r="B5" s="271" t="s">
        <v>17</v>
      </c>
      <c r="C5" s="152">
        <v>89</v>
      </c>
      <c r="D5" s="152">
        <v>90</v>
      </c>
      <c r="E5" s="152">
        <v>91</v>
      </c>
      <c r="F5" s="152">
        <v>92</v>
      </c>
      <c r="G5" s="152">
        <v>93</v>
      </c>
      <c r="H5" s="152">
        <v>94</v>
      </c>
      <c r="I5" s="152">
        <v>95</v>
      </c>
      <c r="J5" s="152">
        <v>96</v>
      </c>
      <c r="K5" s="152">
        <v>97</v>
      </c>
      <c r="L5" s="152">
        <v>98</v>
      </c>
      <c r="M5" s="152">
        <v>99</v>
      </c>
      <c r="N5" s="152">
        <v>100</v>
      </c>
      <c r="O5" s="152">
        <v>101</v>
      </c>
      <c r="P5" s="152">
        <v>102</v>
      </c>
      <c r="Q5" s="152">
        <v>103</v>
      </c>
      <c r="R5" s="152">
        <v>104</v>
      </c>
      <c r="S5" s="152">
        <v>105</v>
      </c>
      <c r="T5" s="152">
        <v>106</v>
      </c>
      <c r="U5" s="152">
        <v>107</v>
      </c>
      <c r="V5" s="152">
        <v>108</v>
      </c>
      <c r="W5" s="152">
        <v>109</v>
      </c>
      <c r="X5" s="152">
        <v>110</v>
      </c>
      <c r="Y5" s="152">
        <v>111</v>
      </c>
      <c r="Z5" s="152">
        <v>112</v>
      </c>
      <c r="AA5" s="152">
        <v>113</v>
      </c>
      <c r="AB5" s="152">
        <v>114</v>
      </c>
      <c r="AC5" s="152">
        <v>115</v>
      </c>
      <c r="AD5" s="152">
        <v>116</v>
      </c>
      <c r="AE5" s="152">
        <v>117</v>
      </c>
      <c r="AF5" s="152">
        <v>118</v>
      </c>
      <c r="AG5" s="152">
        <v>119</v>
      </c>
    </row>
    <row r="6" s="210" customFormat="1" customHeight="1" spans="1:33">
      <c r="A6" s="270"/>
      <c r="B6" s="272" t="s">
        <v>520</v>
      </c>
      <c r="C6" s="152">
        <v>-1</v>
      </c>
      <c r="D6" s="152">
        <v>0</v>
      </c>
      <c r="E6" s="152">
        <v>1</v>
      </c>
      <c r="F6" s="152">
        <v>2</v>
      </c>
      <c r="G6" s="152">
        <v>3</v>
      </c>
      <c r="H6" s="152">
        <v>4</v>
      </c>
      <c r="I6" s="152">
        <v>5</v>
      </c>
      <c r="J6" s="152">
        <v>6</v>
      </c>
      <c r="K6" s="152">
        <v>7</v>
      </c>
      <c r="L6" s="152">
        <v>8</v>
      </c>
      <c r="M6" s="152">
        <v>9</v>
      </c>
      <c r="N6" s="152">
        <v>10</v>
      </c>
      <c r="O6" s="152">
        <v>11</v>
      </c>
      <c r="P6" s="152">
        <v>12</v>
      </c>
      <c r="Q6" s="152">
        <v>13</v>
      </c>
      <c r="R6" s="152">
        <v>14</v>
      </c>
      <c r="S6" s="152">
        <v>15</v>
      </c>
      <c r="T6" s="152">
        <v>16</v>
      </c>
      <c r="U6" s="152">
        <v>17</v>
      </c>
      <c r="V6" s="152">
        <v>18</v>
      </c>
      <c r="W6" s="152">
        <v>19</v>
      </c>
      <c r="X6" s="152">
        <v>20</v>
      </c>
      <c r="Y6" s="152">
        <v>21</v>
      </c>
      <c r="Z6" s="152">
        <v>22</v>
      </c>
      <c r="AA6" s="152">
        <v>23</v>
      </c>
      <c r="AB6" s="152">
        <v>24</v>
      </c>
      <c r="AC6" s="152">
        <v>25</v>
      </c>
      <c r="AD6" s="152">
        <v>26</v>
      </c>
      <c r="AE6" s="152">
        <v>27</v>
      </c>
      <c r="AF6" s="152">
        <v>28</v>
      </c>
      <c r="AG6" s="152">
        <v>29</v>
      </c>
    </row>
    <row r="7" s="169" customFormat="1" customHeight="1" spans="1:33">
      <c r="A7" s="264"/>
      <c r="B7" s="273" t="s">
        <v>521</v>
      </c>
      <c r="C7" s="145">
        <v>0</v>
      </c>
      <c r="D7" s="145">
        <v>1</v>
      </c>
      <c r="E7" s="145">
        <v>2</v>
      </c>
      <c r="F7" s="145">
        <v>3</v>
      </c>
      <c r="G7" s="145">
        <v>4</v>
      </c>
      <c r="H7" s="145">
        <v>5</v>
      </c>
      <c r="I7" s="145">
        <v>6</v>
      </c>
      <c r="J7" s="145">
        <v>7</v>
      </c>
      <c r="K7" s="145">
        <v>8</v>
      </c>
      <c r="L7" s="145">
        <v>9</v>
      </c>
      <c r="M7" s="145">
        <v>10</v>
      </c>
      <c r="N7" s="145">
        <v>11</v>
      </c>
      <c r="O7" s="145">
        <v>12</v>
      </c>
      <c r="P7" s="145">
        <v>13</v>
      </c>
      <c r="Q7" s="145">
        <v>14</v>
      </c>
      <c r="R7" s="145">
        <v>15</v>
      </c>
      <c r="S7" s="145">
        <v>16</v>
      </c>
      <c r="T7" s="145">
        <v>17</v>
      </c>
      <c r="U7" s="145">
        <v>18</v>
      </c>
      <c r="V7" s="145">
        <v>19</v>
      </c>
      <c r="W7" s="145">
        <v>20</v>
      </c>
      <c r="X7" s="145">
        <v>21</v>
      </c>
      <c r="Y7" s="145">
        <v>22</v>
      </c>
      <c r="Z7" s="145">
        <v>23</v>
      </c>
      <c r="AA7" s="145">
        <v>24</v>
      </c>
      <c r="AB7" s="145">
        <v>25</v>
      </c>
      <c r="AC7" s="145">
        <v>26</v>
      </c>
      <c r="AD7" s="145">
        <v>27</v>
      </c>
      <c r="AE7" s="145">
        <v>28</v>
      </c>
      <c r="AF7" s="145">
        <v>29</v>
      </c>
      <c r="AG7" s="145">
        <v>30</v>
      </c>
    </row>
    <row r="8" s="257" customFormat="1" customHeight="1" spans="1:33">
      <c r="A8" s="266" t="s">
        <v>522</v>
      </c>
      <c r="B8" s="274" t="s">
        <v>523</v>
      </c>
      <c r="C8" s="150">
        <v>89</v>
      </c>
      <c r="D8" s="150">
        <v>90</v>
      </c>
      <c r="E8" s="150">
        <v>91</v>
      </c>
      <c r="F8" s="150">
        <v>92</v>
      </c>
      <c r="G8" s="150">
        <v>93</v>
      </c>
      <c r="H8" s="150">
        <v>94</v>
      </c>
      <c r="I8" s="150">
        <v>95</v>
      </c>
      <c r="J8" s="150">
        <v>96</v>
      </c>
      <c r="K8" s="150">
        <v>97</v>
      </c>
      <c r="L8" s="150">
        <v>98</v>
      </c>
      <c r="M8" s="150">
        <v>99</v>
      </c>
      <c r="N8" s="150">
        <v>100</v>
      </c>
      <c r="O8" s="150">
        <v>101</v>
      </c>
      <c r="P8" s="150">
        <v>102</v>
      </c>
      <c r="Q8" s="150">
        <v>103</v>
      </c>
      <c r="R8" s="150">
        <v>104</v>
      </c>
      <c r="S8" s="150">
        <v>105</v>
      </c>
      <c r="T8" s="150">
        <v>106</v>
      </c>
      <c r="U8" s="150">
        <v>107</v>
      </c>
      <c r="V8" s="150">
        <v>108</v>
      </c>
      <c r="W8" s="150">
        <v>109</v>
      </c>
      <c r="X8" s="150">
        <v>110</v>
      </c>
      <c r="Y8" s="150">
        <v>111</v>
      </c>
      <c r="Z8" s="150">
        <v>112</v>
      </c>
      <c r="AA8" s="150">
        <v>113</v>
      </c>
      <c r="AB8" s="150">
        <v>114</v>
      </c>
      <c r="AC8" s="150">
        <v>115</v>
      </c>
      <c r="AD8" s="150">
        <v>116</v>
      </c>
      <c r="AE8" s="150">
        <v>117</v>
      </c>
      <c r="AF8" s="150">
        <v>118</v>
      </c>
      <c r="AG8" s="150">
        <v>119</v>
      </c>
    </row>
    <row r="9" s="258" customFormat="1" customHeight="1" spans="1:33">
      <c r="A9" s="268"/>
      <c r="B9" s="275" t="s">
        <v>524</v>
      </c>
      <c r="C9" s="151">
        <v>39</v>
      </c>
      <c r="D9" s="151">
        <v>40</v>
      </c>
      <c r="E9" s="151">
        <v>41</v>
      </c>
      <c r="F9" s="151">
        <v>42</v>
      </c>
      <c r="G9" s="151">
        <v>43</v>
      </c>
      <c r="H9" s="151">
        <v>44</v>
      </c>
      <c r="I9" s="151">
        <v>45</v>
      </c>
      <c r="J9" s="151">
        <v>46</v>
      </c>
      <c r="K9" s="151">
        <v>47</v>
      </c>
      <c r="L9" s="151">
        <v>48</v>
      </c>
      <c r="M9" s="151">
        <v>49</v>
      </c>
      <c r="N9" s="151">
        <v>50</v>
      </c>
      <c r="O9" s="151">
        <v>51</v>
      </c>
      <c r="P9" s="151">
        <v>52</v>
      </c>
      <c r="Q9" s="151">
        <v>53</v>
      </c>
      <c r="R9" s="151">
        <v>54</v>
      </c>
      <c r="S9" s="151">
        <v>55</v>
      </c>
      <c r="T9" s="151">
        <v>56</v>
      </c>
      <c r="U9" s="151">
        <v>57</v>
      </c>
      <c r="V9" s="151">
        <v>58</v>
      </c>
      <c r="W9" s="151">
        <v>59</v>
      </c>
      <c r="X9" s="151">
        <v>60</v>
      </c>
      <c r="Y9" s="151">
        <v>61</v>
      </c>
      <c r="Z9" s="151">
        <v>62</v>
      </c>
      <c r="AA9" s="151">
        <v>63</v>
      </c>
      <c r="AB9" s="151">
        <v>64</v>
      </c>
      <c r="AC9" s="151">
        <v>65</v>
      </c>
      <c r="AD9" s="151">
        <v>66</v>
      </c>
      <c r="AE9" s="151">
        <v>67</v>
      </c>
      <c r="AF9" s="151">
        <v>68</v>
      </c>
      <c r="AG9" s="151">
        <v>69</v>
      </c>
    </row>
    <row r="10" s="258" customFormat="1" customHeight="1" spans="1:33">
      <c r="A10" s="268"/>
      <c r="B10" s="275" t="s">
        <v>525</v>
      </c>
      <c r="C10" s="151">
        <v>9</v>
      </c>
      <c r="D10" s="151">
        <v>10</v>
      </c>
      <c r="E10" s="151">
        <v>11</v>
      </c>
      <c r="F10" s="151">
        <v>12</v>
      </c>
      <c r="G10" s="151">
        <v>13</v>
      </c>
      <c r="H10" s="151">
        <v>14</v>
      </c>
      <c r="I10" s="151">
        <v>15</v>
      </c>
      <c r="J10" s="151">
        <v>16</v>
      </c>
      <c r="K10" s="151">
        <v>17</v>
      </c>
      <c r="L10" s="151">
        <v>18</v>
      </c>
      <c r="M10" s="151">
        <v>19</v>
      </c>
      <c r="N10" s="151">
        <v>20</v>
      </c>
      <c r="O10" s="151">
        <v>21</v>
      </c>
      <c r="P10" s="151">
        <v>22</v>
      </c>
      <c r="Q10" s="151">
        <v>23</v>
      </c>
      <c r="R10" s="151">
        <v>24</v>
      </c>
      <c r="S10" s="151">
        <v>25</v>
      </c>
      <c r="T10" s="151">
        <v>26</v>
      </c>
      <c r="U10" s="151">
        <v>27</v>
      </c>
      <c r="V10" s="151">
        <v>28</v>
      </c>
      <c r="W10" s="151">
        <v>29</v>
      </c>
      <c r="X10" s="151">
        <v>30</v>
      </c>
      <c r="Y10" s="151">
        <v>31</v>
      </c>
      <c r="Z10" s="151">
        <v>32</v>
      </c>
      <c r="AA10" s="151">
        <v>33</v>
      </c>
      <c r="AB10" s="151">
        <v>34</v>
      </c>
      <c r="AC10" s="151">
        <v>35</v>
      </c>
      <c r="AD10" s="151">
        <v>36</v>
      </c>
      <c r="AE10" s="151">
        <v>37</v>
      </c>
      <c r="AF10" s="151">
        <v>38</v>
      </c>
      <c r="AG10" s="151">
        <v>39</v>
      </c>
    </row>
    <row r="11" s="210" customFormat="1" customHeight="1" spans="1:33">
      <c r="A11" s="270"/>
      <c r="B11" s="276" t="s">
        <v>526</v>
      </c>
      <c r="C11" s="152">
        <v>-6</v>
      </c>
      <c r="D11" s="152">
        <v>-5</v>
      </c>
      <c r="E11" s="152">
        <v>-4</v>
      </c>
      <c r="F11" s="152">
        <v>-3</v>
      </c>
      <c r="G11" s="152">
        <v>-2</v>
      </c>
      <c r="H11" s="152">
        <v>-1</v>
      </c>
      <c r="I11" s="152">
        <v>0</v>
      </c>
      <c r="J11" s="152">
        <v>1</v>
      </c>
      <c r="K11" s="152">
        <v>2</v>
      </c>
      <c r="L11" s="152">
        <v>3</v>
      </c>
      <c r="M11" s="152">
        <v>4</v>
      </c>
      <c r="N11" s="152">
        <v>5</v>
      </c>
      <c r="O11" s="152">
        <v>6</v>
      </c>
      <c r="P11" s="152">
        <v>7</v>
      </c>
      <c r="Q11" s="152">
        <v>8</v>
      </c>
      <c r="R11" s="152">
        <v>9</v>
      </c>
      <c r="S11" s="152">
        <v>10</v>
      </c>
      <c r="T11" s="152">
        <v>11</v>
      </c>
      <c r="U11" s="152">
        <v>12</v>
      </c>
      <c r="V11" s="152">
        <v>13</v>
      </c>
      <c r="W11" s="152">
        <v>14</v>
      </c>
      <c r="X11" s="152">
        <v>15</v>
      </c>
      <c r="Y11" s="152">
        <v>16</v>
      </c>
      <c r="Z11" s="152">
        <v>17</v>
      </c>
      <c r="AA11" s="152">
        <v>18</v>
      </c>
      <c r="AB11" s="152">
        <v>19</v>
      </c>
      <c r="AC11" s="152">
        <v>20</v>
      </c>
      <c r="AD11" s="152">
        <v>21</v>
      </c>
      <c r="AE11" s="152">
        <v>22</v>
      </c>
      <c r="AF11" s="152">
        <v>23</v>
      </c>
      <c r="AG11" s="152">
        <v>24</v>
      </c>
    </row>
    <row r="12" s="258" customFormat="1" customHeight="1" spans="1:33">
      <c r="A12" s="277" t="s">
        <v>527</v>
      </c>
      <c r="B12" s="278" t="s">
        <v>528</v>
      </c>
      <c r="C12" s="150">
        <v>1000</v>
      </c>
      <c r="D12" s="150">
        <v>1000</v>
      </c>
      <c r="E12" s="150">
        <v>1000</v>
      </c>
      <c r="F12" s="150">
        <v>1000</v>
      </c>
      <c r="G12" s="150">
        <v>1000</v>
      </c>
      <c r="H12" s="150">
        <v>1000</v>
      </c>
      <c r="I12" s="150">
        <v>1000</v>
      </c>
      <c r="J12" s="150">
        <v>1000</v>
      </c>
      <c r="K12" s="150">
        <v>1000</v>
      </c>
      <c r="L12" s="150">
        <v>1000</v>
      </c>
      <c r="M12" s="150">
        <v>1000</v>
      </c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</row>
    <row r="13" s="258" customFormat="1" customHeight="1" spans="1:33">
      <c r="A13" s="279"/>
      <c r="B13" s="278" t="s">
        <v>529</v>
      </c>
      <c r="C13" s="150">
        <v>1000</v>
      </c>
      <c r="D13" s="150">
        <v>1000</v>
      </c>
      <c r="E13" s="150">
        <v>1000</v>
      </c>
      <c r="F13" s="150">
        <v>1000</v>
      </c>
      <c r="G13" s="150">
        <v>1000</v>
      </c>
      <c r="H13" s="150">
        <v>1000</v>
      </c>
      <c r="I13" s="150">
        <v>1000</v>
      </c>
      <c r="J13" s="150">
        <v>1000</v>
      </c>
      <c r="K13" s="150">
        <v>1000</v>
      </c>
      <c r="L13" s="150">
        <v>1000</v>
      </c>
      <c r="M13" s="150">
        <v>1000</v>
      </c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</row>
    <row r="14" s="258" customFormat="1" customHeight="1" spans="1:33">
      <c r="A14" s="279"/>
      <c r="B14" s="278" t="s">
        <v>530</v>
      </c>
      <c r="C14" s="150">
        <v>1000</v>
      </c>
      <c r="D14" s="150">
        <v>1000</v>
      </c>
      <c r="E14" s="150">
        <v>1000</v>
      </c>
      <c r="F14" s="150">
        <v>1000</v>
      </c>
      <c r="G14" s="150">
        <v>1000</v>
      </c>
      <c r="H14" s="150">
        <v>1000</v>
      </c>
      <c r="I14" s="150">
        <v>1000</v>
      </c>
      <c r="J14" s="150">
        <v>1000</v>
      </c>
      <c r="K14" s="150">
        <v>1000</v>
      </c>
      <c r="L14" s="150">
        <v>1000</v>
      </c>
      <c r="M14" s="150">
        <v>1000</v>
      </c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 s="258" customFormat="1" customHeight="1" spans="1:33">
      <c r="A15" s="279"/>
      <c r="B15" s="278" t="s">
        <v>531</v>
      </c>
      <c r="C15" s="150">
        <v>1000</v>
      </c>
      <c r="D15" s="150">
        <v>1000</v>
      </c>
      <c r="E15" s="150">
        <v>1000</v>
      </c>
      <c r="F15" s="150">
        <v>1000</v>
      </c>
      <c r="G15" s="150">
        <v>1000</v>
      </c>
      <c r="H15" s="150">
        <v>1000</v>
      </c>
      <c r="I15" s="150">
        <v>1000</v>
      </c>
      <c r="J15" s="150">
        <v>1000</v>
      </c>
      <c r="K15" s="150">
        <v>1000</v>
      </c>
      <c r="L15" s="150">
        <v>1000</v>
      </c>
      <c r="M15" s="150">
        <v>1000</v>
      </c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</row>
    <row r="16" s="258" customFormat="1" customHeight="1" spans="1:33">
      <c r="A16" s="279"/>
      <c r="B16" s="278" t="s">
        <v>532</v>
      </c>
      <c r="C16" s="150">
        <v>1000</v>
      </c>
      <c r="D16" s="150">
        <v>1000</v>
      </c>
      <c r="E16" s="150">
        <v>1000</v>
      </c>
      <c r="F16" s="150">
        <v>1000</v>
      </c>
      <c r="G16" s="150">
        <v>1000</v>
      </c>
      <c r="H16" s="150">
        <v>1000</v>
      </c>
      <c r="I16" s="150">
        <v>1000</v>
      </c>
      <c r="J16" s="150">
        <v>1000</v>
      </c>
      <c r="K16" s="150">
        <v>1000</v>
      </c>
      <c r="L16" s="150">
        <v>1000</v>
      </c>
      <c r="M16" s="150">
        <v>1000</v>
      </c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="259" customFormat="1" customHeight="1" spans="1:33">
      <c r="A17" s="280"/>
      <c r="B17" s="281" t="s">
        <v>533</v>
      </c>
      <c r="C17" s="150">
        <v>1000</v>
      </c>
      <c r="D17" s="150">
        <v>1000</v>
      </c>
      <c r="E17" s="150">
        <v>1000</v>
      </c>
      <c r="F17" s="150">
        <v>1000</v>
      </c>
      <c r="G17" s="150">
        <v>1000</v>
      </c>
      <c r="H17" s="150">
        <v>1000</v>
      </c>
      <c r="I17" s="150">
        <v>1000</v>
      </c>
      <c r="J17" s="150">
        <v>1000</v>
      </c>
      <c r="K17" s="150">
        <v>1000</v>
      </c>
      <c r="L17" s="150">
        <v>1000</v>
      </c>
      <c r="M17" s="150">
        <v>1000</v>
      </c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</row>
    <row r="18" s="258" customFormat="1" customHeight="1" spans="1:33">
      <c r="A18" s="282"/>
      <c r="B18" s="278" t="s">
        <v>534</v>
      </c>
      <c r="C18" s="151">
        <f t="shared" ref="C18:L18" si="0">C15+C16</f>
        <v>2000</v>
      </c>
      <c r="D18" s="151">
        <f t="shared" si="0"/>
        <v>2000</v>
      </c>
      <c r="E18" s="151">
        <f t="shared" si="0"/>
        <v>2000</v>
      </c>
      <c r="F18" s="151">
        <f t="shared" si="0"/>
        <v>2000</v>
      </c>
      <c r="G18" s="151">
        <f t="shared" si="0"/>
        <v>2000</v>
      </c>
      <c r="H18" s="151">
        <f t="shared" si="0"/>
        <v>2000</v>
      </c>
      <c r="I18" s="151">
        <f t="shared" si="0"/>
        <v>2000</v>
      </c>
      <c r="J18" s="151">
        <f t="shared" si="0"/>
        <v>2000</v>
      </c>
      <c r="K18" s="151">
        <f t="shared" si="0"/>
        <v>2000</v>
      </c>
      <c r="L18" s="151">
        <f t="shared" si="0"/>
        <v>2000</v>
      </c>
      <c r="M18" s="151">
        <f t="shared" ref="M18:AG18" si="1">M15+M16</f>
        <v>2000</v>
      </c>
      <c r="N18" s="151">
        <f t="shared" si="1"/>
        <v>0</v>
      </c>
      <c r="O18" s="151">
        <f t="shared" si="1"/>
        <v>0</v>
      </c>
      <c r="P18" s="151">
        <f t="shared" si="1"/>
        <v>0</v>
      </c>
      <c r="Q18" s="151">
        <f t="shared" si="1"/>
        <v>0</v>
      </c>
      <c r="R18" s="151">
        <f t="shared" si="1"/>
        <v>0</v>
      </c>
      <c r="S18" s="151">
        <f t="shared" si="1"/>
        <v>0</v>
      </c>
      <c r="T18" s="151">
        <f t="shared" si="1"/>
        <v>0</v>
      </c>
      <c r="U18" s="151">
        <f t="shared" si="1"/>
        <v>0</v>
      </c>
      <c r="V18" s="151">
        <f t="shared" si="1"/>
        <v>0</v>
      </c>
      <c r="W18" s="151">
        <f t="shared" si="1"/>
        <v>0</v>
      </c>
      <c r="X18" s="151">
        <f t="shared" si="1"/>
        <v>0</v>
      </c>
      <c r="Y18" s="151">
        <f t="shared" si="1"/>
        <v>0</v>
      </c>
      <c r="Z18" s="151">
        <f t="shared" si="1"/>
        <v>0</v>
      </c>
      <c r="AA18" s="151">
        <f t="shared" si="1"/>
        <v>0</v>
      </c>
      <c r="AB18" s="151">
        <f t="shared" si="1"/>
        <v>0</v>
      </c>
      <c r="AC18" s="151">
        <f t="shared" si="1"/>
        <v>0</v>
      </c>
      <c r="AD18" s="151">
        <f t="shared" si="1"/>
        <v>0</v>
      </c>
      <c r="AE18" s="151">
        <f t="shared" si="1"/>
        <v>0</v>
      </c>
      <c r="AF18" s="151">
        <f t="shared" si="1"/>
        <v>0</v>
      </c>
      <c r="AG18" s="151">
        <f t="shared" si="1"/>
        <v>0</v>
      </c>
    </row>
    <row r="19" s="260" customFormat="1" customHeight="1" spans="1:33">
      <c r="A19" s="153" t="s">
        <v>535</v>
      </c>
      <c r="B19" s="283" t="s">
        <v>536</v>
      </c>
      <c r="C19" s="153">
        <f t="shared" ref="C19:L19" si="2">C9/C3</f>
        <v>0.0394337714863498</v>
      </c>
      <c r="D19" s="153">
        <f t="shared" si="2"/>
        <v>0.0404040404040404</v>
      </c>
      <c r="E19" s="153">
        <f t="shared" si="2"/>
        <v>0.041372351160444</v>
      </c>
      <c r="F19" s="153">
        <f t="shared" si="2"/>
        <v>0.0423387096774194</v>
      </c>
      <c r="G19" s="153">
        <f t="shared" si="2"/>
        <v>0.0433031218529708</v>
      </c>
      <c r="H19" s="153">
        <f t="shared" si="2"/>
        <v>0.0442655935613682</v>
      </c>
      <c r="I19" s="153">
        <f t="shared" si="2"/>
        <v>0.0452261306532663</v>
      </c>
      <c r="J19" s="153">
        <f t="shared" si="2"/>
        <v>0.0461847389558233</v>
      </c>
      <c r="K19" s="153">
        <f t="shared" si="2"/>
        <v>0.0471414242728185</v>
      </c>
      <c r="L19" s="153">
        <f t="shared" si="2"/>
        <v>0.0480961923847695</v>
      </c>
      <c r="M19" s="153">
        <f t="shared" ref="M19:AG19" si="3">M9/M3</f>
        <v>0.049049049049049</v>
      </c>
      <c r="N19" s="153">
        <f t="shared" si="3"/>
        <v>0.05</v>
      </c>
      <c r="O19" s="153">
        <f t="shared" si="3"/>
        <v>0.050949050949051</v>
      </c>
      <c r="P19" s="153">
        <f t="shared" si="3"/>
        <v>0.0518962075848303</v>
      </c>
      <c r="Q19" s="153">
        <f t="shared" si="3"/>
        <v>0.0528414755732802</v>
      </c>
      <c r="R19" s="153">
        <f t="shared" si="3"/>
        <v>0.0537848605577689</v>
      </c>
      <c r="S19" s="153">
        <f t="shared" si="3"/>
        <v>0.054726368159204</v>
      </c>
      <c r="T19" s="153">
        <f t="shared" si="3"/>
        <v>0.0556660039761431</v>
      </c>
      <c r="U19" s="153">
        <f t="shared" si="3"/>
        <v>0.0566037735849057</v>
      </c>
      <c r="V19" s="153">
        <f t="shared" si="3"/>
        <v>0.0575396825396825</v>
      </c>
      <c r="W19" s="153">
        <f t="shared" si="3"/>
        <v>0.0584737363726462</v>
      </c>
      <c r="X19" s="153">
        <f t="shared" si="3"/>
        <v>0.0594059405940594</v>
      </c>
      <c r="Y19" s="153">
        <f t="shared" si="3"/>
        <v>0.0603363006923838</v>
      </c>
      <c r="Z19" s="153">
        <f t="shared" si="3"/>
        <v>0.0612648221343874</v>
      </c>
      <c r="AA19" s="153">
        <f t="shared" si="3"/>
        <v>0.0621915103652517</v>
      </c>
      <c r="AB19" s="153">
        <f t="shared" si="3"/>
        <v>0.0631163708086785</v>
      </c>
      <c r="AC19" s="153">
        <f t="shared" si="3"/>
        <v>0.0640394088669951</v>
      </c>
      <c r="AD19" s="153">
        <f t="shared" si="3"/>
        <v>0.0649606299212598</v>
      </c>
      <c r="AE19" s="153">
        <f t="shared" si="3"/>
        <v>0.0658800393313668</v>
      </c>
      <c r="AF19" s="153">
        <f t="shared" si="3"/>
        <v>0.0667976424361493</v>
      </c>
      <c r="AG19" s="153">
        <f t="shared" si="3"/>
        <v>0.0677134445534838</v>
      </c>
    </row>
    <row r="20" s="260" customFormat="1" customHeight="1" spans="1:33">
      <c r="A20" s="153"/>
      <c r="B20" s="284" t="s">
        <v>537</v>
      </c>
      <c r="C20" s="153">
        <f t="shared" ref="C20:L20" si="4">C9/C8</f>
        <v>0.438202247191011</v>
      </c>
      <c r="D20" s="153">
        <f t="shared" si="4"/>
        <v>0.444444444444444</v>
      </c>
      <c r="E20" s="153">
        <f t="shared" si="4"/>
        <v>0.450549450549451</v>
      </c>
      <c r="F20" s="153">
        <f t="shared" si="4"/>
        <v>0.456521739130435</v>
      </c>
      <c r="G20" s="153">
        <f t="shared" si="4"/>
        <v>0.462365591397849</v>
      </c>
      <c r="H20" s="153">
        <f t="shared" si="4"/>
        <v>0.468085106382979</v>
      </c>
      <c r="I20" s="153">
        <f t="shared" si="4"/>
        <v>0.473684210526316</v>
      </c>
      <c r="J20" s="153">
        <f t="shared" si="4"/>
        <v>0.479166666666667</v>
      </c>
      <c r="K20" s="153">
        <f t="shared" si="4"/>
        <v>0.484536082474227</v>
      </c>
      <c r="L20" s="153">
        <f t="shared" si="4"/>
        <v>0.489795918367347</v>
      </c>
      <c r="M20" s="153">
        <f t="shared" ref="M20:AG20" si="5">M9/M8</f>
        <v>0.494949494949495</v>
      </c>
      <c r="N20" s="153">
        <f t="shared" si="5"/>
        <v>0.5</v>
      </c>
      <c r="O20" s="153">
        <f t="shared" si="5"/>
        <v>0.504950495049505</v>
      </c>
      <c r="P20" s="153">
        <f t="shared" si="5"/>
        <v>0.509803921568627</v>
      </c>
      <c r="Q20" s="153">
        <f t="shared" si="5"/>
        <v>0.514563106796116</v>
      </c>
      <c r="R20" s="153">
        <f t="shared" si="5"/>
        <v>0.519230769230769</v>
      </c>
      <c r="S20" s="153">
        <f t="shared" si="5"/>
        <v>0.523809523809524</v>
      </c>
      <c r="T20" s="153">
        <f t="shared" si="5"/>
        <v>0.528301886792453</v>
      </c>
      <c r="U20" s="153">
        <f t="shared" si="5"/>
        <v>0.532710280373832</v>
      </c>
      <c r="V20" s="153">
        <f t="shared" si="5"/>
        <v>0.537037037037037</v>
      </c>
      <c r="W20" s="153">
        <f t="shared" si="5"/>
        <v>0.541284403669725</v>
      </c>
      <c r="X20" s="153">
        <f t="shared" si="5"/>
        <v>0.545454545454545</v>
      </c>
      <c r="Y20" s="153">
        <f t="shared" si="5"/>
        <v>0.54954954954955</v>
      </c>
      <c r="Z20" s="153">
        <f t="shared" si="5"/>
        <v>0.553571428571429</v>
      </c>
      <c r="AA20" s="153">
        <f t="shared" si="5"/>
        <v>0.557522123893805</v>
      </c>
      <c r="AB20" s="153">
        <f t="shared" si="5"/>
        <v>0.56140350877193</v>
      </c>
      <c r="AC20" s="153">
        <f t="shared" si="5"/>
        <v>0.565217391304348</v>
      </c>
      <c r="AD20" s="153">
        <f t="shared" si="5"/>
        <v>0.568965517241379</v>
      </c>
      <c r="AE20" s="153">
        <f t="shared" si="5"/>
        <v>0.572649572649573</v>
      </c>
      <c r="AF20" s="153">
        <f t="shared" si="5"/>
        <v>0.576271186440678</v>
      </c>
      <c r="AG20" s="153">
        <f t="shared" si="5"/>
        <v>0.579831932773109</v>
      </c>
    </row>
    <row r="21" s="210" customFormat="1" customHeight="1" spans="1:33">
      <c r="A21" s="152"/>
      <c r="B21" s="285" t="s">
        <v>538</v>
      </c>
      <c r="C21" s="152">
        <f t="shared" ref="C21:L21" si="6">C11/C9</f>
        <v>-0.153846153846154</v>
      </c>
      <c r="D21" s="152">
        <f t="shared" si="6"/>
        <v>-0.125</v>
      </c>
      <c r="E21" s="152">
        <f t="shared" si="6"/>
        <v>-0.0975609756097561</v>
      </c>
      <c r="F21" s="152">
        <f t="shared" si="6"/>
        <v>-0.0714285714285714</v>
      </c>
      <c r="G21" s="152">
        <f t="shared" si="6"/>
        <v>-0.0465116279069767</v>
      </c>
      <c r="H21" s="152">
        <f t="shared" si="6"/>
        <v>-0.0227272727272727</v>
      </c>
      <c r="I21" s="152">
        <f t="shared" si="6"/>
        <v>0</v>
      </c>
      <c r="J21" s="152">
        <f t="shared" si="6"/>
        <v>0.0217391304347826</v>
      </c>
      <c r="K21" s="152">
        <f t="shared" si="6"/>
        <v>0.0425531914893617</v>
      </c>
      <c r="L21" s="152">
        <f t="shared" si="6"/>
        <v>0.0625</v>
      </c>
      <c r="M21" s="152">
        <f t="shared" ref="M21:AG21" si="7">M11/M9</f>
        <v>0.0816326530612245</v>
      </c>
      <c r="N21" s="152">
        <f t="shared" si="7"/>
        <v>0.1</v>
      </c>
      <c r="O21" s="152">
        <f t="shared" si="7"/>
        <v>0.117647058823529</v>
      </c>
      <c r="P21" s="152">
        <f t="shared" si="7"/>
        <v>0.134615384615385</v>
      </c>
      <c r="Q21" s="152">
        <f t="shared" si="7"/>
        <v>0.150943396226415</v>
      </c>
      <c r="R21" s="152">
        <f t="shared" si="7"/>
        <v>0.166666666666667</v>
      </c>
      <c r="S21" s="152">
        <f t="shared" si="7"/>
        <v>0.181818181818182</v>
      </c>
      <c r="T21" s="152">
        <f t="shared" si="7"/>
        <v>0.196428571428571</v>
      </c>
      <c r="U21" s="152">
        <f t="shared" si="7"/>
        <v>0.210526315789474</v>
      </c>
      <c r="V21" s="152">
        <f t="shared" si="7"/>
        <v>0.224137931034483</v>
      </c>
      <c r="W21" s="152">
        <f t="shared" si="7"/>
        <v>0.23728813559322</v>
      </c>
      <c r="X21" s="152">
        <f t="shared" si="7"/>
        <v>0.25</v>
      </c>
      <c r="Y21" s="152">
        <f t="shared" si="7"/>
        <v>0.262295081967213</v>
      </c>
      <c r="Z21" s="152">
        <f t="shared" si="7"/>
        <v>0.274193548387097</v>
      </c>
      <c r="AA21" s="152">
        <f t="shared" si="7"/>
        <v>0.285714285714286</v>
      </c>
      <c r="AB21" s="152">
        <f t="shared" si="7"/>
        <v>0.296875</v>
      </c>
      <c r="AC21" s="152">
        <f t="shared" si="7"/>
        <v>0.307692307692308</v>
      </c>
      <c r="AD21" s="152">
        <f t="shared" si="7"/>
        <v>0.318181818181818</v>
      </c>
      <c r="AE21" s="152">
        <f t="shared" si="7"/>
        <v>0.328358208955224</v>
      </c>
      <c r="AF21" s="152">
        <f t="shared" si="7"/>
        <v>0.338235294117647</v>
      </c>
      <c r="AG21" s="152">
        <f t="shared" si="7"/>
        <v>0.347826086956522</v>
      </c>
    </row>
    <row r="22" s="260" customFormat="1" customHeight="1" spans="1:33">
      <c r="A22" s="153"/>
      <c r="B22" s="283" t="s">
        <v>539</v>
      </c>
      <c r="C22" s="153">
        <f t="shared" ref="C22:L22" si="8">C10/C9</f>
        <v>0.230769230769231</v>
      </c>
      <c r="D22" s="153">
        <f t="shared" si="8"/>
        <v>0.25</v>
      </c>
      <c r="E22" s="153">
        <f t="shared" si="8"/>
        <v>0.268292682926829</v>
      </c>
      <c r="F22" s="153">
        <f t="shared" si="8"/>
        <v>0.285714285714286</v>
      </c>
      <c r="G22" s="153">
        <f t="shared" si="8"/>
        <v>0.302325581395349</v>
      </c>
      <c r="H22" s="153">
        <f t="shared" si="8"/>
        <v>0.318181818181818</v>
      </c>
      <c r="I22" s="153">
        <f t="shared" si="8"/>
        <v>0.333333333333333</v>
      </c>
      <c r="J22" s="153">
        <f t="shared" si="8"/>
        <v>0.347826086956522</v>
      </c>
      <c r="K22" s="153">
        <f t="shared" si="8"/>
        <v>0.361702127659574</v>
      </c>
      <c r="L22" s="153">
        <f t="shared" si="8"/>
        <v>0.375</v>
      </c>
      <c r="M22" s="153">
        <f t="shared" ref="M22:AG22" si="9">M10/M9</f>
        <v>0.387755102040816</v>
      </c>
      <c r="N22" s="153">
        <f t="shared" si="9"/>
        <v>0.4</v>
      </c>
      <c r="O22" s="153">
        <f t="shared" si="9"/>
        <v>0.411764705882353</v>
      </c>
      <c r="P22" s="153">
        <f t="shared" si="9"/>
        <v>0.423076923076923</v>
      </c>
      <c r="Q22" s="153">
        <f t="shared" si="9"/>
        <v>0.433962264150943</v>
      </c>
      <c r="R22" s="153">
        <f t="shared" si="9"/>
        <v>0.444444444444444</v>
      </c>
      <c r="S22" s="153">
        <f t="shared" si="9"/>
        <v>0.454545454545455</v>
      </c>
      <c r="T22" s="153">
        <f t="shared" si="9"/>
        <v>0.464285714285714</v>
      </c>
      <c r="U22" s="153">
        <f t="shared" si="9"/>
        <v>0.473684210526316</v>
      </c>
      <c r="V22" s="153">
        <f t="shared" si="9"/>
        <v>0.482758620689655</v>
      </c>
      <c r="W22" s="153">
        <f t="shared" si="9"/>
        <v>0.491525423728814</v>
      </c>
      <c r="X22" s="153">
        <f t="shared" si="9"/>
        <v>0.5</v>
      </c>
      <c r="Y22" s="153">
        <f t="shared" si="9"/>
        <v>0.508196721311475</v>
      </c>
      <c r="Z22" s="153">
        <f t="shared" si="9"/>
        <v>0.516129032258065</v>
      </c>
      <c r="AA22" s="153">
        <f t="shared" si="9"/>
        <v>0.523809523809524</v>
      </c>
      <c r="AB22" s="153">
        <f t="shared" si="9"/>
        <v>0.53125</v>
      </c>
      <c r="AC22" s="153">
        <f t="shared" si="9"/>
        <v>0.538461538461538</v>
      </c>
      <c r="AD22" s="153">
        <f t="shared" si="9"/>
        <v>0.545454545454545</v>
      </c>
      <c r="AE22" s="153">
        <f t="shared" si="9"/>
        <v>0.552238805970149</v>
      </c>
      <c r="AF22" s="153">
        <f t="shared" si="9"/>
        <v>0.558823529411765</v>
      </c>
      <c r="AG22" s="153">
        <f t="shared" si="9"/>
        <v>0.565217391304348</v>
      </c>
    </row>
    <row r="23" s="260" customFormat="1" customHeight="1" spans="1:33">
      <c r="A23" s="153"/>
      <c r="B23" s="283" t="s">
        <v>540</v>
      </c>
      <c r="C23" s="153">
        <f t="shared" ref="C23:L23" si="10">C4/C3</f>
        <v>0.089989888776542</v>
      </c>
      <c r="D23" s="153">
        <f t="shared" si="10"/>
        <v>0.0909090909090909</v>
      </c>
      <c r="E23" s="153">
        <f t="shared" si="10"/>
        <v>0.0918264379414733</v>
      </c>
      <c r="F23" s="153">
        <f t="shared" si="10"/>
        <v>0.092741935483871</v>
      </c>
      <c r="G23" s="153">
        <f t="shared" si="10"/>
        <v>0.0936555891238671</v>
      </c>
      <c r="H23" s="153">
        <f t="shared" si="10"/>
        <v>0.0945674044265594</v>
      </c>
      <c r="I23" s="153">
        <f t="shared" si="10"/>
        <v>0.0954773869346734</v>
      </c>
      <c r="J23" s="153">
        <f t="shared" si="10"/>
        <v>0.0963855421686747</v>
      </c>
      <c r="K23" s="153">
        <f t="shared" si="10"/>
        <v>0.0972918756268806</v>
      </c>
      <c r="L23" s="153">
        <f t="shared" si="10"/>
        <v>0.0981963927855711</v>
      </c>
      <c r="M23" s="153">
        <f t="shared" ref="M23:AG23" si="11">M4/M3</f>
        <v>0.0990990990990991</v>
      </c>
      <c r="N23" s="153">
        <f t="shared" si="11"/>
        <v>0.1</v>
      </c>
      <c r="O23" s="153">
        <f t="shared" si="11"/>
        <v>0.100899100899101</v>
      </c>
      <c r="P23" s="153">
        <f t="shared" si="11"/>
        <v>0.101796407185629</v>
      </c>
      <c r="Q23" s="153">
        <f t="shared" si="11"/>
        <v>0.102691924227318</v>
      </c>
      <c r="R23" s="153">
        <f t="shared" si="11"/>
        <v>0.103585657370518</v>
      </c>
      <c r="S23" s="153">
        <f t="shared" si="11"/>
        <v>0.104477611940299</v>
      </c>
      <c r="T23" s="153">
        <f t="shared" si="11"/>
        <v>0.105367793240557</v>
      </c>
      <c r="U23" s="153">
        <f t="shared" si="11"/>
        <v>0.106256206554121</v>
      </c>
      <c r="V23" s="153">
        <f t="shared" si="11"/>
        <v>0.107142857142857</v>
      </c>
      <c r="W23" s="153">
        <f t="shared" si="11"/>
        <v>0.10802775024777</v>
      </c>
      <c r="X23" s="153">
        <f t="shared" si="11"/>
        <v>0.108910891089109</v>
      </c>
      <c r="Y23" s="153">
        <f t="shared" si="11"/>
        <v>0.109792284866469</v>
      </c>
      <c r="Z23" s="153">
        <f t="shared" si="11"/>
        <v>0.110671936758893</v>
      </c>
      <c r="AA23" s="153">
        <f t="shared" si="11"/>
        <v>0.111549851924975</v>
      </c>
      <c r="AB23" s="153">
        <f t="shared" si="11"/>
        <v>0.112426035502959</v>
      </c>
      <c r="AC23" s="153">
        <f t="shared" si="11"/>
        <v>0.113300492610837</v>
      </c>
      <c r="AD23" s="153">
        <f t="shared" si="11"/>
        <v>0.114173228346457</v>
      </c>
      <c r="AE23" s="153">
        <f t="shared" si="11"/>
        <v>0.115044247787611</v>
      </c>
      <c r="AF23" s="153">
        <f t="shared" si="11"/>
        <v>0.115913555992141</v>
      </c>
      <c r="AG23" s="153">
        <f t="shared" si="11"/>
        <v>0.116781157998037</v>
      </c>
    </row>
    <row r="24" s="210" customFormat="1" customHeight="1" spans="1:33">
      <c r="A24" s="152"/>
      <c r="B24" s="286" t="s">
        <v>103</v>
      </c>
      <c r="C24" s="152">
        <f t="shared" ref="C24:L24" si="12">C5/C4</f>
        <v>1</v>
      </c>
      <c r="D24" s="152">
        <f t="shared" si="12"/>
        <v>1</v>
      </c>
      <c r="E24" s="152">
        <f t="shared" si="12"/>
        <v>1</v>
      </c>
      <c r="F24" s="152">
        <f t="shared" si="12"/>
        <v>1</v>
      </c>
      <c r="G24" s="152">
        <f t="shared" si="12"/>
        <v>1</v>
      </c>
      <c r="H24" s="152">
        <f t="shared" si="12"/>
        <v>1</v>
      </c>
      <c r="I24" s="152">
        <f t="shared" si="12"/>
        <v>1</v>
      </c>
      <c r="J24" s="152">
        <f t="shared" si="12"/>
        <v>1</v>
      </c>
      <c r="K24" s="152">
        <f t="shared" si="12"/>
        <v>1</v>
      </c>
      <c r="L24" s="152">
        <f t="shared" si="12"/>
        <v>1</v>
      </c>
      <c r="M24" s="152">
        <f t="shared" ref="M24:AG24" si="13">M5/M4</f>
        <v>1</v>
      </c>
      <c r="N24" s="152">
        <f t="shared" si="13"/>
        <v>1</v>
      </c>
      <c r="O24" s="152">
        <f t="shared" si="13"/>
        <v>1</v>
      </c>
      <c r="P24" s="152">
        <f t="shared" si="13"/>
        <v>1</v>
      </c>
      <c r="Q24" s="152">
        <f t="shared" si="13"/>
        <v>1</v>
      </c>
      <c r="R24" s="152">
        <f t="shared" si="13"/>
        <v>1</v>
      </c>
      <c r="S24" s="152">
        <f t="shared" si="13"/>
        <v>1</v>
      </c>
      <c r="T24" s="152">
        <f t="shared" si="13"/>
        <v>1</v>
      </c>
      <c r="U24" s="152">
        <f t="shared" si="13"/>
        <v>1</v>
      </c>
      <c r="V24" s="152">
        <f t="shared" si="13"/>
        <v>1</v>
      </c>
      <c r="W24" s="152">
        <f t="shared" si="13"/>
        <v>1</v>
      </c>
      <c r="X24" s="152">
        <f t="shared" si="13"/>
        <v>1</v>
      </c>
      <c r="Y24" s="152">
        <f t="shared" si="13"/>
        <v>1</v>
      </c>
      <c r="Z24" s="152">
        <f t="shared" si="13"/>
        <v>1</v>
      </c>
      <c r="AA24" s="152">
        <f t="shared" si="13"/>
        <v>1</v>
      </c>
      <c r="AB24" s="152">
        <f t="shared" si="13"/>
        <v>1</v>
      </c>
      <c r="AC24" s="152">
        <f t="shared" si="13"/>
        <v>1</v>
      </c>
      <c r="AD24" s="152">
        <f t="shared" si="13"/>
        <v>1</v>
      </c>
      <c r="AE24" s="152">
        <f t="shared" si="13"/>
        <v>1</v>
      </c>
      <c r="AF24" s="152">
        <f t="shared" si="13"/>
        <v>1</v>
      </c>
      <c r="AG24" s="152">
        <f t="shared" si="13"/>
        <v>1</v>
      </c>
    </row>
    <row r="25" s="169" customFormat="1" customHeight="1" spans="1:33">
      <c r="A25" s="145"/>
      <c r="B25" s="287" t="s">
        <v>541</v>
      </c>
      <c r="C25" s="145">
        <f t="shared" ref="C25:L25" si="14">C4-C7</f>
        <v>89</v>
      </c>
      <c r="D25" s="145">
        <f t="shared" si="14"/>
        <v>89</v>
      </c>
      <c r="E25" s="145">
        <f t="shared" si="14"/>
        <v>89</v>
      </c>
      <c r="F25" s="145">
        <f t="shared" si="14"/>
        <v>89</v>
      </c>
      <c r="G25" s="145">
        <f t="shared" si="14"/>
        <v>89</v>
      </c>
      <c r="H25" s="145">
        <f t="shared" si="14"/>
        <v>89</v>
      </c>
      <c r="I25" s="145">
        <f t="shared" si="14"/>
        <v>89</v>
      </c>
      <c r="J25" s="145">
        <f t="shared" si="14"/>
        <v>89</v>
      </c>
      <c r="K25" s="145">
        <f t="shared" si="14"/>
        <v>89</v>
      </c>
      <c r="L25" s="145">
        <f t="shared" si="14"/>
        <v>89</v>
      </c>
      <c r="M25" s="145">
        <f t="shared" ref="M25:AG25" si="15">M4-M7</f>
        <v>89</v>
      </c>
      <c r="N25" s="145">
        <f t="shared" si="15"/>
        <v>89</v>
      </c>
      <c r="O25" s="145">
        <f t="shared" si="15"/>
        <v>89</v>
      </c>
      <c r="P25" s="145">
        <f t="shared" si="15"/>
        <v>89</v>
      </c>
      <c r="Q25" s="145">
        <f t="shared" si="15"/>
        <v>89</v>
      </c>
      <c r="R25" s="145">
        <f t="shared" si="15"/>
        <v>89</v>
      </c>
      <c r="S25" s="145">
        <f t="shared" si="15"/>
        <v>89</v>
      </c>
      <c r="T25" s="145">
        <f t="shared" si="15"/>
        <v>89</v>
      </c>
      <c r="U25" s="145">
        <f t="shared" si="15"/>
        <v>89</v>
      </c>
      <c r="V25" s="145">
        <f t="shared" si="15"/>
        <v>89</v>
      </c>
      <c r="W25" s="145">
        <f t="shared" si="15"/>
        <v>89</v>
      </c>
      <c r="X25" s="145">
        <f t="shared" si="15"/>
        <v>89</v>
      </c>
      <c r="Y25" s="145">
        <f t="shared" si="15"/>
        <v>89</v>
      </c>
      <c r="Z25" s="145">
        <f t="shared" si="15"/>
        <v>89</v>
      </c>
      <c r="AA25" s="145">
        <f t="shared" si="15"/>
        <v>89</v>
      </c>
      <c r="AB25" s="145">
        <f t="shared" si="15"/>
        <v>89</v>
      </c>
      <c r="AC25" s="145">
        <f t="shared" si="15"/>
        <v>89</v>
      </c>
      <c r="AD25" s="145">
        <f t="shared" si="15"/>
        <v>89</v>
      </c>
      <c r="AE25" s="145">
        <f t="shared" si="15"/>
        <v>89</v>
      </c>
      <c r="AF25" s="145">
        <f t="shared" si="15"/>
        <v>89</v>
      </c>
      <c r="AG25" s="145">
        <f t="shared" si="15"/>
        <v>89</v>
      </c>
    </row>
    <row r="26" s="210" customFormat="1" customHeight="1" spans="1:33">
      <c r="A26" s="152"/>
      <c r="B26" s="286" t="s">
        <v>542</v>
      </c>
      <c r="C26" s="152">
        <f t="shared" ref="C26:L26" si="16">C5-C24*C7</f>
        <v>89</v>
      </c>
      <c r="D26" s="152">
        <f t="shared" si="16"/>
        <v>89</v>
      </c>
      <c r="E26" s="152">
        <f t="shared" si="16"/>
        <v>89</v>
      </c>
      <c r="F26" s="152">
        <f t="shared" si="16"/>
        <v>89</v>
      </c>
      <c r="G26" s="152">
        <f t="shared" si="16"/>
        <v>89</v>
      </c>
      <c r="H26" s="152">
        <f t="shared" si="16"/>
        <v>89</v>
      </c>
      <c r="I26" s="152">
        <f t="shared" si="16"/>
        <v>89</v>
      </c>
      <c r="J26" s="152">
        <f t="shared" si="16"/>
        <v>89</v>
      </c>
      <c r="K26" s="152">
        <f t="shared" si="16"/>
        <v>89</v>
      </c>
      <c r="L26" s="152">
        <f t="shared" si="16"/>
        <v>89</v>
      </c>
      <c r="M26" s="152">
        <f t="shared" ref="M26:AG26" si="17">M5-M24*M7</f>
        <v>89</v>
      </c>
      <c r="N26" s="152">
        <f t="shared" si="17"/>
        <v>89</v>
      </c>
      <c r="O26" s="152">
        <f t="shared" si="17"/>
        <v>89</v>
      </c>
      <c r="P26" s="152">
        <f t="shared" si="17"/>
        <v>89</v>
      </c>
      <c r="Q26" s="152">
        <f t="shared" si="17"/>
        <v>89</v>
      </c>
      <c r="R26" s="152">
        <f t="shared" si="17"/>
        <v>89</v>
      </c>
      <c r="S26" s="152">
        <f t="shared" si="17"/>
        <v>89</v>
      </c>
      <c r="T26" s="152">
        <f t="shared" si="17"/>
        <v>89</v>
      </c>
      <c r="U26" s="152">
        <f t="shared" si="17"/>
        <v>89</v>
      </c>
      <c r="V26" s="152">
        <f t="shared" si="17"/>
        <v>89</v>
      </c>
      <c r="W26" s="152">
        <f t="shared" si="17"/>
        <v>89</v>
      </c>
      <c r="X26" s="152">
        <f t="shared" si="17"/>
        <v>89</v>
      </c>
      <c r="Y26" s="152">
        <f t="shared" si="17"/>
        <v>89</v>
      </c>
      <c r="Z26" s="152">
        <f t="shared" si="17"/>
        <v>89</v>
      </c>
      <c r="AA26" s="152">
        <f t="shared" si="17"/>
        <v>89</v>
      </c>
      <c r="AB26" s="152">
        <f t="shared" si="17"/>
        <v>89</v>
      </c>
      <c r="AC26" s="152">
        <f t="shared" si="17"/>
        <v>89</v>
      </c>
      <c r="AD26" s="152">
        <f t="shared" si="17"/>
        <v>89</v>
      </c>
      <c r="AE26" s="152">
        <f t="shared" si="17"/>
        <v>89</v>
      </c>
      <c r="AF26" s="152">
        <f t="shared" si="17"/>
        <v>89</v>
      </c>
      <c r="AG26" s="152">
        <f t="shared" si="17"/>
        <v>89</v>
      </c>
    </row>
    <row r="27" s="261" customFormat="1" customHeight="1" spans="1:33">
      <c r="A27" s="288"/>
      <c r="B27" s="289" t="s">
        <v>543</v>
      </c>
      <c r="C27" s="288">
        <f t="shared" ref="C27:L27" si="18">C6+C11</f>
        <v>-7</v>
      </c>
      <c r="D27" s="288">
        <f t="shared" si="18"/>
        <v>-5</v>
      </c>
      <c r="E27" s="288">
        <f t="shared" si="18"/>
        <v>-3</v>
      </c>
      <c r="F27" s="288">
        <f t="shared" si="18"/>
        <v>-1</v>
      </c>
      <c r="G27" s="288">
        <f t="shared" si="18"/>
        <v>1</v>
      </c>
      <c r="H27" s="288">
        <f t="shared" si="18"/>
        <v>3</v>
      </c>
      <c r="I27" s="288">
        <f t="shared" si="18"/>
        <v>5</v>
      </c>
      <c r="J27" s="288">
        <f t="shared" si="18"/>
        <v>7</v>
      </c>
      <c r="K27" s="288">
        <f t="shared" si="18"/>
        <v>9</v>
      </c>
      <c r="L27" s="288">
        <f t="shared" si="18"/>
        <v>11</v>
      </c>
      <c r="M27" s="288">
        <f t="shared" ref="M27:AG27" si="19">M6+M11</f>
        <v>13</v>
      </c>
      <c r="N27" s="288">
        <f t="shared" si="19"/>
        <v>15</v>
      </c>
      <c r="O27" s="288">
        <f t="shared" si="19"/>
        <v>17</v>
      </c>
      <c r="P27" s="288">
        <f t="shared" si="19"/>
        <v>19</v>
      </c>
      <c r="Q27" s="288">
        <f t="shared" si="19"/>
        <v>21</v>
      </c>
      <c r="R27" s="288">
        <f t="shared" si="19"/>
        <v>23</v>
      </c>
      <c r="S27" s="288">
        <f t="shared" si="19"/>
        <v>25</v>
      </c>
      <c r="T27" s="288">
        <f t="shared" si="19"/>
        <v>27</v>
      </c>
      <c r="U27" s="288">
        <f t="shared" si="19"/>
        <v>29</v>
      </c>
      <c r="V27" s="288">
        <f t="shared" si="19"/>
        <v>31</v>
      </c>
      <c r="W27" s="288">
        <f t="shared" si="19"/>
        <v>33</v>
      </c>
      <c r="X27" s="288">
        <f t="shared" si="19"/>
        <v>35</v>
      </c>
      <c r="Y27" s="288">
        <f t="shared" si="19"/>
        <v>37</v>
      </c>
      <c r="Z27" s="288">
        <f t="shared" si="19"/>
        <v>39</v>
      </c>
      <c r="AA27" s="288">
        <f t="shared" si="19"/>
        <v>41</v>
      </c>
      <c r="AB27" s="288">
        <f t="shared" si="19"/>
        <v>43</v>
      </c>
      <c r="AC27" s="288">
        <f t="shared" si="19"/>
        <v>45</v>
      </c>
      <c r="AD27" s="288">
        <f t="shared" si="19"/>
        <v>47</v>
      </c>
      <c r="AE27" s="288">
        <f t="shared" si="19"/>
        <v>49</v>
      </c>
      <c r="AF27" s="288">
        <f t="shared" si="19"/>
        <v>51</v>
      </c>
      <c r="AG27" s="288">
        <f t="shared" si="19"/>
        <v>53</v>
      </c>
    </row>
    <row r="28" s="260" customFormat="1" customHeight="1" spans="1:33">
      <c r="A28" s="153"/>
      <c r="B28" s="283" t="s">
        <v>544</v>
      </c>
      <c r="C28" s="153">
        <f t="shared" ref="C28:L28" si="20">C27/C26</f>
        <v>-0.0786516853932584</v>
      </c>
      <c r="D28" s="153">
        <f t="shared" si="20"/>
        <v>-0.0561797752808989</v>
      </c>
      <c r="E28" s="153">
        <f t="shared" si="20"/>
        <v>-0.0337078651685393</v>
      </c>
      <c r="F28" s="153">
        <f t="shared" si="20"/>
        <v>-0.0112359550561798</v>
      </c>
      <c r="G28" s="153">
        <f t="shared" si="20"/>
        <v>0.0112359550561798</v>
      </c>
      <c r="H28" s="153">
        <f t="shared" si="20"/>
        <v>0.0337078651685393</v>
      </c>
      <c r="I28" s="153">
        <f t="shared" si="20"/>
        <v>0.0561797752808989</v>
      </c>
      <c r="J28" s="153">
        <f t="shared" si="20"/>
        <v>0.0786516853932584</v>
      </c>
      <c r="K28" s="153">
        <f t="shared" si="20"/>
        <v>0.101123595505618</v>
      </c>
      <c r="L28" s="153">
        <f t="shared" si="20"/>
        <v>0.123595505617978</v>
      </c>
      <c r="M28" s="153">
        <f t="shared" ref="M28:AG28" si="21">M27/M26</f>
        <v>0.146067415730337</v>
      </c>
      <c r="N28" s="153">
        <f t="shared" si="21"/>
        <v>0.168539325842697</v>
      </c>
      <c r="O28" s="153">
        <f t="shared" si="21"/>
        <v>0.191011235955056</v>
      </c>
      <c r="P28" s="153">
        <f t="shared" si="21"/>
        <v>0.213483146067416</v>
      </c>
      <c r="Q28" s="153">
        <f t="shared" si="21"/>
        <v>0.235955056179775</v>
      </c>
      <c r="R28" s="153">
        <f t="shared" si="21"/>
        <v>0.258426966292135</v>
      </c>
      <c r="S28" s="153">
        <f t="shared" si="21"/>
        <v>0.280898876404494</v>
      </c>
      <c r="T28" s="153">
        <f t="shared" si="21"/>
        <v>0.303370786516854</v>
      </c>
      <c r="U28" s="153">
        <f t="shared" si="21"/>
        <v>0.325842696629214</v>
      </c>
      <c r="V28" s="153">
        <f t="shared" si="21"/>
        <v>0.348314606741573</v>
      </c>
      <c r="W28" s="153">
        <f t="shared" si="21"/>
        <v>0.370786516853933</v>
      </c>
      <c r="X28" s="153">
        <f t="shared" si="21"/>
        <v>0.393258426966292</v>
      </c>
      <c r="Y28" s="153">
        <f t="shared" si="21"/>
        <v>0.415730337078652</v>
      </c>
      <c r="Z28" s="153">
        <f t="shared" si="21"/>
        <v>0.438202247191011</v>
      </c>
      <c r="AA28" s="153">
        <f t="shared" si="21"/>
        <v>0.460674157303371</v>
      </c>
      <c r="AB28" s="153">
        <f t="shared" si="21"/>
        <v>0.48314606741573</v>
      </c>
      <c r="AC28" s="153">
        <f t="shared" si="21"/>
        <v>0.50561797752809</v>
      </c>
      <c r="AD28" s="153">
        <f t="shared" si="21"/>
        <v>0.528089887640449</v>
      </c>
      <c r="AE28" s="153">
        <f t="shared" si="21"/>
        <v>0.550561797752809</v>
      </c>
      <c r="AF28" s="153">
        <f t="shared" si="21"/>
        <v>0.573033707865168</v>
      </c>
      <c r="AG28" s="153">
        <f t="shared" si="21"/>
        <v>0.595505617977528</v>
      </c>
    </row>
    <row r="29" s="260" customFormat="1" customHeight="1" spans="1:33">
      <c r="A29" s="153"/>
      <c r="B29" s="283" t="s">
        <v>545</v>
      </c>
      <c r="C29" s="153" t="s">
        <v>546</v>
      </c>
      <c r="D29" s="153" t="s">
        <v>546</v>
      </c>
      <c r="E29" s="153" t="s">
        <v>546</v>
      </c>
      <c r="F29" s="153" t="s">
        <v>546</v>
      </c>
      <c r="G29" s="153" t="s">
        <v>546</v>
      </c>
      <c r="H29" s="153" t="s">
        <v>546</v>
      </c>
      <c r="I29" s="153" t="s">
        <v>546</v>
      </c>
      <c r="J29" s="153" t="s">
        <v>546</v>
      </c>
      <c r="K29" s="153" t="s">
        <v>546</v>
      </c>
      <c r="L29" s="153" t="s">
        <v>546</v>
      </c>
      <c r="M29" s="153">
        <f t="shared" ref="M29:V29" si="22">(M4-F4)/F4</f>
        <v>0.0760869565217391</v>
      </c>
      <c r="N29" s="153">
        <f t="shared" si="22"/>
        <v>0.0752688172043011</v>
      </c>
      <c r="O29" s="153">
        <f t="shared" si="22"/>
        <v>0.074468085106383</v>
      </c>
      <c r="P29" s="153">
        <f t="shared" si="22"/>
        <v>0.0736842105263158</v>
      </c>
      <c r="Q29" s="153">
        <f t="shared" si="22"/>
        <v>0.0729166666666667</v>
      </c>
      <c r="R29" s="153">
        <f t="shared" si="22"/>
        <v>0.0721649484536082</v>
      </c>
      <c r="S29" s="153">
        <f t="shared" si="22"/>
        <v>0.0714285714285714</v>
      </c>
      <c r="T29" s="153">
        <f t="shared" si="22"/>
        <v>0.0707070707070707</v>
      </c>
      <c r="U29" s="153">
        <f t="shared" si="22"/>
        <v>0.07</v>
      </c>
      <c r="V29" s="153">
        <f t="shared" si="22"/>
        <v>0.0693069306930693</v>
      </c>
      <c r="W29" s="153">
        <f t="shared" ref="T29:AG29" si="23">(W4-P4)/P4</f>
        <v>0.0686274509803922</v>
      </c>
      <c r="X29" s="153">
        <f t="shared" si="23"/>
        <v>0.0679611650485437</v>
      </c>
      <c r="Y29" s="153">
        <f t="shared" si="23"/>
        <v>0.0673076923076923</v>
      </c>
      <c r="Z29" s="153">
        <f t="shared" si="23"/>
        <v>0.0666666666666667</v>
      </c>
      <c r="AA29" s="153">
        <f t="shared" si="23"/>
        <v>0.0660377358490566</v>
      </c>
      <c r="AB29" s="153">
        <f t="shared" si="23"/>
        <v>0.0654205607476635</v>
      </c>
      <c r="AC29" s="153">
        <f t="shared" si="23"/>
        <v>0.0648148148148148</v>
      </c>
      <c r="AD29" s="153">
        <f t="shared" si="23"/>
        <v>0.0642201834862385</v>
      </c>
      <c r="AE29" s="153">
        <f t="shared" si="23"/>
        <v>0.0636363636363636</v>
      </c>
      <c r="AF29" s="153">
        <f t="shared" si="23"/>
        <v>0.0630630630630631</v>
      </c>
      <c r="AG29" s="153">
        <f t="shared" si="23"/>
        <v>0.0625</v>
      </c>
    </row>
    <row r="31" customHeight="1" spans="1:33">
      <c r="A31" s="262" t="s">
        <v>509</v>
      </c>
      <c r="B31" s="263" t="s">
        <v>510</v>
      </c>
      <c r="C31" s="263">
        <v>43467</v>
      </c>
      <c r="D31" s="263">
        <v>43468</v>
      </c>
      <c r="E31" s="263">
        <v>43469</v>
      </c>
      <c r="F31" s="263">
        <v>43470</v>
      </c>
      <c r="G31" s="263">
        <v>43471</v>
      </c>
      <c r="H31" s="263">
        <v>43472</v>
      </c>
      <c r="I31" s="263">
        <v>43473</v>
      </c>
      <c r="J31" s="263">
        <v>43474</v>
      </c>
      <c r="K31" s="263">
        <v>43475</v>
      </c>
      <c r="L31" s="263">
        <v>43476</v>
      </c>
      <c r="M31" s="263">
        <v>43476</v>
      </c>
      <c r="N31" s="263">
        <v>43477</v>
      </c>
      <c r="O31" s="263">
        <v>43478</v>
      </c>
      <c r="P31" s="263">
        <v>43479</v>
      </c>
      <c r="Q31" s="263">
        <v>43480</v>
      </c>
      <c r="R31" s="263">
        <v>43481</v>
      </c>
      <c r="S31" s="263">
        <v>43482</v>
      </c>
      <c r="T31" s="263">
        <v>43483</v>
      </c>
      <c r="U31" s="263">
        <v>43484</v>
      </c>
      <c r="V31" s="263">
        <v>43485</v>
      </c>
      <c r="W31" s="263">
        <v>43486</v>
      </c>
      <c r="X31" s="263">
        <v>43487</v>
      </c>
      <c r="Y31" s="263">
        <v>43488</v>
      </c>
      <c r="Z31" s="263">
        <v>43489</v>
      </c>
      <c r="AA31" s="263">
        <v>43490</v>
      </c>
      <c r="AB31" s="263">
        <v>43491</v>
      </c>
      <c r="AC31" s="263">
        <v>43492</v>
      </c>
      <c r="AD31" s="263">
        <v>43493</v>
      </c>
      <c r="AE31" s="263">
        <v>43494</v>
      </c>
      <c r="AF31" s="263">
        <v>43495</v>
      </c>
      <c r="AG31" s="263">
        <v>43496</v>
      </c>
    </row>
    <row r="32" customHeight="1" spans="1:33">
      <c r="A32" s="264"/>
      <c r="B32" s="265" t="s">
        <v>511</v>
      </c>
      <c r="C32" s="265" t="s">
        <v>512</v>
      </c>
      <c r="D32" s="265" t="s">
        <v>513</v>
      </c>
      <c r="E32" s="265" t="s">
        <v>514</v>
      </c>
      <c r="F32" s="265" t="s">
        <v>515</v>
      </c>
      <c r="G32" s="265" t="s">
        <v>516</v>
      </c>
      <c r="H32" s="265" t="s">
        <v>517</v>
      </c>
      <c r="I32" s="265" t="s">
        <v>518</v>
      </c>
      <c r="J32" s="265" t="s">
        <v>512</v>
      </c>
      <c r="K32" s="265" t="s">
        <v>513</v>
      </c>
      <c r="L32" s="265" t="s">
        <v>514</v>
      </c>
      <c r="M32" s="265" t="s">
        <v>515</v>
      </c>
      <c r="N32" s="265" t="s">
        <v>516</v>
      </c>
      <c r="O32" s="265" t="s">
        <v>517</v>
      </c>
      <c r="P32" s="265" t="s">
        <v>518</v>
      </c>
      <c r="Q32" s="265" t="s">
        <v>512</v>
      </c>
      <c r="R32" s="265" t="s">
        <v>513</v>
      </c>
      <c r="S32" s="265" t="s">
        <v>514</v>
      </c>
      <c r="T32" s="265" t="s">
        <v>515</v>
      </c>
      <c r="U32" s="265" t="s">
        <v>516</v>
      </c>
      <c r="V32" s="265" t="s">
        <v>517</v>
      </c>
      <c r="W32" s="265" t="s">
        <v>518</v>
      </c>
      <c r="X32" s="265" t="s">
        <v>512</v>
      </c>
      <c r="Y32" s="265" t="s">
        <v>513</v>
      </c>
      <c r="Z32" s="265" t="s">
        <v>514</v>
      </c>
      <c r="AA32" s="265" t="s">
        <v>515</v>
      </c>
      <c r="AB32" s="265" t="s">
        <v>516</v>
      </c>
      <c r="AC32" s="265" t="s">
        <v>517</v>
      </c>
      <c r="AD32" s="265" t="s">
        <v>518</v>
      </c>
      <c r="AE32" s="265" t="s">
        <v>512</v>
      </c>
      <c r="AF32" s="265" t="s">
        <v>513</v>
      </c>
      <c r="AG32" s="265" t="s">
        <v>514</v>
      </c>
    </row>
    <row r="33" customHeight="1" spans="1:33">
      <c r="A33" s="266"/>
      <c r="B33" s="267" t="s">
        <v>519</v>
      </c>
      <c r="C33" s="150">
        <v>989</v>
      </c>
      <c r="D33" s="150">
        <v>990</v>
      </c>
      <c r="E33" s="150">
        <v>991</v>
      </c>
      <c r="F33" s="150">
        <v>992</v>
      </c>
      <c r="G33" s="150">
        <v>993</v>
      </c>
      <c r="H33" s="150">
        <v>994</v>
      </c>
      <c r="I33" s="150">
        <v>995</v>
      </c>
      <c r="J33" s="150">
        <v>996</v>
      </c>
      <c r="K33" s="150">
        <v>997</v>
      </c>
      <c r="L33" s="150">
        <v>998</v>
      </c>
      <c r="M33" s="150">
        <v>999</v>
      </c>
      <c r="N33" s="150">
        <v>1000</v>
      </c>
      <c r="O33" s="150">
        <v>1001</v>
      </c>
      <c r="P33" s="150">
        <v>1002</v>
      </c>
      <c r="Q33" s="150">
        <v>1003</v>
      </c>
      <c r="R33" s="150">
        <v>1004</v>
      </c>
      <c r="S33" s="150">
        <v>1005</v>
      </c>
      <c r="T33" s="150">
        <v>1006</v>
      </c>
      <c r="U33" s="150">
        <v>1007</v>
      </c>
      <c r="V33" s="150">
        <v>1008</v>
      </c>
      <c r="W33" s="150">
        <v>1009</v>
      </c>
      <c r="X33" s="150">
        <v>1010</v>
      </c>
      <c r="Y33" s="150">
        <v>1011</v>
      </c>
      <c r="Z33" s="150">
        <v>1012</v>
      </c>
      <c r="AA33" s="150">
        <v>1013</v>
      </c>
      <c r="AB33" s="150">
        <v>1014</v>
      </c>
      <c r="AC33" s="150">
        <v>1015</v>
      </c>
      <c r="AD33" s="150">
        <v>1016</v>
      </c>
      <c r="AE33" s="150">
        <v>1017</v>
      </c>
      <c r="AF33" s="150">
        <v>1018</v>
      </c>
      <c r="AG33" s="150">
        <v>1019</v>
      </c>
    </row>
    <row r="34" customHeight="1" spans="1:33">
      <c r="A34" s="268"/>
      <c r="B34" s="269" t="s">
        <v>104</v>
      </c>
      <c r="C34" s="151">
        <v>89</v>
      </c>
      <c r="D34" s="151">
        <v>90</v>
      </c>
      <c r="E34" s="151">
        <v>91</v>
      </c>
      <c r="F34" s="151">
        <v>92</v>
      </c>
      <c r="G34" s="151">
        <v>93</v>
      </c>
      <c r="H34" s="151">
        <v>94</v>
      </c>
      <c r="I34" s="151">
        <v>95</v>
      </c>
      <c r="J34" s="151">
        <v>96</v>
      </c>
      <c r="K34" s="151">
        <v>97</v>
      </c>
      <c r="L34" s="151">
        <v>98</v>
      </c>
      <c r="M34" s="151">
        <v>99</v>
      </c>
      <c r="N34" s="151">
        <v>100</v>
      </c>
      <c r="O34" s="151">
        <v>101</v>
      </c>
      <c r="P34" s="151">
        <v>102</v>
      </c>
      <c r="Q34" s="151">
        <v>103</v>
      </c>
      <c r="R34" s="151">
        <v>104</v>
      </c>
      <c r="S34" s="151">
        <v>105</v>
      </c>
      <c r="T34" s="151">
        <v>106</v>
      </c>
      <c r="U34" s="151">
        <v>107</v>
      </c>
      <c r="V34" s="151">
        <v>108</v>
      </c>
      <c r="W34" s="151">
        <v>109</v>
      </c>
      <c r="X34" s="151">
        <v>110</v>
      </c>
      <c r="Y34" s="151">
        <v>111</v>
      </c>
      <c r="Z34" s="151">
        <v>112</v>
      </c>
      <c r="AA34" s="151">
        <v>113</v>
      </c>
      <c r="AB34" s="151">
        <v>114</v>
      </c>
      <c r="AC34" s="151">
        <v>115</v>
      </c>
      <c r="AD34" s="151">
        <v>116</v>
      </c>
      <c r="AE34" s="151">
        <v>117</v>
      </c>
      <c r="AF34" s="151">
        <v>118</v>
      </c>
      <c r="AG34" s="151">
        <v>119</v>
      </c>
    </row>
    <row r="35" customHeight="1" spans="1:33">
      <c r="A35" s="270"/>
      <c r="B35" s="271" t="s">
        <v>17</v>
      </c>
      <c r="C35" s="152">
        <v>89</v>
      </c>
      <c r="D35" s="152">
        <v>90</v>
      </c>
      <c r="E35" s="152">
        <v>91</v>
      </c>
      <c r="F35" s="152">
        <v>92</v>
      </c>
      <c r="G35" s="152">
        <v>93</v>
      </c>
      <c r="H35" s="152">
        <v>94</v>
      </c>
      <c r="I35" s="152">
        <v>95</v>
      </c>
      <c r="J35" s="152">
        <v>96</v>
      </c>
      <c r="K35" s="152">
        <v>97</v>
      </c>
      <c r="L35" s="152">
        <v>98</v>
      </c>
      <c r="M35" s="152">
        <v>99</v>
      </c>
      <c r="N35" s="152">
        <v>100</v>
      </c>
      <c r="O35" s="152">
        <v>101</v>
      </c>
      <c r="P35" s="152">
        <v>102</v>
      </c>
      <c r="Q35" s="152">
        <v>103</v>
      </c>
      <c r="R35" s="152">
        <v>104</v>
      </c>
      <c r="S35" s="152">
        <v>105</v>
      </c>
      <c r="T35" s="152">
        <v>106</v>
      </c>
      <c r="U35" s="152">
        <v>107</v>
      </c>
      <c r="V35" s="152">
        <v>108</v>
      </c>
      <c r="W35" s="152">
        <v>109</v>
      </c>
      <c r="X35" s="152">
        <v>110</v>
      </c>
      <c r="Y35" s="152">
        <v>111</v>
      </c>
      <c r="Z35" s="152">
        <v>112</v>
      </c>
      <c r="AA35" s="152">
        <v>113</v>
      </c>
      <c r="AB35" s="152">
        <v>114</v>
      </c>
      <c r="AC35" s="152">
        <v>115</v>
      </c>
      <c r="AD35" s="152">
        <v>116</v>
      </c>
      <c r="AE35" s="152">
        <v>117</v>
      </c>
      <c r="AF35" s="152">
        <v>118</v>
      </c>
      <c r="AG35" s="152">
        <v>119</v>
      </c>
    </row>
    <row r="36" customHeight="1" spans="1:33">
      <c r="A36" s="270"/>
      <c r="B36" s="272" t="s">
        <v>520</v>
      </c>
      <c r="C36" s="152">
        <v>-1</v>
      </c>
      <c r="D36" s="152">
        <v>0</v>
      </c>
      <c r="E36" s="152">
        <v>1</v>
      </c>
      <c r="F36" s="152">
        <v>2</v>
      </c>
      <c r="G36" s="152">
        <v>3</v>
      </c>
      <c r="H36" s="152">
        <v>4</v>
      </c>
      <c r="I36" s="152">
        <v>5</v>
      </c>
      <c r="J36" s="152">
        <v>6</v>
      </c>
      <c r="K36" s="152">
        <v>7</v>
      </c>
      <c r="L36" s="152">
        <v>8</v>
      </c>
      <c r="M36" s="152">
        <v>9</v>
      </c>
      <c r="N36" s="152">
        <v>10</v>
      </c>
      <c r="O36" s="152">
        <v>11</v>
      </c>
      <c r="P36" s="152">
        <v>12</v>
      </c>
      <c r="Q36" s="152">
        <v>13</v>
      </c>
      <c r="R36" s="152">
        <v>14</v>
      </c>
      <c r="S36" s="152">
        <v>15</v>
      </c>
      <c r="T36" s="152">
        <v>16</v>
      </c>
      <c r="U36" s="152">
        <v>17</v>
      </c>
      <c r="V36" s="152">
        <v>18</v>
      </c>
      <c r="W36" s="152">
        <v>19</v>
      </c>
      <c r="X36" s="152">
        <v>20</v>
      </c>
      <c r="Y36" s="152">
        <v>21</v>
      </c>
      <c r="Z36" s="152">
        <v>22</v>
      </c>
      <c r="AA36" s="152">
        <v>23</v>
      </c>
      <c r="AB36" s="152">
        <v>24</v>
      </c>
      <c r="AC36" s="152">
        <v>25</v>
      </c>
      <c r="AD36" s="152">
        <v>26</v>
      </c>
      <c r="AE36" s="152">
        <v>27</v>
      </c>
      <c r="AF36" s="152">
        <v>28</v>
      </c>
      <c r="AG36" s="152">
        <v>29</v>
      </c>
    </row>
    <row r="37" customHeight="1" spans="1:33">
      <c r="A37" s="264"/>
      <c r="B37" s="273" t="s">
        <v>521</v>
      </c>
      <c r="C37" s="145">
        <v>0</v>
      </c>
      <c r="D37" s="145">
        <v>1</v>
      </c>
      <c r="E37" s="145">
        <v>2</v>
      </c>
      <c r="F37" s="145">
        <v>3</v>
      </c>
      <c r="G37" s="145">
        <v>4</v>
      </c>
      <c r="H37" s="145">
        <v>5</v>
      </c>
      <c r="I37" s="145">
        <v>6</v>
      </c>
      <c r="J37" s="145">
        <v>7</v>
      </c>
      <c r="K37" s="145">
        <v>8</v>
      </c>
      <c r="L37" s="145">
        <v>9</v>
      </c>
      <c r="M37" s="145">
        <v>10</v>
      </c>
      <c r="N37" s="145">
        <v>11</v>
      </c>
      <c r="O37" s="145">
        <v>12</v>
      </c>
      <c r="P37" s="145">
        <v>13</v>
      </c>
      <c r="Q37" s="145">
        <v>14</v>
      </c>
      <c r="R37" s="145">
        <v>15</v>
      </c>
      <c r="S37" s="145">
        <v>16</v>
      </c>
      <c r="T37" s="145">
        <v>17</v>
      </c>
      <c r="U37" s="145">
        <v>18</v>
      </c>
      <c r="V37" s="145">
        <v>19</v>
      </c>
      <c r="W37" s="145">
        <v>20</v>
      </c>
      <c r="X37" s="145">
        <v>21</v>
      </c>
      <c r="Y37" s="145">
        <v>22</v>
      </c>
      <c r="Z37" s="145">
        <v>23</v>
      </c>
      <c r="AA37" s="145">
        <v>24</v>
      </c>
      <c r="AB37" s="145">
        <v>25</v>
      </c>
      <c r="AC37" s="145">
        <v>26</v>
      </c>
      <c r="AD37" s="145">
        <v>27</v>
      </c>
      <c r="AE37" s="145">
        <v>28</v>
      </c>
      <c r="AF37" s="145">
        <v>29</v>
      </c>
      <c r="AG37" s="145">
        <v>30</v>
      </c>
    </row>
    <row r="38" customHeight="1" spans="1:33">
      <c r="A38" s="266" t="s">
        <v>522</v>
      </c>
      <c r="B38" s="274" t="s">
        <v>523</v>
      </c>
      <c r="C38" s="150">
        <v>89</v>
      </c>
      <c r="D38" s="150">
        <v>90</v>
      </c>
      <c r="E38" s="150">
        <v>91</v>
      </c>
      <c r="F38" s="150">
        <v>92</v>
      </c>
      <c r="G38" s="150">
        <v>93</v>
      </c>
      <c r="H38" s="150">
        <v>94</v>
      </c>
      <c r="I38" s="150">
        <v>95</v>
      </c>
      <c r="J38" s="150">
        <v>96</v>
      </c>
      <c r="K38" s="150">
        <v>97</v>
      </c>
      <c r="L38" s="150">
        <v>98</v>
      </c>
      <c r="M38" s="150">
        <v>99</v>
      </c>
      <c r="N38" s="150">
        <v>100</v>
      </c>
      <c r="O38" s="150">
        <v>101</v>
      </c>
      <c r="P38" s="150">
        <v>102</v>
      </c>
      <c r="Q38" s="150">
        <v>103</v>
      </c>
      <c r="R38" s="150">
        <v>104</v>
      </c>
      <c r="S38" s="150">
        <v>105</v>
      </c>
      <c r="T38" s="150">
        <v>106</v>
      </c>
      <c r="U38" s="150">
        <v>107</v>
      </c>
      <c r="V38" s="150">
        <v>108</v>
      </c>
      <c r="W38" s="150">
        <v>109</v>
      </c>
      <c r="X38" s="150">
        <v>110</v>
      </c>
      <c r="Y38" s="150">
        <v>111</v>
      </c>
      <c r="Z38" s="150">
        <v>112</v>
      </c>
      <c r="AA38" s="150">
        <v>113</v>
      </c>
      <c r="AB38" s="150">
        <v>114</v>
      </c>
      <c r="AC38" s="150">
        <v>115</v>
      </c>
      <c r="AD38" s="150">
        <v>116</v>
      </c>
      <c r="AE38" s="150">
        <v>117</v>
      </c>
      <c r="AF38" s="150">
        <v>118</v>
      </c>
      <c r="AG38" s="150">
        <v>119</v>
      </c>
    </row>
    <row r="39" customHeight="1" spans="1:33">
      <c r="A39" s="268"/>
      <c r="B39" s="275" t="s">
        <v>524</v>
      </c>
      <c r="C39" s="151">
        <v>39</v>
      </c>
      <c r="D39" s="151">
        <v>40</v>
      </c>
      <c r="E39" s="151">
        <v>41</v>
      </c>
      <c r="F39" s="151">
        <v>42</v>
      </c>
      <c r="G39" s="151">
        <v>43</v>
      </c>
      <c r="H39" s="151">
        <v>44</v>
      </c>
      <c r="I39" s="151">
        <v>45</v>
      </c>
      <c r="J39" s="151">
        <v>46</v>
      </c>
      <c r="K39" s="151">
        <v>47</v>
      </c>
      <c r="L39" s="151">
        <v>48</v>
      </c>
      <c r="M39" s="151">
        <v>49</v>
      </c>
      <c r="N39" s="151">
        <v>50</v>
      </c>
      <c r="O39" s="151">
        <v>51</v>
      </c>
      <c r="P39" s="151">
        <v>52</v>
      </c>
      <c r="Q39" s="151">
        <v>53</v>
      </c>
      <c r="R39" s="151">
        <v>54</v>
      </c>
      <c r="S39" s="151">
        <v>55</v>
      </c>
      <c r="T39" s="151">
        <v>56</v>
      </c>
      <c r="U39" s="151">
        <v>57</v>
      </c>
      <c r="V39" s="151">
        <v>58</v>
      </c>
      <c r="W39" s="151">
        <v>59</v>
      </c>
      <c r="X39" s="151">
        <v>60</v>
      </c>
      <c r="Y39" s="151">
        <v>61</v>
      </c>
      <c r="Z39" s="151">
        <v>62</v>
      </c>
      <c r="AA39" s="151">
        <v>63</v>
      </c>
      <c r="AB39" s="151">
        <v>64</v>
      </c>
      <c r="AC39" s="151">
        <v>65</v>
      </c>
      <c r="AD39" s="151">
        <v>66</v>
      </c>
      <c r="AE39" s="151">
        <v>67</v>
      </c>
      <c r="AF39" s="151">
        <v>68</v>
      </c>
      <c r="AG39" s="151">
        <v>69</v>
      </c>
    </row>
    <row r="40" customHeight="1" spans="1:33">
      <c r="A40" s="268"/>
      <c r="B40" s="275" t="s">
        <v>525</v>
      </c>
      <c r="C40" s="151">
        <v>9</v>
      </c>
      <c r="D40" s="151">
        <v>10</v>
      </c>
      <c r="E40" s="151">
        <v>11</v>
      </c>
      <c r="F40" s="151">
        <v>12</v>
      </c>
      <c r="G40" s="151">
        <v>13</v>
      </c>
      <c r="H40" s="151">
        <v>14</v>
      </c>
      <c r="I40" s="151">
        <v>15</v>
      </c>
      <c r="J40" s="151">
        <v>16</v>
      </c>
      <c r="K40" s="151">
        <v>17</v>
      </c>
      <c r="L40" s="151">
        <v>18</v>
      </c>
      <c r="M40" s="151">
        <v>19</v>
      </c>
      <c r="N40" s="151">
        <v>20</v>
      </c>
      <c r="O40" s="151">
        <v>21</v>
      </c>
      <c r="P40" s="151">
        <v>22</v>
      </c>
      <c r="Q40" s="151">
        <v>23</v>
      </c>
      <c r="R40" s="151">
        <v>24</v>
      </c>
      <c r="S40" s="151">
        <v>25</v>
      </c>
      <c r="T40" s="151">
        <v>26</v>
      </c>
      <c r="U40" s="151">
        <v>27</v>
      </c>
      <c r="V40" s="151">
        <v>28</v>
      </c>
      <c r="W40" s="151">
        <v>29</v>
      </c>
      <c r="X40" s="151">
        <v>30</v>
      </c>
      <c r="Y40" s="151">
        <v>31</v>
      </c>
      <c r="Z40" s="151">
        <v>32</v>
      </c>
      <c r="AA40" s="151">
        <v>33</v>
      </c>
      <c r="AB40" s="151">
        <v>34</v>
      </c>
      <c r="AC40" s="151">
        <v>35</v>
      </c>
      <c r="AD40" s="151">
        <v>36</v>
      </c>
      <c r="AE40" s="151">
        <v>37</v>
      </c>
      <c r="AF40" s="151">
        <v>38</v>
      </c>
      <c r="AG40" s="151">
        <v>39</v>
      </c>
    </row>
    <row r="41" customHeight="1" spans="1:33">
      <c r="A41" s="270"/>
      <c r="B41" s="276" t="s">
        <v>526</v>
      </c>
      <c r="C41" s="152">
        <v>-6</v>
      </c>
      <c r="D41" s="152">
        <v>-5</v>
      </c>
      <c r="E41" s="152">
        <v>-4</v>
      </c>
      <c r="F41" s="152">
        <v>-3</v>
      </c>
      <c r="G41" s="152">
        <v>-2</v>
      </c>
      <c r="H41" s="152">
        <v>-1</v>
      </c>
      <c r="I41" s="152">
        <v>0</v>
      </c>
      <c r="J41" s="152">
        <v>1</v>
      </c>
      <c r="K41" s="152">
        <v>2</v>
      </c>
      <c r="L41" s="152">
        <v>3</v>
      </c>
      <c r="M41" s="152">
        <v>4</v>
      </c>
      <c r="N41" s="152">
        <v>5</v>
      </c>
      <c r="O41" s="152">
        <v>6</v>
      </c>
      <c r="P41" s="152">
        <v>7</v>
      </c>
      <c r="Q41" s="152">
        <v>8</v>
      </c>
      <c r="R41" s="152">
        <v>9</v>
      </c>
      <c r="S41" s="152">
        <v>10</v>
      </c>
      <c r="T41" s="152">
        <v>11</v>
      </c>
      <c r="U41" s="152">
        <v>12</v>
      </c>
      <c r="V41" s="152">
        <v>13</v>
      </c>
      <c r="W41" s="152">
        <v>14</v>
      </c>
      <c r="X41" s="152">
        <v>15</v>
      </c>
      <c r="Y41" s="152">
        <v>16</v>
      </c>
      <c r="Z41" s="152">
        <v>17</v>
      </c>
      <c r="AA41" s="152">
        <v>18</v>
      </c>
      <c r="AB41" s="152">
        <v>19</v>
      </c>
      <c r="AC41" s="152">
        <v>20</v>
      </c>
      <c r="AD41" s="152">
        <v>21</v>
      </c>
      <c r="AE41" s="152">
        <v>22</v>
      </c>
      <c r="AF41" s="152">
        <v>23</v>
      </c>
      <c r="AG41" s="152">
        <v>24</v>
      </c>
    </row>
    <row r="42" customHeight="1" spans="1:33">
      <c r="A42" s="277" t="s">
        <v>527</v>
      </c>
      <c r="B42" s="278" t="s">
        <v>528</v>
      </c>
      <c r="C42" s="150">
        <v>1000</v>
      </c>
      <c r="D42" s="150">
        <v>1000</v>
      </c>
      <c r="E42" s="150">
        <v>1000</v>
      </c>
      <c r="F42" s="150">
        <v>1000</v>
      </c>
      <c r="G42" s="150">
        <v>1000</v>
      </c>
      <c r="H42" s="150">
        <v>1000</v>
      </c>
      <c r="I42" s="150">
        <v>1000</v>
      </c>
      <c r="J42" s="150">
        <v>1000</v>
      </c>
      <c r="K42" s="150">
        <v>1000</v>
      </c>
      <c r="L42" s="150">
        <v>1000</v>
      </c>
      <c r="M42" s="150">
        <v>1000</v>
      </c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</row>
    <row r="43" customHeight="1" spans="1:33">
      <c r="A43" s="279"/>
      <c r="B43" s="278" t="s">
        <v>529</v>
      </c>
      <c r="C43" s="150">
        <v>1000</v>
      </c>
      <c r="D43" s="150">
        <v>1000</v>
      </c>
      <c r="E43" s="150">
        <v>1000</v>
      </c>
      <c r="F43" s="150">
        <v>1000</v>
      </c>
      <c r="G43" s="150">
        <v>1000</v>
      </c>
      <c r="H43" s="150">
        <v>1000</v>
      </c>
      <c r="I43" s="150">
        <v>1000</v>
      </c>
      <c r="J43" s="150">
        <v>1000</v>
      </c>
      <c r="K43" s="150">
        <v>1000</v>
      </c>
      <c r="L43" s="150">
        <v>1000</v>
      </c>
      <c r="M43" s="150">
        <v>1000</v>
      </c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</row>
    <row r="44" customHeight="1" spans="1:33">
      <c r="A44" s="279"/>
      <c r="B44" s="278" t="s">
        <v>530</v>
      </c>
      <c r="C44" s="150">
        <v>1000</v>
      </c>
      <c r="D44" s="150">
        <v>1000</v>
      </c>
      <c r="E44" s="150">
        <v>1000</v>
      </c>
      <c r="F44" s="150">
        <v>1000</v>
      </c>
      <c r="G44" s="150">
        <v>1000</v>
      </c>
      <c r="H44" s="150">
        <v>1000</v>
      </c>
      <c r="I44" s="150">
        <v>1000</v>
      </c>
      <c r="J44" s="150">
        <v>1000</v>
      </c>
      <c r="K44" s="150">
        <v>1000</v>
      </c>
      <c r="L44" s="150">
        <v>1000</v>
      </c>
      <c r="M44" s="150">
        <v>1000</v>
      </c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</row>
    <row r="45" customHeight="1" spans="1:33">
      <c r="A45" s="279"/>
      <c r="B45" s="278" t="s">
        <v>531</v>
      </c>
      <c r="C45" s="150">
        <v>1000</v>
      </c>
      <c r="D45" s="150">
        <v>1000</v>
      </c>
      <c r="E45" s="150">
        <v>1000</v>
      </c>
      <c r="F45" s="150">
        <v>1000</v>
      </c>
      <c r="G45" s="150">
        <v>1000</v>
      </c>
      <c r="H45" s="150">
        <v>1000</v>
      </c>
      <c r="I45" s="150">
        <v>1000</v>
      </c>
      <c r="J45" s="150">
        <v>1000</v>
      </c>
      <c r="K45" s="150">
        <v>1000</v>
      </c>
      <c r="L45" s="150">
        <v>1000</v>
      </c>
      <c r="M45" s="150">
        <v>1000</v>
      </c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</row>
    <row r="46" customHeight="1" spans="1:33">
      <c r="A46" s="279"/>
      <c r="B46" s="278" t="s">
        <v>532</v>
      </c>
      <c r="C46" s="150">
        <v>1000</v>
      </c>
      <c r="D46" s="150">
        <v>1000</v>
      </c>
      <c r="E46" s="150">
        <v>1000</v>
      </c>
      <c r="F46" s="150">
        <v>1000</v>
      </c>
      <c r="G46" s="150">
        <v>1000</v>
      </c>
      <c r="H46" s="150">
        <v>1000</v>
      </c>
      <c r="I46" s="150">
        <v>1000</v>
      </c>
      <c r="J46" s="150">
        <v>1000</v>
      </c>
      <c r="K46" s="150">
        <v>1000</v>
      </c>
      <c r="L46" s="150">
        <v>1000</v>
      </c>
      <c r="M46" s="150">
        <v>1000</v>
      </c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</row>
    <row r="47" customHeight="1" spans="1:33">
      <c r="A47" s="280"/>
      <c r="B47" s="281" t="s">
        <v>533</v>
      </c>
      <c r="C47" s="150">
        <v>1000</v>
      </c>
      <c r="D47" s="150">
        <v>1000</v>
      </c>
      <c r="E47" s="150">
        <v>1000</v>
      </c>
      <c r="F47" s="150">
        <v>1000</v>
      </c>
      <c r="G47" s="150">
        <v>1000</v>
      </c>
      <c r="H47" s="150">
        <v>1000</v>
      </c>
      <c r="I47" s="150">
        <v>1000</v>
      </c>
      <c r="J47" s="150">
        <v>1000</v>
      </c>
      <c r="K47" s="150">
        <v>1000</v>
      </c>
      <c r="L47" s="150">
        <v>1000</v>
      </c>
      <c r="M47" s="150">
        <v>1000</v>
      </c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</row>
    <row r="48" customHeight="1" spans="1:33">
      <c r="A48" s="282"/>
      <c r="B48" s="278" t="s">
        <v>534</v>
      </c>
      <c r="C48" s="151">
        <f t="shared" ref="C48:AG48" si="24">C45+C46</f>
        <v>2000</v>
      </c>
      <c r="D48" s="151">
        <f t="shared" si="24"/>
        <v>2000</v>
      </c>
      <c r="E48" s="151">
        <f t="shared" si="24"/>
        <v>2000</v>
      </c>
      <c r="F48" s="151">
        <f t="shared" si="24"/>
        <v>2000</v>
      </c>
      <c r="G48" s="151">
        <f t="shared" si="24"/>
        <v>2000</v>
      </c>
      <c r="H48" s="151">
        <f t="shared" si="24"/>
        <v>2000</v>
      </c>
      <c r="I48" s="151">
        <f t="shared" si="24"/>
        <v>2000</v>
      </c>
      <c r="J48" s="151">
        <f t="shared" si="24"/>
        <v>2000</v>
      </c>
      <c r="K48" s="151">
        <f t="shared" si="24"/>
        <v>2000</v>
      </c>
      <c r="L48" s="151">
        <f t="shared" si="24"/>
        <v>2000</v>
      </c>
      <c r="M48" s="151">
        <f t="shared" si="24"/>
        <v>2000</v>
      </c>
      <c r="N48" s="151">
        <f t="shared" si="24"/>
        <v>0</v>
      </c>
      <c r="O48" s="151">
        <f t="shared" si="24"/>
        <v>0</v>
      </c>
      <c r="P48" s="151">
        <f t="shared" si="24"/>
        <v>0</v>
      </c>
      <c r="Q48" s="151">
        <f t="shared" si="24"/>
        <v>0</v>
      </c>
      <c r="R48" s="151">
        <f t="shared" si="24"/>
        <v>0</v>
      </c>
      <c r="S48" s="151">
        <f t="shared" si="24"/>
        <v>0</v>
      </c>
      <c r="T48" s="151">
        <f t="shared" si="24"/>
        <v>0</v>
      </c>
      <c r="U48" s="151">
        <f t="shared" si="24"/>
        <v>0</v>
      </c>
      <c r="V48" s="151">
        <f t="shared" si="24"/>
        <v>0</v>
      </c>
      <c r="W48" s="151">
        <f t="shared" si="24"/>
        <v>0</v>
      </c>
      <c r="X48" s="151">
        <f t="shared" si="24"/>
        <v>0</v>
      </c>
      <c r="Y48" s="151">
        <f t="shared" si="24"/>
        <v>0</v>
      </c>
      <c r="Z48" s="151">
        <f t="shared" si="24"/>
        <v>0</v>
      </c>
      <c r="AA48" s="151">
        <f t="shared" si="24"/>
        <v>0</v>
      </c>
      <c r="AB48" s="151">
        <f t="shared" si="24"/>
        <v>0</v>
      </c>
      <c r="AC48" s="151">
        <f t="shared" si="24"/>
        <v>0</v>
      </c>
      <c r="AD48" s="151">
        <f t="shared" si="24"/>
        <v>0</v>
      </c>
      <c r="AE48" s="151">
        <f t="shared" si="24"/>
        <v>0</v>
      </c>
      <c r="AF48" s="151">
        <f t="shared" si="24"/>
        <v>0</v>
      </c>
      <c r="AG48" s="151">
        <f t="shared" si="24"/>
        <v>0</v>
      </c>
    </row>
    <row r="49" customHeight="1" spans="1:33">
      <c r="A49" s="153" t="s">
        <v>547</v>
      </c>
      <c r="B49" s="283" t="s">
        <v>536</v>
      </c>
      <c r="C49" s="153">
        <f t="shared" ref="C49:AG49" si="25">C39/C33</f>
        <v>0.0394337714863498</v>
      </c>
      <c r="D49" s="153">
        <f t="shared" si="25"/>
        <v>0.0404040404040404</v>
      </c>
      <c r="E49" s="153">
        <f t="shared" si="25"/>
        <v>0.041372351160444</v>
      </c>
      <c r="F49" s="153">
        <f t="shared" si="25"/>
        <v>0.0423387096774194</v>
      </c>
      <c r="G49" s="153">
        <f t="shared" si="25"/>
        <v>0.0433031218529708</v>
      </c>
      <c r="H49" s="153">
        <f t="shared" si="25"/>
        <v>0.0442655935613682</v>
      </c>
      <c r="I49" s="153">
        <f t="shared" si="25"/>
        <v>0.0452261306532663</v>
      </c>
      <c r="J49" s="153">
        <f t="shared" si="25"/>
        <v>0.0461847389558233</v>
      </c>
      <c r="K49" s="153">
        <f t="shared" si="25"/>
        <v>0.0471414242728185</v>
      </c>
      <c r="L49" s="153">
        <f t="shared" si="25"/>
        <v>0.0480961923847695</v>
      </c>
      <c r="M49" s="153">
        <f t="shared" si="25"/>
        <v>0.049049049049049</v>
      </c>
      <c r="N49" s="153">
        <f t="shared" si="25"/>
        <v>0.05</v>
      </c>
      <c r="O49" s="153">
        <f t="shared" si="25"/>
        <v>0.050949050949051</v>
      </c>
      <c r="P49" s="153">
        <f t="shared" si="25"/>
        <v>0.0518962075848303</v>
      </c>
      <c r="Q49" s="153">
        <f t="shared" si="25"/>
        <v>0.0528414755732802</v>
      </c>
      <c r="R49" s="153">
        <f t="shared" si="25"/>
        <v>0.0537848605577689</v>
      </c>
      <c r="S49" s="153">
        <f t="shared" si="25"/>
        <v>0.054726368159204</v>
      </c>
      <c r="T49" s="153">
        <f t="shared" si="25"/>
        <v>0.0556660039761431</v>
      </c>
      <c r="U49" s="153">
        <f t="shared" si="25"/>
        <v>0.0566037735849057</v>
      </c>
      <c r="V49" s="153">
        <f t="shared" si="25"/>
        <v>0.0575396825396825</v>
      </c>
      <c r="W49" s="153">
        <f t="shared" si="25"/>
        <v>0.0584737363726462</v>
      </c>
      <c r="X49" s="153">
        <f t="shared" si="25"/>
        <v>0.0594059405940594</v>
      </c>
      <c r="Y49" s="153">
        <f t="shared" si="25"/>
        <v>0.0603363006923838</v>
      </c>
      <c r="Z49" s="153">
        <f t="shared" si="25"/>
        <v>0.0612648221343874</v>
      </c>
      <c r="AA49" s="153">
        <f t="shared" si="25"/>
        <v>0.0621915103652517</v>
      </c>
      <c r="AB49" s="153">
        <f t="shared" si="25"/>
        <v>0.0631163708086785</v>
      </c>
      <c r="AC49" s="153">
        <f t="shared" si="25"/>
        <v>0.0640394088669951</v>
      </c>
      <c r="AD49" s="153">
        <f t="shared" si="25"/>
        <v>0.0649606299212598</v>
      </c>
      <c r="AE49" s="153">
        <f t="shared" si="25"/>
        <v>0.0658800393313668</v>
      </c>
      <c r="AF49" s="153">
        <f t="shared" si="25"/>
        <v>0.0667976424361493</v>
      </c>
      <c r="AG49" s="153">
        <f t="shared" si="25"/>
        <v>0.0677134445534838</v>
      </c>
    </row>
    <row r="50" customHeight="1" spans="1:33">
      <c r="A50" s="153"/>
      <c r="B50" s="284" t="s">
        <v>537</v>
      </c>
      <c r="C50" s="153">
        <f t="shared" ref="C50:AG50" si="26">C39/C38</f>
        <v>0.438202247191011</v>
      </c>
      <c r="D50" s="153">
        <f t="shared" si="26"/>
        <v>0.444444444444444</v>
      </c>
      <c r="E50" s="153">
        <f t="shared" si="26"/>
        <v>0.450549450549451</v>
      </c>
      <c r="F50" s="153">
        <f t="shared" si="26"/>
        <v>0.456521739130435</v>
      </c>
      <c r="G50" s="153">
        <f t="shared" si="26"/>
        <v>0.462365591397849</v>
      </c>
      <c r="H50" s="153">
        <f t="shared" si="26"/>
        <v>0.468085106382979</v>
      </c>
      <c r="I50" s="153">
        <f t="shared" si="26"/>
        <v>0.473684210526316</v>
      </c>
      <c r="J50" s="153">
        <f t="shared" si="26"/>
        <v>0.479166666666667</v>
      </c>
      <c r="K50" s="153">
        <f t="shared" si="26"/>
        <v>0.484536082474227</v>
      </c>
      <c r="L50" s="153">
        <f t="shared" si="26"/>
        <v>0.489795918367347</v>
      </c>
      <c r="M50" s="153">
        <f t="shared" si="26"/>
        <v>0.494949494949495</v>
      </c>
      <c r="N50" s="153">
        <f t="shared" si="26"/>
        <v>0.5</v>
      </c>
      <c r="O50" s="153">
        <f t="shared" si="26"/>
        <v>0.504950495049505</v>
      </c>
      <c r="P50" s="153">
        <f t="shared" si="26"/>
        <v>0.509803921568627</v>
      </c>
      <c r="Q50" s="153">
        <f t="shared" si="26"/>
        <v>0.514563106796116</v>
      </c>
      <c r="R50" s="153">
        <f t="shared" si="26"/>
        <v>0.519230769230769</v>
      </c>
      <c r="S50" s="153">
        <f t="shared" si="26"/>
        <v>0.523809523809524</v>
      </c>
      <c r="T50" s="153">
        <f t="shared" si="26"/>
        <v>0.528301886792453</v>
      </c>
      <c r="U50" s="153">
        <f t="shared" si="26"/>
        <v>0.532710280373832</v>
      </c>
      <c r="V50" s="153">
        <f t="shared" si="26"/>
        <v>0.537037037037037</v>
      </c>
      <c r="W50" s="153">
        <f t="shared" si="26"/>
        <v>0.541284403669725</v>
      </c>
      <c r="X50" s="153">
        <f t="shared" si="26"/>
        <v>0.545454545454545</v>
      </c>
      <c r="Y50" s="153">
        <f t="shared" si="26"/>
        <v>0.54954954954955</v>
      </c>
      <c r="Z50" s="153">
        <f t="shared" si="26"/>
        <v>0.553571428571429</v>
      </c>
      <c r="AA50" s="153">
        <f t="shared" si="26"/>
        <v>0.557522123893805</v>
      </c>
      <c r="AB50" s="153">
        <f t="shared" si="26"/>
        <v>0.56140350877193</v>
      </c>
      <c r="AC50" s="153">
        <f t="shared" si="26"/>
        <v>0.565217391304348</v>
      </c>
      <c r="AD50" s="153">
        <f t="shared" si="26"/>
        <v>0.568965517241379</v>
      </c>
      <c r="AE50" s="153">
        <f t="shared" si="26"/>
        <v>0.572649572649573</v>
      </c>
      <c r="AF50" s="153">
        <f t="shared" si="26"/>
        <v>0.576271186440678</v>
      </c>
      <c r="AG50" s="153">
        <f t="shared" si="26"/>
        <v>0.579831932773109</v>
      </c>
    </row>
    <row r="51" customHeight="1" spans="1:33">
      <c r="A51" s="152"/>
      <c r="B51" s="285" t="s">
        <v>538</v>
      </c>
      <c r="C51" s="152">
        <f t="shared" ref="C51:AG51" si="27">C41/C39</f>
        <v>-0.153846153846154</v>
      </c>
      <c r="D51" s="152">
        <f t="shared" si="27"/>
        <v>-0.125</v>
      </c>
      <c r="E51" s="152">
        <f t="shared" si="27"/>
        <v>-0.0975609756097561</v>
      </c>
      <c r="F51" s="152">
        <f t="shared" si="27"/>
        <v>-0.0714285714285714</v>
      </c>
      <c r="G51" s="152">
        <f t="shared" si="27"/>
        <v>-0.0465116279069767</v>
      </c>
      <c r="H51" s="152">
        <f t="shared" si="27"/>
        <v>-0.0227272727272727</v>
      </c>
      <c r="I51" s="152">
        <f t="shared" si="27"/>
        <v>0</v>
      </c>
      <c r="J51" s="152">
        <f t="shared" si="27"/>
        <v>0.0217391304347826</v>
      </c>
      <c r="K51" s="152">
        <f t="shared" si="27"/>
        <v>0.0425531914893617</v>
      </c>
      <c r="L51" s="152">
        <f t="shared" si="27"/>
        <v>0.0625</v>
      </c>
      <c r="M51" s="152">
        <f t="shared" si="27"/>
        <v>0.0816326530612245</v>
      </c>
      <c r="N51" s="152">
        <f t="shared" si="27"/>
        <v>0.1</v>
      </c>
      <c r="O51" s="152">
        <f t="shared" si="27"/>
        <v>0.117647058823529</v>
      </c>
      <c r="P51" s="152">
        <f t="shared" si="27"/>
        <v>0.134615384615385</v>
      </c>
      <c r="Q51" s="152">
        <f t="shared" si="27"/>
        <v>0.150943396226415</v>
      </c>
      <c r="R51" s="152">
        <f t="shared" si="27"/>
        <v>0.166666666666667</v>
      </c>
      <c r="S51" s="152">
        <f t="shared" si="27"/>
        <v>0.181818181818182</v>
      </c>
      <c r="T51" s="152">
        <f t="shared" si="27"/>
        <v>0.196428571428571</v>
      </c>
      <c r="U51" s="152">
        <f t="shared" si="27"/>
        <v>0.210526315789474</v>
      </c>
      <c r="V51" s="152">
        <f t="shared" si="27"/>
        <v>0.224137931034483</v>
      </c>
      <c r="W51" s="152">
        <f t="shared" si="27"/>
        <v>0.23728813559322</v>
      </c>
      <c r="X51" s="152">
        <f t="shared" si="27"/>
        <v>0.25</v>
      </c>
      <c r="Y51" s="152">
        <f t="shared" si="27"/>
        <v>0.262295081967213</v>
      </c>
      <c r="Z51" s="152">
        <f t="shared" si="27"/>
        <v>0.274193548387097</v>
      </c>
      <c r="AA51" s="152">
        <f t="shared" si="27"/>
        <v>0.285714285714286</v>
      </c>
      <c r="AB51" s="152">
        <f t="shared" si="27"/>
        <v>0.296875</v>
      </c>
      <c r="AC51" s="152">
        <f t="shared" si="27"/>
        <v>0.307692307692308</v>
      </c>
      <c r="AD51" s="152">
        <f t="shared" si="27"/>
        <v>0.318181818181818</v>
      </c>
      <c r="AE51" s="152">
        <f t="shared" si="27"/>
        <v>0.328358208955224</v>
      </c>
      <c r="AF51" s="152">
        <f t="shared" si="27"/>
        <v>0.338235294117647</v>
      </c>
      <c r="AG51" s="152">
        <f t="shared" si="27"/>
        <v>0.347826086956522</v>
      </c>
    </row>
    <row r="52" customHeight="1" spans="1:33">
      <c r="A52" s="153"/>
      <c r="B52" s="283" t="s">
        <v>539</v>
      </c>
      <c r="C52" s="153">
        <f t="shared" ref="C52:AG52" si="28">C40/C39</f>
        <v>0.230769230769231</v>
      </c>
      <c r="D52" s="153">
        <f t="shared" si="28"/>
        <v>0.25</v>
      </c>
      <c r="E52" s="153">
        <f t="shared" si="28"/>
        <v>0.268292682926829</v>
      </c>
      <c r="F52" s="153">
        <f t="shared" si="28"/>
        <v>0.285714285714286</v>
      </c>
      <c r="G52" s="153">
        <f t="shared" si="28"/>
        <v>0.302325581395349</v>
      </c>
      <c r="H52" s="153">
        <f t="shared" si="28"/>
        <v>0.318181818181818</v>
      </c>
      <c r="I52" s="153">
        <f t="shared" si="28"/>
        <v>0.333333333333333</v>
      </c>
      <c r="J52" s="153">
        <f t="shared" si="28"/>
        <v>0.347826086956522</v>
      </c>
      <c r="K52" s="153">
        <f t="shared" si="28"/>
        <v>0.361702127659574</v>
      </c>
      <c r="L52" s="153">
        <f t="shared" si="28"/>
        <v>0.375</v>
      </c>
      <c r="M52" s="153">
        <f t="shared" si="28"/>
        <v>0.387755102040816</v>
      </c>
      <c r="N52" s="153">
        <f t="shared" si="28"/>
        <v>0.4</v>
      </c>
      <c r="O52" s="153">
        <f t="shared" si="28"/>
        <v>0.411764705882353</v>
      </c>
      <c r="P52" s="153">
        <f t="shared" si="28"/>
        <v>0.423076923076923</v>
      </c>
      <c r="Q52" s="153">
        <f t="shared" si="28"/>
        <v>0.433962264150943</v>
      </c>
      <c r="R52" s="153">
        <f t="shared" si="28"/>
        <v>0.444444444444444</v>
      </c>
      <c r="S52" s="153">
        <f t="shared" si="28"/>
        <v>0.454545454545455</v>
      </c>
      <c r="T52" s="153">
        <f t="shared" si="28"/>
        <v>0.464285714285714</v>
      </c>
      <c r="U52" s="153">
        <f t="shared" si="28"/>
        <v>0.473684210526316</v>
      </c>
      <c r="V52" s="153">
        <f t="shared" si="28"/>
        <v>0.482758620689655</v>
      </c>
      <c r="W52" s="153">
        <f t="shared" si="28"/>
        <v>0.491525423728814</v>
      </c>
      <c r="X52" s="153">
        <f t="shared" si="28"/>
        <v>0.5</v>
      </c>
      <c r="Y52" s="153">
        <f t="shared" si="28"/>
        <v>0.508196721311475</v>
      </c>
      <c r="Z52" s="153">
        <f t="shared" si="28"/>
        <v>0.516129032258065</v>
      </c>
      <c r="AA52" s="153">
        <f t="shared" si="28"/>
        <v>0.523809523809524</v>
      </c>
      <c r="AB52" s="153">
        <f t="shared" si="28"/>
        <v>0.53125</v>
      </c>
      <c r="AC52" s="153">
        <f t="shared" si="28"/>
        <v>0.538461538461538</v>
      </c>
      <c r="AD52" s="153">
        <f t="shared" si="28"/>
        <v>0.545454545454545</v>
      </c>
      <c r="AE52" s="153">
        <f t="shared" si="28"/>
        <v>0.552238805970149</v>
      </c>
      <c r="AF52" s="153">
        <f t="shared" si="28"/>
        <v>0.558823529411765</v>
      </c>
      <c r="AG52" s="153">
        <f t="shared" si="28"/>
        <v>0.565217391304348</v>
      </c>
    </row>
    <row r="53" customHeight="1" spans="1:33">
      <c r="A53" s="153"/>
      <c r="B53" s="283" t="s">
        <v>540</v>
      </c>
      <c r="C53" s="153">
        <f t="shared" ref="C53:AG53" si="29">C34/C33</f>
        <v>0.089989888776542</v>
      </c>
      <c r="D53" s="153">
        <f t="shared" si="29"/>
        <v>0.0909090909090909</v>
      </c>
      <c r="E53" s="153">
        <f t="shared" si="29"/>
        <v>0.0918264379414733</v>
      </c>
      <c r="F53" s="153">
        <f t="shared" si="29"/>
        <v>0.092741935483871</v>
      </c>
      <c r="G53" s="153">
        <f t="shared" si="29"/>
        <v>0.0936555891238671</v>
      </c>
      <c r="H53" s="153">
        <f t="shared" si="29"/>
        <v>0.0945674044265594</v>
      </c>
      <c r="I53" s="153">
        <f t="shared" si="29"/>
        <v>0.0954773869346734</v>
      </c>
      <c r="J53" s="153">
        <f t="shared" si="29"/>
        <v>0.0963855421686747</v>
      </c>
      <c r="K53" s="153">
        <f t="shared" si="29"/>
        <v>0.0972918756268806</v>
      </c>
      <c r="L53" s="153">
        <f t="shared" si="29"/>
        <v>0.0981963927855711</v>
      </c>
      <c r="M53" s="153">
        <f t="shared" si="29"/>
        <v>0.0990990990990991</v>
      </c>
      <c r="N53" s="153">
        <f t="shared" si="29"/>
        <v>0.1</v>
      </c>
      <c r="O53" s="153">
        <f t="shared" si="29"/>
        <v>0.100899100899101</v>
      </c>
      <c r="P53" s="153">
        <f t="shared" si="29"/>
        <v>0.101796407185629</v>
      </c>
      <c r="Q53" s="153">
        <f t="shared" si="29"/>
        <v>0.102691924227318</v>
      </c>
      <c r="R53" s="153">
        <f t="shared" si="29"/>
        <v>0.103585657370518</v>
      </c>
      <c r="S53" s="153">
        <f t="shared" si="29"/>
        <v>0.104477611940299</v>
      </c>
      <c r="T53" s="153">
        <f t="shared" si="29"/>
        <v>0.105367793240557</v>
      </c>
      <c r="U53" s="153">
        <f t="shared" si="29"/>
        <v>0.106256206554121</v>
      </c>
      <c r="V53" s="153">
        <f t="shared" si="29"/>
        <v>0.107142857142857</v>
      </c>
      <c r="W53" s="153">
        <f t="shared" si="29"/>
        <v>0.10802775024777</v>
      </c>
      <c r="X53" s="153">
        <f t="shared" si="29"/>
        <v>0.108910891089109</v>
      </c>
      <c r="Y53" s="153">
        <f t="shared" si="29"/>
        <v>0.109792284866469</v>
      </c>
      <c r="Z53" s="153">
        <f t="shared" si="29"/>
        <v>0.110671936758893</v>
      </c>
      <c r="AA53" s="153">
        <f t="shared" si="29"/>
        <v>0.111549851924975</v>
      </c>
      <c r="AB53" s="153">
        <f t="shared" si="29"/>
        <v>0.112426035502959</v>
      </c>
      <c r="AC53" s="153">
        <f t="shared" si="29"/>
        <v>0.113300492610837</v>
      </c>
      <c r="AD53" s="153">
        <f t="shared" si="29"/>
        <v>0.114173228346457</v>
      </c>
      <c r="AE53" s="153">
        <f t="shared" si="29"/>
        <v>0.115044247787611</v>
      </c>
      <c r="AF53" s="153">
        <f t="shared" si="29"/>
        <v>0.115913555992141</v>
      </c>
      <c r="AG53" s="153">
        <f t="shared" si="29"/>
        <v>0.116781157998037</v>
      </c>
    </row>
    <row r="54" customHeight="1" spans="1:33">
      <c r="A54" s="152"/>
      <c r="B54" s="286" t="s">
        <v>103</v>
      </c>
      <c r="C54" s="152">
        <f t="shared" ref="C54:AG54" si="30">C35/C34</f>
        <v>1</v>
      </c>
      <c r="D54" s="152">
        <f t="shared" si="30"/>
        <v>1</v>
      </c>
      <c r="E54" s="152">
        <f t="shared" si="30"/>
        <v>1</v>
      </c>
      <c r="F54" s="152">
        <f t="shared" si="30"/>
        <v>1</v>
      </c>
      <c r="G54" s="152">
        <f t="shared" si="30"/>
        <v>1</v>
      </c>
      <c r="H54" s="152">
        <f t="shared" si="30"/>
        <v>1</v>
      </c>
      <c r="I54" s="152">
        <f t="shared" si="30"/>
        <v>1</v>
      </c>
      <c r="J54" s="152">
        <f t="shared" si="30"/>
        <v>1</v>
      </c>
      <c r="K54" s="152">
        <f t="shared" si="30"/>
        <v>1</v>
      </c>
      <c r="L54" s="152">
        <f t="shared" si="30"/>
        <v>1</v>
      </c>
      <c r="M54" s="152">
        <f t="shared" si="30"/>
        <v>1</v>
      </c>
      <c r="N54" s="152">
        <f t="shared" si="30"/>
        <v>1</v>
      </c>
      <c r="O54" s="152">
        <f t="shared" si="30"/>
        <v>1</v>
      </c>
      <c r="P54" s="152">
        <f t="shared" si="30"/>
        <v>1</v>
      </c>
      <c r="Q54" s="152">
        <f t="shared" si="30"/>
        <v>1</v>
      </c>
      <c r="R54" s="152">
        <f t="shared" si="30"/>
        <v>1</v>
      </c>
      <c r="S54" s="152">
        <f t="shared" si="30"/>
        <v>1</v>
      </c>
      <c r="T54" s="152">
        <f t="shared" si="30"/>
        <v>1</v>
      </c>
      <c r="U54" s="152">
        <f t="shared" si="30"/>
        <v>1</v>
      </c>
      <c r="V54" s="152">
        <f t="shared" si="30"/>
        <v>1</v>
      </c>
      <c r="W54" s="152">
        <f t="shared" si="30"/>
        <v>1</v>
      </c>
      <c r="X54" s="152">
        <f t="shared" si="30"/>
        <v>1</v>
      </c>
      <c r="Y54" s="152">
        <f t="shared" si="30"/>
        <v>1</v>
      </c>
      <c r="Z54" s="152">
        <f t="shared" si="30"/>
        <v>1</v>
      </c>
      <c r="AA54" s="152">
        <f t="shared" si="30"/>
        <v>1</v>
      </c>
      <c r="AB54" s="152">
        <f t="shared" si="30"/>
        <v>1</v>
      </c>
      <c r="AC54" s="152">
        <f t="shared" si="30"/>
        <v>1</v>
      </c>
      <c r="AD54" s="152">
        <f t="shared" si="30"/>
        <v>1</v>
      </c>
      <c r="AE54" s="152">
        <f t="shared" si="30"/>
        <v>1</v>
      </c>
      <c r="AF54" s="152">
        <f t="shared" si="30"/>
        <v>1</v>
      </c>
      <c r="AG54" s="152">
        <f t="shared" si="30"/>
        <v>1</v>
      </c>
    </row>
    <row r="55" customHeight="1" spans="1:33">
      <c r="A55" s="145"/>
      <c r="B55" s="287" t="s">
        <v>541</v>
      </c>
      <c r="C55" s="145">
        <f t="shared" ref="C55:AG55" si="31">C34-C37</f>
        <v>89</v>
      </c>
      <c r="D55" s="145">
        <f t="shared" si="31"/>
        <v>89</v>
      </c>
      <c r="E55" s="145">
        <f t="shared" si="31"/>
        <v>89</v>
      </c>
      <c r="F55" s="145">
        <f t="shared" si="31"/>
        <v>89</v>
      </c>
      <c r="G55" s="145">
        <f t="shared" si="31"/>
        <v>89</v>
      </c>
      <c r="H55" s="145">
        <f t="shared" si="31"/>
        <v>89</v>
      </c>
      <c r="I55" s="145">
        <f t="shared" si="31"/>
        <v>89</v>
      </c>
      <c r="J55" s="145">
        <f t="shared" si="31"/>
        <v>89</v>
      </c>
      <c r="K55" s="145">
        <f t="shared" si="31"/>
        <v>89</v>
      </c>
      <c r="L55" s="145">
        <f t="shared" si="31"/>
        <v>89</v>
      </c>
      <c r="M55" s="145">
        <f t="shared" si="31"/>
        <v>89</v>
      </c>
      <c r="N55" s="145">
        <f t="shared" si="31"/>
        <v>89</v>
      </c>
      <c r="O55" s="145">
        <f t="shared" si="31"/>
        <v>89</v>
      </c>
      <c r="P55" s="145">
        <f t="shared" si="31"/>
        <v>89</v>
      </c>
      <c r="Q55" s="145">
        <f t="shared" si="31"/>
        <v>89</v>
      </c>
      <c r="R55" s="145">
        <f t="shared" si="31"/>
        <v>89</v>
      </c>
      <c r="S55" s="145">
        <f t="shared" si="31"/>
        <v>89</v>
      </c>
      <c r="T55" s="145">
        <f t="shared" si="31"/>
        <v>89</v>
      </c>
      <c r="U55" s="145">
        <f t="shared" si="31"/>
        <v>89</v>
      </c>
      <c r="V55" s="145">
        <f t="shared" si="31"/>
        <v>89</v>
      </c>
      <c r="W55" s="145">
        <f t="shared" si="31"/>
        <v>89</v>
      </c>
      <c r="X55" s="145">
        <f t="shared" si="31"/>
        <v>89</v>
      </c>
      <c r="Y55" s="145">
        <f t="shared" si="31"/>
        <v>89</v>
      </c>
      <c r="Z55" s="145">
        <f t="shared" si="31"/>
        <v>89</v>
      </c>
      <c r="AA55" s="145">
        <f t="shared" si="31"/>
        <v>89</v>
      </c>
      <c r="AB55" s="145">
        <f t="shared" si="31"/>
        <v>89</v>
      </c>
      <c r="AC55" s="145">
        <f t="shared" si="31"/>
        <v>89</v>
      </c>
      <c r="AD55" s="145">
        <f t="shared" si="31"/>
        <v>89</v>
      </c>
      <c r="AE55" s="145">
        <f t="shared" si="31"/>
        <v>89</v>
      </c>
      <c r="AF55" s="145">
        <f t="shared" si="31"/>
        <v>89</v>
      </c>
      <c r="AG55" s="145">
        <f t="shared" si="31"/>
        <v>89</v>
      </c>
    </row>
    <row r="56" customHeight="1" spans="1:33">
      <c r="A56" s="152"/>
      <c r="B56" s="286" t="s">
        <v>542</v>
      </c>
      <c r="C56" s="152">
        <f t="shared" ref="C56:AG56" si="32">C35-C54*C37</f>
        <v>89</v>
      </c>
      <c r="D56" s="152">
        <f t="shared" si="32"/>
        <v>89</v>
      </c>
      <c r="E56" s="152">
        <f t="shared" si="32"/>
        <v>89</v>
      </c>
      <c r="F56" s="152">
        <f t="shared" si="32"/>
        <v>89</v>
      </c>
      <c r="G56" s="152">
        <f t="shared" si="32"/>
        <v>89</v>
      </c>
      <c r="H56" s="152">
        <f t="shared" si="32"/>
        <v>89</v>
      </c>
      <c r="I56" s="152">
        <f t="shared" si="32"/>
        <v>89</v>
      </c>
      <c r="J56" s="152">
        <f t="shared" si="32"/>
        <v>89</v>
      </c>
      <c r="K56" s="152">
        <f t="shared" si="32"/>
        <v>89</v>
      </c>
      <c r="L56" s="152">
        <f t="shared" si="32"/>
        <v>89</v>
      </c>
      <c r="M56" s="152">
        <f t="shared" si="32"/>
        <v>89</v>
      </c>
      <c r="N56" s="152">
        <f t="shared" si="32"/>
        <v>89</v>
      </c>
      <c r="O56" s="152">
        <f t="shared" si="32"/>
        <v>89</v>
      </c>
      <c r="P56" s="152">
        <f t="shared" si="32"/>
        <v>89</v>
      </c>
      <c r="Q56" s="152">
        <f t="shared" si="32"/>
        <v>89</v>
      </c>
      <c r="R56" s="152">
        <f t="shared" si="32"/>
        <v>89</v>
      </c>
      <c r="S56" s="152">
        <f t="shared" si="32"/>
        <v>89</v>
      </c>
      <c r="T56" s="152">
        <f t="shared" si="32"/>
        <v>89</v>
      </c>
      <c r="U56" s="152">
        <f t="shared" si="32"/>
        <v>89</v>
      </c>
      <c r="V56" s="152">
        <f t="shared" si="32"/>
        <v>89</v>
      </c>
      <c r="W56" s="152">
        <f t="shared" si="32"/>
        <v>89</v>
      </c>
      <c r="X56" s="152">
        <f t="shared" si="32"/>
        <v>89</v>
      </c>
      <c r="Y56" s="152">
        <f t="shared" si="32"/>
        <v>89</v>
      </c>
      <c r="Z56" s="152">
        <f t="shared" si="32"/>
        <v>89</v>
      </c>
      <c r="AA56" s="152">
        <f t="shared" si="32"/>
        <v>89</v>
      </c>
      <c r="AB56" s="152">
        <f t="shared" si="32"/>
        <v>89</v>
      </c>
      <c r="AC56" s="152">
        <f t="shared" si="32"/>
        <v>89</v>
      </c>
      <c r="AD56" s="152">
        <f t="shared" si="32"/>
        <v>89</v>
      </c>
      <c r="AE56" s="152">
        <f t="shared" si="32"/>
        <v>89</v>
      </c>
      <c r="AF56" s="152">
        <f t="shared" si="32"/>
        <v>89</v>
      </c>
      <c r="AG56" s="152">
        <f t="shared" si="32"/>
        <v>89</v>
      </c>
    </row>
    <row r="57" customHeight="1" spans="1:33">
      <c r="A57" s="288"/>
      <c r="B57" s="289" t="s">
        <v>543</v>
      </c>
      <c r="C57" s="288">
        <f t="shared" ref="C57:AG57" si="33">C36+C41</f>
        <v>-7</v>
      </c>
      <c r="D57" s="288">
        <f t="shared" si="33"/>
        <v>-5</v>
      </c>
      <c r="E57" s="288">
        <f t="shared" si="33"/>
        <v>-3</v>
      </c>
      <c r="F57" s="288">
        <f t="shared" si="33"/>
        <v>-1</v>
      </c>
      <c r="G57" s="288">
        <f t="shared" si="33"/>
        <v>1</v>
      </c>
      <c r="H57" s="288">
        <f t="shared" si="33"/>
        <v>3</v>
      </c>
      <c r="I57" s="288">
        <f t="shared" si="33"/>
        <v>5</v>
      </c>
      <c r="J57" s="288">
        <f t="shared" si="33"/>
        <v>7</v>
      </c>
      <c r="K57" s="288">
        <f t="shared" si="33"/>
        <v>9</v>
      </c>
      <c r="L57" s="288">
        <f t="shared" si="33"/>
        <v>11</v>
      </c>
      <c r="M57" s="288">
        <f t="shared" si="33"/>
        <v>13</v>
      </c>
      <c r="N57" s="288">
        <f t="shared" si="33"/>
        <v>15</v>
      </c>
      <c r="O57" s="288">
        <f t="shared" si="33"/>
        <v>17</v>
      </c>
      <c r="P57" s="288">
        <f t="shared" si="33"/>
        <v>19</v>
      </c>
      <c r="Q57" s="288">
        <f t="shared" si="33"/>
        <v>21</v>
      </c>
      <c r="R57" s="288">
        <f t="shared" si="33"/>
        <v>23</v>
      </c>
      <c r="S57" s="288">
        <f t="shared" si="33"/>
        <v>25</v>
      </c>
      <c r="T57" s="288">
        <f t="shared" si="33"/>
        <v>27</v>
      </c>
      <c r="U57" s="288">
        <f t="shared" si="33"/>
        <v>29</v>
      </c>
      <c r="V57" s="288">
        <f t="shared" si="33"/>
        <v>31</v>
      </c>
      <c r="W57" s="288">
        <f t="shared" si="33"/>
        <v>33</v>
      </c>
      <c r="X57" s="288">
        <f t="shared" si="33"/>
        <v>35</v>
      </c>
      <c r="Y57" s="288">
        <f t="shared" si="33"/>
        <v>37</v>
      </c>
      <c r="Z57" s="288">
        <f t="shared" si="33"/>
        <v>39</v>
      </c>
      <c r="AA57" s="288">
        <f t="shared" si="33"/>
        <v>41</v>
      </c>
      <c r="AB57" s="288">
        <f t="shared" si="33"/>
        <v>43</v>
      </c>
      <c r="AC57" s="288">
        <f t="shared" si="33"/>
        <v>45</v>
      </c>
      <c r="AD57" s="288">
        <f t="shared" si="33"/>
        <v>47</v>
      </c>
      <c r="AE57" s="288">
        <f t="shared" si="33"/>
        <v>49</v>
      </c>
      <c r="AF57" s="288">
        <f t="shared" si="33"/>
        <v>51</v>
      </c>
      <c r="AG57" s="288">
        <f t="shared" si="33"/>
        <v>53</v>
      </c>
    </row>
    <row r="58" customHeight="1" spans="1:33">
      <c r="A58" s="153"/>
      <c r="B58" s="283" t="s">
        <v>544</v>
      </c>
      <c r="C58" s="153">
        <f t="shared" ref="C58:AG58" si="34">C57/C56</f>
        <v>-0.0786516853932584</v>
      </c>
      <c r="D58" s="153">
        <f t="shared" si="34"/>
        <v>-0.0561797752808989</v>
      </c>
      <c r="E58" s="153">
        <f t="shared" si="34"/>
        <v>-0.0337078651685393</v>
      </c>
      <c r="F58" s="153">
        <f t="shared" si="34"/>
        <v>-0.0112359550561798</v>
      </c>
      <c r="G58" s="153">
        <f t="shared" si="34"/>
        <v>0.0112359550561798</v>
      </c>
      <c r="H58" s="153">
        <f t="shared" si="34"/>
        <v>0.0337078651685393</v>
      </c>
      <c r="I58" s="153">
        <f t="shared" si="34"/>
        <v>0.0561797752808989</v>
      </c>
      <c r="J58" s="153">
        <f t="shared" si="34"/>
        <v>0.0786516853932584</v>
      </c>
      <c r="K58" s="153">
        <f t="shared" si="34"/>
        <v>0.101123595505618</v>
      </c>
      <c r="L58" s="153">
        <f t="shared" si="34"/>
        <v>0.123595505617978</v>
      </c>
      <c r="M58" s="153">
        <f t="shared" si="34"/>
        <v>0.146067415730337</v>
      </c>
      <c r="N58" s="153">
        <f t="shared" si="34"/>
        <v>0.168539325842697</v>
      </c>
      <c r="O58" s="153">
        <f t="shared" si="34"/>
        <v>0.191011235955056</v>
      </c>
      <c r="P58" s="153">
        <f t="shared" si="34"/>
        <v>0.213483146067416</v>
      </c>
      <c r="Q58" s="153">
        <f t="shared" si="34"/>
        <v>0.235955056179775</v>
      </c>
      <c r="R58" s="153">
        <f t="shared" si="34"/>
        <v>0.258426966292135</v>
      </c>
      <c r="S58" s="153">
        <f t="shared" si="34"/>
        <v>0.280898876404494</v>
      </c>
      <c r="T58" s="153">
        <f t="shared" si="34"/>
        <v>0.303370786516854</v>
      </c>
      <c r="U58" s="153">
        <f t="shared" si="34"/>
        <v>0.325842696629214</v>
      </c>
      <c r="V58" s="153">
        <f t="shared" si="34"/>
        <v>0.348314606741573</v>
      </c>
      <c r="W58" s="153">
        <f t="shared" si="34"/>
        <v>0.370786516853933</v>
      </c>
      <c r="X58" s="153">
        <f t="shared" si="34"/>
        <v>0.393258426966292</v>
      </c>
      <c r="Y58" s="153">
        <f t="shared" si="34"/>
        <v>0.415730337078652</v>
      </c>
      <c r="Z58" s="153">
        <f t="shared" si="34"/>
        <v>0.438202247191011</v>
      </c>
      <c r="AA58" s="153">
        <f t="shared" si="34"/>
        <v>0.460674157303371</v>
      </c>
      <c r="AB58" s="153">
        <f t="shared" si="34"/>
        <v>0.48314606741573</v>
      </c>
      <c r="AC58" s="153">
        <f t="shared" si="34"/>
        <v>0.50561797752809</v>
      </c>
      <c r="AD58" s="153">
        <f t="shared" si="34"/>
        <v>0.528089887640449</v>
      </c>
      <c r="AE58" s="153">
        <f t="shared" si="34"/>
        <v>0.550561797752809</v>
      </c>
      <c r="AF58" s="153">
        <f t="shared" si="34"/>
        <v>0.573033707865168</v>
      </c>
      <c r="AG58" s="153">
        <f t="shared" si="34"/>
        <v>0.595505617977528</v>
      </c>
    </row>
    <row r="59" customHeight="1" spans="1:33">
      <c r="A59" s="153"/>
      <c r="B59" s="283" t="s">
        <v>545</v>
      </c>
      <c r="C59" s="153" t="s">
        <v>546</v>
      </c>
      <c r="D59" s="153" t="s">
        <v>546</v>
      </c>
      <c r="E59" s="153" t="s">
        <v>546</v>
      </c>
      <c r="F59" s="153" t="s">
        <v>546</v>
      </c>
      <c r="G59" s="153" t="s">
        <v>546</v>
      </c>
      <c r="H59" s="153" t="s">
        <v>546</v>
      </c>
      <c r="I59" s="153" t="s">
        <v>546</v>
      </c>
      <c r="J59" s="153" t="s">
        <v>546</v>
      </c>
      <c r="K59" s="153" t="s">
        <v>546</v>
      </c>
      <c r="L59" s="153" t="s">
        <v>546</v>
      </c>
      <c r="M59" s="153">
        <f t="shared" ref="M59:AG59" si="35">(M34-F34)/F34</f>
        <v>0.0760869565217391</v>
      </c>
      <c r="N59" s="153">
        <f t="shared" si="35"/>
        <v>0.0752688172043011</v>
      </c>
      <c r="O59" s="153">
        <f t="shared" si="35"/>
        <v>0.074468085106383</v>
      </c>
      <c r="P59" s="153">
        <f t="shared" si="35"/>
        <v>0.0736842105263158</v>
      </c>
      <c r="Q59" s="153">
        <f t="shared" si="35"/>
        <v>0.0729166666666667</v>
      </c>
      <c r="R59" s="153">
        <f t="shared" si="35"/>
        <v>0.0721649484536082</v>
      </c>
      <c r="S59" s="153">
        <f t="shared" si="35"/>
        <v>0.0714285714285714</v>
      </c>
      <c r="T59" s="153">
        <f t="shared" si="35"/>
        <v>0.0707070707070707</v>
      </c>
      <c r="U59" s="153">
        <f t="shared" si="35"/>
        <v>0.07</v>
      </c>
      <c r="V59" s="153">
        <f t="shared" si="35"/>
        <v>0.0693069306930693</v>
      </c>
      <c r="W59" s="153">
        <f t="shared" si="35"/>
        <v>0.0686274509803922</v>
      </c>
      <c r="X59" s="153">
        <f t="shared" si="35"/>
        <v>0.0679611650485437</v>
      </c>
      <c r="Y59" s="153">
        <f t="shared" si="35"/>
        <v>0.0673076923076923</v>
      </c>
      <c r="Z59" s="153">
        <f t="shared" si="35"/>
        <v>0.0666666666666667</v>
      </c>
      <c r="AA59" s="153">
        <f t="shared" si="35"/>
        <v>0.0660377358490566</v>
      </c>
      <c r="AB59" s="153">
        <f t="shared" si="35"/>
        <v>0.0654205607476635</v>
      </c>
      <c r="AC59" s="153">
        <f t="shared" si="35"/>
        <v>0.0648148148148148</v>
      </c>
      <c r="AD59" s="153">
        <f t="shared" si="35"/>
        <v>0.0642201834862385</v>
      </c>
      <c r="AE59" s="153">
        <f t="shared" si="35"/>
        <v>0.0636363636363636</v>
      </c>
      <c r="AF59" s="153">
        <f t="shared" si="35"/>
        <v>0.0630630630630631</v>
      </c>
      <c r="AG59" s="153">
        <f t="shared" si="35"/>
        <v>0.0625</v>
      </c>
    </row>
    <row r="61" customHeight="1" spans="1:33">
      <c r="A61" s="262" t="s">
        <v>509</v>
      </c>
      <c r="B61" s="263" t="s">
        <v>510</v>
      </c>
      <c r="C61" s="263">
        <v>43467</v>
      </c>
      <c r="D61" s="263">
        <v>43468</v>
      </c>
      <c r="E61" s="263">
        <v>43469</v>
      </c>
      <c r="F61" s="263">
        <v>43470</v>
      </c>
      <c r="G61" s="263">
        <v>43471</v>
      </c>
      <c r="H61" s="263">
        <v>43472</v>
      </c>
      <c r="I61" s="263">
        <v>43473</v>
      </c>
      <c r="J61" s="263">
        <v>43474</v>
      </c>
      <c r="K61" s="263">
        <v>43475</v>
      </c>
      <c r="L61" s="263">
        <v>43476</v>
      </c>
      <c r="M61" s="263">
        <v>43476</v>
      </c>
      <c r="N61" s="263">
        <v>43477</v>
      </c>
      <c r="O61" s="263">
        <v>43478</v>
      </c>
      <c r="P61" s="263">
        <v>43479</v>
      </c>
      <c r="Q61" s="263">
        <v>43480</v>
      </c>
      <c r="R61" s="263">
        <v>43481</v>
      </c>
      <c r="S61" s="263">
        <v>43482</v>
      </c>
      <c r="T61" s="263">
        <v>43483</v>
      </c>
      <c r="U61" s="263">
        <v>43484</v>
      </c>
      <c r="V61" s="263">
        <v>43485</v>
      </c>
      <c r="W61" s="263">
        <v>43486</v>
      </c>
      <c r="X61" s="263">
        <v>43487</v>
      </c>
      <c r="Y61" s="263">
        <v>43488</v>
      </c>
      <c r="Z61" s="263">
        <v>43489</v>
      </c>
      <c r="AA61" s="263">
        <v>43490</v>
      </c>
      <c r="AB61" s="263">
        <v>43491</v>
      </c>
      <c r="AC61" s="263">
        <v>43492</v>
      </c>
      <c r="AD61" s="263">
        <v>43493</v>
      </c>
      <c r="AE61" s="263">
        <v>43494</v>
      </c>
      <c r="AF61" s="263">
        <v>43495</v>
      </c>
      <c r="AG61" s="263">
        <v>43496</v>
      </c>
    </row>
    <row r="62" customHeight="1" spans="1:33">
      <c r="A62" s="264"/>
      <c r="B62" s="265" t="s">
        <v>511</v>
      </c>
      <c r="C62" s="265" t="s">
        <v>512</v>
      </c>
      <c r="D62" s="265" t="s">
        <v>513</v>
      </c>
      <c r="E62" s="265" t="s">
        <v>514</v>
      </c>
      <c r="F62" s="265" t="s">
        <v>515</v>
      </c>
      <c r="G62" s="265" t="s">
        <v>516</v>
      </c>
      <c r="H62" s="265" t="s">
        <v>517</v>
      </c>
      <c r="I62" s="265" t="s">
        <v>518</v>
      </c>
      <c r="J62" s="265" t="s">
        <v>512</v>
      </c>
      <c r="K62" s="265" t="s">
        <v>513</v>
      </c>
      <c r="L62" s="265" t="s">
        <v>514</v>
      </c>
      <c r="M62" s="265" t="s">
        <v>515</v>
      </c>
      <c r="N62" s="265" t="s">
        <v>516</v>
      </c>
      <c r="O62" s="265" t="s">
        <v>517</v>
      </c>
      <c r="P62" s="265" t="s">
        <v>518</v>
      </c>
      <c r="Q62" s="265" t="s">
        <v>512</v>
      </c>
      <c r="R62" s="265" t="s">
        <v>513</v>
      </c>
      <c r="S62" s="265" t="s">
        <v>514</v>
      </c>
      <c r="T62" s="265" t="s">
        <v>515</v>
      </c>
      <c r="U62" s="265" t="s">
        <v>516</v>
      </c>
      <c r="V62" s="265" t="s">
        <v>517</v>
      </c>
      <c r="W62" s="265" t="s">
        <v>518</v>
      </c>
      <c r="X62" s="265" t="s">
        <v>512</v>
      </c>
      <c r="Y62" s="265" t="s">
        <v>513</v>
      </c>
      <c r="Z62" s="265" t="s">
        <v>514</v>
      </c>
      <c r="AA62" s="265" t="s">
        <v>515</v>
      </c>
      <c r="AB62" s="265" t="s">
        <v>516</v>
      </c>
      <c r="AC62" s="265" t="s">
        <v>517</v>
      </c>
      <c r="AD62" s="265" t="s">
        <v>518</v>
      </c>
      <c r="AE62" s="265" t="s">
        <v>512</v>
      </c>
      <c r="AF62" s="265" t="s">
        <v>513</v>
      </c>
      <c r="AG62" s="265" t="s">
        <v>514</v>
      </c>
    </row>
    <row r="63" customHeight="1" spans="1:33">
      <c r="A63" s="266"/>
      <c r="B63" s="267" t="s">
        <v>519</v>
      </c>
      <c r="C63" s="150">
        <v>989</v>
      </c>
      <c r="D63" s="150">
        <v>990</v>
      </c>
      <c r="E63" s="150">
        <v>991</v>
      </c>
      <c r="F63" s="150">
        <v>992</v>
      </c>
      <c r="G63" s="150">
        <v>993</v>
      </c>
      <c r="H63" s="150">
        <v>994</v>
      </c>
      <c r="I63" s="150">
        <v>995</v>
      </c>
      <c r="J63" s="150">
        <v>996</v>
      </c>
      <c r="K63" s="150">
        <v>997</v>
      </c>
      <c r="L63" s="150">
        <v>998</v>
      </c>
      <c r="M63" s="150">
        <v>999</v>
      </c>
      <c r="N63" s="150">
        <v>1000</v>
      </c>
      <c r="O63" s="150">
        <v>1001</v>
      </c>
      <c r="P63" s="150">
        <v>1002</v>
      </c>
      <c r="Q63" s="150">
        <v>1003</v>
      </c>
      <c r="R63" s="150">
        <v>1004</v>
      </c>
      <c r="S63" s="150">
        <v>1005</v>
      </c>
      <c r="T63" s="150">
        <v>1006</v>
      </c>
      <c r="U63" s="150">
        <v>1007</v>
      </c>
      <c r="V63" s="150">
        <v>1008</v>
      </c>
      <c r="W63" s="150">
        <v>1009</v>
      </c>
      <c r="X63" s="150">
        <v>1010</v>
      </c>
      <c r="Y63" s="150">
        <v>1011</v>
      </c>
      <c r="Z63" s="150">
        <v>1012</v>
      </c>
      <c r="AA63" s="150">
        <v>1013</v>
      </c>
      <c r="AB63" s="150">
        <v>1014</v>
      </c>
      <c r="AC63" s="150">
        <v>1015</v>
      </c>
      <c r="AD63" s="150">
        <v>1016</v>
      </c>
      <c r="AE63" s="150">
        <v>1017</v>
      </c>
      <c r="AF63" s="150">
        <v>1018</v>
      </c>
      <c r="AG63" s="150">
        <v>1019</v>
      </c>
    </row>
    <row r="64" customHeight="1" spans="1:33">
      <c r="A64" s="268"/>
      <c r="B64" s="269" t="s">
        <v>104</v>
      </c>
      <c r="C64" s="151">
        <v>89</v>
      </c>
      <c r="D64" s="151">
        <v>90</v>
      </c>
      <c r="E64" s="151">
        <v>91</v>
      </c>
      <c r="F64" s="151">
        <v>92</v>
      </c>
      <c r="G64" s="151">
        <v>93</v>
      </c>
      <c r="H64" s="151">
        <v>94</v>
      </c>
      <c r="I64" s="151">
        <v>95</v>
      </c>
      <c r="J64" s="151">
        <v>96</v>
      </c>
      <c r="K64" s="151">
        <v>97</v>
      </c>
      <c r="L64" s="151">
        <v>98</v>
      </c>
      <c r="M64" s="151">
        <v>99</v>
      </c>
      <c r="N64" s="151">
        <v>100</v>
      </c>
      <c r="O64" s="151">
        <v>101</v>
      </c>
      <c r="P64" s="151">
        <v>102</v>
      </c>
      <c r="Q64" s="151">
        <v>103</v>
      </c>
      <c r="R64" s="151">
        <v>104</v>
      </c>
      <c r="S64" s="151">
        <v>105</v>
      </c>
      <c r="T64" s="151">
        <v>106</v>
      </c>
      <c r="U64" s="151">
        <v>107</v>
      </c>
      <c r="V64" s="151">
        <v>108</v>
      </c>
      <c r="W64" s="151">
        <v>109</v>
      </c>
      <c r="X64" s="151">
        <v>110</v>
      </c>
      <c r="Y64" s="151">
        <v>111</v>
      </c>
      <c r="Z64" s="151">
        <v>112</v>
      </c>
      <c r="AA64" s="151">
        <v>113</v>
      </c>
      <c r="AB64" s="151">
        <v>114</v>
      </c>
      <c r="AC64" s="151">
        <v>115</v>
      </c>
      <c r="AD64" s="151">
        <v>116</v>
      </c>
      <c r="AE64" s="151">
        <v>117</v>
      </c>
      <c r="AF64" s="151">
        <v>118</v>
      </c>
      <c r="AG64" s="151">
        <v>119</v>
      </c>
    </row>
    <row r="65" customHeight="1" spans="1:33">
      <c r="A65" s="270"/>
      <c r="B65" s="271" t="s">
        <v>17</v>
      </c>
      <c r="C65" s="152">
        <v>89</v>
      </c>
      <c r="D65" s="152">
        <v>90</v>
      </c>
      <c r="E65" s="152">
        <v>91</v>
      </c>
      <c r="F65" s="152">
        <v>92</v>
      </c>
      <c r="G65" s="152">
        <v>93</v>
      </c>
      <c r="H65" s="152">
        <v>94</v>
      </c>
      <c r="I65" s="152">
        <v>95</v>
      </c>
      <c r="J65" s="152">
        <v>96</v>
      </c>
      <c r="K65" s="152">
        <v>97</v>
      </c>
      <c r="L65" s="152">
        <v>98</v>
      </c>
      <c r="M65" s="152">
        <v>99</v>
      </c>
      <c r="N65" s="152">
        <v>100</v>
      </c>
      <c r="O65" s="152">
        <v>101</v>
      </c>
      <c r="P65" s="152">
        <v>102</v>
      </c>
      <c r="Q65" s="152">
        <v>103</v>
      </c>
      <c r="R65" s="152">
        <v>104</v>
      </c>
      <c r="S65" s="152">
        <v>105</v>
      </c>
      <c r="T65" s="152">
        <v>106</v>
      </c>
      <c r="U65" s="152">
        <v>107</v>
      </c>
      <c r="V65" s="152">
        <v>108</v>
      </c>
      <c r="W65" s="152">
        <v>109</v>
      </c>
      <c r="X65" s="152">
        <v>110</v>
      </c>
      <c r="Y65" s="152">
        <v>111</v>
      </c>
      <c r="Z65" s="152">
        <v>112</v>
      </c>
      <c r="AA65" s="152">
        <v>113</v>
      </c>
      <c r="AB65" s="152">
        <v>114</v>
      </c>
      <c r="AC65" s="152">
        <v>115</v>
      </c>
      <c r="AD65" s="152">
        <v>116</v>
      </c>
      <c r="AE65" s="152">
        <v>117</v>
      </c>
      <c r="AF65" s="152">
        <v>118</v>
      </c>
      <c r="AG65" s="152">
        <v>119</v>
      </c>
    </row>
    <row r="66" customHeight="1" spans="1:33">
      <c r="A66" s="270"/>
      <c r="B66" s="272" t="s">
        <v>520</v>
      </c>
      <c r="C66" s="152">
        <v>-1</v>
      </c>
      <c r="D66" s="152">
        <v>0</v>
      </c>
      <c r="E66" s="152">
        <v>1</v>
      </c>
      <c r="F66" s="152">
        <v>2</v>
      </c>
      <c r="G66" s="152">
        <v>3</v>
      </c>
      <c r="H66" s="152">
        <v>4</v>
      </c>
      <c r="I66" s="152">
        <v>5</v>
      </c>
      <c r="J66" s="152">
        <v>6</v>
      </c>
      <c r="K66" s="152">
        <v>7</v>
      </c>
      <c r="L66" s="152">
        <v>8</v>
      </c>
      <c r="M66" s="152">
        <v>9</v>
      </c>
      <c r="N66" s="152">
        <v>10</v>
      </c>
      <c r="O66" s="152">
        <v>11</v>
      </c>
      <c r="P66" s="152">
        <v>12</v>
      </c>
      <c r="Q66" s="152">
        <v>13</v>
      </c>
      <c r="R66" s="152">
        <v>14</v>
      </c>
      <c r="S66" s="152">
        <v>15</v>
      </c>
      <c r="T66" s="152">
        <v>16</v>
      </c>
      <c r="U66" s="152">
        <v>17</v>
      </c>
      <c r="V66" s="152">
        <v>18</v>
      </c>
      <c r="W66" s="152">
        <v>19</v>
      </c>
      <c r="X66" s="152">
        <v>20</v>
      </c>
      <c r="Y66" s="152">
        <v>21</v>
      </c>
      <c r="Z66" s="152">
        <v>22</v>
      </c>
      <c r="AA66" s="152">
        <v>23</v>
      </c>
      <c r="AB66" s="152">
        <v>24</v>
      </c>
      <c r="AC66" s="152">
        <v>25</v>
      </c>
      <c r="AD66" s="152">
        <v>26</v>
      </c>
      <c r="AE66" s="152">
        <v>27</v>
      </c>
      <c r="AF66" s="152">
        <v>28</v>
      </c>
      <c r="AG66" s="152">
        <v>29</v>
      </c>
    </row>
    <row r="67" customHeight="1" spans="1:33">
      <c r="A67" s="264"/>
      <c r="B67" s="273" t="s">
        <v>521</v>
      </c>
      <c r="C67" s="145">
        <v>0</v>
      </c>
      <c r="D67" s="145">
        <v>1</v>
      </c>
      <c r="E67" s="145">
        <v>2</v>
      </c>
      <c r="F67" s="145">
        <v>3</v>
      </c>
      <c r="G67" s="145">
        <v>4</v>
      </c>
      <c r="H67" s="145">
        <v>5</v>
      </c>
      <c r="I67" s="145">
        <v>6</v>
      </c>
      <c r="J67" s="145">
        <v>7</v>
      </c>
      <c r="K67" s="145">
        <v>8</v>
      </c>
      <c r="L67" s="145">
        <v>9</v>
      </c>
      <c r="M67" s="145">
        <v>10</v>
      </c>
      <c r="N67" s="145">
        <v>11</v>
      </c>
      <c r="O67" s="145">
        <v>12</v>
      </c>
      <c r="P67" s="145">
        <v>13</v>
      </c>
      <c r="Q67" s="145">
        <v>14</v>
      </c>
      <c r="R67" s="145">
        <v>15</v>
      </c>
      <c r="S67" s="145">
        <v>16</v>
      </c>
      <c r="T67" s="145">
        <v>17</v>
      </c>
      <c r="U67" s="145">
        <v>18</v>
      </c>
      <c r="V67" s="145">
        <v>19</v>
      </c>
      <c r="W67" s="145">
        <v>20</v>
      </c>
      <c r="X67" s="145">
        <v>21</v>
      </c>
      <c r="Y67" s="145">
        <v>22</v>
      </c>
      <c r="Z67" s="145">
        <v>23</v>
      </c>
      <c r="AA67" s="145">
        <v>24</v>
      </c>
      <c r="AB67" s="145">
        <v>25</v>
      </c>
      <c r="AC67" s="145">
        <v>26</v>
      </c>
      <c r="AD67" s="145">
        <v>27</v>
      </c>
      <c r="AE67" s="145">
        <v>28</v>
      </c>
      <c r="AF67" s="145">
        <v>29</v>
      </c>
      <c r="AG67" s="145">
        <v>30</v>
      </c>
    </row>
    <row r="68" customHeight="1" spans="1:33">
      <c r="A68" s="266" t="s">
        <v>522</v>
      </c>
      <c r="B68" s="274" t="s">
        <v>523</v>
      </c>
      <c r="C68" s="150">
        <v>89</v>
      </c>
      <c r="D68" s="150">
        <v>90</v>
      </c>
      <c r="E68" s="150">
        <v>91</v>
      </c>
      <c r="F68" s="150">
        <v>92</v>
      </c>
      <c r="G68" s="150">
        <v>93</v>
      </c>
      <c r="H68" s="150">
        <v>94</v>
      </c>
      <c r="I68" s="150">
        <v>95</v>
      </c>
      <c r="J68" s="150">
        <v>96</v>
      </c>
      <c r="K68" s="150">
        <v>97</v>
      </c>
      <c r="L68" s="150">
        <v>98</v>
      </c>
      <c r="M68" s="150">
        <v>99</v>
      </c>
      <c r="N68" s="150">
        <v>100</v>
      </c>
      <c r="O68" s="150">
        <v>101</v>
      </c>
      <c r="P68" s="150">
        <v>102</v>
      </c>
      <c r="Q68" s="150">
        <v>103</v>
      </c>
      <c r="R68" s="150">
        <v>104</v>
      </c>
      <c r="S68" s="150">
        <v>105</v>
      </c>
      <c r="T68" s="150">
        <v>106</v>
      </c>
      <c r="U68" s="150">
        <v>107</v>
      </c>
      <c r="V68" s="150">
        <v>108</v>
      </c>
      <c r="W68" s="150">
        <v>109</v>
      </c>
      <c r="X68" s="150">
        <v>110</v>
      </c>
      <c r="Y68" s="150">
        <v>111</v>
      </c>
      <c r="Z68" s="150">
        <v>112</v>
      </c>
      <c r="AA68" s="150">
        <v>113</v>
      </c>
      <c r="AB68" s="150">
        <v>114</v>
      </c>
      <c r="AC68" s="150">
        <v>115</v>
      </c>
      <c r="AD68" s="150">
        <v>116</v>
      </c>
      <c r="AE68" s="150">
        <v>117</v>
      </c>
      <c r="AF68" s="150">
        <v>118</v>
      </c>
      <c r="AG68" s="150">
        <v>119</v>
      </c>
    </row>
    <row r="69" customHeight="1" spans="1:33">
      <c r="A69" s="268"/>
      <c r="B69" s="275" t="s">
        <v>524</v>
      </c>
      <c r="C69" s="151">
        <v>39</v>
      </c>
      <c r="D69" s="151">
        <v>40</v>
      </c>
      <c r="E69" s="151">
        <v>41</v>
      </c>
      <c r="F69" s="151">
        <v>42</v>
      </c>
      <c r="G69" s="151">
        <v>43</v>
      </c>
      <c r="H69" s="151">
        <v>44</v>
      </c>
      <c r="I69" s="151">
        <v>45</v>
      </c>
      <c r="J69" s="151">
        <v>46</v>
      </c>
      <c r="K69" s="151">
        <v>47</v>
      </c>
      <c r="L69" s="151">
        <v>48</v>
      </c>
      <c r="M69" s="151">
        <v>49</v>
      </c>
      <c r="N69" s="151">
        <v>50</v>
      </c>
      <c r="O69" s="151">
        <v>51</v>
      </c>
      <c r="P69" s="151">
        <v>52</v>
      </c>
      <c r="Q69" s="151">
        <v>53</v>
      </c>
      <c r="R69" s="151">
        <v>54</v>
      </c>
      <c r="S69" s="151">
        <v>55</v>
      </c>
      <c r="T69" s="151">
        <v>56</v>
      </c>
      <c r="U69" s="151">
        <v>57</v>
      </c>
      <c r="V69" s="151">
        <v>58</v>
      </c>
      <c r="W69" s="151">
        <v>59</v>
      </c>
      <c r="X69" s="151">
        <v>60</v>
      </c>
      <c r="Y69" s="151">
        <v>61</v>
      </c>
      <c r="Z69" s="151">
        <v>62</v>
      </c>
      <c r="AA69" s="151">
        <v>63</v>
      </c>
      <c r="AB69" s="151">
        <v>64</v>
      </c>
      <c r="AC69" s="151">
        <v>65</v>
      </c>
      <c r="AD69" s="151">
        <v>66</v>
      </c>
      <c r="AE69" s="151">
        <v>67</v>
      </c>
      <c r="AF69" s="151">
        <v>68</v>
      </c>
      <c r="AG69" s="151">
        <v>69</v>
      </c>
    </row>
    <row r="70" customHeight="1" spans="1:33">
      <c r="A70" s="268"/>
      <c r="B70" s="275" t="s">
        <v>525</v>
      </c>
      <c r="C70" s="151">
        <v>9</v>
      </c>
      <c r="D70" s="151">
        <v>10</v>
      </c>
      <c r="E70" s="151">
        <v>11</v>
      </c>
      <c r="F70" s="151">
        <v>12</v>
      </c>
      <c r="G70" s="151">
        <v>13</v>
      </c>
      <c r="H70" s="151">
        <v>14</v>
      </c>
      <c r="I70" s="151">
        <v>15</v>
      </c>
      <c r="J70" s="151">
        <v>16</v>
      </c>
      <c r="K70" s="151">
        <v>17</v>
      </c>
      <c r="L70" s="151">
        <v>18</v>
      </c>
      <c r="M70" s="151">
        <v>19</v>
      </c>
      <c r="N70" s="151">
        <v>20</v>
      </c>
      <c r="O70" s="151">
        <v>21</v>
      </c>
      <c r="P70" s="151">
        <v>22</v>
      </c>
      <c r="Q70" s="151">
        <v>23</v>
      </c>
      <c r="R70" s="151">
        <v>24</v>
      </c>
      <c r="S70" s="151">
        <v>25</v>
      </c>
      <c r="T70" s="151">
        <v>26</v>
      </c>
      <c r="U70" s="151">
        <v>27</v>
      </c>
      <c r="V70" s="151">
        <v>28</v>
      </c>
      <c r="W70" s="151">
        <v>29</v>
      </c>
      <c r="X70" s="151">
        <v>30</v>
      </c>
      <c r="Y70" s="151">
        <v>31</v>
      </c>
      <c r="Z70" s="151">
        <v>32</v>
      </c>
      <c r="AA70" s="151">
        <v>33</v>
      </c>
      <c r="AB70" s="151">
        <v>34</v>
      </c>
      <c r="AC70" s="151">
        <v>35</v>
      </c>
      <c r="AD70" s="151">
        <v>36</v>
      </c>
      <c r="AE70" s="151">
        <v>37</v>
      </c>
      <c r="AF70" s="151">
        <v>38</v>
      </c>
      <c r="AG70" s="151">
        <v>39</v>
      </c>
    </row>
    <row r="71" customHeight="1" spans="1:33">
      <c r="A71" s="270"/>
      <c r="B71" s="276" t="s">
        <v>526</v>
      </c>
      <c r="C71" s="152">
        <v>-6</v>
      </c>
      <c r="D71" s="152">
        <v>-5</v>
      </c>
      <c r="E71" s="152">
        <v>-4</v>
      </c>
      <c r="F71" s="152">
        <v>-3</v>
      </c>
      <c r="G71" s="152">
        <v>-2</v>
      </c>
      <c r="H71" s="152">
        <v>-1</v>
      </c>
      <c r="I71" s="152">
        <v>0</v>
      </c>
      <c r="J71" s="152">
        <v>1</v>
      </c>
      <c r="K71" s="152">
        <v>2</v>
      </c>
      <c r="L71" s="152">
        <v>3</v>
      </c>
      <c r="M71" s="152">
        <v>4</v>
      </c>
      <c r="N71" s="152">
        <v>5</v>
      </c>
      <c r="O71" s="152">
        <v>6</v>
      </c>
      <c r="P71" s="152">
        <v>7</v>
      </c>
      <c r="Q71" s="152">
        <v>8</v>
      </c>
      <c r="R71" s="152">
        <v>9</v>
      </c>
      <c r="S71" s="152">
        <v>10</v>
      </c>
      <c r="T71" s="152">
        <v>11</v>
      </c>
      <c r="U71" s="152">
        <v>12</v>
      </c>
      <c r="V71" s="152">
        <v>13</v>
      </c>
      <c r="W71" s="152">
        <v>14</v>
      </c>
      <c r="X71" s="152">
        <v>15</v>
      </c>
      <c r="Y71" s="152">
        <v>16</v>
      </c>
      <c r="Z71" s="152">
        <v>17</v>
      </c>
      <c r="AA71" s="152">
        <v>18</v>
      </c>
      <c r="AB71" s="152">
        <v>19</v>
      </c>
      <c r="AC71" s="152">
        <v>20</v>
      </c>
      <c r="AD71" s="152">
        <v>21</v>
      </c>
      <c r="AE71" s="152">
        <v>22</v>
      </c>
      <c r="AF71" s="152">
        <v>23</v>
      </c>
      <c r="AG71" s="152">
        <v>24</v>
      </c>
    </row>
    <row r="72" customHeight="1" spans="1:33">
      <c r="A72" s="277" t="s">
        <v>527</v>
      </c>
      <c r="B72" s="278" t="s">
        <v>528</v>
      </c>
      <c r="C72" s="150">
        <v>1000</v>
      </c>
      <c r="D72" s="150">
        <v>1000</v>
      </c>
      <c r="E72" s="150">
        <v>1000</v>
      </c>
      <c r="F72" s="150">
        <v>1000</v>
      </c>
      <c r="G72" s="150">
        <v>1000</v>
      </c>
      <c r="H72" s="150">
        <v>1000</v>
      </c>
      <c r="I72" s="150">
        <v>1000</v>
      </c>
      <c r="J72" s="150">
        <v>1000</v>
      </c>
      <c r="K72" s="150">
        <v>1000</v>
      </c>
      <c r="L72" s="150">
        <v>1000</v>
      </c>
      <c r="M72" s="150">
        <v>1000</v>
      </c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</row>
    <row r="73" customHeight="1" spans="1:33">
      <c r="A73" s="279"/>
      <c r="B73" s="278" t="s">
        <v>529</v>
      </c>
      <c r="C73" s="150">
        <v>1000</v>
      </c>
      <c r="D73" s="150">
        <v>1000</v>
      </c>
      <c r="E73" s="150">
        <v>1000</v>
      </c>
      <c r="F73" s="150">
        <v>1000</v>
      </c>
      <c r="G73" s="150">
        <v>1000</v>
      </c>
      <c r="H73" s="150">
        <v>1000</v>
      </c>
      <c r="I73" s="150">
        <v>1000</v>
      </c>
      <c r="J73" s="150">
        <v>1000</v>
      </c>
      <c r="K73" s="150">
        <v>1000</v>
      </c>
      <c r="L73" s="150">
        <v>1000</v>
      </c>
      <c r="M73" s="150">
        <v>1000</v>
      </c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</row>
    <row r="74" customHeight="1" spans="1:33">
      <c r="A74" s="279"/>
      <c r="B74" s="278" t="s">
        <v>530</v>
      </c>
      <c r="C74" s="150">
        <v>1000</v>
      </c>
      <c r="D74" s="150">
        <v>1000</v>
      </c>
      <c r="E74" s="150">
        <v>1000</v>
      </c>
      <c r="F74" s="150">
        <v>1000</v>
      </c>
      <c r="G74" s="150">
        <v>1000</v>
      </c>
      <c r="H74" s="150">
        <v>1000</v>
      </c>
      <c r="I74" s="150">
        <v>1000</v>
      </c>
      <c r="J74" s="150">
        <v>1000</v>
      </c>
      <c r="K74" s="150">
        <v>1000</v>
      </c>
      <c r="L74" s="150">
        <v>1000</v>
      </c>
      <c r="M74" s="150">
        <v>1000</v>
      </c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</row>
    <row r="75" customHeight="1" spans="1:33">
      <c r="A75" s="279"/>
      <c r="B75" s="278" t="s">
        <v>531</v>
      </c>
      <c r="C75" s="150">
        <v>1000</v>
      </c>
      <c r="D75" s="150">
        <v>1000</v>
      </c>
      <c r="E75" s="150">
        <v>1000</v>
      </c>
      <c r="F75" s="150">
        <v>1000</v>
      </c>
      <c r="G75" s="150">
        <v>1000</v>
      </c>
      <c r="H75" s="150">
        <v>1000</v>
      </c>
      <c r="I75" s="150">
        <v>1000</v>
      </c>
      <c r="J75" s="150">
        <v>1000</v>
      </c>
      <c r="K75" s="150">
        <v>1000</v>
      </c>
      <c r="L75" s="150">
        <v>1000</v>
      </c>
      <c r="M75" s="150">
        <v>1000</v>
      </c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</row>
    <row r="76" customHeight="1" spans="1:33">
      <c r="A76" s="279"/>
      <c r="B76" s="278" t="s">
        <v>532</v>
      </c>
      <c r="C76" s="150">
        <v>1000</v>
      </c>
      <c r="D76" s="150">
        <v>1000</v>
      </c>
      <c r="E76" s="150">
        <v>1000</v>
      </c>
      <c r="F76" s="150">
        <v>1000</v>
      </c>
      <c r="G76" s="150">
        <v>1000</v>
      </c>
      <c r="H76" s="150">
        <v>1000</v>
      </c>
      <c r="I76" s="150">
        <v>1000</v>
      </c>
      <c r="J76" s="150">
        <v>1000</v>
      </c>
      <c r="K76" s="150">
        <v>1000</v>
      </c>
      <c r="L76" s="150">
        <v>1000</v>
      </c>
      <c r="M76" s="150">
        <v>1000</v>
      </c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</row>
    <row r="77" customHeight="1" spans="1:33">
      <c r="A77" s="280"/>
      <c r="B77" s="281" t="s">
        <v>533</v>
      </c>
      <c r="C77" s="150">
        <v>1000</v>
      </c>
      <c r="D77" s="150">
        <v>1000</v>
      </c>
      <c r="E77" s="150">
        <v>1000</v>
      </c>
      <c r="F77" s="150">
        <v>1000</v>
      </c>
      <c r="G77" s="150">
        <v>1000</v>
      </c>
      <c r="H77" s="150">
        <v>1000</v>
      </c>
      <c r="I77" s="150">
        <v>1000</v>
      </c>
      <c r="J77" s="150">
        <v>1000</v>
      </c>
      <c r="K77" s="150">
        <v>1000</v>
      </c>
      <c r="L77" s="150">
        <v>1000</v>
      </c>
      <c r="M77" s="150">
        <v>1000</v>
      </c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</row>
    <row r="78" customHeight="1" spans="1:33">
      <c r="A78" s="282"/>
      <c r="B78" s="278" t="s">
        <v>534</v>
      </c>
      <c r="C78" s="151">
        <f t="shared" ref="C78:AG78" si="36">C75+C76</f>
        <v>2000</v>
      </c>
      <c r="D78" s="151">
        <f t="shared" si="36"/>
        <v>2000</v>
      </c>
      <c r="E78" s="151">
        <f t="shared" si="36"/>
        <v>2000</v>
      </c>
      <c r="F78" s="151">
        <f t="shared" si="36"/>
        <v>2000</v>
      </c>
      <c r="G78" s="151">
        <f t="shared" si="36"/>
        <v>2000</v>
      </c>
      <c r="H78" s="151">
        <f t="shared" si="36"/>
        <v>2000</v>
      </c>
      <c r="I78" s="151">
        <f t="shared" si="36"/>
        <v>2000</v>
      </c>
      <c r="J78" s="151">
        <f t="shared" si="36"/>
        <v>2000</v>
      </c>
      <c r="K78" s="151">
        <f t="shared" si="36"/>
        <v>2000</v>
      </c>
      <c r="L78" s="151">
        <f t="shared" si="36"/>
        <v>2000</v>
      </c>
      <c r="M78" s="151">
        <f t="shared" si="36"/>
        <v>2000</v>
      </c>
      <c r="N78" s="151">
        <f t="shared" si="36"/>
        <v>0</v>
      </c>
      <c r="O78" s="151">
        <f t="shared" si="36"/>
        <v>0</v>
      </c>
      <c r="P78" s="151">
        <f t="shared" si="36"/>
        <v>0</v>
      </c>
      <c r="Q78" s="151">
        <f t="shared" si="36"/>
        <v>0</v>
      </c>
      <c r="R78" s="151">
        <f t="shared" si="36"/>
        <v>0</v>
      </c>
      <c r="S78" s="151">
        <f t="shared" si="36"/>
        <v>0</v>
      </c>
      <c r="T78" s="151">
        <f t="shared" si="36"/>
        <v>0</v>
      </c>
      <c r="U78" s="151">
        <f t="shared" si="36"/>
        <v>0</v>
      </c>
      <c r="V78" s="151">
        <f t="shared" si="36"/>
        <v>0</v>
      </c>
      <c r="W78" s="151">
        <f t="shared" si="36"/>
        <v>0</v>
      </c>
      <c r="X78" s="151">
        <f t="shared" si="36"/>
        <v>0</v>
      </c>
      <c r="Y78" s="151">
        <f t="shared" si="36"/>
        <v>0</v>
      </c>
      <c r="Z78" s="151">
        <f t="shared" si="36"/>
        <v>0</v>
      </c>
      <c r="AA78" s="151">
        <f t="shared" si="36"/>
        <v>0</v>
      </c>
      <c r="AB78" s="151">
        <f t="shared" si="36"/>
        <v>0</v>
      </c>
      <c r="AC78" s="151">
        <f t="shared" si="36"/>
        <v>0</v>
      </c>
      <c r="AD78" s="151">
        <f t="shared" si="36"/>
        <v>0</v>
      </c>
      <c r="AE78" s="151">
        <f t="shared" si="36"/>
        <v>0</v>
      </c>
      <c r="AF78" s="151">
        <f t="shared" si="36"/>
        <v>0</v>
      </c>
      <c r="AG78" s="151">
        <f t="shared" si="36"/>
        <v>0</v>
      </c>
    </row>
    <row r="79" customHeight="1" spans="1:33">
      <c r="A79" s="153" t="s">
        <v>548</v>
      </c>
      <c r="B79" s="283" t="s">
        <v>536</v>
      </c>
      <c r="C79" s="153">
        <f t="shared" ref="C79:AG79" si="37">C69/C63</f>
        <v>0.0394337714863498</v>
      </c>
      <c r="D79" s="153">
        <f t="shared" si="37"/>
        <v>0.0404040404040404</v>
      </c>
      <c r="E79" s="153">
        <f t="shared" si="37"/>
        <v>0.041372351160444</v>
      </c>
      <c r="F79" s="153">
        <f t="shared" si="37"/>
        <v>0.0423387096774194</v>
      </c>
      <c r="G79" s="153">
        <f t="shared" si="37"/>
        <v>0.0433031218529708</v>
      </c>
      <c r="H79" s="153">
        <f t="shared" si="37"/>
        <v>0.0442655935613682</v>
      </c>
      <c r="I79" s="153">
        <f t="shared" si="37"/>
        <v>0.0452261306532663</v>
      </c>
      <c r="J79" s="153">
        <f t="shared" si="37"/>
        <v>0.0461847389558233</v>
      </c>
      <c r="K79" s="153">
        <f t="shared" si="37"/>
        <v>0.0471414242728185</v>
      </c>
      <c r="L79" s="153">
        <f t="shared" si="37"/>
        <v>0.0480961923847695</v>
      </c>
      <c r="M79" s="153">
        <f t="shared" si="37"/>
        <v>0.049049049049049</v>
      </c>
      <c r="N79" s="153">
        <f t="shared" si="37"/>
        <v>0.05</v>
      </c>
      <c r="O79" s="153">
        <f t="shared" si="37"/>
        <v>0.050949050949051</v>
      </c>
      <c r="P79" s="153">
        <f t="shared" si="37"/>
        <v>0.0518962075848303</v>
      </c>
      <c r="Q79" s="153">
        <f t="shared" si="37"/>
        <v>0.0528414755732802</v>
      </c>
      <c r="R79" s="153">
        <f t="shared" si="37"/>
        <v>0.0537848605577689</v>
      </c>
      <c r="S79" s="153">
        <f t="shared" si="37"/>
        <v>0.054726368159204</v>
      </c>
      <c r="T79" s="153">
        <f t="shared" si="37"/>
        <v>0.0556660039761431</v>
      </c>
      <c r="U79" s="153">
        <f t="shared" si="37"/>
        <v>0.0566037735849057</v>
      </c>
      <c r="V79" s="153">
        <f t="shared" si="37"/>
        <v>0.0575396825396825</v>
      </c>
      <c r="W79" s="153">
        <f t="shared" si="37"/>
        <v>0.0584737363726462</v>
      </c>
      <c r="X79" s="153">
        <f t="shared" si="37"/>
        <v>0.0594059405940594</v>
      </c>
      <c r="Y79" s="153">
        <f t="shared" si="37"/>
        <v>0.0603363006923838</v>
      </c>
      <c r="Z79" s="153">
        <f t="shared" si="37"/>
        <v>0.0612648221343874</v>
      </c>
      <c r="AA79" s="153">
        <f t="shared" si="37"/>
        <v>0.0621915103652517</v>
      </c>
      <c r="AB79" s="153">
        <f t="shared" si="37"/>
        <v>0.0631163708086785</v>
      </c>
      <c r="AC79" s="153">
        <f t="shared" si="37"/>
        <v>0.0640394088669951</v>
      </c>
      <c r="AD79" s="153">
        <f t="shared" si="37"/>
        <v>0.0649606299212598</v>
      </c>
      <c r="AE79" s="153">
        <f t="shared" si="37"/>
        <v>0.0658800393313668</v>
      </c>
      <c r="AF79" s="153">
        <f t="shared" si="37"/>
        <v>0.0667976424361493</v>
      </c>
      <c r="AG79" s="153">
        <f t="shared" si="37"/>
        <v>0.0677134445534838</v>
      </c>
    </row>
    <row r="80" customHeight="1" spans="1:33">
      <c r="A80" s="153"/>
      <c r="B80" s="284" t="s">
        <v>537</v>
      </c>
      <c r="C80" s="153">
        <f t="shared" ref="C80:AG80" si="38">C69/C68</f>
        <v>0.438202247191011</v>
      </c>
      <c r="D80" s="153">
        <f t="shared" si="38"/>
        <v>0.444444444444444</v>
      </c>
      <c r="E80" s="153">
        <f t="shared" si="38"/>
        <v>0.450549450549451</v>
      </c>
      <c r="F80" s="153">
        <f t="shared" si="38"/>
        <v>0.456521739130435</v>
      </c>
      <c r="G80" s="153">
        <f t="shared" si="38"/>
        <v>0.462365591397849</v>
      </c>
      <c r="H80" s="153">
        <f t="shared" si="38"/>
        <v>0.468085106382979</v>
      </c>
      <c r="I80" s="153">
        <f t="shared" si="38"/>
        <v>0.473684210526316</v>
      </c>
      <c r="J80" s="153">
        <f t="shared" si="38"/>
        <v>0.479166666666667</v>
      </c>
      <c r="K80" s="153">
        <f t="shared" si="38"/>
        <v>0.484536082474227</v>
      </c>
      <c r="L80" s="153">
        <f t="shared" si="38"/>
        <v>0.489795918367347</v>
      </c>
      <c r="M80" s="153">
        <f t="shared" si="38"/>
        <v>0.494949494949495</v>
      </c>
      <c r="N80" s="153">
        <f t="shared" si="38"/>
        <v>0.5</v>
      </c>
      <c r="O80" s="153">
        <f t="shared" si="38"/>
        <v>0.504950495049505</v>
      </c>
      <c r="P80" s="153">
        <f t="shared" si="38"/>
        <v>0.509803921568627</v>
      </c>
      <c r="Q80" s="153">
        <f t="shared" si="38"/>
        <v>0.514563106796116</v>
      </c>
      <c r="R80" s="153">
        <f t="shared" si="38"/>
        <v>0.519230769230769</v>
      </c>
      <c r="S80" s="153">
        <f t="shared" si="38"/>
        <v>0.523809523809524</v>
      </c>
      <c r="T80" s="153">
        <f t="shared" si="38"/>
        <v>0.528301886792453</v>
      </c>
      <c r="U80" s="153">
        <f t="shared" si="38"/>
        <v>0.532710280373832</v>
      </c>
      <c r="V80" s="153">
        <f t="shared" si="38"/>
        <v>0.537037037037037</v>
      </c>
      <c r="W80" s="153">
        <f t="shared" si="38"/>
        <v>0.541284403669725</v>
      </c>
      <c r="X80" s="153">
        <f t="shared" si="38"/>
        <v>0.545454545454545</v>
      </c>
      <c r="Y80" s="153">
        <f t="shared" si="38"/>
        <v>0.54954954954955</v>
      </c>
      <c r="Z80" s="153">
        <f t="shared" si="38"/>
        <v>0.553571428571429</v>
      </c>
      <c r="AA80" s="153">
        <f t="shared" si="38"/>
        <v>0.557522123893805</v>
      </c>
      <c r="AB80" s="153">
        <f t="shared" si="38"/>
        <v>0.56140350877193</v>
      </c>
      <c r="AC80" s="153">
        <f t="shared" si="38"/>
        <v>0.565217391304348</v>
      </c>
      <c r="AD80" s="153">
        <f t="shared" si="38"/>
        <v>0.568965517241379</v>
      </c>
      <c r="AE80" s="153">
        <f t="shared" si="38"/>
        <v>0.572649572649573</v>
      </c>
      <c r="AF80" s="153">
        <f t="shared" si="38"/>
        <v>0.576271186440678</v>
      </c>
      <c r="AG80" s="153">
        <f t="shared" si="38"/>
        <v>0.579831932773109</v>
      </c>
    </row>
    <row r="81" customHeight="1" spans="1:33">
      <c r="A81" s="152"/>
      <c r="B81" s="285" t="s">
        <v>538</v>
      </c>
      <c r="C81" s="152">
        <f t="shared" ref="C81:AG81" si="39">C71/C69</f>
        <v>-0.153846153846154</v>
      </c>
      <c r="D81" s="152">
        <f t="shared" si="39"/>
        <v>-0.125</v>
      </c>
      <c r="E81" s="152">
        <f t="shared" si="39"/>
        <v>-0.0975609756097561</v>
      </c>
      <c r="F81" s="152">
        <f t="shared" si="39"/>
        <v>-0.0714285714285714</v>
      </c>
      <c r="G81" s="152">
        <f t="shared" si="39"/>
        <v>-0.0465116279069767</v>
      </c>
      <c r="H81" s="152">
        <f t="shared" si="39"/>
        <v>-0.0227272727272727</v>
      </c>
      <c r="I81" s="152">
        <f t="shared" si="39"/>
        <v>0</v>
      </c>
      <c r="J81" s="152">
        <f t="shared" si="39"/>
        <v>0.0217391304347826</v>
      </c>
      <c r="K81" s="152">
        <f t="shared" si="39"/>
        <v>0.0425531914893617</v>
      </c>
      <c r="L81" s="152">
        <f t="shared" si="39"/>
        <v>0.0625</v>
      </c>
      <c r="M81" s="152">
        <f t="shared" si="39"/>
        <v>0.0816326530612245</v>
      </c>
      <c r="N81" s="152">
        <f t="shared" si="39"/>
        <v>0.1</v>
      </c>
      <c r="O81" s="152">
        <f t="shared" si="39"/>
        <v>0.117647058823529</v>
      </c>
      <c r="P81" s="152">
        <f t="shared" si="39"/>
        <v>0.134615384615385</v>
      </c>
      <c r="Q81" s="152">
        <f t="shared" si="39"/>
        <v>0.150943396226415</v>
      </c>
      <c r="R81" s="152">
        <f t="shared" si="39"/>
        <v>0.166666666666667</v>
      </c>
      <c r="S81" s="152">
        <f t="shared" si="39"/>
        <v>0.181818181818182</v>
      </c>
      <c r="T81" s="152">
        <f t="shared" si="39"/>
        <v>0.196428571428571</v>
      </c>
      <c r="U81" s="152">
        <f t="shared" si="39"/>
        <v>0.210526315789474</v>
      </c>
      <c r="V81" s="152">
        <f t="shared" si="39"/>
        <v>0.224137931034483</v>
      </c>
      <c r="W81" s="152">
        <f t="shared" si="39"/>
        <v>0.23728813559322</v>
      </c>
      <c r="X81" s="152">
        <f t="shared" si="39"/>
        <v>0.25</v>
      </c>
      <c r="Y81" s="152">
        <f t="shared" si="39"/>
        <v>0.262295081967213</v>
      </c>
      <c r="Z81" s="152">
        <f t="shared" si="39"/>
        <v>0.274193548387097</v>
      </c>
      <c r="AA81" s="152">
        <f t="shared" si="39"/>
        <v>0.285714285714286</v>
      </c>
      <c r="AB81" s="152">
        <f t="shared" si="39"/>
        <v>0.296875</v>
      </c>
      <c r="AC81" s="152">
        <f t="shared" si="39"/>
        <v>0.307692307692308</v>
      </c>
      <c r="AD81" s="152">
        <f t="shared" si="39"/>
        <v>0.318181818181818</v>
      </c>
      <c r="AE81" s="152">
        <f t="shared" si="39"/>
        <v>0.328358208955224</v>
      </c>
      <c r="AF81" s="152">
        <f t="shared" si="39"/>
        <v>0.338235294117647</v>
      </c>
      <c r="AG81" s="152">
        <f t="shared" si="39"/>
        <v>0.347826086956522</v>
      </c>
    </row>
    <row r="82" customHeight="1" spans="1:33">
      <c r="A82" s="153"/>
      <c r="B82" s="283" t="s">
        <v>539</v>
      </c>
      <c r="C82" s="153">
        <f t="shared" ref="C82:AG82" si="40">C70/C69</f>
        <v>0.230769230769231</v>
      </c>
      <c r="D82" s="153">
        <f t="shared" si="40"/>
        <v>0.25</v>
      </c>
      <c r="E82" s="153">
        <f t="shared" si="40"/>
        <v>0.268292682926829</v>
      </c>
      <c r="F82" s="153">
        <f t="shared" si="40"/>
        <v>0.285714285714286</v>
      </c>
      <c r="G82" s="153">
        <f t="shared" si="40"/>
        <v>0.302325581395349</v>
      </c>
      <c r="H82" s="153">
        <f t="shared" si="40"/>
        <v>0.318181818181818</v>
      </c>
      <c r="I82" s="153">
        <f t="shared" si="40"/>
        <v>0.333333333333333</v>
      </c>
      <c r="J82" s="153">
        <f t="shared" si="40"/>
        <v>0.347826086956522</v>
      </c>
      <c r="K82" s="153">
        <f t="shared" si="40"/>
        <v>0.361702127659574</v>
      </c>
      <c r="L82" s="153">
        <f t="shared" si="40"/>
        <v>0.375</v>
      </c>
      <c r="M82" s="153">
        <f t="shared" si="40"/>
        <v>0.387755102040816</v>
      </c>
      <c r="N82" s="153">
        <f t="shared" si="40"/>
        <v>0.4</v>
      </c>
      <c r="O82" s="153">
        <f t="shared" si="40"/>
        <v>0.411764705882353</v>
      </c>
      <c r="P82" s="153">
        <f t="shared" si="40"/>
        <v>0.423076923076923</v>
      </c>
      <c r="Q82" s="153">
        <f t="shared" si="40"/>
        <v>0.433962264150943</v>
      </c>
      <c r="R82" s="153">
        <f t="shared" si="40"/>
        <v>0.444444444444444</v>
      </c>
      <c r="S82" s="153">
        <f t="shared" si="40"/>
        <v>0.454545454545455</v>
      </c>
      <c r="T82" s="153">
        <f t="shared" si="40"/>
        <v>0.464285714285714</v>
      </c>
      <c r="U82" s="153">
        <f t="shared" si="40"/>
        <v>0.473684210526316</v>
      </c>
      <c r="V82" s="153">
        <f t="shared" si="40"/>
        <v>0.482758620689655</v>
      </c>
      <c r="W82" s="153">
        <f t="shared" si="40"/>
        <v>0.491525423728814</v>
      </c>
      <c r="X82" s="153">
        <f t="shared" si="40"/>
        <v>0.5</v>
      </c>
      <c r="Y82" s="153">
        <f t="shared" si="40"/>
        <v>0.508196721311475</v>
      </c>
      <c r="Z82" s="153">
        <f t="shared" si="40"/>
        <v>0.516129032258065</v>
      </c>
      <c r="AA82" s="153">
        <f t="shared" si="40"/>
        <v>0.523809523809524</v>
      </c>
      <c r="AB82" s="153">
        <f t="shared" si="40"/>
        <v>0.53125</v>
      </c>
      <c r="AC82" s="153">
        <f t="shared" si="40"/>
        <v>0.538461538461538</v>
      </c>
      <c r="AD82" s="153">
        <f t="shared" si="40"/>
        <v>0.545454545454545</v>
      </c>
      <c r="AE82" s="153">
        <f t="shared" si="40"/>
        <v>0.552238805970149</v>
      </c>
      <c r="AF82" s="153">
        <f t="shared" si="40"/>
        <v>0.558823529411765</v>
      </c>
      <c r="AG82" s="153">
        <f t="shared" si="40"/>
        <v>0.565217391304348</v>
      </c>
    </row>
    <row r="83" customHeight="1" spans="1:33">
      <c r="A83" s="153"/>
      <c r="B83" s="283" t="s">
        <v>540</v>
      </c>
      <c r="C83" s="153">
        <f t="shared" ref="C83:AG83" si="41">C64/C63</f>
        <v>0.089989888776542</v>
      </c>
      <c r="D83" s="153">
        <f t="shared" si="41"/>
        <v>0.0909090909090909</v>
      </c>
      <c r="E83" s="153">
        <f t="shared" si="41"/>
        <v>0.0918264379414733</v>
      </c>
      <c r="F83" s="153">
        <f t="shared" si="41"/>
        <v>0.092741935483871</v>
      </c>
      <c r="G83" s="153">
        <f t="shared" si="41"/>
        <v>0.0936555891238671</v>
      </c>
      <c r="H83" s="153">
        <f t="shared" si="41"/>
        <v>0.0945674044265594</v>
      </c>
      <c r="I83" s="153">
        <f t="shared" si="41"/>
        <v>0.0954773869346734</v>
      </c>
      <c r="J83" s="153">
        <f t="shared" si="41"/>
        <v>0.0963855421686747</v>
      </c>
      <c r="K83" s="153">
        <f t="shared" si="41"/>
        <v>0.0972918756268806</v>
      </c>
      <c r="L83" s="153">
        <f t="shared" si="41"/>
        <v>0.0981963927855711</v>
      </c>
      <c r="M83" s="153">
        <f t="shared" si="41"/>
        <v>0.0990990990990991</v>
      </c>
      <c r="N83" s="153">
        <f t="shared" si="41"/>
        <v>0.1</v>
      </c>
      <c r="O83" s="153">
        <f t="shared" si="41"/>
        <v>0.100899100899101</v>
      </c>
      <c r="P83" s="153">
        <f t="shared" si="41"/>
        <v>0.101796407185629</v>
      </c>
      <c r="Q83" s="153">
        <f t="shared" si="41"/>
        <v>0.102691924227318</v>
      </c>
      <c r="R83" s="153">
        <f t="shared" si="41"/>
        <v>0.103585657370518</v>
      </c>
      <c r="S83" s="153">
        <f t="shared" si="41"/>
        <v>0.104477611940299</v>
      </c>
      <c r="T83" s="153">
        <f t="shared" si="41"/>
        <v>0.105367793240557</v>
      </c>
      <c r="U83" s="153">
        <f t="shared" si="41"/>
        <v>0.106256206554121</v>
      </c>
      <c r="V83" s="153">
        <f t="shared" si="41"/>
        <v>0.107142857142857</v>
      </c>
      <c r="W83" s="153">
        <f t="shared" si="41"/>
        <v>0.10802775024777</v>
      </c>
      <c r="X83" s="153">
        <f t="shared" si="41"/>
        <v>0.108910891089109</v>
      </c>
      <c r="Y83" s="153">
        <f t="shared" si="41"/>
        <v>0.109792284866469</v>
      </c>
      <c r="Z83" s="153">
        <f t="shared" si="41"/>
        <v>0.110671936758893</v>
      </c>
      <c r="AA83" s="153">
        <f t="shared" si="41"/>
        <v>0.111549851924975</v>
      </c>
      <c r="AB83" s="153">
        <f t="shared" si="41"/>
        <v>0.112426035502959</v>
      </c>
      <c r="AC83" s="153">
        <f t="shared" si="41"/>
        <v>0.113300492610837</v>
      </c>
      <c r="AD83" s="153">
        <f t="shared" si="41"/>
        <v>0.114173228346457</v>
      </c>
      <c r="AE83" s="153">
        <f t="shared" si="41"/>
        <v>0.115044247787611</v>
      </c>
      <c r="AF83" s="153">
        <f t="shared" si="41"/>
        <v>0.115913555992141</v>
      </c>
      <c r="AG83" s="153">
        <f t="shared" si="41"/>
        <v>0.116781157998037</v>
      </c>
    </row>
    <row r="84" customHeight="1" spans="1:33">
      <c r="A84" s="152"/>
      <c r="B84" s="286" t="s">
        <v>103</v>
      </c>
      <c r="C84" s="152">
        <f t="shared" ref="C84:AG84" si="42">C65/C64</f>
        <v>1</v>
      </c>
      <c r="D84" s="152">
        <f t="shared" si="42"/>
        <v>1</v>
      </c>
      <c r="E84" s="152">
        <f t="shared" si="42"/>
        <v>1</v>
      </c>
      <c r="F84" s="152">
        <f t="shared" si="42"/>
        <v>1</v>
      </c>
      <c r="G84" s="152">
        <f t="shared" si="42"/>
        <v>1</v>
      </c>
      <c r="H84" s="152">
        <f t="shared" si="42"/>
        <v>1</v>
      </c>
      <c r="I84" s="152">
        <f t="shared" si="42"/>
        <v>1</v>
      </c>
      <c r="J84" s="152">
        <f t="shared" si="42"/>
        <v>1</v>
      </c>
      <c r="K84" s="152">
        <f t="shared" si="42"/>
        <v>1</v>
      </c>
      <c r="L84" s="152">
        <f t="shared" si="42"/>
        <v>1</v>
      </c>
      <c r="M84" s="152">
        <f t="shared" si="42"/>
        <v>1</v>
      </c>
      <c r="N84" s="152">
        <f t="shared" si="42"/>
        <v>1</v>
      </c>
      <c r="O84" s="152">
        <f t="shared" si="42"/>
        <v>1</v>
      </c>
      <c r="P84" s="152">
        <f t="shared" si="42"/>
        <v>1</v>
      </c>
      <c r="Q84" s="152">
        <f t="shared" si="42"/>
        <v>1</v>
      </c>
      <c r="R84" s="152">
        <f t="shared" si="42"/>
        <v>1</v>
      </c>
      <c r="S84" s="152">
        <f t="shared" si="42"/>
        <v>1</v>
      </c>
      <c r="T84" s="152">
        <f t="shared" si="42"/>
        <v>1</v>
      </c>
      <c r="U84" s="152">
        <f t="shared" si="42"/>
        <v>1</v>
      </c>
      <c r="V84" s="152">
        <f t="shared" si="42"/>
        <v>1</v>
      </c>
      <c r="W84" s="152">
        <f t="shared" si="42"/>
        <v>1</v>
      </c>
      <c r="X84" s="152">
        <f t="shared" si="42"/>
        <v>1</v>
      </c>
      <c r="Y84" s="152">
        <f t="shared" si="42"/>
        <v>1</v>
      </c>
      <c r="Z84" s="152">
        <f t="shared" si="42"/>
        <v>1</v>
      </c>
      <c r="AA84" s="152">
        <f t="shared" si="42"/>
        <v>1</v>
      </c>
      <c r="AB84" s="152">
        <f t="shared" si="42"/>
        <v>1</v>
      </c>
      <c r="AC84" s="152">
        <f t="shared" si="42"/>
        <v>1</v>
      </c>
      <c r="AD84" s="152">
        <f t="shared" si="42"/>
        <v>1</v>
      </c>
      <c r="AE84" s="152">
        <f t="shared" si="42"/>
        <v>1</v>
      </c>
      <c r="AF84" s="152">
        <f t="shared" si="42"/>
        <v>1</v>
      </c>
      <c r="AG84" s="152">
        <f t="shared" si="42"/>
        <v>1</v>
      </c>
    </row>
    <row r="85" customHeight="1" spans="1:33">
      <c r="A85" s="145"/>
      <c r="B85" s="287" t="s">
        <v>541</v>
      </c>
      <c r="C85" s="145">
        <f t="shared" ref="C85:AG85" si="43">C64-C67</f>
        <v>89</v>
      </c>
      <c r="D85" s="145">
        <f t="shared" si="43"/>
        <v>89</v>
      </c>
      <c r="E85" s="145">
        <f t="shared" si="43"/>
        <v>89</v>
      </c>
      <c r="F85" s="145">
        <f t="shared" si="43"/>
        <v>89</v>
      </c>
      <c r="G85" s="145">
        <f t="shared" si="43"/>
        <v>89</v>
      </c>
      <c r="H85" s="145">
        <f t="shared" si="43"/>
        <v>89</v>
      </c>
      <c r="I85" s="145">
        <f t="shared" si="43"/>
        <v>89</v>
      </c>
      <c r="J85" s="145">
        <f t="shared" si="43"/>
        <v>89</v>
      </c>
      <c r="K85" s="145">
        <f t="shared" si="43"/>
        <v>89</v>
      </c>
      <c r="L85" s="145">
        <f t="shared" si="43"/>
        <v>89</v>
      </c>
      <c r="M85" s="145">
        <f t="shared" si="43"/>
        <v>89</v>
      </c>
      <c r="N85" s="145">
        <f t="shared" si="43"/>
        <v>89</v>
      </c>
      <c r="O85" s="145">
        <f t="shared" si="43"/>
        <v>89</v>
      </c>
      <c r="P85" s="145">
        <f t="shared" si="43"/>
        <v>89</v>
      </c>
      <c r="Q85" s="145">
        <f t="shared" si="43"/>
        <v>89</v>
      </c>
      <c r="R85" s="145">
        <f t="shared" si="43"/>
        <v>89</v>
      </c>
      <c r="S85" s="145">
        <f t="shared" si="43"/>
        <v>89</v>
      </c>
      <c r="T85" s="145">
        <f t="shared" si="43"/>
        <v>89</v>
      </c>
      <c r="U85" s="145">
        <f t="shared" si="43"/>
        <v>89</v>
      </c>
      <c r="V85" s="145">
        <f t="shared" si="43"/>
        <v>89</v>
      </c>
      <c r="W85" s="145">
        <f t="shared" si="43"/>
        <v>89</v>
      </c>
      <c r="X85" s="145">
        <f t="shared" si="43"/>
        <v>89</v>
      </c>
      <c r="Y85" s="145">
        <f t="shared" si="43"/>
        <v>89</v>
      </c>
      <c r="Z85" s="145">
        <f t="shared" si="43"/>
        <v>89</v>
      </c>
      <c r="AA85" s="145">
        <f t="shared" si="43"/>
        <v>89</v>
      </c>
      <c r="AB85" s="145">
        <f t="shared" si="43"/>
        <v>89</v>
      </c>
      <c r="AC85" s="145">
        <f t="shared" si="43"/>
        <v>89</v>
      </c>
      <c r="AD85" s="145">
        <f t="shared" si="43"/>
        <v>89</v>
      </c>
      <c r="AE85" s="145">
        <f t="shared" si="43"/>
        <v>89</v>
      </c>
      <c r="AF85" s="145">
        <f t="shared" si="43"/>
        <v>89</v>
      </c>
      <c r="AG85" s="145">
        <f t="shared" si="43"/>
        <v>89</v>
      </c>
    </row>
    <row r="86" customHeight="1" spans="1:33">
      <c r="A86" s="152"/>
      <c r="B86" s="286" t="s">
        <v>542</v>
      </c>
      <c r="C86" s="152">
        <f t="shared" ref="C86:AG86" si="44">C65-C84*C67</f>
        <v>89</v>
      </c>
      <c r="D86" s="152">
        <f t="shared" si="44"/>
        <v>89</v>
      </c>
      <c r="E86" s="152">
        <f t="shared" si="44"/>
        <v>89</v>
      </c>
      <c r="F86" s="152">
        <f t="shared" si="44"/>
        <v>89</v>
      </c>
      <c r="G86" s="152">
        <f t="shared" si="44"/>
        <v>89</v>
      </c>
      <c r="H86" s="152">
        <f t="shared" si="44"/>
        <v>89</v>
      </c>
      <c r="I86" s="152">
        <f t="shared" si="44"/>
        <v>89</v>
      </c>
      <c r="J86" s="152">
        <f t="shared" si="44"/>
        <v>89</v>
      </c>
      <c r="K86" s="152">
        <f t="shared" si="44"/>
        <v>89</v>
      </c>
      <c r="L86" s="152">
        <f t="shared" si="44"/>
        <v>89</v>
      </c>
      <c r="M86" s="152">
        <f t="shared" si="44"/>
        <v>89</v>
      </c>
      <c r="N86" s="152">
        <f t="shared" si="44"/>
        <v>89</v>
      </c>
      <c r="O86" s="152">
        <f t="shared" si="44"/>
        <v>89</v>
      </c>
      <c r="P86" s="152">
        <f t="shared" si="44"/>
        <v>89</v>
      </c>
      <c r="Q86" s="152">
        <f t="shared" si="44"/>
        <v>89</v>
      </c>
      <c r="R86" s="152">
        <f t="shared" si="44"/>
        <v>89</v>
      </c>
      <c r="S86" s="152">
        <f t="shared" si="44"/>
        <v>89</v>
      </c>
      <c r="T86" s="152">
        <f t="shared" si="44"/>
        <v>89</v>
      </c>
      <c r="U86" s="152">
        <f t="shared" si="44"/>
        <v>89</v>
      </c>
      <c r="V86" s="152">
        <f t="shared" si="44"/>
        <v>89</v>
      </c>
      <c r="W86" s="152">
        <f t="shared" si="44"/>
        <v>89</v>
      </c>
      <c r="X86" s="152">
        <f t="shared" si="44"/>
        <v>89</v>
      </c>
      <c r="Y86" s="152">
        <f t="shared" si="44"/>
        <v>89</v>
      </c>
      <c r="Z86" s="152">
        <f t="shared" si="44"/>
        <v>89</v>
      </c>
      <c r="AA86" s="152">
        <f t="shared" si="44"/>
        <v>89</v>
      </c>
      <c r="AB86" s="152">
        <f t="shared" si="44"/>
        <v>89</v>
      </c>
      <c r="AC86" s="152">
        <f t="shared" si="44"/>
        <v>89</v>
      </c>
      <c r="AD86" s="152">
        <f t="shared" si="44"/>
        <v>89</v>
      </c>
      <c r="AE86" s="152">
        <f t="shared" si="44"/>
        <v>89</v>
      </c>
      <c r="AF86" s="152">
        <f t="shared" si="44"/>
        <v>89</v>
      </c>
      <c r="AG86" s="152">
        <f t="shared" si="44"/>
        <v>89</v>
      </c>
    </row>
    <row r="87" customHeight="1" spans="1:33">
      <c r="A87" s="288"/>
      <c r="B87" s="289" t="s">
        <v>543</v>
      </c>
      <c r="C87" s="288">
        <f t="shared" ref="C87:AG87" si="45">C66+C71</f>
        <v>-7</v>
      </c>
      <c r="D87" s="288">
        <f t="shared" si="45"/>
        <v>-5</v>
      </c>
      <c r="E87" s="288">
        <f t="shared" si="45"/>
        <v>-3</v>
      </c>
      <c r="F87" s="288">
        <f t="shared" si="45"/>
        <v>-1</v>
      </c>
      <c r="G87" s="288">
        <f t="shared" si="45"/>
        <v>1</v>
      </c>
      <c r="H87" s="288">
        <f t="shared" si="45"/>
        <v>3</v>
      </c>
      <c r="I87" s="288">
        <f t="shared" si="45"/>
        <v>5</v>
      </c>
      <c r="J87" s="288">
        <f t="shared" si="45"/>
        <v>7</v>
      </c>
      <c r="K87" s="288">
        <f t="shared" si="45"/>
        <v>9</v>
      </c>
      <c r="L87" s="288">
        <f t="shared" si="45"/>
        <v>11</v>
      </c>
      <c r="M87" s="288">
        <f t="shared" si="45"/>
        <v>13</v>
      </c>
      <c r="N87" s="288">
        <f t="shared" si="45"/>
        <v>15</v>
      </c>
      <c r="O87" s="288">
        <f t="shared" si="45"/>
        <v>17</v>
      </c>
      <c r="P87" s="288">
        <f t="shared" si="45"/>
        <v>19</v>
      </c>
      <c r="Q87" s="288">
        <f t="shared" si="45"/>
        <v>21</v>
      </c>
      <c r="R87" s="288">
        <f t="shared" si="45"/>
        <v>23</v>
      </c>
      <c r="S87" s="288">
        <f t="shared" si="45"/>
        <v>25</v>
      </c>
      <c r="T87" s="288">
        <f t="shared" si="45"/>
        <v>27</v>
      </c>
      <c r="U87" s="288">
        <f t="shared" si="45"/>
        <v>29</v>
      </c>
      <c r="V87" s="288">
        <f t="shared" si="45"/>
        <v>31</v>
      </c>
      <c r="W87" s="288">
        <f t="shared" si="45"/>
        <v>33</v>
      </c>
      <c r="X87" s="288">
        <f t="shared" si="45"/>
        <v>35</v>
      </c>
      <c r="Y87" s="288">
        <f t="shared" si="45"/>
        <v>37</v>
      </c>
      <c r="Z87" s="288">
        <f t="shared" si="45"/>
        <v>39</v>
      </c>
      <c r="AA87" s="288">
        <f t="shared" si="45"/>
        <v>41</v>
      </c>
      <c r="AB87" s="288">
        <f t="shared" si="45"/>
        <v>43</v>
      </c>
      <c r="AC87" s="288">
        <f t="shared" si="45"/>
        <v>45</v>
      </c>
      <c r="AD87" s="288">
        <f t="shared" si="45"/>
        <v>47</v>
      </c>
      <c r="AE87" s="288">
        <f t="shared" si="45"/>
        <v>49</v>
      </c>
      <c r="AF87" s="288">
        <f t="shared" si="45"/>
        <v>51</v>
      </c>
      <c r="AG87" s="288">
        <f t="shared" si="45"/>
        <v>53</v>
      </c>
    </row>
    <row r="88" customHeight="1" spans="1:33">
      <c r="A88" s="153"/>
      <c r="B88" s="283" t="s">
        <v>544</v>
      </c>
      <c r="C88" s="153">
        <f t="shared" ref="C88:AG88" si="46">C87/C86</f>
        <v>-0.0786516853932584</v>
      </c>
      <c r="D88" s="153">
        <f t="shared" si="46"/>
        <v>-0.0561797752808989</v>
      </c>
      <c r="E88" s="153">
        <f t="shared" si="46"/>
        <v>-0.0337078651685393</v>
      </c>
      <c r="F88" s="153">
        <f t="shared" si="46"/>
        <v>-0.0112359550561798</v>
      </c>
      <c r="G88" s="153">
        <f t="shared" si="46"/>
        <v>0.0112359550561798</v>
      </c>
      <c r="H88" s="153">
        <f t="shared" si="46"/>
        <v>0.0337078651685393</v>
      </c>
      <c r="I88" s="153">
        <f t="shared" si="46"/>
        <v>0.0561797752808989</v>
      </c>
      <c r="J88" s="153">
        <f t="shared" si="46"/>
        <v>0.0786516853932584</v>
      </c>
      <c r="K88" s="153">
        <f t="shared" si="46"/>
        <v>0.101123595505618</v>
      </c>
      <c r="L88" s="153">
        <f t="shared" si="46"/>
        <v>0.123595505617978</v>
      </c>
      <c r="M88" s="153">
        <f t="shared" si="46"/>
        <v>0.146067415730337</v>
      </c>
      <c r="N88" s="153">
        <f t="shared" si="46"/>
        <v>0.168539325842697</v>
      </c>
      <c r="O88" s="153">
        <f t="shared" si="46"/>
        <v>0.191011235955056</v>
      </c>
      <c r="P88" s="153">
        <f t="shared" si="46"/>
        <v>0.213483146067416</v>
      </c>
      <c r="Q88" s="153">
        <f t="shared" si="46"/>
        <v>0.235955056179775</v>
      </c>
      <c r="R88" s="153">
        <f t="shared" si="46"/>
        <v>0.258426966292135</v>
      </c>
      <c r="S88" s="153">
        <f t="shared" si="46"/>
        <v>0.280898876404494</v>
      </c>
      <c r="T88" s="153">
        <f t="shared" si="46"/>
        <v>0.303370786516854</v>
      </c>
      <c r="U88" s="153">
        <f t="shared" si="46"/>
        <v>0.325842696629214</v>
      </c>
      <c r="V88" s="153">
        <f t="shared" si="46"/>
        <v>0.348314606741573</v>
      </c>
      <c r="W88" s="153">
        <f t="shared" si="46"/>
        <v>0.370786516853933</v>
      </c>
      <c r="X88" s="153">
        <f t="shared" si="46"/>
        <v>0.393258426966292</v>
      </c>
      <c r="Y88" s="153">
        <f t="shared" si="46"/>
        <v>0.415730337078652</v>
      </c>
      <c r="Z88" s="153">
        <f t="shared" si="46"/>
        <v>0.438202247191011</v>
      </c>
      <c r="AA88" s="153">
        <f t="shared" si="46"/>
        <v>0.460674157303371</v>
      </c>
      <c r="AB88" s="153">
        <f t="shared" si="46"/>
        <v>0.48314606741573</v>
      </c>
      <c r="AC88" s="153">
        <f t="shared" si="46"/>
        <v>0.50561797752809</v>
      </c>
      <c r="AD88" s="153">
        <f t="shared" si="46"/>
        <v>0.528089887640449</v>
      </c>
      <c r="AE88" s="153">
        <f t="shared" si="46"/>
        <v>0.550561797752809</v>
      </c>
      <c r="AF88" s="153">
        <f t="shared" si="46"/>
        <v>0.573033707865168</v>
      </c>
      <c r="AG88" s="153">
        <f t="shared" si="46"/>
        <v>0.595505617977528</v>
      </c>
    </row>
    <row r="89" customHeight="1" spans="1:33">
      <c r="A89" s="153"/>
      <c r="B89" s="283" t="s">
        <v>545</v>
      </c>
      <c r="C89" s="153" t="s">
        <v>546</v>
      </c>
      <c r="D89" s="153" t="s">
        <v>546</v>
      </c>
      <c r="E89" s="153" t="s">
        <v>546</v>
      </c>
      <c r="F89" s="153" t="s">
        <v>546</v>
      </c>
      <c r="G89" s="153" t="s">
        <v>546</v>
      </c>
      <c r="H89" s="153" t="s">
        <v>546</v>
      </c>
      <c r="I89" s="153" t="s">
        <v>546</v>
      </c>
      <c r="J89" s="153" t="s">
        <v>546</v>
      </c>
      <c r="K89" s="153" t="s">
        <v>546</v>
      </c>
      <c r="L89" s="153" t="s">
        <v>546</v>
      </c>
      <c r="M89" s="153">
        <f t="shared" ref="M89:AG89" si="47">(M64-F64)/F64</f>
        <v>0.0760869565217391</v>
      </c>
      <c r="N89" s="153">
        <f t="shared" si="47"/>
        <v>0.0752688172043011</v>
      </c>
      <c r="O89" s="153">
        <f t="shared" si="47"/>
        <v>0.074468085106383</v>
      </c>
      <c r="P89" s="153">
        <f t="shared" si="47"/>
        <v>0.0736842105263158</v>
      </c>
      <c r="Q89" s="153">
        <f t="shared" si="47"/>
        <v>0.0729166666666667</v>
      </c>
      <c r="R89" s="153">
        <f t="shared" si="47"/>
        <v>0.0721649484536082</v>
      </c>
      <c r="S89" s="153">
        <f t="shared" si="47"/>
        <v>0.0714285714285714</v>
      </c>
      <c r="T89" s="153">
        <f t="shared" si="47"/>
        <v>0.0707070707070707</v>
      </c>
      <c r="U89" s="153">
        <f t="shared" si="47"/>
        <v>0.07</v>
      </c>
      <c r="V89" s="153">
        <f t="shared" si="47"/>
        <v>0.0693069306930693</v>
      </c>
      <c r="W89" s="153">
        <f t="shared" si="47"/>
        <v>0.0686274509803922</v>
      </c>
      <c r="X89" s="153">
        <f t="shared" si="47"/>
        <v>0.0679611650485437</v>
      </c>
      <c r="Y89" s="153">
        <f t="shared" si="47"/>
        <v>0.0673076923076923</v>
      </c>
      <c r="Z89" s="153">
        <f t="shared" si="47"/>
        <v>0.0666666666666667</v>
      </c>
      <c r="AA89" s="153">
        <f t="shared" si="47"/>
        <v>0.0660377358490566</v>
      </c>
      <c r="AB89" s="153">
        <f t="shared" si="47"/>
        <v>0.0654205607476635</v>
      </c>
      <c r="AC89" s="153">
        <f t="shared" si="47"/>
        <v>0.0648148148148148</v>
      </c>
      <c r="AD89" s="153">
        <f t="shared" si="47"/>
        <v>0.0642201834862385</v>
      </c>
      <c r="AE89" s="153">
        <f t="shared" si="47"/>
        <v>0.0636363636363636</v>
      </c>
      <c r="AF89" s="153">
        <f t="shared" si="47"/>
        <v>0.0630630630630631</v>
      </c>
      <c r="AG89" s="153">
        <f t="shared" si="47"/>
        <v>0.0625</v>
      </c>
    </row>
    <row r="91" customHeight="1" spans="1:33">
      <c r="A91" s="262" t="s">
        <v>509</v>
      </c>
      <c r="B91" s="263" t="s">
        <v>510</v>
      </c>
      <c r="C91" s="263">
        <v>43467</v>
      </c>
      <c r="D91" s="263">
        <v>43468</v>
      </c>
      <c r="E91" s="263">
        <v>43469</v>
      </c>
      <c r="F91" s="263">
        <v>43470</v>
      </c>
      <c r="G91" s="263">
        <v>43471</v>
      </c>
      <c r="H91" s="263">
        <v>43472</v>
      </c>
      <c r="I91" s="263">
        <v>43473</v>
      </c>
      <c r="J91" s="263">
        <v>43474</v>
      </c>
      <c r="K91" s="263">
        <v>43475</v>
      </c>
      <c r="L91" s="263">
        <v>43476</v>
      </c>
      <c r="M91" s="263">
        <v>43476</v>
      </c>
      <c r="N91" s="263">
        <v>43477</v>
      </c>
      <c r="O91" s="263">
        <v>43478</v>
      </c>
      <c r="P91" s="263">
        <v>43479</v>
      </c>
      <c r="Q91" s="263">
        <v>43480</v>
      </c>
      <c r="R91" s="263">
        <v>43481</v>
      </c>
      <c r="S91" s="263">
        <v>43482</v>
      </c>
      <c r="T91" s="263">
        <v>43483</v>
      </c>
      <c r="U91" s="263">
        <v>43484</v>
      </c>
      <c r="V91" s="263">
        <v>43485</v>
      </c>
      <c r="W91" s="263">
        <v>43486</v>
      </c>
      <c r="X91" s="263">
        <v>43487</v>
      </c>
      <c r="Y91" s="263">
        <v>43488</v>
      </c>
      <c r="Z91" s="263">
        <v>43489</v>
      </c>
      <c r="AA91" s="263">
        <v>43490</v>
      </c>
      <c r="AB91" s="263">
        <v>43491</v>
      </c>
      <c r="AC91" s="263">
        <v>43492</v>
      </c>
      <c r="AD91" s="263">
        <v>43493</v>
      </c>
      <c r="AE91" s="263">
        <v>43494</v>
      </c>
      <c r="AF91" s="263">
        <v>43495</v>
      </c>
      <c r="AG91" s="263">
        <v>43496</v>
      </c>
    </row>
    <row r="92" customHeight="1" spans="1:33">
      <c r="A92" s="264"/>
      <c r="B92" s="265" t="s">
        <v>511</v>
      </c>
      <c r="C92" s="265" t="s">
        <v>512</v>
      </c>
      <c r="D92" s="265" t="s">
        <v>513</v>
      </c>
      <c r="E92" s="265" t="s">
        <v>514</v>
      </c>
      <c r="F92" s="265" t="s">
        <v>515</v>
      </c>
      <c r="G92" s="265" t="s">
        <v>516</v>
      </c>
      <c r="H92" s="265" t="s">
        <v>517</v>
      </c>
      <c r="I92" s="265" t="s">
        <v>518</v>
      </c>
      <c r="J92" s="265" t="s">
        <v>512</v>
      </c>
      <c r="K92" s="265" t="s">
        <v>513</v>
      </c>
      <c r="L92" s="265" t="s">
        <v>514</v>
      </c>
      <c r="M92" s="265" t="s">
        <v>515</v>
      </c>
      <c r="N92" s="265" t="s">
        <v>516</v>
      </c>
      <c r="O92" s="265" t="s">
        <v>517</v>
      </c>
      <c r="P92" s="265" t="s">
        <v>518</v>
      </c>
      <c r="Q92" s="265" t="s">
        <v>512</v>
      </c>
      <c r="R92" s="265" t="s">
        <v>513</v>
      </c>
      <c r="S92" s="265" t="s">
        <v>514</v>
      </c>
      <c r="T92" s="265" t="s">
        <v>515</v>
      </c>
      <c r="U92" s="265" t="s">
        <v>516</v>
      </c>
      <c r="V92" s="265" t="s">
        <v>517</v>
      </c>
      <c r="W92" s="265" t="s">
        <v>518</v>
      </c>
      <c r="X92" s="265" t="s">
        <v>512</v>
      </c>
      <c r="Y92" s="265" t="s">
        <v>513</v>
      </c>
      <c r="Z92" s="265" t="s">
        <v>514</v>
      </c>
      <c r="AA92" s="265" t="s">
        <v>515</v>
      </c>
      <c r="AB92" s="265" t="s">
        <v>516</v>
      </c>
      <c r="AC92" s="265" t="s">
        <v>517</v>
      </c>
      <c r="AD92" s="265" t="s">
        <v>518</v>
      </c>
      <c r="AE92" s="265" t="s">
        <v>512</v>
      </c>
      <c r="AF92" s="265" t="s">
        <v>513</v>
      </c>
      <c r="AG92" s="265" t="s">
        <v>514</v>
      </c>
    </row>
    <row r="93" customHeight="1" spans="1:33">
      <c r="A93" s="266"/>
      <c r="B93" s="267" t="s">
        <v>519</v>
      </c>
      <c r="C93" s="150">
        <v>989</v>
      </c>
      <c r="D93" s="150">
        <v>990</v>
      </c>
      <c r="E93" s="150">
        <v>991</v>
      </c>
      <c r="F93" s="150">
        <v>992</v>
      </c>
      <c r="G93" s="150">
        <v>993</v>
      </c>
      <c r="H93" s="150">
        <v>994</v>
      </c>
      <c r="I93" s="150">
        <v>995</v>
      </c>
      <c r="J93" s="150">
        <v>996</v>
      </c>
      <c r="K93" s="150">
        <v>997</v>
      </c>
      <c r="L93" s="150">
        <v>998</v>
      </c>
      <c r="M93" s="150">
        <v>999</v>
      </c>
      <c r="N93" s="150">
        <v>1000</v>
      </c>
      <c r="O93" s="150">
        <v>1001</v>
      </c>
      <c r="P93" s="150">
        <v>1002</v>
      </c>
      <c r="Q93" s="150">
        <v>1003</v>
      </c>
      <c r="R93" s="150">
        <v>1004</v>
      </c>
      <c r="S93" s="150">
        <v>1005</v>
      </c>
      <c r="T93" s="150">
        <v>1006</v>
      </c>
      <c r="U93" s="150">
        <v>1007</v>
      </c>
      <c r="V93" s="150">
        <v>1008</v>
      </c>
      <c r="W93" s="150">
        <v>1009</v>
      </c>
      <c r="X93" s="150">
        <v>1010</v>
      </c>
      <c r="Y93" s="150">
        <v>1011</v>
      </c>
      <c r="Z93" s="150">
        <v>1012</v>
      </c>
      <c r="AA93" s="150">
        <v>1013</v>
      </c>
      <c r="AB93" s="150">
        <v>1014</v>
      </c>
      <c r="AC93" s="150">
        <v>1015</v>
      </c>
      <c r="AD93" s="150">
        <v>1016</v>
      </c>
      <c r="AE93" s="150">
        <v>1017</v>
      </c>
      <c r="AF93" s="150">
        <v>1018</v>
      </c>
      <c r="AG93" s="150">
        <v>1019</v>
      </c>
    </row>
    <row r="94" customHeight="1" spans="1:33">
      <c r="A94" s="268"/>
      <c r="B94" s="269" t="s">
        <v>104</v>
      </c>
      <c r="C94" s="151">
        <v>89</v>
      </c>
      <c r="D94" s="151">
        <v>90</v>
      </c>
      <c r="E94" s="151">
        <v>91</v>
      </c>
      <c r="F94" s="151">
        <v>92</v>
      </c>
      <c r="G94" s="151">
        <v>93</v>
      </c>
      <c r="H94" s="151">
        <v>94</v>
      </c>
      <c r="I94" s="151">
        <v>95</v>
      </c>
      <c r="J94" s="151">
        <v>96</v>
      </c>
      <c r="K94" s="151">
        <v>97</v>
      </c>
      <c r="L94" s="151">
        <v>98</v>
      </c>
      <c r="M94" s="151">
        <v>99</v>
      </c>
      <c r="N94" s="151">
        <v>100</v>
      </c>
      <c r="O94" s="151">
        <v>101</v>
      </c>
      <c r="P94" s="151">
        <v>102</v>
      </c>
      <c r="Q94" s="151">
        <v>103</v>
      </c>
      <c r="R94" s="151">
        <v>104</v>
      </c>
      <c r="S94" s="151">
        <v>105</v>
      </c>
      <c r="T94" s="151">
        <v>106</v>
      </c>
      <c r="U94" s="151">
        <v>107</v>
      </c>
      <c r="V94" s="151">
        <v>108</v>
      </c>
      <c r="W94" s="151">
        <v>109</v>
      </c>
      <c r="X94" s="151">
        <v>110</v>
      </c>
      <c r="Y94" s="151">
        <v>111</v>
      </c>
      <c r="Z94" s="151">
        <v>112</v>
      </c>
      <c r="AA94" s="151">
        <v>113</v>
      </c>
      <c r="AB94" s="151">
        <v>114</v>
      </c>
      <c r="AC94" s="151">
        <v>115</v>
      </c>
      <c r="AD94" s="151">
        <v>116</v>
      </c>
      <c r="AE94" s="151">
        <v>117</v>
      </c>
      <c r="AF94" s="151">
        <v>118</v>
      </c>
      <c r="AG94" s="151">
        <v>119</v>
      </c>
    </row>
    <row r="95" customHeight="1" spans="1:33">
      <c r="A95" s="270"/>
      <c r="B95" s="271" t="s">
        <v>17</v>
      </c>
      <c r="C95" s="152">
        <v>89</v>
      </c>
      <c r="D95" s="152">
        <v>90</v>
      </c>
      <c r="E95" s="152">
        <v>91</v>
      </c>
      <c r="F95" s="152">
        <v>92</v>
      </c>
      <c r="G95" s="152">
        <v>93</v>
      </c>
      <c r="H95" s="152">
        <v>94</v>
      </c>
      <c r="I95" s="152">
        <v>95</v>
      </c>
      <c r="J95" s="152">
        <v>96</v>
      </c>
      <c r="K95" s="152">
        <v>97</v>
      </c>
      <c r="L95" s="152">
        <v>98</v>
      </c>
      <c r="M95" s="152">
        <v>99</v>
      </c>
      <c r="N95" s="152">
        <v>100</v>
      </c>
      <c r="O95" s="152">
        <v>101</v>
      </c>
      <c r="P95" s="152">
        <v>102</v>
      </c>
      <c r="Q95" s="152">
        <v>103</v>
      </c>
      <c r="R95" s="152">
        <v>104</v>
      </c>
      <c r="S95" s="152">
        <v>105</v>
      </c>
      <c r="T95" s="152">
        <v>106</v>
      </c>
      <c r="U95" s="152">
        <v>107</v>
      </c>
      <c r="V95" s="152">
        <v>108</v>
      </c>
      <c r="W95" s="152">
        <v>109</v>
      </c>
      <c r="X95" s="152">
        <v>110</v>
      </c>
      <c r="Y95" s="152">
        <v>111</v>
      </c>
      <c r="Z95" s="152">
        <v>112</v>
      </c>
      <c r="AA95" s="152">
        <v>113</v>
      </c>
      <c r="AB95" s="152">
        <v>114</v>
      </c>
      <c r="AC95" s="152">
        <v>115</v>
      </c>
      <c r="AD95" s="152">
        <v>116</v>
      </c>
      <c r="AE95" s="152">
        <v>117</v>
      </c>
      <c r="AF95" s="152">
        <v>118</v>
      </c>
      <c r="AG95" s="152">
        <v>119</v>
      </c>
    </row>
    <row r="96" customHeight="1" spans="1:33">
      <c r="A96" s="270"/>
      <c r="B96" s="272" t="s">
        <v>520</v>
      </c>
      <c r="C96" s="152">
        <v>-1</v>
      </c>
      <c r="D96" s="152">
        <v>0</v>
      </c>
      <c r="E96" s="152">
        <v>1</v>
      </c>
      <c r="F96" s="152">
        <v>2</v>
      </c>
      <c r="G96" s="152">
        <v>3</v>
      </c>
      <c r="H96" s="152">
        <v>4</v>
      </c>
      <c r="I96" s="152">
        <v>5</v>
      </c>
      <c r="J96" s="152">
        <v>6</v>
      </c>
      <c r="K96" s="152">
        <v>7</v>
      </c>
      <c r="L96" s="152">
        <v>8</v>
      </c>
      <c r="M96" s="152">
        <v>9</v>
      </c>
      <c r="N96" s="152">
        <v>10</v>
      </c>
      <c r="O96" s="152">
        <v>11</v>
      </c>
      <c r="P96" s="152">
        <v>12</v>
      </c>
      <c r="Q96" s="152">
        <v>13</v>
      </c>
      <c r="R96" s="152">
        <v>14</v>
      </c>
      <c r="S96" s="152">
        <v>15</v>
      </c>
      <c r="T96" s="152">
        <v>16</v>
      </c>
      <c r="U96" s="152">
        <v>17</v>
      </c>
      <c r="V96" s="152">
        <v>18</v>
      </c>
      <c r="W96" s="152">
        <v>19</v>
      </c>
      <c r="X96" s="152">
        <v>20</v>
      </c>
      <c r="Y96" s="152">
        <v>21</v>
      </c>
      <c r="Z96" s="152">
        <v>22</v>
      </c>
      <c r="AA96" s="152">
        <v>23</v>
      </c>
      <c r="AB96" s="152">
        <v>24</v>
      </c>
      <c r="AC96" s="152">
        <v>25</v>
      </c>
      <c r="AD96" s="152">
        <v>26</v>
      </c>
      <c r="AE96" s="152">
        <v>27</v>
      </c>
      <c r="AF96" s="152">
        <v>28</v>
      </c>
      <c r="AG96" s="152">
        <v>29</v>
      </c>
    </row>
    <row r="97" customHeight="1" spans="1:33">
      <c r="A97" s="264"/>
      <c r="B97" s="273" t="s">
        <v>521</v>
      </c>
      <c r="C97" s="145">
        <v>0</v>
      </c>
      <c r="D97" s="145">
        <v>1</v>
      </c>
      <c r="E97" s="145">
        <v>2</v>
      </c>
      <c r="F97" s="145">
        <v>3</v>
      </c>
      <c r="G97" s="145">
        <v>4</v>
      </c>
      <c r="H97" s="145">
        <v>5</v>
      </c>
      <c r="I97" s="145">
        <v>6</v>
      </c>
      <c r="J97" s="145">
        <v>7</v>
      </c>
      <c r="K97" s="145">
        <v>8</v>
      </c>
      <c r="L97" s="145">
        <v>9</v>
      </c>
      <c r="M97" s="145">
        <v>10</v>
      </c>
      <c r="N97" s="145">
        <v>11</v>
      </c>
      <c r="O97" s="145">
        <v>12</v>
      </c>
      <c r="P97" s="145">
        <v>13</v>
      </c>
      <c r="Q97" s="145">
        <v>14</v>
      </c>
      <c r="R97" s="145">
        <v>15</v>
      </c>
      <c r="S97" s="145">
        <v>16</v>
      </c>
      <c r="T97" s="145">
        <v>17</v>
      </c>
      <c r="U97" s="145">
        <v>18</v>
      </c>
      <c r="V97" s="145">
        <v>19</v>
      </c>
      <c r="W97" s="145">
        <v>20</v>
      </c>
      <c r="X97" s="145">
        <v>21</v>
      </c>
      <c r="Y97" s="145">
        <v>22</v>
      </c>
      <c r="Z97" s="145">
        <v>23</v>
      </c>
      <c r="AA97" s="145">
        <v>24</v>
      </c>
      <c r="AB97" s="145">
        <v>25</v>
      </c>
      <c r="AC97" s="145">
        <v>26</v>
      </c>
      <c r="AD97" s="145">
        <v>27</v>
      </c>
      <c r="AE97" s="145">
        <v>28</v>
      </c>
      <c r="AF97" s="145">
        <v>29</v>
      </c>
      <c r="AG97" s="145">
        <v>30</v>
      </c>
    </row>
    <row r="98" customHeight="1" spans="1:33">
      <c r="A98" s="266" t="s">
        <v>522</v>
      </c>
      <c r="B98" s="274" t="s">
        <v>523</v>
      </c>
      <c r="C98" s="150">
        <v>89</v>
      </c>
      <c r="D98" s="150">
        <v>90</v>
      </c>
      <c r="E98" s="150">
        <v>91</v>
      </c>
      <c r="F98" s="150">
        <v>92</v>
      </c>
      <c r="G98" s="150">
        <v>93</v>
      </c>
      <c r="H98" s="150">
        <v>94</v>
      </c>
      <c r="I98" s="150">
        <v>95</v>
      </c>
      <c r="J98" s="150">
        <v>96</v>
      </c>
      <c r="K98" s="150">
        <v>97</v>
      </c>
      <c r="L98" s="150">
        <v>98</v>
      </c>
      <c r="M98" s="150">
        <v>99</v>
      </c>
      <c r="N98" s="150">
        <v>100</v>
      </c>
      <c r="O98" s="150">
        <v>101</v>
      </c>
      <c r="P98" s="150">
        <v>102</v>
      </c>
      <c r="Q98" s="150">
        <v>103</v>
      </c>
      <c r="R98" s="150">
        <v>104</v>
      </c>
      <c r="S98" s="150">
        <v>105</v>
      </c>
      <c r="T98" s="150">
        <v>106</v>
      </c>
      <c r="U98" s="150">
        <v>107</v>
      </c>
      <c r="V98" s="150">
        <v>108</v>
      </c>
      <c r="W98" s="150">
        <v>109</v>
      </c>
      <c r="X98" s="150">
        <v>110</v>
      </c>
      <c r="Y98" s="150">
        <v>111</v>
      </c>
      <c r="Z98" s="150">
        <v>112</v>
      </c>
      <c r="AA98" s="150">
        <v>113</v>
      </c>
      <c r="AB98" s="150">
        <v>114</v>
      </c>
      <c r="AC98" s="150">
        <v>115</v>
      </c>
      <c r="AD98" s="150">
        <v>116</v>
      </c>
      <c r="AE98" s="150">
        <v>117</v>
      </c>
      <c r="AF98" s="150">
        <v>118</v>
      </c>
      <c r="AG98" s="150">
        <v>119</v>
      </c>
    </row>
    <row r="99" customHeight="1" spans="1:33">
      <c r="A99" s="268"/>
      <c r="B99" s="275" t="s">
        <v>524</v>
      </c>
      <c r="C99" s="151">
        <v>39</v>
      </c>
      <c r="D99" s="151">
        <v>40</v>
      </c>
      <c r="E99" s="151">
        <v>41</v>
      </c>
      <c r="F99" s="151">
        <v>42</v>
      </c>
      <c r="G99" s="151">
        <v>43</v>
      </c>
      <c r="H99" s="151">
        <v>44</v>
      </c>
      <c r="I99" s="151">
        <v>45</v>
      </c>
      <c r="J99" s="151">
        <v>46</v>
      </c>
      <c r="K99" s="151">
        <v>47</v>
      </c>
      <c r="L99" s="151">
        <v>48</v>
      </c>
      <c r="M99" s="151">
        <v>49</v>
      </c>
      <c r="N99" s="151">
        <v>50</v>
      </c>
      <c r="O99" s="151">
        <v>51</v>
      </c>
      <c r="P99" s="151">
        <v>52</v>
      </c>
      <c r="Q99" s="151">
        <v>53</v>
      </c>
      <c r="R99" s="151">
        <v>54</v>
      </c>
      <c r="S99" s="151">
        <v>55</v>
      </c>
      <c r="T99" s="151">
        <v>56</v>
      </c>
      <c r="U99" s="151">
        <v>57</v>
      </c>
      <c r="V99" s="151">
        <v>58</v>
      </c>
      <c r="W99" s="151">
        <v>59</v>
      </c>
      <c r="X99" s="151">
        <v>60</v>
      </c>
      <c r="Y99" s="151">
        <v>61</v>
      </c>
      <c r="Z99" s="151">
        <v>62</v>
      </c>
      <c r="AA99" s="151">
        <v>63</v>
      </c>
      <c r="AB99" s="151">
        <v>64</v>
      </c>
      <c r="AC99" s="151">
        <v>65</v>
      </c>
      <c r="AD99" s="151">
        <v>66</v>
      </c>
      <c r="AE99" s="151">
        <v>67</v>
      </c>
      <c r="AF99" s="151">
        <v>68</v>
      </c>
      <c r="AG99" s="151">
        <v>69</v>
      </c>
    </row>
    <row r="100" customHeight="1" spans="1:33">
      <c r="A100" s="268"/>
      <c r="B100" s="275" t="s">
        <v>525</v>
      </c>
      <c r="C100" s="151">
        <v>9</v>
      </c>
      <c r="D100" s="151">
        <v>10</v>
      </c>
      <c r="E100" s="151">
        <v>11</v>
      </c>
      <c r="F100" s="151">
        <v>12</v>
      </c>
      <c r="G100" s="151">
        <v>13</v>
      </c>
      <c r="H100" s="151">
        <v>14</v>
      </c>
      <c r="I100" s="151">
        <v>15</v>
      </c>
      <c r="J100" s="151">
        <v>16</v>
      </c>
      <c r="K100" s="151">
        <v>17</v>
      </c>
      <c r="L100" s="151">
        <v>18</v>
      </c>
      <c r="M100" s="151">
        <v>19</v>
      </c>
      <c r="N100" s="151">
        <v>20</v>
      </c>
      <c r="O100" s="151">
        <v>21</v>
      </c>
      <c r="P100" s="151">
        <v>22</v>
      </c>
      <c r="Q100" s="151">
        <v>23</v>
      </c>
      <c r="R100" s="151">
        <v>24</v>
      </c>
      <c r="S100" s="151">
        <v>25</v>
      </c>
      <c r="T100" s="151">
        <v>26</v>
      </c>
      <c r="U100" s="151">
        <v>27</v>
      </c>
      <c r="V100" s="151">
        <v>28</v>
      </c>
      <c r="W100" s="151">
        <v>29</v>
      </c>
      <c r="X100" s="151">
        <v>30</v>
      </c>
      <c r="Y100" s="151">
        <v>31</v>
      </c>
      <c r="Z100" s="151">
        <v>32</v>
      </c>
      <c r="AA100" s="151">
        <v>33</v>
      </c>
      <c r="AB100" s="151">
        <v>34</v>
      </c>
      <c r="AC100" s="151">
        <v>35</v>
      </c>
      <c r="AD100" s="151">
        <v>36</v>
      </c>
      <c r="AE100" s="151">
        <v>37</v>
      </c>
      <c r="AF100" s="151">
        <v>38</v>
      </c>
      <c r="AG100" s="151">
        <v>39</v>
      </c>
    </row>
    <row r="101" customHeight="1" spans="1:33">
      <c r="A101" s="270"/>
      <c r="B101" s="276" t="s">
        <v>526</v>
      </c>
      <c r="C101" s="152">
        <v>-6</v>
      </c>
      <c r="D101" s="152">
        <v>-5</v>
      </c>
      <c r="E101" s="152">
        <v>-4</v>
      </c>
      <c r="F101" s="152">
        <v>-3</v>
      </c>
      <c r="G101" s="152">
        <v>-2</v>
      </c>
      <c r="H101" s="152">
        <v>-1</v>
      </c>
      <c r="I101" s="152">
        <v>0</v>
      </c>
      <c r="J101" s="152">
        <v>1</v>
      </c>
      <c r="K101" s="152">
        <v>2</v>
      </c>
      <c r="L101" s="152">
        <v>3</v>
      </c>
      <c r="M101" s="152">
        <v>4</v>
      </c>
      <c r="N101" s="152">
        <v>5</v>
      </c>
      <c r="O101" s="152">
        <v>6</v>
      </c>
      <c r="P101" s="152">
        <v>7</v>
      </c>
      <c r="Q101" s="152">
        <v>8</v>
      </c>
      <c r="R101" s="152">
        <v>9</v>
      </c>
      <c r="S101" s="152">
        <v>10</v>
      </c>
      <c r="T101" s="152">
        <v>11</v>
      </c>
      <c r="U101" s="152">
        <v>12</v>
      </c>
      <c r="V101" s="152">
        <v>13</v>
      </c>
      <c r="W101" s="152">
        <v>14</v>
      </c>
      <c r="X101" s="152">
        <v>15</v>
      </c>
      <c r="Y101" s="152">
        <v>16</v>
      </c>
      <c r="Z101" s="152">
        <v>17</v>
      </c>
      <c r="AA101" s="152">
        <v>18</v>
      </c>
      <c r="AB101" s="152">
        <v>19</v>
      </c>
      <c r="AC101" s="152">
        <v>20</v>
      </c>
      <c r="AD101" s="152">
        <v>21</v>
      </c>
      <c r="AE101" s="152">
        <v>22</v>
      </c>
      <c r="AF101" s="152">
        <v>23</v>
      </c>
      <c r="AG101" s="152">
        <v>24</v>
      </c>
    </row>
    <row r="102" customHeight="1" spans="1:33">
      <c r="A102" s="277" t="s">
        <v>527</v>
      </c>
      <c r="B102" s="278" t="s">
        <v>528</v>
      </c>
      <c r="C102" s="150">
        <v>1000</v>
      </c>
      <c r="D102" s="150">
        <v>1000</v>
      </c>
      <c r="E102" s="150">
        <v>1000</v>
      </c>
      <c r="F102" s="150">
        <v>1000</v>
      </c>
      <c r="G102" s="150">
        <v>1000</v>
      </c>
      <c r="H102" s="150">
        <v>1000</v>
      </c>
      <c r="I102" s="150">
        <v>1000</v>
      </c>
      <c r="J102" s="150">
        <v>1000</v>
      </c>
      <c r="K102" s="150">
        <v>1000</v>
      </c>
      <c r="L102" s="150">
        <v>1000</v>
      </c>
      <c r="M102" s="150">
        <v>1000</v>
      </c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</row>
    <row r="103" customHeight="1" spans="1:33">
      <c r="A103" s="279"/>
      <c r="B103" s="278" t="s">
        <v>529</v>
      </c>
      <c r="C103" s="150">
        <v>1000</v>
      </c>
      <c r="D103" s="150">
        <v>1000</v>
      </c>
      <c r="E103" s="150">
        <v>1000</v>
      </c>
      <c r="F103" s="150">
        <v>1000</v>
      </c>
      <c r="G103" s="150">
        <v>1000</v>
      </c>
      <c r="H103" s="150">
        <v>1000</v>
      </c>
      <c r="I103" s="150">
        <v>1000</v>
      </c>
      <c r="J103" s="150">
        <v>1000</v>
      </c>
      <c r="K103" s="150">
        <v>1000</v>
      </c>
      <c r="L103" s="150">
        <v>1000</v>
      </c>
      <c r="M103" s="150">
        <v>1000</v>
      </c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</row>
    <row r="104" customHeight="1" spans="1:33">
      <c r="A104" s="279"/>
      <c r="B104" s="278" t="s">
        <v>530</v>
      </c>
      <c r="C104" s="150">
        <v>1000</v>
      </c>
      <c r="D104" s="150">
        <v>1000</v>
      </c>
      <c r="E104" s="150">
        <v>1000</v>
      </c>
      <c r="F104" s="150">
        <v>1000</v>
      </c>
      <c r="G104" s="150">
        <v>1000</v>
      </c>
      <c r="H104" s="150">
        <v>1000</v>
      </c>
      <c r="I104" s="150">
        <v>1000</v>
      </c>
      <c r="J104" s="150">
        <v>1000</v>
      </c>
      <c r="K104" s="150">
        <v>1000</v>
      </c>
      <c r="L104" s="150">
        <v>1000</v>
      </c>
      <c r="M104" s="150">
        <v>1000</v>
      </c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</row>
    <row r="105" customHeight="1" spans="1:33">
      <c r="A105" s="279"/>
      <c r="B105" s="278" t="s">
        <v>531</v>
      </c>
      <c r="C105" s="150">
        <v>1000</v>
      </c>
      <c r="D105" s="150">
        <v>1000</v>
      </c>
      <c r="E105" s="150">
        <v>1000</v>
      </c>
      <c r="F105" s="150">
        <v>1000</v>
      </c>
      <c r="G105" s="150">
        <v>1000</v>
      </c>
      <c r="H105" s="150">
        <v>1000</v>
      </c>
      <c r="I105" s="150">
        <v>1000</v>
      </c>
      <c r="J105" s="150">
        <v>1000</v>
      </c>
      <c r="K105" s="150">
        <v>1000</v>
      </c>
      <c r="L105" s="150">
        <v>1000</v>
      </c>
      <c r="M105" s="150">
        <v>1000</v>
      </c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</row>
    <row r="106" customHeight="1" spans="1:33">
      <c r="A106" s="279"/>
      <c r="B106" s="278" t="s">
        <v>532</v>
      </c>
      <c r="C106" s="150">
        <v>1000</v>
      </c>
      <c r="D106" s="150">
        <v>1000</v>
      </c>
      <c r="E106" s="150">
        <v>1000</v>
      </c>
      <c r="F106" s="150">
        <v>1000</v>
      </c>
      <c r="G106" s="150">
        <v>1000</v>
      </c>
      <c r="H106" s="150">
        <v>1000</v>
      </c>
      <c r="I106" s="150">
        <v>1000</v>
      </c>
      <c r="J106" s="150">
        <v>1000</v>
      </c>
      <c r="K106" s="150">
        <v>1000</v>
      </c>
      <c r="L106" s="150">
        <v>1000</v>
      </c>
      <c r="M106" s="150">
        <v>1000</v>
      </c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</row>
    <row r="107" customHeight="1" spans="1:33">
      <c r="A107" s="280"/>
      <c r="B107" s="281" t="s">
        <v>533</v>
      </c>
      <c r="C107" s="150">
        <v>1000</v>
      </c>
      <c r="D107" s="150">
        <v>1000</v>
      </c>
      <c r="E107" s="150">
        <v>1000</v>
      </c>
      <c r="F107" s="150">
        <v>1000</v>
      </c>
      <c r="G107" s="150">
        <v>1000</v>
      </c>
      <c r="H107" s="150">
        <v>1000</v>
      </c>
      <c r="I107" s="150">
        <v>1000</v>
      </c>
      <c r="J107" s="150">
        <v>1000</v>
      </c>
      <c r="K107" s="150">
        <v>1000</v>
      </c>
      <c r="L107" s="150">
        <v>1000</v>
      </c>
      <c r="M107" s="150">
        <v>1000</v>
      </c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90"/>
      <c r="AB107" s="290"/>
      <c r="AC107" s="290"/>
      <c r="AD107" s="290"/>
      <c r="AE107" s="290"/>
      <c r="AF107" s="290"/>
      <c r="AG107" s="290"/>
    </row>
    <row r="108" customHeight="1" spans="1:33">
      <c r="A108" s="282"/>
      <c r="B108" s="278" t="s">
        <v>534</v>
      </c>
      <c r="C108" s="151">
        <f t="shared" ref="C108:AG108" si="48">C105+C106</f>
        <v>2000</v>
      </c>
      <c r="D108" s="151">
        <f t="shared" si="48"/>
        <v>2000</v>
      </c>
      <c r="E108" s="151">
        <f t="shared" si="48"/>
        <v>2000</v>
      </c>
      <c r="F108" s="151">
        <f t="shared" si="48"/>
        <v>2000</v>
      </c>
      <c r="G108" s="151">
        <f t="shared" si="48"/>
        <v>2000</v>
      </c>
      <c r="H108" s="151">
        <f t="shared" si="48"/>
        <v>2000</v>
      </c>
      <c r="I108" s="151">
        <f t="shared" si="48"/>
        <v>2000</v>
      </c>
      <c r="J108" s="151">
        <f t="shared" si="48"/>
        <v>2000</v>
      </c>
      <c r="K108" s="151">
        <f t="shared" si="48"/>
        <v>2000</v>
      </c>
      <c r="L108" s="151">
        <f t="shared" si="48"/>
        <v>2000</v>
      </c>
      <c r="M108" s="151">
        <f t="shared" si="48"/>
        <v>2000</v>
      </c>
      <c r="N108" s="151">
        <f t="shared" si="48"/>
        <v>0</v>
      </c>
      <c r="O108" s="151">
        <f t="shared" si="48"/>
        <v>0</v>
      </c>
      <c r="P108" s="151">
        <f t="shared" si="48"/>
        <v>0</v>
      </c>
      <c r="Q108" s="151">
        <f t="shared" si="48"/>
        <v>0</v>
      </c>
      <c r="R108" s="151">
        <f t="shared" si="48"/>
        <v>0</v>
      </c>
      <c r="S108" s="151">
        <f t="shared" si="48"/>
        <v>0</v>
      </c>
      <c r="T108" s="151">
        <f t="shared" si="48"/>
        <v>0</v>
      </c>
      <c r="U108" s="151">
        <f t="shared" si="48"/>
        <v>0</v>
      </c>
      <c r="V108" s="151">
        <f t="shared" si="48"/>
        <v>0</v>
      </c>
      <c r="W108" s="151">
        <f t="shared" si="48"/>
        <v>0</v>
      </c>
      <c r="X108" s="151">
        <f t="shared" si="48"/>
        <v>0</v>
      </c>
      <c r="Y108" s="151">
        <f t="shared" si="48"/>
        <v>0</v>
      </c>
      <c r="Z108" s="151">
        <f t="shared" si="48"/>
        <v>0</v>
      </c>
      <c r="AA108" s="151">
        <f t="shared" si="48"/>
        <v>0</v>
      </c>
      <c r="AB108" s="151">
        <f t="shared" si="48"/>
        <v>0</v>
      </c>
      <c r="AC108" s="151">
        <f t="shared" si="48"/>
        <v>0</v>
      </c>
      <c r="AD108" s="151">
        <f t="shared" si="48"/>
        <v>0</v>
      </c>
      <c r="AE108" s="151">
        <f t="shared" si="48"/>
        <v>0</v>
      </c>
      <c r="AF108" s="151">
        <f t="shared" si="48"/>
        <v>0</v>
      </c>
      <c r="AG108" s="151">
        <f t="shared" si="48"/>
        <v>0</v>
      </c>
    </row>
    <row r="109" customHeight="1" spans="1:33">
      <c r="A109" s="153" t="s">
        <v>549</v>
      </c>
      <c r="B109" s="283" t="s">
        <v>536</v>
      </c>
      <c r="C109" s="153">
        <f t="shared" ref="C109:AG109" si="49">C99/C93</f>
        <v>0.0394337714863498</v>
      </c>
      <c r="D109" s="153">
        <f t="shared" si="49"/>
        <v>0.0404040404040404</v>
      </c>
      <c r="E109" s="153">
        <f t="shared" si="49"/>
        <v>0.041372351160444</v>
      </c>
      <c r="F109" s="153">
        <f t="shared" si="49"/>
        <v>0.0423387096774194</v>
      </c>
      <c r="G109" s="153">
        <f t="shared" si="49"/>
        <v>0.0433031218529708</v>
      </c>
      <c r="H109" s="153">
        <f t="shared" si="49"/>
        <v>0.0442655935613682</v>
      </c>
      <c r="I109" s="153">
        <f t="shared" si="49"/>
        <v>0.0452261306532663</v>
      </c>
      <c r="J109" s="153">
        <f t="shared" si="49"/>
        <v>0.0461847389558233</v>
      </c>
      <c r="K109" s="153">
        <f t="shared" si="49"/>
        <v>0.0471414242728185</v>
      </c>
      <c r="L109" s="153">
        <f t="shared" si="49"/>
        <v>0.0480961923847695</v>
      </c>
      <c r="M109" s="153">
        <f t="shared" si="49"/>
        <v>0.049049049049049</v>
      </c>
      <c r="N109" s="153">
        <f t="shared" si="49"/>
        <v>0.05</v>
      </c>
      <c r="O109" s="153">
        <f t="shared" si="49"/>
        <v>0.050949050949051</v>
      </c>
      <c r="P109" s="153">
        <f t="shared" si="49"/>
        <v>0.0518962075848303</v>
      </c>
      <c r="Q109" s="153">
        <f t="shared" si="49"/>
        <v>0.0528414755732802</v>
      </c>
      <c r="R109" s="153">
        <f t="shared" si="49"/>
        <v>0.0537848605577689</v>
      </c>
      <c r="S109" s="153">
        <f t="shared" si="49"/>
        <v>0.054726368159204</v>
      </c>
      <c r="T109" s="153">
        <f t="shared" si="49"/>
        <v>0.0556660039761431</v>
      </c>
      <c r="U109" s="153">
        <f t="shared" si="49"/>
        <v>0.0566037735849057</v>
      </c>
      <c r="V109" s="153">
        <f t="shared" si="49"/>
        <v>0.0575396825396825</v>
      </c>
      <c r="W109" s="153">
        <f t="shared" si="49"/>
        <v>0.0584737363726462</v>
      </c>
      <c r="X109" s="153">
        <f t="shared" si="49"/>
        <v>0.0594059405940594</v>
      </c>
      <c r="Y109" s="153">
        <f t="shared" si="49"/>
        <v>0.0603363006923838</v>
      </c>
      <c r="Z109" s="153">
        <f t="shared" si="49"/>
        <v>0.0612648221343874</v>
      </c>
      <c r="AA109" s="153">
        <f t="shared" si="49"/>
        <v>0.0621915103652517</v>
      </c>
      <c r="AB109" s="153">
        <f t="shared" si="49"/>
        <v>0.0631163708086785</v>
      </c>
      <c r="AC109" s="153">
        <f t="shared" si="49"/>
        <v>0.0640394088669951</v>
      </c>
      <c r="AD109" s="153">
        <f t="shared" si="49"/>
        <v>0.0649606299212598</v>
      </c>
      <c r="AE109" s="153">
        <f t="shared" si="49"/>
        <v>0.0658800393313668</v>
      </c>
      <c r="AF109" s="153">
        <f t="shared" si="49"/>
        <v>0.0667976424361493</v>
      </c>
      <c r="AG109" s="153">
        <f t="shared" si="49"/>
        <v>0.0677134445534838</v>
      </c>
    </row>
    <row r="110" customHeight="1" spans="1:33">
      <c r="A110" s="153"/>
      <c r="B110" s="284" t="s">
        <v>537</v>
      </c>
      <c r="C110" s="153">
        <f t="shared" ref="C110:AG110" si="50">C99/C98</f>
        <v>0.438202247191011</v>
      </c>
      <c r="D110" s="153">
        <f t="shared" si="50"/>
        <v>0.444444444444444</v>
      </c>
      <c r="E110" s="153">
        <f t="shared" si="50"/>
        <v>0.450549450549451</v>
      </c>
      <c r="F110" s="153">
        <f t="shared" si="50"/>
        <v>0.456521739130435</v>
      </c>
      <c r="G110" s="153">
        <f t="shared" si="50"/>
        <v>0.462365591397849</v>
      </c>
      <c r="H110" s="153">
        <f t="shared" si="50"/>
        <v>0.468085106382979</v>
      </c>
      <c r="I110" s="153">
        <f t="shared" si="50"/>
        <v>0.473684210526316</v>
      </c>
      <c r="J110" s="153">
        <f t="shared" si="50"/>
        <v>0.479166666666667</v>
      </c>
      <c r="K110" s="153">
        <f t="shared" si="50"/>
        <v>0.484536082474227</v>
      </c>
      <c r="L110" s="153">
        <f t="shared" si="50"/>
        <v>0.489795918367347</v>
      </c>
      <c r="M110" s="153">
        <f t="shared" si="50"/>
        <v>0.494949494949495</v>
      </c>
      <c r="N110" s="153">
        <f t="shared" si="50"/>
        <v>0.5</v>
      </c>
      <c r="O110" s="153">
        <f t="shared" si="50"/>
        <v>0.504950495049505</v>
      </c>
      <c r="P110" s="153">
        <f t="shared" si="50"/>
        <v>0.509803921568627</v>
      </c>
      <c r="Q110" s="153">
        <f t="shared" si="50"/>
        <v>0.514563106796116</v>
      </c>
      <c r="R110" s="153">
        <f t="shared" si="50"/>
        <v>0.519230769230769</v>
      </c>
      <c r="S110" s="153">
        <f t="shared" si="50"/>
        <v>0.523809523809524</v>
      </c>
      <c r="T110" s="153">
        <f t="shared" si="50"/>
        <v>0.528301886792453</v>
      </c>
      <c r="U110" s="153">
        <f t="shared" si="50"/>
        <v>0.532710280373832</v>
      </c>
      <c r="V110" s="153">
        <f t="shared" si="50"/>
        <v>0.537037037037037</v>
      </c>
      <c r="W110" s="153">
        <f t="shared" si="50"/>
        <v>0.541284403669725</v>
      </c>
      <c r="X110" s="153">
        <f t="shared" si="50"/>
        <v>0.545454545454545</v>
      </c>
      <c r="Y110" s="153">
        <f t="shared" si="50"/>
        <v>0.54954954954955</v>
      </c>
      <c r="Z110" s="153">
        <f t="shared" si="50"/>
        <v>0.553571428571429</v>
      </c>
      <c r="AA110" s="153">
        <f t="shared" si="50"/>
        <v>0.557522123893805</v>
      </c>
      <c r="AB110" s="153">
        <f t="shared" si="50"/>
        <v>0.56140350877193</v>
      </c>
      <c r="AC110" s="153">
        <f t="shared" si="50"/>
        <v>0.565217391304348</v>
      </c>
      <c r="AD110" s="153">
        <f t="shared" si="50"/>
        <v>0.568965517241379</v>
      </c>
      <c r="AE110" s="153">
        <f t="shared" si="50"/>
        <v>0.572649572649573</v>
      </c>
      <c r="AF110" s="153">
        <f t="shared" si="50"/>
        <v>0.576271186440678</v>
      </c>
      <c r="AG110" s="153">
        <f t="shared" si="50"/>
        <v>0.579831932773109</v>
      </c>
    </row>
    <row r="111" customHeight="1" spans="1:33">
      <c r="A111" s="152"/>
      <c r="B111" s="285" t="s">
        <v>538</v>
      </c>
      <c r="C111" s="152">
        <f t="shared" ref="C111:AG111" si="51">C101/C99</f>
        <v>-0.153846153846154</v>
      </c>
      <c r="D111" s="152">
        <f t="shared" si="51"/>
        <v>-0.125</v>
      </c>
      <c r="E111" s="152">
        <f t="shared" si="51"/>
        <v>-0.0975609756097561</v>
      </c>
      <c r="F111" s="152">
        <f t="shared" si="51"/>
        <v>-0.0714285714285714</v>
      </c>
      <c r="G111" s="152">
        <f t="shared" si="51"/>
        <v>-0.0465116279069767</v>
      </c>
      <c r="H111" s="152">
        <f t="shared" si="51"/>
        <v>-0.0227272727272727</v>
      </c>
      <c r="I111" s="152">
        <f t="shared" si="51"/>
        <v>0</v>
      </c>
      <c r="J111" s="152">
        <f t="shared" si="51"/>
        <v>0.0217391304347826</v>
      </c>
      <c r="K111" s="152">
        <f t="shared" si="51"/>
        <v>0.0425531914893617</v>
      </c>
      <c r="L111" s="152">
        <f t="shared" si="51"/>
        <v>0.0625</v>
      </c>
      <c r="M111" s="152">
        <f t="shared" si="51"/>
        <v>0.0816326530612245</v>
      </c>
      <c r="N111" s="152">
        <f t="shared" si="51"/>
        <v>0.1</v>
      </c>
      <c r="O111" s="152">
        <f t="shared" si="51"/>
        <v>0.117647058823529</v>
      </c>
      <c r="P111" s="152">
        <f t="shared" si="51"/>
        <v>0.134615384615385</v>
      </c>
      <c r="Q111" s="152">
        <f t="shared" si="51"/>
        <v>0.150943396226415</v>
      </c>
      <c r="R111" s="152">
        <f t="shared" si="51"/>
        <v>0.166666666666667</v>
      </c>
      <c r="S111" s="152">
        <f t="shared" si="51"/>
        <v>0.181818181818182</v>
      </c>
      <c r="T111" s="152">
        <f t="shared" si="51"/>
        <v>0.196428571428571</v>
      </c>
      <c r="U111" s="152">
        <f t="shared" si="51"/>
        <v>0.210526315789474</v>
      </c>
      <c r="V111" s="152">
        <f t="shared" si="51"/>
        <v>0.224137931034483</v>
      </c>
      <c r="W111" s="152">
        <f t="shared" si="51"/>
        <v>0.23728813559322</v>
      </c>
      <c r="X111" s="152">
        <f t="shared" si="51"/>
        <v>0.25</v>
      </c>
      <c r="Y111" s="152">
        <f t="shared" si="51"/>
        <v>0.262295081967213</v>
      </c>
      <c r="Z111" s="152">
        <f t="shared" si="51"/>
        <v>0.274193548387097</v>
      </c>
      <c r="AA111" s="152">
        <f t="shared" si="51"/>
        <v>0.285714285714286</v>
      </c>
      <c r="AB111" s="152">
        <f t="shared" si="51"/>
        <v>0.296875</v>
      </c>
      <c r="AC111" s="152">
        <f t="shared" si="51"/>
        <v>0.307692307692308</v>
      </c>
      <c r="AD111" s="152">
        <f t="shared" si="51"/>
        <v>0.318181818181818</v>
      </c>
      <c r="AE111" s="152">
        <f t="shared" si="51"/>
        <v>0.328358208955224</v>
      </c>
      <c r="AF111" s="152">
        <f t="shared" si="51"/>
        <v>0.338235294117647</v>
      </c>
      <c r="AG111" s="152">
        <f t="shared" si="51"/>
        <v>0.347826086956522</v>
      </c>
    </row>
    <row r="112" customHeight="1" spans="1:33">
      <c r="A112" s="153"/>
      <c r="B112" s="283" t="s">
        <v>539</v>
      </c>
      <c r="C112" s="153">
        <f t="shared" ref="C112:AG112" si="52">C100/C99</f>
        <v>0.230769230769231</v>
      </c>
      <c r="D112" s="153">
        <f t="shared" si="52"/>
        <v>0.25</v>
      </c>
      <c r="E112" s="153">
        <f t="shared" si="52"/>
        <v>0.268292682926829</v>
      </c>
      <c r="F112" s="153">
        <f t="shared" si="52"/>
        <v>0.285714285714286</v>
      </c>
      <c r="G112" s="153">
        <f t="shared" si="52"/>
        <v>0.302325581395349</v>
      </c>
      <c r="H112" s="153">
        <f t="shared" si="52"/>
        <v>0.318181818181818</v>
      </c>
      <c r="I112" s="153">
        <f t="shared" si="52"/>
        <v>0.333333333333333</v>
      </c>
      <c r="J112" s="153">
        <f t="shared" si="52"/>
        <v>0.347826086956522</v>
      </c>
      <c r="K112" s="153">
        <f t="shared" si="52"/>
        <v>0.361702127659574</v>
      </c>
      <c r="L112" s="153">
        <f t="shared" si="52"/>
        <v>0.375</v>
      </c>
      <c r="M112" s="153">
        <f t="shared" si="52"/>
        <v>0.387755102040816</v>
      </c>
      <c r="N112" s="153">
        <f t="shared" si="52"/>
        <v>0.4</v>
      </c>
      <c r="O112" s="153">
        <f t="shared" si="52"/>
        <v>0.411764705882353</v>
      </c>
      <c r="P112" s="153">
        <f t="shared" si="52"/>
        <v>0.423076923076923</v>
      </c>
      <c r="Q112" s="153">
        <f t="shared" si="52"/>
        <v>0.433962264150943</v>
      </c>
      <c r="R112" s="153">
        <f t="shared" si="52"/>
        <v>0.444444444444444</v>
      </c>
      <c r="S112" s="153">
        <f t="shared" si="52"/>
        <v>0.454545454545455</v>
      </c>
      <c r="T112" s="153">
        <f t="shared" si="52"/>
        <v>0.464285714285714</v>
      </c>
      <c r="U112" s="153">
        <f t="shared" si="52"/>
        <v>0.473684210526316</v>
      </c>
      <c r="V112" s="153">
        <f t="shared" si="52"/>
        <v>0.482758620689655</v>
      </c>
      <c r="W112" s="153">
        <f t="shared" si="52"/>
        <v>0.491525423728814</v>
      </c>
      <c r="X112" s="153">
        <f t="shared" si="52"/>
        <v>0.5</v>
      </c>
      <c r="Y112" s="153">
        <f t="shared" si="52"/>
        <v>0.508196721311475</v>
      </c>
      <c r="Z112" s="153">
        <f t="shared" si="52"/>
        <v>0.516129032258065</v>
      </c>
      <c r="AA112" s="153">
        <f t="shared" si="52"/>
        <v>0.523809523809524</v>
      </c>
      <c r="AB112" s="153">
        <f t="shared" si="52"/>
        <v>0.53125</v>
      </c>
      <c r="AC112" s="153">
        <f t="shared" si="52"/>
        <v>0.538461538461538</v>
      </c>
      <c r="AD112" s="153">
        <f t="shared" si="52"/>
        <v>0.545454545454545</v>
      </c>
      <c r="AE112" s="153">
        <f t="shared" si="52"/>
        <v>0.552238805970149</v>
      </c>
      <c r="AF112" s="153">
        <f t="shared" si="52"/>
        <v>0.558823529411765</v>
      </c>
      <c r="AG112" s="153">
        <f t="shared" si="52"/>
        <v>0.565217391304348</v>
      </c>
    </row>
    <row r="113" customHeight="1" spans="1:33">
      <c r="A113" s="153"/>
      <c r="B113" s="283" t="s">
        <v>540</v>
      </c>
      <c r="C113" s="153">
        <f t="shared" ref="C113:AG113" si="53">C94/C93</f>
        <v>0.089989888776542</v>
      </c>
      <c r="D113" s="153">
        <f t="shared" si="53"/>
        <v>0.0909090909090909</v>
      </c>
      <c r="E113" s="153">
        <f t="shared" si="53"/>
        <v>0.0918264379414733</v>
      </c>
      <c r="F113" s="153">
        <f t="shared" si="53"/>
        <v>0.092741935483871</v>
      </c>
      <c r="G113" s="153">
        <f t="shared" si="53"/>
        <v>0.0936555891238671</v>
      </c>
      <c r="H113" s="153">
        <f t="shared" si="53"/>
        <v>0.0945674044265594</v>
      </c>
      <c r="I113" s="153">
        <f t="shared" si="53"/>
        <v>0.0954773869346734</v>
      </c>
      <c r="J113" s="153">
        <f t="shared" si="53"/>
        <v>0.0963855421686747</v>
      </c>
      <c r="K113" s="153">
        <f t="shared" si="53"/>
        <v>0.0972918756268806</v>
      </c>
      <c r="L113" s="153">
        <f t="shared" si="53"/>
        <v>0.0981963927855711</v>
      </c>
      <c r="M113" s="153">
        <f t="shared" si="53"/>
        <v>0.0990990990990991</v>
      </c>
      <c r="N113" s="153">
        <f t="shared" si="53"/>
        <v>0.1</v>
      </c>
      <c r="O113" s="153">
        <f t="shared" si="53"/>
        <v>0.100899100899101</v>
      </c>
      <c r="P113" s="153">
        <f t="shared" si="53"/>
        <v>0.101796407185629</v>
      </c>
      <c r="Q113" s="153">
        <f t="shared" si="53"/>
        <v>0.102691924227318</v>
      </c>
      <c r="R113" s="153">
        <f t="shared" si="53"/>
        <v>0.103585657370518</v>
      </c>
      <c r="S113" s="153">
        <f t="shared" si="53"/>
        <v>0.104477611940299</v>
      </c>
      <c r="T113" s="153">
        <f t="shared" si="53"/>
        <v>0.105367793240557</v>
      </c>
      <c r="U113" s="153">
        <f t="shared" si="53"/>
        <v>0.106256206554121</v>
      </c>
      <c r="V113" s="153">
        <f t="shared" si="53"/>
        <v>0.107142857142857</v>
      </c>
      <c r="W113" s="153">
        <f t="shared" si="53"/>
        <v>0.10802775024777</v>
      </c>
      <c r="X113" s="153">
        <f t="shared" si="53"/>
        <v>0.108910891089109</v>
      </c>
      <c r="Y113" s="153">
        <f t="shared" si="53"/>
        <v>0.109792284866469</v>
      </c>
      <c r="Z113" s="153">
        <f t="shared" si="53"/>
        <v>0.110671936758893</v>
      </c>
      <c r="AA113" s="153">
        <f t="shared" si="53"/>
        <v>0.111549851924975</v>
      </c>
      <c r="AB113" s="153">
        <f t="shared" si="53"/>
        <v>0.112426035502959</v>
      </c>
      <c r="AC113" s="153">
        <f t="shared" si="53"/>
        <v>0.113300492610837</v>
      </c>
      <c r="AD113" s="153">
        <f t="shared" si="53"/>
        <v>0.114173228346457</v>
      </c>
      <c r="AE113" s="153">
        <f t="shared" si="53"/>
        <v>0.115044247787611</v>
      </c>
      <c r="AF113" s="153">
        <f t="shared" si="53"/>
        <v>0.115913555992141</v>
      </c>
      <c r="AG113" s="153">
        <f t="shared" si="53"/>
        <v>0.116781157998037</v>
      </c>
    </row>
    <row r="114" customHeight="1" spans="1:33">
      <c r="A114" s="152"/>
      <c r="B114" s="286" t="s">
        <v>103</v>
      </c>
      <c r="C114" s="152">
        <f t="shared" ref="C114:AG114" si="54">C95/C94</f>
        <v>1</v>
      </c>
      <c r="D114" s="152">
        <f t="shared" si="54"/>
        <v>1</v>
      </c>
      <c r="E114" s="152">
        <f t="shared" si="54"/>
        <v>1</v>
      </c>
      <c r="F114" s="152">
        <f t="shared" si="54"/>
        <v>1</v>
      </c>
      <c r="G114" s="152">
        <f t="shared" si="54"/>
        <v>1</v>
      </c>
      <c r="H114" s="152">
        <f t="shared" si="54"/>
        <v>1</v>
      </c>
      <c r="I114" s="152">
        <f t="shared" si="54"/>
        <v>1</v>
      </c>
      <c r="J114" s="152">
        <f t="shared" si="54"/>
        <v>1</v>
      </c>
      <c r="K114" s="152">
        <f t="shared" si="54"/>
        <v>1</v>
      </c>
      <c r="L114" s="152">
        <f t="shared" si="54"/>
        <v>1</v>
      </c>
      <c r="M114" s="152">
        <f t="shared" si="54"/>
        <v>1</v>
      </c>
      <c r="N114" s="152">
        <f t="shared" si="54"/>
        <v>1</v>
      </c>
      <c r="O114" s="152">
        <f t="shared" si="54"/>
        <v>1</v>
      </c>
      <c r="P114" s="152">
        <f t="shared" si="54"/>
        <v>1</v>
      </c>
      <c r="Q114" s="152">
        <f t="shared" si="54"/>
        <v>1</v>
      </c>
      <c r="R114" s="152">
        <f t="shared" si="54"/>
        <v>1</v>
      </c>
      <c r="S114" s="152">
        <f t="shared" si="54"/>
        <v>1</v>
      </c>
      <c r="T114" s="152">
        <f t="shared" si="54"/>
        <v>1</v>
      </c>
      <c r="U114" s="152">
        <f t="shared" si="54"/>
        <v>1</v>
      </c>
      <c r="V114" s="152">
        <f t="shared" si="54"/>
        <v>1</v>
      </c>
      <c r="W114" s="152">
        <f t="shared" si="54"/>
        <v>1</v>
      </c>
      <c r="X114" s="152">
        <f t="shared" si="54"/>
        <v>1</v>
      </c>
      <c r="Y114" s="152">
        <f t="shared" si="54"/>
        <v>1</v>
      </c>
      <c r="Z114" s="152">
        <f t="shared" si="54"/>
        <v>1</v>
      </c>
      <c r="AA114" s="152">
        <f t="shared" si="54"/>
        <v>1</v>
      </c>
      <c r="AB114" s="152">
        <f t="shared" si="54"/>
        <v>1</v>
      </c>
      <c r="AC114" s="152">
        <f t="shared" si="54"/>
        <v>1</v>
      </c>
      <c r="AD114" s="152">
        <f t="shared" si="54"/>
        <v>1</v>
      </c>
      <c r="AE114" s="152">
        <f t="shared" si="54"/>
        <v>1</v>
      </c>
      <c r="AF114" s="152">
        <f t="shared" si="54"/>
        <v>1</v>
      </c>
      <c r="AG114" s="152">
        <f t="shared" si="54"/>
        <v>1</v>
      </c>
    </row>
    <row r="115" customHeight="1" spans="1:33">
      <c r="A115" s="145"/>
      <c r="B115" s="287" t="s">
        <v>541</v>
      </c>
      <c r="C115" s="145">
        <f t="shared" ref="C115:AG115" si="55">C94-C97</f>
        <v>89</v>
      </c>
      <c r="D115" s="145">
        <f t="shared" si="55"/>
        <v>89</v>
      </c>
      <c r="E115" s="145">
        <f t="shared" si="55"/>
        <v>89</v>
      </c>
      <c r="F115" s="145">
        <f t="shared" si="55"/>
        <v>89</v>
      </c>
      <c r="G115" s="145">
        <f t="shared" si="55"/>
        <v>89</v>
      </c>
      <c r="H115" s="145">
        <f t="shared" si="55"/>
        <v>89</v>
      </c>
      <c r="I115" s="145">
        <f t="shared" si="55"/>
        <v>89</v>
      </c>
      <c r="J115" s="145">
        <f t="shared" si="55"/>
        <v>89</v>
      </c>
      <c r="K115" s="145">
        <f t="shared" si="55"/>
        <v>89</v>
      </c>
      <c r="L115" s="145">
        <f t="shared" si="55"/>
        <v>89</v>
      </c>
      <c r="M115" s="145">
        <f t="shared" si="55"/>
        <v>89</v>
      </c>
      <c r="N115" s="145">
        <f t="shared" si="55"/>
        <v>89</v>
      </c>
      <c r="O115" s="145">
        <f t="shared" si="55"/>
        <v>89</v>
      </c>
      <c r="P115" s="145">
        <f t="shared" si="55"/>
        <v>89</v>
      </c>
      <c r="Q115" s="145">
        <f t="shared" si="55"/>
        <v>89</v>
      </c>
      <c r="R115" s="145">
        <f t="shared" si="55"/>
        <v>89</v>
      </c>
      <c r="S115" s="145">
        <f t="shared" si="55"/>
        <v>89</v>
      </c>
      <c r="T115" s="145">
        <f t="shared" si="55"/>
        <v>89</v>
      </c>
      <c r="U115" s="145">
        <f t="shared" si="55"/>
        <v>89</v>
      </c>
      <c r="V115" s="145">
        <f t="shared" si="55"/>
        <v>89</v>
      </c>
      <c r="W115" s="145">
        <f t="shared" si="55"/>
        <v>89</v>
      </c>
      <c r="X115" s="145">
        <f t="shared" si="55"/>
        <v>89</v>
      </c>
      <c r="Y115" s="145">
        <f t="shared" si="55"/>
        <v>89</v>
      </c>
      <c r="Z115" s="145">
        <f t="shared" si="55"/>
        <v>89</v>
      </c>
      <c r="AA115" s="145">
        <f t="shared" si="55"/>
        <v>89</v>
      </c>
      <c r="AB115" s="145">
        <f t="shared" si="55"/>
        <v>89</v>
      </c>
      <c r="AC115" s="145">
        <f t="shared" si="55"/>
        <v>89</v>
      </c>
      <c r="AD115" s="145">
        <f t="shared" si="55"/>
        <v>89</v>
      </c>
      <c r="AE115" s="145">
        <f t="shared" si="55"/>
        <v>89</v>
      </c>
      <c r="AF115" s="145">
        <f t="shared" si="55"/>
        <v>89</v>
      </c>
      <c r="AG115" s="145">
        <f t="shared" si="55"/>
        <v>89</v>
      </c>
    </row>
    <row r="116" customHeight="1" spans="1:33">
      <c r="A116" s="152"/>
      <c r="B116" s="286" t="s">
        <v>542</v>
      </c>
      <c r="C116" s="152">
        <f t="shared" ref="C116:AG116" si="56">C95-C114*C97</f>
        <v>89</v>
      </c>
      <c r="D116" s="152">
        <f t="shared" si="56"/>
        <v>89</v>
      </c>
      <c r="E116" s="152">
        <f t="shared" si="56"/>
        <v>89</v>
      </c>
      <c r="F116" s="152">
        <f t="shared" si="56"/>
        <v>89</v>
      </c>
      <c r="G116" s="152">
        <f t="shared" si="56"/>
        <v>89</v>
      </c>
      <c r="H116" s="152">
        <f t="shared" si="56"/>
        <v>89</v>
      </c>
      <c r="I116" s="152">
        <f t="shared" si="56"/>
        <v>89</v>
      </c>
      <c r="J116" s="152">
        <f t="shared" si="56"/>
        <v>89</v>
      </c>
      <c r="K116" s="152">
        <f t="shared" si="56"/>
        <v>89</v>
      </c>
      <c r="L116" s="152">
        <f t="shared" si="56"/>
        <v>89</v>
      </c>
      <c r="M116" s="152">
        <f t="shared" si="56"/>
        <v>89</v>
      </c>
      <c r="N116" s="152">
        <f t="shared" si="56"/>
        <v>89</v>
      </c>
      <c r="O116" s="152">
        <f t="shared" si="56"/>
        <v>89</v>
      </c>
      <c r="P116" s="152">
        <f t="shared" si="56"/>
        <v>89</v>
      </c>
      <c r="Q116" s="152">
        <f t="shared" si="56"/>
        <v>89</v>
      </c>
      <c r="R116" s="152">
        <f t="shared" si="56"/>
        <v>89</v>
      </c>
      <c r="S116" s="152">
        <f t="shared" si="56"/>
        <v>89</v>
      </c>
      <c r="T116" s="152">
        <f t="shared" si="56"/>
        <v>89</v>
      </c>
      <c r="U116" s="152">
        <f t="shared" si="56"/>
        <v>89</v>
      </c>
      <c r="V116" s="152">
        <f t="shared" si="56"/>
        <v>89</v>
      </c>
      <c r="W116" s="152">
        <f t="shared" si="56"/>
        <v>89</v>
      </c>
      <c r="X116" s="152">
        <f t="shared" si="56"/>
        <v>89</v>
      </c>
      <c r="Y116" s="152">
        <f t="shared" si="56"/>
        <v>89</v>
      </c>
      <c r="Z116" s="152">
        <f t="shared" si="56"/>
        <v>89</v>
      </c>
      <c r="AA116" s="152">
        <f t="shared" si="56"/>
        <v>89</v>
      </c>
      <c r="AB116" s="152">
        <f t="shared" si="56"/>
        <v>89</v>
      </c>
      <c r="AC116" s="152">
        <f t="shared" si="56"/>
        <v>89</v>
      </c>
      <c r="AD116" s="152">
        <f t="shared" si="56"/>
        <v>89</v>
      </c>
      <c r="AE116" s="152">
        <f t="shared" si="56"/>
        <v>89</v>
      </c>
      <c r="AF116" s="152">
        <f t="shared" si="56"/>
        <v>89</v>
      </c>
      <c r="AG116" s="152">
        <f t="shared" si="56"/>
        <v>89</v>
      </c>
    </row>
    <row r="117" customHeight="1" spans="1:33">
      <c r="A117" s="288"/>
      <c r="B117" s="289" t="s">
        <v>543</v>
      </c>
      <c r="C117" s="288">
        <f t="shared" ref="C117:AG117" si="57">C96+C101</f>
        <v>-7</v>
      </c>
      <c r="D117" s="288">
        <f t="shared" si="57"/>
        <v>-5</v>
      </c>
      <c r="E117" s="288">
        <f t="shared" si="57"/>
        <v>-3</v>
      </c>
      <c r="F117" s="288">
        <f t="shared" si="57"/>
        <v>-1</v>
      </c>
      <c r="G117" s="288">
        <f t="shared" si="57"/>
        <v>1</v>
      </c>
      <c r="H117" s="288">
        <f t="shared" si="57"/>
        <v>3</v>
      </c>
      <c r="I117" s="288">
        <f t="shared" si="57"/>
        <v>5</v>
      </c>
      <c r="J117" s="288">
        <f t="shared" si="57"/>
        <v>7</v>
      </c>
      <c r="K117" s="288">
        <f t="shared" si="57"/>
        <v>9</v>
      </c>
      <c r="L117" s="288">
        <f t="shared" si="57"/>
        <v>11</v>
      </c>
      <c r="M117" s="288">
        <f t="shared" si="57"/>
        <v>13</v>
      </c>
      <c r="N117" s="288">
        <f t="shared" si="57"/>
        <v>15</v>
      </c>
      <c r="O117" s="288">
        <f t="shared" si="57"/>
        <v>17</v>
      </c>
      <c r="P117" s="288">
        <f t="shared" si="57"/>
        <v>19</v>
      </c>
      <c r="Q117" s="288">
        <f t="shared" si="57"/>
        <v>21</v>
      </c>
      <c r="R117" s="288">
        <f t="shared" si="57"/>
        <v>23</v>
      </c>
      <c r="S117" s="288">
        <f t="shared" si="57"/>
        <v>25</v>
      </c>
      <c r="T117" s="288">
        <f t="shared" si="57"/>
        <v>27</v>
      </c>
      <c r="U117" s="288">
        <f t="shared" si="57"/>
        <v>29</v>
      </c>
      <c r="V117" s="288">
        <f t="shared" si="57"/>
        <v>31</v>
      </c>
      <c r="W117" s="288">
        <f t="shared" si="57"/>
        <v>33</v>
      </c>
      <c r="X117" s="288">
        <f t="shared" si="57"/>
        <v>35</v>
      </c>
      <c r="Y117" s="288">
        <f t="shared" si="57"/>
        <v>37</v>
      </c>
      <c r="Z117" s="288">
        <f t="shared" si="57"/>
        <v>39</v>
      </c>
      <c r="AA117" s="288">
        <f t="shared" si="57"/>
        <v>41</v>
      </c>
      <c r="AB117" s="288">
        <f t="shared" si="57"/>
        <v>43</v>
      </c>
      <c r="AC117" s="288">
        <f t="shared" si="57"/>
        <v>45</v>
      </c>
      <c r="AD117" s="288">
        <f t="shared" si="57"/>
        <v>47</v>
      </c>
      <c r="AE117" s="288">
        <f t="shared" si="57"/>
        <v>49</v>
      </c>
      <c r="AF117" s="288">
        <f t="shared" si="57"/>
        <v>51</v>
      </c>
      <c r="AG117" s="288">
        <f t="shared" si="57"/>
        <v>53</v>
      </c>
    </row>
    <row r="118" customHeight="1" spans="1:33">
      <c r="A118" s="153"/>
      <c r="B118" s="283" t="s">
        <v>544</v>
      </c>
      <c r="C118" s="153">
        <f t="shared" ref="C118:AG118" si="58">C117/C116</f>
        <v>-0.0786516853932584</v>
      </c>
      <c r="D118" s="153">
        <f t="shared" si="58"/>
        <v>-0.0561797752808989</v>
      </c>
      <c r="E118" s="153">
        <f t="shared" si="58"/>
        <v>-0.0337078651685393</v>
      </c>
      <c r="F118" s="153">
        <f t="shared" si="58"/>
        <v>-0.0112359550561798</v>
      </c>
      <c r="G118" s="153">
        <f t="shared" si="58"/>
        <v>0.0112359550561798</v>
      </c>
      <c r="H118" s="153">
        <f t="shared" si="58"/>
        <v>0.0337078651685393</v>
      </c>
      <c r="I118" s="153">
        <f t="shared" si="58"/>
        <v>0.0561797752808989</v>
      </c>
      <c r="J118" s="153">
        <f t="shared" si="58"/>
        <v>0.0786516853932584</v>
      </c>
      <c r="K118" s="153">
        <f t="shared" si="58"/>
        <v>0.101123595505618</v>
      </c>
      <c r="L118" s="153">
        <f t="shared" si="58"/>
        <v>0.123595505617978</v>
      </c>
      <c r="M118" s="153">
        <f t="shared" si="58"/>
        <v>0.146067415730337</v>
      </c>
      <c r="N118" s="153">
        <f t="shared" si="58"/>
        <v>0.168539325842697</v>
      </c>
      <c r="O118" s="153">
        <f t="shared" si="58"/>
        <v>0.191011235955056</v>
      </c>
      <c r="P118" s="153">
        <f t="shared" si="58"/>
        <v>0.213483146067416</v>
      </c>
      <c r="Q118" s="153">
        <f t="shared" si="58"/>
        <v>0.235955056179775</v>
      </c>
      <c r="R118" s="153">
        <f t="shared" si="58"/>
        <v>0.258426966292135</v>
      </c>
      <c r="S118" s="153">
        <f t="shared" si="58"/>
        <v>0.280898876404494</v>
      </c>
      <c r="T118" s="153">
        <f t="shared" si="58"/>
        <v>0.303370786516854</v>
      </c>
      <c r="U118" s="153">
        <f t="shared" si="58"/>
        <v>0.325842696629214</v>
      </c>
      <c r="V118" s="153">
        <f t="shared" si="58"/>
        <v>0.348314606741573</v>
      </c>
      <c r="W118" s="153">
        <f t="shared" si="58"/>
        <v>0.370786516853933</v>
      </c>
      <c r="X118" s="153">
        <f t="shared" si="58"/>
        <v>0.393258426966292</v>
      </c>
      <c r="Y118" s="153">
        <f t="shared" si="58"/>
        <v>0.415730337078652</v>
      </c>
      <c r="Z118" s="153">
        <f t="shared" si="58"/>
        <v>0.438202247191011</v>
      </c>
      <c r="AA118" s="153">
        <f t="shared" si="58"/>
        <v>0.460674157303371</v>
      </c>
      <c r="AB118" s="153">
        <f t="shared" si="58"/>
        <v>0.48314606741573</v>
      </c>
      <c r="AC118" s="153">
        <f t="shared" si="58"/>
        <v>0.50561797752809</v>
      </c>
      <c r="AD118" s="153">
        <f t="shared" si="58"/>
        <v>0.528089887640449</v>
      </c>
      <c r="AE118" s="153">
        <f t="shared" si="58"/>
        <v>0.550561797752809</v>
      </c>
      <c r="AF118" s="153">
        <f t="shared" si="58"/>
        <v>0.573033707865168</v>
      </c>
      <c r="AG118" s="153">
        <f t="shared" si="58"/>
        <v>0.595505617977528</v>
      </c>
    </row>
    <row r="119" customHeight="1" spans="1:33">
      <c r="A119" s="153"/>
      <c r="B119" s="283" t="s">
        <v>545</v>
      </c>
      <c r="C119" s="153" t="s">
        <v>546</v>
      </c>
      <c r="D119" s="153" t="s">
        <v>546</v>
      </c>
      <c r="E119" s="153" t="s">
        <v>546</v>
      </c>
      <c r="F119" s="153" t="s">
        <v>546</v>
      </c>
      <c r="G119" s="153" t="s">
        <v>546</v>
      </c>
      <c r="H119" s="153" t="s">
        <v>546</v>
      </c>
      <c r="I119" s="153" t="s">
        <v>546</v>
      </c>
      <c r="J119" s="153" t="s">
        <v>546</v>
      </c>
      <c r="K119" s="153" t="s">
        <v>546</v>
      </c>
      <c r="L119" s="153" t="s">
        <v>546</v>
      </c>
      <c r="M119" s="153">
        <f t="shared" ref="M119:AG119" si="59">(M94-F94)/F94</f>
        <v>0.0760869565217391</v>
      </c>
      <c r="N119" s="153">
        <f t="shared" si="59"/>
        <v>0.0752688172043011</v>
      </c>
      <c r="O119" s="153">
        <f t="shared" si="59"/>
        <v>0.074468085106383</v>
      </c>
      <c r="P119" s="153">
        <f t="shared" si="59"/>
        <v>0.0736842105263158</v>
      </c>
      <c r="Q119" s="153">
        <f t="shared" si="59"/>
        <v>0.0729166666666667</v>
      </c>
      <c r="R119" s="153">
        <f t="shared" si="59"/>
        <v>0.0721649484536082</v>
      </c>
      <c r="S119" s="153">
        <f t="shared" si="59"/>
        <v>0.0714285714285714</v>
      </c>
      <c r="T119" s="153">
        <f t="shared" si="59"/>
        <v>0.0707070707070707</v>
      </c>
      <c r="U119" s="153">
        <f t="shared" si="59"/>
        <v>0.07</v>
      </c>
      <c r="V119" s="153">
        <f t="shared" si="59"/>
        <v>0.0693069306930693</v>
      </c>
      <c r="W119" s="153">
        <f t="shared" si="59"/>
        <v>0.0686274509803922</v>
      </c>
      <c r="X119" s="153">
        <f t="shared" si="59"/>
        <v>0.0679611650485437</v>
      </c>
      <c r="Y119" s="153">
        <f t="shared" si="59"/>
        <v>0.0673076923076923</v>
      </c>
      <c r="Z119" s="153">
        <f t="shared" si="59"/>
        <v>0.0666666666666667</v>
      </c>
      <c r="AA119" s="153">
        <f t="shared" si="59"/>
        <v>0.0660377358490566</v>
      </c>
      <c r="AB119" s="153">
        <f t="shared" si="59"/>
        <v>0.0654205607476635</v>
      </c>
      <c r="AC119" s="153">
        <f t="shared" si="59"/>
        <v>0.0648148148148148</v>
      </c>
      <c r="AD119" s="153">
        <f t="shared" si="59"/>
        <v>0.0642201834862385</v>
      </c>
      <c r="AE119" s="153">
        <f t="shared" si="59"/>
        <v>0.0636363636363636</v>
      </c>
      <c r="AF119" s="153">
        <f t="shared" si="59"/>
        <v>0.0630630630630631</v>
      </c>
      <c r="AG119" s="153">
        <f t="shared" si="59"/>
        <v>0.0625</v>
      </c>
    </row>
  </sheetData>
  <sheetProtection formatCells="0" insertHyperlinks="0" autoFilter="0"/>
  <mergeCells count="16">
    <mergeCell ref="A1:A7"/>
    <mergeCell ref="A8:A11"/>
    <mergeCell ref="A12:A18"/>
    <mergeCell ref="A19:A29"/>
    <mergeCell ref="A31:A37"/>
    <mergeCell ref="A38:A41"/>
    <mergeCell ref="A42:A48"/>
    <mergeCell ref="A49:A59"/>
    <mergeCell ref="A61:A67"/>
    <mergeCell ref="A68:A71"/>
    <mergeCell ref="A72:A78"/>
    <mergeCell ref="A79:A89"/>
    <mergeCell ref="A91:A97"/>
    <mergeCell ref="A98:A101"/>
    <mergeCell ref="A102:A108"/>
    <mergeCell ref="A109:A1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11" sqref="C11:O11"/>
    </sheetView>
  </sheetViews>
  <sheetFormatPr defaultColWidth="9" defaultRowHeight="14.25"/>
  <cols>
    <col min="1" max="16384" width="9" style="26"/>
  </cols>
  <sheetData>
    <row r="1" s="26" customFormat="1" ht="28.5" customHeight="1" spans="1:15">
      <c r="A1" s="236" t="s">
        <v>550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48" t="s">
        <v>551</v>
      </c>
      <c r="M1" s="249" t="s">
        <v>552</v>
      </c>
      <c r="N1" s="249"/>
      <c r="O1" s="249"/>
    </row>
    <row r="2" s="26" customFormat="1" ht="21.75" customHeight="1" spans="1:15">
      <c r="A2" s="237" t="s">
        <v>553</v>
      </c>
      <c r="B2" s="237"/>
      <c r="C2" s="237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</row>
    <row r="3" s="26" customFormat="1" ht="21.75" customHeight="1" spans="1:15">
      <c r="A3" s="237" t="s">
        <v>554</v>
      </c>
      <c r="B3" s="237"/>
      <c r="C3" s="237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</row>
    <row r="4" s="26" customFormat="1" ht="27" customHeight="1" spans="1:16">
      <c r="A4" s="237" t="s">
        <v>555</v>
      </c>
      <c r="B4" s="237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50"/>
    </row>
    <row r="5" s="26" customFormat="1" ht="27" customHeight="1" spans="1:16">
      <c r="A5" s="237" t="s">
        <v>556</v>
      </c>
      <c r="B5" s="237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51"/>
    </row>
    <row r="6" s="26" customFormat="1" ht="27" customHeight="1" spans="1:16">
      <c r="A6" s="237" t="s">
        <v>557</v>
      </c>
      <c r="B6" s="237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51"/>
    </row>
    <row r="7" s="26" customFormat="1" ht="27" customHeight="1" spans="1:16">
      <c r="A7" s="239" t="s">
        <v>558</v>
      </c>
      <c r="B7" s="239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51"/>
    </row>
    <row r="8" s="26" customFormat="1" ht="24" customHeight="1" spans="1:16">
      <c r="A8" s="239"/>
      <c r="B8" s="239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51"/>
    </row>
    <row r="9" s="26" customFormat="1" ht="258.75" customHeight="1" spans="1:16">
      <c r="A9" s="240" t="s">
        <v>559</v>
      </c>
      <c r="B9" s="240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52"/>
    </row>
    <row r="10" s="26" customFormat="1" ht="219" customHeight="1" spans="1:16">
      <c r="A10" s="240"/>
      <c r="B10" s="240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52"/>
    </row>
    <row r="11" s="26" customFormat="1" ht="369" customHeight="1" spans="1:16">
      <c r="A11" s="240" t="s">
        <v>560</v>
      </c>
      <c r="B11" s="240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53"/>
    </row>
    <row r="12" s="26" customFormat="1" spans="1:15">
      <c r="A12" s="241" t="s">
        <v>561</v>
      </c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</row>
    <row r="13" s="26" customFormat="1" spans="1:15">
      <c r="A13" s="242"/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54"/>
    </row>
    <row r="14" s="26" customFormat="1" spans="1:15">
      <c r="A14" s="244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55"/>
    </row>
    <row r="15" s="26" customFormat="1" spans="1:15">
      <c r="A15" s="244"/>
      <c r="B15" s="245"/>
      <c r="C15" s="245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55"/>
    </row>
    <row r="16" s="26" customFormat="1" spans="1:15">
      <c r="A16" s="24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55"/>
    </row>
    <row r="17" s="26" customFormat="1" spans="1:15">
      <c r="A17" s="244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55"/>
    </row>
    <row r="18" s="26" customFormat="1" spans="1:15">
      <c r="A18" s="244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55"/>
    </row>
    <row r="19" s="26" customFormat="1" spans="1:15">
      <c r="A19" s="244"/>
      <c r="B19" s="245"/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55"/>
    </row>
    <row r="20" s="26" customFormat="1" spans="1:15">
      <c r="A20" s="244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55"/>
    </row>
    <row r="21" s="26" customFormat="1" spans="1:15">
      <c r="A21" s="244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55"/>
    </row>
    <row r="22" s="26" customFormat="1" spans="1:15">
      <c r="A22" s="246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56"/>
    </row>
  </sheetData>
  <sheetProtection formatCells="0" insertHyperlinks="0" autoFilter="0"/>
  <mergeCells count="19">
    <mergeCell ref="A1:K1"/>
    <mergeCell ref="M1:O1"/>
    <mergeCell ref="A2:C2"/>
    <mergeCell ref="D2:O2"/>
    <mergeCell ref="A3:C3"/>
    <mergeCell ref="D3:O3"/>
    <mergeCell ref="A4:B4"/>
    <mergeCell ref="A5:B5"/>
    <mergeCell ref="A6:B6"/>
    <mergeCell ref="A11:B11"/>
    <mergeCell ref="C11:O11"/>
    <mergeCell ref="A12:O12"/>
    <mergeCell ref="P4:P8"/>
    <mergeCell ref="P9:P10"/>
    <mergeCell ref="C4:O8"/>
    <mergeCell ref="A7:B8"/>
    <mergeCell ref="A9:B10"/>
    <mergeCell ref="C9:O10"/>
    <mergeCell ref="A13:O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I48" sqref="I48"/>
    </sheetView>
  </sheetViews>
  <sheetFormatPr defaultColWidth="9" defaultRowHeight="18" customHeight="1"/>
  <cols>
    <col min="1" max="1" width="8.125" style="156" customWidth="1"/>
    <col min="2" max="2" width="13.25" style="156" customWidth="1"/>
    <col min="3" max="18" width="7.625" style="156" customWidth="1"/>
    <col min="19" max="16383" width="9" style="156"/>
    <col min="16384" max="16384" width="9" style="203"/>
  </cols>
  <sheetData>
    <row r="1" s="144" customFormat="1" customHeight="1" spans="1:18">
      <c r="A1" s="214" t="s">
        <v>562</v>
      </c>
      <c r="B1" s="147" t="s">
        <v>563</v>
      </c>
      <c r="C1" s="148">
        <v>43471</v>
      </c>
      <c r="D1" s="148">
        <f t="shared" ref="D1:H1" si="0">C1+6</f>
        <v>43477</v>
      </c>
      <c r="E1" s="148">
        <f t="shared" ref="E1:I1" si="1">D1+1</f>
        <v>43478</v>
      </c>
      <c r="F1" s="148">
        <f t="shared" si="0"/>
        <v>43484</v>
      </c>
      <c r="G1" s="148">
        <f t="shared" si="1"/>
        <v>43485</v>
      </c>
      <c r="H1" s="148">
        <f t="shared" si="0"/>
        <v>43491</v>
      </c>
      <c r="I1" s="148">
        <f t="shared" si="1"/>
        <v>43492</v>
      </c>
      <c r="J1" s="148">
        <f t="shared" ref="J1:N1" si="2">I1+6</f>
        <v>43498</v>
      </c>
      <c r="K1" s="148">
        <f t="shared" ref="K1:O1" si="3">J1+1</f>
        <v>43499</v>
      </c>
      <c r="L1" s="148">
        <f t="shared" si="2"/>
        <v>43505</v>
      </c>
      <c r="M1" s="148">
        <f t="shared" si="3"/>
        <v>43506</v>
      </c>
      <c r="N1" s="148">
        <f t="shared" si="2"/>
        <v>43512</v>
      </c>
      <c r="O1" s="148">
        <f t="shared" si="3"/>
        <v>43513</v>
      </c>
      <c r="P1" s="148">
        <f>O1+6</f>
        <v>43519</v>
      </c>
      <c r="Q1" s="148">
        <f>P1+1</f>
        <v>43520</v>
      </c>
      <c r="R1" s="148">
        <f>Q1+6</f>
        <v>43526</v>
      </c>
    </row>
    <row r="2" s="208" customFormat="1" customHeight="1" spans="1:18">
      <c r="A2" s="215"/>
      <c r="B2" s="216" t="s">
        <v>519</v>
      </c>
      <c r="C2" s="217"/>
      <c r="D2" s="218"/>
      <c r="E2" s="217"/>
      <c r="F2" s="218"/>
      <c r="G2" s="217"/>
      <c r="H2" s="218"/>
      <c r="I2" s="217"/>
      <c r="J2" s="218"/>
      <c r="K2" s="217"/>
      <c r="L2" s="218"/>
      <c r="M2" s="217"/>
      <c r="N2" s="218"/>
      <c r="O2" s="217"/>
      <c r="P2" s="218"/>
      <c r="Q2" s="217"/>
      <c r="R2" s="218"/>
    </row>
    <row r="3" s="209" customFormat="1" customHeight="1" spans="1:18">
      <c r="A3" s="219"/>
      <c r="B3" s="220" t="s">
        <v>104</v>
      </c>
      <c r="C3" s="221"/>
      <c r="D3" s="222"/>
      <c r="E3" s="221"/>
      <c r="F3" s="222"/>
      <c r="G3" s="221"/>
      <c r="H3" s="222"/>
      <c r="I3" s="221"/>
      <c r="J3" s="222"/>
      <c r="K3" s="221"/>
      <c r="L3" s="222"/>
      <c r="M3" s="221"/>
      <c r="N3" s="222"/>
      <c r="O3" s="221"/>
      <c r="P3" s="222"/>
      <c r="Q3" s="221"/>
      <c r="R3" s="222"/>
    </row>
    <row r="4" s="210" customFormat="1" customHeight="1" spans="1:18">
      <c r="A4" s="215"/>
      <c r="B4" s="223" t="s">
        <v>17</v>
      </c>
      <c r="C4" s="224"/>
      <c r="D4" s="225"/>
      <c r="E4" s="224"/>
      <c r="F4" s="225"/>
      <c r="G4" s="224"/>
      <c r="H4" s="225"/>
      <c r="I4" s="224"/>
      <c r="J4" s="225"/>
      <c r="K4" s="224"/>
      <c r="L4" s="225"/>
      <c r="M4" s="224"/>
      <c r="N4" s="225"/>
      <c r="O4" s="224"/>
      <c r="P4" s="225"/>
      <c r="Q4" s="224"/>
      <c r="R4" s="225"/>
    </row>
    <row r="5" s="210" customFormat="1" customHeight="1" spans="1:18">
      <c r="A5" s="215"/>
      <c r="B5" s="226" t="s">
        <v>520</v>
      </c>
      <c r="C5" s="224"/>
      <c r="D5" s="225"/>
      <c r="E5" s="224"/>
      <c r="F5" s="225"/>
      <c r="G5" s="224"/>
      <c r="H5" s="225"/>
      <c r="I5" s="224"/>
      <c r="J5" s="225"/>
      <c r="K5" s="224"/>
      <c r="L5" s="225"/>
      <c r="M5" s="224"/>
      <c r="N5" s="225"/>
      <c r="O5" s="224"/>
      <c r="P5" s="225"/>
      <c r="Q5" s="224"/>
      <c r="R5" s="225"/>
    </row>
    <row r="6" s="211" customFormat="1" customHeight="1" spans="1:18">
      <c r="A6" s="215"/>
      <c r="B6" s="227" t="s">
        <v>521</v>
      </c>
      <c r="C6" s="221"/>
      <c r="D6" s="222"/>
      <c r="E6" s="221"/>
      <c r="F6" s="222"/>
      <c r="G6" s="221"/>
      <c r="H6" s="222"/>
      <c r="I6" s="221"/>
      <c r="J6" s="222"/>
      <c r="K6" s="221"/>
      <c r="L6" s="222"/>
      <c r="M6" s="221"/>
      <c r="N6" s="222"/>
      <c r="O6" s="221"/>
      <c r="P6" s="222"/>
      <c r="Q6" s="221"/>
      <c r="R6" s="222"/>
    </row>
    <row r="7" s="210" customFormat="1" customHeight="1" spans="1:18">
      <c r="A7" s="215"/>
      <c r="B7" s="226" t="s">
        <v>526</v>
      </c>
      <c r="C7" s="224"/>
      <c r="D7" s="225"/>
      <c r="E7" s="224"/>
      <c r="F7" s="225"/>
      <c r="G7" s="224"/>
      <c r="H7" s="225"/>
      <c r="I7" s="224"/>
      <c r="J7" s="225"/>
      <c r="K7" s="224"/>
      <c r="L7" s="225"/>
      <c r="M7" s="224"/>
      <c r="N7" s="225"/>
      <c r="O7" s="224"/>
      <c r="P7" s="225"/>
      <c r="Q7" s="224"/>
      <c r="R7" s="225"/>
    </row>
    <row r="8" s="210" customFormat="1" customHeight="1" spans="1:18">
      <c r="A8" s="215"/>
      <c r="B8" s="226" t="s">
        <v>520</v>
      </c>
      <c r="C8" s="224"/>
      <c r="D8" s="225"/>
      <c r="E8" s="224"/>
      <c r="F8" s="225"/>
      <c r="G8" s="224"/>
      <c r="H8" s="225"/>
      <c r="I8" s="224"/>
      <c r="J8" s="225"/>
      <c r="K8" s="224"/>
      <c r="L8" s="225"/>
      <c r="M8" s="224"/>
      <c r="N8" s="225"/>
      <c r="O8" s="224"/>
      <c r="P8" s="225"/>
      <c r="Q8" s="224"/>
      <c r="R8" s="225"/>
    </row>
    <row r="9" s="212" customFormat="1" customHeight="1" spans="1:18">
      <c r="A9" s="228" t="s">
        <v>564</v>
      </c>
      <c r="B9" s="229" t="s">
        <v>565</v>
      </c>
      <c r="C9" s="230" t="e">
        <f t="shared" ref="C9:G9" si="4">C3/C2</f>
        <v>#DIV/0!</v>
      </c>
      <c r="D9" s="231"/>
      <c r="E9" s="230" t="e">
        <f t="shared" si="4"/>
        <v>#DIV/0!</v>
      </c>
      <c r="F9" s="231"/>
      <c r="G9" s="230" t="e">
        <f t="shared" si="4"/>
        <v>#DIV/0!</v>
      </c>
      <c r="H9" s="231"/>
      <c r="I9" s="230" t="e">
        <f t="shared" ref="I9:M9" si="5">I3/I2</f>
        <v>#DIV/0!</v>
      </c>
      <c r="J9" s="231"/>
      <c r="K9" s="230" t="e">
        <f t="shared" si="5"/>
        <v>#DIV/0!</v>
      </c>
      <c r="L9" s="231"/>
      <c r="M9" s="230" t="e">
        <f t="shared" si="5"/>
        <v>#DIV/0!</v>
      </c>
      <c r="N9" s="231"/>
      <c r="O9" s="230" t="e">
        <f>O3/O2</f>
        <v>#DIV/0!</v>
      </c>
      <c r="P9" s="231"/>
      <c r="Q9" s="230" t="e">
        <f>Q3/Q2</f>
        <v>#DIV/0!</v>
      </c>
      <c r="R9" s="231"/>
    </row>
    <row r="10" s="213" customFormat="1" customHeight="1" spans="1:18">
      <c r="A10" s="232"/>
      <c r="B10" s="233" t="s">
        <v>103</v>
      </c>
      <c r="C10" s="224" t="e">
        <f t="shared" ref="C10:G10" si="6">C4/C3</f>
        <v>#DIV/0!</v>
      </c>
      <c r="D10" s="225"/>
      <c r="E10" s="224" t="e">
        <f t="shared" si="6"/>
        <v>#DIV/0!</v>
      </c>
      <c r="F10" s="225"/>
      <c r="G10" s="224" t="e">
        <f t="shared" si="6"/>
        <v>#DIV/0!</v>
      </c>
      <c r="H10" s="225"/>
      <c r="I10" s="224" t="e">
        <f t="shared" ref="I10:M10" si="7">I4/I3</f>
        <v>#DIV/0!</v>
      </c>
      <c r="J10" s="225"/>
      <c r="K10" s="224" t="e">
        <f t="shared" si="7"/>
        <v>#DIV/0!</v>
      </c>
      <c r="L10" s="225"/>
      <c r="M10" s="224" t="e">
        <f t="shared" si="7"/>
        <v>#DIV/0!</v>
      </c>
      <c r="N10" s="225"/>
      <c r="O10" s="224" t="e">
        <f>O4/O3</f>
        <v>#DIV/0!</v>
      </c>
      <c r="P10" s="225"/>
      <c r="Q10" s="224" t="e">
        <f>Q4/Q3</f>
        <v>#DIV/0!</v>
      </c>
      <c r="R10" s="225"/>
    </row>
    <row r="11" s="209" customFormat="1" customHeight="1" spans="1:18">
      <c r="A11" s="219"/>
      <c r="B11" s="234" t="s">
        <v>541</v>
      </c>
      <c r="C11" s="221">
        <f t="shared" ref="C11:G11" si="8">C3-C6</f>
        <v>0</v>
      </c>
      <c r="D11" s="222"/>
      <c r="E11" s="221">
        <f t="shared" si="8"/>
        <v>0</v>
      </c>
      <c r="F11" s="222"/>
      <c r="G11" s="221">
        <f t="shared" si="8"/>
        <v>0</v>
      </c>
      <c r="H11" s="222"/>
      <c r="I11" s="221">
        <f t="shared" ref="I11:M11" si="9">I3-I6</f>
        <v>0</v>
      </c>
      <c r="J11" s="222"/>
      <c r="K11" s="221">
        <f t="shared" si="9"/>
        <v>0</v>
      </c>
      <c r="L11" s="222"/>
      <c r="M11" s="221">
        <f t="shared" si="9"/>
        <v>0</v>
      </c>
      <c r="N11" s="222"/>
      <c r="O11" s="221">
        <f>O3-O6</f>
        <v>0</v>
      </c>
      <c r="P11" s="222"/>
      <c r="Q11" s="221">
        <f>Q3-Q6</f>
        <v>0</v>
      </c>
      <c r="R11" s="222"/>
    </row>
    <row r="12" s="213" customFormat="1" customHeight="1" spans="1:18">
      <c r="A12" s="232"/>
      <c r="B12" s="233" t="s">
        <v>542</v>
      </c>
      <c r="C12" s="224" t="e">
        <f t="shared" ref="C12:G12" si="10">C4-C10*C6</f>
        <v>#DIV/0!</v>
      </c>
      <c r="D12" s="225"/>
      <c r="E12" s="224" t="e">
        <f t="shared" si="10"/>
        <v>#DIV/0!</v>
      </c>
      <c r="F12" s="225"/>
      <c r="G12" s="224" t="e">
        <f t="shared" si="10"/>
        <v>#DIV/0!</v>
      </c>
      <c r="H12" s="225"/>
      <c r="I12" s="224" t="e">
        <f t="shared" ref="I12:M12" si="11">I4-I10*I6</f>
        <v>#DIV/0!</v>
      </c>
      <c r="J12" s="225"/>
      <c r="K12" s="224" t="e">
        <f t="shared" si="11"/>
        <v>#DIV/0!</v>
      </c>
      <c r="L12" s="225"/>
      <c r="M12" s="224" t="e">
        <f t="shared" si="11"/>
        <v>#DIV/0!</v>
      </c>
      <c r="N12" s="225"/>
      <c r="O12" s="224" t="e">
        <f>O4-O10*O6</f>
        <v>#DIV/0!</v>
      </c>
      <c r="P12" s="225"/>
      <c r="Q12" s="224" t="e">
        <f>Q4-Q10*Q6</f>
        <v>#DIV/0!</v>
      </c>
      <c r="R12" s="225"/>
    </row>
    <row r="13" s="213" customFormat="1" customHeight="1" spans="1:18">
      <c r="A13" s="232"/>
      <c r="B13" s="235" t="s">
        <v>543</v>
      </c>
      <c r="C13" s="224">
        <f t="shared" ref="C13:G13" si="12">C7+C8</f>
        <v>0</v>
      </c>
      <c r="D13" s="225"/>
      <c r="E13" s="224">
        <f t="shared" si="12"/>
        <v>0</v>
      </c>
      <c r="F13" s="225"/>
      <c r="G13" s="224">
        <f t="shared" si="12"/>
        <v>0</v>
      </c>
      <c r="H13" s="225"/>
      <c r="I13" s="224">
        <f t="shared" ref="I13:M13" si="13">I7+I8</f>
        <v>0</v>
      </c>
      <c r="J13" s="225"/>
      <c r="K13" s="224">
        <f t="shared" si="13"/>
        <v>0</v>
      </c>
      <c r="L13" s="225"/>
      <c r="M13" s="224">
        <f t="shared" si="13"/>
        <v>0</v>
      </c>
      <c r="N13" s="225"/>
      <c r="O13" s="224">
        <f>O7+O8</f>
        <v>0</v>
      </c>
      <c r="P13" s="225"/>
      <c r="Q13" s="224">
        <f>Q7+Q8</f>
        <v>0</v>
      </c>
      <c r="R13" s="225"/>
    </row>
    <row r="14" s="212" customFormat="1" customHeight="1" spans="1:18">
      <c r="A14" s="228"/>
      <c r="B14" s="229" t="s">
        <v>544</v>
      </c>
      <c r="C14" s="230" t="e">
        <f t="shared" ref="C14:G14" si="14">C13/C12</f>
        <v>#DIV/0!</v>
      </c>
      <c r="D14" s="231"/>
      <c r="E14" s="230" t="e">
        <f t="shared" si="14"/>
        <v>#DIV/0!</v>
      </c>
      <c r="F14" s="231"/>
      <c r="G14" s="230" t="e">
        <f t="shared" si="14"/>
        <v>#DIV/0!</v>
      </c>
      <c r="H14" s="231"/>
      <c r="I14" s="230" t="e">
        <f t="shared" ref="I14:M14" si="15">I13/I12</f>
        <v>#DIV/0!</v>
      </c>
      <c r="J14" s="231"/>
      <c r="K14" s="230" t="e">
        <f t="shared" si="15"/>
        <v>#DIV/0!</v>
      </c>
      <c r="L14" s="231"/>
      <c r="M14" s="230" t="e">
        <f t="shared" si="15"/>
        <v>#DIV/0!</v>
      </c>
      <c r="N14" s="231"/>
      <c r="O14" s="230" t="e">
        <f>O13/O12</f>
        <v>#DIV/0!</v>
      </c>
      <c r="P14" s="231"/>
      <c r="Q14" s="230" t="e">
        <f>Q13/Q12</f>
        <v>#DIV/0!</v>
      </c>
      <c r="R14" s="231"/>
    </row>
    <row r="15" s="212" customFormat="1" customHeight="1" spans="1:18">
      <c r="A15" s="228"/>
      <c r="B15" s="229" t="s">
        <v>545</v>
      </c>
      <c r="C15" s="230" t="s">
        <v>546</v>
      </c>
      <c r="D15" s="231"/>
      <c r="E15" s="230" t="e">
        <f t="shared" ref="E15:I15" si="16">(E3-C3)/C3</f>
        <v>#DIV/0!</v>
      </c>
      <c r="F15" s="231"/>
      <c r="G15" s="230" t="e">
        <f t="shared" si="16"/>
        <v>#DIV/0!</v>
      </c>
      <c r="H15" s="231"/>
      <c r="I15" s="230" t="e">
        <f t="shared" si="16"/>
        <v>#DIV/0!</v>
      </c>
      <c r="J15" s="231"/>
      <c r="K15" s="230" t="e">
        <f t="shared" ref="K15:O15" si="17">(K3-I3)/I3</f>
        <v>#DIV/0!</v>
      </c>
      <c r="L15" s="231"/>
      <c r="M15" s="230" t="e">
        <f t="shared" si="17"/>
        <v>#DIV/0!</v>
      </c>
      <c r="N15" s="231"/>
      <c r="O15" s="230" t="e">
        <f t="shared" si="17"/>
        <v>#DIV/0!</v>
      </c>
      <c r="P15" s="231"/>
      <c r="Q15" s="230" t="e">
        <f>(Q3-O3)/O3</f>
        <v>#DIV/0!</v>
      </c>
      <c r="R15" s="231"/>
    </row>
    <row r="16" s="156" customFormat="1" customHeight="1"/>
    <row r="17" s="144" customFormat="1" customHeight="1" spans="1:18">
      <c r="A17" s="214" t="s">
        <v>562</v>
      </c>
      <c r="B17" s="147" t="s">
        <v>563</v>
      </c>
      <c r="C17" s="148">
        <v>43471</v>
      </c>
      <c r="D17" s="148">
        <f t="shared" ref="D17:H17" si="18">C17+6</f>
        <v>43477</v>
      </c>
      <c r="E17" s="148">
        <f t="shared" ref="E17:I17" si="19">D17+1</f>
        <v>43478</v>
      </c>
      <c r="F17" s="148">
        <f t="shared" si="18"/>
        <v>43484</v>
      </c>
      <c r="G17" s="148">
        <f t="shared" si="19"/>
        <v>43485</v>
      </c>
      <c r="H17" s="148">
        <f t="shared" si="18"/>
        <v>43491</v>
      </c>
      <c r="I17" s="148">
        <f t="shared" si="19"/>
        <v>43492</v>
      </c>
      <c r="J17" s="148">
        <f t="shared" ref="J17:N17" si="20">I17+6</f>
        <v>43498</v>
      </c>
      <c r="K17" s="148">
        <f t="shared" ref="K17:O17" si="21">J17+1</f>
        <v>43499</v>
      </c>
      <c r="L17" s="148">
        <f t="shared" si="20"/>
        <v>43505</v>
      </c>
      <c r="M17" s="148">
        <f t="shared" si="21"/>
        <v>43506</v>
      </c>
      <c r="N17" s="148">
        <f t="shared" si="20"/>
        <v>43512</v>
      </c>
      <c r="O17" s="148">
        <f t="shared" si="21"/>
        <v>43513</v>
      </c>
      <c r="P17" s="148">
        <f>O17+6</f>
        <v>43519</v>
      </c>
      <c r="Q17" s="148">
        <f>P17+1</f>
        <v>43520</v>
      </c>
      <c r="R17" s="148">
        <f>Q17+6</f>
        <v>43526</v>
      </c>
    </row>
    <row r="18" s="208" customFormat="1" customHeight="1" spans="1:18">
      <c r="A18" s="215"/>
      <c r="B18" s="216" t="s">
        <v>519</v>
      </c>
      <c r="C18" s="217"/>
      <c r="D18" s="218"/>
      <c r="E18" s="217"/>
      <c r="F18" s="218"/>
      <c r="G18" s="217"/>
      <c r="H18" s="218"/>
      <c r="I18" s="217"/>
      <c r="J18" s="218"/>
      <c r="K18" s="217"/>
      <c r="L18" s="218"/>
      <c r="M18" s="217"/>
      <c r="N18" s="218"/>
      <c r="O18" s="217"/>
      <c r="P18" s="218"/>
      <c r="Q18" s="217"/>
      <c r="R18" s="218"/>
    </row>
    <row r="19" s="209" customFormat="1" customHeight="1" spans="1:18">
      <c r="A19" s="219"/>
      <c r="B19" s="220" t="s">
        <v>104</v>
      </c>
      <c r="C19" s="221"/>
      <c r="D19" s="222"/>
      <c r="E19" s="221"/>
      <c r="F19" s="222"/>
      <c r="G19" s="221"/>
      <c r="H19" s="222"/>
      <c r="I19" s="221"/>
      <c r="J19" s="222"/>
      <c r="K19" s="221"/>
      <c r="L19" s="222"/>
      <c r="M19" s="221"/>
      <c r="N19" s="222"/>
      <c r="O19" s="221"/>
      <c r="P19" s="222"/>
      <c r="Q19" s="221"/>
      <c r="R19" s="222"/>
    </row>
    <row r="20" s="210" customFormat="1" customHeight="1" spans="1:18">
      <c r="A20" s="215"/>
      <c r="B20" s="223" t="s">
        <v>17</v>
      </c>
      <c r="C20" s="224"/>
      <c r="D20" s="225"/>
      <c r="E20" s="224"/>
      <c r="F20" s="225"/>
      <c r="G20" s="224"/>
      <c r="H20" s="225"/>
      <c r="I20" s="224"/>
      <c r="J20" s="225"/>
      <c r="K20" s="224"/>
      <c r="L20" s="225"/>
      <c r="M20" s="224"/>
      <c r="N20" s="225"/>
      <c r="O20" s="224"/>
      <c r="P20" s="225"/>
      <c r="Q20" s="224"/>
      <c r="R20" s="225"/>
    </row>
    <row r="21" s="210" customFormat="1" customHeight="1" spans="1:18">
      <c r="A21" s="215"/>
      <c r="B21" s="226" t="s">
        <v>520</v>
      </c>
      <c r="C21" s="224"/>
      <c r="D21" s="225"/>
      <c r="E21" s="224"/>
      <c r="F21" s="225"/>
      <c r="G21" s="224"/>
      <c r="H21" s="225"/>
      <c r="I21" s="224"/>
      <c r="J21" s="225"/>
      <c r="K21" s="224"/>
      <c r="L21" s="225"/>
      <c r="M21" s="224"/>
      <c r="N21" s="225"/>
      <c r="O21" s="224"/>
      <c r="P21" s="225"/>
      <c r="Q21" s="224"/>
      <c r="R21" s="225"/>
    </row>
    <row r="22" s="211" customFormat="1" customHeight="1" spans="1:18">
      <c r="A22" s="215"/>
      <c r="B22" s="227" t="s">
        <v>521</v>
      </c>
      <c r="C22" s="221"/>
      <c r="D22" s="222"/>
      <c r="E22" s="221"/>
      <c r="F22" s="222"/>
      <c r="G22" s="221"/>
      <c r="H22" s="222"/>
      <c r="I22" s="221"/>
      <c r="J22" s="222"/>
      <c r="K22" s="221"/>
      <c r="L22" s="222"/>
      <c r="M22" s="221"/>
      <c r="N22" s="222"/>
      <c r="O22" s="221"/>
      <c r="P22" s="222"/>
      <c r="Q22" s="221"/>
      <c r="R22" s="222"/>
    </row>
    <row r="23" s="210" customFormat="1" customHeight="1" spans="1:18">
      <c r="A23" s="215"/>
      <c r="B23" s="226" t="s">
        <v>526</v>
      </c>
      <c r="C23" s="224"/>
      <c r="D23" s="225"/>
      <c r="E23" s="224"/>
      <c r="F23" s="225"/>
      <c r="G23" s="224"/>
      <c r="H23" s="225"/>
      <c r="I23" s="224"/>
      <c r="J23" s="225"/>
      <c r="K23" s="224"/>
      <c r="L23" s="225"/>
      <c r="M23" s="224"/>
      <c r="N23" s="225"/>
      <c r="O23" s="224"/>
      <c r="P23" s="225"/>
      <c r="Q23" s="224"/>
      <c r="R23" s="225"/>
    </row>
    <row r="24" s="210" customFormat="1" customHeight="1" spans="1:18">
      <c r="A24" s="215"/>
      <c r="B24" s="226" t="s">
        <v>520</v>
      </c>
      <c r="C24" s="224"/>
      <c r="D24" s="225"/>
      <c r="E24" s="224"/>
      <c r="F24" s="225"/>
      <c r="G24" s="224"/>
      <c r="H24" s="225"/>
      <c r="I24" s="224"/>
      <c r="J24" s="225"/>
      <c r="K24" s="224"/>
      <c r="L24" s="225"/>
      <c r="M24" s="224"/>
      <c r="N24" s="225"/>
      <c r="O24" s="224"/>
      <c r="P24" s="225"/>
      <c r="Q24" s="224"/>
      <c r="R24" s="225"/>
    </row>
    <row r="25" s="212" customFormat="1" customHeight="1" spans="1:18">
      <c r="A25" s="228" t="s">
        <v>566</v>
      </c>
      <c r="B25" s="229" t="s">
        <v>565</v>
      </c>
      <c r="C25" s="230" t="e">
        <f t="shared" ref="C25:G25" si="22">C19/C18</f>
        <v>#DIV/0!</v>
      </c>
      <c r="D25" s="231"/>
      <c r="E25" s="230" t="e">
        <f t="shared" si="22"/>
        <v>#DIV/0!</v>
      </c>
      <c r="F25" s="231"/>
      <c r="G25" s="230" t="e">
        <f t="shared" si="22"/>
        <v>#DIV/0!</v>
      </c>
      <c r="H25" s="231"/>
      <c r="I25" s="230" t="e">
        <f t="shared" ref="I25:M25" si="23">I19/I18</f>
        <v>#DIV/0!</v>
      </c>
      <c r="J25" s="231"/>
      <c r="K25" s="230" t="e">
        <f t="shared" si="23"/>
        <v>#DIV/0!</v>
      </c>
      <c r="L25" s="231"/>
      <c r="M25" s="230" t="e">
        <f t="shared" si="23"/>
        <v>#DIV/0!</v>
      </c>
      <c r="N25" s="231"/>
      <c r="O25" s="230" t="e">
        <f>O19/O18</f>
        <v>#DIV/0!</v>
      </c>
      <c r="P25" s="231"/>
      <c r="Q25" s="230" t="e">
        <f>Q19/Q18</f>
        <v>#DIV/0!</v>
      </c>
      <c r="R25" s="231"/>
    </row>
    <row r="26" s="213" customFormat="1" customHeight="1" spans="1:18">
      <c r="A26" s="232"/>
      <c r="B26" s="233" t="s">
        <v>103</v>
      </c>
      <c r="C26" s="224" t="e">
        <f t="shared" ref="C26:G26" si="24">C20/C19</f>
        <v>#DIV/0!</v>
      </c>
      <c r="D26" s="225"/>
      <c r="E26" s="224" t="e">
        <f t="shared" si="24"/>
        <v>#DIV/0!</v>
      </c>
      <c r="F26" s="225"/>
      <c r="G26" s="224" t="e">
        <f t="shared" si="24"/>
        <v>#DIV/0!</v>
      </c>
      <c r="H26" s="225"/>
      <c r="I26" s="224" t="e">
        <f t="shared" ref="I26:M26" si="25">I20/I19</f>
        <v>#DIV/0!</v>
      </c>
      <c r="J26" s="225"/>
      <c r="K26" s="224" t="e">
        <f t="shared" si="25"/>
        <v>#DIV/0!</v>
      </c>
      <c r="L26" s="225"/>
      <c r="M26" s="224" t="e">
        <f t="shared" si="25"/>
        <v>#DIV/0!</v>
      </c>
      <c r="N26" s="225"/>
      <c r="O26" s="224" t="e">
        <f>O20/O19</f>
        <v>#DIV/0!</v>
      </c>
      <c r="P26" s="225"/>
      <c r="Q26" s="224" t="e">
        <f>Q20/Q19</f>
        <v>#DIV/0!</v>
      </c>
      <c r="R26" s="225"/>
    </row>
    <row r="27" s="209" customFormat="1" customHeight="1" spans="1:18">
      <c r="A27" s="219"/>
      <c r="B27" s="234" t="s">
        <v>541</v>
      </c>
      <c r="C27" s="221">
        <f t="shared" ref="C27:G27" si="26">C19-C22</f>
        <v>0</v>
      </c>
      <c r="D27" s="222"/>
      <c r="E27" s="221">
        <f t="shared" si="26"/>
        <v>0</v>
      </c>
      <c r="F27" s="222"/>
      <c r="G27" s="221">
        <f t="shared" si="26"/>
        <v>0</v>
      </c>
      <c r="H27" s="222"/>
      <c r="I27" s="221">
        <f t="shared" ref="I27:M27" si="27">I19-I22</f>
        <v>0</v>
      </c>
      <c r="J27" s="222"/>
      <c r="K27" s="221">
        <f t="shared" si="27"/>
        <v>0</v>
      </c>
      <c r="L27" s="222"/>
      <c r="M27" s="221">
        <f t="shared" si="27"/>
        <v>0</v>
      </c>
      <c r="N27" s="222"/>
      <c r="O27" s="221">
        <f>O19-O22</f>
        <v>0</v>
      </c>
      <c r="P27" s="222"/>
      <c r="Q27" s="221">
        <f>Q19-Q22</f>
        <v>0</v>
      </c>
      <c r="R27" s="222"/>
    </row>
    <row r="28" s="213" customFormat="1" customHeight="1" spans="1:18">
      <c r="A28" s="232"/>
      <c r="B28" s="233" t="s">
        <v>542</v>
      </c>
      <c r="C28" s="224" t="e">
        <f t="shared" ref="C28:G28" si="28">C20-C26*C22</f>
        <v>#DIV/0!</v>
      </c>
      <c r="D28" s="225"/>
      <c r="E28" s="224" t="e">
        <f t="shared" si="28"/>
        <v>#DIV/0!</v>
      </c>
      <c r="F28" s="225"/>
      <c r="G28" s="224" t="e">
        <f t="shared" si="28"/>
        <v>#DIV/0!</v>
      </c>
      <c r="H28" s="225"/>
      <c r="I28" s="224" t="e">
        <f t="shared" ref="I28:M28" si="29">I20-I26*I22</f>
        <v>#DIV/0!</v>
      </c>
      <c r="J28" s="225"/>
      <c r="K28" s="224" t="e">
        <f t="shared" si="29"/>
        <v>#DIV/0!</v>
      </c>
      <c r="L28" s="225"/>
      <c r="M28" s="224" t="e">
        <f t="shared" si="29"/>
        <v>#DIV/0!</v>
      </c>
      <c r="N28" s="225"/>
      <c r="O28" s="224" t="e">
        <f>O20-O26*O22</f>
        <v>#DIV/0!</v>
      </c>
      <c r="P28" s="225"/>
      <c r="Q28" s="224" t="e">
        <f>Q20-Q26*Q22</f>
        <v>#DIV/0!</v>
      </c>
      <c r="R28" s="225"/>
    </row>
    <row r="29" s="213" customFormat="1" customHeight="1" spans="1:18">
      <c r="A29" s="232"/>
      <c r="B29" s="235" t="s">
        <v>543</v>
      </c>
      <c r="C29" s="224">
        <f t="shared" ref="C29:G29" si="30">C23+C24</f>
        <v>0</v>
      </c>
      <c r="D29" s="225"/>
      <c r="E29" s="224">
        <f t="shared" si="30"/>
        <v>0</v>
      </c>
      <c r="F29" s="225"/>
      <c r="G29" s="224">
        <f t="shared" si="30"/>
        <v>0</v>
      </c>
      <c r="H29" s="225"/>
      <c r="I29" s="224">
        <f t="shared" ref="I29:M29" si="31">I23+I24</f>
        <v>0</v>
      </c>
      <c r="J29" s="225"/>
      <c r="K29" s="224">
        <f t="shared" si="31"/>
        <v>0</v>
      </c>
      <c r="L29" s="225"/>
      <c r="M29" s="224">
        <f t="shared" si="31"/>
        <v>0</v>
      </c>
      <c r="N29" s="225"/>
      <c r="O29" s="224">
        <f>O23+O24</f>
        <v>0</v>
      </c>
      <c r="P29" s="225"/>
      <c r="Q29" s="224">
        <f>Q23+Q24</f>
        <v>0</v>
      </c>
      <c r="R29" s="225"/>
    </row>
    <row r="30" s="212" customFormat="1" customHeight="1" spans="1:18">
      <c r="A30" s="228"/>
      <c r="B30" s="229" t="s">
        <v>544</v>
      </c>
      <c r="C30" s="230" t="e">
        <f t="shared" ref="C30:G30" si="32">C29/C28</f>
        <v>#DIV/0!</v>
      </c>
      <c r="D30" s="231"/>
      <c r="E30" s="230" t="e">
        <f t="shared" si="32"/>
        <v>#DIV/0!</v>
      </c>
      <c r="F30" s="231"/>
      <c r="G30" s="230" t="e">
        <f t="shared" si="32"/>
        <v>#DIV/0!</v>
      </c>
      <c r="H30" s="231"/>
      <c r="I30" s="230" t="e">
        <f t="shared" ref="I30:M30" si="33">I29/I28</f>
        <v>#DIV/0!</v>
      </c>
      <c r="J30" s="231"/>
      <c r="K30" s="230" t="e">
        <f t="shared" si="33"/>
        <v>#DIV/0!</v>
      </c>
      <c r="L30" s="231"/>
      <c r="M30" s="230" t="e">
        <f t="shared" si="33"/>
        <v>#DIV/0!</v>
      </c>
      <c r="N30" s="231"/>
      <c r="O30" s="230" t="e">
        <f>O29/O28</f>
        <v>#DIV/0!</v>
      </c>
      <c r="P30" s="231"/>
      <c r="Q30" s="230" t="e">
        <f>Q29/Q28</f>
        <v>#DIV/0!</v>
      </c>
      <c r="R30" s="231"/>
    </row>
    <row r="31" s="212" customFormat="1" customHeight="1" spans="1:18">
      <c r="A31" s="228"/>
      <c r="B31" s="229" t="s">
        <v>545</v>
      </c>
      <c r="C31" s="230" t="s">
        <v>546</v>
      </c>
      <c r="D31" s="231"/>
      <c r="E31" s="230" t="e">
        <f t="shared" ref="E31:I31" si="34">(E19-C19)/C19</f>
        <v>#DIV/0!</v>
      </c>
      <c r="F31" s="231"/>
      <c r="G31" s="230" t="e">
        <f t="shared" si="34"/>
        <v>#DIV/0!</v>
      </c>
      <c r="H31" s="231"/>
      <c r="I31" s="230" t="e">
        <f t="shared" si="34"/>
        <v>#DIV/0!</v>
      </c>
      <c r="J31" s="231"/>
      <c r="K31" s="230" t="e">
        <f t="shared" ref="K31:O31" si="35">(K19-I19)/I19</f>
        <v>#DIV/0!</v>
      </c>
      <c r="L31" s="231"/>
      <c r="M31" s="230" t="e">
        <f t="shared" si="35"/>
        <v>#DIV/0!</v>
      </c>
      <c r="N31" s="231"/>
      <c r="O31" s="230" t="e">
        <f t="shared" si="35"/>
        <v>#DIV/0!</v>
      </c>
      <c r="P31" s="231"/>
      <c r="Q31" s="230" t="e">
        <f>(Q19-O19)/O19</f>
        <v>#DIV/0!</v>
      </c>
      <c r="R31" s="231"/>
    </row>
    <row r="32" s="156" customFormat="1" customHeight="1"/>
    <row r="33" s="144" customFormat="1" customHeight="1" spans="1:18">
      <c r="A33" s="214" t="s">
        <v>562</v>
      </c>
      <c r="B33" s="147" t="s">
        <v>563</v>
      </c>
      <c r="C33" s="148">
        <v>43471</v>
      </c>
      <c r="D33" s="148">
        <f t="shared" ref="D33:H33" si="36">C33+6</f>
        <v>43477</v>
      </c>
      <c r="E33" s="148">
        <f t="shared" ref="E33:I33" si="37">D33+1</f>
        <v>43478</v>
      </c>
      <c r="F33" s="148">
        <f t="shared" si="36"/>
        <v>43484</v>
      </c>
      <c r="G33" s="148">
        <f t="shared" si="37"/>
        <v>43485</v>
      </c>
      <c r="H33" s="148">
        <f t="shared" si="36"/>
        <v>43491</v>
      </c>
      <c r="I33" s="148">
        <f t="shared" si="37"/>
        <v>43492</v>
      </c>
      <c r="J33" s="148">
        <f t="shared" ref="J33:N33" si="38">I33+6</f>
        <v>43498</v>
      </c>
      <c r="K33" s="148">
        <f t="shared" ref="K33:O33" si="39">J33+1</f>
        <v>43499</v>
      </c>
      <c r="L33" s="148">
        <f t="shared" si="38"/>
        <v>43505</v>
      </c>
      <c r="M33" s="148">
        <f t="shared" si="39"/>
        <v>43506</v>
      </c>
      <c r="N33" s="148">
        <f t="shared" si="38"/>
        <v>43512</v>
      </c>
      <c r="O33" s="148">
        <f t="shared" si="39"/>
        <v>43513</v>
      </c>
      <c r="P33" s="148">
        <f>O33+6</f>
        <v>43519</v>
      </c>
      <c r="Q33" s="148">
        <f>P33+1</f>
        <v>43520</v>
      </c>
      <c r="R33" s="148">
        <f>Q33+6</f>
        <v>43526</v>
      </c>
    </row>
    <row r="34" s="208" customFormat="1" customHeight="1" spans="1:18">
      <c r="A34" s="215"/>
      <c r="B34" s="216" t="s">
        <v>519</v>
      </c>
      <c r="C34" s="217"/>
      <c r="D34" s="218"/>
      <c r="E34" s="217"/>
      <c r="F34" s="218"/>
      <c r="G34" s="217"/>
      <c r="H34" s="218"/>
      <c r="I34" s="217"/>
      <c r="J34" s="218"/>
      <c r="K34" s="217"/>
      <c r="L34" s="218"/>
      <c r="M34" s="217"/>
      <c r="N34" s="218"/>
      <c r="O34" s="217"/>
      <c r="P34" s="218"/>
      <c r="Q34" s="217"/>
      <c r="R34" s="218"/>
    </row>
    <row r="35" s="209" customFormat="1" customHeight="1" spans="1:18">
      <c r="A35" s="219"/>
      <c r="B35" s="220" t="s">
        <v>104</v>
      </c>
      <c r="C35" s="221"/>
      <c r="D35" s="222"/>
      <c r="E35" s="221"/>
      <c r="F35" s="222"/>
      <c r="G35" s="221"/>
      <c r="H35" s="222"/>
      <c r="I35" s="221"/>
      <c r="J35" s="222"/>
      <c r="K35" s="221"/>
      <c r="L35" s="222"/>
      <c r="M35" s="221"/>
      <c r="N35" s="222"/>
      <c r="O35" s="221"/>
      <c r="P35" s="222"/>
      <c r="Q35" s="221"/>
      <c r="R35" s="222"/>
    </row>
    <row r="36" s="210" customFormat="1" customHeight="1" spans="1:18">
      <c r="A36" s="215"/>
      <c r="B36" s="223" t="s">
        <v>17</v>
      </c>
      <c r="C36" s="224"/>
      <c r="D36" s="225"/>
      <c r="E36" s="224"/>
      <c r="F36" s="225"/>
      <c r="G36" s="224"/>
      <c r="H36" s="225"/>
      <c r="I36" s="224"/>
      <c r="J36" s="225"/>
      <c r="K36" s="224"/>
      <c r="L36" s="225"/>
      <c r="M36" s="224"/>
      <c r="N36" s="225"/>
      <c r="O36" s="224"/>
      <c r="P36" s="225"/>
      <c r="Q36" s="224"/>
      <c r="R36" s="225"/>
    </row>
    <row r="37" s="210" customFormat="1" customHeight="1" spans="1:18">
      <c r="A37" s="215"/>
      <c r="B37" s="226" t="s">
        <v>520</v>
      </c>
      <c r="C37" s="224"/>
      <c r="D37" s="225"/>
      <c r="E37" s="224"/>
      <c r="F37" s="225"/>
      <c r="G37" s="224"/>
      <c r="H37" s="225"/>
      <c r="I37" s="224"/>
      <c r="J37" s="225"/>
      <c r="K37" s="224"/>
      <c r="L37" s="225"/>
      <c r="M37" s="224"/>
      <c r="N37" s="225"/>
      <c r="O37" s="224"/>
      <c r="P37" s="225"/>
      <c r="Q37" s="224"/>
      <c r="R37" s="225"/>
    </row>
    <row r="38" s="211" customFormat="1" customHeight="1" spans="1:18">
      <c r="A38" s="215"/>
      <c r="B38" s="227" t="s">
        <v>521</v>
      </c>
      <c r="C38" s="221"/>
      <c r="D38" s="222"/>
      <c r="E38" s="221"/>
      <c r="F38" s="222"/>
      <c r="G38" s="221"/>
      <c r="H38" s="222"/>
      <c r="I38" s="221"/>
      <c r="J38" s="222"/>
      <c r="K38" s="221"/>
      <c r="L38" s="222"/>
      <c r="M38" s="221"/>
      <c r="N38" s="222"/>
      <c r="O38" s="221"/>
      <c r="P38" s="222"/>
      <c r="Q38" s="221"/>
      <c r="R38" s="222"/>
    </row>
    <row r="39" s="210" customFormat="1" customHeight="1" spans="1:18">
      <c r="A39" s="215"/>
      <c r="B39" s="226" t="s">
        <v>526</v>
      </c>
      <c r="C39" s="224"/>
      <c r="D39" s="225"/>
      <c r="E39" s="224"/>
      <c r="F39" s="225"/>
      <c r="G39" s="224"/>
      <c r="H39" s="225"/>
      <c r="I39" s="224"/>
      <c r="J39" s="225"/>
      <c r="K39" s="224"/>
      <c r="L39" s="225"/>
      <c r="M39" s="224"/>
      <c r="N39" s="225"/>
      <c r="O39" s="224"/>
      <c r="P39" s="225"/>
      <c r="Q39" s="224"/>
      <c r="R39" s="225"/>
    </row>
    <row r="40" s="210" customFormat="1" customHeight="1" spans="1:18">
      <c r="A40" s="215"/>
      <c r="B40" s="226" t="s">
        <v>520</v>
      </c>
      <c r="C40" s="224"/>
      <c r="D40" s="225"/>
      <c r="E40" s="224"/>
      <c r="F40" s="225"/>
      <c r="G40" s="224"/>
      <c r="H40" s="225"/>
      <c r="I40" s="224"/>
      <c r="J40" s="225"/>
      <c r="K40" s="224"/>
      <c r="L40" s="225"/>
      <c r="M40" s="224"/>
      <c r="N40" s="225"/>
      <c r="O40" s="224"/>
      <c r="P40" s="225"/>
      <c r="Q40" s="224"/>
      <c r="R40" s="225"/>
    </row>
    <row r="41" s="212" customFormat="1" customHeight="1" spans="1:18">
      <c r="A41" s="228" t="s">
        <v>567</v>
      </c>
      <c r="B41" s="229" t="s">
        <v>565</v>
      </c>
      <c r="C41" s="230" t="e">
        <f t="shared" ref="C41:G41" si="40">C35/C34</f>
        <v>#DIV/0!</v>
      </c>
      <c r="D41" s="231"/>
      <c r="E41" s="230" t="e">
        <f t="shared" si="40"/>
        <v>#DIV/0!</v>
      </c>
      <c r="F41" s="231"/>
      <c r="G41" s="230" t="e">
        <f t="shared" si="40"/>
        <v>#DIV/0!</v>
      </c>
      <c r="H41" s="231"/>
      <c r="I41" s="230" t="e">
        <f t="shared" ref="I41:M41" si="41">I35/I34</f>
        <v>#DIV/0!</v>
      </c>
      <c r="J41" s="231"/>
      <c r="K41" s="230" t="e">
        <f t="shared" si="41"/>
        <v>#DIV/0!</v>
      </c>
      <c r="L41" s="231"/>
      <c r="M41" s="230" t="e">
        <f t="shared" si="41"/>
        <v>#DIV/0!</v>
      </c>
      <c r="N41" s="231"/>
      <c r="O41" s="230" t="e">
        <f>O35/O34</f>
        <v>#DIV/0!</v>
      </c>
      <c r="P41" s="231"/>
      <c r="Q41" s="230" t="e">
        <f>Q35/Q34</f>
        <v>#DIV/0!</v>
      </c>
      <c r="R41" s="231"/>
    </row>
    <row r="42" s="213" customFormat="1" customHeight="1" spans="1:18">
      <c r="A42" s="232"/>
      <c r="B42" s="233" t="s">
        <v>103</v>
      </c>
      <c r="C42" s="224" t="e">
        <f t="shared" ref="C42:G42" si="42">C36/C35</f>
        <v>#DIV/0!</v>
      </c>
      <c r="D42" s="225"/>
      <c r="E42" s="224" t="e">
        <f t="shared" si="42"/>
        <v>#DIV/0!</v>
      </c>
      <c r="F42" s="225"/>
      <c r="G42" s="224" t="e">
        <f t="shared" si="42"/>
        <v>#DIV/0!</v>
      </c>
      <c r="H42" s="225"/>
      <c r="I42" s="224" t="e">
        <f t="shared" ref="I42:M42" si="43">I36/I35</f>
        <v>#DIV/0!</v>
      </c>
      <c r="J42" s="225"/>
      <c r="K42" s="224" t="e">
        <f t="shared" si="43"/>
        <v>#DIV/0!</v>
      </c>
      <c r="L42" s="225"/>
      <c r="M42" s="224" t="e">
        <f t="shared" si="43"/>
        <v>#DIV/0!</v>
      </c>
      <c r="N42" s="225"/>
      <c r="O42" s="224" t="e">
        <f>O36/O35</f>
        <v>#DIV/0!</v>
      </c>
      <c r="P42" s="225"/>
      <c r="Q42" s="224" t="e">
        <f>Q36/Q35</f>
        <v>#DIV/0!</v>
      </c>
      <c r="R42" s="225"/>
    </row>
    <row r="43" s="209" customFormat="1" customHeight="1" spans="1:18">
      <c r="A43" s="219"/>
      <c r="B43" s="234" t="s">
        <v>541</v>
      </c>
      <c r="C43" s="221">
        <f t="shared" ref="C43:G43" si="44">C35-C38</f>
        <v>0</v>
      </c>
      <c r="D43" s="222"/>
      <c r="E43" s="221">
        <f t="shared" si="44"/>
        <v>0</v>
      </c>
      <c r="F43" s="222"/>
      <c r="G43" s="221">
        <f t="shared" si="44"/>
        <v>0</v>
      </c>
      <c r="H43" s="222"/>
      <c r="I43" s="221">
        <f t="shared" ref="I43:M43" si="45">I35-I38</f>
        <v>0</v>
      </c>
      <c r="J43" s="222"/>
      <c r="K43" s="221">
        <f t="shared" si="45"/>
        <v>0</v>
      </c>
      <c r="L43" s="222"/>
      <c r="M43" s="221">
        <f t="shared" si="45"/>
        <v>0</v>
      </c>
      <c r="N43" s="222"/>
      <c r="O43" s="221">
        <f>O35-O38</f>
        <v>0</v>
      </c>
      <c r="P43" s="222"/>
      <c r="Q43" s="221">
        <f>Q35-Q38</f>
        <v>0</v>
      </c>
      <c r="R43" s="222"/>
    </row>
    <row r="44" s="213" customFormat="1" customHeight="1" spans="1:18">
      <c r="A44" s="232"/>
      <c r="B44" s="233" t="s">
        <v>542</v>
      </c>
      <c r="C44" s="224" t="e">
        <f t="shared" ref="C44:G44" si="46">C36-C42*C38</f>
        <v>#DIV/0!</v>
      </c>
      <c r="D44" s="225"/>
      <c r="E44" s="224" t="e">
        <f t="shared" si="46"/>
        <v>#DIV/0!</v>
      </c>
      <c r="F44" s="225"/>
      <c r="G44" s="224" t="e">
        <f t="shared" si="46"/>
        <v>#DIV/0!</v>
      </c>
      <c r="H44" s="225"/>
      <c r="I44" s="224" t="e">
        <f t="shared" ref="I44:M44" si="47">I36-I42*I38</f>
        <v>#DIV/0!</v>
      </c>
      <c r="J44" s="225"/>
      <c r="K44" s="224" t="e">
        <f t="shared" si="47"/>
        <v>#DIV/0!</v>
      </c>
      <c r="L44" s="225"/>
      <c r="M44" s="224" t="e">
        <f t="shared" si="47"/>
        <v>#DIV/0!</v>
      </c>
      <c r="N44" s="225"/>
      <c r="O44" s="224" t="e">
        <f>O36-O42*O38</f>
        <v>#DIV/0!</v>
      </c>
      <c r="P44" s="225"/>
      <c r="Q44" s="224" t="e">
        <f>Q36-Q42*Q38</f>
        <v>#DIV/0!</v>
      </c>
      <c r="R44" s="225"/>
    </row>
    <row r="45" s="213" customFormat="1" customHeight="1" spans="1:18">
      <c r="A45" s="232"/>
      <c r="B45" s="235" t="s">
        <v>543</v>
      </c>
      <c r="C45" s="224">
        <f t="shared" ref="C45:G45" si="48">C39+C40</f>
        <v>0</v>
      </c>
      <c r="D45" s="225"/>
      <c r="E45" s="224">
        <f t="shared" si="48"/>
        <v>0</v>
      </c>
      <c r="F45" s="225"/>
      <c r="G45" s="224">
        <f t="shared" si="48"/>
        <v>0</v>
      </c>
      <c r="H45" s="225"/>
      <c r="I45" s="224">
        <f t="shared" ref="I45:M45" si="49">I39+I40</f>
        <v>0</v>
      </c>
      <c r="J45" s="225"/>
      <c r="K45" s="224">
        <f t="shared" si="49"/>
        <v>0</v>
      </c>
      <c r="L45" s="225"/>
      <c r="M45" s="224">
        <f t="shared" si="49"/>
        <v>0</v>
      </c>
      <c r="N45" s="225"/>
      <c r="O45" s="224">
        <f>O39+O40</f>
        <v>0</v>
      </c>
      <c r="P45" s="225"/>
      <c r="Q45" s="224">
        <f>Q39+Q40</f>
        <v>0</v>
      </c>
      <c r="R45" s="225"/>
    </row>
    <row r="46" s="212" customFormat="1" customHeight="1" spans="1:18">
      <c r="A46" s="228"/>
      <c r="B46" s="229" t="s">
        <v>544</v>
      </c>
      <c r="C46" s="230" t="e">
        <f t="shared" ref="C46:G46" si="50">C45/C44</f>
        <v>#DIV/0!</v>
      </c>
      <c r="D46" s="231"/>
      <c r="E46" s="230" t="e">
        <f t="shared" si="50"/>
        <v>#DIV/0!</v>
      </c>
      <c r="F46" s="231"/>
      <c r="G46" s="230" t="e">
        <f t="shared" si="50"/>
        <v>#DIV/0!</v>
      </c>
      <c r="H46" s="231"/>
      <c r="I46" s="230" t="e">
        <f t="shared" ref="I46:M46" si="51">I45/I44</f>
        <v>#DIV/0!</v>
      </c>
      <c r="J46" s="231"/>
      <c r="K46" s="230" t="e">
        <f t="shared" si="51"/>
        <v>#DIV/0!</v>
      </c>
      <c r="L46" s="231"/>
      <c r="M46" s="230" t="e">
        <f t="shared" si="51"/>
        <v>#DIV/0!</v>
      </c>
      <c r="N46" s="231"/>
      <c r="O46" s="230" t="e">
        <f>O45/O44</f>
        <v>#DIV/0!</v>
      </c>
      <c r="P46" s="231"/>
      <c r="Q46" s="230" t="e">
        <f>Q45/Q44</f>
        <v>#DIV/0!</v>
      </c>
      <c r="R46" s="231"/>
    </row>
    <row r="47" s="212" customFormat="1" customHeight="1" spans="1:18">
      <c r="A47" s="228"/>
      <c r="B47" s="229" t="s">
        <v>545</v>
      </c>
      <c r="C47" s="230" t="s">
        <v>546</v>
      </c>
      <c r="D47" s="231"/>
      <c r="E47" s="230" t="e">
        <f t="shared" ref="E47:I47" si="52">(E35-C35)/C35</f>
        <v>#DIV/0!</v>
      </c>
      <c r="F47" s="231"/>
      <c r="G47" s="230" t="e">
        <f t="shared" si="52"/>
        <v>#DIV/0!</v>
      </c>
      <c r="H47" s="231"/>
      <c r="I47" s="230" t="e">
        <f t="shared" si="52"/>
        <v>#DIV/0!</v>
      </c>
      <c r="J47" s="231"/>
      <c r="K47" s="230" t="e">
        <f t="shared" ref="K47:O47" si="53">(K35-I35)/I35</f>
        <v>#DIV/0!</v>
      </c>
      <c r="L47" s="231"/>
      <c r="M47" s="230" t="e">
        <f t="shared" si="53"/>
        <v>#DIV/0!</v>
      </c>
      <c r="N47" s="231"/>
      <c r="O47" s="230" t="e">
        <f t="shared" si="53"/>
        <v>#DIV/0!</v>
      </c>
      <c r="P47" s="231"/>
      <c r="Q47" s="230" t="e">
        <f>(Q35-O35)/O35</f>
        <v>#DIV/0!</v>
      </c>
      <c r="R47" s="231"/>
    </row>
  </sheetData>
  <sheetProtection formatCells="0" insertHyperlinks="0" autoFilter="0"/>
  <mergeCells count="342">
    <mergeCell ref="C2:D2"/>
    <mergeCell ref="E2:F2"/>
    <mergeCell ref="G2:H2"/>
    <mergeCell ref="I2:J2"/>
    <mergeCell ref="K2:L2"/>
    <mergeCell ref="M2:N2"/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4:D4"/>
    <mergeCell ref="E4:F4"/>
    <mergeCell ref="G4:H4"/>
    <mergeCell ref="I4:J4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6:D6"/>
    <mergeCell ref="E6:F6"/>
    <mergeCell ref="G6:H6"/>
    <mergeCell ref="I6:J6"/>
    <mergeCell ref="K6:L6"/>
    <mergeCell ref="M6:N6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8:D8"/>
    <mergeCell ref="E8:F8"/>
    <mergeCell ref="G8:H8"/>
    <mergeCell ref="I8:J8"/>
    <mergeCell ref="K8:L8"/>
    <mergeCell ref="M8:N8"/>
    <mergeCell ref="O8:P8"/>
    <mergeCell ref="Q8:R8"/>
    <mergeCell ref="C9:D9"/>
    <mergeCell ref="E9:F9"/>
    <mergeCell ref="G9:H9"/>
    <mergeCell ref="I9:J9"/>
    <mergeCell ref="K9:L9"/>
    <mergeCell ref="M9:N9"/>
    <mergeCell ref="O9:P9"/>
    <mergeCell ref="Q9:R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K11:L11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3:D13"/>
    <mergeCell ref="E13:F13"/>
    <mergeCell ref="G13:H13"/>
    <mergeCell ref="I13:J13"/>
    <mergeCell ref="K13:L13"/>
    <mergeCell ref="M13:N13"/>
    <mergeCell ref="O13:P13"/>
    <mergeCell ref="Q13:R13"/>
    <mergeCell ref="C14:D14"/>
    <mergeCell ref="E14:F14"/>
    <mergeCell ref="G14:H14"/>
    <mergeCell ref="I14:J14"/>
    <mergeCell ref="K14:L14"/>
    <mergeCell ref="M14:N14"/>
    <mergeCell ref="O14:P14"/>
    <mergeCell ref="Q14:R14"/>
    <mergeCell ref="C15:D15"/>
    <mergeCell ref="E15:F15"/>
    <mergeCell ref="G15:H15"/>
    <mergeCell ref="I15:J15"/>
    <mergeCell ref="K15:L15"/>
    <mergeCell ref="M15:N15"/>
    <mergeCell ref="O15:P15"/>
    <mergeCell ref="Q15:R15"/>
    <mergeCell ref="C18:D18"/>
    <mergeCell ref="E18:F18"/>
    <mergeCell ref="G18:H18"/>
    <mergeCell ref="I18:J18"/>
    <mergeCell ref="K18:L18"/>
    <mergeCell ref="M18:N18"/>
    <mergeCell ref="O18:P18"/>
    <mergeCell ref="Q18:R18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4:D24"/>
    <mergeCell ref="E24:F24"/>
    <mergeCell ref="G24:H24"/>
    <mergeCell ref="I24:J24"/>
    <mergeCell ref="K24:L24"/>
    <mergeCell ref="M24:N24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6:D26"/>
    <mergeCell ref="E26:F26"/>
    <mergeCell ref="G26:H26"/>
    <mergeCell ref="I26:J26"/>
    <mergeCell ref="K26:L26"/>
    <mergeCell ref="M26:N26"/>
    <mergeCell ref="O26:P26"/>
    <mergeCell ref="Q26:R26"/>
    <mergeCell ref="C27:D27"/>
    <mergeCell ref="E27:F27"/>
    <mergeCell ref="G27:H27"/>
    <mergeCell ref="I27:J27"/>
    <mergeCell ref="K27:L27"/>
    <mergeCell ref="M27:N27"/>
    <mergeCell ref="O27:P27"/>
    <mergeCell ref="Q27:R27"/>
    <mergeCell ref="C28:D28"/>
    <mergeCell ref="E28:F28"/>
    <mergeCell ref="G28:H28"/>
    <mergeCell ref="I28:J28"/>
    <mergeCell ref="K28:L28"/>
    <mergeCell ref="M28:N28"/>
    <mergeCell ref="O28:P28"/>
    <mergeCell ref="Q28:R28"/>
    <mergeCell ref="C29:D29"/>
    <mergeCell ref="E29:F29"/>
    <mergeCell ref="G29:H29"/>
    <mergeCell ref="I29:J29"/>
    <mergeCell ref="K29:L29"/>
    <mergeCell ref="M29:N29"/>
    <mergeCell ref="O29:P29"/>
    <mergeCell ref="Q29:R29"/>
    <mergeCell ref="C30:D30"/>
    <mergeCell ref="E30:F30"/>
    <mergeCell ref="G30:H30"/>
    <mergeCell ref="I30:J30"/>
    <mergeCell ref="K30:L30"/>
    <mergeCell ref="M30:N30"/>
    <mergeCell ref="O30:P30"/>
    <mergeCell ref="Q30:R30"/>
    <mergeCell ref="C31:D31"/>
    <mergeCell ref="E31:F31"/>
    <mergeCell ref="G31:H31"/>
    <mergeCell ref="I31:J31"/>
    <mergeCell ref="K31:L31"/>
    <mergeCell ref="M31:N31"/>
    <mergeCell ref="O31:P31"/>
    <mergeCell ref="Q31:R31"/>
    <mergeCell ref="C34:D34"/>
    <mergeCell ref="E34:F34"/>
    <mergeCell ref="G34:H34"/>
    <mergeCell ref="I34:J34"/>
    <mergeCell ref="K34:L34"/>
    <mergeCell ref="M34:N34"/>
    <mergeCell ref="O34:P34"/>
    <mergeCell ref="Q34:R34"/>
    <mergeCell ref="C35:D35"/>
    <mergeCell ref="E35:F35"/>
    <mergeCell ref="G35:H35"/>
    <mergeCell ref="I35:J35"/>
    <mergeCell ref="K35:L35"/>
    <mergeCell ref="M35:N35"/>
    <mergeCell ref="O35:P35"/>
    <mergeCell ref="Q35:R35"/>
    <mergeCell ref="C36:D36"/>
    <mergeCell ref="E36:F36"/>
    <mergeCell ref="G36:H36"/>
    <mergeCell ref="I36:J36"/>
    <mergeCell ref="K36:L36"/>
    <mergeCell ref="M36:N36"/>
    <mergeCell ref="O36:P36"/>
    <mergeCell ref="Q36:R36"/>
    <mergeCell ref="C37:D37"/>
    <mergeCell ref="E37:F37"/>
    <mergeCell ref="G37:H37"/>
    <mergeCell ref="I37:J37"/>
    <mergeCell ref="K37:L37"/>
    <mergeCell ref="M37:N37"/>
    <mergeCell ref="O37:P37"/>
    <mergeCell ref="Q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C41:D41"/>
    <mergeCell ref="E41:F41"/>
    <mergeCell ref="G41:H41"/>
    <mergeCell ref="I41:J41"/>
    <mergeCell ref="K41:L41"/>
    <mergeCell ref="M41:N41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3:D43"/>
    <mergeCell ref="E43:F43"/>
    <mergeCell ref="G43:H43"/>
    <mergeCell ref="I43:J43"/>
    <mergeCell ref="K43:L43"/>
    <mergeCell ref="M43:N43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5:D45"/>
    <mergeCell ref="E45:F45"/>
    <mergeCell ref="G45:H45"/>
    <mergeCell ref="I45:J45"/>
    <mergeCell ref="K45:L45"/>
    <mergeCell ref="M45:N45"/>
    <mergeCell ref="O45:P45"/>
    <mergeCell ref="Q45:R45"/>
    <mergeCell ref="C46:D46"/>
    <mergeCell ref="E46:F46"/>
    <mergeCell ref="G46:H46"/>
    <mergeCell ref="I46:J46"/>
    <mergeCell ref="K46:L46"/>
    <mergeCell ref="M46:N46"/>
    <mergeCell ref="O46:P46"/>
    <mergeCell ref="Q46:R46"/>
    <mergeCell ref="C47:D47"/>
    <mergeCell ref="E47:F47"/>
    <mergeCell ref="G47:H47"/>
    <mergeCell ref="I47:J47"/>
    <mergeCell ref="K47:L47"/>
    <mergeCell ref="M47:N47"/>
    <mergeCell ref="O47:P47"/>
    <mergeCell ref="Q47:R47"/>
    <mergeCell ref="A2:A8"/>
    <mergeCell ref="A9:A15"/>
    <mergeCell ref="A18:A24"/>
    <mergeCell ref="A25:A31"/>
    <mergeCell ref="A34:A40"/>
    <mergeCell ref="A41:A4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M41" sqref="M41"/>
    </sheetView>
  </sheetViews>
  <sheetFormatPr defaultColWidth="10.0583333333333" defaultRowHeight="16.5"/>
  <cols>
    <col min="1" max="16384" width="10.0583333333333" style="203"/>
  </cols>
  <sheetData>
    <row r="1" s="203" customFormat="1" spans="1:14">
      <c r="A1" s="145" t="s">
        <v>568</v>
      </c>
      <c r="B1" s="202" t="s">
        <v>510</v>
      </c>
      <c r="C1" s="202" t="s">
        <v>511</v>
      </c>
      <c r="D1" s="204" t="s">
        <v>569</v>
      </c>
      <c r="E1" s="204" t="s">
        <v>570</v>
      </c>
      <c r="F1" s="204" t="s">
        <v>571</v>
      </c>
      <c r="G1" s="204" t="s">
        <v>572</v>
      </c>
      <c r="H1" s="205" t="s">
        <v>573</v>
      </c>
      <c r="I1" s="204" t="s">
        <v>574</v>
      </c>
      <c r="J1" s="204" t="s">
        <v>575</v>
      </c>
      <c r="K1" s="204" t="s">
        <v>576</v>
      </c>
      <c r="L1" s="206" t="s">
        <v>538</v>
      </c>
      <c r="M1" s="207" t="s">
        <v>537</v>
      </c>
      <c r="N1" s="207" t="s">
        <v>577</v>
      </c>
    </row>
    <row r="2" s="203" customFormat="1" spans="1:14">
      <c r="A2" s="164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="203" customFormat="1" spans="1:14">
      <c r="A3" s="16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="203" customFormat="1" spans="1:14">
      <c r="A4" s="164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</row>
    <row r="5" s="203" customFormat="1" spans="1:14">
      <c r="A5" s="16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</row>
    <row r="6" s="203" customFormat="1" spans="1:14">
      <c r="A6" s="164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7" s="203" customFormat="1" spans="1:14">
      <c r="A7" s="164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</row>
    <row r="8" s="203" customFormat="1" spans="1:14">
      <c r="A8" s="164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</row>
    <row r="9" s="203" customFormat="1" spans="1:14">
      <c r="A9" s="164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</row>
    <row r="10" s="203" customFormat="1" spans="1:14">
      <c r="A10" s="164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</row>
    <row r="11" s="203" customFormat="1" spans="1:14">
      <c r="A11" s="164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s="203" customFormat="1" spans="1:14">
      <c r="A12" s="164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s="203" customFormat="1" spans="1:14">
      <c r="A13" s="16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s="203" customFormat="1" spans="1:14">
      <c r="A14" s="164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s="203" customFormat="1" spans="1:14">
      <c r="A15" s="164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s="203" customFormat="1" spans="1:14">
      <c r="A16" s="16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 s="203" customFormat="1" spans="1:14">
      <c r="A17" s="16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</row>
    <row r="18" s="203" customFormat="1" spans="1:14">
      <c r="A18" s="16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</row>
    <row r="19" s="203" customFormat="1" spans="1:14">
      <c r="A19" s="16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</row>
    <row r="20" s="203" customFormat="1" spans="1:14">
      <c r="A20" s="16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</row>
    <row r="21" s="203" customFormat="1" spans="1:14">
      <c r="A21" s="16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</row>
    <row r="22" s="203" customFormat="1" spans="1:14">
      <c r="A22" s="16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</row>
    <row r="23" s="203" customFormat="1" spans="1:14">
      <c r="A23" s="16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</row>
    <row r="24" s="203" customFormat="1" spans="1:14">
      <c r="A24" s="16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</row>
    <row r="25" s="203" customFormat="1" spans="1:14">
      <c r="A25" s="16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</row>
    <row r="26" s="203" customFormat="1" spans="1:14">
      <c r="A26" s="16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</row>
    <row r="27" s="203" customFormat="1" spans="1:14">
      <c r="A27" s="16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</row>
    <row r="28" s="203" customFormat="1" spans="1:14">
      <c r="A28" s="16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</row>
    <row r="29" s="203" customFormat="1" spans="1:14">
      <c r="A29" s="16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</row>
    <row r="30" s="203" customFormat="1" spans="1:14">
      <c r="A30" s="16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</row>
    <row r="31" s="203" customFormat="1" spans="1:14">
      <c r="A31" s="16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G9" sqref="G9"/>
    </sheetView>
  </sheetViews>
  <sheetFormatPr defaultColWidth="10" defaultRowHeight="18" customHeight="1" outlineLevelCol="7"/>
  <cols>
    <col min="1" max="1" width="10" style="169"/>
    <col min="2" max="2" width="10" style="168"/>
    <col min="3" max="3" width="10" style="169"/>
    <col min="4" max="5" width="34.625" style="169" customWidth="1"/>
    <col min="6" max="6" width="10" style="168"/>
    <col min="7" max="8" width="34.625" style="169" customWidth="1"/>
    <col min="9" max="16384" width="10" style="169"/>
  </cols>
  <sheetData>
    <row r="1" s="169" customFormat="1" customHeight="1" spans="1:8">
      <c r="A1" s="159" t="s">
        <v>568</v>
      </c>
      <c r="B1" s="160" t="s">
        <v>510</v>
      </c>
      <c r="C1" s="159" t="s">
        <v>578</v>
      </c>
      <c r="D1" s="159" t="s">
        <v>579</v>
      </c>
      <c r="E1" s="159" t="s">
        <v>580</v>
      </c>
      <c r="F1" s="160" t="s">
        <v>581</v>
      </c>
      <c r="G1" s="159" t="s">
        <v>579</v>
      </c>
      <c r="H1" s="159" t="s">
        <v>580</v>
      </c>
    </row>
    <row r="2" s="169" customFormat="1" ht="100" customHeight="1" spans="1:8">
      <c r="A2" s="145"/>
      <c r="B2" s="202">
        <v>43466</v>
      </c>
      <c r="C2" s="145"/>
      <c r="D2" s="145"/>
      <c r="E2" s="145"/>
      <c r="F2" s="202">
        <f t="shared" ref="F2:F25" si="0">B2+7</f>
        <v>43473</v>
      </c>
      <c r="G2" s="145"/>
      <c r="H2" s="145"/>
    </row>
    <row r="3" s="169" customFormat="1" ht="100" customHeight="1" spans="1:8">
      <c r="A3" s="145"/>
      <c r="B3" s="202"/>
      <c r="C3" s="145"/>
      <c r="D3" s="145"/>
      <c r="E3" s="145"/>
      <c r="F3" s="202">
        <f t="shared" si="0"/>
        <v>7</v>
      </c>
      <c r="G3" s="145"/>
      <c r="H3" s="145"/>
    </row>
    <row r="4" s="169" customFormat="1" ht="100" customHeight="1" spans="1:8">
      <c r="A4" s="145"/>
      <c r="B4" s="202"/>
      <c r="C4" s="145"/>
      <c r="D4" s="145"/>
      <c r="E4" s="145"/>
      <c r="F4" s="202">
        <f t="shared" si="0"/>
        <v>7</v>
      </c>
      <c r="G4" s="145"/>
      <c r="H4" s="145"/>
    </row>
    <row r="5" s="169" customFormat="1" ht="100" customHeight="1" spans="1:8">
      <c r="A5" s="145"/>
      <c r="B5" s="202"/>
      <c r="C5" s="145"/>
      <c r="D5" s="145"/>
      <c r="E5" s="145"/>
      <c r="F5" s="202">
        <f t="shared" si="0"/>
        <v>7</v>
      </c>
      <c r="G5" s="145"/>
      <c r="H5" s="145"/>
    </row>
    <row r="6" s="169" customFormat="1" ht="100" customHeight="1" spans="1:8">
      <c r="A6" s="145"/>
      <c r="B6" s="202"/>
      <c r="C6" s="145"/>
      <c r="D6" s="145"/>
      <c r="E6" s="145"/>
      <c r="F6" s="202">
        <f t="shared" si="0"/>
        <v>7</v>
      </c>
      <c r="G6" s="145"/>
      <c r="H6" s="145"/>
    </row>
    <row r="7" s="169" customFormat="1" ht="100" customHeight="1" spans="1:8">
      <c r="A7" s="145"/>
      <c r="B7" s="202"/>
      <c r="C7" s="145"/>
      <c r="D7" s="145"/>
      <c r="E7" s="145"/>
      <c r="F7" s="202">
        <f t="shared" si="0"/>
        <v>7</v>
      </c>
      <c r="G7" s="145"/>
      <c r="H7" s="145"/>
    </row>
    <row r="8" s="169" customFormat="1" ht="100" customHeight="1" spans="1:8">
      <c r="A8" s="145"/>
      <c r="B8" s="202"/>
      <c r="C8" s="145"/>
      <c r="D8" s="145"/>
      <c r="E8" s="145"/>
      <c r="F8" s="202">
        <f t="shared" si="0"/>
        <v>7</v>
      </c>
      <c r="G8" s="145"/>
      <c r="H8" s="145"/>
    </row>
    <row r="9" s="169" customFormat="1" ht="100" customHeight="1" spans="1:8">
      <c r="A9" s="145"/>
      <c r="B9" s="202"/>
      <c r="C9" s="145"/>
      <c r="D9" s="145"/>
      <c r="E9" s="145"/>
      <c r="F9" s="202">
        <f t="shared" si="0"/>
        <v>7</v>
      </c>
      <c r="G9" s="145"/>
      <c r="H9" s="145"/>
    </row>
    <row r="10" s="169" customFormat="1" ht="100" customHeight="1" spans="1:8">
      <c r="A10" s="145"/>
      <c r="B10" s="202"/>
      <c r="C10" s="145"/>
      <c r="D10" s="145"/>
      <c r="E10" s="145"/>
      <c r="F10" s="202">
        <f t="shared" si="0"/>
        <v>7</v>
      </c>
      <c r="G10" s="145"/>
      <c r="H10" s="145"/>
    </row>
    <row r="11" s="169" customFormat="1" ht="100" customHeight="1" spans="1:8">
      <c r="A11" s="145"/>
      <c r="B11" s="202"/>
      <c r="C11" s="145"/>
      <c r="D11" s="145"/>
      <c r="E11" s="145"/>
      <c r="F11" s="202">
        <f t="shared" si="0"/>
        <v>7</v>
      </c>
      <c r="G11" s="145"/>
      <c r="H11" s="145"/>
    </row>
    <row r="12" s="169" customFormat="1" ht="100" customHeight="1" spans="1:8">
      <c r="A12" s="145"/>
      <c r="B12" s="202"/>
      <c r="C12" s="145"/>
      <c r="D12" s="145"/>
      <c r="E12" s="145"/>
      <c r="F12" s="202">
        <f t="shared" si="0"/>
        <v>7</v>
      </c>
      <c r="G12" s="145"/>
      <c r="H12" s="145"/>
    </row>
    <row r="13" s="169" customFormat="1" ht="100" customHeight="1" spans="1:8">
      <c r="A13" s="145"/>
      <c r="B13" s="202"/>
      <c r="C13" s="145"/>
      <c r="D13" s="145"/>
      <c r="E13" s="145"/>
      <c r="F13" s="202">
        <f t="shared" si="0"/>
        <v>7</v>
      </c>
      <c r="G13" s="145"/>
      <c r="H13" s="145"/>
    </row>
    <row r="14" s="169" customFormat="1" ht="100" customHeight="1" spans="1:8">
      <c r="A14" s="145"/>
      <c r="B14" s="202"/>
      <c r="C14" s="145"/>
      <c r="D14" s="145"/>
      <c r="E14" s="145"/>
      <c r="F14" s="202">
        <f t="shared" si="0"/>
        <v>7</v>
      </c>
      <c r="G14" s="145"/>
      <c r="H14" s="145"/>
    </row>
    <row r="15" s="169" customFormat="1" ht="100" customHeight="1" spans="1:8">
      <c r="A15" s="145"/>
      <c r="B15" s="202"/>
      <c r="C15" s="145"/>
      <c r="D15" s="145"/>
      <c r="E15" s="145"/>
      <c r="F15" s="202">
        <f t="shared" si="0"/>
        <v>7</v>
      </c>
      <c r="G15" s="145"/>
      <c r="H15" s="145"/>
    </row>
    <row r="16" s="169" customFormat="1" ht="100" customHeight="1" spans="1:8">
      <c r="A16" s="145"/>
      <c r="B16" s="202"/>
      <c r="C16" s="145"/>
      <c r="D16" s="145"/>
      <c r="E16" s="145"/>
      <c r="F16" s="202">
        <f t="shared" si="0"/>
        <v>7</v>
      </c>
      <c r="G16" s="145"/>
      <c r="H16" s="145"/>
    </row>
    <row r="17" s="169" customFormat="1" ht="100" customHeight="1" spans="1:8">
      <c r="A17" s="145"/>
      <c r="B17" s="202"/>
      <c r="C17" s="145"/>
      <c r="D17" s="145"/>
      <c r="E17" s="145"/>
      <c r="F17" s="202">
        <f t="shared" si="0"/>
        <v>7</v>
      </c>
      <c r="G17" s="145"/>
      <c r="H17" s="145"/>
    </row>
    <row r="18" s="169" customFormat="1" ht="100" customHeight="1" spans="1:8">
      <c r="A18" s="145"/>
      <c r="B18" s="202"/>
      <c r="C18" s="145"/>
      <c r="D18" s="145"/>
      <c r="E18" s="145"/>
      <c r="F18" s="202">
        <f t="shared" si="0"/>
        <v>7</v>
      </c>
      <c r="G18" s="145"/>
      <c r="H18" s="145"/>
    </row>
    <row r="19" s="169" customFormat="1" ht="100" customHeight="1" spans="1:8">
      <c r="A19" s="145"/>
      <c r="B19" s="202"/>
      <c r="C19" s="145"/>
      <c r="D19" s="145"/>
      <c r="E19" s="145"/>
      <c r="F19" s="202">
        <f t="shared" si="0"/>
        <v>7</v>
      </c>
      <c r="G19" s="145"/>
      <c r="H19" s="145"/>
    </row>
    <row r="20" s="169" customFormat="1" ht="100" customHeight="1" spans="1:8">
      <c r="A20" s="145"/>
      <c r="B20" s="202"/>
      <c r="C20" s="145"/>
      <c r="D20" s="145"/>
      <c r="E20" s="145"/>
      <c r="F20" s="202">
        <f t="shared" si="0"/>
        <v>7</v>
      </c>
      <c r="G20" s="145"/>
      <c r="H20" s="145"/>
    </row>
    <row r="21" s="169" customFormat="1" ht="100" customHeight="1" spans="1:8">
      <c r="A21" s="145"/>
      <c r="B21" s="202"/>
      <c r="C21" s="145"/>
      <c r="D21" s="145"/>
      <c r="E21" s="145"/>
      <c r="F21" s="202">
        <f t="shared" si="0"/>
        <v>7</v>
      </c>
      <c r="G21" s="145"/>
      <c r="H21" s="145"/>
    </row>
    <row r="22" s="169" customFormat="1" ht="100" customHeight="1" spans="1:8">
      <c r="A22" s="145"/>
      <c r="B22" s="202"/>
      <c r="C22" s="145"/>
      <c r="D22" s="145"/>
      <c r="E22" s="145"/>
      <c r="F22" s="202">
        <f t="shared" si="0"/>
        <v>7</v>
      </c>
      <c r="G22" s="145"/>
      <c r="H22" s="145"/>
    </row>
    <row r="23" s="169" customFormat="1" ht="100" customHeight="1" spans="1:8">
      <c r="A23" s="145"/>
      <c r="B23" s="202"/>
      <c r="C23" s="145"/>
      <c r="D23" s="145"/>
      <c r="E23" s="145"/>
      <c r="F23" s="202">
        <f t="shared" si="0"/>
        <v>7</v>
      </c>
      <c r="G23" s="145"/>
      <c r="H23" s="145"/>
    </row>
    <row r="24" s="169" customFormat="1" ht="100" customHeight="1" spans="1:8">
      <c r="A24" s="145"/>
      <c r="B24" s="202"/>
      <c r="C24" s="145"/>
      <c r="D24" s="145"/>
      <c r="E24" s="145"/>
      <c r="F24" s="202">
        <f t="shared" si="0"/>
        <v>7</v>
      </c>
      <c r="G24" s="145"/>
      <c r="H24" s="145"/>
    </row>
    <row r="25" s="169" customFormat="1" ht="100" customHeight="1" spans="1:8">
      <c r="A25" s="145"/>
      <c r="B25" s="202"/>
      <c r="C25" s="145"/>
      <c r="D25" s="145"/>
      <c r="E25" s="145"/>
      <c r="F25" s="202">
        <f t="shared" si="0"/>
        <v>7</v>
      </c>
      <c r="G25" s="145"/>
      <c r="H25" s="145"/>
    </row>
  </sheetData>
  <sheetProtection formatCells="0" insertHyperlinks="0" autoFilter="0"/>
  <dataValidations count="1">
    <dataValidation type="list" allowBlank="1" showInputMessage="1" showErrorMessage="1" sqref="C2:C25">
      <formula1>"预算,出价,增词,减词,新开组,屏蔽词"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3"/>
  <sheetViews>
    <sheetView workbookViewId="0">
      <selection activeCell="C7" sqref="C7"/>
    </sheetView>
  </sheetViews>
  <sheetFormatPr defaultColWidth="8.89166666666667" defaultRowHeight="30" customHeight="1"/>
  <cols>
    <col min="1" max="1" width="9.875" style="178" customWidth="1"/>
    <col min="2" max="2" width="19.625" style="178" customWidth="1"/>
    <col min="3" max="3" width="19.25" style="178" customWidth="1"/>
    <col min="4" max="4" width="15.7333333333333" style="178" customWidth="1"/>
    <col min="5" max="5" width="12.1083333333333" style="178" customWidth="1"/>
    <col min="6" max="6" width="8.1" style="178" customWidth="1"/>
    <col min="7" max="7" width="9.10833333333333" style="178" customWidth="1"/>
    <col min="8" max="8" width="7.225" style="178" customWidth="1"/>
    <col min="9" max="9" width="9.89166666666667" style="178" customWidth="1"/>
    <col min="10" max="10" width="10.8916666666667" style="179" customWidth="1"/>
    <col min="11" max="11" width="12.8916666666667" style="180" customWidth="1"/>
    <col min="12" max="12" width="10.775" style="178" customWidth="1"/>
    <col min="13" max="13" width="12.6666666666667" style="180" customWidth="1"/>
    <col min="14" max="14" width="10.4416666666667" style="179" customWidth="1"/>
    <col min="15" max="15" width="9.275" style="181" customWidth="1"/>
    <col min="16" max="16" width="11.775" style="178" customWidth="1"/>
    <col min="17" max="17" width="15.625" style="178" customWidth="1"/>
    <col min="18" max="18" width="13.5" style="178" customWidth="1"/>
    <col min="19" max="19" width="13.1083333333333" style="178" customWidth="1"/>
    <col min="20" max="20" width="14.6416666666667" style="178" customWidth="1"/>
    <col min="21" max="21" width="11.3666666666667" style="178" customWidth="1"/>
    <col min="22" max="22" width="17.35" style="178" customWidth="1"/>
    <col min="23" max="23" width="23.8166666666667" style="178" customWidth="1"/>
    <col min="24" max="16384" width="8.89166666666667" style="178"/>
  </cols>
  <sheetData>
    <row r="1" s="174" customFormat="1" customHeight="1" spans="1:23">
      <c r="A1" s="182" t="s">
        <v>582</v>
      </c>
      <c r="B1" s="183">
        <f ca="1">TODAY()</f>
        <v>46000</v>
      </c>
      <c r="C1" s="183"/>
      <c r="D1" s="184" t="s">
        <v>583</v>
      </c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97"/>
      <c r="V1" s="198"/>
      <c r="W1" s="198"/>
    </row>
    <row r="2" s="175" customFormat="1" ht="48" customHeight="1" spans="1:35">
      <c r="A2" s="175" t="s">
        <v>6</v>
      </c>
      <c r="B2" s="175" t="s">
        <v>584</v>
      </c>
      <c r="C2" s="185" t="s">
        <v>568</v>
      </c>
      <c r="D2" s="185" t="s">
        <v>585</v>
      </c>
      <c r="E2" s="185" t="s">
        <v>586</v>
      </c>
      <c r="F2" s="187" t="s">
        <v>587</v>
      </c>
      <c r="G2" s="185" t="s">
        <v>588</v>
      </c>
      <c r="H2" s="185" t="s">
        <v>589</v>
      </c>
      <c r="I2" s="185" t="s">
        <v>590</v>
      </c>
      <c r="J2" s="185" t="s">
        <v>591</v>
      </c>
      <c r="K2" s="190" t="s">
        <v>592</v>
      </c>
      <c r="L2" s="191" t="s">
        <v>593</v>
      </c>
      <c r="M2" s="185" t="s">
        <v>594</v>
      </c>
      <c r="N2" s="191" t="s">
        <v>595</v>
      </c>
      <c r="O2" s="194" t="s">
        <v>596</v>
      </c>
      <c r="P2" s="195" t="s">
        <v>597</v>
      </c>
      <c r="Q2" s="185" t="s">
        <v>598</v>
      </c>
      <c r="R2" s="185" t="s">
        <v>599</v>
      </c>
      <c r="S2" s="185" t="s">
        <v>600</v>
      </c>
      <c r="T2" s="185" t="s">
        <v>601</v>
      </c>
      <c r="U2" s="185" t="s">
        <v>602</v>
      </c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</row>
    <row r="3" s="176" customFormat="1" ht="38" customHeight="1" spans="1:34">
      <c r="A3" s="175">
        <v>1</v>
      </c>
      <c r="B3" s="175" t="s">
        <v>603</v>
      </c>
      <c r="C3" s="177" t="s">
        <v>603</v>
      </c>
      <c r="D3" s="177"/>
      <c r="E3" s="188">
        <v>100</v>
      </c>
      <c r="F3" s="189">
        <f t="shared" ref="F3:F12" si="0">E3/P3</f>
        <v>1.50537634408602</v>
      </c>
      <c r="G3" s="188">
        <v>20</v>
      </c>
      <c r="H3" s="188">
        <v>0</v>
      </c>
      <c r="I3" s="188">
        <v>0</v>
      </c>
      <c r="J3" s="177">
        <f t="shared" ref="J3:J12" si="1">E3+G3+H3+I3</f>
        <v>120</v>
      </c>
      <c r="K3" s="192">
        <f t="shared" ref="K3:K12" si="2">J3/P3</f>
        <v>1.80645161290323</v>
      </c>
      <c r="L3" s="193">
        <f ca="1">IFERROR($B$1+K3,"输入有误")</f>
        <v>46001.8064516129</v>
      </c>
      <c r="M3" s="188">
        <v>30</v>
      </c>
      <c r="N3" s="193">
        <f ca="1">$B$1+K3-M3</f>
        <v>45971.8064516129</v>
      </c>
      <c r="O3" s="192">
        <f t="shared" ref="O3:O12" si="3">M3*P3</f>
        <v>1992.85714285714</v>
      </c>
      <c r="P3" s="196">
        <f t="shared" ref="P3:P12" si="4">(Q3/3)*0.1+(R3/7)*0.5+(S3/14)*0.3+(T3/30)*0.2</f>
        <v>66.4285714285714</v>
      </c>
      <c r="Q3" s="189">
        <v>500</v>
      </c>
      <c r="R3" s="189">
        <v>500</v>
      </c>
      <c r="S3" s="189">
        <v>500</v>
      </c>
      <c r="T3" s="189">
        <v>500</v>
      </c>
      <c r="U3" s="175" t="str">
        <f t="shared" ref="U3:U12" si="5">IF((K3-M3&lt;0),"库存报警","库存安全")</f>
        <v>库存报警</v>
      </c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</row>
    <row r="4" s="177" customFormat="1" customHeight="1" spans="1:35">
      <c r="A4" s="175">
        <v>2</v>
      </c>
      <c r="B4" s="175" t="s">
        <v>603</v>
      </c>
      <c r="C4" s="177" t="s">
        <v>604</v>
      </c>
      <c r="E4" s="188">
        <v>300</v>
      </c>
      <c r="F4" s="189">
        <f t="shared" si="0"/>
        <v>26.8085106382979</v>
      </c>
      <c r="G4" s="188">
        <v>200</v>
      </c>
      <c r="H4" s="188">
        <v>0</v>
      </c>
      <c r="I4" s="188">
        <v>50</v>
      </c>
      <c r="J4" s="177">
        <f t="shared" si="1"/>
        <v>550</v>
      </c>
      <c r="K4" s="192">
        <f t="shared" si="2"/>
        <v>49.1489361702128</v>
      </c>
      <c r="L4" s="193">
        <f ca="1">IFERROR($B$1+K4,"输入有误")</f>
        <v>46049.1489361702</v>
      </c>
      <c r="M4" s="188">
        <v>60</v>
      </c>
      <c r="N4" s="193">
        <f ca="1">$B$1+K4-M4</f>
        <v>45989.1489361702</v>
      </c>
      <c r="O4" s="192">
        <f t="shared" si="3"/>
        <v>671.428571428571</v>
      </c>
      <c r="P4" s="196">
        <f t="shared" si="4"/>
        <v>11.1904761904762</v>
      </c>
      <c r="Q4" s="189">
        <v>40</v>
      </c>
      <c r="R4" s="189">
        <v>50</v>
      </c>
      <c r="S4" s="189">
        <v>200</v>
      </c>
      <c r="T4" s="189">
        <v>300</v>
      </c>
      <c r="U4" s="175" t="str">
        <f t="shared" si="5"/>
        <v>库存报警</v>
      </c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201"/>
    </row>
    <row r="5" s="177" customFormat="1" customHeight="1" spans="1:35">
      <c r="A5" s="175">
        <v>3</v>
      </c>
      <c r="B5" s="175" t="s">
        <v>603</v>
      </c>
      <c r="C5" s="177" t="s">
        <v>605</v>
      </c>
      <c r="E5" s="188">
        <v>200</v>
      </c>
      <c r="F5" s="189">
        <f t="shared" si="0"/>
        <v>21.9895287958115</v>
      </c>
      <c r="G5" s="188">
        <v>200</v>
      </c>
      <c r="H5" s="188">
        <v>0</v>
      </c>
      <c r="I5" s="188">
        <v>0</v>
      </c>
      <c r="J5" s="177">
        <f t="shared" si="1"/>
        <v>400</v>
      </c>
      <c r="K5" s="192">
        <f t="shared" si="2"/>
        <v>43.979057591623</v>
      </c>
      <c r="L5" s="193">
        <f ca="1">IFERROR($B$1+K5,"输入有误")</f>
        <v>46043.9790575916</v>
      </c>
      <c r="M5" s="188">
        <v>70</v>
      </c>
      <c r="N5" s="193">
        <f ca="1">$B$1+K5-M5</f>
        <v>45973.9790575916</v>
      </c>
      <c r="O5" s="192">
        <f t="shared" si="3"/>
        <v>636.666666666667</v>
      </c>
      <c r="P5" s="196">
        <f t="shared" si="4"/>
        <v>9.09523809523809</v>
      </c>
      <c r="Q5" s="189">
        <v>40</v>
      </c>
      <c r="R5" s="189">
        <v>60</v>
      </c>
      <c r="S5" s="189">
        <v>100</v>
      </c>
      <c r="T5" s="189">
        <v>200</v>
      </c>
      <c r="U5" s="175" t="str">
        <f t="shared" si="5"/>
        <v>库存报警</v>
      </c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201"/>
    </row>
    <row r="6" s="177" customFormat="1" customHeight="1" spans="1:35">
      <c r="A6" s="175">
        <v>3</v>
      </c>
      <c r="B6" s="175" t="s">
        <v>603</v>
      </c>
      <c r="C6" s="177" t="s">
        <v>605</v>
      </c>
      <c r="E6" s="188">
        <v>200</v>
      </c>
      <c r="F6" s="189">
        <f t="shared" si="0"/>
        <v>21.9895287958115</v>
      </c>
      <c r="G6" s="188">
        <v>200</v>
      </c>
      <c r="H6" s="188">
        <v>0</v>
      </c>
      <c r="I6" s="188">
        <v>0</v>
      </c>
      <c r="J6" s="177">
        <f t="shared" si="1"/>
        <v>400</v>
      </c>
      <c r="K6" s="192">
        <f t="shared" si="2"/>
        <v>43.979057591623</v>
      </c>
      <c r="L6" s="193">
        <f ca="1">IFERROR($B$1+K6,"输入有误")</f>
        <v>46043.9790575916</v>
      </c>
      <c r="M6" s="188">
        <v>70</v>
      </c>
      <c r="N6" s="193">
        <f ca="1">$B$1+K6-M6</f>
        <v>45973.9790575916</v>
      </c>
      <c r="O6" s="192">
        <f t="shared" si="3"/>
        <v>636.666666666667</v>
      </c>
      <c r="P6" s="196">
        <f t="shared" si="4"/>
        <v>9.09523809523809</v>
      </c>
      <c r="Q6" s="189">
        <v>40</v>
      </c>
      <c r="R6" s="189">
        <v>60</v>
      </c>
      <c r="S6" s="189">
        <v>100</v>
      </c>
      <c r="T6" s="189">
        <v>200</v>
      </c>
      <c r="U6" s="175" t="str">
        <f t="shared" si="5"/>
        <v>库存报警</v>
      </c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201"/>
    </row>
    <row r="7" s="177" customFormat="1" customHeight="1" spans="1:35">
      <c r="A7" s="175">
        <v>3</v>
      </c>
      <c r="B7" s="175" t="s">
        <v>603</v>
      </c>
      <c r="C7" s="177" t="s">
        <v>605</v>
      </c>
      <c r="E7" s="188">
        <v>200</v>
      </c>
      <c r="F7" s="189">
        <f t="shared" si="0"/>
        <v>21.9895287958115</v>
      </c>
      <c r="G7" s="188">
        <v>200</v>
      </c>
      <c r="H7" s="188">
        <v>0</v>
      </c>
      <c r="I7" s="188">
        <v>0</v>
      </c>
      <c r="J7" s="177">
        <f t="shared" si="1"/>
        <v>400</v>
      </c>
      <c r="K7" s="192">
        <f t="shared" si="2"/>
        <v>43.979057591623</v>
      </c>
      <c r="L7" s="193">
        <f ca="1">IFERROR($B$1+K7,"输入有误")</f>
        <v>46043.9790575916</v>
      </c>
      <c r="M7" s="188">
        <v>70</v>
      </c>
      <c r="N7" s="193">
        <f ca="1">$B$1+K7-M7</f>
        <v>45973.9790575916</v>
      </c>
      <c r="O7" s="192">
        <f t="shared" si="3"/>
        <v>636.666666666667</v>
      </c>
      <c r="P7" s="196">
        <f t="shared" si="4"/>
        <v>9.09523809523809</v>
      </c>
      <c r="Q7" s="189">
        <v>40</v>
      </c>
      <c r="R7" s="189">
        <v>60</v>
      </c>
      <c r="S7" s="189">
        <v>100</v>
      </c>
      <c r="T7" s="189">
        <v>200</v>
      </c>
      <c r="U7" s="175" t="str">
        <f t="shared" si="5"/>
        <v>库存报警</v>
      </c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201"/>
    </row>
    <row r="8" s="177" customFormat="1" customHeight="1" spans="1:35">
      <c r="A8" s="175">
        <v>3</v>
      </c>
      <c r="B8" s="175" t="s">
        <v>603</v>
      </c>
      <c r="C8" s="177" t="s">
        <v>605</v>
      </c>
      <c r="E8" s="188">
        <v>200</v>
      </c>
      <c r="F8" s="189">
        <f t="shared" si="0"/>
        <v>21.9895287958115</v>
      </c>
      <c r="G8" s="188">
        <v>200</v>
      </c>
      <c r="H8" s="188">
        <v>0</v>
      </c>
      <c r="I8" s="188">
        <v>0</v>
      </c>
      <c r="J8" s="177">
        <f t="shared" si="1"/>
        <v>400</v>
      </c>
      <c r="K8" s="192">
        <f t="shared" si="2"/>
        <v>43.979057591623</v>
      </c>
      <c r="L8" s="193">
        <f ca="1">IFERROR($B$1+K8,"输入有误")</f>
        <v>46043.9790575916</v>
      </c>
      <c r="M8" s="188">
        <v>70</v>
      </c>
      <c r="N8" s="193">
        <f ca="1">$B$1+K8-M8</f>
        <v>45973.9790575916</v>
      </c>
      <c r="O8" s="192">
        <f t="shared" si="3"/>
        <v>636.666666666667</v>
      </c>
      <c r="P8" s="196">
        <f t="shared" si="4"/>
        <v>9.09523809523809</v>
      </c>
      <c r="Q8" s="189">
        <v>40</v>
      </c>
      <c r="R8" s="189">
        <v>60</v>
      </c>
      <c r="S8" s="189">
        <v>100</v>
      </c>
      <c r="T8" s="189">
        <v>200</v>
      </c>
      <c r="U8" s="175" t="str">
        <f t="shared" si="5"/>
        <v>库存报警</v>
      </c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201"/>
    </row>
    <row r="9" s="177" customFormat="1" customHeight="1" spans="1:35">
      <c r="A9" s="175">
        <v>3</v>
      </c>
      <c r="B9" s="175" t="s">
        <v>603</v>
      </c>
      <c r="C9" s="177" t="s">
        <v>605</v>
      </c>
      <c r="E9" s="188">
        <v>200</v>
      </c>
      <c r="F9" s="189">
        <f t="shared" si="0"/>
        <v>21.9895287958115</v>
      </c>
      <c r="G9" s="188">
        <v>200</v>
      </c>
      <c r="H9" s="188">
        <v>0</v>
      </c>
      <c r="I9" s="188">
        <v>0</v>
      </c>
      <c r="J9" s="177">
        <f t="shared" si="1"/>
        <v>400</v>
      </c>
      <c r="K9" s="192">
        <f t="shared" si="2"/>
        <v>43.979057591623</v>
      </c>
      <c r="L9" s="193">
        <f ca="1">IFERROR($B$1+K9,"输入有误")</f>
        <v>46043.9790575916</v>
      </c>
      <c r="M9" s="188">
        <v>70</v>
      </c>
      <c r="N9" s="193">
        <f ca="1">$B$1+K9-M9</f>
        <v>45973.9790575916</v>
      </c>
      <c r="O9" s="192">
        <f t="shared" si="3"/>
        <v>636.666666666667</v>
      </c>
      <c r="P9" s="196">
        <f t="shared" si="4"/>
        <v>9.09523809523809</v>
      </c>
      <c r="Q9" s="189">
        <v>40</v>
      </c>
      <c r="R9" s="189">
        <v>60</v>
      </c>
      <c r="S9" s="189">
        <v>100</v>
      </c>
      <c r="T9" s="189">
        <v>200</v>
      </c>
      <c r="U9" s="175" t="str">
        <f t="shared" si="5"/>
        <v>库存报警</v>
      </c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201"/>
    </row>
    <row r="10" s="177" customFormat="1" customHeight="1" spans="1:35">
      <c r="A10" s="175">
        <v>3</v>
      </c>
      <c r="B10" s="175" t="s">
        <v>603</v>
      </c>
      <c r="C10" s="177" t="s">
        <v>605</v>
      </c>
      <c r="E10" s="188">
        <v>200</v>
      </c>
      <c r="F10" s="189">
        <f t="shared" si="0"/>
        <v>21.9895287958115</v>
      </c>
      <c r="G10" s="188">
        <v>200</v>
      </c>
      <c r="H10" s="188">
        <v>0</v>
      </c>
      <c r="I10" s="188">
        <v>0</v>
      </c>
      <c r="J10" s="177">
        <f t="shared" si="1"/>
        <v>400</v>
      </c>
      <c r="K10" s="192">
        <f t="shared" si="2"/>
        <v>43.979057591623</v>
      </c>
      <c r="L10" s="193">
        <f ca="1">IFERROR($B$1+K10,"输入有误")</f>
        <v>46043.9790575916</v>
      </c>
      <c r="M10" s="188">
        <v>70</v>
      </c>
      <c r="N10" s="193">
        <f ca="1">$B$1+K10-M10</f>
        <v>45973.9790575916</v>
      </c>
      <c r="O10" s="192">
        <f t="shared" si="3"/>
        <v>636.666666666667</v>
      </c>
      <c r="P10" s="196">
        <f t="shared" si="4"/>
        <v>9.09523809523809</v>
      </c>
      <c r="Q10" s="189">
        <v>40</v>
      </c>
      <c r="R10" s="189">
        <v>60</v>
      </c>
      <c r="S10" s="189">
        <v>100</v>
      </c>
      <c r="T10" s="189">
        <v>200</v>
      </c>
      <c r="U10" s="175" t="str">
        <f t="shared" si="5"/>
        <v>库存报警</v>
      </c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201"/>
    </row>
    <row r="11" s="177" customFormat="1" customHeight="1" spans="1:35">
      <c r="A11" s="175">
        <v>3</v>
      </c>
      <c r="B11" s="175" t="s">
        <v>603</v>
      </c>
      <c r="C11" s="177" t="s">
        <v>605</v>
      </c>
      <c r="E11" s="188">
        <v>200</v>
      </c>
      <c r="F11" s="189">
        <f t="shared" si="0"/>
        <v>21.9895287958115</v>
      </c>
      <c r="G11" s="188">
        <v>200</v>
      </c>
      <c r="H11" s="188">
        <v>0</v>
      </c>
      <c r="I11" s="188">
        <v>0</v>
      </c>
      <c r="J11" s="177">
        <f t="shared" si="1"/>
        <v>400</v>
      </c>
      <c r="K11" s="192">
        <f t="shared" si="2"/>
        <v>43.979057591623</v>
      </c>
      <c r="L11" s="193">
        <f ca="1">IFERROR($B$1+K11,"输入有误")</f>
        <v>46043.9790575916</v>
      </c>
      <c r="M11" s="188">
        <v>70</v>
      </c>
      <c r="N11" s="193">
        <f ca="1">$B$1+K11-M11</f>
        <v>45973.9790575916</v>
      </c>
      <c r="O11" s="192">
        <f t="shared" si="3"/>
        <v>636.666666666667</v>
      </c>
      <c r="P11" s="196">
        <f t="shared" si="4"/>
        <v>9.09523809523809</v>
      </c>
      <c r="Q11" s="189">
        <v>40</v>
      </c>
      <c r="R11" s="189">
        <v>60</v>
      </c>
      <c r="S11" s="189">
        <v>100</v>
      </c>
      <c r="T11" s="189">
        <v>200</v>
      </c>
      <c r="U11" s="175" t="str">
        <f t="shared" si="5"/>
        <v>库存报警</v>
      </c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201"/>
    </row>
    <row r="12" s="177" customFormat="1" customHeight="1" spans="1:35">
      <c r="A12" s="175">
        <v>4</v>
      </c>
      <c r="B12" s="175" t="s">
        <v>603</v>
      </c>
      <c r="C12" s="177" t="s">
        <v>606</v>
      </c>
      <c r="E12" s="188">
        <v>200</v>
      </c>
      <c r="F12" s="189">
        <f t="shared" si="0"/>
        <v>31.6265060240964</v>
      </c>
      <c r="G12" s="188">
        <v>200</v>
      </c>
      <c r="H12" s="188">
        <v>0</v>
      </c>
      <c r="I12" s="188">
        <v>10</v>
      </c>
      <c r="J12" s="177">
        <f t="shared" si="1"/>
        <v>410</v>
      </c>
      <c r="K12" s="192">
        <f t="shared" si="2"/>
        <v>64.8343373493976</v>
      </c>
      <c r="L12" s="193">
        <f ca="1">IFERROR($B$1+K12,"输入有误")</f>
        <v>46064.8343373494</v>
      </c>
      <c r="M12" s="188">
        <v>30</v>
      </c>
      <c r="N12" s="193">
        <f ca="1">$B$1+K12-M12</f>
        <v>46034.8343373494</v>
      </c>
      <c r="O12" s="192">
        <f t="shared" si="3"/>
        <v>189.714285714286</v>
      </c>
      <c r="P12" s="196">
        <f t="shared" si="4"/>
        <v>6.32380952380952</v>
      </c>
      <c r="Q12" s="189">
        <v>20</v>
      </c>
      <c r="R12" s="189">
        <v>50</v>
      </c>
      <c r="S12" s="189">
        <v>60</v>
      </c>
      <c r="T12" s="188">
        <v>120</v>
      </c>
      <c r="U12" s="175" t="str">
        <f t="shared" si="5"/>
        <v>库存安全</v>
      </c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201"/>
    </row>
    <row r="13" s="178" customFormat="1" customHeight="1" spans="1:21">
      <c r="A13" s="186" t="s">
        <v>607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</row>
    <row r="14" s="178" customFormat="1" ht="67" customHeight="1" spans="1:21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</row>
    <row r="15" s="178" customFormat="1" customHeight="1" spans="10:15">
      <c r="J15" s="179"/>
      <c r="K15" s="180"/>
      <c r="M15" s="180"/>
      <c r="N15" s="179"/>
      <c r="O15" s="181"/>
    </row>
    <row r="16" s="178" customFormat="1" customHeight="1" spans="10:15">
      <c r="J16" s="179"/>
      <c r="K16" s="180"/>
      <c r="M16" s="180"/>
      <c r="N16" s="179"/>
      <c r="O16" s="181"/>
    </row>
    <row r="17" s="178" customFormat="1" customHeight="1" spans="10:15">
      <c r="J17" s="179"/>
      <c r="K17" s="180"/>
      <c r="M17" s="180"/>
      <c r="N17" s="179"/>
      <c r="O17" s="181"/>
    </row>
    <row r="18" s="178" customFormat="1" customHeight="1" spans="10:15">
      <c r="J18" s="179"/>
      <c r="K18" s="180"/>
      <c r="M18" s="180"/>
      <c r="N18" s="179"/>
      <c r="O18" s="181"/>
    </row>
    <row r="19" s="178" customFormat="1" customHeight="1" spans="10:15">
      <c r="J19" s="179"/>
      <c r="K19" s="180"/>
      <c r="M19" s="180"/>
      <c r="N19" s="179"/>
      <c r="O19" s="181"/>
    </row>
    <row r="20" s="178" customFormat="1" customHeight="1" spans="10:15">
      <c r="J20" s="179"/>
      <c r="K20" s="180"/>
      <c r="M20" s="180"/>
      <c r="N20" s="179"/>
      <c r="O20" s="181"/>
    </row>
    <row r="21" s="178" customFormat="1" customHeight="1" spans="10:15">
      <c r="J21" s="179"/>
      <c r="K21" s="180"/>
      <c r="M21" s="180"/>
      <c r="N21" s="179"/>
      <c r="O21" s="181"/>
    </row>
    <row r="22" s="178" customFormat="1" customHeight="1" spans="10:15">
      <c r="J22" s="179"/>
      <c r="K22" s="180"/>
      <c r="M22" s="180"/>
      <c r="N22" s="179"/>
      <c r="O22" s="181"/>
    </row>
    <row r="23" s="178" customFormat="1" customHeight="1" spans="10:15">
      <c r="J23" s="179"/>
      <c r="K23" s="180"/>
      <c r="M23" s="180"/>
      <c r="N23" s="179"/>
      <c r="O23" s="181"/>
    </row>
    <row r="24" s="178" customFormat="1" customHeight="1" spans="10:15">
      <c r="J24" s="179"/>
      <c r="K24" s="180"/>
      <c r="M24" s="180"/>
      <c r="N24" s="179"/>
      <c r="O24" s="181"/>
    </row>
    <row r="25" s="178" customFormat="1" customHeight="1" spans="10:15">
      <c r="J25" s="179"/>
      <c r="K25" s="180"/>
      <c r="M25" s="180"/>
      <c r="N25" s="179"/>
      <c r="O25" s="181"/>
    </row>
    <row r="26" s="178" customFormat="1" customHeight="1" spans="10:15">
      <c r="J26" s="179"/>
      <c r="K26" s="180"/>
      <c r="M26" s="180"/>
      <c r="N26" s="179"/>
      <c r="O26" s="181"/>
    </row>
    <row r="27" s="178" customFormat="1" customHeight="1" spans="10:15">
      <c r="J27" s="179"/>
      <c r="K27" s="180"/>
      <c r="M27" s="180"/>
      <c r="N27" s="179"/>
      <c r="O27" s="181"/>
    </row>
    <row r="28" s="178" customFormat="1" customHeight="1" spans="10:15">
      <c r="J28" s="179"/>
      <c r="K28" s="180"/>
      <c r="M28" s="180"/>
      <c r="N28" s="179"/>
      <c r="O28" s="181"/>
    </row>
    <row r="29" s="178" customFormat="1" customHeight="1" spans="10:15">
      <c r="J29" s="179"/>
      <c r="K29" s="180"/>
      <c r="M29" s="180"/>
      <c r="N29" s="179"/>
      <c r="O29" s="181"/>
    </row>
    <row r="30" s="178" customFormat="1" customHeight="1" spans="10:15">
      <c r="J30" s="179"/>
      <c r="K30" s="180"/>
      <c r="M30" s="180"/>
      <c r="N30" s="179"/>
      <c r="O30" s="181"/>
    </row>
    <row r="31" s="178" customFormat="1" customHeight="1" spans="10:15">
      <c r="J31" s="179"/>
      <c r="K31" s="180"/>
      <c r="M31" s="180"/>
      <c r="N31" s="179"/>
      <c r="O31" s="181"/>
    </row>
    <row r="32" s="178" customFormat="1" customHeight="1" spans="10:15">
      <c r="J32" s="179"/>
      <c r="K32" s="180"/>
      <c r="M32" s="180"/>
      <c r="N32" s="179"/>
      <c r="O32" s="181"/>
    </row>
    <row r="33" s="178" customFormat="1" customHeight="1" spans="10:15">
      <c r="J33" s="179"/>
      <c r="K33" s="180"/>
      <c r="M33" s="180"/>
      <c r="N33" s="179"/>
      <c r="O33" s="181"/>
    </row>
  </sheetData>
  <sheetProtection formatCells="0" insertHyperlinks="0" autoFilter="0"/>
  <mergeCells count="3">
    <mergeCell ref="B1:C1"/>
    <mergeCell ref="D1:T1"/>
    <mergeCell ref="A13:U14"/>
  </mergeCells>
  <conditionalFormatting sqref="U6">
    <cfRule type="containsText" dxfId="0" priority="6" operator="between" text="库存报警">
      <formula>NOT(ISERROR(SEARCH("库存报警",U6)))</formula>
    </cfRule>
  </conditionalFormatting>
  <conditionalFormatting sqref="U7">
    <cfRule type="containsText" dxfId="0" priority="5" operator="between" text="库存报警">
      <formula>NOT(ISERROR(SEARCH("库存报警",U7)))</formula>
    </cfRule>
  </conditionalFormatting>
  <conditionalFormatting sqref="U8">
    <cfRule type="containsText" dxfId="0" priority="4" operator="between" text="库存报警">
      <formula>NOT(ISERROR(SEARCH("库存报警",U8)))</formula>
    </cfRule>
  </conditionalFormatting>
  <conditionalFormatting sqref="U9">
    <cfRule type="containsText" dxfId="0" priority="3" operator="between" text="库存报警">
      <formula>NOT(ISERROR(SEARCH("库存报警",U9)))</formula>
    </cfRule>
  </conditionalFormatting>
  <conditionalFormatting sqref="U10">
    <cfRule type="containsText" dxfId="0" priority="2" operator="between" text="库存报警">
      <formula>NOT(ISERROR(SEARCH("库存报警",U10)))</formula>
    </cfRule>
  </conditionalFormatting>
  <conditionalFormatting sqref="U11">
    <cfRule type="containsText" dxfId="0" priority="1" operator="between" text="库存报警">
      <formula>NOT(ISERROR(SEARCH("库存报警",U11)))</formula>
    </cfRule>
  </conditionalFormatting>
  <conditionalFormatting sqref="U2:U5 U12 T15:T33">
    <cfRule type="containsText" dxfId="0" priority="7" operator="between" text="库存报警">
      <formula>NOT(ISERROR(SEARCH("库存报警",T2)))</formula>
    </cfRule>
  </conditionalFormatting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$A1:$XFD1048576"/>
    </sheetView>
  </sheetViews>
  <sheetFormatPr defaultColWidth="9" defaultRowHeight="18" customHeight="1"/>
  <cols>
    <col min="1" max="1" width="9" style="156"/>
    <col min="2" max="2" width="9" style="157"/>
    <col min="3" max="3" width="34.625" style="156" customWidth="1"/>
    <col min="4" max="5" width="23.375" style="156" customWidth="1"/>
    <col min="6" max="6" width="9.375" style="157" customWidth="1"/>
    <col min="7" max="8" width="23.375" style="156" customWidth="1"/>
    <col min="9" max="11" width="21.875" style="156" customWidth="1"/>
    <col min="12" max="16384" width="9" style="156"/>
  </cols>
  <sheetData>
    <row r="1" s="156" customFormat="1" customHeight="1" spans="1:8">
      <c r="A1" s="155" t="s">
        <v>608</v>
      </c>
      <c r="B1" s="158"/>
      <c r="C1" s="155"/>
      <c r="D1" s="155"/>
      <c r="E1" s="167"/>
      <c r="F1" s="168" t="s">
        <v>609</v>
      </c>
      <c r="G1" s="169"/>
      <c r="H1" s="170"/>
    </row>
    <row r="2" s="156" customFormat="1" customHeight="1" spans="1:10">
      <c r="A2" s="155"/>
      <c r="B2" s="158"/>
      <c r="C2" s="155"/>
      <c r="D2" s="155"/>
      <c r="E2" s="167"/>
      <c r="F2" s="168"/>
      <c r="G2" s="169"/>
      <c r="H2" s="170"/>
      <c r="I2" s="144"/>
      <c r="J2" s="144"/>
    </row>
    <row r="3" s="144" customFormat="1" customHeight="1" spans="1:11">
      <c r="A3" s="159" t="s">
        <v>568</v>
      </c>
      <c r="B3" s="160" t="s">
        <v>510</v>
      </c>
      <c r="C3" s="161" t="s">
        <v>578</v>
      </c>
      <c r="D3" s="161" t="s">
        <v>579</v>
      </c>
      <c r="E3" s="161" t="s">
        <v>580</v>
      </c>
      <c r="F3" s="171" t="s">
        <v>581</v>
      </c>
      <c r="G3" s="161" t="s">
        <v>579</v>
      </c>
      <c r="H3" s="161" t="s">
        <v>580</v>
      </c>
      <c r="I3" s="155"/>
      <c r="J3" s="155"/>
      <c r="K3" s="155"/>
    </row>
    <row r="4" s="144" customFormat="1" ht="100" customHeight="1" spans="1:11">
      <c r="A4" s="162"/>
      <c r="B4" s="163">
        <v>43478</v>
      </c>
      <c r="C4" s="154"/>
      <c r="D4" s="154"/>
      <c r="E4" s="154"/>
      <c r="F4" s="172">
        <f>B4+7</f>
        <v>43485</v>
      </c>
      <c r="G4" s="154"/>
      <c r="H4" s="154"/>
      <c r="I4" s="155"/>
      <c r="J4" s="155"/>
      <c r="K4" s="155"/>
    </row>
    <row r="5" s="156" customFormat="1" ht="100" customHeight="1" spans="1:8">
      <c r="A5" s="164"/>
      <c r="B5" s="165"/>
      <c r="C5" s="154"/>
      <c r="D5" s="166"/>
      <c r="E5" s="166"/>
      <c r="F5" s="172"/>
      <c r="G5" s="173"/>
      <c r="H5" s="173"/>
    </row>
    <row r="6" s="156" customFormat="1" ht="100" customHeight="1" spans="1:8">
      <c r="A6" s="164"/>
      <c r="B6" s="165"/>
      <c r="C6" s="164"/>
      <c r="D6" s="164"/>
      <c r="E6" s="164"/>
      <c r="F6" s="165"/>
      <c r="G6" s="164"/>
      <c r="H6" s="164"/>
    </row>
    <row r="7" s="156" customFormat="1" ht="100" customHeight="1" spans="1:8">
      <c r="A7" s="164"/>
      <c r="B7" s="165"/>
      <c r="C7" s="164"/>
      <c r="D7" s="164"/>
      <c r="E7" s="164"/>
      <c r="F7" s="165"/>
      <c r="G7" s="164"/>
      <c r="H7" s="164"/>
    </row>
    <row r="8" s="156" customFormat="1" ht="100" customHeight="1" spans="1:8">
      <c r="A8" s="164"/>
      <c r="B8" s="165"/>
      <c r="C8" s="164"/>
      <c r="D8" s="164"/>
      <c r="E8" s="164"/>
      <c r="F8" s="165"/>
      <c r="G8" s="164"/>
      <c r="H8" s="164"/>
    </row>
    <row r="9" s="156" customFormat="1" ht="100" customHeight="1" spans="1:8">
      <c r="A9" s="164"/>
      <c r="B9" s="165"/>
      <c r="C9" s="164"/>
      <c r="D9" s="164"/>
      <c r="E9" s="164"/>
      <c r="F9" s="165"/>
      <c r="G9" s="164"/>
      <c r="H9" s="164"/>
    </row>
    <row r="10" s="156" customFormat="1" ht="100" customHeight="1" spans="1:8">
      <c r="A10" s="164"/>
      <c r="B10" s="165"/>
      <c r="C10" s="164"/>
      <c r="D10" s="164"/>
      <c r="E10" s="164"/>
      <c r="F10" s="165"/>
      <c r="G10" s="164"/>
      <c r="H10" s="164"/>
    </row>
    <row r="11" s="156" customFormat="1" ht="100" customHeight="1" spans="1:8">
      <c r="A11" s="164"/>
      <c r="B11" s="165"/>
      <c r="C11" s="164"/>
      <c r="D11" s="164"/>
      <c r="E11" s="164"/>
      <c r="F11" s="165"/>
      <c r="G11" s="164"/>
      <c r="H11" s="164"/>
    </row>
    <row r="12" s="156" customFormat="1" ht="100" customHeight="1" spans="1:8">
      <c r="A12" s="164"/>
      <c r="B12" s="165"/>
      <c r="C12" s="164"/>
      <c r="D12" s="164"/>
      <c r="E12" s="164"/>
      <c r="F12" s="165"/>
      <c r="G12" s="164"/>
      <c r="H12" s="164"/>
    </row>
    <row r="13" s="156" customFormat="1" ht="100" customHeight="1" spans="1:8">
      <c r="A13" s="164"/>
      <c r="B13" s="165"/>
      <c r="C13" s="164"/>
      <c r="D13" s="164"/>
      <c r="E13" s="164"/>
      <c r="F13" s="165"/>
      <c r="G13" s="164"/>
      <c r="H13" s="164"/>
    </row>
    <row r="14" s="156" customFormat="1" ht="100" customHeight="1" spans="1:8">
      <c r="A14" s="164"/>
      <c r="B14" s="165"/>
      <c r="C14" s="164"/>
      <c r="D14" s="164"/>
      <c r="E14" s="164"/>
      <c r="F14" s="165"/>
      <c r="G14" s="164"/>
      <c r="H14" s="164"/>
    </row>
    <row r="15" s="156" customFormat="1" ht="100" customHeight="1" spans="1:8">
      <c r="A15" s="164"/>
      <c r="B15" s="165"/>
      <c r="C15" s="164"/>
      <c r="D15" s="164"/>
      <c r="E15" s="164"/>
      <c r="F15" s="165"/>
      <c r="G15" s="164"/>
      <c r="H15" s="164"/>
    </row>
    <row r="16" s="156" customFormat="1" ht="100" customHeight="1" spans="1:8">
      <c r="A16" s="164"/>
      <c r="B16" s="165"/>
      <c r="C16" s="164"/>
      <c r="D16" s="164"/>
      <c r="E16" s="164"/>
      <c r="F16" s="165"/>
      <c r="G16" s="164"/>
      <c r="H16" s="164"/>
    </row>
    <row r="17" s="156" customFormat="1" ht="100" customHeight="1" spans="1:8">
      <c r="A17" s="164"/>
      <c r="B17" s="165"/>
      <c r="C17" s="164"/>
      <c r="D17" s="164"/>
      <c r="E17" s="164"/>
      <c r="F17" s="165"/>
      <c r="G17" s="164"/>
      <c r="H17" s="164"/>
    </row>
    <row r="18" s="156" customFormat="1" ht="100" customHeight="1" spans="1:8">
      <c r="A18" s="164"/>
      <c r="B18" s="165"/>
      <c r="C18" s="164"/>
      <c r="D18" s="164"/>
      <c r="E18" s="164"/>
      <c r="F18" s="165"/>
      <c r="G18" s="164"/>
      <c r="H18" s="164"/>
    </row>
    <row r="19" s="156" customFormat="1" ht="100" customHeight="1" spans="1:8">
      <c r="A19" s="164"/>
      <c r="B19" s="165"/>
      <c r="C19" s="164"/>
      <c r="D19" s="164"/>
      <c r="E19" s="164"/>
      <c r="F19" s="165"/>
      <c r="G19" s="164"/>
      <c r="H19" s="164"/>
    </row>
  </sheetData>
  <sheetProtection formatCells="0" insertHyperlinks="0" autoFilter="0"/>
  <mergeCells count="3">
    <mergeCell ref="I2:J2"/>
    <mergeCell ref="A1:E2"/>
    <mergeCell ref="F1:H2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M7" sqref="M7"/>
    </sheetView>
  </sheetViews>
  <sheetFormatPr defaultColWidth="18.875" defaultRowHeight="16.5" outlineLevelCol="4"/>
  <cols>
    <col min="1" max="249" width="18.875" style="144" customWidth="1"/>
    <col min="250" max="16375" width="18.875" style="145" customWidth="1"/>
    <col min="16376" max="16384" width="18.875" style="145"/>
  </cols>
  <sheetData>
    <row r="1" s="144" customFormat="1" spans="1:5">
      <c r="A1" s="146" t="s">
        <v>509</v>
      </c>
      <c r="B1" s="147" t="s">
        <v>563</v>
      </c>
      <c r="C1" s="148" t="s">
        <v>610</v>
      </c>
      <c r="D1" s="148" t="s">
        <v>611</v>
      </c>
      <c r="E1" s="148" t="s">
        <v>612</v>
      </c>
    </row>
    <row r="2" s="144" customFormat="1" ht="21" customHeight="1" spans="1:5">
      <c r="A2" s="149"/>
      <c r="B2" s="145" t="s">
        <v>613</v>
      </c>
      <c r="C2" s="150"/>
      <c r="D2" s="150"/>
      <c r="E2" s="150"/>
    </row>
    <row r="3" s="144" customFormat="1" ht="21" customHeight="1" spans="1:5">
      <c r="A3" s="149"/>
      <c r="B3" s="145" t="s">
        <v>614</v>
      </c>
      <c r="C3" s="151"/>
      <c r="D3" s="151"/>
      <c r="E3" s="151"/>
    </row>
    <row r="4" s="144" customFormat="1" ht="21" customHeight="1" spans="1:5">
      <c r="A4" s="149"/>
      <c r="B4" s="145" t="s">
        <v>615</v>
      </c>
      <c r="C4" s="152" t="e">
        <f>C3/C2</f>
        <v>#DIV/0!</v>
      </c>
      <c r="D4" s="152" t="e">
        <f>D3/D2</f>
        <v>#DIV/0!</v>
      </c>
      <c r="E4" s="152" t="e">
        <f>E3/E2</f>
        <v>#DIV/0!</v>
      </c>
    </row>
    <row r="5" s="144" customFormat="1" ht="21" customHeight="1" spans="1:5">
      <c r="A5" s="149"/>
      <c r="B5" s="145" t="s">
        <v>616</v>
      </c>
      <c r="C5" s="153"/>
      <c r="D5" s="153"/>
      <c r="E5" s="153"/>
    </row>
    <row r="6" s="144" customFormat="1" ht="21" customHeight="1" spans="1:5">
      <c r="A6" s="149" t="s">
        <v>617</v>
      </c>
      <c r="B6" s="145" t="s">
        <v>618</v>
      </c>
      <c r="C6" s="150" t="e">
        <f>C5/C2</f>
        <v>#DIV/0!</v>
      </c>
      <c r="D6" s="150" t="e">
        <f>D5/D2</f>
        <v>#DIV/0!</v>
      </c>
      <c r="E6" s="150" t="e">
        <f>E5/E2</f>
        <v>#DIV/0!</v>
      </c>
    </row>
    <row r="7" s="144" customFormat="1" ht="84" customHeight="1" spans="1:5">
      <c r="A7" s="149" t="s">
        <v>619</v>
      </c>
      <c r="B7" s="145" t="s">
        <v>620</v>
      </c>
      <c r="C7" s="150"/>
      <c r="D7" s="150"/>
      <c r="E7" s="154"/>
    </row>
    <row r="8" s="145" customFormat="1" spans="1:5">
      <c r="A8" s="144"/>
      <c r="B8" s="144"/>
      <c r="C8" s="144"/>
      <c r="D8" s="144"/>
      <c r="E8" s="155"/>
    </row>
    <row r="9" s="144" customFormat="1" spans="1:5">
      <c r="A9" s="146" t="s">
        <v>509</v>
      </c>
      <c r="B9" s="147" t="s">
        <v>563</v>
      </c>
      <c r="C9" s="148" t="s">
        <v>610</v>
      </c>
      <c r="D9" s="148" t="s">
        <v>611</v>
      </c>
      <c r="E9" s="148" t="s">
        <v>612</v>
      </c>
    </row>
    <row r="10" s="144" customFormat="1" ht="21" customHeight="1" spans="1:5">
      <c r="A10" s="149"/>
      <c r="B10" s="145" t="s">
        <v>613</v>
      </c>
      <c r="C10" s="150"/>
      <c r="D10" s="150"/>
      <c r="E10" s="150"/>
    </row>
    <row r="11" s="144" customFormat="1" ht="21" customHeight="1" spans="1:5">
      <c r="A11" s="149"/>
      <c r="B11" s="145" t="s">
        <v>614</v>
      </c>
      <c r="C11" s="151"/>
      <c r="D11" s="151"/>
      <c r="E11" s="151"/>
    </row>
    <row r="12" s="144" customFormat="1" ht="21" customHeight="1" spans="1:5">
      <c r="A12" s="149"/>
      <c r="B12" s="145" t="s">
        <v>615</v>
      </c>
      <c r="C12" s="152" t="e">
        <f>C11/C10</f>
        <v>#DIV/0!</v>
      </c>
      <c r="D12" s="152" t="e">
        <f>D11/D10</f>
        <v>#DIV/0!</v>
      </c>
      <c r="E12" s="152" t="e">
        <f>E11/E10</f>
        <v>#DIV/0!</v>
      </c>
    </row>
    <row r="13" s="144" customFormat="1" ht="21" customHeight="1" spans="1:5">
      <c r="A13" s="149"/>
      <c r="B13" s="145" t="s">
        <v>616</v>
      </c>
      <c r="C13" s="153"/>
      <c r="D13" s="153"/>
      <c r="E13" s="153"/>
    </row>
    <row r="14" s="144" customFormat="1" ht="21" customHeight="1" spans="1:5">
      <c r="A14" s="149" t="s">
        <v>617</v>
      </c>
      <c r="B14" s="145" t="s">
        <v>618</v>
      </c>
      <c r="C14" s="150" t="e">
        <f>C13/C10</f>
        <v>#DIV/0!</v>
      </c>
      <c r="D14" s="150" t="e">
        <f>D13/D10</f>
        <v>#DIV/0!</v>
      </c>
      <c r="E14" s="150" t="e">
        <f>E13/E10</f>
        <v>#DIV/0!</v>
      </c>
    </row>
    <row r="15" s="144" customFormat="1" ht="84" customHeight="1" spans="1:5">
      <c r="A15" s="149" t="s">
        <v>619</v>
      </c>
      <c r="B15" s="145" t="s">
        <v>620</v>
      </c>
      <c r="C15" s="150"/>
      <c r="D15" s="150"/>
      <c r="E15" s="154"/>
    </row>
    <row r="16" s="145" customFormat="1" spans="1:5">
      <c r="A16" s="144"/>
      <c r="B16" s="144"/>
      <c r="C16" s="144"/>
      <c r="D16" s="144"/>
      <c r="E16" s="144"/>
    </row>
    <row r="17" s="144" customFormat="1" spans="1:5">
      <c r="A17" s="146" t="s">
        <v>509</v>
      </c>
      <c r="B17" s="147" t="s">
        <v>563</v>
      </c>
      <c r="C17" s="148" t="s">
        <v>610</v>
      </c>
      <c r="D17" s="148" t="s">
        <v>611</v>
      </c>
      <c r="E17" s="148" t="s">
        <v>612</v>
      </c>
    </row>
    <row r="18" s="144" customFormat="1" ht="21" customHeight="1" spans="1:5">
      <c r="A18" s="149"/>
      <c r="B18" s="145" t="s">
        <v>613</v>
      </c>
      <c r="C18" s="150"/>
      <c r="D18" s="150"/>
      <c r="E18" s="150"/>
    </row>
    <row r="19" s="144" customFormat="1" ht="21" customHeight="1" spans="1:5">
      <c r="A19" s="149"/>
      <c r="B19" s="145" t="s">
        <v>614</v>
      </c>
      <c r="C19" s="151"/>
      <c r="D19" s="151"/>
      <c r="E19" s="151"/>
    </row>
    <row r="20" s="144" customFormat="1" ht="21" customHeight="1" spans="1:5">
      <c r="A20" s="149"/>
      <c r="B20" s="145" t="s">
        <v>615</v>
      </c>
      <c r="C20" s="152" t="e">
        <f>C19/C18</f>
        <v>#DIV/0!</v>
      </c>
      <c r="D20" s="152" t="e">
        <f>D19/D18</f>
        <v>#DIV/0!</v>
      </c>
      <c r="E20" s="152" t="e">
        <f>E19/E18</f>
        <v>#DIV/0!</v>
      </c>
    </row>
    <row r="21" s="144" customFormat="1" ht="21" customHeight="1" spans="1:5">
      <c r="A21" s="149"/>
      <c r="B21" s="145" t="s">
        <v>616</v>
      </c>
      <c r="C21" s="153"/>
      <c r="D21" s="153"/>
      <c r="E21" s="153"/>
    </row>
    <row r="22" s="144" customFormat="1" ht="21" customHeight="1" spans="1:5">
      <c r="A22" s="149" t="s">
        <v>617</v>
      </c>
      <c r="B22" s="145" t="s">
        <v>618</v>
      </c>
      <c r="C22" s="150" t="e">
        <f>C21/C18</f>
        <v>#DIV/0!</v>
      </c>
      <c r="D22" s="150" t="e">
        <f>D21/D18</f>
        <v>#DIV/0!</v>
      </c>
      <c r="E22" s="150" t="e">
        <f>E21/E18</f>
        <v>#DIV/0!</v>
      </c>
    </row>
    <row r="23" s="144" customFormat="1" ht="84" customHeight="1" spans="1:5">
      <c r="A23" s="149" t="s">
        <v>619</v>
      </c>
      <c r="B23" s="145" t="s">
        <v>620</v>
      </c>
      <c r="C23" s="150"/>
      <c r="D23" s="150"/>
      <c r="E23" s="154"/>
    </row>
  </sheetData>
  <sheetProtection formatCells="0" insertHyperlinks="0" autoFilter="0"/>
  <mergeCells count="3">
    <mergeCell ref="A2:A5"/>
    <mergeCell ref="A10:A13"/>
    <mergeCell ref="A18:A2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60"/>
  <sheetViews>
    <sheetView topLeftCell="A3" workbookViewId="0">
      <selection activeCell="K32" sqref="K32"/>
    </sheetView>
  </sheetViews>
  <sheetFormatPr defaultColWidth="9" defaultRowHeight="18" customHeight="1"/>
  <cols>
    <col min="1" max="1" width="9" style="77"/>
    <col min="2" max="2" width="9" style="78"/>
    <col min="3" max="3" width="9.00833333333333" style="78" customWidth="1"/>
    <col min="4" max="5" width="9.00833333333333" style="79" customWidth="1"/>
    <col min="6" max="18" width="9.00833333333333" style="80" customWidth="1"/>
    <col min="19" max="19" width="19.5" style="76" customWidth="1"/>
    <col min="20" max="22" width="9.00833333333333" style="80" customWidth="1"/>
    <col min="23" max="24" width="11.375" style="80" customWidth="1"/>
    <col min="25" max="91" width="9.00833333333333" style="80" customWidth="1"/>
    <col min="92" max="16384" width="9" style="73"/>
  </cols>
  <sheetData>
    <row r="1" s="73" customFormat="1" ht="30" customHeight="1" spans="1:92">
      <c r="A1" s="81" t="s">
        <v>568</v>
      </c>
      <c r="B1" s="82" t="s">
        <v>585</v>
      </c>
      <c r="C1" s="82" t="s">
        <v>621</v>
      </c>
      <c r="D1" s="81" t="s">
        <v>622</v>
      </c>
      <c r="E1" s="81" t="s">
        <v>623</v>
      </c>
      <c r="F1" s="81" t="s">
        <v>624</v>
      </c>
      <c r="G1" s="81" t="s">
        <v>625</v>
      </c>
      <c r="H1" s="92" t="s">
        <v>626</v>
      </c>
      <c r="I1" s="92" t="s">
        <v>627</v>
      </c>
      <c r="J1" s="92" t="s">
        <v>628</v>
      </c>
      <c r="K1" s="92" t="s">
        <v>629</v>
      </c>
      <c r="L1" s="92" t="s">
        <v>630</v>
      </c>
      <c r="M1" s="92" t="s">
        <v>631</v>
      </c>
      <c r="N1" s="92" t="s">
        <v>103</v>
      </c>
      <c r="O1" s="92" t="s">
        <v>632</v>
      </c>
      <c r="P1" s="99" t="s">
        <v>633</v>
      </c>
      <c r="Q1" s="92" t="s">
        <v>634</v>
      </c>
      <c r="R1" s="99" t="s">
        <v>635</v>
      </c>
      <c r="S1" s="99" t="s">
        <v>636</v>
      </c>
      <c r="T1" s="99" t="s">
        <v>637</v>
      </c>
      <c r="U1" s="92" t="s">
        <v>638</v>
      </c>
      <c r="V1" s="99" t="s">
        <v>639</v>
      </c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</row>
    <row r="2" s="73" customFormat="1" customHeight="1" spans="1:91">
      <c r="A2" s="83"/>
      <c r="B2" s="84"/>
      <c r="C2" s="84"/>
      <c r="D2" s="85"/>
      <c r="E2" s="84">
        <v>43478</v>
      </c>
      <c r="F2" s="93">
        <v>27.65</v>
      </c>
      <c r="G2" s="93">
        <v>11.93</v>
      </c>
      <c r="H2" s="93">
        <v>4.7</v>
      </c>
      <c r="I2" s="93">
        <v>15</v>
      </c>
      <c r="J2" s="93">
        <v>0.7</v>
      </c>
      <c r="K2" s="93">
        <f>N2*15%</f>
        <v>11.9985</v>
      </c>
      <c r="L2" s="93">
        <f>F2+G2+H2+J2+K2</f>
        <v>56.9785</v>
      </c>
      <c r="M2" s="93">
        <f>F2+G2+I2+J2+K2</f>
        <v>67.2785</v>
      </c>
      <c r="N2" s="93">
        <v>79.99</v>
      </c>
      <c r="O2" s="93">
        <f>N2-L2</f>
        <v>23.0115</v>
      </c>
      <c r="P2" s="100">
        <f>O2/N2</f>
        <v>0.287679709963745</v>
      </c>
      <c r="Q2" s="93">
        <f>N2-M2</f>
        <v>12.7115</v>
      </c>
      <c r="R2" s="100">
        <f>Q2/N2</f>
        <v>0.158913614201775</v>
      </c>
      <c r="S2" s="102">
        <f>L2</f>
        <v>56.9785</v>
      </c>
      <c r="T2" s="93"/>
      <c r="U2" s="93">
        <v>150</v>
      </c>
      <c r="V2" s="93">
        <v>100</v>
      </c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</row>
    <row r="3" s="74" customFormat="1" ht="30" customHeight="1" spans="1:90">
      <c r="A3" s="86" t="s">
        <v>640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103"/>
      <c r="R3" s="104" t="s">
        <v>641</v>
      </c>
      <c r="S3" s="105"/>
      <c r="T3" s="106" t="s">
        <v>642</v>
      </c>
      <c r="U3" s="106"/>
      <c r="V3" s="106"/>
      <c r="W3" s="106"/>
      <c r="X3" s="106"/>
      <c r="Y3" s="110" t="s">
        <v>643</v>
      </c>
      <c r="Z3" s="110"/>
      <c r="AA3" s="110"/>
      <c r="AB3" s="110"/>
      <c r="AC3" s="110"/>
      <c r="AD3" s="112" t="s">
        <v>644</v>
      </c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7"/>
      <c r="AY3" s="106" t="s">
        <v>645</v>
      </c>
      <c r="AZ3" s="106"/>
      <c r="BA3" s="106"/>
      <c r="BB3" s="106"/>
      <c r="BC3" s="106"/>
      <c r="BD3" s="110" t="s">
        <v>646</v>
      </c>
      <c r="BE3" s="110"/>
      <c r="BF3" s="110"/>
      <c r="BG3" s="110"/>
      <c r="BH3" s="110"/>
      <c r="BP3" s="76" t="s">
        <v>647</v>
      </c>
      <c r="BQ3" s="76"/>
      <c r="BR3" s="76"/>
      <c r="BS3" s="76"/>
      <c r="BT3" s="76"/>
      <c r="BU3" s="76"/>
      <c r="BV3" s="76"/>
      <c r="BW3" s="76"/>
      <c r="BX3" s="76"/>
      <c r="BY3" s="76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</row>
    <row r="4" s="75" customFormat="1" ht="30" customHeight="1" spans="1:68">
      <c r="A4" s="88" t="s">
        <v>511</v>
      </c>
      <c r="B4" s="89" t="s">
        <v>648</v>
      </c>
      <c r="C4" s="89" t="s">
        <v>649</v>
      </c>
      <c r="D4" s="88" t="s">
        <v>650</v>
      </c>
      <c r="E4" s="88" t="s">
        <v>651</v>
      </c>
      <c r="F4" s="94" t="s">
        <v>652</v>
      </c>
      <c r="G4" s="94" t="s">
        <v>653</v>
      </c>
      <c r="H4" s="95" t="s">
        <v>654</v>
      </c>
      <c r="I4" s="95" t="s">
        <v>655</v>
      </c>
      <c r="J4" s="95" t="s">
        <v>656</v>
      </c>
      <c r="K4" s="95" t="s">
        <v>657</v>
      </c>
      <c r="L4" s="95" t="s">
        <v>658</v>
      </c>
      <c r="M4" s="95" t="s">
        <v>659</v>
      </c>
      <c r="N4" s="95" t="s">
        <v>660</v>
      </c>
      <c r="O4" s="95" t="s">
        <v>661</v>
      </c>
      <c r="P4" s="95" t="s">
        <v>662</v>
      </c>
      <c r="Q4" s="95" t="s">
        <v>663</v>
      </c>
      <c r="R4" s="95" t="s">
        <v>664</v>
      </c>
      <c r="S4" s="107" t="s">
        <v>665</v>
      </c>
      <c r="T4" s="107" t="s">
        <v>666</v>
      </c>
      <c r="U4" s="107" t="s">
        <v>667</v>
      </c>
      <c r="V4" s="107" t="s">
        <v>668</v>
      </c>
      <c r="W4" s="107" t="s">
        <v>669</v>
      </c>
      <c r="X4" s="107" t="s">
        <v>670</v>
      </c>
      <c r="Y4" s="107" t="s">
        <v>666</v>
      </c>
      <c r="Z4" s="107" t="s">
        <v>667</v>
      </c>
      <c r="AA4" s="107" t="s">
        <v>668</v>
      </c>
      <c r="AB4" s="107" t="s">
        <v>669</v>
      </c>
      <c r="AC4" s="107" t="s">
        <v>670</v>
      </c>
      <c r="AD4" s="114" t="s">
        <v>671</v>
      </c>
      <c r="AE4" s="114" t="s">
        <v>612</v>
      </c>
      <c r="AF4" s="115" t="s">
        <v>672</v>
      </c>
      <c r="AG4" s="114" t="s">
        <v>673</v>
      </c>
      <c r="AH4" s="95" t="s">
        <v>674</v>
      </c>
      <c r="AI4" s="95" t="s">
        <v>675</v>
      </c>
      <c r="AJ4" s="95" t="s">
        <v>676</v>
      </c>
      <c r="AK4" s="95" t="s">
        <v>675</v>
      </c>
      <c r="AL4" s="95" t="s">
        <v>675</v>
      </c>
      <c r="AM4" s="95" t="s">
        <v>657</v>
      </c>
      <c r="AN4" s="95" t="s">
        <v>675</v>
      </c>
      <c r="AO4" s="95" t="s">
        <v>675</v>
      </c>
      <c r="AP4" s="95" t="s">
        <v>677</v>
      </c>
      <c r="AQ4" s="95" t="s">
        <v>678</v>
      </c>
      <c r="AR4" s="95" t="s">
        <v>675</v>
      </c>
      <c r="AS4" s="95" t="s">
        <v>660</v>
      </c>
      <c r="AT4" s="95" t="s">
        <v>675</v>
      </c>
      <c r="AU4" s="95" t="s">
        <v>661</v>
      </c>
      <c r="AV4" s="95" t="s">
        <v>675</v>
      </c>
      <c r="AW4" s="95" t="s">
        <v>662</v>
      </c>
      <c r="AX4" s="95" t="s">
        <v>675</v>
      </c>
      <c r="AY4" s="108" t="s">
        <v>679</v>
      </c>
      <c r="AZ4" s="107" t="s">
        <v>680</v>
      </c>
      <c r="BA4" s="107" t="s">
        <v>681</v>
      </c>
      <c r="BB4" s="107" t="s">
        <v>682</v>
      </c>
      <c r="BC4" s="107" t="s">
        <v>683</v>
      </c>
      <c r="BD4" s="107" t="s">
        <v>679</v>
      </c>
      <c r="BE4" s="107" t="s">
        <v>684</v>
      </c>
      <c r="BF4" s="107" t="s">
        <v>681</v>
      </c>
      <c r="BG4" s="107" t="s">
        <v>682</v>
      </c>
      <c r="BH4" s="107" t="s">
        <v>683</v>
      </c>
      <c r="BI4" s="118"/>
      <c r="BJ4" s="118"/>
      <c r="BK4" s="118"/>
      <c r="BL4" s="118"/>
      <c r="BM4" s="118"/>
      <c r="BN4" s="118"/>
      <c r="BO4" s="118"/>
      <c r="BP4" s="118"/>
    </row>
    <row r="5" s="73" customFormat="1" customHeight="1" spans="1:68">
      <c r="A5" s="83" t="s">
        <v>127</v>
      </c>
      <c r="B5" s="84">
        <f>E2</f>
        <v>43478</v>
      </c>
      <c r="C5" s="84">
        <f t="shared" ref="C5:C68" si="0">B5+6</f>
        <v>43484</v>
      </c>
      <c r="D5" s="85">
        <v>7</v>
      </c>
      <c r="E5" s="85">
        <v>5</v>
      </c>
      <c r="F5" s="96">
        <f t="shared" ref="F5:F68" si="1">E5*D5</f>
        <v>35</v>
      </c>
      <c r="G5" s="96">
        <v>54.99</v>
      </c>
      <c r="H5" s="96">
        <v>1</v>
      </c>
      <c r="I5" s="96">
        <v>3</v>
      </c>
      <c r="J5" s="96">
        <v>2</v>
      </c>
      <c r="K5" s="96"/>
      <c r="L5" s="96"/>
      <c r="M5" s="96">
        <v>358.64</v>
      </c>
      <c r="N5" s="96"/>
      <c r="O5" s="96"/>
      <c r="P5" s="96"/>
      <c r="Q5" s="96">
        <v>0</v>
      </c>
      <c r="R5" s="96"/>
      <c r="S5" s="108"/>
      <c r="T5" s="93">
        <f>($F$2+$G$2+$J$2+$G5*15%)*F5</f>
        <v>1698.4975</v>
      </c>
      <c r="U5" s="93">
        <f>$F5*$H$2</f>
        <v>164.5</v>
      </c>
      <c r="V5" s="93">
        <f>$H5*$S$2+$I5*$T$2+$K5*$U$2+$M5+$P5*$V$2+N5*F5</f>
        <v>415.6185</v>
      </c>
      <c r="W5" s="93">
        <f t="shared" ref="W5:W68" si="2">T5+U5+V5</f>
        <v>2278.616</v>
      </c>
      <c r="X5" s="93">
        <f t="shared" ref="X5:X68" si="3">G5*F5</f>
        <v>1924.65</v>
      </c>
      <c r="Y5" s="93">
        <f>($F$2+$G$2+$J$2+$K$2)*F5</f>
        <v>1829.7475</v>
      </c>
      <c r="Z5" s="93">
        <f>$I$2*$F5</f>
        <v>525</v>
      </c>
      <c r="AA5" s="93">
        <f>$H5*$S$2+$I5*$T$2+$K5*$U$2+$M5+$P5*$V$2</f>
        <v>415.6185</v>
      </c>
      <c r="AB5" s="93">
        <f>Y5+Z5+AA5</f>
        <v>2770.366</v>
      </c>
      <c r="AC5" s="93">
        <f>G5*F5</f>
        <v>1924.65</v>
      </c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118"/>
      <c r="BJ5" s="118"/>
      <c r="BK5" s="118"/>
      <c r="BL5" s="118"/>
      <c r="BM5" s="118"/>
      <c r="BN5" s="118"/>
      <c r="BO5" s="118"/>
      <c r="BP5" s="118"/>
    </row>
    <row r="6" s="73" customFormat="1" customHeight="1" spans="1:68">
      <c r="A6" s="83" t="s">
        <v>147</v>
      </c>
      <c r="B6" s="84">
        <f t="shared" ref="B6:B69" si="4">C5+1</f>
        <v>43485</v>
      </c>
      <c r="C6" s="84">
        <f t="shared" si="0"/>
        <v>43491</v>
      </c>
      <c r="D6" s="85">
        <v>7</v>
      </c>
      <c r="E6" s="85">
        <v>29</v>
      </c>
      <c r="F6" s="96">
        <f t="shared" si="1"/>
        <v>203</v>
      </c>
      <c r="G6" s="96">
        <v>54.99</v>
      </c>
      <c r="H6" s="96"/>
      <c r="I6" s="96"/>
      <c r="J6" s="96">
        <v>3</v>
      </c>
      <c r="K6" s="96"/>
      <c r="L6" s="96"/>
      <c r="M6" s="96">
        <v>826.86</v>
      </c>
      <c r="N6" s="96"/>
      <c r="O6" s="96"/>
      <c r="P6" s="96"/>
      <c r="Q6" s="96">
        <v>2</v>
      </c>
      <c r="R6" s="96"/>
      <c r="S6" s="108"/>
      <c r="T6" s="93">
        <f>($F$2+$G$2+$J$2+$G6*15%)*F6</f>
        <v>9851.2855</v>
      </c>
      <c r="U6" s="93">
        <f>$F6*$H$2</f>
        <v>954.1</v>
      </c>
      <c r="V6" s="93">
        <f>$H6*$S$2+$I6*$T$2+$K6*$U$2+$M6+$P6*$V$2+N6*F6</f>
        <v>826.86</v>
      </c>
      <c r="W6" s="93">
        <f t="shared" si="2"/>
        <v>11632.2455</v>
      </c>
      <c r="X6" s="93">
        <f t="shared" si="3"/>
        <v>11162.97</v>
      </c>
      <c r="Y6" s="93"/>
      <c r="Z6" s="93"/>
      <c r="AA6" s="93"/>
      <c r="AB6" s="93"/>
      <c r="AC6" s="93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3"/>
      <c r="BA6" s="93"/>
      <c r="BB6" s="93"/>
      <c r="BC6" s="93"/>
      <c r="BD6" s="93"/>
      <c r="BE6" s="93"/>
      <c r="BF6" s="93"/>
      <c r="BG6" s="93"/>
      <c r="BH6" s="93"/>
      <c r="BI6" s="118"/>
      <c r="BJ6" s="118"/>
      <c r="BK6" s="118"/>
      <c r="BL6" s="118"/>
      <c r="BM6" s="118"/>
      <c r="BN6" s="118"/>
      <c r="BO6" s="118"/>
      <c r="BP6" s="118"/>
    </row>
    <row r="7" s="73" customFormat="1" customHeight="1" spans="1:68">
      <c r="A7" s="83" t="s">
        <v>138</v>
      </c>
      <c r="B7" s="84">
        <f t="shared" si="4"/>
        <v>43492</v>
      </c>
      <c r="C7" s="84">
        <f t="shared" si="0"/>
        <v>43498</v>
      </c>
      <c r="D7" s="85">
        <v>7</v>
      </c>
      <c r="E7" s="85">
        <v>62</v>
      </c>
      <c r="F7" s="96">
        <f t="shared" si="1"/>
        <v>434</v>
      </c>
      <c r="G7" s="96">
        <v>59.99</v>
      </c>
      <c r="H7" s="96"/>
      <c r="I7" s="96"/>
      <c r="J7" s="96">
        <v>10</v>
      </c>
      <c r="K7" s="96"/>
      <c r="L7" s="96"/>
      <c r="M7" s="96">
        <v>1207.34</v>
      </c>
      <c r="N7" s="96"/>
      <c r="O7" s="96"/>
      <c r="P7" s="96"/>
      <c r="Q7" s="96">
        <v>5</v>
      </c>
      <c r="R7" s="96"/>
      <c r="S7" s="108"/>
      <c r="T7" s="93">
        <f>($F$2+$G$2+$J$2+$G7*15%)*F7</f>
        <v>21386.869</v>
      </c>
      <c r="U7" s="93">
        <f>$F7*$H$2</f>
        <v>2039.8</v>
      </c>
      <c r="V7" s="93">
        <f>$H7*$S$2+$I7*$T$2+$K7*$U$2+$M7+$P7*$V$2+N7*F7</f>
        <v>1207.34</v>
      </c>
      <c r="W7" s="93">
        <f t="shared" si="2"/>
        <v>24634.009</v>
      </c>
      <c r="X7" s="93">
        <f t="shared" si="3"/>
        <v>26035.66</v>
      </c>
      <c r="Y7" s="93"/>
      <c r="Z7" s="93"/>
      <c r="AA7" s="93"/>
      <c r="AB7" s="93"/>
      <c r="AC7" s="93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3"/>
      <c r="BA7" s="93"/>
      <c r="BB7" s="93"/>
      <c r="BC7" s="93"/>
      <c r="BD7" s="93"/>
      <c r="BE7" s="93"/>
      <c r="BF7" s="93"/>
      <c r="BG7" s="93"/>
      <c r="BH7" s="93"/>
      <c r="BI7" s="118"/>
      <c r="BJ7" s="118"/>
      <c r="BK7" s="118"/>
      <c r="BL7" s="118"/>
      <c r="BM7" s="118"/>
      <c r="BN7" s="118"/>
      <c r="BO7" s="118"/>
      <c r="BP7" s="118"/>
    </row>
    <row r="8" s="73" customFormat="1" customHeight="1" spans="1:68">
      <c r="A8" s="83" t="s">
        <v>154</v>
      </c>
      <c r="B8" s="84">
        <f t="shared" si="4"/>
        <v>43499</v>
      </c>
      <c r="C8" s="84">
        <f t="shared" si="0"/>
        <v>43505</v>
      </c>
      <c r="D8" s="85">
        <v>7</v>
      </c>
      <c r="E8" s="85">
        <v>98</v>
      </c>
      <c r="F8" s="96">
        <f t="shared" si="1"/>
        <v>686</v>
      </c>
      <c r="G8" s="97">
        <v>64.99</v>
      </c>
      <c r="H8" s="98"/>
      <c r="I8" s="96"/>
      <c r="J8" s="96"/>
      <c r="K8" s="96"/>
      <c r="L8" s="96"/>
      <c r="M8" s="96">
        <v>1693.48</v>
      </c>
      <c r="N8" s="96"/>
      <c r="O8" s="96"/>
      <c r="P8" s="96"/>
      <c r="Q8" s="96">
        <v>10</v>
      </c>
      <c r="R8" s="108"/>
      <c r="S8" s="108"/>
      <c r="T8" s="93">
        <f>($F$2+$G$2+$J$2+$G8*15%)*F8</f>
        <v>34319.551</v>
      </c>
      <c r="U8" s="93">
        <f>$F8*$H$2</f>
        <v>3224.2</v>
      </c>
      <c r="V8" s="93">
        <f>$H8*$S$2+$I8*$T$2+$K8*$U$2+$M8+$P8*$V$2+N8*F8</f>
        <v>1693.48</v>
      </c>
      <c r="W8" s="93">
        <f t="shared" si="2"/>
        <v>39237.231</v>
      </c>
      <c r="X8" s="93">
        <f t="shared" si="3"/>
        <v>44583.14</v>
      </c>
      <c r="Y8" s="93"/>
      <c r="Z8" s="93"/>
      <c r="AA8" s="93"/>
      <c r="AB8" s="93"/>
      <c r="AC8" s="93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3"/>
      <c r="BA8" s="93"/>
      <c r="BB8" s="93"/>
      <c r="BC8" s="93"/>
      <c r="BD8" s="93"/>
      <c r="BE8" s="93"/>
      <c r="BF8" s="93"/>
      <c r="BG8" s="93"/>
      <c r="BH8" s="93"/>
      <c r="BI8" s="118"/>
      <c r="BJ8" s="118"/>
      <c r="BK8" s="118"/>
      <c r="BL8" s="118"/>
      <c r="BM8" s="118"/>
      <c r="BN8" s="118"/>
      <c r="BO8" s="118"/>
      <c r="BP8" s="118"/>
    </row>
    <row r="9" s="73" customFormat="1" customHeight="1" spans="1:68">
      <c r="A9" s="83" t="s">
        <v>204</v>
      </c>
      <c r="B9" s="84">
        <f t="shared" si="4"/>
        <v>43506</v>
      </c>
      <c r="C9" s="84">
        <f t="shared" si="0"/>
        <v>43512</v>
      </c>
      <c r="D9" s="85">
        <v>7</v>
      </c>
      <c r="E9" s="85">
        <v>98</v>
      </c>
      <c r="F9" s="96">
        <f t="shared" si="1"/>
        <v>686</v>
      </c>
      <c r="G9" s="96">
        <v>64.99</v>
      </c>
      <c r="H9" s="96"/>
      <c r="I9" s="96"/>
      <c r="J9" s="96"/>
      <c r="K9" s="96"/>
      <c r="L9" s="96"/>
      <c r="M9" s="96">
        <v>1500</v>
      </c>
      <c r="N9" s="96"/>
      <c r="O9" s="96"/>
      <c r="P9" s="96"/>
      <c r="Q9" s="96">
        <v>14</v>
      </c>
      <c r="R9" s="96"/>
      <c r="S9" s="108"/>
      <c r="T9" s="93">
        <f>($F$2+$G$2+$J$2+$G9*15%)*F9</f>
        <v>34319.551</v>
      </c>
      <c r="U9" s="93">
        <f>$F9*$H$2</f>
        <v>3224.2</v>
      </c>
      <c r="V9" s="93">
        <f>$H9*$S$2+$I9*$T$2+$K9*$U$2+$M9+$P9*$V$2+N9*F9</f>
        <v>1500</v>
      </c>
      <c r="W9" s="93">
        <f t="shared" si="2"/>
        <v>39043.751</v>
      </c>
      <c r="X9" s="93">
        <f t="shared" si="3"/>
        <v>44583.14</v>
      </c>
      <c r="Y9" s="93"/>
      <c r="Z9" s="93"/>
      <c r="AA9" s="93"/>
      <c r="AB9" s="93"/>
      <c r="AC9" s="93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3"/>
      <c r="BA9" s="93"/>
      <c r="BB9" s="93"/>
      <c r="BC9" s="93"/>
      <c r="BD9" s="93"/>
      <c r="BE9" s="93"/>
      <c r="BF9" s="93"/>
      <c r="BG9" s="93"/>
      <c r="BH9" s="93"/>
      <c r="BI9" s="118"/>
      <c r="BJ9" s="118"/>
      <c r="BK9" s="118"/>
      <c r="BL9" s="118"/>
      <c r="BM9" s="118"/>
      <c r="BN9" s="118"/>
      <c r="BO9" s="118"/>
      <c r="BP9" s="118"/>
    </row>
    <row r="10" s="73" customFormat="1" customHeight="1" spans="1:68">
      <c r="A10" s="83" t="s">
        <v>323</v>
      </c>
      <c r="B10" s="84">
        <f t="shared" si="4"/>
        <v>43513</v>
      </c>
      <c r="C10" s="84">
        <f t="shared" si="0"/>
        <v>43519</v>
      </c>
      <c r="D10" s="85">
        <v>7</v>
      </c>
      <c r="E10" s="85">
        <v>0</v>
      </c>
      <c r="F10" s="96">
        <f t="shared" si="1"/>
        <v>0</v>
      </c>
      <c r="G10" s="96">
        <v>64.99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108"/>
      <c r="T10" s="93">
        <f>($F$2+$G$2+$J$2+$G10*15%)*F10</f>
        <v>0</v>
      </c>
      <c r="U10" s="93">
        <f>$F10*$H$2</f>
        <v>0</v>
      </c>
      <c r="V10" s="93">
        <f>$H10*$S$2+$I10*$T$2+$K10*$U$2+$M10+$P10*$V$2+N10*F10</f>
        <v>0</v>
      </c>
      <c r="W10" s="93">
        <f t="shared" si="2"/>
        <v>0</v>
      </c>
      <c r="X10" s="93">
        <f t="shared" si="3"/>
        <v>0</v>
      </c>
      <c r="Y10" s="93"/>
      <c r="Z10" s="93"/>
      <c r="AA10" s="93"/>
      <c r="AB10" s="93"/>
      <c r="AC10" s="93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3"/>
      <c r="BA10" s="93"/>
      <c r="BB10" s="93"/>
      <c r="BC10" s="93"/>
      <c r="BD10" s="93"/>
      <c r="BE10" s="93"/>
      <c r="BF10" s="93"/>
      <c r="BG10" s="93"/>
      <c r="BH10" s="93"/>
      <c r="BI10" s="118"/>
      <c r="BJ10" s="118"/>
      <c r="BK10" s="118"/>
      <c r="BL10" s="118"/>
      <c r="BM10" s="118"/>
      <c r="BN10" s="118"/>
      <c r="BO10" s="118"/>
      <c r="BP10" s="118"/>
    </row>
    <row r="11" s="73" customFormat="1" customHeight="1" spans="1:68">
      <c r="A11" s="83" t="s">
        <v>334</v>
      </c>
      <c r="B11" s="84">
        <f t="shared" si="4"/>
        <v>43520</v>
      </c>
      <c r="C11" s="84">
        <f t="shared" si="0"/>
        <v>43526</v>
      </c>
      <c r="D11" s="85">
        <v>7</v>
      </c>
      <c r="E11" s="85">
        <v>50</v>
      </c>
      <c r="F11" s="96">
        <f t="shared" si="1"/>
        <v>350</v>
      </c>
      <c r="G11" s="96">
        <v>69.99</v>
      </c>
      <c r="H11" s="96"/>
      <c r="I11" s="96">
        <v>5</v>
      </c>
      <c r="J11" s="96"/>
      <c r="K11" s="96"/>
      <c r="L11" s="96"/>
      <c r="M11" s="96">
        <v>1500</v>
      </c>
      <c r="N11" s="96"/>
      <c r="O11" s="96"/>
      <c r="P11" s="96"/>
      <c r="Q11" s="96">
        <v>20</v>
      </c>
      <c r="R11" s="96"/>
      <c r="S11" s="76"/>
      <c r="T11" s="93">
        <f>($F$2+$G$2+$J$2+$G11*15%)*F11</f>
        <v>17772.475</v>
      </c>
      <c r="U11" s="93">
        <f>$F11*$H$2</f>
        <v>1645</v>
      </c>
      <c r="V11" s="93">
        <f>$H11*$S$2+$I11*$T$2+$K11*$U$2+$M11+$P11*$V$2+N11*F11</f>
        <v>1500</v>
      </c>
      <c r="W11" s="93">
        <f t="shared" si="2"/>
        <v>20917.475</v>
      </c>
      <c r="X11" s="93">
        <f t="shared" si="3"/>
        <v>24496.5</v>
      </c>
      <c r="Y11" s="93"/>
      <c r="Z11" s="93"/>
      <c r="AA11" s="93"/>
      <c r="AB11" s="93"/>
      <c r="AC11" s="93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3"/>
      <c r="BA11" s="93"/>
      <c r="BB11" s="93"/>
      <c r="BC11" s="93"/>
      <c r="BD11" s="93"/>
      <c r="BE11" s="93"/>
      <c r="BF11" s="93"/>
      <c r="BG11" s="93"/>
      <c r="BH11" s="93"/>
      <c r="BI11" s="118"/>
      <c r="BJ11" s="118"/>
      <c r="BK11" s="118"/>
      <c r="BL11" s="118"/>
      <c r="BM11" s="118"/>
      <c r="BN11" s="118"/>
      <c r="BO11" s="118"/>
      <c r="BP11" s="118"/>
    </row>
    <row r="12" s="73" customFormat="1" customHeight="1" spans="1:68">
      <c r="A12" s="83" t="s">
        <v>299</v>
      </c>
      <c r="B12" s="84">
        <f t="shared" si="4"/>
        <v>43527</v>
      </c>
      <c r="C12" s="84">
        <f t="shared" si="0"/>
        <v>43533</v>
      </c>
      <c r="D12" s="85">
        <v>7</v>
      </c>
      <c r="E12" s="85">
        <v>80</v>
      </c>
      <c r="F12" s="96">
        <f t="shared" si="1"/>
        <v>560</v>
      </c>
      <c r="G12" s="96">
        <v>69.99</v>
      </c>
      <c r="H12" s="96"/>
      <c r="I12" s="96"/>
      <c r="J12" s="96"/>
      <c r="K12" s="96"/>
      <c r="L12" s="96"/>
      <c r="M12" s="96">
        <v>1500</v>
      </c>
      <c r="N12" s="96"/>
      <c r="O12" s="96"/>
      <c r="P12" s="96"/>
      <c r="Q12" s="96"/>
      <c r="R12" s="96"/>
      <c r="S12" s="108"/>
      <c r="T12" s="93">
        <f>($F$2+$G$2+$J$2+$G12*15%)*F12</f>
        <v>28435.96</v>
      </c>
      <c r="U12" s="93">
        <f>$F12*$H$2</f>
        <v>2632</v>
      </c>
      <c r="V12" s="93">
        <f>$H12*$S$2+$I12*$T$2+$K12*$U$2+$M12+$P12*$V$2+N12*F12</f>
        <v>1500</v>
      </c>
      <c r="W12" s="93">
        <f t="shared" si="2"/>
        <v>32567.96</v>
      </c>
      <c r="X12" s="93">
        <f t="shared" si="3"/>
        <v>39194.4</v>
      </c>
      <c r="Y12" s="93"/>
      <c r="Z12" s="93"/>
      <c r="AA12" s="93"/>
      <c r="AB12" s="93"/>
      <c r="AC12" s="93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3"/>
      <c r="BA12" s="93"/>
      <c r="BB12" s="93"/>
      <c r="BC12" s="93"/>
      <c r="BD12" s="93"/>
      <c r="BE12" s="93"/>
      <c r="BF12" s="93"/>
      <c r="BG12" s="93"/>
      <c r="BH12" s="93"/>
      <c r="BI12" s="118"/>
      <c r="BJ12" s="118"/>
      <c r="BK12" s="118"/>
      <c r="BL12" s="118"/>
      <c r="BM12" s="118"/>
      <c r="BN12" s="118"/>
      <c r="BO12" s="118"/>
      <c r="BP12" s="118"/>
    </row>
    <row r="13" s="73" customFormat="1" customHeight="1" spans="1:68">
      <c r="A13" s="83" t="s">
        <v>348</v>
      </c>
      <c r="B13" s="84">
        <f t="shared" si="4"/>
        <v>43534</v>
      </c>
      <c r="C13" s="84">
        <f t="shared" si="0"/>
        <v>43540</v>
      </c>
      <c r="D13" s="85">
        <v>7</v>
      </c>
      <c r="E13" s="85">
        <v>110</v>
      </c>
      <c r="F13" s="96">
        <f t="shared" si="1"/>
        <v>770</v>
      </c>
      <c r="G13" s="96">
        <v>74.99</v>
      </c>
      <c r="H13" s="96"/>
      <c r="I13" s="96"/>
      <c r="J13" s="96"/>
      <c r="K13" s="96"/>
      <c r="L13" s="96"/>
      <c r="M13" s="96">
        <v>1500</v>
      </c>
      <c r="N13" s="96"/>
      <c r="O13" s="96"/>
      <c r="P13" s="96"/>
      <c r="Q13" s="96"/>
      <c r="R13" s="96"/>
      <c r="S13" s="108"/>
      <c r="T13" s="93">
        <f>($F$2+$G$2+$J$2+$G13*15%)*F13</f>
        <v>39676.945</v>
      </c>
      <c r="U13" s="93">
        <f>$F13*$H$2</f>
        <v>3619</v>
      </c>
      <c r="V13" s="93">
        <f>$H13*$S$2+$I13*$T$2+$K13*$U$2+$M13+$P13*$V$2+N13*F13</f>
        <v>1500</v>
      </c>
      <c r="W13" s="93">
        <f t="shared" si="2"/>
        <v>44795.945</v>
      </c>
      <c r="X13" s="93">
        <f t="shared" si="3"/>
        <v>57742.3</v>
      </c>
      <c r="Y13" s="93"/>
      <c r="Z13" s="93"/>
      <c r="AA13" s="93"/>
      <c r="AB13" s="93"/>
      <c r="AC13" s="93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3"/>
      <c r="BA13" s="93"/>
      <c r="BB13" s="93"/>
      <c r="BC13" s="93"/>
      <c r="BD13" s="93"/>
      <c r="BE13" s="93"/>
      <c r="BF13" s="93"/>
      <c r="BG13" s="93"/>
      <c r="BH13" s="93"/>
      <c r="BI13" s="118"/>
      <c r="BJ13" s="118"/>
      <c r="BK13" s="118"/>
      <c r="BL13" s="118"/>
      <c r="BM13" s="118"/>
      <c r="BN13" s="118"/>
      <c r="BO13" s="118"/>
      <c r="BP13" s="118"/>
    </row>
    <row r="14" s="73" customFormat="1" customHeight="1" spans="1:68">
      <c r="A14" s="83" t="s">
        <v>371</v>
      </c>
      <c r="B14" s="84">
        <f t="shared" si="4"/>
        <v>43541</v>
      </c>
      <c r="C14" s="84">
        <f t="shared" si="0"/>
        <v>43547</v>
      </c>
      <c r="D14" s="85">
        <v>7</v>
      </c>
      <c r="E14" s="85">
        <v>110</v>
      </c>
      <c r="F14" s="96">
        <f t="shared" si="1"/>
        <v>770</v>
      </c>
      <c r="G14" s="96">
        <v>74.99</v>
      </c>
      <c r="H14" s="96"/>
      <c r="I14" s="96"/>
      <c r="J14" s="96"/>
      <c r="K14" s="96"/>
      <c r="L14" s="96"/>
      <c r="M14" s="96">
        <v>1500</v>
      </c>
      <c r="N14" s="96"/>
      <c r="O14" s="96"/>
      <c r="P14" s="96"/>
      <c r="Q14" s="96"/>
      <c r="R14" s="96"/>
      <c r="S14" s="108"/>
      <c r="T14" s="93">
        <f>($F$2+$G$2+$J$2+$G14*15%)*F14</f>
        <v>39676.945</v>
      </c>
      <c r="U14" s="93">
        <f>$F14*$H$2</f>
        <v>3619</v>
      </c>
      <c r="V14" s="93">
        <f>$H14*$S$2+$I14*$T$2+$K14*$U$2+$M14+$P14*$V$2+N14*F14</f>
        <v>1500</v>
      </c>
      <c r="W14" s="93">
        <f t="shared" si="2"/>
        <v>44795.945</v>
      </c>
      <c r="X14" s="93">
        <f t="shared" si="3"/>
        <v>57742.3</v>
      </c>
      <c r="Y14" s="93"/>
      <c r="Z14" s="93"/>
      <c r="AA14" s="93"/>
      <c r="AB14" s="93"/>
      <c r="AC14" s="93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3"/>
      <c r="BA14" s="93"/>
      <c r="BB14" s="93"/>
      <c r="BC14" s="93"/>
      <c r="BD14" s="93"/>
      <c r="BE14" s="93"/>
      <c r="BF14" s="93"/>
      <c r="BG14" s="93"/>
      <c r="BH14" s="93"/>
      <c r="BI14" s="118"/>
      <c r="BJ14" s="118"/>
      <c r="BK14" s="118"/>
      <c r="BL14" s="118"/>
      <c r="BM14" s="118"/>
      <c r="BN14" s="118"/>
      <c r="BO14" s="118"/>
      <c r="BP14" s="118"/>
    </row>
    <row r="15" s="73" customFormat="1" customHeight="1" spans="1:68">
      <c r="A15" s="83" t="s">
        <v>391</v>
      </c>
      <c r="B15" s="84">
        <f t="shared" si="4"/>
        <v>43548</v>
      </c>
      <c r="C15" s="84">
        <f t="shared" si="0"/>
        <v>43554</v>
      </c>
      <c r="D15" s="85">
        <v>7</v>
      </c>
      <c r="E15" s="85">
        <v>120</v>
      </c>
      <c r="F15" s="96">
        <f t="shared" si="1"/>
        <v>840</v>
      </c>
      <c r="G15" s="96">
        <v>74.99</v>
      </c>
      <c r="H15" s="96"/>
      <c r="I15" s="96"/>
      <c r="J15" s="96"/>
      <c r="K15" s="96"/>
      <c r="L15" s="96"/>
      <c r="M15" s="96">
        <v>1500</v>
      </c>
      <c r="N15" s="96"/>
      <c r="O15" s="96"/>
      <c r="P15" s="96"/>
      <c r="Q15" s="96"/>
      <c r="R15" s="96"/>
      <c r="S15" s="108"/>
      <c r="T15" s="93">
        <f>($F$2+$G$2+$J$2+$G15*15%)*F15</f>
        <v>43283.94</v>
      </c>
      <c r="U15" s="93">
        <f>$F15*$H$2</f>
        <v>3948</v>
      </c>
      <c r="V15" s="93">
        <f>$H15*$S$2+$I15*$T$2+$K15*$U$2+$M15+$P15*$V$2+N15*F15</f>
        <v>1500</v>
      </c>
      <c r="W15" s="93">
        <f t="shared" si="2"/>
        <v>48731.94</v>
      </c>
      <c r="X15" s="93">
        <f t="shared" si="3"/>
        <v>62991.6</v>
      </c>
      <c r="Y15" s="93"/>
      <c r="Z15" s="93"/>
      <c r="AA15" s="93"/>
      <c r="AB15" s="93"/>
      <c r="AC15" s="93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3"/>
      <c r="BA15" s="93"/>
      <c r="BB15" s="93"/>
      <c r="BC15" s="93"/>
      <c r="BD15" s="93"/>
      <c r="BE15" s="93"/>
      <c r="BF15" s="93"/>
      <c r="BG15" s="93"/>
      <c r="BH15" s="93"/>
      <c r="BI15" s="118"/>
      <c r="BJ15" s="118"/>
      <c r="BK15" s="118"/>
      <c r="BL15" s="118"/>
      <c r="BM15" s="118"/>
      <c r="BN15" s="118"/>
      <c r="BO15" s="118"/>
      <c r="BP15" s="118"/>
    </row>
    <row r="16" s="73" customFormat="1" customHeight="1" spans="1:68">
      <c r="A16" s="90" t="s">
        <v>140</v>
      </c>
      <c r="B16" s="91">
        <f t="shared" si="4"/>
        <v>43555</v>
      </c>
      <c r="C16" s="91">
        <f t="shared" si="0"/>
        <v>43561</v>
      </c>
      <c r="D16" s="85">
        <v>7</v>
      </c>
      <c r="E16" s="85">
        <v>120</v>
      </c>
      <c r="F16" s="96">
        <f t="shared" si="1"/>
        <v>840</v>
      </c>
      <c r="G16" s="96">
        <v>74.99</v>
      </c>
      <c r="H16" s="96"/>
      <c r="I16" s="96"/>
      <c r="J16" s="96"/>
      <c r="K16" s="96"/>
      <c r="L16" s="96"/>
      <c r="M16" s="96">
        <v>1500</v>
      </c>
      <c r="N16" s="101"/>
      <c r="O16" s="96"/>
      <c r="P16" s="96"/>
      <c r="Q16" s="96">
        <v>30</v>
      </c>
      <c r="R16" s="96"/>
      <c r="S16" s="108"/>
      <c r="T16" s="93">
        <f>($F$2+$G$2+$J$2+$G16*15%)*F16</f>
        <v>43283.94</v>
      </c>
      <c r="U16" s="93">
        <f>$F16*$H$2</f>
        <v>3948</v>
      </c>
      <c r="V16" s="93">
        <f>$H16*$S$2+$I16*$T$2+$K16*$U$2+$M16+$P16*$V$2+N16*F16</f>
        <v>1500</v>
      </c>
      <c r="W16" s="93">
        <f t="shared" si="2"/>
        <v>48731.94</v>
      </c>
      <c r="X16" s="93">
        <f t="shared" si="3"/>
        <v>62991.6</v>
      </c>
      <c r="Y16" s="93"/>
      <c r="Z16" s="93"/>
      <c r="AA16" s="93"/>
      <c r="AB16" s="93"/>
      <c r="AC16" s="93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3"/>
      <c r="BA16" s="93"/>
      <c r="BB16" s="93"/>
      <c r="BC16" s="93"/>
      <c r="BD16" s="93"/>
      <c r="BE16" s="93"/>
      <c r="BF16" s="93"/>
      <c r="BG16" s="93"/>
      <c r="BH16" s="93"/>
      <c r="BI16" s="118"/>
      <c r="BJ16" s="118"/>
      <c r="BK16" s="118"/>
      <c r="BL16" s="118"/>
      <c r="BM16" s="118"/>
      <c r="BN16" s="118"/>
      <c r="BO16" s="118"/>
      <c r="BP16" s="118"/>
    </row>
    <row r="17" s="73" customFormat="1" customHeight="1" spans="1:68">
      <c r="A17" s="90" t="s">
        <v>287</v>
      </c>
      <c r="B17" s="91">
        <f t="shared" si="4"/>
        <v>43562</v>
      </c>
      <c r="C17" s="91">
        <f t="shared" si="0"/>
        <v>43568</v>
      </c>
      <c r="D17" s="85">
        <v>7</v>
      </c>
      <c r="E17" s="85">
        <v>120</v>
      </c>
      <c r="F17" s="96">
        <f t="shared" si="1"/>
        <v>840</v>
      </c>
      <c r="G17" s="96">
        <v>74.99</v>
      </c>
      <c r="H17" s="96"/>
      <c r="I17" s="96"/>
      <c r="J17" s="96"/>
      <c r="K17" s="96"/>
      <c r="L17" s="96"/>
      <c r="M17" s="96">
        <v>1500</v>
      </c>
      <c r="N17" s="101"/>
      <c r="O17" s="96"/>
      <c r="P17" s="96"/>
      <c r="Q17" s="96"/>
      <c r="R17" s="96"/>
      <c r="S17" s="108"/>
      <c r="T17" s="93">
        <f>($F$2+$G$2+$J$2+$G17*15%)*F17</f>
        <v>43283.94</v>
      </c>
      <c r="U17" s="93">
        <f>$F17*$H$2</f>
        <v>3948</v>
      </c>
      <c r="V17" s="93">
        <f>$H17*$S$2+$I17*$T$2+$K17*$U$2+$M17+$P17*$V$2+N17*F17</f>
        <v>1500</v>
      </c>
      <c r="W17" s="93">
        <f t="shared" si="2"/>
        <v>48731.94</v>
      </c>
      <c r="X17" s="93">
        <f t="shared" si="3"/>
        <v>62991.6</v>
      </c>
      <c r="Y17" s="93"/>
      <c r="Z17" s="93"/>
      <c r="AA17" s="93"/>
      <c r="AB17" s="93"/>
      <c r="AC17" s="93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3"/>
      <c r="BA17" s="93"/>
      <c r="BB17" s="93"/>
      <c r="BC17" s="93"/>
      <c r="BD17" s="93"/>
      <c r="BE17" s="93"/>
      <c r="BF17" s="93"/>
      <c r="BG17" s="93"/>
      <c r="BH17" s="93"/>
      <c r="BI17" s="118"/>
      <c r="BJ17" s="118"/>
      <c r="BK17" s="118"/>
      <c r="BL17" s="118"/>
      <c r="BM17" s="118"/>
      <c r="BN17" s="118"/>
      <c r="BO17" s="118"/>
      <c r="BP17" s="118"/>
    </row>
    <row r="18" s="73" customFormat="1" customHeight="1" spans="1:68">
      <c r="A18" s="90" t="s">
        <v>128</v>
      </c>
      <c r="B18" s="91">
        <f t="shared" si="4"/>
        <v>43569</v>
      </c>
      <c r="C18" s="91">
        <f t="shared" si="0"/>
        <v>43575</v>
      </c>
      <c r="D18" s="85">
        <v>7</v>
      </c>
      <c r="E18" s="85">
        <v>110</v>
      </c>
      <c r="F18" s="96">
        <f t="shared" si="1"/>
        <v>770</v>
      </c>
      <c r="G18" s="96">
        <v>74.99</v>
      </c>
      <c r="H18" s="96"/>
      <c r="I18" s="96"/>
      <c r="J18" s="96"/>
      <c r="K18" s="96"/>
      <c r="L18" s="96"/>
      <c r="M18" s="96">
        <v>1500</v>
      </c>
      <c r="N18" s="96"/>
      <c r="O18" s="96"/>
      <c r="P18" s="96"/>
      <c r="Q18" s="96">
        <v>40</v>
      </c>
      <c r="R18" s="96"/>
      <c r="S18" s="108"/>
      <c r="T18" s="93">
        <f>($F$2+$G$2+$J$2+$G18*15%)*F18</f>
        <v>39676.945</v>
      </c>
      <c r="U18" s="93">
        <f>$F18*$H$2</f>
        <v>3619</v>
      </c>
      <c r="V18" s="93">
        <f>$H18*$S$2+$I18*$T$2+$K18*$U$2+$M18+$P18*$V$2+N18*F18</f>
        <v>1500</v>
      </c>
      <c r="W18" s="93">
        <f t="shared" si="2"/>
        <v>44795.945</v>
      </c>
      <c r="X18" s="93">
        <f t="shared" si="3"/>
        <v>57742.3</v>
      </c>
      <c r="Y18" s="93"/>
      <c r="Z18" s="93"/>
      <c r="AA18" s="93"/>
      <c r="AB18" s="93"/>
      <c r="AC18" s="93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3"/>
      <c r="BA18" s="93"/>
      <c r="BB18" s="93"/>
      <c r="BC18" s="93"/>
      <c r="BD18" s="93"/>
      <c r="BE18" s="93"/>
      <c r="BF18" s="93"/>
      <c r="BG18" s="93"/>
      <c r="BH18" s="93"/>
      <c r="BI18" s="118"/>
      <c r="BJ18" s="118"/>
      <c r="BK18" s="118"/>
      <c r="BL18" s="118"/>
      <c r="BM18" s="118"/>
      <c r="BN18" s="118"/>
      <c r="BO18" s="118"/>
      <c r="BP18" s="118"/>
    </row>
    <row r="19" s="73" customFormat="1" customHeight="1" spans="1:68">
      <c r="A19" s="90" t="s">
        <v>685</v>
      </c>
      <c r="B19" s="91">
        <f t="shared" si="4"/>
        <v>43576</v>
      </c>
      <c r="C19" s="91">
        <f t="shared" si="0"/>
        <v>43582</v>
      </c>
      <c r="D19" s="85">
        <v>7</v>
      </c>
      <c r="E19" s="85">
        <v>110</v>
      </c>
      <c r="F19" s="96">
        <f t="shared" si="1"/>
        <v>770</v>
      </c>
      <c r="G19" s="96">
        <v>74.99</v>
      </c>
      <c r="H19" s="96"/>
      <c r="I19" s="96"/>
      <c r="J19" s="96"/>
      <c r="K19" s="96"/>
      <c r="L19" s="96"/>
      <c r="M19" s="96">
        <v>1500</v>
      </c>
      <c r="N19" s="96"/>
      <c r="O19" s="96"/>
      <c r="P19" s="96"/>
      <c r="Q19" s="96"/>
      <c r="R19" s="96"/>
      <c r="S19" s="108"/>
      <c r="T19" s="93">
        <f>($F$2+$G$2+$J$2+$G19*15%)*F19</f>
        <v>39676.945</v>
      </c>
      <c r="U19" s="93">
        <f>$F19*$H$2</f>
        <v>3619</v>
      </c>
      <c r="V19" s="93">
        <f>$H19*$S$2+$I19*$T$2+$K19*$U$2+$M19+$P19*$V$2+N19*F19</f>
        <v>1500</v>
      </c>
      <c r="W19" s="93">
        <f t="shared" si="2"/>
        <v>44795.945</v>
      </c>
      <c r="X19" s="93">
        <f t="shared" si="3"/>
        <v>57742.3</v>
      </c>
      <c r="Y19" s="93"/>
      <c r="Z19" s="93"/>
      <c r="AA19" s="93"/>
      <c r="AB19" s="93"/>
      <c r="AC19" s="93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3"/>
      <c r="BA19" s="93"/>
      <c r="BB19" s="93"/>
      <c r="BC19" s="93"/>
      <c r="BD19" s="93"/>
      <c r="BE19" s="93"/>
      <c r="BF19" s="93"/>
      <c r="BG19" s="93"/>
      <c r="BH19" s="93"/>
      <c r="BI19" s="118"/>
      <c r="BJ19" s="118"/>
      <c r="BK19" s="118"/>
      <c r="BL19" s="118"/>
      <c r="BM19" s="118"/>
      <c r="BN19" s="118"/>
      <c r="BO19" s="118"/>
      <c r="BP19" s="118"/>
    </row>
    <row r="20" s="73" customFormat="1" customHeight="1" spans="1:68">
      <c r="A20" s="90" t="s">
        <v>437</v>
      </c>
      <c r="B20" s="91">
        <f t="shared" si="4"/>
        <v>43583</v>
      </c>
      <c r="C20" s="91">
        <f t="shared" si="0"/>
        <v>43589</v>
      </c>
      <c r="D20" s="85">
        <v>7</v>
      </c>
      <c r="E20" s="85">
        <v>100</v>
      </c>
      <c r="F20" s="96">
        <f t="shared" si="1"/>
        <v>700</v>
      </c>
      <c r="G20" s="96">
        <v>74.99</v>
      </c>
      <c r="H20" s="96"/>
      <c r="I20" s="96"/>
      <c r="J20" s="96"/>
      <c r="K20" s="96"/>
      <c r="L20" s="96"/>
      <c r="M20" s="96">
        <v>1500</v>
      </c>
      <c r="N20" s="96"/>
      <c r="O20" s="96"/>
      <c r="P20" s="96"/>
      <c r="Q20" s="96"/>
      <c r="R20" s="96"/>
      <c r="S20" s="108"/>
      <c r="T20" s="93">
        <f>($F$2+$G$2+$J$2+$G20*15%)*F20</f>
        <v>36069.95</v>
      </c>
      <c r="U20" s="93">
        <f>$F20*$H$2</f>
        <v>3290</v>
      </c>
      <c r="V20" s="93">
        <f>$H20*$S$2+$I20*$T$2+$K20*$U$2+$M20+$P20*$V$2+N20*F20</f>
        <v>1500</v>
      </c>
      <c r="W20" s="93">
        <f t="shared" si="2"/>
        <v>40859.95</v>
      </c>
      <c r="X20" s="93">
        <f t="shared" si="3"/>
        <v>52493</v>
      </c>
      <c r="Y20" s="93"/>
      <c r="Z20" s="93"/>
      <c r="AA20" s="93"/>
      <c r="AB20" s="93"/>
      <c r="AC20" s="93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3"/>
      <c r="BA20" s="93"/>
      <c r="BB20" s="93"/>
      <c r="BC20" s="93"/>
      <c r="BD20" s="93"/>
      <c r="BE20" s="93"/>
      <c r="BF20" s="93"/>
      <c r="BG20" s="93"/>
      <c r="BH20" s="93"/>
      <c r="BI20" s="118"/>
      <c r="BJ20" s="118"/>
      <c r="BK20" s="118"/>
      <c r="BL20" s="118"/>
      <c r="BM20" s="118"/>
      <c r="BN20" s="118"/>
      <c r="BO20" s="118"/>
      <c r="BP20" s="118"/>
    </row>
    <row r="21" s="73" customFormat="1" customHeight="1" spans="1:68">
      <c r="A21" s="90" t="s">
        <v>686</v>
      </c>
      <c r="B21" s="91">
        <f t="shared" si="4"/>
        <v>43590</v>
      </c>
      <c r="C21" s="91">
        <f t="shared" si="0"/>
        <v>43596</v>
      </c>
      <c r="D21" s="85">
        <v>7</v>
      </c>
      <c r="E21" s="85">
        <v>100</v>
      </c>
      <c r="F21" s="96">
        <f t="shared" si="1"/>
        <v>700</v>
      </c>
      <c r="G21" s="96">
        <v>74.99</v>
      </c>
      <c r="H21" s="96"/>
      <c r="I21" s="96"/>
      <c r="J21" s="96"/>
      <c r="K21" s="96"/>
      <c r="L21" s="96"/>
      <c r="M21" s="96">
        <v>1500</v>
      </c>
      <c r="N21" s="96"/>
      <c r="O21" s="96"/>
      <c r="P21" s="96"/>
      <c r="Q21" s="96"/>
      <c r="R21" s="96"/>
      <c r="S21" s="108"/>
      <c r="T21" s="93">
        <f>($F$2+$G$2+$J$2+$G21*15%)*F21</f>
        <v>36069.95</v>
      </c>
      <c r="U21" s="93">
        <f>$F21*$H$2</f>
        <v>3290</v>
      </c>
      <c r="V21" s="93">
        <f>$H21*$S$2+$I21*$T$2+$K21*$U$2+$M21+$P21*$V$2+N21*F21</f>
        <v>1500</v>
      </c>
      <c r="W21" s="93">
        <f t="shared" si="2"/>
        <v>40859.95</v>
      </c>
      <c r="X21" s="93">
        <f t="shared" si="3"/>
        <v>52493</v>
      </c>
      <c r="Y21" s="93"/>
      <c r="Z21" s="93"/>
      <c r="AA21" s="93"/>
      <c r="AB21" s="93"/>
      <c r="AC21" s="93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3"/>
      <c r="BA21" s="93"/>
      <c r="BB21" s="93"/>
      <c r="BC21" s="93"/>
      <c r="BD21" s="93"/>
      <c r="BE21" s="93"/>
      <c r="BF21" s="93"/>
      <c r="BG21" s="93"/>
      <c r="BH21" s="93"/>
      <c r="BI21" s="118"/>
      <c r="BJ21" s="118"/>
      <c r="BK21" s="118"/>
      <c r="BL21" s="118"/>
      <c r="BM21" s="118"/>
      <c r="BN21" s="118"/>
      <c r="BO21" s="118"/>
      <c r="BP21" s="118"/>
    </row>
    <row r="22" s="73" customFormat="1" customHeight="1" spans="1:68">
      <c r="A22" s="90" t="s">
        <v>456</v>
      </c>
      <c r="B22" s="91">
        <f t="shared" si="4"/>
        <v>43597</v>
      </c>
      <c r="C22" s="91">
        <f t="shared" si="0"/>
        <v>43603</v>
      </c>
      <c r="D22" s="85">
        <v>7</v>
      </c>
      <c r="E22" s="85">
        <v>90</v>
      </c>
      <c r="F22" s="96">
        <f t="shared" si="1"/>
        <v>630</v>
      </c>
      <c r="G22" s="96">
        <v>74.99</v>
      </c>
      <c r="H22" s="96"/>
      <c r="I22" s="96"/>
      <c r="J22" s="96"/>
      <c r="K22" s="96"/>
      <c r="L22" s="96"/>
      <c r="M22" s="96">
        <v>1500</v>
      </c>
      <c r="N22" s="96"/>
      <c r="O22" s="96"/>
      <c r="P22" s="96"/>
      <c r="Q22" s="96"/>
      <c r="R22" s="96"/>
      <c r="S22" s="108"/>
      <c r="T22" s="93">
        <f>($F$2+$G$2+$J$2+$G22*15%)*F22</f>
        <v>32462.955</v>
      </c>
      <c r="U22" s="93">
        <f>$F22*$H$2</f>
        <v>2961</v>
      </c>
      <c r="V22" s="93">
        <f>$H22*$S$2+$I22*$T$2+$K22*$U$2+$M22+$P22*$V$2+N22*F22</f>
        <v>1500</v>
      </c>
      <c r="W22" s="93">
        <f t="shared" si="2"/>
        <v>36923.955</v>
      </c>
      <c r="X22" s="93">
        <f t="shared" si="3"/>
        <v>47243.7</v>
      </c>
      <c r="Y22" s="93"/>
      <c r="Z22" s="93"/>
      <c r="AA22" s="93"/>
      <c r="AB22" s="93"/>
      <c r="AC22" s="93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3"/>
      <c r="BA22" s="93"/>
      <c r="BB22" s="93"/>
      <c r="BC22" s="93"/>
      <c r="BD22" s="93"/>
      <c r="BE22" s="93"/>
      <c r="BF22" s="93"/>
      <c r="BG22" s="93"/>
      <c r="BH22" s="93"/>
      <c r="BI22" s="118"/>
      <c r="BJ22" s="118"/>
      <c r="BK22" s="118"/>
      <c r="BL22" s="118"/>
      <c r="BM22" s="118"/>
      <c r="BN22" s="118"/>
      <c r="BO22" s="118"/>
      <c r="BP22" s="118"/>
    </row>
    <row r="23" s="73" customFormat="1" customHeight="1" spans="1:68">
      <c r="A23" s="90" t="s">
        <v>687</v>
      </c>
      <c r="B23" s="91">
        <f t="shared" si="4"/>
        <v>43604</v>
      </c>
      <c r="C23" s="91">
        <f t="shared" si="0"/>
        <v>43610</v>
      </c>
      <c r="D23" s="85">
        <v>7</v>
      </c>
      <c r="E23" s="85">
        <v>90</v>
      </c>
      <c r="F23" s="96">
        <f t="shared" si="1"/>
        <v>630</v>
      </c>
      <c r="G23" s="96">
        <v>74.99</v>
      </c>
      <c r="H23" s="96"/>
      <c r="I23" s="96"/>
      <c r="J23" s="96"/>
      <c r="K23" s="96"/>
      <c r="L23" s="96"/>
      <c r="M23" s="96">
        <v>1500</v>
      </c>
      <c r="N23" s="96"/>
      <c r="O23" s="96"/>
      <c r="P23" s="96"/>
      <c r="Q23" s="96">
        <v>50</v>
      </c>
      <c r="R23" s="96"/>
      <c r="S23" s="108"/>
      <c r="T23" s="93">
        <f>($F$2+$G$2+$J$2+$G23*15%)*F23</f>
        <v>32462.955</v>
      </c>
      <c r="U23" s="93">
        <f>$F23*$H$2</f>
        <v>2961</v>
      </c>
      <c r="V23" s="93">
        <f>$H23*$S$2+$I23*$T$2+$K23*$U$2+$M23+$P23*$V$2+N23*F23</f>
        <v>1500</v>
      </c>
      <c r="W23" s="93">
        <f t="shared" si="2"/>
        <v>36923.955</v>
      </c>
      <c r="X23" s="93">
        <f t="shared" si="3"/>
        <v>47243.7</v>
      </c>
      <c r="Y23" s="93"/>
      <c r="Z23" s="93"/>
      <c r="AA23" s="93"/>
      <c r="AB23" s="93"/>
      <c r="AC23" s="93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3"/>
      <c r="BA23" s="93"/>
      <c r="BB23" s="93"/>
      <c r="BC23" s="93"/>
      <c r="BD23" s="93"/>
      <c r="BE23" s="93"/>
      <c r="BF23" s="93"/>
      <c r="BG23" s="93"/>
      <c r="BH23" s="93"/>
      <c r="BI23" s="118"/>
      <c r="BJ23" s="118"/>
      <c r="BK23" s="118"/>
      <c r="BL23" s="118"/>
      <c r="BM23" s="118"/>
      <c r="BN23" s="118"/>
      <c r="BO23" s="118"/>
      <c r="BP23" s="118"/>
    </row>
    <row r="24" s="73" customFormat="1" customHeight="1" spans="1:68">
      <c r="A24" s="90" t="s">
        <v>255</v>
      </c>
      <c r="B24" s="91">
        <f t="shared" si="4"/>
        <v>43611</v>
      </c>
      <c r="C24" s="91">
        <f t="shared" si="0"/>
        <v>43617</v>
      </c>
      <c r="D24" s="85">
        <v>7</v>
      </c>
      <c r="E24" s="85">
        <v>90</v>
      </c>
      <c r="F24" s="96">
        <f t="shared" si="1"/>
        <v>630</v>
      </c>
      <c r="G24" s="96">
        <v>74.99</v>
      </c>
      <c r="H24" s="96"/>
      <c r="I24" s="96"/>
      <c r="J24" s="96"/>
      <c r="K24" s="96"/>
      <c r="L24" s="96"/>
      <c r="M24" s="96">
        <v>1500</v>
      </c>
      <c r="N24" s="96"/>
      <c r="O24" s="96"/>
      <c r="P24" s="96"/>
      <c r="Q24" s="96"/>
      <c r="R24" s="96"/>
      <c r="S24" s="108"/>
      <c r="T24" s="93">
        <f>($F$2+$G$2+$J$2+$G24*15%)*F24</f>
        <v>32462.955</v>
      </c>
      <c r="U24" s="93">
        <f>$F24*$H$2</f>
        <v>2961</v>
      </c>
      <c r="V24" s="93">
        <f>$H24*$S$2+$I24*$T$2+$K24*$U$2+$M24+$P24*$V$2+N24*F24</f>
        <v>1500</v>
      </c>
      <c r="W24" s="93">
        <f t="shared" si="2"/>
        <v>36923.955</v>
      </c>
      <c r="X24" s="93">
        <f t="shared" si="3"/>
        <v>47243.7</v>
      </c>
      <c r="Y24" s="93"/>
      <c r="Z24" s="93"/>
      <c r="AA24" s="93"/>
      <c r="AB24" s="93"/>
      <c r="AC24" s="93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3"/>
      <c r="BA24" s="93"/>
      <c r="BB24" s="93"/>
      <c r="BC24" s="93"/>
      <c r="BD24" s="93"/>
      <c r="BE24" s="93"/>
      <c r="BF24" s="93"/>
      <c r="BG24" s="93"/>
      <c r="BH24" s="93"/>
      <c r="BI24" s="118"/>
      <c r="BJ24" s="118"/>
      <c r="BK24" s="118"/>
      <c r="BL24" s="118"/>
      <c r="BM24" s="118"/>
      <c r="BN24" s="118"/>
      <c r="BO24" s="118"/>
      <c r="BP24" s="118"/>
    </row>
    <row r="25" s="73" customFormat="1" customHeight="1" spans="1:68">
      <c r="A25" s="90" t="s">
        <v>502</v>
      </c>
      <c r="B25" s="91">
        <f t="shared" si="4"/>
        <v>43618</v>
      </c>
      <c r="C25" s="91">
        <f t="shared" si="0"/>
        <v>43624</v>
      </c>
      <c r="D25" s="85">
        <v>7</v>
      </c>
      <c r="E25" s="85">
        <v>100</v>
      </c>
      <c r="F25" s="96">
        <f t="shared" si="1"/>
        <v>700</v>
      </c>
      <c r="G25" s="96">
        <v>74.99</v>
      </c>
      <c r="H25" s="96"/>
      <c r="I25" s="96"/>
      <c r="J25" s="96"/>
      <c r="K25" s="96"/>
      <c r="L25" s="96"/>
      <c r="M25" s="96">
        <v>1500</v>
      </c>
      <c r="N25" s="96"/>
      <c r="O25" s="96"/>
      <c r="P25" s="96"/>
      <c r="Q25" s="96"/>
      <c r="R25" s="96"/>
      <c r="S25" s="108"/>
      <c r="T25" s="93">
        <f>($F$2+$G$2+$J$2+$G25*15%)*F25</f>
        <v>36069.95</v>
      </c>
      <c r="U25" s="93">
        <f>$F25*$H$2</f>
        <v>3290</v>
      </c>
      <c r="V25" s="93">
        <f>$H25*$S$2+$I25*$T$2+$K25*$U$2+$M25+$P25*$V$2+N25*F25</f>
        <v>1500</v>
      </c>
      <c r="W25" s="93">
        <f t="shared" si="2"/>
        <v>40859.95</v>
      </c>
      <c r="X25" s="93">
        <f t="shared" si="3"/>
        <v>52493</v>
      </c>
      <c r="Y25" s="93"/>
      <c r="Z25" s="93"/>
      <c r="AA25" s="93"/>
      <c r="AB25" s="93"/>
      <c r="AC25" s="93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3"/>
      <c r="BA25" s="93"/>
      <c r="BB25" s="93"/>
      <c r="BC25" s="93"/>
      <c r="BD25" s="93"/>
      <c r="BE25" s="93"/>
      <c r="BF25" s="93"/>
      <c r="BG25" s="93"/>
      <c r="BH25" s="93"/>
      <c r="BI25" s="118"/>
      <c r="BJ25" s="118"/>
      <c r="BK25" s="118"/>
      <c r="BL25" s="118"/>
      <c r="BM25" s="118"/>
      <c r="BN25" s="118"/>
      <c r="BO25" s="118"/>
      <c r="BP25" s="118"/>
    </row>
    <row r="26" s="73" customFormat="1" customHeight="1" spans="1:68">
      <c r="A26" s="90" t="s">
        <v>501</v>
      </c>
      <c r="B26" s="91">
        <f t="shared" si="4"/>
        <v>43625</v>
      </c>
      <c r="C26" s="91">
        <f t="shared" si="0"/>
        <v>43631</v>
      </c>
      <c r="D26" s="85">
        <v>7</v>
      </c>
      <c r="E26" s="85">
        <v>100</v>
      </c>
      <c r="F26" s="96">
        <f t="shared" si="1"/>
        <v>700</v>
      </c>
      <c r="G26" s="96">
        <v>74.99</v>
      </c>
      <c r="H26" s="96"/>
      <c r="I26" s="96"/>
      <c r="J26" s="96"/>
      <c r="K26" s="96"/>
      <c r="L26" s="96"/>
      <c r="M26" s="96">
        <v>1500</v>
      </c>
      <c r="N26" s="96"/>
      <c r="O26" s="96"/>
      <c r="P26" s="96"/>
      <c r="Q26" s="96"/>
      <c r="R26" s="96"/>
      <c r="S26" s="108"/>
      <c r="T26" s="93">
        <f>($F$2+$G$2+$J$2+$G26*15%)*F26</f>
        <v>36069.95</v>
      </c>
      <c r="U26" s="93">
        <f>$F26*$H$2</f>
        <v>3290</v>
      </c>
      <c r="V26" s="93">
        <f>$H26*$S$2+$I26*$T$2+$K26*$U$2+$M26+$P26*$V$2+N26*F26</f>
        <v>1500</v>
      </c>
      <c r="W26" s="93">
        <f t="shared" si="2"/>
        <v>40859.95</v>
      </c>
      <c r="X26" s="93">
        <f t="shared" si="3"/>
        <v>52493</v>
      </c>
      <c r="Y26" s="93"/>
      <c r="Z26" s="93"/>
      <c r="AA26" s="93"/>
      <c r="AB26" s="93"/>
      <c r="AC26" s="93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3"/>
      <c r="BA26" s="93"/>
      <c r="BB26" s="93"/>
      <c r="BC26" s="93"/>
      <c r="BD26" s="93"/>
      <c r="BE26" s="93"/>
      <c r="BF26" s="93"/>
      <c r="BG26" s="93"/>
      <c r="BH26" s="93"/>
      <c r="BI26" s="118"/>
      <c r="BJ26" s="118"/>
      <c r="BK26" s="118"/>
      <c r="BL26" s="118"/>
      <c r="BM26" s="118"/>
      <c r="BN26" s="118"/>
      <c r="BO26" s="118"/>
      <c r="BP26" s="118"/>
    </row>
    <row r="27" s="73" customFormat="1" customHeight="1" spans="1:68">
      <c r="A27" s="90" t="s">
        <v>688</v>
      </c>
      <c r="B27" s="91">
        <f t="shared" si="4"/>
        <v>43632</v>
      </c>
      <c r="C27" s="91">
        <f t="shared" si="0"/>
        <v>43638</v>
      </c>
      <c r="D27" s="85">
        <v>7</v>
      </c>
      <c r="E27" s="85">
        <v>100</v>
      </c>
      <c r="F27" s="96">
        <f t="shared" si="1"/>
        <v>700</v>
      </c>
      <c r="G27" s="96">
        <v>74.99</v>
      </c>
      <c r="H27" s="96"/>
      <c r="I27" s="96"/>
      <c r="J27" s="96"/>
      <c r="K27" s="96"/>
      <c r="L27" s="96"/>
      <c r="M27" s="96">
        <v>1500</v>
      </c>
      <c r="N27" s="96"/>
      <c r="O27" s="96"/>
      <c r="P27" s="96"/>
      <c r="Q27" s="96"/>
      <c r="R27" s="96"/>
      <c r="S27" s="76"/>
      <c r="T27" s="93">
        <f>($F$2+$G$2+$J$2+$G27*15%)*F27</f>
        <v>36069.95</v>
      </c>
      <c r="U27" s="93">
        <f>$F27*$H$2</f>
        <v>3290</v>
      </c>
      <c r="V27" s="93">
        <f>$H27*$S$2+$I27*$T$2+$K27*$U$2+$M27+$P27*$V$2+N27*F27</f>
        <v>1500</v>
      </c>
      <c r="W27" s="93">
        <f t="shared" si="2"/>
        <v>40859.95</v>
      </c>
      <c r="X27" s="93">
        <f t="shared" si="3"/>
        <v>52493</v>
      </c>
      <c r="Y27" s="93"/>
      <c r="Z27" s="93"/>
      <c r="AA27" s="93"/>
      <c r="AB27" s="93"/>
      <c r="AC27" s="93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3"/>
      <c r="BA27" s="93"/>
      <c r="BB27" s="93"/>
      <c r="BC27" s="93"/>
      <c r="BD27" s="93"/>
      <c r="BE27" s="93"/>
      <c r="BF27" s="93"/>
      <c r="BG27" s="93"/>
      <c r="BH27" s="93"/>
      <c r="BI27" s="118"/>
      <c r="BJ27" s="118"/>
      <c r="BK27" s="118"/>
      <c r="BL27" s="118"/>
      <c r="BM27" s="118"/>
      <c r="BN27" s="118"/>
      <c r="BO27" s="118"/>
      <c r="BP27" s="118"/>
    </row>
    <row r="28" s="73" customFormat="1" customHeight="1" spans="1:68">
      <c r="A28" s="90" t="s">
        <v>414</v>
      </c>
      <c r="B28" s="91">
        <f t="shared" si="4"/>
        <v>43639</v>
      </c>
      <c r="C28" s="91">
        <f t="shared" si="0"/>
        <v>43645</v>
      </c>
      <c r="D28" s="85">
        <v>7</v>
      </c>
      <c r="E28" s="85">
        <v>100</v>
      </c>
      <c r="F28" s="96">
        <f t="shared" si="1"/>
        <v>700</v>
      </c>
      <c r="G28" s="96">
        <v>74.99</v>
      </c>
      <c r="H28" s="96"/>
      <c r="I28" s="96"/>
      <c r="J28" s="96"/>
      <c r="K28" s="96"/>
      <c r="L28" s="96"/>
      <c r="M28" s="96">
        <v>1500</v>
      </c>
      <c r="N28" s="96"/>
      <c r="O28" s="96"/>
      <c r="P28" s="96"/>
      <c r="Q28" s="96"/>
      <c r="R28" s="96"/>
      <c r="S28" s="108"/>
      <c r="T28" s="93">
        <f>($F$2+$G$2+$J$2+$G28*15%)*F28</f>
        <v>36069.95</v>
      </c>
      <c r="U28" s="93">
        <f>$F28*$H$2</f>
        <v>3290</v>
      </c>
      <c r="V28" s="93">
        <f>$H28*$S$2+$I28*$T$2+$K28*$U$2+$M28+$P28*$V$2+N28*F28</f>
        <v>1500</v>
      </c>
      <c r="W28" s="93">
        <f t="shared" si="2"/>
        <v>40859.95</v>
      </c>
      <c r="X28" s="93">
        <f t="shared" si="3"/>
        <v>52493</v>
      </c>
      <c r="Y28" s="93"/>
      <c r="Z28" s="93"/>
      <c r="AA28" s="93"/>
      <c r="AB28" s="93"/>
      <c r="AC28" s="93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3"/>
      <c r="BA28" s="93"/>
      <c r="BB28" s="93"/>
      <c r="BC28" s="93"/>
      <c r="BD28" s="93"/>
      <c r="BE28" s="93"/>
      <c r="BF28" s="93"/>
      <c r="BG28" s="93"/>
      <c r="BH28" s="93"/>
      <c r="BI28" s="118"/>
      <c r="BJ28" s="118"/>
      <c r="BK28" s="118"/>
      <c r="BL28" s="118"/>
      <c r="BM28" s="118"/>
      <c r="BN28" s="118"/>
      <c r="BO28" s="118"/>
      <c r="BP28" s="118"/>
    </row>
    <row r="29" s="73" customFormat="1" customHeight="1" spans="1:68">
      <c r="A29" s="90" t="s">
        <v>689</v>
      </c>
      <c r="B29" s="91">
        <f t="shared" si="4"/>
        <v>43646</v>
      </c>
      <c r="C29" s="91">
        <f t="shared" si="0"/>
        <v>43652</v>
      </c>
      <c r="D29" s="85">
        <v>7</v>
      </c>
      <c r="E29" s="85">
        <v>100</v>
      </c>
      <c r="F29" s="96">
        <f t="shared" si="1"/>
        <v>700</v>
      </c>
      <c r="G29" s="96">
        <v>74.99</v>
      </c>
      <c r="H29" s="96"/>
      <c r="I29" s="96"/>
      <c r="J29" s="96"/>
      <c r="K29" s="96"/>
      <c r="L29" s="96"/>
      <c r="M29" s="96">
        <v>1500</v>
      </c>
      <c r="N29" s="96"/>
      <c r="O29" s="96"/>
      <c r="P29" s="96"/>
      <c r="Q29" s="96"/>
      <c r="R29" s="96"/>
      <c r="S29" s="108"/>
      <c r="T29" s="93">
        <f>($F$2+$G$2+$J$2+$G29*15%)*F29</f>
        <v>36069.95</v>
      </c>
      <c r="U29" s="93">
        <f>$F29*$H$2</f>
        <v>3290</v>
      </c>
      <c r="V29" s="93">
        <f>$H29*$S$2+$I29*$T$2+$K29*$U$2+$M29+$P29*$V$2+N29*F29</f>
        <v>1500</v>
      </c>
      <c r="W29" s="93">
        <f t="shared" si="2"/>
        <v>40859.95</v>
      </c>
      <c r="X29" s="93">
        <f t="shared" si="3"/>
        <v>52493</v>
      </c>
      <c r="Y29" s="93"/>
      <c r="Z29" s="93"/>
      <c r="AA29" s="93"/>
      <c r="AB29" s="93"/>
      <c r="AC29" s="93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3"/>
      <c r="BA29" s="93"/>
      <c r="BB29" s="93"/>
      <c r="BC29" s="93"/>
      <c r="BD29" s="93"/>
      <c r="BE29" s="93"/>
      <c r="BF29" s="93"/>
      <c r="BG29" s="93"/>
      <c r="BH29" s="93"/>
      <c r="BI29" s="118"/>
      <c r="BJ29" s="118"/>
      <c r="BK29" s="118"/>
      <c r="BL29" s="118"/>
      <c r="BM29" s="118"/>
      <c r="BN29" s="118"/>
      <c r="BO29" s="118"/>
      <c r="BP29" s="118"/>
    </row>
    <row r="30" s="73" customFormat="1" customHeight="1" spans="1:68">
      <c r="A30" s="90" t="s">
        <v>457</v>
      </c>
      <c r="B30" s="91">
        <f t="shared" si="4"/>
        <v>43653</v>
      </c>
      <c r="C30" s="91">
        <f t="shared" si="0"/>
        <v>43659</v>
      </c>
      <c r="D30" s="85">
        <v>7</v>
      </c>
      <c r="E30" s="85">
        <v>130</v>
      </c>
      <c r="F30" s="96">
        <f t="shared" si="1"/>
        <v>910</v>
      </c>
      <c r="G30" s="96">
        <v>79.99</v>
      </c>
      <c r="H30" s="96"/>
      <c r="I30" s="96"/>
      <c r="J30" s="96"/>
      <c r="K30" s="96"/>
      <c r="L30" s="96"/>
      <c r="M30" s="96">
        <v>1500</v>
      </c>
      <c r="N30" s="96"/>
      <c r="O30" s="96"/>
      <c r="P30" s="96"/>
      <c r="Q30" s="96"/>
      <c r="R30" s="96"/>
      <c r="S30" s="108"/>
      <c r="T30" s="93">
        <f>($F$2+$G$2+$J$2+$G30*15%)*F30</f>
        <v>47573.435</v>
      </c>
      <c r="U30" s="93">
        <f>$F30*$H$2</f>
        <v>4277</v>
      </c>
      <c r="V30" s="93">
        <f>$H30*$S$2+$I30*$T$2+$K30*$U$2+$M30+$P30*$V$2+N30*F30</f>
        <v>1500</v>
      </c>
      <c r="W30" s="93">
        <f t="shared" si="2"/>
        <v>53350.435</v>
      </c>
      <c r="X30" s="93">
        <f t="shared" si="3"/>
        <v>72790.9</v>
      </c>
      <c r="Y30" s="93"/>
      <c r="Z30" s="93"/>
      <c r="AA30" s="93"/>
      <c r="AB30" s="93"/>
      <c r="AC30" s="93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3"/>
      <c r="BA30" s="93"/>
      <c r="BB30" s="93"/>
      <c r="BC30" s="93"/>
      <c r="BD30" s="93"/>
      <c r="BE30" s="93"/>
      <c r="BF30" s="93"/>
      <c r="BG30" s="93"/>
      <c r="BH30" s="93"/>
      <c r="BI30" s="118"/>
      <c r="BJ30" s="118"/>
      <c r="BK30" s="118"/>
      <c r="BL30" s="118"/>
      <c r="BM30" s="118"/>
      <c r="BN30" s="118"/>
      <c r="BO30" s="118"/>
      <c r="BP30" s="118"/>
    </row>
    <row r="31" s="73" customFormat="1" customHeight="1" spans="1:68">
      <c r="A31" s="90" t="s">
        <v>690</v>
      </c>
      <c r="B31" s="91">
        <f t="shared" si="4"/>
        <v>43660</v>
      </c>
      <c r="C31" s="91">
        <f t="shared" si="0"/>
        <v>43666</v>
      </c>
      <c r="D31" s="85">
        <v>7</v>
      </c>
      <c r="E31" s="85">
        <v>130</v>
      </c>
      <c r="F31" s="96">
        <f t="shared" si="1"/>
        <v>910</v>
      </c>
      <c r="G31" s="96">
        <v>79.99</v>
      </c>
      <c r="H31" s="96"/>
      <c r="I31" s="96"/>
      <c r="J31" s="96"/>
      <c r="K31" s="96"/>
      <c r="L31" s="96"/>
      <c r="M31" s="96">
        <v>1500</v>
      </c>
      <c r="N31" s="96"/>
      <c r="O31" s="96"/>
      <c r="P31" s="96"/>
      <c r="Q31" s="96"/>
      <c r="R31" s="96"/>
      <c r="S31" s="108"/>
      <c r="T31" s="93">
        <f>($F$2+$G$2+$J$2+$G31*15%)*F31</f>
        <v>47573.435</v>
      </c>
      <c r="U31" s="93">
        <f>$F31*$H$2</f>
        <v>4277</v>
      </c>
      <c r="V31" s="93">
        <f>$H31*$S$2+$I31*$T$2+$K31*$U$2+$M31+$P31*$V$2+N31*F31</f>
        <v>1500</v>
      </c>
      <c r="W31" s="93">
        <f t="shared" si="2"/>
        <v>53350.435</v>
      </c>
      <c r="X31" s="93">
        <f t="shared" si="3"/>
        <v>72790.9</v>
      </c>
      <c r="Y31" s="93"/>
      <c r="Z31" s="93"/>
      <c r="AA31" s="93"/>
      <c r="AB31" s="93"/>
      <c r="AC31" s="93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3"/>
      <c r="BA31" s="93"/>
      <c r="BB31" s="93"/>
      <c r="BC31" s="93"/>
      <c r="BD31" s="93"/>
      <c r="BE31" s="93"/>
      <c r="BF31" s="93"/>
      <c r="BG31" s="93"/>
      <c r="BH31" s="93"/>
      <c r="BI31" s="118"/>
      <c r="BJ31" s="118"/>
      <c r="BK31" s="118"/>
      <c r="BL31" s="118"/>
      <c r="BM31" s="118"/>
      <c r="BN31" s="118"/>
      <c r="BO31" s="118"/>
      <c r="BP31" s="118"/>
    </row>
    <row r="32" s="73" customFormat="1" customHeight="1" spans="1:68">
      <c r="A32" s="90" t="s">
        <v>399</v>
      </c>
      <c r="B32" s="91">
        <f t="shared" si="4"/>
        <v>43667</v>
      </c>
      <c r="C32" s="91">
        <f t="shared" si="0"/>
        <v>43673</v>
      </c>
      <c r="D32" s="85">
        <v>7</v>
      </c>
      <c r="E32" s="85">
        <v>130</v>
      </c>
      <c r="F32" s="96">
        <f t="shared" si="1"/>
        <v>910</v>
      </c>
      <c r="G32" s="96">
        <v>79.99</v>
      </c>
      <c r="H32" s="96"/>
      <c r="I32" s="96"/>
      <c r="J32" s="96"/>
      <c r="K32" s="96"/>
      <c r="L32" s="96"/>
      <c r="M32" s="96">
        <v>1500</v>
      </c>
      <c r="N32" s="96"/>
      <c r="O32" s="96"/>
      <c r="P32" s="96"/>
      <c r="Q32" s="96"/>
      <c r="R32" s="96"/>
      <c r="S32" s="109"/>
      <c r="T32" s="93">
        <f>($F$2+$G$2+$J$2+$G32*15%)*F32</f>
        <v>47573.435</v>
      </c>
      <c r="U32" s="93">
        <f>$F32*$H$2</f>
        <v>4277</v>
      </c>
      <c r="V32" s="93">
        <f>$H32*$S$2+$I32*$T$2+$K32*$U$2+$M32+$P32*$V$2+N32*F32</f>
        <v>1500</v>
      </c>
      <c r="W32" s="93">
        <f t="shared" si="2"/>
        <v>53350.435</v>
      </c>
      <c r="X32" s="93">
        <f t="shared" si="3"/>
        <v>72790.9</v>
      </c>
      <c r="Y32" s="111"/>
      <c r="Z32" s="111"/>
      <c r="AA32" s="111"/>
      <c r="AB32" s="111"/>
      <c r="AC32" s="111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1"/>
      <c r="BA32" s="111"/>
      <c r="BB32" s="111"/>
      <c r="BC32" s="111"/>
      <c r="BD32" s="111"/>
      <c r="BE32" s="111"/>
      <c r="BF32" s="111"/>
      <c r="BG32" s="111"/>
      <c r="BH32" s="111"/>
      <c r="BI32" s="118"/>
      <c r="BJ32" s="118"/>
      <c r="BK32" s="118"/>
      <c r="BL32" s="118"/>
      <c r="BM32" s="118"/>
      <c r="BN32" s="118"/>
      <c r="BO32" s="118"/>
      <c r="BP32" s="118"/>
    </row>
    <row r="33" s="73" customFormat="1" customHeight="1" spans="1:68">
      <c r="A33" s="90" t="s">
        <v>227</v>
      </c>
      <c r="B33" s="91">
        <f t="shared" si="4"/>
        <v>43674</v>
      </c>
      <c r="C33" s="91">
        <f t="shared" si="0"/>
        <v>43680</v>
      </c>
      <c r="D33" s="85">
        <v>7</v>
      </c>
      <c r="E33" s="85">
        <v>130</v>
      </c>
      <c r="F33" s="96">
        <f t="shared" si="1"/>
        <v>910</v>
      </c>
      <c r="G33" s="96">
        <v>79.99</v>
      </c>
      <c r="H33" s="96"/>
      <c r="I33" s="96"/>
      <c r="J33" s="96"/>
      <c r="K33" s="96"/>
      <c r="L33" s="96"/>
      <c r="M33" s="96">
        <v>1500</v>
      </c>
      <c r="N33" s="96"/>
      <c r="O33" s="96"/>
      <c r="P33" s="96"/>
      <c r="Q33" s="96"/>
      <c r="R33" s="96"/>
      <c r="S33" s="109"/>
      <c r="T33" s="93">
        <f>($F$2+$G$2+$J$2+$G33*15%)*F33</f>
        <v>47573.435</v>
      </c>
      <c r="U33" s="93">
        <f>$F33*$H$2</f>
        <v>4277</v>
      </c>
      <c r="V33" s="93">
        <f>$H33*$S$2+$I33*$T$2+$K33*$U$2+$M33+$P33*$V$2+N33*F33</f>
        <v>1500</v>
      </c>
      <c r="W33" s="93">
        <f t="shared" si="2"/>
        <v>53350.435</v>
      </c>
      <c r="X33" s="93">
        <f t="shared" si="3"/>
        <v>72790.9</v>
      </c>
      <c r="Y33" s="111"/>
      <c r="Z33" s="111"/>
      <c r="AA33" s="111"/>
      <c r="AB33" s="111"/>
      <c r="AC33" s="111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1"/>
      <c r="BA33" s="111"/>
      <c r="BB33" s="111"/>
      <c r="BC33" s="111"/>
      <c r="BD33" s="111"/>
      <c r="BE33" s="111"/>
      <c r="BF33" s="111"/>
      <c r="BG33" s="111"/>
      <c r="BH33" s="111"/>
      <c r="BI33" s="118"/>
      <c r="BJ33" s="118"/>
      <c r="BK33" s="118"/>
      <c r="BL33" s="118"/>
      <c r="BM33" s="118"/>
      <c r="BN33" s="118"/>
      <c r="BO33" s="118"/>
      <c r="BP33" s="118"/>
    </row>
    <row r="34" s="73" customFormat="1" customHeight="1" spans="1:68">
      <c r="A34" s="90" t="s">
        <v>691</v>
      </c>
      <c r="B34" s="91">
        <f t="shared" si="4"/>
        <v>43681</v>
      </c>
      <c r="C34" s="91">
        <f t="shared" si="0"/>
        <v>43687</v>
      </c>
      <c r="D34" s="85">
        <v>7</v>
      </c>
      <c r="E34" s="85">
        <v>120</v>
      </c>
      <c r="F34" s="96">
        <f t="shared" si="1"/>
        <v>840</v>
      </c>
      <c r="G34" s="96">
        <v>79.99</v>
      </c>
      <c r="H34" s="96"/>
      <c r="I34" s="96"/>
      <c r="J34" s="96"/>
      <c r="K34" s="96"/>
      <c r="L34" s="96"/>
      <c r="M34" s="96">
        <v>1500</v>
      </c>
      <c r="N34" s="96"/>
      <c r="O34" s="96"/>
      <c r="P34" s="96"/>
      <c r="Q34" s="96"/>
      <c r="R34" s="96"/>
      <c r="S34" s="109"/>
      <c r="T34" s="93">
        <f>($F$2+$G$2+$J$2+$G34*15%)*F34</f>
        <v>43913.94</v>
      </c>
      <c r="U34" s="93">
        <f>$F34*$H$2</f>
        <v>3948</v>
      </c>
      <c r="V34" s="93">
        <f>$H34*$S$2+$I34*$T$2+$K34*$U$2+$M34+$P34*$V$2+N34*F34</f>
        <v>1500</v>
      </c>
      <c r="W34" s="93">
        <f t="shared" si="2"/>
        <v>49361.94</v>
      </c>
      <c r="X34" s="93">
        <f t="shared" si="3"/>
        <v>67191.6</v>
      </c>
      <c r="Y34" s="111"/>
      <c r="Z34" s="111"/>
      <c r="AA34" s="111"/>
      <c r="AB34" s="111"/>
      <c r="AC34" s="111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1"/>
      <c r="BA34" s="111"/>
      <c r="BB34" s="111"/>
      <c r="BC34" s="111"/>
      <c r="BD34" s="111"/>
      <c r="BE34" s="111"/>
      <c r="BF34" s="111"/>
      <c r="BG34" s="111"/>
      <c r="BH34" s="111"/>
      <c r="BI34" s="118"/>
      <c r="BJ34" s="118"/>
      <c r="BK34" s="118"/>
      <c r="BL34" s="118"/>
      <c r="BM34" s="118"/>
      <c r="BN34" s="118"/>
      <c r="BO34" s="118"/>
      <c r="BP34" s="118"/>
    </row>
    <row r="35" s="73" customFormat="1" customHeight="1" spans="1:68">
      <c r="A35" s="90" t="s">
        <v>214</v>
      </c>
      <c r="B35" s="91">
        <f t="shared" si="4"/>
        <v>43688</v>
      </c>
      <c r="C35" s="91">
        <f t="shared" si="0"/>
        <v>43694</v>
      </c>
      <c r="D35" s="85">
        <v>7</v>
      </c>
      <c r="E35" s="85">
        <v>120</v>
      </c>
      <c r="F35" s="96">
        <f t="shared" si="1"/>
        <v>840</v>
      </c>
      <c r="G35" s="96">
        <v>79.99</v>
      </c>
      <c r="H35" s="96"/>
      <c r="I35" s="96"/>
      <c r="J35" s="96"/>
      <c r="K35" s="96"/>
      <c r="L35" s="96"/>
      <c r="M35" s="96">
        <v>1500</v>
      </c>
      <c r="N35" s="96"/>
      <c r="O35" s="96"/>
      <c r="P35" s="96"/>
      <c r="Q35" s="96"/>
      <c r="R35" s="96"/>
      <c r="S35" s="109"/>
      <c r="T35" s="93">
        <f>($F$2+$G$2+$J$2+$G35*15%)*F35</f>
        <v>43913.94</v>
      </c>
      <c r="U35" s="93">
        <f>$F35*$H$2</f>
        <v>3948</v>
      </c>
      <c r="V35" s="93">
        <f>$H35*$S$2+$I35*$T$2+$K35*$U$2+$M35+$P35*$V$2+N35*F35</f>
        <v>1500</v>
      </c>
      <c r="W35" s="93">
        <f t="shared" si="2"/>
        <v>49361.94</v>
      </c>
      <c r="X35" s="93">
        <f t="shared" si="3"/>
        <v>67191.6</v>
      </c>
      <c r="Y35" s="111"/>
      <c r="Z35" s="111"/>
      <c r="AA35" s="111"/>
      <c r="AB35" s="111"/>
      <c r="AC35" s="111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1"/>
      <c r="BA35" s="111"/>
      <c r="BB35" s="111"/>
      <c r="BC35" s="111"/>
      <c r="BD35" s="111"/>
      <c r="BE35" s="111"/>
      <c r="BF35" s="111"/>
      <c r="BG35" s="111"/>
      <c r="BH35" s="111"/>
      <c r="BI35" s="118"/>
      <c r="BJ35" s="118"/>
      <c r="BK35" s="118"/>
      <c r="BL35" s="118"/>
      <c r="BM35" s="118"/>
      <c r="BN35" s="118"/>
      <c r="BO35" s="118"/>
      <c r="BP35" s="118"/>
    </row>
    <row r="36" s="73" customFormat="1" customHeight="1" spans="1:68">
      <c r="A36" s="90" t="s">
        <v>692</v>
      </c>
      <c r="B36" s="91">
        <f t="shared" si="4"/>
        <v>43695</v>
      </c>
      <c r="C36" s="91">
        <f t="shared" si="0"/>
        <v>43701</v>
      </c>
      <c r="D36" s="85">
        <v>7</v>
      </c>
      <c r="E36" s="85">
        <v>120</v>
      </c>
      <c r="F36" s="96">
        <f t="shared" si="1"/>
        <v>840</v>
      </c>
      <c r="G36" s="96">
        <v>79.99</v>
      </c>
      <c r="H36" s="96"/>
      <c r="I36" s="96"/>
      <c r="J36" s="96"/>
      <c r="K36" s="96"/>
      <c r="L36" s="96"/>
      <c r="M36" s="96">
        <v>1500</v>
      </c>
      <c r="N36" s="96"/>
      <c r="O36" s="96"/>
      <c r="P36" s="96"/>
      <c r="Q36" s="96"/>
      <c r="R36" s="96"/>
      <c r="S36" s="109"/>
      <c r="T36" s="93">
        <f>($F$2+$G$2+$J$2+$G36*15%)*F36</f>
        <v>43913.94</v>
      </c>
      <c r="U36" s="93">
        <f>$F36*$H$2</f>
        <v>3948</v>
      </c>
      <c r="V36" s="93">
        <f>$H36*$S$2+$I36*$T$2+$K36*$U$2+$M36+$P36*$V$2+N36*F36</f>
        <v>1500</v>
      </c>
      <c r="W36" s="93">
        <f t="shared" si="2"/>
        <v>49361.94</v>
      </c>
      <c r="X36" s="93">
        <f t="shared" si="3"/>
        <v>67191.6</v>
      </c>
      <c r="Y36" s="111"/>
      <c r="Z36" s="111"/>
      <c r="AA36" s="111"/>
      <c r="AB36" s="111"/>
      <c r="AC36" s="111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1"/>
      <c r="BA36" s="111"/>
      <c r="BB36" s="111"/>
      <c r="BC36" s="111"/>
      <c r="BD36" s="111"/>
      <c r="BE36" s="111"/>
      <c r="BF36" s="111"/>
      <c r="BG36" s="111"/>
      <c r="BH36" s="111"/>
      <c r="BI36" s="118"/>
      <c r="BJ36" s="118"/>
      <c r="BK36" s="118"/>
      <c r="BL36" s="118"/>
      <c r="BM36" s="118"/>
      <c r="BN36" s="118"/>
      <c r="BO36" s="118"/>
      <c r="BP36" s="118"/>
    </row>
    <row r="37" s="73" customFormat="1" customHeight="1" spans="1:68">
      <c r="A37" s="90" t="s">
        <v>488</v>
      </c>
      <c r="B37" s="91">
        <f t="shared" si="4"/>
        <v>43702</v>
      </c>
      <c r="C37" s="91">
        <f t="shared" si="0"/>
        <v>43708</v>
      </c>
      <c r="D37" s="85">
        <v>7</v>
      </c>
      <c r="E37" s="85">
        <v>120</v>
      </c>
      <c r="F37" s="96">
        <f t="shared" si="1"/>
        <v>840</v>
      </c>
      <c r="G37" s="96">
        <v>79.99</v>
      </c>
      <c r="H37" s="96"/>
      <c r="I37" s="96"/>
      <c r="J37" s="96"/>
      <c r="K37" s="96"/>
      <c r="L37" s="96"/>
      <c r="M37" s="96">
        <v>1500</v>
      </c>
      <c r="N37" s="96"/>
      <c r="O37" s="96"/>
      <c r="P37" s="96"/>
      <c r="Q37" s="96"/>
      <c r="R37" s="96"/>
      <c r="S37" s="109"/>
      <c r="T37" s="93">
        <f>($F$2+$G$2+$J$2+$G37*15%)*F37</f>
        <v>43913.94</v>
      </c>
      <c r="U37" s="93">
        <f>$F37*$H$2</f>
        <v>3948</v>
      </c>
      <c r="V37" s="93">
        <f>$H37*$S$2+$I37*$T$2+$K37*$U$2+$M37+$P37*$V$2+N37*F37</f>
        <v>1500</v>
      </c>
      <c r="W37" s="93">
        <f t="shared" si="2"/>
        <v>49361.94</v>
      </c>
      <c r="X37" s="93">
        <f t="shared" si="3"/>
        <v>67191.6</v>
      </c>
      <c r="Y37" s="111"/>
      <c r="Z37" s="111"/>
      <c r="AA37" s="111"/>
      <c r="AB37" s="111"/>
      <c r="AC37" s="111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1"/>
      <c r="BA37" s="111"/>
      <c r="BB37" s="111"/>
      <c r="BC37" s="111"/>
      <c r="BD37" s="111"/>
      <c r="BE37" s="111"/>
      <c r="BF37" s="111"/>
      <c r="BG37" s="111"/>
      <c r="BH37" s="111"/>
      <c r="BI37" s="118"/>
      <c r="BJ37" s="118"/>
      <c r="BK37" s="118"/>
      <c r="BL37" s="118"/>
      <c r="BM37" s="118"/>
      <c r="BN37" s="118"/>
      <c r="BO37" s="118"/>
      <c r="BP37" s="118"/>
    </row>
    <row r="38" s="73" customFormat="1" customHeight="1" spans="1:68">
      <c r="A38" s="90" t="s">
        <v>693</v>
      </c>
      <c r="B38" s="91">
        <f t="shared" si="4"/>
        <v>43709</v>
      </c>
      <c r="C38" s="91">
        <f t="shared" si="0"/>
        <v>43715</v>
      </c>
      <c r="D38" s="85">
        <v>7</v>
      </c>
      <c r="E38" s="85">
        <v>140</v>
      </c>
      <c r="F38" s="96">
        <f t="shared" si="1"/>
        <v>980</v>
      </c>
      <c r="G38" s="96">
        <v>79.99</v>
      </c>
      <c r="H38" s="96"/>
      <c r="I38" s="96"/>
      <c r="J38" s="96"/>
      <c r="K38" s="96"/>
      <c r="L38" s="96"/>
      <c r="M38" s="96">
        <v>1500</v>
      </c>
      <c r="N38" s="96"/>
      <c r="O38" s="96"/>
      <c r="P38" s="96"/>
      <c r="Q38" s="96"/>
      <c r="R38" s="96"/>
      <c r="S38" s="109"/>
      <c r="T38" s="93">
        <f>($F$2+$G$2+$J$2+$G38*15%)*F38</f>
        <v>51232.93</v>
      </c>
      <c r="U38" s="93">
        <f>$F38*$H$2</f>
        <v>4606</v>
      </c>
      <c r="V38" s="93">
        <f>$H38*$S$2+$I38*$T$2+$K38*$U$2+$M38+$P38*$V$2+N38*F38</f>
        <v>1500</v>
      </c>
      <c r="W38" s="93">
        <f t="shared" si="2"/>
        <v>57338.93</v>
      </c>
      <c r="X38" s="93">
        <f t="shared" si="3"/>
        <v>78390.2</v>
      </c>
      <c r="Y38" s="111"/>
      <c r="Z38" s="111"/>
      <c r="AA38" s="111"/>
      <c r="AB38" s="111"/>
      <c r="AC38" s="111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1"/>
      <c r="BA38" s="111"/>
      <c r="BB38" s="111"/>
      <c r="BC38" s="111"/>
      <c r="BD38" s="111"/>
      <c r="BE38" s="111"/>
      <c r="BF38" s="111"/>
      <c r="BG38" s="111"/>
      <c r="BH38" s="111"/>
      <c r="BI38" s="118"/>
      <c r="BJ38" s="118"/>
      <c r="BK38" s="118"/>
      <c r="BL38" s="118"/>
      <c r="BM38" s="118"/>
      <c r="BN38" s="118"/>
      <c r="BO38" s="118"/>
      <c r="BP38" s="118"/>
    </row>
    <row r="39" s="73" customFormat="1" customHeight="1" spans="1:68">
      <c r="A39" s="90" t="s">
        <v>357</v>
      </c>
      <c r="B39" s="91">
        <f t="shared" si="4"/>
        <v>43716</v>
      </c>
      <c r="C39" s="91">
        <f t="shared" si="0"/>
        <v>43722</v>
      </c>
      <c r="D39" s="85">
        <v>7</v>
      </c>
      <c r="E39" s="85">
        <v>140</v>
      </c>
      <c r="F39" s="96">
        <f t="shared" si="1"/>
        <v>980</v>
      </c>
      <c r="G39" s="96">
        <v>79.99</v>
      </c>
      <c r="H39" s="96"/>
      <c r="I39" s="96"/>
      <c r="J39" s="96"/>
      <c r="K39" s="96"/>
      <c r="L39" s="96"/>
      <c r="M39" s="96">
        <v>1500</v>
      </c>
      <c r="N39" s="96"/>
      <c r="O39" s="96"/>
      <c r="P39" s="96"/>
      <c r="Q39" s="96"/>
      <c r="R39" s="96"/>
      <c r="S39" s="109"/>
      <c r="T39" s="93">
        <f>($F$2+$G$2+$J$2+$G39*15%)*F39</f>
        <v>51232.93</v>
      </c>
      <c r="U39" s="93">
        <f>$F39*$H$2</f>
        <v>4606</v>
      </c>
      <c r="V39" s="93">
        <f>$H39*$S$2+$I39*$T$2+$K39*$U$2+$M39+$P39*$V$2+N39*F39</f>
        <v>1500</v>
      </c>
      <c r="W39" s="93">
        <f t="shared" si="2"/>
        <v>57338.93</v>
      </c>
      <c r="X39" s="93">
        <f t="shared" si="3"/>
        <v>78390.2</v>
      </c>
      <c r="Y39" s="111"/>
      <c r="Z39" s="111"/>
      <c r="AA39" s="111"/>
      <c r="AB39" s="111"/>
      <c r="AC39" s="111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1"/>
      <c r="BA39" s="111"/>
      <c r="BB39" s="111"/>
      <c r="BC39" s="111"/>
      <c r="BD39" s="111"/>
      <c r="BE39" s="111"/>
      <c r="BF39" s="111"/>
      <c r="BG39" s="111"/>
      <c r="BH39" s="111"/>
      <c r="BI39" s="118"/>
      <c r="BJ39" s="118"/>
      <c r="BK39" s="118"/>
      <c r="BL39" s="118"/>
      <c r="BM39" s="118"/>
      <c r="BN39" s="118"/>
      <c r="BO39" s="118"/>
      <c r="BP39" s="118"/>
    </row>
    <row r="40" s="73" customFormat="1" customHeight="1" spans="1:68">
      <c r="A40" s="90" t="s">
        <v>207</v>
      </c>
      <c r="B40" s="91">
        <f t="shared" si="4"/>
        <v>43723</v>
      </c>
      <c r="C40" s="91">
        <f t="shared" si="0"/>
        <v>43729</v>
      </c>
      <c r="D40" s="85">
        <v>7</v>
      </c>
      <c r="E40" s="85">
        <v>140</v>
      </c>
      <c r="F40" s="96">
        <f t="shared" si="1"/>
        <v>980</v>
      </c>
      <c r="G40" s="96">
        <v>79.99</v>
      </c>
      <c r="H40" s="96"/>
      <c r="I40" s="96"/>
      <c r="J40" s="96"/>
      <c r="K40" s="96"/>
      <c r="L40" s="96"/>
      <c r="M40" s="96">
        <v>1500</v>
      </c>
      <c r="N40" s="96"/>
      <c r="O40" s="96"/>
      <c r="P40" s="96"/>
      <c r="Q40" s="96"/>
      <c r="R40" s="96"/>
      <c r="S40" s="108"/>
      <c r="T40" s="93">
        <f>($F$2+$G$2+$J$2+$G40*15%)*F40</f>
        <v>51232.93</v>
      </c>
      <c r="U40" s="93">
        <f>$F40*$H$2</f>
        <v>4606</v>
      </c>
      <c r="V40" s="93">
        <f>$H40*$S$2+$I40*$T$2+$K40*$U$2+$M40+$P40*$V$2+N40*F40</f>
        <v>1500</v>
      </c>
      <c r="W40" s="93">
        <f t="shared" si="2"/>
        <v>57338.93</v>
      </c>
      <c r="X40" s="93">
        <f t="shared" si="3"/>
        <v>78390.2</v>
      </c>
      <c r="Y40" s="111"/>
      <c r="Z40" s="111"/>
      <c r="AA40" s="111"/>
      <c r="AB40" s="111"/>
      <c r="AC40" s="111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1"/>
      <c r="BA40" s="111"/>
      <c r="BB40" s="111"/>
      <c r="BC40" s="111"/>
      <c r="BD40" s="111"/>
      <c r="BE40" s="111"/>
      <c r="BF40" s="111"/>
      <c r="BG40" s="111"/>
      <c r="BH40" s="111"/>
      <c r="BI40" s="118"/>
      <c r="BJ40" s="118"/>
      <c r="BK40" s="118"/>
      <c r="BL40" s="118"/>
      <c r="BM40" s="118"/>
      <c r="BN40" s="118"/>
      <c r="BO40" s="118"/>
      <c r="BP40" s="118"/>
    </row>
    <row r="41" s="73" customFormat="1" customHeight="1" spans="1:68">
      <c r="A41" s="90" t="s">
        <v>466</v>
      </c>
      <c r="B41" s="91">
        <f t="shared" si="4"/>
        <v>43730</v>
      </c>
      <c r="C41" s="91">
        <f t="shared" si="0"/>
        <v>43736</v>
      </c>
      <c r="D41" s="85">
        <v>7</v>
      </c>
      <c r="E41" s="85">
        <v>140</v>
      </c>
      <c r="F41" s="96">
        <f t="shared" si="1"/>
        <v>980</v>
      </c>
      <c r="G41" s="96">
        <v>79.99</v>
      </c>
      <c r="H41" s="96"/>
      <c r="I41" s="96"/>
      <c r="J41" s="96"/>
      <c r="K41" s="96"/>
      <c r="L41" s="96"/>
      <c r="M41" s="96">
        <v>1500</v>
      </c>
      <c r="N41" s="96"/>
      <c r="O41" s="96"/>
      <c r="P41" s="96"/>
      <c r="Q41" s="96"/>
      <c r="R41" s="96"/>
      <c r="S41" s="76"/>
      <c r="T41" s="93">
        <f>($F$2+$G$2+$J$2+$G41*15%)*F41</f>
        <v>51232.93</v>
      </c>
      <c r="U41" s="93">
        <f>$F41*$H$2</f>
        <v>4606</v>
      </c>
      <c r="V41" s="93">
        <f>$H41*$S$2+$I41*$T$2+$K41*$U$2+$M41+$P41*$V$2+N41*F41</f>
        <v>1500</v>
      </c>
      <c r="W41" s="93">
        <f t="shared" si="2"/>
        <v>57338.93</v>
      </c>
      <c r="X41" s="93">
        <f t="shared" si="3"/>
        <v>78390.2</v>
      </c>
      <c r="Y41" s="111"/>
      <c r="Z41" s="111"/>
      <c r="AA41" s="111"/>
      <c r="AB41" s="111"/>
      <c r="AC41" s="111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1"/>
      <c r="BA41" s="111"/>
      <c r="BB41" s="111"/>
      <c r="BC41" s="111"/>
      <c r="BD41" s="111"/>
      <c r="BE41" s="111"/>
      <c r="BF41" s="111"/>
      <c r="BG41" s="111"/>
      <c r="BH41" s="111"/>
      <c r="BI41" s="118"/>
      <c r="BJ41" s="118"/>
      <c r="BK41" s="118"/>
      <c r="BL41" s="118"/>
      <c r="BM41" s="118"/>
      <c r="BN41" s="118"/>
      <c r="BO41" s="118"/>
      <c r="BP41" s="118"/>
    </row>
    <row r="42" s="73" customFormat="1" customHeight="1" spans="1:68">
      <c r="A42" s="90" t="s">
        <v>155</v>
      </c>
      <c r="B42" s="91">
        <f t="shared" si="4"/>
        <v>43737</v>
      </c>
      <c r="C42" s="91">
        <f t="shared" si="0"/>
        <v>43743</v>
      </c>
      <c r="D42" s="85">
        <v>7</v>
      </c>
      <c r="E42" s="85">
        <v>140</v>
      </c>
      <c r="F42" s="96">
        <f t="shared" si="1"/>
        <v>980</v>
      </c>
      <c r="G42" s="96">
        <v>79.99</v>
      </c>
      <c r="H42" s="96"/>
      <c r="I42" s="96"/>
      <c r="J42" s="96"/>
      <c r="K42" s="96"/>
      <c r="L42" s="96"/>
      <c r="M42" s="96">
        <v>1500</v>
      </c>
      <c r="N42" s="96"/>
      <c r="O42" s="96"/>
      <c r="P42" s="96"/>
      <c r="Q42" s="96"/>
      <c r="R42" s="96"/>
      <c r="S42" s="109"/>
      <c r="T42" s="93">
        <f>($F$2+$G$2+$J$2+$G42*15%)*F42</f>
        <v>51232.93</v>
      </c>
      <c r="U42" s="93">
        <f>$F42*$H$2</f>
        <v>4606</v>
      </c>
      <c r="V42" s="93">
        <f>$H42*$S$2+$I42*$T$2+$K42*$U$2+$M42+$P42*$V$2+N42*F42</f>
        <v>1500</v>
      </c>
      <c r="W42" s="93">
        <f t="shared" si="2"/>
        <v>57338.93</v>
      </c>
      <c r="X42" s="93">
        <f t="shared" si="3"/>
        <v>78390.2</v>
      </c>
      <c r="Y42" s="111"/>
      <c r="Z42" s="111"/>
      <c r="AA42" s="111"/>
      <c r="AB42" s="111"/>
      <c r="AC42" s="111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1"/>
      <c r="BA42" s="111"/>
      <c r="BB42" s="111"/>
      <c r="BC42" s="111"/>
      <c r="BD42" s="111"/>
      <c r="BE42" s="111"/>
      <c r="BF42" s="111"/>
      <c r="BG42" s="111"/>
      <c r="BH42" s="111"/>
      <c r="BI42" s="118"/>
      <c r="BJ42" s="118"/>
      <c r="BK42" s="118"/>
      <c r="BL42" s="118"/>
      <c r="BM42" s="118"/>
      <c r="BN42" s="118"/>
      <c r="BO42" s="118"/>
      <c r="BP42" s="118"/>
    </row>
    <row r="43" s="73" customFormat="1" customHeight="1" spans="1:68">
      <c r="A43" s="90" t="s">
        <v>694</v>
      </c>
      <c r="B43" s="91">
        <f t="shared" si="4"/>
        <v>43744</v>
      </c>
      <c r="C43" s="91">
        <f t="shared" si="0"/>
        <v>43750</v>
      </c>
      <c r="D43" s="85">
        <v>7</v>
      </c>
      <c r="E43" s="85">
        <v>140</v>
      </c>
      <c r="F43" s="96">
        <f t="shared" si="1"/>
        <v>980</v>
      </c>
      <c r="G43" s="96">
        <v>79.99</v>
      </c>
      <c r="H43" s="96"/>
      <c r="I43" s="96"/>
      <c r="J43" s="96"/>
      <c r="K43" s="96"/>
      <c r="L43" s="96"/>
      <c r="M43" s="96">
        <v>1500</v>
      </c>
      <c r="N43" s="96"/>
      <c r="O43" s="96"/>
      <c r="P43" s="96"/>
      <c r="Q43" s="96"/>
      <c r="R43" s="96"/>
      <c r="S43" s="109"/>
      <c r="T43" s="93">
        <f>($F$2+$G$2+$J$2+$G43*15%)*F43</f>
        <v>51232.93</v>
      </c>
      <c r="U43" s="93">
        <f>$F43*$H$2</f>
        <v>4606</v>
      </c>
      <c r="V43" s="93">
        <f>$H43*$S$2+$I43*$T$2+$K43*$U$2+$M43+$P43*$V$2+N43*F43</f>
        <v>1500</v>
      </c>
      <c r="W43" s="93">
        <f t="shared" si="2"/>
        <v>57338.93</v>
      </c>
      <c r="X43" s="93">
        <f t="shared" si="3"/>
        <v>78390.2</v>
      </c>
      <c r="Y43" s="111"/>
      <c r="Z43" s="111"/>
      <c r="AA43" s="111"/>
      <c r="AB43" s="111"/>
      <c r="AC43" s="111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1"/>
      <c r="BA43" s="111"/>
      <c r="BB43" s="111"/>
      <c r="BC43" s="111"/>
      <c r="BD43" s="111"/>
      <c r="BE43" s="111"/>
      <c r="BF43" s="111"/>
      <c r="BG43" s="111"/>
      <c r="BH43" s="111"/>
      <c r="BI43" s="118"/>
      <c r="BJ43" s="118"/>
      <c r="BK43" s="118"/>
      <c r="BL43" s="118"/>
      <c r="BM43" s="118"/>
      <c r="BN43" s="118"/>
      <c r="BO43" s="118"/>
      <c r="BP43" s="118"/>
    </row>
    <row r="44" s="73" customFormat="1" customHeight="1" spans="1:68">
      <c r="A44" s="90" t="s">
        <v>248</v>
      </c>
      <c r="B44" s="91">
        <f t="shared" si="4"/>
        <v>43751</v>
      </c>
      <c r="C44" s="91">
        <f t="shared" si="0"/>
        <v>43757</v>
      </c>
      <c r="D44" s="85">
        <v>7</v>
      </c>
      <c r="E44" s="85">
        <v>140</v>
      </c>
      <c r="F44" s="96">
        <f t="shared" si="1"/>
        <v>980</v>
      </c>
      <c r="G44" s="96">
        <v>79.99</v>
      </c>
      <c r="H44" s="96"/>
      <c r="I44" s="96"/>
      <c r="J44" s="96"/>
      <c r="K44" s="96"/>
      <c r="L44" s="96"/>
      <c r="M44" s="96">
        <v>1500</v>
      </c>
      <c r="N44" s="96"/>
      <c r="O44" s="96"/>
      <c r="P44" s="96"/>
      <c r="Q44" s="96"/>
      <c r="R44" s="96"/>
      <c r="S44" s="109"/>
      <c r="T44" s="93">
        <f>($F$2+$G$2+$J$2+$G44*15%)*F44</f>
        <v>51232.93</v>
      </c>
      <c r="U44" s="93">
        <f>$F44*$H$2</f>
        <v>4606</v>
      </c>
      <c r="V44" s="93">
        <f>$H44*$S$2+$I44*$T$2+$K44*$U$2+$M44+$P44*$V$2+N44*F44</f>
        <v>1500</v>
      </c>
      <c r="W44" s="93">
        <f t="shared" si="2"/>
        <v>57338.93</v>
      </c>
      <c r="X44" s="93">
        <f t="shared" si="3"/>
        <v>78390.2</v>
      </c>
      <c r="Y44" s="111"/>
      <c r="Z44" s="111"/>
      <c r="AA44" s="111"/>
      <c r="AB44" s="111"/>
      <c r="AC44" s="111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1"/>
      <c r="BA44" s="111"/>
      <c r="BB44" s="111"/>
      <c r="BC44" s="111"/>
      <c r="BD44" s="111"/>
      <c r="BE44" s="111"/>
      <c r="BF44" s="111"/>
      <c r="BG44" s="111"/>
      <c r="BH44" s="111"/>
      <c r="BI44" s="118"/>
      <c r="BJ44" s="118"/>
      <c r="BK44" s="118"/>
      <c r="BL44" s="118"/>
      <c r="BM44" s="118"/>
      <c r="BN44" s="118"/>
      <c r="BO44" s="118"/>
      <c r="BP44" s="118"/>
    </row>
    <row r="45" s="73" customFormat="1" customHeight="1" spans="1:68">
      <c r="A45" s="90" t="s">
        <v>695</v>
      </c>
      <c r="B45" s="91">
        <f t="shared" si="4"/>
        <v>43758</v>
      </c>
      <c r="C45" s="91">
        <f t="shared" si="0"/>
        <v>43764</v>
      </c>
      <c r="D45" s="85">
        <v>7</v>
      </c>
      <c r="E45" s="85">
        <v>140</v>
      </c>
      <c r="F45" s="96">
        <f t="shared" si="1"/>
        <v>980</v>
      </c>
      <c r="G45" s="96">
        <v>79.99</v>
      </c>
      <c r="H45" s="96"/>
      <c r="I45" s="96"/>
      <c r="J45" s="96"/>
      <c r="K45" s="96"/>
      <c r="L45" s="96"/>
      <c r="M45" s="96">
        <v>1500</v>
      </c>
      <c r="N45" s="96"/>
      <c r="O45" s="96"/>
      <c r="P45" s="96"/>
      <c r="Q45" s="96"/>
      <c r="R45" s="96"/>
      <c r="S45" s="109"/>
      <c r="T45" s="93">
        <f>($F$2+$G$2+$J$2+$G45*15%)*F45</f>
        <v>51232.93</v>
      </c>
      <c r="U45" s="93">
        <f>$F45*$H$2</f>
        <v>4606</v>
      </c>
      <c r="V45" s="93">
        <f>$H45*$S$2+$I45*$T$2+$K45*$U$2+$M45+$P45*$V$2+N45*F45</f>
        <v>1500</v>
      </c>
      <c r="W45" s="93">
        <f t="shared" si="2"/>
        <v>57338.93</v>
      </c>
      <c r="X45" s="93">
        <f t="shared" si="3"/>
        <v>78390.2</v>
      </c>
      <c r="Y45" s="111"/>
      <c r="Z45" s="111"/>
      <c r="AA45" s="111"/>
      <c r="AB45" s="111"/>
      <c r="AC45" s="111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1"/>
      <c r="BA45" s="111"/>
      <c r="BB45" s="111"/>
      <c r="BC45" s="111"/>
      <c r="BD45" s="111"/>
      <c r="BE45" s="111"/>
      <c r="BF45" s="111"/>
      <c r="BG45" s="111"/>
      <c r="BH45" s="111"/>
      <c r="BI45" s="118"/>
      <c r="BJ45" s="118"/>
      <c r="BK45" s="118"/>
      <c r="BL45" s="118"/>
      <c r="BM45" s="118"/>
      <c r="BN45" s="118"/>
      <c r="BO45" s="118"/>
      <c r="BP45" s="118"/>
    </row>
    <row r="46" s="73" customFormat="1" customHeight="1" spans="1:68">
      <c r="A46" s="90" t="s">
        <v>696</v>
      </c>
      <c r="B46" s="91">
        <f t="shared" si="4"/>
        <v>43765</v>
      </c>
      <c r="C46" s="91">
        <f t="shared" si="0"/>
        <v>43771</v>
      </c>
      <c r="D46" s="85">
        <v>7</v>
      </c>
      <c r="E46" s="85">
        <v>140</v>
      </c>
      <c r="F46" s="96">
        <f t="shared" si="1"/>
        <v>980</v>
      </c>
      <c r="G46" s="96">
        <v>79.99</v>
      </c>
      <c r="H46" s="96"/>
      <c r="I46" s="96"/>
      <c r="J46" s="96"/>
      <c r="K46" s="96"/>
      <c r="L46" s="96"/>
      <c r="M46" s="96">
        <v>1500</v>
      </c>
      <c r="N46" s="96"/>
      <c r="O46" s="96"/>
      <c r="P46" s="96"/>
      <c r="Q46" s="96"/>
      <c r="R46" s="96"/>
      <c r="S46" s="109"/>
      <c r="T46" s="93">
        <f>($F$2+$G$2+$J$2+$G46*15%)*F46</f>
        <v>51232.93</v>
      </c>
      <c r="U46" s="93">
        <f>$F46*$H$2</f>
        <v>4606</v>
      </c>
      <c r="V46" s="93">
        <f>$H46*$S$2+$I46*$T$2+$K46*$U$2+$M46+$P46*$V$2+N46*F46</f>
        <v>1500</v>
      </c>
      <c r="W46" s="93">
        <f t="shared" si="2"/>
        <v>57338.93</v>
      </c>
      <c r="X46" s="93">
        <f t="shared" si="3"/>
        <v>78390.2</v>
      </c>
      <c r="Y46" s="111"/>
      <c r="Z46" s="111"/>
      <c r="AA46" s="111"/>
      <c r="AB46" s="111"/>
      <c r="AC46" s="111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1"/>
      <c r="BA46" s="111"/>
      <c r="BB46" s="111"/>
      <c r="BC46" s="111"/>
      <c r="BD46" s="111"/>
      <c r="BE46" s="111"/>
      <c r="BF46" s="111"/>
      <c r="BG46" s="111"/>
      <c r="BH46" s="111"/>
      <c r="BI46" s="118"/>
      <c r="BJ46" s="118"/>
      <c r="BK46" s="118"/>
      <c r="BL46" s="118"/>
      <c r="BM46" s="118"/>
      <c r="BN46" s="118"/>
      <c r="BO46" s="118"/>
      <c r="BP46" s="118"/>
    </row>
    <row r="47" s="73" customFormat="1" customHeight="1" spans="1:68">
      <c r="A47" s="90" t="s">
        <v>201</v>
      </c>
      <c r="B47" s="91">
        <f t="shared" si="4"/>
        <v>43772</v>
      </c>
      <c r="C47" s="91">
        <f t="shared" si="0"/>
        <v>43778</v>
      </c>
      <c r="D47" s="85">
        <v>7</v>
      </c>
      <c r="E47" s="85">
        <v>140</v>
      </c>
      <c r="F47" s="96">
        <f t="shared" si="1"/>
        <v>980</v>
      </c>
      <c r="G47" s="96">
        <v>79.99</v>
      </c>
      <c r="H47" s="96"/>
      <c r="I47" s="96"/>
      <c r="J47" s="96"/>
      <c r="K47" s="96"/>
      <c r="L47" s="96"/>
      <c r="M47" s="96">
        <v>1500</v>
      </c>
      <c r="N47" s="96"/>
      <c r="O47" s="96"/>
      <c r="P47" s="96"/>
      <c r="Q47" s="96"/>
      <c r="R47" s="96"/>
      <c r="S47" s="109"/>
      <c r="T47" s="93">
        <f>($F$2+$G$2+$J$2+$G47*15%)*F47</f>
        <v>51232.93</v>
      </c>
      <c r="U47" s="93">
        <f>$F47*$H$2</f>
        <v>4606</v>
      </c>
      <c r="V47" s="93">
        <f>$H47*$S$2+$I47*$T$2+$K47*$U$2+$M47+$P47*$V$2+N47*F47</f>
        <v>1500</v>
      </c>
      <c r="W47" s="93">
        <f t="shared" si="2"/>
        <v>57338.93</v>
      </c>
      <c r="X47" s="93">
        <f t="shared" si="3"/>
        <v>78390.2</v>
      </c>
      <c r="Y47" s="111"/>
      <c r="Z47" s="111"/>
      <c r="AA47" s="111"/>
      <c r="AB47" s="111"/>
      <c r="AC47" s="111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1"/>
      <c r="BA47" s="111"/>
      <c r="BB47" s="111"/>
      <c r="BC47" s="111"/>
      <c r="BD47" s="111"/>
      <c r="BE47" s="111"/>
      <c r="BF47" s="111"/>
      <c r="BG47" s="111"/>
      <c r="BH47" s="111"/>
      <c r="BI47" s="118"/>
      <c r="BJ47" s="118"/>
      <c r="BK47" s="118"/>
      <c r="BL47" s="118"/>
      <c r="BM47" s="118"/>
      <c r="BN47" s="118"/>
      <c r="BO47" s="118"/>
      <c r="BP47" s="118"/>
    </row>
    <row r="48" s="73" customFormat="1" customHeight="1" spans="1:68">
      <c r="A48" s="90" t="s">
        <v>335</v>
      </c>
      <c r="B48" s="91">
        <f t="shared" si="4"/>
        <v>43779</v>
      </c>
      <c r="C48" s="91">
        <f t="shared" si="0"/>
        <v>43785</v>
      </c>
      <c r="D48" s="85">
        <v>7</v>
      </c>
      <c r="E48" s="85">
        <v>140</v>
      </c>
      <c r="F48" s="96">
        <f t="shared" si="1"/>
        <v>980</v>
      </c>
      <c r="G48" s="96">
        <v>79.99</v>
      </c>
      <c r="H48" s="96"/>
      <c r="I48" s="96"/>
      <c r="J48" s="96"/>
      <c r="K48" s="96"/>
      <c r="L48" s="96"/>
      <c r="M48" s="96">
        <v>1500</v>
      </c>
      <c r="N48" s="96"/>
      <c r="O48" s="96"/>
      <c r="P48" s="96"/>
      <c r="Q48" s="96"/>
      <c r="R48" s="96"/>
      <c r="S48" s="109"/>
      <c r="T48" s="93">
        <f>($F$2+$G$2+$J$2+$G48*15%)*F48</f>
        <v>51232.93</v>
      </c>
      <c r="U48" s="93">
        <f>$F48*$H$2</f>
        <v>4606</v>
      </c>
      <c r="V48" s="93">
        <f>$H48*$S$2+$I48*$T$2+$K48*$U$2+$M48+$P48*$V$2+N48*F48</f>
        <v>1500</v>
      </c>
      <c r="W48" s="93">
        <f t="shared" si="2"/>
        <v>57338.93</v>
      </c>
      <c r="X48" s="93">
        <f t="shared" si="3"/>
        <v>78390.2</v>
      </c>
      <c r="Y48" s="111"/>
      <c r="Z48" s="111"/>
      <c r="AA48" s="111"/>
      <c r="AB48" s="111"/>
      <c r="AC48" s="111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1"/>
      <c r="BA48" s="111"/>
      <c r="BB48" s="111"/>
      <c r="BC48" s="111"/>
      <c r="BD48" s="111"/>
      <c r="BE48" s="111"/>
      <c r="BF48" s="111"/>
      <c r="BG48" s="111"/>
      <c r="BH48" s="111"/>
      <c r="BI48" s="118"/>
      <c r="BJ48" s="118"/>
      <c r="BK48" s="118"/>
      <c r="BL48" s="118"/>
      <c r="BM48" s="118"/>
      <c r="BN48" s="118"/>
      <c r="BO48" s="118"/>
      <c r="BP48" s="118"/>
    </row>
    <row r="49" s="73" customFormat="1" customHeight="1" spans="1:68">
      <c r="A49" s="90" t="s">
        <v>221</v>
      </c>
      <c r="B49" s="91">
        <f t="shared" si="4"/>
        <v>43786</v>
      </c>
      <c r="C49" s="91">
        <f t="shared" si="0"/>
        <v>43792</v>
      </c>
      <c r="D49" s="85">
        <v>7</v>
      </c>
      <c r="E49" s="85">
        <v>140</v>
      </c>
      <c r="F49" s="96">
        <f t="shared" si="1"/>
        <v>980</v>
      </c>
      <c r="G49" s="96">
        <v>79.99</v>
      </c>
      <c r="H49" s="96"/>
      <c r="I49" s="96"/>
      <c r="J49" s="96"/>
      <c r="K49" s="96"/>
      <c r="L49" s="96"/>
      <c r="M49" s="96">
        <v>1500</v>
      </c>
      <c r="N49" s="96"/>
      <c r="O49" s="96"/>
      <c r="P49" s="96"/>
      <c r="Q49" s="96"/>
      <c r="R49" s="96"/>
      <c r="S49" s="109"/>
      <c r="T49" s="93">
        <f>($F$2+$G$2+$J$2+$G49*15%)*F49</f>
        <v>51232.93</v>
      </c>
      <c r="U49" s="93">
        <f>$F49*$H$2</f>
        <v>4606</v>
      </c>
      <c r="V49" s="93">
        <f>$H49*$S$2+$I49*$T$2+$K49*$U$2+$M49+$P49*$V$2+N49*F49</f>
        <v>1500</v>
      </c>
      <c r="W49" s="93">
        <f t="shared" si="2"/>
        <v>57338.93</v>
      </c>
      <c r="X49" s="93">
        <f t="shared" si="3"/>
        <v>78390.2</v>
      </c>
      <c r="Y49" s="111"/>
      <c r="Z49" s="111"/>
      <c r="AA49" s="111"/>
      <c r="AB49" s="111"/>
      <c r="AC49" s="111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1"/>
      <c r="BA49" s="111"/>
      <c r="BB49" s="111"/>
      <c r="BC49" s="111"/>
      <c r="BD49" s="111"/>
      <c r="BE49" s="111"/>
      <c r="BF49" s="111"/>
      <c r="BG49" s="111"/>
      <c r="BH49" s="111"/>
      <c r="BI49" s="118"/>
      <c r="BJ49" s="118"/>
      <c r="BK49" s="118"/>
      <c r="BL49" s="118"/>
      <c r="BM49" s="118"/>
      <c r="BN49" s="118"/>
      <c r="BO49" s="118"/>
      <c r="BP49" s="118"/>
    </row>
    <row r="50" s="73" customFormat="1" customHeight="1" spans="1:68">
      <c r="A50" s="90" t="s">
        <v>697</v>
      </c>
      <c r="B50" s="91">
        <f t="shared" si="4"/>
        <v>43793</v>
      </c>
      <c r="C50" s="91">
        <f t="shared" si="0"/>
        <v>43799</v>
      </c>
      <c r="D50" s="85">
        <v>7</v>
      </c>
      <c r="E50" s="85">
        <v>140</v>
      </c>
      <c r="F50" s="96">
        <f t="shared" si="1"/>
        <v>980</v>
      </c>
      <c r="G50" s="96">
        <v>79.99</v>
      </c>
      <c r="H50" s="96"/>
      <c r="I50" s="96"/>
      <c r="J50" s="96"/>
      <c r="K50" s="96"/>
      <c r="L50" s="96"/>
      <c r="M50" s="96">
        <v>1500</v>
      </c>
      <c r="N50" s="96"/>
      <c r="O50" s="96"/>
      <c r="P50" s="96"/>
      <c r="Q50" s="96"/>
      <c r="R50" s="96"/>
      <c r="S50" s="109"/>
      <c r="T50" s="93">
        <f>($F$2+$G$2+$J$2+$G50*15%)*F50</f>
        <v>51232.93</v>
      </c>
      <c r="U50" s="93">
        <f>$F50*$H$2</f>
        <v>4606</v>
      </c>
      <c r="V50" s="93">
        <f>$H50*$S$2+$I50*$T$2+$K50*$U$2+$M50+$P50*$V$2+N50*F50</f>
        <v>1500</v>
      </c>
      <c r="W50" s="93">
        <f t="shared" si="2"/>
        <v>57338.93</v>
      </c>
      <c r="X50" s="93">
        <f t="shared" si="3"/>
        <v>78390.2</v>
      </c>
      <c r="Y50" s="111"/>
      <c r="Z50" s="111"/>
      <c r="AA50" s="111"/>
      <c r="AB50" s="111"/>
      <c r="AC50" s="111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116"/>
      <c r="AV50" s="116"/>
      <c r="AW50" s="116"/>
      <c r="AX50" s="116"/>
      <c r="AY50" s="116"/>
      <c r="AZ50" s="111"/>
      <c r="BA50" s="111"/>
      <c r="BB50" s="111"/>
      <c r="BC50" s="111"/>
      <c r="BD50" s="111"/>
      <c r="BE50" s="111"/>
      <c r="BF50" s="111"/>
      <c r="BG50" s="111"/>
      <c r="BH50" s="111"/>
      <c r="BI50" s="118"/>
      <c r="BJ50" s="118"/>
      <c r="BK50" s="118"/>
      <c r="BL50" s="118"/>
      <c r="BM50" s="118"/>
      <c r="BN50" s="118"/>
      <c r="BO50" s="118"/>
      <c r="BP50" s="118"/>
    </row>
    <row r="51" s="73" customFormat="1" customHeight="1" spans="1:68">
      <c r="A51" s="90" t="s">
        <v>220</v>
      </c>
      <c r="B51" s="91">
        <f t="shared" si="4"/>
        <v>43800</v>
      </c>
      <c r="C51" s="91">
        <f t="shared" si="0"/>
        <v>43806</v>
      </c>
      <c r="D51" s="85">
        <v>7</v>
      </c>
      <c r="E51" s="85">
        <v>140</v>
      </c>
      <c r="F51" s="96">
        <f t="shared" si="1"/>
        <v>980</v>
      </c>
      <c r="G51" s="96">
        <v>79.99</v>
      </c>
      <c r="H51" s="96"/>
      <c r="I51" s="96"/>
      <c r="J51" s="96"/>
      <c r="K51" s="96"/>
      <c r="L51" s="96"/>
      <c r="M51" s="96">
        <v>1500</v>
      </c>
      <c r="N51" s="96"/>
      <c r="O51" s="96"/>
      <c r="P51" s="96"/>
      <c r="Q51" s="96"/>
      <c r="R51" s="96"/>
      <c r="S51" s="109"/>
      <c r="T51" s="93">
        <f>($F$2+$G$2+$J$2+$G51*15%)*F51</f>
        <v>51232.93</v>
      </c>
      <c r="U51" s="93">
        <f>$F51*$H$2</f>
        <v>4606</v>
      </c>
      <c r="V51" s="93">
        <f>$H51*$S$2+$I51*$T$2+$K51*$U$2+$M51+$P51*$V$2+N51*F51</f>
        <v>1500</v>
      </c>
      <c r="W51" s="93">
        <f t="shared" si="2"/>
        <v>57338.93</v>
      </c>
      <c r="X51" s="93">
        <f t="shared" si="3"/>
        <v>78390.2</v>
      </c>
      <c r="Y51" s="111"/>
      <c r="Z51" s="111"/>
      <c r="AA51" s="111"/>
      <c r="AB51" s="111"/>
      <c r="AC51" s="111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116"/>
      <c r="AV51" s="116"/>
      <c r="AW51" s="116"/>
      <c r="AX51" s="116"/>
      <c r="AY51" s="116"/>
      <c r="AZ51" s="111"/>
      <c r="BA51" s="111"/>
      <c r="BB51" s="111"/>
      <c r="BC51" s="111"/>
      <c r="BD51" s="111"/>
      <c r="BE51" s="111"/>
      <c r="BF51" s="111"/>
      <c r="BG51" s="111"/>
      <c r="BH51" s="111"/>
      <c r="BI51" s="118"/>
      <c r="BJ51" s="118"/>
      <c r="BK51" s="118"/>
      <c r="BL51" s="118"/>
      <c r="BM51" s="118"/>
      <c r="BN51" s="118"/>
      <c r="BO51" s="118"/>
      <c r="BP51" s="118"/>
    </row>
    <row r="52" s="73" customFormat="1" customHeight="1" spans="1:68">
      <c r="A52" s="90" t="s">
        <v>698</v>
      </c>
      <c r="B52" s="91">
        <f t="shared" si="4"/>
        <v>43807</v>
      </c>
      <c r="C52" s="91">
        <f t="shared" si="0"/>
        <v>43813</v>
      </c>
      <c r="D52" s="85">
        <v>7</v>
      </c>
      <c r="E52" s="85">
        <v>140</v>
      </c>
      <c r="F52" s="96">
        <f t="shared" si="1"/>
        <v>980</v>
      </c>
      <c r="G52" s="96">
        <v>79.99</v>
      </c>
      <c r="H52" s="96"/>
      <c r="I52" s="96"/>
      <c r="J52" s="96"/>
      <c r="K52" s="96"/>
      <c r="L52" s="96"/>
      <c r="M52" s="96">
        <v>1500</v>
      </c>
      <c r="N52" s="96"/>
      <c r="O52" s="96"/>
      <c r="P52" s="96"/>
      <c r="Q52" s="96"/>
      <c r="R52" s="96"/>
      <c r="S52" s="109"/>
      <c r="T52" s="93">
        <f>($F$2+$G$2+$J$2+$G52*15%)*F52</f>
        <v>51232.93</v>
      </c>
      <c r="U52" s="93">
        <f>$F52*$H$2</f>
        <v>4606</v>
      </c>
      <c r="V52" s="93">
        <f>$H52*$S$2+$I52*$T$2+$K52*$U$2+$M52+$P52*$V$2+N52*F52</f>
        <v>1500</v>
      </c>
      <c r="W52" s="93">
        <f t="shared" si="2"/>
        <v>57338.93</v>
      </c>
      <c r="X52" s="93">
        <f t="shared" si="3"/>
        <v>78390.2</v>
      </c>
      <c r="Y52" s="111"/>
      <c r="Z52" s="111"/>
      <c r="AA52" s="111"/>
      <c r="AB52" s="111"/>
      <c r="AC52" s="111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1"/>
      <c r="BA52" s="111"/>
      <c r="BB52" s="111"/>
      <c r="BC52" s="111"/>
      <c r="BD52" s="111"/>
      <c r="BE52" s="111"/>
      <c r="BF52" s="111"/>
      <c r="BG52" s="111"/>
      <c r="BH52" s="111"/>
      <c r="BI52" s="118"/>
      <c r="BJ52" s="118"/>
      <c r="BK52" s="118"/>
      <c r="BL52" s="118"/>
      <c r="BM52" s="118"/>
      <c r="BN52" s="118"/>
      <c r="BO52" s="118"/>
      <c r="BP52" s="118"/>
    </row>
    <row r="53" s="73" customFormat="1" customHeight="1" spans="1:68">
      <c r="A53" s="90" t="s">
        <v>257</v>
      </c>
      <c r="B53" s="91">
        <f t="shared" si="4"/>
        <v>43814</v>
      </c>
      <c r="C53" s="91">
        <f t="shared" si="0"/>
        <v>43820</v>
      </c>
      <c r="D53" s="85">
        <v>7</v>
      </c>
      <c r="E53" s="85">
        <v>140</v>
      </c>
      <c r="F53" s="96">
        <f t="shared" si="1"/>
        <v>980</v>
      </c>
      <c r="G53" s="96">
        <v>79.99</v>
      </c>
      <c r="H53" s="96"/>
      <c r="I53" s="96"/>
      <c r="J53" s="96"/>
      <c r="K53" s="96"/>
      <c r="L53" s="96"/>
      <c r="M53" s="96">
        <v>1500</v>
      </c>
      <c r="N53" s="96"/>
      <c r="O53" s="96"/>
      <c r="P53" s="96"/>
      <c r="Q53" s="96"/>
      <c r="R53" s="96"/>
      <c r="S53" s="109"/>
      <c r="T53" s="93">
        <f>($F$2+$G$2+$J$2+$G53*15%)*F53</f>
        <v>51232.93</v>
      </c>
      <c r="U53" s="93">
        <f>$F53*$H$2</f>
        <v>4606</v>
      </c>
      <c r="V53" s="93">
        <f>$H53*$S$2+$I53*$T$2+$K53*$U$2+$M53+$P53*$V$2+N53*F53</f>
        <v>1500</v>
      </c>
      <c r="W53" s="93">
        <f t="shared" si="2"/>
        <v>57338.93</v>
      </c>
      <c r="X53" s="93">
        <f t="shared" si="3"/>
        <v>78390.2</v>
      </c>
      <c r="Y53" s="111"/>
      <c r="Z53" s="111"/>
      <c r="AA53" s="111"/>
      <c r="AB53" s="111"/>
      <c r="AC53" s="111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1"/>
      <c r="BA53" s="111"/>
      <c r="BB53" s="111"/>
      <c r="BC53" s="111"/>
      <c r="BD53" s="111"/>
      <c r="BE53" s="111"/>
      <c r="BF53" s="111"/>
      <c r="BG53" s="111"/>
      <c r="BH53" s="111"/>
      <c r="BI53" s="118"/>
      <c r="BJ53" s="118"/>
      <c r="BK53" s="118"/>
      <c r="BL53" s="118"/>
      <c r="BM53" s="118"/>
      <c r="BN53" s="118"/>
      <c r="BO53" s="118"/>
      <c r="BP53" s="118"/>
    </row>
    <row r="54" s="73" customFormat="1" customHeight="1" spans="1:68">
      <c r="A54" s="90" t="s">
        <v>699</v>
      </c>
      <c r="B54" s="91">
        <f t="shared" si="4"/>
        <v>43821</v>
      </c>
      <c r="C54" s="91">
        <f t="shared" si="0"/>
        <v>43827</v>
      </c>
      <c r="D54" s="85">
        <v>7</v>
      </c>
      <c r="E54" s="85">
        <v>140</v>
      </c>
      <c r="F54" s="96">
        <f t="shared" si="1"/>
        <v>980</v>
      </c>
      <c r="G54" s="96">
        <v>79.99</v>
      </c>
      <c r="H54" s="96"/>
      <c r="I54" s="96"/>
      <c r="J54" s="96"/>
      <c r="K54" s="96"/>
      <c r="L54" s="96"/>
      <c r="M54" s="96">
        <v>1500</v>
      </c>
      <c r="N54" s="96"/>
      <c r="O54" s="96"/>
      <c r="P54" s="96"/>
      <c r="Q54" s="96"/>
      <c r="R54" s="96"/>
      <c r="S54" s="109"/>
      <c r="T54" s="93">
        <f>($F$2+$G$2+$J$2+$G54*15%)*F54</f>
        <v>51232.93</v>
      </c>
      <c r="U54" s="93">
        <f>$F54*$H$2</f>
        <v>4606</v>
      </c>
      <c r="V54" s="93">
        <f>$H54*$S$2+$I54*$T$2+$K54*$U$2+$M54+$P54*$V$2+N54*F54</f>
        <v>1500</v>
      </c>
      <c r="W54" s="93">
        <f t="shared" si="2"/>
        <v>57338.93</v>
      </c>
      <c r="X54" s="93">
        <f t="shared" si="3"/>
        <v>78390.2</v>
      </c>
      <c r="Y54" s="111"/>
      <c r="Z54" s="111"/>
      <c r="AA54" s="111"/>
      <c r="AB54" s="111"/>
      <c r="AC54" s="111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1"/>
      <c r="BA54" s="111"/>
      <c r="BB54" s="111"/>
      <c r="BC54" s="111"/>
      <c r="BD54" s="111"/>
      <c r="BE54" s="111"/>
      <c r="BF54" s="111"/>
      <c r="BG54" s="111"/>
      <c r="BH54" s="111"/>
      <c r="BI54" s="118"/>
      <c r="BJ54" s="118"/>
      <c r="BK54" s="118"/>
      <c r="BL54" s="118"/>
      <c r="BM54" s="118"/>
      <c r="BN54" s="118"/>
      <c r="BO54" s="118"/>
      <c r="BP54" s="118"/>
    </row>
    <row r="55" s="73" customFormat="1" customHeight="1" spans="1:68">
      <c r="A55" s="90" t="s">
        <v>700</v>
      </c>
      <c r="B55" s="91">
        <f t="shared" si="4"/>
        <v>43828</v>
      </c>
      <c r="C55" s="91">
        <f t="shared" si="0"/>
        <v>43834</v>
      </c>
      <c r="D55" s="85">
        <v>7</v>
      </c>
      <c r="E55" s="85">
        <v>120</v>
      </c>
      <c r="F55" s="96">
        <f t="shared" si="1"/>
        <v>840</v>
      </c>
      <c r="G55" s="96">
        <v>79.99</v>
      </c>
      <c r="H55" s="96"/>
      <c r="I55" s="96"/>
      <c r="J55" s="96"/>
      <c r="K55" s="96"/>
      <c r="L55" s="96"/>
      <c r="M55" s="96">
        <v>1500</v>
      </c>
      <c r="N55" s="96"/>
      <c r="O55" s="96"/>
      <c r="P55" s="96"/>
      <c r="Q55" s="96"/>
      <c r="R55" s="96"/>
      <c r="S55" s="109"/>
      <c r="T55" s="93">
        <f>($F$2+$G$2+$J$2+$G55*15%)*F55</f>
        <v>43913.94</v>
      </c>
      <c r="U55" s="93">
        <f>$F55*$H$2</f>
        <v>3948</v>
      </c>
      <c r="V55" s="93">
        <f>$H55*$S$2+$I55*$T$2+$K55*$U$2+$M55+$P55*$V$2+N55*F55</f>
        <v>1500</v>
      </c>
      <c r="W55" s="93">
        <f t="shared" si="2"/>
        <v>49361.94</v>
      </c>
      <c r="X55" s="93">
        <f t="shared" si="3"/>
        <v>67191.6</v>
      </c>
      <c r="Y55" s="111"/>
      <c r="Z55" s="111"/>
      <c r="AA55" s="111"/>
      <c r="AB55" s="111"/>
      <c r="AC55" s="111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116"/>
      <c r="AV55" s="116"/>
      <c r="AW55" s="116"/>
      <c r="AX55" s="116"/>
      <c r="AY55" s="116"/>
      <c r="AZ55" s="111"/>
      <c r="BA55" s="111"/>
      <c r="BB55" s="111"/>
      <c r="BC55" s="111"/>
      <c r="BD55" s="111"/>
      <c r="BE55" s="111"/>
      <c r="BF55" s="111"/>
      <c r="BG55" s="111"/>
      <c r="BH55" s="111"/>
      <c r="BI55" s="118"/>
      <c r="BJ55" s="118"/>
      <c r="BK55" s="118"/>
      <c r="BL55" s="118"/>
      <c r="BM55" s="118"/>
      <c r="BN55" s="118"/>
      <c r="BO55" s="118"/>
      <c r="BP55" s="118"/>
    </row>
    <row r="56" s="73" customFormat="1" customHeight="1" spans="1:68">
      <c r="A56" s="90" t="s">
        <v>701</v>
      </c>
      <c r="B56" s="91">
        <f t="shared" si="4"/>
        <v>43835</v>
      </c>
      <c r="C56" s="91">
        <f t="shared" si="0"/>
        <v>43841</v>
      </c>
      <c r="D56" s="85">
        <v>7</v>
      </c>
      <c r="E56" s="85">
        <v>120</v>
      </c>
      <c r="F56" s="96">
        <f t="shared" si="1"/>
        <v>840</v>
      </c>
      <c r="G56" s="96">
        <v>79.99</v>
      </c>
      <c r="H56" s="96"/>
      <c r="I56" s="96"/>
      <c r="J56" s="96"/>
      <c r="K56" s="96"/>
      <c r="L56" s="96"/>
      <c r="M56" s="96">
        <v>1500</v>
      </c>
      <c r="N56" s="96"/>
      <c r="O56" s="96"/>
      <c r="P56" s="96"/>
      <c r="Q56" s="96"/>
      <c r="R56" s="96"/>
      <c r="S56" s="109"/>
      <c r="T56" s="93">
        <f>($F$2+$G$2+$J$2+$G56*15%)*F56</f>
        <v>43913.94</v>
      </c>
      <c r="U56" s="93">
        <f>$F56*$H$2</f>
        <v>3948</v>
      </c>
      <c r="V56" s="93">
        <f>$H56*$S$2+$I56*$T$2+$K56*$U$2+$M56+$P56*$V$2+N56*F56</f>
        <v>1500</v>
      </c>
      <c r="W56" s="93">
        <f t="shared" si="2"/>
        <v>49361.94</v>
      </c>
      <c r="X56" s="93">
        <f t="shared" si="3"/>
        <v>67191.6</v>
      </c>
      <c r="Y56" s="111"/>
      <c r="Z56" s="111"/>
      <c r="AA56" s="111"/>
      <c r="AB56" s="111"/>
      <c r="AC56" s="111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116"/>
      <c r="AV56" s="116"/>
      <c r="AW56" s="116"/>
      <c r="AX56" s="116"/>
      <c r="AY56" s="116"/>
      <c r="AZ56" s="111"/>
      <c r="BA56" s="111"/>
      <c r="BB56" s="111"/>
      <c r="BC56" s="111"/>
      <c r="BD56" s="111"/>
      <c r="BE56" s="111"/>
      <c r="BF56" s="111"/>
      <c r="BG56" s="111"/>
      <c r="BH56" s="111"/>
      <c r="BI56" s="118"/>
      <c r="BJ56" s="118"/>
      <c r="BK56" s="118"/>
      <c r="BL56" s="118"/>
      <c r="BM56" s="118"/>
      <c r="BN56" s="118"/>
      <c r="BO56" s="118"/>
      <c r="BP56" s="118"/>
    </row>
    <row r="57" s="73" customFormat="1" customHeight="1" spans="1:68">
      <c r="A57" s="90" t="s">
        <v>702</v>
      </c>
      <c r="B57" s="91">
        <f t="shared" si="4"/>
        <v>43842</v>
      </c>
      <c r="C57" s="91">
        <f t="shared" si="0"/>
        <v>43848</v>
      </c>
      <c r="D57" s="85">
        <v>7</v>
      </c>
      <c r="E57" s="85">
        <v>120</v>
      </c>
      <c r="F57" s="96">
        <f t="shared" si="1"/>
        <v>840</v>
      </c>
      <c r="G57" s="96">
        <v>79.99</v>
      </c>
      <c r="H57" s="96"/>
      <c r="I57" s="96"/>
      <c r="J57" s="96"/>
      <c r="K57" s="96"/>
      <c r="L57" s="96"/>
      <c r="M57" s="96">
        <v>1500</v>
      </c>
      <c r="N57" s="96"/>
      <c r="O57" s="96"/>
      <c r="P57" s="96"/>
      <c r="Q57" s="96"/>
      <c r="R57" s="96"/>
      <c r="S57" s="109"/>
      <c r="T57" s="93">
        <f>($F$2+$G$2+$J$2+$G57*15%)*F57</f>
        <v>43913.94</v>
      </c>
      <c r="U57" s="93">
        <f>$F57*$H$2</f>
        <v>3948</v>
      </c>
      <c r="V57" s="93">
        <f>$H57*$S$2+$I57*$T$2+$K57*$U$2+$M57+$P57*$V$2+N57*F57</f>
        <v>1500</v>
      </c>
      <c r="W57" s="93">
        <f t="shared" si="2"/>
        <v>49361.94</v>
      </c>
      <c r="X57" s="93">
        <f t="shared" si="3"/>
        <v>67191.6</v>
      </c>
      <c r="Y57" s="111"/>
      <c r="Z57" s="111"/>
      <c r="AA57" s="111"/>
      <c r="AB57" s="111"/>
      <c r="AC57" s="111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1"/>
      <c r="BA57" s="111"/>
      <c r="BB57" s="111"/>
      <c r="BC57" s="111"/>
      <c r="BD57" s="111"/>
      <c r="BE57" s="111"/>
      <c r="BF57" s="111"/>
      <c r="BG57" s="111"/>
      <c r="BH57" s="111"/>
      <c r="BI57" s="118"/>
      <c r="BJ57" s="118"/>
      <c r="BK57" s="118"/>
      <c r="BL57" s="118"/>
      <c r="BM57" s="118"/>
      <c r="BN57" s="118"/>
      <c r="BO57" s="118"/>
      <c r="BP57" s="118"/>
    </row>
    <row r="58" s="73" customFormat="1" customHeight="1" spans="1:68">
      <c r="A58" s="90" t="s">
        <v>280</v>
      </c>
      <c r="B58" s="91">
        <f t="shared" si="4"/>
        <v>43849</v>
      </c>
      <c r="C58" s="91">
        <f t="shared" si="0"/>
        <v>43855</v>
      </c>
      <c r="D58" s="85">
        <v>7</v>
      </c>
      <c r="E58" s="85">
        <v>120</v>
      </c>
      <c r="F58" s="96">
        <f t="shared" si="1"/>
        <v>840</v>
      </c>
      <c r="G58" s="96">
        <v>79.99</v>
      </c>
      <c r="H58" s="96"/>
      <c r="I58" s="96"/>
      <c r="J58" s="96"/>
      <c r="K58" s="96"/>
      <c r="L58" s="96"/>
      <c r="M58" s="96">
        <v>1500</v>
      </c>
      <c r="N58" s="96"/>
      <c r="O58" s="96"/>
      <c r="P58" s="96"/>
      <c r="Q58" s="96"/>
      <c r="R58" s="96"/>
      <c r="S58" s="109"/>
      <c r="T58" s="93">
        <f>($F$2+$G$2+$J$2+$G58*15%)*F58</f>
        <v>43913.94</v>
      </c>
      <c r="U58" s="93">
        <f>$F58*$H$2</f>
        <v>3948</v>
      </c>
      <c r="V58" s="93">
        <f>$H58*$S$2+$I58*$T$2+$K58*$U$2+$M58+$P58*$V$2+N58*F58</f>
        <v>1500</v>
      </c>
      <c r="W58" s="93">
        <f t="shared" si="2"/>
        <v>49361.94</v>
      </c>
      <c r="X58" s="93">
        <f t="shared" si="3"/>
        <v>67191.6</v>
      </c>
      <c r="Y58" s="111"/>
      <c r="Z58" s="111"/>
      <c r="AA58" s="111"/>
      <c r="AB58" s="111"/>
      <c r="AC58" s="111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116"/>
      <c r="AV58" s="116"/>
      <c r="AW58" s="116"/>
      <c r="AX58" s="116"/>
      <c r="AY58" s="116"/>
      <c r="AZ58" s="111"/>
      <c r="BA58" s="111"/>
      <c r="BB58" s="111"/>
      <c r="BC58" s="111"/>
      <c r="BD58" s="111"/>
      <c r="BE58" s="111"/>
      <c r="BF58" s="111"/>
      <c r="BG58" s="111"/>
      <c r="BH58" s="111"/>
      <c r="BI58" s="118"/>
      <c r="BJ58" s="118"/>
      <c r="BK58" s="118"/>
      <c r="BL58" s="118"/>
      <c r="BM58" s="118"/>
      <c r="BN58" s="118"/>
      <c r="BO58" s="118"/>
      <c r="BP58" s="118"/>
    </row>
    <row r="59" s="73" customFormat="1" customHeight="1" spans="1:68">
      <c r="A59" s="90" t="s">
        <v>703</v>
      </c>
      <c r="B59" s="91">
        <f t="shared" si="4"/>
        <v>43856</v>
      </c>
      <c r="C59" s="91">
        <f t="shared" si="0"/>
        <v>43862</v>
      </c>
      <c r="D59" s="85">
        <v>7</v>
      </c>
      <c r="E59" s="85">
        <v>120</v>
      </c>
      <c r="F59" s="96">
        <f t="shared" si="1"/>
        <v>840</v>
      </c>
      <c r="G59" s="96">
        <v>79.99</v>
      </c>
      <c r="H59" s="96"/>
      <c r="I59" s="96"/>
      <c r="J59" s="96"/>
      <c r="K59" s="96"/>
      <c r="L59" s="96"/>
      <c r="M59" s="96">
        <v>1500</v>
      </c>
      <c r="N59" s="96"/>
      <c r="O59" s="96"/>
      <c r="P59" s="96"/>
      <c r="Q59" s="96"/>
      <c r="R59" s="96"/>
      <c r="S59" s="109"/>
      <c r="T59" s="93">
        <f>($F$2+$G$2+$J$2+$G59*15%)*F59</f>
        <v>43913.94</v>
      </c>
      <c r="U59" s="93">
        <f>$F59*$H$2</f>
        <v>3948</v>
      </c>
      <c r="V59" s="93">
        <f>$H59*$S$2+$I59*$T$2+$K59*$U$2+$M59+$P59*$V$2+N59*F59</f>
        <v>1500</v>
      </c>
      <c r="W59" s="93">
        <f t="shared" si="2"/>
        <v>49361.94</v>
      </c>
      <c r="X59" s="93">
        <f t="shared" si="3"/>
        <v>67191.6</v>
      </c>
      <c r="Y59" s="111"/>
      <c r="Z59" s="111"/>
      <c r="AA59" s="111"/>
      <c r="AB59" s="111"/>
      <c r="AC59" s="111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116"/>
      <c r="AV59" s="116"/>
      <c r="AW59" s="116"/>
      <c r="AX59" s="116"/>
      <c r="AY59" s="116"/>
      <c r="AZ59" s="111"/>
      <c r="BA59" s="111"/>
      <c r="BB59" s="111"/>
      <c r="BC59" s="111"/>
      <c r="BD59" s="111"/>
      <c r="BE59" s="111"/>
      <c r="BF59" s="111"/>
      <c r="BG59" s="111"/>
      <c r="BH59" s="111"/>
      <c r="BI59" s="118"/>
      <c r="BJ59" s="118"/>
      <c r="BK59" s="118"/>
      <c r="BL59" s="118"/>
      <c r="BM59" s="118"/>
      <c r="BN59" s="118"/>
      <c r="BO59" s="118"/>
      <c r="BP59" s="118"/>
    </row>
    <row r="60" s="73" customFormat="1" customHeight="1" spans="1:68">
      <c r="A60" s="90" t="s">
        <v>289</v>
      </c>
      <c r="B60" s="91">
        <f t="shared" si="4"/>
        <v>43863</v>
      </c>
      <c r="C60" s="91">
        <f t="shared" si="0"/>
        <v>43869</v>
      </c>
      <c r="D60" s="85">
        <v>7</v>
      </c>
      <c r="E60" s="85">
        <v>130</v>
      </c>
      <c r="F60" s="96">
        <f t="shared" si="1"/>
        <v>910</v>
      </c>
      <c r="G60" s="96">
        <v>79.99</v>
      </c>
      <c r="H60" s="96"/>
      <c r="I60" s="96"/>
      <c r="J60" s="96"/>
      <c r="K60" s="96"/>
      <c r="L60" s="96"/>
      <c r="M60" s="96">
        <v>1500</v>
      </c>
      <c r="N60" s="96"/>
      <c r="O60" s="96"/>
      <c r="P60" s="96"/>
      <c r="Q60" s="96"/>
      <c r="R60" s="96"/>
      <c r="S60" s="109"/>
      <c r="T60" s="93">
        <f>($F$2+$G$2+$J$2+$G60*15%)*F60</f>
        <v>47573.435</v>
      </c>
      <c r="U60" s="93">
        <f>$F60*$H$2</f>
        <v>4277</v>
      </c>
      <c r="V60" s="93">
        <f>$H60*$S$2+$I60*$T$2+$K60*$U$2+$M60+$P60*$V$2+N60*F60</f>
        <v>1500</v>
      </c>
      <c r="W60" s="93">
        <f t="shared" si="2"/>
        <v>53350.435</v>
      </c>
      <c r="X60" s="93">
        <f t="shared" si="3"/>
        <v>72790.9</v>
      </c>
      <c r="Y60" s="111"/>
      <c r="Z60" s="111"/>
      <c r="AA60" s="111"/>
      <c r="AB60" s="111"/>
      <c r="AC60" s="111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1"/>
      <c r="BA60" s="111"/>
      <c r="BB60" s="111"/>
      <c r="BC60" s="111"/>
      <c r="BD60" s="111"/>
      <c r="BE60" s="111"/>
      <c r="BF60" s="111"/>
      <c r="BG60" s="111"/>
      <c r="BH60" s="111"/>
      <c r="BI60" s="118"/>
      <c r="BJ60" s="118"/>
      <c r="BK60" s="118"/>
      <c r="BL60" s="118"/>
      <c r="BM60" s="118"/>
      <c r="BN60" s="118"/>
      <c r="BO60" s="118"/>
      <c r="BP60" s="118"/>
    </row>
    <row r="61" s="73" customFormat="1" customHeight="1" spans="1:68">
      <c r="A61" s="90" t="s">
        <v>704</v>
      </c>
      <c r="B61" s="91">
        <f t="shared" si="4"/>
        <v>43870</v>
      </c>
      <c r="C61" s="91">
        <f t="shared" si="0"/>
        <v>43876</v>
      </c>
      <c r="D61" s="85">
        <v>7</v>
      </c>
      <c r="E61" s="85">
        <v>130</v>
      </c>
      <c r="F61" s="96">
        <f t="shared" si="1"/>
        <v>910</v>
      </c>
      <c r="G61" s="96">
        <v>79.99</v>
      </c>
      <c r="H61" s="96"/>
      <c r="I61" s="96"/>
      <c r="J61" s="96"/>
      <c r="K61" s="96"/>
      <c r="L61" s="96"/>
      <c r="M61" s="96">
        <v>1500</v>
      </c>
      <c r="N61" s="96"/>
      <c r="O61" s="96"/>
      <c r="P61" s="96"/>
      <c r="Q61" s="96"/>
      <c r="R61" s="96"/>
      <c r="S61" s="109"/>
      <c r="T61" s="93">
        <f>($F$2+$G$2+$J$2+$G61*15%)*F61</f>
        <v>47573.435</v>
      </c>
      <c r="U61" s="93">
        <f>$F61*$H$2</f>
        <v>4277</v>
      </c>
      <c r="V61" s="93">
        <f>$H61*$S$2+$I61*$T$2+$K61*$U$2+$M61+$P61*$V$2+N61*F61</f>
        <v>1500</v>
      </c>
      <c r="W61" s="93">
        <f t="shared" si="2"/>
        <v>53350.435</v>
      </c>
      <c r="X61" s="93">
        <f t="shared" si="3"/>
        <v>72790.9</v>
      </c>
      <c r="Y61" s="111"/>
      <c r="Z61" s="111"/>
      <c r="AA61" s="111"/>
      <c r="AB61" s="111"/>
      <c r="AC61" s="111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6"/>
      <c r="AZ61" s="111"/>
      <c r="BA61" s="111"/>
      <c r="BB61" s="111"/>
      <c r="BC61" s="111"/>
      <c r="BD61" s="111"/>
      <c r="BE61" s="111"/>
      <c r="BF61" s="111"/>
      <c r="BG61" s="111"/>
      <c r="BH61" s="111"/>
      <c r="BI61" s="118"/>
      <c r="BJ61" s="118"/>
      <c r="BK61" s="118"/>
      <c r="BL61" s="118"/>
      <c r="BM61" s="118"/>
      <c r="BN61" s="118"/>
      <c r="BO61" s="118"/>
      <c r="BP61" s="118"/>
    </row>
    <row r="62" s="73" customFormat="1" customHeight="1" spans="1:68">
      <c r="A62" s="90" t="s">
        <v>705</v>
      </c>
      <c r="B62" s="91">
        <f t="shared" si="4"/>
        <v>43877</v>
      </c>
      <c r="C62" s="91">
        <f t="shared" si="0"/>
        <v>43883</v>
      </c>
      <c r="D62" s="85">
        <v>7</v>
      </c>
      <c r="E62" s="85">
        <v>130</v>
      </c>
      <c r="F62" s="96">
        <f t="shared" si="1"/>
        <v>910</v>
      </c>
      <c r="G62" s="96">
        <v>79.99</v>
      </c>
      <c r="H62" s="96"/>
      <c r="I62" s="96"/>
      <c r="J62" s="96"/>
      <c r="K62" s="96"/>
      <c r="L62" s="96"/>
      <c r="M62" s="96">
        <v>1500</v>
      </c>
      <c r="N62" s="96"/>
      <c r="O62" s="96"/>
      <c r="P62" s="96"/>
      <c r="Q62" s="96"/>
      <c r="R62" s="96"/>
      <c r="S62" s="109"/>
      <c r="T62" s="93">
        <f>($F$2+$G$2+$J$2+$G62*15%)*F62</f>
        <v>47573.435</v>
      </c>
      <c r="U62" s="93">
        <f>$F62*$H$2</f>
        <v>4277</v>
      </c>
      <c r="V62" s="93">
        <f>$H62*$S$2+$I62*$T$2+$K62*$U$2+$M62+$P62*$V$2+N62*F62</f>
        <v>1500</v>
      </c>
      <c r="W62" s="93">
        <f t="shared" si="2"/>
        <v>53350.435</v>
      </c>
      <c r="X62" s="93">
        <f t="shared" si="3"/>
        <v>72790.9</v>
      </c>
      <c r="Y62" s="111"/>
      <c r="Z62" s="111"/>
      <c r="AA62" s="111"/>
      <c r="AB62" s="111"/>
      <c r="AC62" s="111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1"/>
      <c r="BA62" s="111"/>
      <c r="BB62" s="111"/>
      <c r="BC62" s="111"/>
      <c r="BD62" s="111"/>
      <c r="BE62" s="111"/>
      <c r="BF62" s="111"/>
      <c r="BG62" s="111"/>
      <c r="BH62" s="111"/>
      <c r="BI62" s="118"/>
      <c r="BJ62" s="118"/>
      <c r="BK62" s="118"/>
      <c r="BL62" s="118"/>
      <c r="BM62" s="118"/>
      <c r="BN62" s="118"/>
      <c r="BO62" s="118"/>
      <c r="BP62" s="118"/>
    </row>
    <row r="63" s="73" customFormat="1" customHeight="1" spans="1:68">
      <c r="A63" s="90" t="s">
        <v>213</v>
      </c>
      <c r="B63" s="91">
        <f t="shared" si="4"/>
        <v>43884</v>
      </c>
      <c r="C63" s="91">
        <f t="shared" si="0"/>
        <v>43890</v>
      </c>
      <c r="D63" s="85">
        <v>7</v>
      </c>
      <c r="E63" s="85">
        <v>130</v>
      </c>
      <c r="F63" s="96">
        <f t="shared" si="1"/>
        <v>910</v>
      </c>
      <c r="G63" s="96">
        <v>79.99</v>
      </c>
      <c r="H63" s="96"/>
      <c r="I63" s="96"/>
      <c r="J63" s="96"/>
      <c r="K63" s="96"/>
      <c r="L63" s="96"/>
      <c r="M63" s="96">
        <v>1500</v>
      </c>
      <c r="N63" s="96"/>
      <c r="O63" s="96"/>
      <c r="P63" s="96"/>
      <c r="Q63" s="96"/>
      <c r="R63" s="96"/>
      <c r="S63" s="109"/>
      <c r="T63" s="93">
        <f>($F$2+$G$2+$J$2+$G63*15%)*F63</f>
        <v>47573.435</v>
      </c>
      <c r="U63" s="93">
        <f>$F63*$H$2</f>
        <v>4277</v>
      </c>
      <c r="V63" s="93">
        <f>$H63*$S$2+$I63*$T$2+$K63*$U$2+$M63+$P63*$V$2+N63*F63</f>
        <v>1500</v>
      </c>
      <c r="W63" s="93">
        <f t="shared" si="2"/>
        <v>53350.435</v>
      </c>
      <c r="X63" s="93">
        <f t="shared" si="3"/>
        <v>72790.9</v>
      </c>
      <c r="Y63" s="111"/>
      <c r="Z63" s="111"/>
      <c r="AA63" s="111"/>
      <c r="AB63" s="111"/>
      <c r="AC63" s="111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116"/>
      <c r="AV63" s="116"/>
      <c r="AW63" s="116"/>
      <c r="AX63" s="116"/>
      <c r="AY63" s="116"/>
      <c r="AZ63" s="111"/>
      <c r="BA63" s="111"/>
      <c r="BB63" s="111"/>
      <c r="BC63" s="111"/>
      <c r="BD63" s="111"/>
      <c r="BE63" s="111"/>
      <c r="BF63" s="111"/>
      <c r="BG63" s="111"/>
      <c r="BH63" s="111"/>
      <c r="BI63" s="118"/>
      <c r="BJ63" s="118"/>
      <c r="BK63" s="118"/>
      <c r="BL63" s="118"/>
      <c r="BM63" s="118"/>
      <c r="BN63" s="118"/>
      <c r="BO63" s="118"/>
      <c r="BP63" s="118"/>
    </row>
    <row r="64" s="73" customFormat="1" customHeight="1" spans="1:68">
      <c r="A64" s="90" t="s">
        <v>706</v>
      </c>
      <c r="B64" s="91">
        <f t="shared" si="4"/>
        <v>43891</v>
      </c>
      <c r="C64" s="91">
        <f t="shared" si="0"/>
        <v>43897</v>
      </c>
      <c r="D64" s="85">
        <v>7</v>
      </c>
      <c r="E64" s="85">
        <v>130</v>
      </c>
      <c r="F64" s="96">
        <f t="shared" si="1"/>
        <v>910</v>
      </c>
      <c r="G64" s="96">
        <v>79.99</v>
      </c>
      <c r="H64" s="96"/>
      <c r="I64" s="96"/>
      <c r="J64" s="96"/>
      <c r="K64" s="96"/>
      <c r="L64" s="96"/>
      <c r="M64" s="96">
        <v>1500</v>
      </c>
      <c r="N64" s="96"/>
      <c r="O64" s="96"/>
      <c r="P64" s="96"/>
      <c r="Q64" s="96"/>
      <c r="R64" s="96"/>
      <c r="S64" s="109"/>
      <c r="T64" s="93">
        <f>($F$2+$G$2+$J$2+$G64*15%)*F64</f>
        <v>47573.435</v>
      </c>
      <c r="U64" s="93">
        <f>$F64*$H$2</f>
        <v>4277</v>
      </c>
      <c r="V64" s="93">
        <f>$H64*$S$2+$I64*$T$2+$K64*$U$2+$M64+$P64*$V$2+N64*F64</f>
        <v>1500</v>
      </c>
      <c r="W64" s="93">
        <f t="shared" si="2"/>
        <v>53350.435</v>
      </c>
      <c r="X64" s="93">
        <f t="shared" si="3"/>
        <v>72790.9</v>
      </c>
      <c r="Y64" s="111"/>
      <c r="Z64" s="111"/>
      <c r="AA64" s="111"/>
      <c r="AB64" s="111"/>
      <c r="AC64" s="111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1"/>
      <c r="BA64" s="111"/>
      <c r="BB64" s="111"/>
      <c r="BC64" s="111"/>
      <c r="BD64" s="111"/>
      <c r="BE64" s="111"/>
      <c r="BF64" s="111"/>
      <c r="BG64" s="111"/>
      <c r="BH64" s="111"/>
      <c r="BI64" s="118"/>
      <c r="BJ64" s="118"/>
      <c r="BK64" s="118"/>
      <c r="BL64" s="118"/>
      <c r="BM64" s="118"/>
      <c r="BN64" s="118"/>
      <c r="BO64" s="118"/>
      <c r="BP64" s="118"/>
    </row>
    <row r="65" s="73" customFormat="1" customHeight="1" spans="1:68">
      <c r="A65" s="90" t="s">
        <v>707</v>
      </c>
      <c r="B65" s="91">
        <f t="shared" si="4"/>
        <v>43898</v>
      </c>
      <c r="C65" s="91">
        <f t="shared" si="0"/>
        <v>43904</v>
      </c>
      <c r="D65" s="85">
        <v>7</v>
      </c>
      <c r="E65" s="85">
        <v>130</v>
      </c>
      <c r="F65" s="96">
        <f t="shared" si="1"/>
        <v>910</v>
      </c>
      <c r="G65" s="96">
        <v>79.99</v>
      </c>
      <c r="H65" s="96"/>
      <c r="I65" s="96"/>
      <c r="J65" s="96"/>
      <c r="K65" s="96"/>
      <c r="L65" s="96"/>
      <c r="M65" s="96">
        <v>1500</v>
      </c>
      <c r="N65" s="96"/>
      <c r="O65" s="96"/>
      <c r="P65" s="96"/>
      <c r="Q65" s="96"/>
      <c r="R65" s="96"/>
      <c r="S65" s="109"/>
      <c r="T65" s="93">
        <f>($F$2+$G$2+$J$2+$G65*15%)*F65</f>
        <v>47573.435</v>
      </c>
      <c r="U65" s="93">
        <f>$F65*$H$2</f>
        <v>4277</v>
      </c>
      <c r="V65" s="93">
        <f>$H65*$S$2+$I65*$T$2+$K65*$U$2+$M65+$P65*$V$2+N65*F65</f>
        <v>1500</v>
      </c>
      <c r="W65" s="93">
        <f t="shared" si="2"/>
        <v>53350.435</v>
      </c>
      <c r="X65" s="93">
        <f t="shared" si="3"/>
        <v>72790.9</v>
      </c>
      <c r="Y65" s="111"/>
      <c r="Z65" s="111"/>
      <c r="AA65" s="111"/>
      <c r="AB65" s="111"/>
      <c r="AC65" s="111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1"/>
      <c r="BA65" s="111"/>
      <c r="BB65" s="111"/>
      <c r="BC65" s="111"/>
      <c r="BD65" s="111"/>
      <c r="BE65" s="111"/>
      <c r="BF65" s="111"/>
      <c r="BG65" s="111"/>
      <c r="BH65" s="111"/>
      <c r="BI65" s="118"/>
      <c r="BJ65" s="118"/>
      <c r="BK65" s="118"/>
      <c r="BL65" s="118"/>
      <c r="BM65" s="118"/>
      <c r="BN65" s="118"/>
      <c r="BO65" s="118"/>
      <c r="BP65" s="118"/>
    </row>
    <row r="66" s="73" customFormat="1" customHeight="1" spans="1:68">
      <c r="A66" s="90" t="s">
        <v>206</v>
      </c>
      <c r="B66" s="91">
        <f t="shared" si="4"/>
        <v>43905</v>
      </c>
      <c r="C66" s="91">
        <f t="shared" si="0"/>
        <v>43911</v>
      </c>
      <c r="D66" s="85">
        <v>7</v>
      </c>
      <c r="E66" s="85">
        <v>130</v>
      </c>
      <c r="F66" s="96">
        <f t="shared" si="1"/>
        <v>910</v>
      </c>
      <c r="G66" s="96">
        <v>79.99</v>
      </c>
      <c r="H66" s="96"/>
      <c r="I66" s="96"/>
      <c r="J66" s="96"/>
      <c r="K66" s="96"/>
      <c r="L66" s="96"/>
      <c r="M66" s="96">
        <v>1500</v>
      </c>
      <c r="N66" s="96"/>
      <c r="O66" s="96"/>
      <c r="P66" s="96"/>
      <c r="Q66" s="96"/>
      <c r="R66" s="96"/>
      <c r="S66" s="109"/>
      <c r="T66" s="93">
        <f>($F$2+$G$2+$J$2+$G66*15%)*F66</f>
        <v>47573.435</v>
      </c>
      <c r="U66" s="93">
        <f>$F66*$H$2</f>
        <v>4277</v>
      </c>
      <c r="V66" s="93">
        <f>$H66*$S$2+$I66*$T$2+$K66*$U$2+$M66+$P66*$V$2+N66*F66</f>
        <v>1500</v>
      </c>
      <c r="W66" s="93">
        <f t="shared" si="2"/>
        <v>53350.435</v>
      </c>
      <c r="X66" s="93">
        <f t="shared" si="3"/>
        <v>72790.9</v>
      </c>
      <c r="Y66" s="111"/>
      <c r="Z66" s="111"/>
      <c r="AA66" s="111"/>
      <c r="AB66" s="111"/>
      <c r="AC66" s="111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1"/>
      <c r="BA66" s="111"/>
      <c r="BB66" s="111"/>
      <c r="BC66" s="111"/>
      <c r="BD66" s="111"/>
      <c r="BE66" s="111"/>
      <c r="BF66" s="111"/>
      <c r="BG66" s="111"/>
      <c r="BH66" s="111"/>
      <c r="BI66" s="118"/>
      <c r="BJ66" s="118"/>
      <c r="BK66" s="118"/>
      <c r="BL66" s="118"/>
      <c r="BM66" s="118"/>
      <c r="BN66" s="118"/>
      <c r="BO66" s="118"/>
      <c r="BP66" s="118"/>
    </row>
    <row r="67" s="73" customFormat="1" customHeight="1" spans="1:68">
      <c r="A67" s="90" t="s">
        <v>487</v>
      </c>
      <c r="B67" s="91">
        <f t="shared" si="4"/>
        <v>43912</v>
      </c>
      <c r="C67" s="91">
        <f t="shared" si="0"/>
        <v>43918</v>
      </c>
      <c r="D67" s="85">
        <v>7</v>
      </c>
      <c r="E67" s="85">
        <v>130</v>
      </c>
      <c r="F67" s="96">
        <f t="shared" si="1"/>
        <v>910</v>
      </c>
      <c r="G67" s="96">
        <v>79.99</v>
      </c>
      <c r="H67" s="96"/>
      <c r="I67" s="96"/>
      <c r="J67" s="96"/>
      <c r="K67" s="96"/>
      <c r="L67" s="96"/>
      <c r="M67" s="96">
        <v>1500</v>
      </c>
      <c r="N67" s="96"/>
      <c r="O67" s="96"/>
      <c r="P67" s="96"/>
      <c r="Q67" s="96"/>
      <c r="R67" s="96"/>
      <c r="S67" s="109"/>
      <c r="T67" s="93">
        <f>($F$2+$G$2+$J$2+$G67*15%)*F67</f>
        <v>47573.435</v>
      </c>
      <c r="U67" s="93">
        <f>$F67*$H$2</f>
        <v>4277</v>
      </c>
      <c r="V67" s="93">
        <f>$H67*$S$2+$I67*$T$2+$K67*$U$2+$M67+$P67*$V$2+N67*F67</f>
        <v>1500</v>
      </c>
      <c r="W67" s="93">
        <f t="shared" si="2"/>
        <v>53350.435</v>
      </c>
      <c r="X67" s="93">
        <f t="shared" si="3"/>
        <v>72790.9</v>
      </c>
      <c r="Y67" s="111"/>
      <c r="Z67" s="111"/>
      <c r="AA67" s="111"/>
      <c r="AB67" s="111"/>
      <c r="AC67" s="111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1"/>
      <c r="BA67" s="111"/>
      <c r="BB67" s="111"/>
      <c r="BC67" s="111"/>
      <c r="BD67" s="111"/>
      <c r="BE67" s="111"/>
      <c r="BF67" s="111"/>
      <c r="BG67" s="111"/>
      <c r="BH67" s="111"/>
      <c r="BI67" s="118"/>
      <c r="BJ67" s="118"/>
      <c r="BK67" s="118"/>
      <c r="BL67" s="118"/>
      <c r="BM67" s="118"/>
      <c r="BN67" s="118"/>
      <c r="BO67" s="118"/>
      <c r="BP67" s="118"/>
    </row>
    <row r="68" s="73" customFormat="1" customHeight="1" spans="1:68">
      <c r="A68" s="90" t="s">
        <v>483</v>
      </c>
      <c r="B68" s="91">
        <f t="shared" si="4"/>
        <v>43919</v>
      </c>
      <c r="C68" s="91">
        <f t="shared" si="0"/>
        <v>43925</v>
      </c>
      <c r="D68" s="85">
        <v>7</v>
      </c>
      <c r="E68" s="85">
        <v>130</v>
      </c>
      <c r="F68" s="96">
        <f t="shared" si="1"/>
        <v>910</v>
      </c>
      <c r="G68" s="96">
        <v>79.99</v>
      </c>
      <c r="H68" s="96"/>
      <c r="I68" s="96"/>
      <c r="J68" s="96"/>
      <c r="K68" s="96"/>
      <c r="L68" s="96"/>
      <c r="M68" s="96">
        <v>1500</v>
      </c>
      <c r="N68" s="96"/>
      <c r="O68" s="96"/>
      <c r="P68" s="96"/>
      <c r="Q68" s="96"/>
      <c r="R68" s="96"/>
      <c r="S68" s="109"/>
      <c r="T68" s="93">
        <f>($F$2+$G$2+$J$2+$G68*15%)*F68</f>
        <v>47573.435</v>
      </c>
      <c r="U68" s="93">
        <f>$F68*$H$2</f>
        <v>4277</v>
      </c>
      <c r="V68" s="93">
        <f>$H68*$S$2+$I68*$T$2+$K68*$U$2+$M68+$P68*$V$2+N68*F68</f>
        <v>1500</v>
      </c>
      <c r="W68" s="93">
        <f t="shared" si="2"/>
        <v>53350.435</v>
      </c>
      <c r="X68" s="93">
        <f t="shared" si="3"/>
        <v>72790.9</v>
      </c>
      <c r="Y68" s="111"/>
      <c r="Z68" s="111"/>
      <c r="AA68" s="111"/>
      <c r="AB68" s="111"/>
      <c r="AC68" s="111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1"/>
      <c r="BA68" s="111"/>
      <c r="BB68" s="111"/>
      <c r="BC68" s="111"/>
      <c r="BD68" s="111"/>
      <c r="BE68" s="111"/>
      <c r="BF68" s="111"/>
      <c r="BG68" s="111"/>
      <c r="BH68" s="111"/>
      <c r="BI68" s="118"/>
      <c r="BJ68" s="118"/>
      <c r="BK68" s="118"/>
      <c r="BL68" s="118"/>
      <c r="BM68" s="118"/>
      <c r="BN68" s="118"/>
      <c r="BO68" s="118"/>
      <c r="BP68" s="118"/>
    </row>
    <row r="69" s="73" customFormat="1" customHeight="1" spans="1:68">
      <c r="A69" s="90" t="s">
        <v>708</v>
      </c>
      <c r="B69" s="91">
        <f t="shared" si="4"/>
        <v>43926</v>
      </c>
      <c r="C69" s="91">
        <f t="shared" ref="C69:C72" si="5">B69+6</f>
        <v>43932</v>
      </c>
      <c r="D69" s="85">
        <v>7</v>
      </c>
      <c r="E69" s="85">
        <v>130</v>
      </c>
      <c r="F69" s="96">
        <f t="shared" ref="F69:F72" si="6">E69*D69</f>
        <v>910</v>
      </c>
      <c r="G69" s="96">
        <v>79.99</v>
      </c>
      <c r="H69" s="96"/>
      <c r="I69" s="96"/>
      <c r="J69" s="96"/>
      <c r="K69" s="96"/>
      <c r="L69" s="96"/>
      <c r="M69" s="96">
        <v>1500</v>
      </c>
      <c r="N69" s="96"/>
      <c r="O69" s="96"/>
      <c r="P69" s="96"/>
      <c r="Q69" s="96"/>
      <c r="R69" s="96"/>
      <c r="S69" s="109"/>
      <c r="T69" s="93">
        <f>($F$2+$G$2+$J$2+$G69*15%)*F69</f>
        <v>47573.435</v>
      </c>
      <c r="U69" s="93">
        <f>$F69*$H$2</f>
        <v>4277</v>
      </c>
      <c r="V69" s="93">
        <f>$H69*$S$2+$I69*$T$2+$K69*$U$2+$M69+$P69*$V$2+N69*F69</f>
        <v>1500</v>
      </c>
      <c r="W69" s="93">
        <f t="shared" ref="W69:W72" si="7">T69+U69+V69</f>
        <v>53350.435</v>
      </c>
      <c r="X69" s="93">
        <f t="shared" ref="X69:X72" si="8">G69*F69</f>
        <v>72790.9</v>
      </c>
      <c r="Y69" s="111"/>
      <c r="Z69" s="111"/>
      <c r="AA69" s="111"/>
      <c r="AB69" s="111"/>
      <c r="AC69" s="111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1"/>
      <c r="BA69" s="111"/>
      <c r="BB69" s="111"/>
      <c r="BC69" s="111"/>
      <c r="BD69" s="111"/>
      <c r="BE69" s="111"/>
      <c r="BF69" s="111"/>
      <c r="BG69" s="111"/>
      <c r="BH69" s="111"/>
      <c r="BI69" s="118"/>
      <c r="BJ69" s="118"/>
      <c r="BK69" s="118"/>
      <c r="BL69" s="118"/>
      <c r="BM69" s="118"/>
      <c r="BN69" s="118"/>
      <c r="BO69" s="118"/>
      <c r="BP69" s="118"/>
    </row>
    <row r="70" s="73" customFormat="1" customHeight="1" spans="1:68">
      <c r="A70" s="90" t="s">
        <v>709</v>
      </c>
      <c r="B70" s="91">
        <f t="shared" ref="B70:B72" si="9">C69+1</f>
        <v>43933</v>
      </c>
      <c r="C70" s="91">
        <f t="shared" si="5"/>
        <v>43939</v>
      </c>
      <c r="D70" s="85">
        <v>7</v>
      </c>
      <c r="E70" s="85">
        <v>130</v>
      </c>
      <c r="F70" s="96">
        <f t="shared" si="6"/>
        <v>910</v>
      </c>
      <c r="G70" s="96">
        <v>79.99</v>
      </c>
      <c r="H70" s="96"/>
      <c r="I70" s="96"/>
      <c r="J70" s="96"/>
      <c r="K70" s="96"/>
      <c r="L70" s="96"/>
      <c r="M70" s="96">
        <v>1500</v>
      </c>
      <c r="N70" s="96"/>
      <c r="O70" s="96"/>
      <c r="P70" s="96"/>
      <c r="Q70" s="96"/>
      <c r="R70" s="96"/>
      <c r="S70" s="109"/>
      <c r="T70" s="93">
        <f>($F$2+$G$2+$J$2+$G70*15%)*F70</f>
        <v>47573.435</v>
      </c>
      <c r="U70" s="93">
        <f>$F70*$H$2</f>
        <v>4277</v>
      </c>
      <c r="V70" s="93">
        <f>$H70*$S$2+$I70*$T$2+$K70*$U$2+$M70+$P70*$V$2+N70*F70</f>
        <v>1500</v>
      </c>
      <c r="W70" s="93">
        <f t="shared" si="7"/>
        <v>53350.435</v>
      </c>
      <c r="X70" s="93">
        <f t="shared" si="8"/>
        <v>72790.9</v>
      </c>
      <c r="Y70" s="111"/>
      <c r="Z70" s="111"/>
      <c r="AA70" s="111"/>
      <c r="AB70" s="111"/>
      <c r="AC70" s="111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1"/>
      <c r="BA70" s="111"/>
      <c r="BB70" s="111"/>
      <c r="BC70" s="111"/>
      <c r="BD70" s="111"/>
      <c r="BE70" s="111"/>
      <c r="BF70" s="111"/>
      <c r="BG70" s="111"/>
      <c r="BH70" s="111"/>
      <c r="BI70" s="118"/>
      <c r="BJ70" s="118"/>
      <c r="BK70" s="118"/>
      <c r="BL70" s="118"/>
      <c r="BM70" s="118"/>
      <c r="BN70" s="118"/>
      <c r="BO70" s="118"/>
      <c r="BP70" s="118"/>
    </row>
    <row r="71" s="73" customFormat="1" customHeight="1" spans="1:68">
      <c r="A71" s="90" t="s">
        <v>710</v>
      </c>
      <c r="B71" s="91">
        <f t="shared" si="9"/>
        <v>43940</v>
      </c>
      <c r="C71" s="91">
        <f t="shared" si="5"/>
        <v>43946</v>
      </c>
      <c r="D71" s="85">
        <v>7</v>
      </c>
      <c r="E71" s="85">
        <v>130</v>
      </c>
      <c r="F71" s="96">
        <f t="shared" si="6"/>
        <v>910</v>
      </c>
      <c r="G71" s="96">
        <v>79.99</v>
      </c>
      <c r="H71" s="96"/>
      <c r="I71" s="96"/>
      <c r="J71" s="96"/>
      <c r="K71" s="96"/>
      <c r="L71" s="96"/>
      <c r="M71" s="96">
        <v>1500</v>
      </c>
      <c r="N71" s="96"/>
      <c r="O71" s="96"/>
      <c r="P71" s="96"/>
      <c r="Q71" s="96"/>
      <c r="R71" s="96"/>
      <c r="S71" s="109"/>
      <c r="T71" s="93">
        <f>($F$2+$G$2+$J$2+$G71*15%)*F71</f>
        <v>47573.435</v>
      </c>
      <c r="U71" s="93">
        <f>$F71*$H$2</f>
        <v>4277</v>
      </c>
      <c r="V71" s="93">
        <f>$H71*$S$2+$I71*$T$2+$K71*$U$2+$M71+$P71*$V$2+N71*F71</f>
        <v>1500</v>
      </c>
      <c r="W71" s="93">
        <f t="shared" si="7"/>
        <v>53350.435</v>
      </c>
      <c r="X71" s="93">
        <f t="shared" si="8"/>
        <v>72790.9</v>
      </c>
      <c r="Y71" s="111"/>
      <c r="Z71" s="111"/>
      <c r="AA71" s="111"/>
      <c r="AB71" s="111"/>
      <c r="AC71" s="111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1"/>
      <c r="BA71" s="111"/>
      <c r="BB71" s="111"/>
      <c r="BC71" s="111"/>
      <c r="BD71" s="111"/>
      <c r="BE71" s="111"/>
      <c r="BF71" s="111"/>
      <c r="BG71" s="111"/>
      <c r="BH71" s="111"/>
      <c r="BI71" s="118"/>
      <c r="BJ71" s="118"/>
      <c r="BK71" s="118"/>
      <c r="BL71" s="118"/>
      <c r="BM71" s="118"/>
      <c r="BN71" s="118"/>
      <c r="BO71" s="118"/>
      <c r="BP71" s="118"/>
    </row>
    <row r="72" s="73" customFormat="1" customHeight="1" spans="1:68">
      <c r="A72" s="90" t="s">
        <v>301</v>
      </c>
      <c r="B72" s="91">
        <f t="shared" si="9"/>
        <v>43947</v>
      </c>
      <c r="C72" s="91">
        <f t="shared" si="5"/>
        <v>43953</v>
      </c>
      <c r="D72" s="85">
        <v>7</v>
      </c>
      <c r="E72" s="85">
        <v>130</v>
      </c>
      <c r="F72" s="96">
        <f t="shared" si="6"/>
        <v>910</v>
      </c>
      <c r="G72" s="96">
        <v>79.99</v>
      </c>
      <c r="H72" s="96"/>
      <c r="I72" s="96"/>
      <c r="J72" s="96"/>
      <c r="K72" s="96"/>
      <c r="L72" s="96"/>
      <c r="M72" s="96">
        <v>1500</v>
      </c>
      <c r="N72" s="96"/>
      <c r="O72" s="96"/>
      <c r="P72" s="96"/>
      <c r="Q72" s="96"/>
      <c r="R72" s="96"/>
      <c r="S72" s="109"/>
      <c r="T72" s="93">
        <f>($F$2+$G$2+$J$2+$G72*15%)*F72</f>
        <v>47573.435</v>
      </c>
      <c r="U72" s="93">
        <f>$F72*$H$2</f>
        <v>4277</v>
      </c>
      <c r="V72" s="93">
        <f>$H72*$S$2+$I72*$T$2+$K72*$U$2+$M72+$P72*$V$2+N72*F72</f>
        <v>1500</v>
      </c>
      <c r="W72" s="93">
        <f t="shared" si="7"/>
        <v>53350.435</v>
      </c>
      <c r="X72" s="93">
        <f t="shared" si="8"/>
        <v>72790.9</v>
      </c>
      <c r="Y72" s="111"/>
      <c r="Z72" s="111"/>
      <c r="AA72" s="111"/>
      <c r="AB72" s="111"/>
      <c r="AC72" s="111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1"/>
      <c r="BA72" s="111"/>
      <c r="BB72" s="111"/>
      <c r="BC72" s="111"/>
      <c r="BD72" s="111"/>
      <c r="BE72" s="111"/>
      <c r="BF72" s="111"/>
      <c r="BG72" s="111"/>
      <c r="BH72" s="111"/>
      <c r="BI72" s="118"/>
      <c r="BJ72" s="118"/>
      <c r="BK72" s="118"/>
      <c r="BL72" s="118"/>
      <c r="BM72" s="118"/>
      <c r="BN72" s="118"/>
      <c r="BO72" s="118"/>
      <c r="BP72" s="118"/>
    </row>
    <row r="73" s="73" customFormat="1" customHeight="1" spans="1:68">
      <c r="A73" s="84" t="s">
        <v>711</v>
      </c>
      <c r="B73" s="84"/>
      <c r="C73" s="84"/>
      <c r="D73" s="85"/>
      <c r="E73" s="85"/>
      <c r="F73" s="96">
        <f>SUM(F5:F72)</f>
        <v>55034</v>
      </c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09"/>
      <c r="T73" s="111"/>
      <c r="U73" s="111"/>
      <c r="V73" s="111"/>
      <c r="W73" s="93">
        <f>SUM(W5:W72)</f>
        <v>3218459.0675</v>
      </c>
      <c r="X73" s="111">
        <f>SUM(X5:X72)</f>
        <v>4295909.66</v>
      </c>
      <c r="Y73" s="111"/>
      <c r="Z73" s="111"/>
      <c r="AA73" s="111"/>
      <c r="AB73" s="111"/>
      <c r="AC73" s="111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1"/>
      <c r="BA73" s="111"/>
      <c r="BB73" s="111"/>
      <c r="BC73" s="111"/>
      <c r="BD73" s="111"/>
      <c r="BE73" s="111"/>
      <c r="BF73" s="111"/>
      <c r="BG73" s="111"/>
      <c r="BH73" s="111"/>
      <c r="BI73" s="118"/>
      <c r="BJ73" s="118"/>
      <c r="BK73" s="118"/>
      <c r="BL73" s="118"/>
      <c r="BM73" s="118"/>
      <c r="BN73" s="118"/>
      <c r="BO73" s="118"/>
      <c r="BP73" s="118"/>
    </row>
    <row r="74" s="73" customFormat="1" customHeight="1" spans="1:68">
      <c r="A74" s="83"/>
      <c r="B74" s="84"/>
      <c r="C74" s="84"/>
      <c r="D74" s="85"/>
      <c r="E74" s="85"/>
      <c r="F74" s="96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96"/>
      <c r="S74" s="108"/>
      <c r="T74" s="96"/>
      <c r="U74" s="96"/>
      <c r="V74" s="96"/>
      <c r="W74" s="96" t="s">
        <v>711</v>
      </c>
      <c r="X74" s="123">
        <f>X73-W73</f>
        <v>1077450.5925</v>
      </c>
      <c r="Y74" s="96"/>
      <c r="Z74" s="96"/>
      <c r="AA74" s="96"/>
      <c r="AB74" s="93"/>
      <c r="AC74" s="93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3"/>
      <c r="BA74" s="93"/>
      <c r="BB74" s="93"/>
      <c r="BC74" s="93"/>
      <c r="BD74" s="93"/>
      <c r="BE74" s="93"/>
      <c r="BF74" s="93"/>
      <c r="BG74" s="93"/>
      <c r="BH74" s="93"/>
      <c r="BI74" s="118"/>
      <c r="BJ74" s="118"/>
      <c r="BK74" s="118"/>
      <c r="BL74" s="118"/>
      <c r="BM74" s="118"/>
      <c r="BN74" s="118"/>
      <c r="BO74" s="118"/>
      <c r="BP74" s="118"/>
    </row>
    <row r="75" s="73" customFormat="1" customHeight="1" spans="1:91">
      <c r="A75" s="83"/>
      <c r="B75" s="84"/>
      <c r="C75" s="84"/>
      <c r="D75" s="85"/>
      <c r="E75" s="85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108"/>
      <c r="T75" s="96"/>
      <c r="U75" s="96"/>
      <c r="V75" s="96" t="s">
        <v>711</v>
      </c>
      <c r="W75" s="98" t="e">
        <f>X74-W74</f>
        <v>#VALUE!</v>
      </c>
      <c r="X75" s="98"/>
      <c r="Y75" s="96"/>
      <c r="Z75" s="96"/>
      <c r="AA75" s="96" t="s">
        <v>711</v>
      </c>
      <c r="AB75" s="98">
        <f>AC74-AB74</f>
        <v>0</v>
      </c>
      <c r="AC75" s="98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</row>
    <row r="76" s="73" customFormat="1" customHeight="1" spans="1:91">
      <c r="A76" s="77"/>
      <c r="B76" s="78"/>
      <c r="C76" s="78"/>
      <c r="D76" s="79"/>
      <c r="E76" s="79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</row>
    <row r="77" s="75" customFormat="1" customHeight="1" spans="1:81">
      <c r="A77" s="120" t="s">
        <v>712</v>
      </c>
      <c r="B77" s="120" t="s">
        <v>713</v>
      </c>
      <c r="C77" s="120" t="s">
        <v>714</v>
      </c>
      <c r="D77" s="120" t="s">
        <v>679</v>
      </c>
      <c r="E77" s="120" t="s">
        <v>715</v>
      </c>
      <c r="F77" s="120" t="s">
        <v>716</v>
      </c>
      <c r="G77" s="120" t="s">
        <v>103</v>
      </c>
      <c r="H77" s="120" t="s">
        <v>717</v>
      </c>
      <c r="I77" s="120" t="s">
        <v>718</v>
      </c>
      <c r="J77" s="120" t="s">
        <v>719</v>
      </c>
      <c r="K77" s="120" t="s">
        <v>720</v>
      </c>
      <c r="L77" s="120" t="s">
        <v>721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</row>
    <row r="78" s="75" customFormat="1" customHeight="1" spans="1:8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</row>
    <row r="79" s="73" customFormat="1" customHeight="1" spans="1:91">
      <c r="A79" s="83" t="s">
        <v>127</v>
      </c>
      <c r="B79" s="85">
        <f t="shared" ref="B79:B142" si="10">F5</f>
        <v>35</v>
      </c>
      <c r="C79" s="122">
        <f t="shared" ref="C79:C142" si="11">V5</f>
        <v>415.6185</v>
      </c>
      <c r="D79" s="85">
        <f t="shared" ref="D79:D142" si="12">T5</f>
        <v>1698.4975</v>
      </c>
      <c r="E79" s="85">
        <f t="shared" ref="E79:E142" si="13">U5</f>
        <v>164.5</v>
      </c>
      <c r="F79" s="96">
        <f t="shared" ref="F79:F142" si="14">W5</f>
        <v>2278.616</v>
      </c>
      <c r="G79" s="96">
        <f t="shared" ref="G79:G142" si="15">G5</f>
        <v>54.99</v>
      </c>
      <c r="H79" s="96">
        <f>G79-($F$2+$G$2+$H$2+$J$2+G79*15%)</f>
        <v>1.7615</v>
      </c>
      <c r="I79" s="100">
        <f t="shared" ref="I79:I142" si="16">H79/G79</f>
        <v>0.0320330969267139</v>
      </c>
      <c r="J79" s="96">
        <f t="shared" ref="J79:J142" si="17">X5</f>
        <v>1924.65</v>
      </c>
      <c r="K79" s="96">
        <f t="shared" ref="K79:K142" si="18">H79*B79</f>
        <v>61.6524999999999</v>
      </c>
      <c r="L79" s="100">
        <f t="shared" ref="L79:L142" si="19">K79/F79</f>
        <v>0.0270569942456298</v>
      </c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</row>
    <row r="80" s="73" customFormat="1" customHeight="1" spans="1:91">
      <c r="A80" s="83" t="s">
        <v>147</v>
      </c>
      <c r="B80" s="85">
        <f t="shared" si="10"/>
        <v>203</v>
      </c>
      <c r="C80" s="122">
        <f t="shared" si="11"/>
        <v>826.86</v>
      </c>
      <c r="D80" s="85">
        <f t="shared" si="12"/>
        <v>9851.2855</v>
      </c>
      <c r="E80" s="85">
        <f t="shared" si="13"/>
        <v>954.1</v>
      </c>
      <c r="F80" s="96">
        <f t="shared" si="14"/>
        <v>11632.2455</v>
      </c>
      <c r="G80" s="96">
        <f t="shared" si="15"/>
        <v>54.99</v>
      </c>
      <c r="H80" s="96">
        <f>G80-($F$2+$G$2+$H$2+$J$2+G80*15%)</f>
        <v>1.7615</v>
      </c>
      <c r="I80" s="100">
        <f t="shared" si="16"/>
        <v>0.0320330969267139</v>
      </c>
      <c r="J80" s="96">
        <f t="shared" si="17"/>
        <v>11162.97</v>
      </c>
      <c r="K80" s="96">
        <f t="shared" si="18"/>
        <v>357.5845</v>
      </c>
      <c r="L80" s="100">
        <f t="shared" si="19"/>
        <v>0.0307407972089309</v>
      </c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</row>
    <row r="81" s="73" customFormat="1" customHeight="1" spans="1:91">
      <c r="A81" s="83" t="s">
        <v>138</v>
      </c>
      <c r="B81" s="85">
        <f t="shared" si="10"/>
        <v>434</v>
      </c>
      <c r="C81" s="122">
        <f t="shared" si="11"/>
        <v>1207.34</v>
      </c>
      <c r="D81" s="85">
        <f t="shared" si="12"/>
        <v>21386.869</v>
      </c>
      <c r="E81" s="85">
        <f t="shared" si="13"/>
        <v>2039.8</v>
      </c>
      <c r="F81" s="96">
        <f t="shared" si="14"/>
        <v>24634.009</v>
      </c>
      <c r="G81" s="96">
        <f t="shared" si="15"/>
        <v>59.99</v>
      </c>
      <c r="H81" s="96">
        <f>G81-($F$2+$G$2+$H$2+$J$2+G81*15%)</f>
        <v>6.0115</v>
      </c>
      <c r="I81" s="100">
        <f t="shared" si="16"/>
        <v>0.100208368061344</v>
      </c>
      <c r="J81" s="96">
        <f t="shared" si="17"/>
        <v>26035.66</v>
      </c>
      <c r="K81" s="96">
        <f t="shared" si="18"/>
        <v>2608.991</v>
      </c>
      <c r="L81" s="100">
        <f t="shared" si="19"/>
        <v>0.105910126118733</v>
      </c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</row>
    <row r="82" s="73" customFormat="1" customHeight="1" spans="1:91">
      <c r="A82" s="83" t="s">
        <v>154</v>
      </c>
      <c r="B82" s="85">
        <f t="shared" si="10"/>
        <v>686</v>
      </c>
      <c r="C82" s="122">
        <f t="shared" si="11"/>
        <v>1693.48</v>
      </c>
      <c r="D82" s="85">
        <f t="shared" si="12"/>
        <v>34319.551</v>
      </c>
      <c r="E82" s="85">
        <f t="shared" si="13"/>
        <v>3224.2</v>
      </c>
      <c r="F82" s="96">
        <f t="shared" si="14"/>
        <v>39237.231</v>
      </c>
      <c r="G82" s="96">
        <f t="shared" si="15"/>
        <v>64.99</v>
      </c>
      <c r="H82" s="96">
        <f>G82-($F$2+$G$2+$H$2+$J$2+G82*15%)</f>
        <v>10.2615</v>
      </c>
      <c r="I82" s="100">
        <f t="shared" si="16"/>
        <v>0.15789352208032</v>
      </c>
      <c r="J82" s="96">
        <f t="shared" si="17"/>
        <v>44583.14</v>
      </c>
      <c r="K82" s="96">
        <f t="shared" si="18"/>
        <v>7039.38899999999</v>
      </c>
      <c r="L82" s="100">
        <f t="shared" si="19"/>
        <v>0.179405855627274</v>
      </c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</row>
    <row r="83" s="73" customFormat="1" customHeight="1" spans="1:91">
      <c r="A83" s="83" t="s">
        <v>204</v>
      </c>
      <c r="B83" s="85">
        <f t="shared" si="10"/>
        <v>686</v>
      </c>
      <c r="C83" s="122">
        <f t="shared" si="11"/>
        <v>1500</v>
      </c>
      <c r="D83" s="85">
        <f t="shared" si="12"/>
        <v>34319.551</v>
      </c>
      <c r="E83" s="85">
        <f t="shared" si="13"/>
        <v>3224.2</v>
      </c>
      <c r="F83" s="96">
        <f t="shared" si="14"/>
        <v>39043.751</v>
      </c>
      <c r="G83" s="96">
        <f t="shared" si="15"/>
        <v>64.99</v>
      </c>
      <c r="H83" s="96">
        <f>G83-($F$2+$G$2+$H$2+$J$2+G83*15%)</f>
        <v>10.2615</v>
      </c>
      <c r="I83" s="100">
        <f t="shared" si="16"/>
        <v>0.15789352208032</v>
      </c>
      <c r="J83" s="96">
        <f t="shared" si="17"/>
        <v>44583.14</v>
      </c>
      <c r="K83" s="96">
        <f t="shared" si="18"/>
        <v>7039.38899999999</v>
      </c>
      <c r="L83" s="100">
        <f t="shared" si="19"/>
        <v>0.180294895334211</v>
      </c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</row>
    <row r="84" s="73" customFormat="1" customHeight="1" spans="1:91">
      <c r="A84" s="83" t="s">
        <v>323</v>
      </c>
      <c r="B84" s="85">
        <f t="shared" si="10"/>
        <v>0</v>
      </c>
      <c r="C84" s="122">
        <f t="shared" si="11"/>
        <v>0</v>
      </c>
      <c r="D84" s="85">
        <f t="shared" si="12"/>
        <v>0</v>
      </c>
      <c r="E84" s="85">
        <f t="shared" si="13"/>
        <v>0</v>
      </c>
      <c r="F84" s="96">
        <f t="shared" si="14"/>
        <v>0</v>
      </c>
      <c r="G84" s="96">
        <f t="shared" si="15"/>
        <v>64.99</v>
      </c>
      <c r="H84" s="96">
        <f>G84-($F$2+$G$2+$H$2+$J$2+G84*15%)</f>
        <v>10.2615</v>
      </c>
      <c r="I84" s="100">
        <f t="shared" si="16"/>
        <v>0.15789352208032</v>
      </c>
      <c r="J84" s="96">
        <f t="shared" si="17"/>
        <v>0</v>
      </c>
      <c r="K84" s="96">
        <f t="shared" si="18"/>
        <v>0</v>
      </c>
      <c r="L84" s="100" t="e">
        <f t="shared" si="19"/>
        <v>#DIV/0!</v>
      </c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</row>
    <row r="85" s="73" customFormat="1" customHeight="1" spans="1:91">
      <c r="A85" s="83" t="s">
        <v>334</v>
      </c>
      <c r="B85" s="85">
        <f t="shared" si="10"/>
        <v>350</v>
      </c>
      <c r="C85" s="122">
        <f t="shared" si="11"/>
        <v>1500</v>
      </c>
      <c r="D85" s="85">
        <f t="shared" si="12"/>
        <v>17772.475</v>
      </c>
      <c r="E85" s="85">
        <f t="shared" si="13"/>
        <v>1645</v>
      </c>
      <c r="F85" s="96">
        <f t="shared" si="14"/>
        <v>20917.475</v>
      </c>
      <c r="G85" s="96">
        <f t="shared" si="15"/>
        <v>69.99</v>
      </c>
      <c r="H85" s="96">
        <f>G85-($F$2+$G$2+$H$2+$J$2+G85*15%)</f>
        <v>14.5115</v>
      </c>
      <c r="I85" s="100">
        <f t="shared" si="16"/>
        <v>0.207336762394628</v>
      </c>
      <c r="J85" s="96">
        <f t="shared" si="17"/>
        <v>24496.5</v>
      </c>
      <c r="K85" s="96">
        <f t="shared" si="18"/>
        <v>5079.025</v>
      </c>
      <c r="L85" s="100">
        <f t="shared" si="19"/>
        <v>0.242812528758849</v>
      </c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</row>
    <row r="86" s="73" customFormat="1" customHeight="1" spans="1:91">
      <c r="A86" s="83" t="s">
        <v>299</v>
      </c>
      <c r="B86" s="85">
        <f t="shared" si="10"/>
        <v>560</v>
      </c>
      <c r="C86" s="122">
        <f t="shared" si="11"/>
        <v>1500</v>
      </c>
      <c r="D86" s="85">
        <f t="shared" si="12"/>
        <v>28435.96</v>
      </c>
      <c r="E86" s="85">
        <f t="shared" si="13"/>
        <v>2632</v>
      </c>
      <c r="F86" s="96">
        <f t="shared" si="14"/>
        <v>32567.96</v>
      </c>
      <c r="G86" s="96">
        <f t="shared" si="15"/>
        <v>69.99</v>
      </c>
      <c r="H86" s="96">
        <f>G86-($F$2+$G$2+$H$2+$J$2+G86*15%)</f>
        <v>14.5115</v>
      </c>
      <c r="I86" s="100">
        <f t="shared" si="16"/>
        <v>0.207336762394628</v>
      </c>
      <c r="J86" s="96">
        <f t="shared" si="17"/>
        <v>39194.4</v>
      </c>
      <c r="K86" s="96">
        <f t="shared" si="18"/>
        <v>8126.44</v>
      </c>
      <c r="L86" s="100">
        <f t="shared" si="19"/>
        <v>0.249522536873663</v>
      </c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</row>
    <row r="87" s="73" customFormat="1" customHeight="1" spans="1:91">
      <c r="A87" s="83" t="s">
        <v>348</v>
      </c>
      <c r="B87" s="85">
        <f t="shared" si="10"/>
        <v>770</v>
      </c>
      <c r="C87" s="122">
        <f t="shared" si="11"/>
        <v>1500</v>
      </c>
      <c r="D87" s="85">
        <f t="shared" si="12"/>
        <v>39676.945</v>
      </c>
      <c r="E87" s="85">
        <f t="shared" si="13"/>
        <v>3619</v>
      </c>
      <c r="F87" s="96">
        <f t="shared" si="14"/>
        <v>44795.945</v>
      </c>
      <c r="G87" s="96">
        <f t="shared" si="15"/>
        <v>74.99</v>
      </c>
      <c r="H87" s="96">
        <f>G87-($F$2+$G$2+$H$2+$J$2+G87*15%)</f>
        <v>18.7615</v>
      </c>
      <c r="I87" s="100">
        <f t="shared" si="16"/>
        <v>0.250186691558874</v>
      </c>
      <c r="J87" s="96">
        <f t="shared" si="17"/>
        <v>57742.3</v>
      </c>
      <c r="K87" s="96">
        <f t="shared" si="18"/>
        <v>14446.355</v>
      </c>
      <c r="L87" s="100">
        <f t="shared" si="19"/>
        <v>0.322492471137733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</row>
    <row r="88" s="73" customFormat="1" customHeight="1" spans="1:91">
      <c r="A88" s="83" t="s">
        <v>371</v>
      </c>
      <c r="B88" s="85">
        <f t="shared" si="10"/>
        <v>770</v>
      </c>
      <c r="C88" s="122">
        <f t="shared" si="11"/>
        <v>1500</v>
      </c>
      <c r="D88" s="85">
        <f t="shared" si="12"/>
        <v>39676.945</v>
      </c>
      <c r="E88" s="85">
        <f t="shared" si="13"/>
        <v>3619</v>
      </c>
      <c r="F88" s="96">
        <f t="shared" si="14"/>
        <v>44795.945</v>
      </c>
      <c r="G88" s="96">
        <f t="shared" si="15"/>
        <v>74.99</v>
      </c>
      <c r="H88" s="96">
        <f>G88-($F$2+$G$2+$H$2+$J$2+G88*15%)</f>
        <v>18.7615</v>
      </c>
      <c r="I88" s="100">
        <f t="shared" si="16"/>
        <v>0.250186691558874</v>
      </c>
      <c r="J88" s="96">
        <f t="shared" si="17"/>
        <v>57742.3</v>
      </c>
      <c r="K88" s="96">
        <f t="shared" si="18"/>
        <v>14446.355</v>
      </c>
      <c r="L88" s="100">
        <f t="shared" si="19"/>
        <v>0.322492471137733</v>
      </c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</row>
    <row r="89" s="73" customFormat="1" customHeight="1" spans="1:91">
      <c r="A89" s="83" t="s">
        <v>391</v>
      </c>
      <c r="B89" s="85">
        <f t="shared" si="10"/>
        <v>840</v>
      </c>
      <c r="C89" s="122">
        <f t="shared" si="11"/>
        <v>1500</v>
      </c>
      <c r="D89" s="85">
        <f t="shared" si="12"/>
        <v>43283.94</v>
      </c>
      <c r="E89" s="85">
        <f t="shared" si="13"/>
        <v>3948</v>
      </c>
      <c r="F89" s="96">
        <f t="shared" si="14"/>
        <v>48731.94</v>
      </c>
      <c r="G89" s="96">
        <f t="shared" si="15"/>
        <v>74.99</v>
      </c>
      <c r="H89" s="96">
        <f>G89-($F$2+$G$2+$H$2+$J$2+G89*15%)</f>
        <v>18.7615</v>
      </c>
      <c r="I89" s="100">
        <f t="shared" si="16"/>
        <v>0.250186691558874</v>
      </c>
      <c r="J89" s="96">
        <f t="shared" si="17"/>
        <v>62991.6</v>
      </c>
      <c r="K89" s="96">
        <f t="shared" si="18"/>
        <v>15759.66</v>
      </c>
      <c r="L89" s="100">
        <f t="shared" si="19"/>
        <v>0.3233948822887</v>
      </c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</row>
    <row r="90" s="73" customFormat="1" customHeight="1" spans="1:91">
      <c r="A90" s="83" t="s">
        <v>140</v>
      </c>
      <c r="B90" s="85">
        <f t="shared" si="10"/>
        <v>840</v>
      </c>
      <c r="C90" s="122">
        <f t="shared" si="11"/>
        <v>1500</v>
      </c>
      <c r="D90" s="85">
        <f t="shared" si="12"/>
        <v>43283.94</v>
      </c>
      <c r="E90" s="85">
        <f t="shared" si="13"/>
        <v>3948</v>
      </c>
      <c r="F90" s="96">
        <f t="shared" si="14"/>
        <v>48731.94</v>
      </c>
      <c r="G90" s="96">
        <f t="shared" si="15"/>
        <v>74.99</v>
      </c>
      <c r="H90" s="96">
        <f>G90-($F$2+$G$2+$H$2+$J$2+G90*15%)</f>
        <v>18.7615</v>
      </c>
      <c r="I90" s="100">
        <f t="shared" si="16"/>
        <v>0.250186691558874</v>
      </c>
      <c r="J90" s="96">
        <f t="shared" si="17"/>
        <v>62991.6</v>
      </c>
      <c r="K90" s="96">
        <f t="shared" si="18"/>
        <v>15759.66</v>
      </c>
      <c r="L90" s="100">
        <f t="shared" si="19"/>
        <v>0.3233948822887</v>
      </c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</row>
    <row r="91" s="73" customFormat="1" customHeight="1" spans="1:91">
      <c r="A91" s="83" t="s">
        <v>287</v>
      </c>
      <c r="B91" s="85">
        <f t="shared" si="10"/>
        <v>840</v>
      </c>
      <c r="C91" s="122">
        <f t="shared" si="11"/>
        <v>1500</v>
      </c>
      <c r="D91" s="85">
        <f t="shared" si="12"/>
        <v>43283.94</v>
      </c>
      <c r="E91" s="85">
        <f t="shared" si="13"/>
        <v>3948</v>
      </c>
      <c r="F91" s="96">
        <f t="shared" si="14"/>
        <v>48731.94</v>
      </c>
      <c r="G91" s="96">
        <f t="shared" si="15"/>
        <v>74.99</v>
      </c>
      <c r="H91" s="96">
        <f>G91-($F$2+$G$2+$H$2+$J$2+G91*15%)</f>
        <v>18.7615</v>
      </c>
      <c r="I91" s="100">
        <f t="shared" si="16"/>
        <v>0.250186691558874</v>
      </c>
      <c r="J91" s="96">
        <f t="shared" si="17"/>
        <v>62991.6</v>
      </c>
      <c r="K91" s="96">
        <f t="shared" si="18"/>
        <v>15759.66</v>
      </c>
      <c r="L91" s="100">
        <f t="shared" si="19"/>
        <v>0.3233948822887</v>
      </c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</row>
    <row r="92" s="73" customFormat="1" customHeight="1" spans="1:91">
      <c r="A92" s="83" t="s">
        <v>128</v>
      </c>
      <c r="B92" s="85">
        <f t="shared" si="10"/>
        <v>770</v>
      </c>
      <c r="C92" s="122">
        <f t="shared" si="11"/>
        <v>1500</v>
      </c>
      <c r="D92" s="85">
        <f t="shared" si="12"/>
        <v>39676.945</v>
      </c>
      <c r="E92" s="85">
        <f t="shared" si="13"/>
        <v>3619</v>
      </c>
      <c r="F92" s="96">
        <f t="shared" si="14"/>
        <v>44795.945</v>
      </c>
      <c r="G92" s="96">
        <f t="shared" si="15"/>
        <v>74.99</v>
      </c>
      <c r="H92" s="96">
        <f>G92-($F$2+$G$2+$H$2+$J$2+G92*15%)</f>
        <v>18.7615</v>
      </c>
      <c r="I92" s="100">
        <f t="shared" si="16"/>
        <v>0.250186691558874</v>
      </c>
      <c r="J92" s="96">
        <f t="shared" si="17"/>
        <v>57742.3</v>
      </c>
      <c r="K92" s="96">
        <f t="shared" si="18"/>
        <v>14446.355</v>
      </c>
      <c r="L92" s="100">
        <f t="shared" si="19"/>
        <v>0.322492471137733</v>
      </c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</row>
    <row r="93" s="73" customFormat="1" customHeight="1" spans="1:91">
      <c r="A93" s="83" t="s">
        <v>685</v>
      </c>
      <c r="B93" s="85">
        <f t="shared" si="10"/>
        <v>770</v>
      </c>
      <c r="C93" s="122">
        <f t="shared" si="11"/>
        <v>1500</v>
      </c>
      <c r="D93" s="85">
        <f t="shared" si="12"/>
        <v>39676.945</v>
      </c>
      <c r="E93" s="85">
        <f t="shared" si="13"/>
        <v>3619</v>
      </c>
      <c r="F93" s="96">
        <f t="shared" si="14"/>
        <v>44795.945</v>
      </c>
      <c r="G93" s="96">
        <f t="shared" si="15"/>
        <v>74.99</v>
      </c>
      <c r="H93" s="96">
        <f>G93-($F$2+$G$2+$H$2+$J$2+G93*15%)</f>
        <v>18.7615</v>
      </c>
      <c r="I93" s="100">
        <f t="shared" si="16"/>
        <v>0.250186691558874</v>
      </c>
      <c r="J93" s="96">
        <f t="shared" si="17"/>
        <v>57742.3</v>
      </c>
      <c r="K93" s="96">
        <f t="shared" si="18"/>
        <v>14446.355</v>
      </c>
      <c r="L93" s="100">
        <f t="shared" si="19"/>
        <v>0.322492471137733</v>
      </c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</row>
    <row r="94" s="73" customFormat="1" customHeight="1" spans="1:91">
      <c r="A94" s="83" t="s">
        <v>437</v>
      </c>
      <c r="B94" s="85">
        <f t="shared" si="10"/>
        <v>700</v>
      </c>
      <c r="C94" s="122">
        <f t="shared" si="11"/>
        <v>1500</v>
      </c>
      <c r="D94" s="85">
        <f t="shared" si="12"/>
        <v>36069.95</v>
      </c>
      <c r="E94" s="85">
        <f t="shared" si="13"/>
        <v>3290</v>
      </c>
      <c r="F94" s="96">
        <f t="shared" si="14"/>
        <v>40859.95</v>
      </c>
      <c r="G94" s="96">
        <f t="shared" si="15"/>
        <v>74.99</v>
      </c>
      <c r="H94" s="96">
        <f>G94-($F$2+$G$2+$H$2+$J$2+G94*15%)</f>
        <v>18.7615</v>
      </c>
      <c r="I94" s="100">
        <f t="shared" si="16"/>
        <v>0.250186691558874</v>
      </c>
      <c r="J94" s="96">
        <f t="shared" si="17"/>
        <v>52493</v>
      </c>
      <c r="K94" s="96">
        <f t="shared" si="18"/>
        <v>13133.05</v>
      </c>
      <c r="L94" s="100">
        <f t="shared" si="19"/>
        <v>0.321416203397214</v>
      </c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</row>
    <row r="95" s="73" customFormat="1" customHeight="1" spans="1:91">
      <c r="A95" s="83" t="s">
        <v>686</v>
      </c>
      <c r="B95" s="85">
        <f t="shared" si="10"/>
        <v>700</v>
      </c>
      <c r="C95" s="122">
        <f t="shared" si="11"/>
        <v>1500</v>
      </c>
      <c r="D95" s="85">
        <f t="shared" si="12"/>
        <v>36069.95</v>
      </c>
      <c r="E95" s="85">
        <f t="shared" si="13"/>
        <v>3290</v>
      </c>
      <c r="F95" s="96">
        <f t="shared" si="14"/>
        <v>40859.95</v>
      </c>
      <c r="G95" s="96">
        <f t="shared" si="15"/>
        <v>74.99</v>
      </c>
      <c r="H95" s="96">
        <f>G95-($F$2+$G$2+$H$2+$J$2+G95*15%)</f>
        <v>18.7615</v>
      </c>
      <c r="I95" s="100">
        <f t="shared" si="16"/>
        <v>0.250186691558874</v>
      </c>
      <c r="J95" s="96">
        <f t="shared" si="17"/>
        <v>52493</v>
      </c>
      <c r="K95" s="96">
        <f t="shared" si="18"/>
        <v>13133.05</v>
      </c>
      <c r="L95" s="100">
        <f t="shared" si="19"/>
        <v>0.321416203397214</v>
      </c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</row>
    <row r="96" s="73" customFormat="1" customHeight="1" spans="1:91">
      <c r="A96" s="83" t="s">
        <v>456</v>
      </c>
      <c r="B96" s="85">
        <f t="shared" si="10"/>
        <v>630</v>
      </c>
      <c r="C96" s="122">
        <f t="shared" si="11"/>
        <v>1500</v>
      </c>
      <c r="D96" s="85">
        <f t="shared" si="12"/>
        <v>32462.955</v>
      </c>
      <c r="E96" s="85">
        <f t="shared" si="13"/>
        <v>2961</v>
      </c>
      <c r="F96" s="96">
        <f t="shared" si="14"/>
        <v>36923.955</v>
      </c>
      <c r="G96" s="96">
        <f t="shared" si="15"/>
        <v>74.99</v>
      </c>
      <c r="H96" s="96">
        <f>G96-($F$2+$G$2+$H$2+$J$2+G96*15%)</f>
        <v>18.7615</v>
      </c>
      <c r="I96" s="100">
        <f t="shared" si="16"/>
        <v>0.250186691558874</v>
      </c>
      <c r="J96" s="96">
        <f t="shared" si="17"/>
        <v>47243.7</v>
      </c>
      <c r="K96" s="96">
        <f t="shared" si="18"/>
        <v>11819.745</v>
      </c>
      <c r="L96" s="100">
        <f t="shared" si="19"/>
        <v>0.320110481122621</v>
      </c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</row>
    <row r="97" s="73" customFormat="1" customHeight="1" spans="1:91">
      <c r="A97" s="83" t="s">
        <v>687</v>
      </c>
      <c r="B97" s="85">
        <f t="shared" si="10"/>
        <v>630</v>
      </c>
      <c r="C97" s="122">
        <f t="shared" si="11"/>
        <v>1500</v>
      </c>
      <c r="D97" s="85">
        <f t="shared" si="12"/>
        <v>32462.955</v>
      </c>
      <c r="E97" s="85">
        <f t="shared" si="13"/>
        <v>2961</v>
      </c>
      <c r="F97" s="96">
        <f t="shared" si="14"/>
        <v>36923.955</v>
      </c>
      <c r="G97" s="96">
        <f t="shared" si="15"/>
        <v>74.99</v>
      </c>
      <c r="H97" s="96">
        <f>G97-($F$2+$G$2+$H$2+$J$2+G97*15%)</f>
        <v>18.7615</v>
      </c>
      <c r="I97" s="100">
        <f t="shared" si="16"/>
        <v>0.250186691558874</v>
      </c>
      <c r="J97" s="96">
        <f t="shared" si="17"/>
        <v>47243.7</v>
      </c>
      <c r="K97" s="96">
        <f t="shared" si="18"/>
        <v>11819.745</v>
      </c>
      <c r="L97" s="100">
        <f t="shared" si="19"/>
        <v>0.320110481122621</v>
      </c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</row>
    <row r="98" s="73" customFormat="1" customHeight="1" spans="1:91">
      <c r="A98" s="83" t="s">
        <v>255</v>
      </c>
      <c r="B98" s="85">
        <f t="shared" si="10"/>
        <v>630</v>
      </c>
      <c r="C98" s="122">
        <f t="shared" si="11"/>
        <v>1500</v>
      </c>
      <c r="D98" s="85">
        <f t="shared" si="12"/>
        <v>32462.955</v>
      </c>
      <c r="E98" s="85">
        <f t="shared" si="13"/>
        <v>2961</v>
      </c>
      <c r="F98" s="96">
        <f t="shared" si="14"/>
        <v>36923.955</v>
      </c>
      <c r="G98" s="96">
        <f t="shared" si="15"/>
        <v>74.99</v>
      </c>
      <c r="H98" s="96">
        <f>G98-($F$2+$G$2+$H$2+$J$2+G98*15%)</f>
        <v>18.7615</v>
      </c>
      <c r="I98" s="100">
        <f t="shared" si="16"/>
        <v>0.250186691558874</v>
      </c>
      <c r="J98" s="96">
        <f t="shared" si="17"/>
        <v>47243.7</v>
      </c>
      <c r="K98" s="96">
        <f t="shared" si="18"/>
        <v>11819.745</v>
      </c>
      <c r="L98" s="100">
        <f t="shared" si="19"/>
        <v>0.320110481122621</v>
      </c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</row>
    <row r="99" s="73" customFormat="1" customHeight="1" spans="1:91">
      <c r="A99" s="83" t="s">
        <v>502</v>
      </c>
      <c r="B99" s="85">
        <f t="shared" si="10"/>
        <v>700</v>
      </c>
      <c r="C99" s="122">
        <f t="shared" si="11"/>
        <v>1500</v>
      </c>
      <c r="D99" s="85">
        <f t="shared" si="12"/>
        <v>36069.95</v>
      </c>
      <c r="E99" s="85">
        <f t="shared" si="13"/>
        <v>3290</v>
      </c>
      <c r="F99" s="96">
        <f t="shared" si="14"/>
        <v>40859.95</v>
      </c>
      <c r="G99" s="96">
        <f t="shared" si="15"/>
        <v>74.99</v>
      </c>
      <c r="H99" s="96">
        <f>G99-($F$2+$G$2+$H$2+$J$2+G99*15%)</f>
        <v>18.7615</v>
      </c>
      <c r="I99" s="100">
        <f t="shared" si="16"/>
        <v>0.250186691558874</v>
      </c>
      <c r="J99" s="96">
        <f t="shared" si="17"/>
        <v>52493</v>
      </c>
      <c r="K99" s="96">
        <f t="shared" si="18"/>
        <v>13133.05</v>
      </c>
      <c r="L99" s="100">
        <f t="shared" si="19"/>
        <v>0.321416203397214</v>
      </c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</row>
    <row r="100" s="73" customFormat="1" customHeight="1" spans="1:91">
      <c r="A100" s="83" t="s">
        <v>501</v>
      </c>
      <c r="B100" s="85">
        <f t="shared" si="10"/>
        <v>700</v>
      </c>
      <c r="C100" s="122">
        <f t="shared" si="11"/>
        <v>1500</v>
      </c>
      <c r="D100" s="85">
        <f t="shared" si="12"/>
        <v>36069.95</v>
      </c>
      <c r="E100" s="85">
        <f t="shared" si="13"/>
        <v>3290</v>
      </c>
      <c r="F100" s="96">
        <f t="shared" si="14"/>
        <v>40859.95</v>
      </c>
      <c r="G100" s="96">
        <f t="shared" si="15"/>
        <v>74.99</v>
      </c>
      <c r="H100" s="96">
        <f>G100-($F$2+$G$2+$H$2+$J$2+G100*15%)</f>
        <v>18.7615</v>
      </c>
      <c r="I100" s="100">
        <f t="shared" si="16"/>
        <v>0.250186691558874</v>
      </c>
      <c r="J100" s="96">
        <f t="shared" si="17"/>
        <v>52493</v>
      </c>
      <c r="K100" s="96">
        <f t="shared" si="18"/>
        <v>13133.05</v>
      </c>
      <c r="L100" s="100">
        <f t="shared" si="19"/>
        <v>0.321416203397214</v>
      </c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</row>
    <row r="101" s="73" customFormat="1" customHeight="1" spans="1:91">
      <c r="A101" s="83" t="s">
        <v>688</v>
      </c>
      <c r="B101" s="85">
        <f t="shared" si="10"/>
        <v>700</v>
      </c>
      <c r="C101" s="122">
        <f t="shared" si="11"/>
        <v>1500</v>
      </c>
      <c r="D101" s="85">
        <f t="shared" si="12"/>
        <v>36069.95</v>
      </c>
      <c r="E101" s="85">
        <f t="shared" si="13"/>
        <v>3290</v>
      </c>
      <c r="F101" s="96">
        <f t="shared" si="14"/>
        <v>40859.95</v>
      </c>
      <c r="G101" s="96">
        <f t="shared" si="15"/>
        <v>74.99</v>
      </c>
      <c r="H101" s="96">
        <f>G101-($F$2+$G$2+$H$2+$J$2+G101*15%)</f>
        <v>18.7615</v>
      </c>
      <c r="I101" s="100">
        <f t="shared" si="16"/>
        <v>0.250186691558874</v>
      </c>
      <c r="J101" s="96">
        <f t="shared" si="17"/>
        <v>52493</v>
      </c>
      <c r="K101" s="96">
        <f t="shared" si="18"/>
        <v>13133.05</v>
      </c>
      <c r="L101" s="100">
        <f t="shared" si="19"/>
        <v>0.321416203397214</v>
      </c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</row>
    <row r="102" s="73" customFormat="1" customHeight="1" spans="1:91">
      <c r="A102" s="83" t="s">
        <v>414</v>
      </c>
      <c r="B102" s="85">
        <f t="shared" si="10"/>
        <v>700</v>
      </c>
      <c r="C102" s="122">
        <f t="shared" si="11"/>
        <v>1500</v>
      </c>
      <c r="D102" s="85">
        <f t="shared" si="12"/>
        <v>36069.95</v>
      </c>
      <c r="E102" s="85">
        <f t="shared" si="13"/>
        <v>3290</v>
      </c>
      <c r="F102" s="96">
        <f t="shared" si="14"/>
        <v>40859.95</v>
      </c>
      <c r="G102" s="96">
        <f t="shared" si="15"/>
        <v>74.99</v>
      </c>
      <c r="H102" s="96">
        <f>G102-($F$2+$G$2+$H$2+$J$2+G102*15%)</f>
        <v>18.7615</v>
      </c>
      <c r="I102" s="100">
        <f t="shared" si="16"/>
        <v>0.250186691558874</v>
      </c>
      <c r="J102" s="96">
        <f t="shared" si="17"/>
        <v>52493</v>
      </c>
      <c r="K102" s="96">
        <f t="shared" si="18"/>
        <v>13133.05</v>
      </c>
      <c r="L102" s="100">
        <f t="shared" si="19"/>
        <v>0.321416203397214</v>
      </c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</row>
    <row r="103" s="73" customFormat="1" customHeight="1" spans="1:91">
      <c r="A103" s="83" t="s">
        <v>689</v>
      </c>
      <c r="B103" s="85">
        <f t="shared" si="10"/>
        <v>700</v>
      </c>
      <c r="C103" s="122">
        <f t="shared" si="11"/>
        <v>1500</v>
      </c>
      <c r="D103" s="85">
        <f t="shared" si="12"/>
        <v>36069.95</v>
      </c>
      <c r="E103" s="85">
        <f t="shared" si="13"/>
        <v>3290</v>
      </c>
      <c r="F103" s="96">
        <f t="shared" si="14"/>
        <v>40859.95</v>
      </c>
      <c r="G103" s="96">
        <f t="shared" si="15"/>
        <v>74.99</v>
      </c>
      <c r="H103" s="96">
        <f>G103-($F$2+$G$2+$H$2+$J$2+G103*15%)</f>
        <v>18.7615</v>
      </c>
      <c r="I103" s="100">
        <f t="shared" si="16"/>
        <v>0.250186691558874</v>
      </c>
      <c r="J103" s="96">
        <f t="shared" si="17"/>
        <v>52493</v>
      </c>
      <c r="K103" s="96">
        <f t="shared" si="18"/>
        <v>13133.05</v>
      </c>
      <c r="L103" s="100">
        <f t="shared" si="19"/>
        <v>0.321416203397214</v>
      </c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</row>
    <row r="104" s="73" customFormat="1" customHeight="1" spans="1:91">
      <c r="A104" s="83" t="s">
        <v>457</v>
      </c>
      <c r="B104" s="85">
        <f t="shared" si="10"/>
        <v>910</v>
      </c>
      <c r="C104" s="122">
        <f t="shared" si="11"/>
        <v>1500</v>
      </c>
      <c r="D104" s="85">
        <f t="shared" si="12"/>
        <v>47573.435</v>
      </c>
      <c r="E104" s="85">
        <f t="shared" si="13"/>
        <v>4277</v>
      </c>
      <c r="F104" s="96">
        <f t="shared" si="14"/>
        <v>53350.435</v>
      </c>
      <c r="G104" s="96">
        <f t="shared" si="15"/>
        <v>79.99</v>
      </c>
      <c r="H104" s="96">
        <f>G104-($F$2+$G$2+$H$2+$J$2+G104*15%)</f>
        <v>23.0115</v>
      </c>
      <c r="I104" s="100">
        <f t="shared" si="16"/>
        <v>0.287679709963745</v>
      </c>
      <c r="J104" s="96">
        <f t="shared" si="17"/>
        <v>72790.9</v>
      </c>
      <c r="K104" s="96">
        <f t="shared" si="18"/>
        <v>20940.465</v>
      </c>
      <c r="L104" s="100">
        <f t="shared" si="19"/>
        <v>0.392507858651949</v>
      </c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</row>
    <row r="105" s="73" customFormat="1" customHeight="1" spans="1:91">
      <c r="A105" s="83" t="s">
        <v>690</v>
      </c>
      <c r="B105" s="85">
        <f t="shared" si="10"/>
        <v>910</v>
      </c>
      <c r="C105" s="122">
        <f t="shared" si="11"/>
        <v>1500</v>
      </c>
      <c r="D105" s="85">
        <f t="shared" si="12"/>
        <v>47573.435</v>
      </c>
      <c r="E105" s="85">
        <f t="shared" si="13"/>
        <v>4277</v>
      </c>
      <c r="F105" s="96">
        <f t="shared" si="14"/>
        <v>53350.435</v>
      </c>
      <c r="G105" s="96">
        <f t="shared" si="15"/>
        <v>79.99</v>
      </c>
      <c r="H105" s="96">
        <f>G105-($F$2+$G$2+$H$2+$J$2+G105*15%)</f>
        <v>23.0115</v>
      </c>
      <c r="I105" s="100">
        <f t="shared" si="16"/>
        <v>0.287679709963745</v>
      </c>
      <c r="J105" s="96">
        <f t="shared" si="17"/>
        <v>72790.9</v>
      </c>
      <c r="K105" s="96">
        <f t="shared" si="18"/>
        <v>20940.465</v>
      </c>
      <c r="L105" s="100">
        <f t="shared" si="19"/>
        <v>0.392507858651949</v>
      </c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</row>
    <row r="106" s="73" customFormat="1" customHeight="1" spans="1:91">
      <c r="A106" s="83" t="s">
        <v>399</v>
      </c>
      <c r="B106" s="85">
        <f t="shared" si="10"/>
        <v>910</v>
      </c>
      <c r="C106" s="122">
        <f t="shared" si="11"/>
        <v>1500</v>
      </c>
      <c r="D106" s="85">
        <f t="shared" si="12"/>
        <v>47573.435</v>
      </c>
      <c r="E106" s="85">
        <f t="shared" si="13"/>
        <v>4277</v>
      </c>
      <c r="F106" s="96">
        <f t="shared" si="14"/>
        <v>53350.435</v>
      </c>
      <c r="G106" s="96">
        <f t="shared" si="15"/>
        <v>79.99</v>
      </c>
      <c r="H106" s="96">
        <f>G106-($F$2+$G$2+$H$2+$J$2+G106*15%)</f>
        <v>23.0115</v>
      </c>
      <c r="I106" s="100">
        <f t="shared" si="16"/>
        <v>0.287679709963745</v>
      </c>
      <c r="J106" s="96">
        <f t="shared" si="17"/>
        <v>72790.9</v>
      </c>
      <c r="K106" s="96">
        <f t="shared" si="18"/>
        <v>20940.465</v>
      </c>
      <c r="L106" s="100">
        <f t="shared" si="19"/>
        <v>0.392507858651949</v>
      </c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</row>
    <row r="107" s="73" customFormat="1" customHeight="1" spans="1:91">
      <c r="A107" s="83" t="s">
        <v>227</v>
      </c>
      <c r="B107" s="85">
        <f t="shared" si="10"/>
        <v>910</v>
      </c>
      <c r="C107" s="122">
        <f t="shared" si="11"/>
        <v>1500</v>
      </c>
      <c r="D107" s="85">
        <f t="shared" si="12"/>
        <v>47573.435</v>
      </c>
      <c r="E107" s="85">
        <f t="shared" si="13"/>
        <v>4277</v>
      </c>
      <c r="F107" s="96">
        <f t="shared" si="14"/>
        <v>53350.435</v>
      </c>
      <c r="G107" s="96">
        <f t="shared" si="15"/>
        <v>79.99</v>
      </c>
      <c r="H107" s="96">
        <f>G107-($F$2+$G$2+$H$2+$J$2+G107*15%)</f>
        <v>23.0115</v>
      </c>
      <c r="I107" s="100">
        <f t="shared" si="16"/>
        <v>0.287679709963745</v>
      </c>
      <c r="J107" s="96">
        <f t="shared" si="17"/>
        <v>72790.9</v>
      </c>
      <c r="K107" s="96">
        <f t="shared" si="18"/>
        <v>20940.465</v>
      </c>
      <c r="L107" s="100">
        <f t="shared" si="19"/>
        <v>0.392507858651949</v>
      </c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</row>
    <row r="108" s="73" customFormat="1" customHeight="1" spans="1:91">
      <c r="A108" s="83" t="s">
        <v>691</v>
      </c>
      <c r="B108" s="85">
        <f t="shared" si="10"/>
        <v>840</v>
      </c>
      <c r="C108" s="122">
        <f t="shared" si="11"/>
        <v>1500</v>
      </c>
      <c r="D108" s="85">
        <f t="shared" si="12"/>
        <v>43913.94</v>
      </c>
      <c r="E108" s="85">
        <f t="shared" si="13"/>
        <v>3948</v>
      </c>
      <c r="F108" s="96">
        <f t="shared" si="14"/>
        <v>49361.94</v>
      </c>
      <c r="G108" s="96">
        <f t="shared" si="15"/>
        <v>79.99</v>
      </c>
      <c r="H108" s="96">
        <f>G108-($F$2+$G$2+$H$2+$J$2+G108*15%)</f>
        <v>23.0115</v>
      </c>
      <c r="I108" s="100">
        <f t="shared" si="16"/>
        <v>0.287679709963745</v>
      </c>
      <c r="J108" s="96">
        <f t="shared" si="17"/>
        <v>67191.6</v>
      </c>
      <c r="K108" s="96">
        <f t="shared" si="18"/>
        <v>19329.66</v>
      </c>
      <c r="L108" s="100">
        <f t="shared" si="19"/>
        <v>0.391590362939544</v>
      </c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</row>
    <row r="109" s="73" customFormat="1" customHeight="1" spans="1:91">
      <c r="A109" s="83" t="s">
        <v>214</v>
      </c>
      <c r="B109" s="85">
        <f t="shared" si="10"/>
        <v>840</v>
      </c>
      <c r="C109" s="122">
        <f t="shared" si="11"/>
        <v>1500</v>
      </c>
      <c r="D109" s="85">
        <f t="shared" si="12"/>
        <v>43913.94</v>
      </c>
      <c r="E109" s="85">
        <f t="shared" si="13"/>
        <v>3948</v>
      </c>
      <c r="F109" s="96">
        <f t="shared" si="14"/>
        <v>49361.94</v>
      </c>
      <c r="G109" s="96">
        <f t="shared" si="15"/>
        <v>79.99</v>
      </c>
      <c r="H109" s="96">
        <f>G109-($F$2+$G$2+$H$2+$J$2+G109*15%)</f>
        <v>23.0115</v>
      </c>
      <c r="I109" s="100">
        <f t="shared" si="16"/>
        <v>0.287679709963745</v>
      </c>
      <c r="J109" s="96">
        <f t="shared" si="17"/>
        <v>67191.6</v>
      </c>
      <c r="K109" s="96">
        <f t="shared" si="18"/>
        <v>19329.66</v>
      </c>
      <c r="L109" s="100">
        <f t="shared" si="19"/>
        <v>0.391590362939544</v>
      </c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</row>
    <row r="110" s="73" customFormat="1" customHeight="1" spans="1:91">
      <c r="A110" s="83" t="s">
        <v>692</v>
      </c>
      <c r="B110" s="85">
        <f t="shared" si="10"/>
        <v>840</v>
      </c>
      <c r="C110" s="122">
        <f t="shared" si="11"/>
        <v>1500</v>
      </c>
      <c r="D110" s="85">
        <f t="shared" si="12"/>
        <v>43913.94</v>
      </c>
      <c r="E110" s="85">
        <f t="shared" si="13"/>
        <v>3948</v>
      </c>
      <c r="F110" s="96">
        <f t="shared" si="14"/>
        <v>49361.94</v>
      </c>
      <c r="G110" s="96">
        <f t="shared" si="15"/>
        <v>79.99</v>
      </c>
      <c r="H110" s="96">
        <f>G110-($F$2+$G$2+$H$2+$J$2+G110*15%)</f>
        <v>23.0115</v>
      </c>
      <c r="I110" s="100">
        <f t="shared" si="16"/>
        <v>0.287679709963745</v>
      </c>
      <c r="J110" s="96">
        <f t="shared" si="17"/>
        <v>67191.6</v>
      </c>
      <c r="K110" s="96">
        <f t="shared" si="18"/>
        <v>19329.66</v>
      </c>
      <c r="L110" s="100">
        <f t="shared" si="19"/>
        <v>0.391590362939544</v>
      </c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</row>
    <row r="111" s="73" customFormat="1" customHeight="1" spans="1:91">
      <c r="A111" s="83" t="s">
        <v>488</v>
      </c>
      <c r="B111" s="85">
        <f t="shared" si="10"/>
        <v>840</v>
      </c>
      <c r="C111" s="122">
        <f t="shared" si="11"/>
        <v>1500</v>
      </c>
      <c r="D111" s="85">
        <f t="shared" si="12"/>
        <v>43913.94</v>
      </c>
      <c r="E111" s="85">
        <f t="shared" si="13"/>
        <v>3948</v>
      </c>
      <c r="F111" s="96">
        <f t="shared" si="14"/>
        <v>49361.94</v>
      </c>
      <c r="G111" s="96">
        <f t="shared" si="15"/>
        <v>79.99</v>
      </c>
      <c r="H111" s="96">
        <f>G111-($F$2+$G$2+$H$2+$J$2+G111*15%)</f>
        <v>23.0115</v>
      </c>
      <c r="I111" s="100">
        <f t="shared" si="16"/>
        <v>0.287679709963745</v>
      </c>
      <c r="J111" s="96">
        <f t="shared" si="17"/>
        <v>67191.6</v>
      </c>
      <c r="K111" s="96">
        <f t="shared" si="18"/>
        <v>19329.66</v>
      </c>
      <c r="L111" s="100">
        <f t="shared" si="19"/>
        <v>0.391590362939544</v>
      </c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</row>
    <row r="112" s="73" customFormat="1" customHeight="1" spans="1:91">
      <c r="A112" s="83" t="s">
        <v>693</v>
      </c>
      <c r="B112" s="85">
        <f t="shared" si="10"/>
        <v>980</v>
      </c>
      <c r="C112" s="122">
        <f t="shared" si="11"/>
        <v>1500</v>
      </c>
      <c r="D112" s="85">
        <f t="shared" si="12"/>
        <v>51232.93</v>
      </c>
      <c r="E112" s="85">
        <f t="shared" si="13"/>
        <v>4606</v>
      </c>
      <c r="F112" s="96">
        <f t="shared" si="14"/>
        <v>57338.93</v>
      </c>
      <c r="G112" s="96">
        <f t="shared" si="15"/>
        <v>79.99</v>
      </c>
      <c r="H112" s="96">
        <f>G112-($F$2+$G$2+$H$2+$J$2+G112*15%)</f>
        <v>23.0115</v>
      </c>
      <c r="I112" s="100">
        <f t="shared" si="16"/>
        <v>0.287679709963745</v>
      </c>
      <c r="J112" s="96">
        <f t="shared" si="17"/>
        <v>78390.2</v>
      </c>
      <c r="K112" s="96">
        <f t="shared" si="18"/>
        <v>22551.27</v>
      </c>
      <c r="L112" s="100">
        <f t="shared" si="19"/>
        <v>0.393297712391912</v>
      </c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</row>
    <row r="113" s="73" customFormat="1" customHeight="1" spans="1:91">
      <c r="A113" s="83" t="s">
        <v>357</v>
      </c>
      <c r="B113" s="85">
        <f t="shared" si="10"/>
        <v>980</v>
      </c>
      <c r="C113" s="122">
        <f t="shared" si="11"/>
        <v>1500</v>
      </c>
      <c r="D113" s="85">
        <f t="shared" si="12"/>
        <v>51232.93</v>
      </c>
      <c r="E113" s="85">
        <f t="shared" si="13"/>
        <v>4606</v>
      </c>
      <c r="F113" s="96">
        <f t="shared" si="14"/>
        <v>57338.93</v>
      </c>
      <c r="G113" s="96">
        <f t="shared" si="15"/>
        <v>79.99</v>
      </c>
      <c r="H113" s="96">
        <f>G113-($F$2+$G$2+$H$2+$J$2+G113*15%)</f>
        <v>23.0115</v>
      </c>
      <c r="I113" s="100">
        <f t="shared" si="16"/>
        <v>0.287679709963745</v>
      </c>
      <c r="J113" s="96">
        <f t="shared" si="17"/>
        <v>78390.2</v>
      </c>
      <c r="K113" s="96">
        <f t="shared" si="18"/>
        <v>22551.27</v>
      </c>
      <c r="L113" s="100">
        <f t="shared" si="19"/>
        <v>0.393297712391912</v>
      </c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</row>
    <row r="114" s="73" customFormat="1" customHeight="1" spans="1:91">
      <c r="A114" s="83" t="s">
        <v>207</v>
      </c>
      <c r="B114" s="85">
        <f t="shared" si="10"/>
        <v>980</v>
      </c>
      <c r="C114" s="122">
        <f t="shared" si="11"/>
        <v>1500</v>
      </c>
      <c r="D114" s="85">
        <f t="shared" si="12"/>
        <v>51232.93</v>
      </c>
      <c r="E114" s="85">
        <f t="shared" si="13"/>
        <v>4606</v>
      </c>
      <c r="F114" s="96">
        <f t="shared" si="14"/>
        <v>57338.93</v>
      </c>
      <c r="G114" s="96">
        <f t="shared" si="15"/>
        <v>79.99</v>
      </c>
      <c r="H114" s="96">
        <f>G114-($F$2+$G$2+$H$2+$J$2+G114*15%)</f>
        <v>23.0115</v>
      </c>
      <c r="I114" s="100">
        <f t="shared" si="16"/>
        <v>0.287679709963745</v>
      </c>
      <c r="J114" s="96">
        <f t="shared" si="17"/>
        <v>78390.2</v>
      </c>
      <c r="K114" s="96">
        <f t="shared" si="18"/>
        <v>22551.27</v>
      </c>
      <c r="L114" s="100">
        <f t="shared" si="19"/>
        <v>0.393297712391912</v>
      </c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</row>
    <row r="115" s="73" customFormat="1" customHeight="1" spans="1:91">
      <c r="A115" s="83" t="s">
        <v>466</v>
      </c>
      <c r="B115" s="85">
        <f t="shared" si="10"/>
        <v>980</v>
      </c>
      <c r="C115" s="122">
        <f t="shared" si="11"/>
        <v>1500</v>
      </c>
      <c r="D115" s="85">
        <f t="shared" si="12"/>
        <v>51232.93</v>
      </c>
      <c r="E115" s="85">
        <f t="shared" si="13"/>
        <v>4606</v>
      </c>
      <c r="F115" s="96">
        <f t="shared" si="14"/>
        <v>57338.93</v>
      </c>
      <c r="G115" s="96">
        <f t="shared" si="15"/>
        <v>79.99</v>
      </c>
      <c r="H115" s="96">
        <f>G115-($F$2+$G$2+$H$2+$J$2+G115*15%)</f>
        <v>23.0115</v>
      </c>
      <c r="I115" s="100">
        <f t="shared" si="16"/>
        <v>0.287679709963745</v>
      </c>
      <c r="J115" s="96">
        <f t="shared" si="17"/>
        <v>78390.2</v>
      </c>
      <c r="K115" s="96">
        <f t="shared" si="18"/>
        <v>22551.27</v>
      </c>
      <c r="L115" s="100">
        <f t="shared" si="19"/>
        <v>0.393297712391912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</row>
    <row r="116" s="73" customFormat="1" customHeight="1" spans="1:91">
      <c r="A116" s="83" t="s">
        <v>155</v>
      </c>
      <c r="B116" s="85">
        <f t="shared" si="10"/>
        <v>980</v>
      </c>
      <c r="C116" s="122">
        <f t="shared" si="11"/>
        <v>1500</v>
      </c>
      <c r="D116" s="85">
        <f t="shared" si="12"/>
        <v>51232.93</v>
      </c>
      <c r="E116" s="85">
        <f t="shared" si="13"/>
        <v>4606</v>
      </c>
      <c r="F116" s="96">
        <f t="shared" si="14"/>
        <v>57338.93</v>
      </c>
      <c r="G116" s="96">
        <f t="shared" si="15"/>
        <v>79.99</v>
      </c>
      <c r="H116" s="96">
        <f>G116-($F$2+$G$2+$H$2+$J$2+G116*15%)</f>
        <v>23.0115</v>
      </c>
      <c r="I116" s="100">
        <f t="shared" si="16"/>
        <v>0.287679709963745</v>
      </c>
      <c r="J116" s="96">
        <f t="shared" si="17"/>
        <v>78390.2</v>
      </c>
      <c r="K116" s="96">
        <f t="shared" si="18"/>
        <v>22551.27</v>
      </c>
      <c r="L116" s="100">
        <f t="shared" si="19"/>
        <v>0.393297712391912</v>
      </c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</row>
    <row r="117" s="73" customFormat="1" customHeight="1" spans="1:91">
      <c r="A117" s="83" t="s">
        <v>694</v>
      </c>
      <c r="B117" s="85">
        <f t="shared" si="10"/>
        <v>980</v>
      </c>
      <c r="C117" s="122">
        <f t="shared" si="11"/>
        <v>1500</v>
      </c>
      <c r="D117" s="85">
        <f t="shared" si="12"/>
        <v>51232.93</v>
      </c>
      <c r="E117" s="85">
        <f t="shared" si="13"/>
        <v>4606</v>
      </c>
      <c r="F117" s="96">
        <f t="shared" si="14"/>
        <v>57338.93</v>
      </c>
      <c r="G117" s="96">
        <f t="shared" si="15"/>
        <v>79.99</v>
      </c>
      <c r="H117" s="96">
        <f>G117-($F$2+$G$2+$H$2+$J$2+G117*15%)</f>
        <v>23.0115</v>
      </c>
      <c r="I117" s="100">
        <f t="shared" si="16"/>
        <v>0.287679709963745</v>
      </c>
      <c r="J117" s="96">
        <f t="shared" si="17"/>
        <v>78390.2</v>
      </c>
      <c r="K117" s="96">
        <f t="shared" si="18"/>
        <v>22551.27</v>
      </c>
      <c r="L117" s="100">
        <f t="shared" si="19"/>
        <v>0.393297712391912</v>
      </c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</row>
    <row r="118" s="73" customFormat="1" customHeight="1" spans="1:91">
      <c r="A118" s="83" t="s">
        <v>248</v>
      </c>
      <c r="B118" s="85">
        <f t="shared" si="10"/>
        <v>980</v>
      </c>
      <c r="C118" s="122">
        <f t="shared" si="11"/>
        <v>1500</v>
      </c>
      <c r="D118" s="85">
        <f t="shared" si="12"/>
        <v>51232.93</v>
      </c>
      <c r="E118" s="85">
        <f t="shared" si="13"/>
        <v>4606</v>
      </c>
      <c r="F118" s="96">
        <f t="shared" si="14"/>
        <v>57338.93</v>
      </c>
      <c r="G118" s="96">
        <f t="shared" si="15"/>
        <v>79.99</v>
      </c>
      <c r="H118" s="96">
        <f>G118-($F$2+$G$2+$H$2+$J$2+G118*15%)</f>
        <v>23.0115</v>
      </c>
      <c r="I118" s="100">
        <f t="shared" si="16"/>
        <v>0.287679709963745</v>
      </c>
      <c r="J118" s="96">
        <f t="shared" si="17"/>
        <v>78390.2</v>
      </c>
      <c r="K118" s="96">
        <f t="shared" si="18"/>
        <v>22551.27</v>
      </c>
      <c r="L118" s="100">
        <f t="shared" si="19"/>
        <v>0.393297712391912</v>
      </c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</row>
    <row r="119" s="73" customFormat="1" customHeight="1" spans="1:91">
      <c r="A119" s="83" t="s">
        <v>695</v>
      </c>
      <c r="B119" s="85">
        <f t="shared" si="10"/>
        <v>980</v>
      </c>
      <c r="C119" s="122">
        <f t="shared" si="11"/>
        <v>1500</v>
      </c>
      <c r="D119" s="85">
        <f t="shared" si="12"/>
        <v>51232.93</v>
      </c>
      <c r="E119" s="85">
        <f t="shared" si="13"/>
        <v>4606</v>
      </c>
      <c r="F119" s="96">
        <f t="shared" si="14"/>
        <v>57338.93</v>
      </c>
      <c r="G119" s="96">
        <f t="shared" si="15"/>
        <v>79.99</v>
      </c>
      <c r="H119" s="96">
        <f>G119-($F$2+$G$2+$H$2+$J$2+G119*15%)</f>
        <v>23.0115</v>
      </c>
      <c r="I119" s="100">
        <f t="shared" si="16"/>
        <v>0.287679709963745</v>
      </c>
      <c r="J119" s="96">
        <f t="shared" si="17"/>
        <v>78390.2</v>
      </c>
      <c r="K119" s="96">
        <f t="shared" si="18"/>
        <v>22551.27</v>
      </c>
      <c r="L119" s="100">
        <f t="shared" si="19"/>
        <v>0.393297712391912</v>
      </c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</row>
    <row r="120" s="73" customFormat="1" customHeight="1" spans="1:91">
      <c r="A120" s="83" t="s">
        <v>696</v>
      </c>
      <c r="B120" s="85">
        <f t="shared" si="10"/>
        <v>980</v>
      </c>
      <c r="C120" s="122">
        <f t="shared" si="11"/>
        <v>1500</v>
      </c>
      <c r="D120" s="85">
        <f t="shared" si="12"/>
        <v>51232.93</v>
      </c>
      <c r="E120" s="85">
        <f t="shared" si="13"/>
        <v>4606</v>
      </c>
      <c r="F120" s="96">
        <f t="shared" si="14"/>
        <v>57338.93</v>
      </c>
      <c r="G120" s="96">
        <f t="shared" si="15"/>
        <v>79.99</v>
      </c>
      <c r="H120" s="96">
        <f>G120-($F$2+$G$2+$H$2+$J$2+G120*15%)</f>
        <v>23.0115</v>
      </c>
      <c r="I120" s="100">
        <f t="shared" si="16"/>
        <v>0.287679709963745</v>
      </c>
      <c r="J120" s="96">
        <f t="shared" si="17"/>
        <v>78390.2</v>
      </c>
      <c r="K120" s="96">
        <f t="shared" si="18"/>
        <v>22551.27</v>
      </c>
      <c r="L120" s="100">
        <f t="shared" si="19"/>
        <v>0.393297712391912</v>
      </c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</row>
    <row r="121" s="73" customFormat="1" customHeight="1" spans="1:91">
      <c r="A121" s="83" t="s">
        <v>201</v>
      </c>
      <c r="B121" s="85">
        <f t="shared" si="10"/>
        <v>980</v>
      </c>
      <c r="C121" s="122">
        <f t="shared" si="11"/>
        <v>1500</v>
      </c>
      <c r="D121" s="85">
        <f t="shared" si="12"/>
        <v>51232.93</v>
      </c>
      <c r="E121" s="85">
        <f t="shared" si="13"/>
        <v>4606</v>
      </c>
      <c r="F121" s="96">
        <f t="shared" si="14"/>
        <v>57338.93</v>
      </c>
      <c r="G121" s="96">
        <f t="shared" si="15"/>
        <v>79.99</v>
      </c>
      <c r="H121" s="96">
        <f>G121-($F$2+$G$2+$H$2+$J$2+G121*15%)</f>
        <v>23.0115</v>
      </c>
      <c r="I121" s="100">
        <f t="shared" si="16"/>
        <v>0.287679709963745</v>
      </c>
      <c r="J121" s="96">
        <f t="shared" si="17"/>
        <v>78390.2</v>
      </c>
      <c r="K121" s="96">
        <f t="shared" si="18"/>
        <v>22551.27</v>
      </c>
      <c r="L121" s="100">
        <f t="shared" si="19"/>
        <v>0.393297712391912</v>
      </c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</row>
    <row r="122" s="73" customFormat="1" customHeight="1" spans="1:91">
      <c r="A122" s="83" t="s">
        <v>335</v>
      </c>
      <c r="B122" s="85">
        <f t="shared" si="10"/>
        <v>980</v>
      </c>
      <c r="C122" s="122">
        <f t="shared" si="11"/>
        <v>1500</v>
      </c>
      <c r="D122" s="85">
        <f t="shared" si="12"/>
        <v>51232.93</v>
      </c>
      <c r="E122" s="85">
        <f t="shared" si="13"/>
        <v>4606</v>
      </c>
      <c r="F122" s="96">
        <f t="shared" si="14"/>
        <v>57338.93</v>
      </c>
      <c r="G122" s="96">
        <f t="shared" si="15"/>
        <v>79.99</v>
      </c>
      <c r="H122" s="96">
        <f>G122-($F$2+$G$2+$H$2+$J$2+G122*15%)</f>
        <v>23.0115</v>
      </c>
      <c r="I122" s="100">
        <f t="shared" si="16"/>
        <v>0.287679709963745</v>
      </c>
      <c r="J122" s="96">
        <f t="shared" si="17"/>
        <v>78390.2</v>
      </c>
      <c r="K122" s="96">
        <f t="shared" si="18"/>
        <v>22551.27</v>
      </c>
      <c r="L122" s="100">
        <f t="shared" si="19"/>
        <v>0.393297712391912</v>
      </c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</row>
    <row r="123" s="73" customFormat="1" customHeight="1" spans="1:91">
      <c r="A123" s="83" t="s">
        <v>221</v>
      </c>
      <c r="B123" s="85">
        <f t="shared" si="10"/>
        <v>980</v>
      </c>
      <c r="C123" s="122">
        <f t="shared" si="11"/>
        <v>1500</v>
      </c>
      <c r="D123" s="85">
        <f t="shared" si="12"/>
        <v>51232.93</v>
      </c>
      <c r="E123" s="85">
        <f t="shared" si="13"/>
        <v>4606</v>
      </c>
      <c r="F123" s="96">
        <f t="shared" si="14"/>
        <v>57338.93</v>
      </c>
      <c r="G123" s="96">
        <f t="shared" si="15"/>
        <v>79.99</v>
      </c>
      <c r="H123" s="96">
        <f>G123-($F$2+$G$2+$H$2+$J$2+G123*15%)</f>
        <v>23.0115</v>
      </c>
      <c r="I123" s="100">
        <f t="shared" si="16"/>
        <v>0.287679709963745</v>
      </c>
      <c r="J123" s="96">
        <f t="shared" si="17"/>
        <v>78390.2</v>
      </c>
      <c r="K123" s="96">
        <f t="shared" si="18"/>
        <v>22551.27</v>
      </c>
      <c r="L123" s="100">
        <f t="shared" si="19"/>
        <v>0.393297712391912</v>
      </c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</row>
    <row r="124" s="73" customFormat="1" customHeight="1" spans="1:91">
      <c r="A124" s="83" t="s">
        <v>697</v>
      </c>
      <c r="B124" s="85">
        <f t="shared" si="10"/>
        <v>980</v>
      </c>
      <c r="C124" s="122">
        <f t="shared" si="11"/>
        <v>1500</v>
      </c>
      <c r="D124" s="85">
        <f t="shared" si="12"/>
        <v>51232.93</v>
      </c>
      <c r="E124" s="85">
        <f t="shared" si="13"/>
        <v>4606</v>
      </c>
      <c r="F124" s="96">
        <f t="shared" si="14"/>
        <v>57338.93</v>
      </c>
      <c r="G124" s="96">
        <f t="shared" si="15"/>
        <v>79.99</v>
      </c>
      <c r="H124" s="96">
        <f>G124-($F$2+$G$2+$H$2+$J$2+G124*15%)</f>
        <v>23.0115</v>
      </c>
      <c r="I124" s="100">
        <f t="shared" si="16"/>
        <v>0.287679709963745</v>
      </c>
      <c r="J124" s="96">
        <f t="shared" si="17"/>
        <v>78390.2</v>
      </c>
      <c r="K124" s="96">
        <f t="shared" si="18"/>
        <v>22551.27</v>
      </c>
      <c r="L124" s="100">
        <f t="shared" si="19"/>
        <v>0.393297712391912</v>
      </c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</row>
    <row r="125" s="73" customFormat="1" customHeight="1" spans="1:91">
      <c r="A125" s="83" t="s">
        <v>220</v>
      </c>
      <c r="B125" s="85">
        <f t="shared" si="10"/>
        <v>980</v>
      </c>
      <c r="C125" s="122">
        <f t="shared" si="11"/>
        <v>1500</v>
      </c>
      <c r="D125" s="85">
        <f t="shared" si="12"/>
        <v>51232.93</v>
      </c>
      <c r="E125" s="85">
        <f t="shared" si="13"/>
        <v>4606</v>
      </c>
      <c r="F125" s="96">
        <f t="shared" si="14"/>
        <v>57338.93</v>
      </c>
      <c r="G125" s="96">
        <f t="shared" si="15"/>
        <v>79.99</v>
      </c>
      <c r="H125" s="96">
        <f>G125-($F$2+$G$2+$H$2+$J$2+G125*15%)</f>
        <v>23.0115</v>
      </c>
      <c r="I125" s="100">
        <f t="shared" si="16"/>
        <v>0.287679709963745</v>
      </c>
      <c r="J125" s="96">
        <f t="shared" si="17"/>
        <v>78390.2</v>
      </c>
      <c r="K125" s="96">
        <f t="shared" si="18"/>
        <v>22551.27</v>
      </c>
      <c r="L125" s="100">
        <f t="shared" si="19"/>
        <v>0.393297712391912</v>
      </c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</row>
    <row r="126" s="73" customFormat="1" customHeight="1" spans="1:91">
      <c r="A126" s="83" t="s">
        <v>698</v>
      </c>
      <c r="B126" s="85">
        <f t="shared" si="10"/>
        <v>980</v>
      </c>
      <c r="C126" s="122">
        <f t="shared" si="11"/>
        <v>1500</v>
      </c>
      <c r="D126" s="85">
        <f t="shared" si="12"/>
        <v>51232.93</v>
      </c>
      <c r="E126" s="85">
        <f t="shared" si="13"/>
        <v>4606</v>
      </c>
      <c r="F126" s="96">
        <f t="shared" si="14"/>
        <v>57338.93</v>
      </c>
      <c r="G126" s="96">
        <f t="shared" si="15"/>
        <v>79.99</v>
      </c>
      <c r="H126" s="96">
        <f>G126-($F$2+$G$2+$H$2+$J$2+G126*15%)</f>
        <v>23.0115</v>
      </c>
      <c r="I126" s="100">
        <f t="shared" si="16"/>
        <v>0.287679709963745</v>
      </c>
      <c r="J126" s="96">
        <f t="shared" si="17"/>
        <v>78390.2</v>
      </c>
      <c r="K126" s="96">
        <f t="shared" si="18"/>
        <v>22551.27</v>
      </c>
      <c r="L126" s="100">
        <f t="shared" si="19"/>
        <v>0.393297712391912</v>
      </c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</row>
    <row r="127" s="73" customFormat="1" customHeight="1" spans="1:91">
      <c r="A127" s="83" t="s">
        <v>257</v>
      </c>
      <c r="B127" s="85">
        <f t="shared" si="10"/>
        <v>980</v>
      </c>
      <c r="C127" s="122">
        <f t="shared" si="11"/>
        <v>1500</v>
      </c>
      <c r="D127" s="85">
        <f t="shared" si="12"/>
        <v>51232.93</v>
      </c>
      <c r="E127" s="85">
        <f t="shared" si="13"/>
        <v>4606</v>
      </c>
      <c r="F127" s="96">
        <f t="shared" si="14"/>
        <v>57338.93</v>
      </c>
      <c r="G127" s="96">
        <f t="shared" si="15"/>
        <v>79.99</v>
      </c>
      <c r="H127" s="96">
        <f>G127-($F$2+$G$2+$H$2+$J$2+G127*15%)</f>
        <v>23.0115</v>
      </c>
      <c r="I127" s="100">
        <f t="shared" si="16"/>
        <v>0.287679709963745</v>
      </c>
      <c r="J127" s="96">
        <f t="shared" si="17"/>
        <v>78390.2</v>
      </c>
      <c r="K127" s="96">
        <f t="shared" si="18"/>
        <v>22551.27</v>
      </c>
      <c r="L127" s="100">
        <f t="shared" si="19"/>
        <v>0.393297712391912</v>
      </c>
      <c r="M127" s="80"/>
      <c r="N127" s="80"/>
      <c r="O127" s="80"/>
      <c r="P127" s="80"/>
      <c r="Q127" s="80"/>
      <c r="R127" s="80"/>
      <c r="S127" s="76"/>
      <c r="T127" s="80"/>
      <c r="U127" s="80"/>
      <c r="V127" s="80"/>
      <c r="W127" s="124"/>
      <c r="X127" s="124"/>
      <c r="Y127" s="80"/>
      <c r="Z127" s="80"/>
      <c r="AA127" s="80"/>
      <c r="AB127" s="124"/>
      <c r="AC127" s="124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</row>
    <row r="128" s="73" customFormat="1" customHeight="1" spans="1:91">
      <c r="A128" s="83" t="s">
        <v>699</v>
      </c>
      <c r="B128" s="85">
        <f t="shared" si="10"/>
        <v>980</v>
      </c>
      <c r="C128" s="122">
        <f t="shared" si="11"/>
        <v>1500</v>
      </c>
      <c r="D128" s="85">
        <f t="shared" si="12"/>
        <v>51232.93</v>
      </c>
      <c r="E128" s="85">
        <f t="shared" si="13"/>
        <v>4606</v>
      </c>
      <c r="F128" s="96">
        <f t="shared" si="14"/>
        <v>57338.93</v>
      </c>
      <c r="G128" s="96">
        <f t="shared" si="15"/>
        <v>79.99</v>
      </c>
      <c r="H128" s="96">
        <f>G128-($F$2+$G$2+$H$2+$J$2+G128*15%)</f>
        <v>23.0115</v>
      </c>
      <c r="I128" s="100">
        <f t="shared" si="16"/>
        <v>0.287679709963745</v>
      </c>
      <c r="J128" s="96">
        <f t="shared" si="17"/>
        <v>78390.2</v>
      </c>
      <c r="K128" s="96">
        <f t="shared" si="18"/>
        <v>22551.27</v>
      </c>
      <c r="L128" s="100">
        <f t="shared" si="19"/>
        <v>0.393297712391912</v>
      </c>
      <c r="M128" s="80"/>
      <c r="N128" s="80"/>
      <c r="O128" s="80"/>
      <c r="P128" s="80"/>
      <c r="Q128" s="80"/>
      <c r="R128" s="80"/>
      <c r="S128" s="76"/>
      <c r="T128" s="80"/>
      <c r="U128" s="80"/>
      <c r="V128" s="80"/>
      <c r="W128" s="124"/>
      <c r="X128" s="124"/>
      <c r="Y128" s="80"/>
      <c r="Z128" s="80"/>
      <c r="AA128" s="80"/>
      <c r="AB128" s="124"/>
      <c r="AC128" s="124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118"/>
      <c r="BV128" s="118"/>
      <c r="BW128" s="118"/>
      <c r="BX128" s="118"/>
      <c r="BY128" s="118"/>
      <c r="BZ128" s="118"/>
      <c r="CA128" s="118"/>
      <c r="CB128" s="118"/>
      <c r="CC128" s="118"/>
      <c r="CD128" s="118"/>
      <c r="CE128" s="118"/>
      <c r="CF128" s="118"/>
      <c r="CG128" s="118"/>
      <c r="CH128" s="118"/>
      <c r="CI128" s="118"/>
      <c r="CJ128" s="118"/>
      <c r="CK128" s="118"/>
      <c r="CL128" s="118"/>
      <c r="CM128" s="118"/>
    </row>
    <row r="129" s="73" customFormat="1" customHeight="1" spans="1:91">
      <c r="A129" s="83" t="s">
        <v>700</v>
      </c>
      <c r="B129" s="85">
        <f t="shared" si="10"/>
        <v>840</v>
      </c>
      <c r="C129" s="122">
        <f t="shared" si="11"/>
        <v>1500</v>
      </c>
      <c r="D129" s="85">
        <f t="shared" si="12"/>
        <v>43913.94</v>
      </c>
      <c r="E129" s="85">
        <f t="shared" si="13"/>
        <v>3948</v>
      </c>
      <c r="F129" s="96">
        <f t="shared" si="14"/>
        <v>49361.94</v>
      </c>
      <c r="G129" s="96">
        <f t="shared" si="15"/>
        <v>79.99</v>
      </c>
      <c r="H129" s="96">
        <f>G129-($F$2+$G$2+$H$2+$J$2+G129*15%)</f>
        <v>23.0115</v>
      </c>
      <c r="I129" s="100">
        <f t="shared" si="16"/>
        <v>0.287679709963745</v>
      </c>
      <c r="J129" s="96">
        <f t="shared" si="17"/>
        <v>67191.6</v>
      </c>
      <c r="K129" s="96">
        <f t="shared" si="18"/>
        <v>19329.66</v>
      </c>
      <c r="L129" s="100">
        <f t="shared" si="19"/>
        <v>0.391590362939544</v>
      </c>
      <c r="M129" s="80"/>
      <c r="N129" s="80"/>
      <c r="O129" s="80"/>
      <c r="P129" s="80"/>
      <c r="Q129" s="80"/>
      <c r="R129" s="80"/>
      <c r="S129" s="76"/>
      <c r="T129" s="80"/>
      <c r="U129" s="80"/>
      <c r="V129" s="80"/>
      <c r="W129" s="124"/>
      <c r="X129" s="124"/>
      <c r="Y129" s="80"/>
      <c r="Z129" s="80"/>
      <c r="AA129" s="80"/>
      <c r="AB129" s="124"/>
      <c r="AC129" s="124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118"/>
      <c r="BV129" s="118"/>
      <c r="BW129" s="118"/>
      <c r="BX129" s="118"/>
      <c r="BY129" s="118"/>
      <c r="BZ129" s="118"/>
      <c r="CA129" s="118"/>
      <c r="CB129" s="118"/>
      <c r="CC129" s="118"/>
      <c r="CD129" s="118"/>
      <c r="CE129" s="118"/>
      <c r="CF129" s="118"/>
      <c r="CG129" s="118"/>
      <c r="CH129" s="118"/>
      <c r="CI129" s="118"/>
      <c r="CJ129" s="118"/>
      <c r="CK129" s="118"/>
      <c r="CL129" s="118"/>
      <c r="CM129" s="118"/>
    </row>
    <row r="130" s="73" customFormat="1" customHeight="1" spans="1:91">
      <c r="A130" s="83" t="s">
        <v>701</v>
      </c>
      <c r="B130" s="85">
        <f t="shared" si="10"/>
        <v>840</v>
      </c>
      <c r="C130" s="122">
        <f t="shared" si="11"/>
        <v>1500</v>
      </c>
      <c r="D130" s="85">
        <f t="shared" si="12"/>
        <v>43913.94</v>
      </c>
      <c r="E130" s="85">
        <f t="shared" si="13"/>
        <v>3948</v>
      </c>
      <c r="F130" s="96">
        <f t="shared" si="14"/>
        <v>49361.94</v>
      </c>
      <c r="G130" s="96">
        <f t="shared" si="15"/>
        <v>79.99</v>
      </c>
      <c r="H130" s="96">
        <f>G130-($F$2+$G$2+$H$2+$J$2+G130*15%)</f>
        <v>23.0115</v>
      </c>
      <c r="I130" s="100">
        <f t="shared" si="16"/>
        <v>0.287679709963745</v>
      </c>
      <c r="J130" s="96">
        <f t="shared" si="17"/>
        <v>67191.6</v>
      </c>
      <c r="K130" s="96">
        <f t="shared" si="18"/>
        <v>19329.66</v>
      </c>
      <c r="L130" s="100">
        <f t="shared" si="19"/>
        <v>0.391590362939544</v>
      </c>
      <c r="M130" s="80"/>
      <c r="N130" s="80"/>
      <c r="O130" s="80"/>
      <c r="P130" s="80"/>
      <c r="Q130" s="80"/>
      <c r="R130" s="80"/>
      <c r="S130" s="76"/>
      <c r="T130" s="80"/>
      <c r="U130" s="80"/>
      <c r="V130" s="80"/>
      <c r="W130" s="124"/>
      <c r="X130" s="124"/>
      <c r="Y130" s="80"/>
      <c r="Z130" s="80"/>
      <c r="AA130" s="80"/>
      <c r="AB130" s="124"/>
      <c r="AC130" s="124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118"/>
      <c r="BV130" s="118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18"/>
      <c r="CJ130" s="118"/>
      <c r="CK130" s="118"/>
      <c r="CL130" s="118"/>
      <c r="CM130" s="118"/>
    </row>
    <row r="131" s="73" customFormat="1" customHeight="1" spans="1:91">
      <c r="A131" s="83" t="s">
        <v>702</v>
      </c>
      <c r="B131" s="85">
        <f t="shared" si="10"/>
        <v>840</v>
      </c>
      <c r="C131" s="122">
        <f t="shared" si="11"/>
        <v>1500</v>
      </c>
      <c r="D131" s="85">
        <f t="shared" si="12"/>
        <v>43913.94</v>
      </c>
      <c r="E131" s="85">
        <f t="shared" si="13"/>
        <v>3948</v>
      </c>
      <c r="F131" s="96">
        <f t="shared" si="14"/>
        <v>49361.94</v>
      </c>
      <c r="G131" s="96">
        <f t="shared" si="15"/>
        <v>79.99</v>
      </c>
      <c r="H131" s="96">
        <f>G131-($F$2+$G$2+$H$2+$J$2+G131*15%)</f>
        <v>23.0115</v>
      </c>
      <c r="I131" s="100">
        <f t="shared" si="16"/>
        <v>0.287679709963745</v>
      </c>
      <c r="J131" s="96">
        <f t="shared" si="17"/>
        <v>67191.6</v>
      </c>
      <c r="K131" s="96">
        <f t="shared" si="18"/>
        <v>19329.66</v>
      </c>
      <c r="L131" s="100">
        <f t="shared" si="19"/>
        <v>0.391590362939544</v>
      </c>
      <c r="M131" s="80"/>
      <c r="N131" s="80"/>
      <c r="O131" s="80"/>
      <c r="P131" s="80"/>
      <c r="Q131" s="80"/>
      <c r="R131" s="80"/>
      <c r="S131" s="76"/>
      <c r="T131" s="80"/>
      <c r="U131" s="80"/>
      <c r="V131" s="80"/>
      <c r="W131" s="124"/>
      <c r="X131" s="124"/>
      <c r="Y131" s="80"/>
      <c r="Z131" s="80"/>
      <c r="AA131" s="80"/>
      <c r="AB131" s="124"/>
      <c r="AC131" s="124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118"/>
      <c r="BV131" s="118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/>
      <c r="CJ131" s="118"/>
      <c r="CK131" s="118"/>
      <c r="CL131" s="118"/>
      <c r="CM131" s="118"/>
    </row>
    <row r="132" s="73" customFormat="1" customHeight="1" spans="1:91">
      <c r="A132" s="83" t="s">
        <v>280</v>
      </c>
      <c r="B132" s="85">
        <f t="shared" si="10"/>
        <v>840</v>
      </c>
      <c r="C132" s="122">
        <f t="shared" si="11"/>
        <v>1500</v>
      </c>
      <c r="D132" s="85">
        <f t="shared" si="12"/>
        <v>43913.94</v>
      </c>
      <c r="E132" s="85">
        <f t="shared" si="13"/>
        <v>3948</v>
      </c>
      <c r="F132" s="96">
        <f t="shared" si="14"/>
        <v>49361.94</v>
      </c>
      <c r="G132" s="96">
        <f t="shared" si="15"/>
        <v>79.99</v>
      </c>
      <c r="H132" s="96">
        <f>G132-($F$2+$G$2+$H$2+$J$2+G132*15%)</f>
        <v>23.0115</v>
      </c>
      <c r="I132" s="100">
        <f t="shared" si="16"/>
        <v>0.287679709963745</v>
      </c>
      <c r="J132" s="96">
        <f t="shared" si="17"/>
        <v>67191.6</v>
      </c>
      <c r="K132" s="96">
        <f t="shared" si="18"/>
        <v>19329.66</v>
      </c>
      <c r="L132" s="100">
        <f t="shared" si="19"/>
        <v>0.391590362939544</v>
      </c>
      <c r="M132" s="80"/>
      <c r="N132" s="80"/>
      <c r="O132" s="80"/>
      <c r="P132" s="80"/>
      <c r="Q132" s="80"/>
      <c r="R132" s="80"/>
      <c r="S132" s="76"/>
      <c r="T132" s="80"/>
      <c r="U132" s="80"/>
      <c r="V132" s="80"/>
      <c r="W132" s="124"/>
      <c r="X132" s="124"/>
      <c r="Y132" s="80"/>
      <c r="Z132" s="80"/>
      <c r="AA132" s="80"/>
      <c r="AB132" s="124"/>
      <c r="AC132" s="124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118"/>
      <c r="BV132" s="118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/>
      <c r="CJ132" s="118"/>
      <c r="CK132" s="118"/>
      <c r="CL132" s="118"/>
      <c r="CM132" s="118"/>
    </row>
    <row r="133" s="73" customFormat="1" customHeight="1" spans="1:91">
      <c r="A133" s="83" t="s">
        <v>703</v>
      </c>
      <c r="B133" s="85">
        <f t="shared" si="10"/>
        <v>840</v>
      </c>
      <c r="C133" s="122">
        <f t="shared" si="11"/>
        <v>1500</v>
      </c>
      <c r="D133" s="85">
        <f t="shared" si="12"/>
        <v>43913.94</v>
      </c>
      <c r="E133" s="85">
        <f t="shared" si="13"/>
        <v>3948</v>
      </c>
      <c r="F133" s="96">
        <f t="shared" si="14"/>
        <v>49361.94</v>
      </c>
      <c r="G133" s="96">
        <f t="shared" si="15"/>
        <v>79.99</v>
      </c>
      <c r="H133" s="96">
        <f>G133-($F$2+$G$2+$H$2+$J$2+G133*15%)</f>
        <v>23.0115</v>
      </c>
      <c r="I133" s="100">
        <f t="shared" si="16"/>
        <v>0.287679709963745</v>
      </c>
      <c r="J133" s="96">
        <f t="shared" si="17"/>
        <v>67191.6</v>
      </c>
      <c r="K133" s="96">
        <f t="shared" si="18"/>
        <v>19329.66</v>
      </c>
      <c r="L133" s="100">
        <f t="shared" si="19"/>
        <v>0.391590362939544</v>
      </c>
      <c r="M133" s="80"/>
      <c r="N133" s="80"/>
      <c r="O133" s="80"/>
      <c r="P133" s="80"/>
      <c r="Q133" s="80"/>
      <c r="R133" s="80"/>
      <c r="S133" s="76"/>
      <c r="T133" s="80"/>
      <c r="U133" s="80"/>
      <c r="V133" s="80"/>
      <c r="W133" s="124"/>
      <c r="X133" s="124"/>
      <c r="Y133" s="80"/>
      <c r="Z133" s="80"/>
      <c r="AA133" s="80"/>
      <c r="AB133" s="124"/>
      <c r="AC133" s="124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118"/>
      <c r="BV133" s="118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/>
      <c r="CJ133" s="118"/>
      <c r="CK133" s="118"/>
      <c r="CL133" s="118"/>
      <c r="CM133" s="118"/>
    </row>
    <row r="134" s="73" customFormat="1" customHeight="1" spans="1:91">
      <c r="A134" s="83" t="s">
        <v>289</v>
      </c>
      <c r="B134" s="85">
        <f t="shared" si="10"/>
        <v>910</v>
      </c>
      <c r="C134" s="122">
        <f t="shared" si="11"/>
        <v>1500</v>
      </c>
      <c r="D134" s="85">
        <f t="shared" si="12"/>
        <v>47573.435</v>
      </c>
      <c r="E134" s="85">
        <f t="shared" si="13"/>
        <v>4277</v>
      </c>
      <c r="F134" s="96">
        <f t="shared" si="14"/>
        <v>53350.435</v>
      </c>
      <c r="G134" s="96">
        <f t="shared" si="15"/>
        <v>79.99</v>
      </c>
      <c r="H134" s="96">
        <f>G134-($F$2+$G$2+$H$2+$J$2+G134*15%)</f>
        <v>23.0115</v>
      </c>
      <c r="I134" s="100">
        <f t="shared" si="16"/>
        <v>0.287679709963745</v>
      </c>
      <c r="J134" s="96">
        <f t="shared" si="17"/>
        <v>72790.9</v>
      </c>
      <c r="K134" s="96">
        <f t="shared" si="18"/>
        <v>20940.465</v>
      </c>
      <c r="L134" s="100">
        <f t="shared" si="19"/>
        <v>0.392507858651949</v>
      </c>
      <c r="M134" s="80"/>
      <c r="N134" s="80"/>
      <c r="O134" s="80"/>
      <c r="P134" s="80"/>
      <c r="Q134" s="80"/>
      <c r="R134" s="80"/>
      <c r="S134" s="76"/>
      <c r="T134" s="80"/>
      <c r="U134" s="80"/>
      <c r="V134" s="80"/>
      <c r="W134" s="124"/>
      <c r="X134" s="124"/>
      <c r="Y134" s="80"/>
      <c r="Z134" s="80"/>
      <c r="AA134" s="80"/>
      <c r="AB134" s="124"/>
      <c r="AC134" s="124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118"/>
      <c r="BV134" s="118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/>
      <c r="CJ134" s="118"/>
      <c r="CK134" s="118"/>
      <c r="CL134" s="118"/>
      <c r="CM134" s="118"/>
    </row>
    <row r="135" s="73" customFormat="1" customHeight="1" spans="1:91">
      <c r="A135" s="83" t="s">
        <v>704</v>
      </c>
      <c r="B135" s="85">
        <f t="shared" si="10"/>
        <v>910</v>
      </c>
      <c r="C135" s="122">
        <f t="shared" si="11"/>
        <v>1500</v>
      </c>
      <c r="D135" s="85">
        <f t="shared" si="12"/>
        <v>47573.435</v>
      </c>
      <c r="E135" s="85">
        <f t="shared" si="13"/>
        <v>4277</v>
      </c>
      <c r="F135" s="96">
        <f t="shared" si="14"/>
        <v>53350.435</v>
      </c>
      <c r="G135" s="96">
        <f t="shared" si="15"/>
        <v>79.99</v>
      </c>
      <c r="H135" s="96">
        <f>G135-($F$2+$G$2+$H$2+$J$2+G135*15%)</f>
        <v>23.0115</v>
      </c>
      <c r="I135" s="100">
        <f t="shared" si="16"/>
        <v>0.287679709963745</v>
      </c>
      <c r="J135" s="96">
        <f t="shared" si="17"/>
        <v>72790.9</v>
      </c>
      <c r="K135" s="96">
        <f t="shared" si="18"/>
        <v>20940.465</v>
      </c>
      <c r="L135" s="100">
        <f t="shared" si="19"/>
        <v>0.392507858651949</v>
      </c>
      <c r="M135" s="80"/>
      <c r="N135" s="80"/>
      <c r="O135" s="80"/>
      <c r="P135" s="80"/>
      <c r="Q135" s="80"/>
      <c r="R135" s="80"/>
      <c r="S135" s="76"/>
      <c r="T135" s="80"/>
      <c r="U135" s="80"/>
      <c r="V135" s="80"/>
      <c r="W135" s="124"/>
      <c r="X135" s="124"/>
      <c r="Y135" s="80"/>
      <c r="Z135" s="80"/>
      <c r="AA135" s="80"/>
      <c r="AB135" s="124"/>
      <c r="AC135" s="124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118"/>
      <c r="BV135" s="118"/>
      <c r="BW135" s="118"/>
      <c r="BX135" s="118"/>
      <c r="BY135" s="118"/>
      <c r="BZ135" s="118"/>
      <c r="CA135" s="118"/>
      <c r="CB135" s="118"/>
      <c r="CC135" s="118"/>
      <c r="CD135" s="118"/>
      <c r="CE135" s="118"/>
      <c r="CF135" s="118"/>
      <c r="CG135" s="118"/>
      <c r="CH135" s="118"/>
      <c r="CI135" s="118"/>
      <c r="CJ135" s="118"/>
      <c r="CK135" s="118"/>
      <c r="CL135" s="118"/>
      <c r="CM135" s="118"/>
    </row>
    <row r="136" s="73" customFormat="1" customHeight="1" spans="1:91">
      <c r="A136" s="83" t="s">
        <v>705</v>
      </c>
      <c r="B136" s="85">
        <f t="shared" si="10"/>
        <v>910</v>
      </c>
      <c r="C136" s="122">
        <f t="shared" si="11"/>
        <v>1500</v>
      </c>
      <c r="D136" s="85">
        <f t="shared" si="12"/>
        <v>47573.435</v>
      </c>
      <c r="E136" s="85">
        <f t="shared" si="13"/>
        <v>4277</v>
      </c>
      <c r="F136" s="96">
        <f t="shared" si="14"/>
        <v>53350.435</v>
      </c>
      <c r="G136" s="96">
        <f t="shared" si="15"/>
        <v>79.99</v>
      </c>
      <c r="H136" s="96">
        <f>G136-($F$2+$G$2+$H$2+$J$2+G136*15%)</f>
        <v>23.0115</v>
      </c>
      <c r="I136" s="100">
        <f t="shared" si="16"/>
        <v>0.287679709963745</v>
      </c>
      <c r="J136" s="96">
        <f t="shared" si="17"/>
        <v>72790.9</v>
      </c>
      <c r="K136" s="96">
        <f t="shared" si="18"/>
        <v>20940.465</v>
      </c>
      <c r="L136" s="100">
        <f t="shared" si="19"/>
        <v>0.392507858651949</v>
      </c>
      <c r="M136" s="80"/>
      <c r="N136" s="80"/>
      <c r="O136" s="80"/>
      <c r="P136" s="80"/>
      <c r="Q136" s="80"/>
      <c r="R136" s="80"/>
      <c r="S136" s="76"/>
      <c r="T136" s="80"/>
      <c r="U136" s="80"/>
      <c r="V136" s="80"/>
      <c r="W136" s="124"/>
      <c r="X136" s="124"/>
      <c r="Y136" s="80"/>
      <c r="Z136" s="80"/>
      <c r="AA136" s="80"/>
      <c r="AB136" s="124"/>
      <c r="AC136" s="124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118"/>
      <c r="BV136" s="118"/>
      <c r="BW136" s="118"/>
      <c r="BX136" s="118"/>
      <c r="BY136" s="118"/>
      <c r="BZ136" s="118"/>
      <c r="CA136" s="118"/>
      <c r="CB136" s="118"/>
      <c r="CC136" s="118"/>
      <c r="CD136" s="118"/>
      <c r="CE136" s="118"/>
      <c r="CF136" s="118"/>
      <c r="CG136" s="118"/>
      <c r="CH136" s="118"/>
      <c r="CI136" s="118"/>
      <c r="CJ136" s="118"/>
      <c r="CK136" s="118"/>
      <c r="CL136" s="118"/>
      <c r="CM136" s="118"/>
    </row>
    <row r="137" s="73" customFormat="1" customHeight="1" spans="1:91">
      <c r="A137" s="83" t="s">
        <v>213</v>
      </c>
      <c r="B137" s="85">
        <f t="shared" si="10"/>
        <v>910</v>
      </c>
      <c r="C137" s="122">
        <f t="shared" si="11"/>
        <v>1500</v>
      </c>
      <c r="D137" s="85">
        <f t="shared" si="12"/>
        <v>47573.435</v>
      </c>
      <c r="E137" s="85">
        <f t="shared" si="13"/>
        <v>4277</v>
      </c>
      <c r="F137" s="96">
        <f t="shared" si="14"/>
        <v>53350.435</v>
      </c>
      <c r="G137" s="96">
        <f t="shared" si="15"/>
        <v>79.99</v>
      </c>
      <c r="H137" s="96">
        <f>G137-($F$2+$G$2+$H$2+$J$2+G137*15%)</f>
        <v>23.0115</v>
      </c>
      <c r="I137" s="100">
        <f t="shared" si="16"/>
        <v>0.287679709963745</v>
      </c>
      <c r="J137" s="96">
        <f t="shared" si="17"/>
        <v>72790.9</v>
      </c>
      <c r="K137" s="96">
        <f t="shared" si="18"/>
        <v>20940.465</v>
      </c>
      <c r="L137" s="100">
        <f t="shared" si="19"/>
        <v>0.392507858651949</v>
      </c>
      <c r="M137" s="80"/>
      <c r="N137" s="80"/>
      <c r="O137" s="80"/>
      <c r="P137" s="80"/>
      <c r="Q137" s="80"/>
      <c r="R137" s="80"/>
      <c r="S137" s="76"/>
      <c r="T137" s="80"/>
      <c r="U137" s="80"/>
      <c r="V137" s="80"/>
      <c r="W137" s="124"/>
      <c r="X137" s="124"/>
      <c r="Y137" s="80"/>
      <c r="Z137" s="80"/>
      <c r="AA137" s="80"/>
      <c r="AB137" s="124"/>
      <c r="AC137" s="124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</row>
    <row r="138" s="73" customFormat="1" customHeight="1" spans="1:91">
      <c r="A138" s="83" t="s">
        <v>706</v>
      </c>
      <c r="B138" s="85">
        <f t="shared" si="10"/>
        <v>910</v>
      </c>
      <c r="C138" s="122">
        <f t="shared" si="11"/>
        <v>1500</v>
      </c>
      <c r="D138" s="85">
        <f t="shared" si="12"/>
        <v>47573.435</v>
      </c>
      <c r="E138" s="85">
        <f t="shared" si="13"/>
        <v>4277</v>
      </c>
      <c r="F138" s="96">
        <f t="shared" si="14"/>
        <v>53350.435</v>
      </c>
      <c r="G138" s="96">
        <f t="shared" si="15"/>
        <v>79.99</v>
      </c>
      <c r="H138" s="96">
        <f>G138-($F$2+$G$2+$H$2+$J$2+G138*15%)</f>
        <v>23.0115</v>
      </c>
      <c r="I138" s="100">
        <f t="shared" si="16"/>
        <v>0.287679709963745</v>
      </c>
      <c r="J138" s="96">
        <f t="shared" si="17"/>
        <v>72790.9</v>
      </c>
      <c r="K138" s="96">
        <f t="shared" si="18"/>
        <v>20940.465</v>
      </c>
      <c r="L138" s="100">
        <f t="shared" si="19"/>
        <v>0.392507858651949</v>
      </c>
      <c r="M138" s="80"/>
      <c r="N138" s="80"/>
      <c r="O138" s="80"/>
      <c r="P138" s="80"/>
      <c r="Q138" s="80"/>
      <c r="R138" s="80"/>
      <c r="S138" s="76"/>
      <c r="T138" s="80"/>
      <c r="U138" s="80"/>
      <c r="V138" s="80"/>
      <c r="W138" s="124"/>
      <c r="X138" s="124"/>
      <c r="Y138" s="80"/>
      <c r="Z138" s="80"/>
      <c r="AA138" s="80"/>
      <c r="AB138" s="124"/>
      <c r="AC138" s="124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118"/>
      <c r="BV138" s="118"/>
      <c r="BW138" s="118"/>
      <c r="BX138" s="118"/>
      <c r="BY138" s="118"/>
      <c r="BZ138" s="118"/>
      <c r="CA138" s="118"/>
      <c r="CB138" s="118"/>
      <c r="CC138" s="118"/>
      <c r="CD138" s="118"/>
      <c r="CE138" s="118"/>
      <c r="CF138" s="118"/>
      <c r="CG138" s="118"/>
      <c r="CH138" s="118"/>
      <c r="CI138" s="118"/>
      <c r="CJ138" s="118"/>
      <c r="CK138" s="118"/>
      <c r="CL138" s="118"/>
      <c r="CM138" s="118"/>
    </row>
    <row r="139" s="73" customFormat="1" customHeight="1" spans="1:91">
      <c r="A139" s="83" t="s">
        <v>707</v>
      </c>
      <c r="B139" s="85">
        <f t="shared" si="10"/>
        <v>910</v>
      </c>
      <c r="C139" s="122">
        <f t="shared" si="11"/>
        <v>1500</v>
      </c>
      <c r="D139" s="85">
        <f t="shared" si="12"/>
        <v>47573.435</v>
      </c>
      <c r="E139" s="85">
        <f t="shared" si="13"/>
        <v>4277</v>
      </c>
      <c r="F139" s="96">
        <f t="shared" si="14"/>
        <v>53350.435</v>
      </c>
      <c r="G139" s="96">
        <f t="shared" si="15"/>
        <v>79.99</v>
      </c>
      <c r="H139" s="96">
        <f>G139-($F$2+$G$2+$H$2+$J$2+G139*15%)</f>
        <v>23.0115</v>
      </c>
      <c r="I139" s="100">
        <f t="shared" si="16"/>
        <v>0.287679709963745</v>
      </c>
      <c r="J139" s="96">
        <f t="shared" si="17"/>
        <v>72790.9</v>
      </c>
      <c r="K139" s="96">
        <f t="shared" si="18"/>
        <v>20940.465</v>
      </c>
      <c r="L139" s="100">
        <f t="shared" si="19"/>
        <v>0.392507858651949</v>
      </c>
      <c r="M139" s="80"/>
      <c r="N139" s="80"/>
      <c r="O139" s="80"/>
      <c r="P139" s="80"/>
      <c r="Q139" s="80"/>
      <c r="R139" s="80"/>
      <c r="S139" s="76"/>
      <c r="T139" s="80"/>
      <c r="U139" s="80"/>
      <c r="V139" s="80"/>
      <c r="W139" s="124"/>
      <c r="X139" s="124"/>
      <c r="Y139" s="80"/>
      <c r="Z139" s="80"/>
      <c r="AA139" s="80"/>
      <c r="AB139" s="124"/>
      <c r="AC139" s="124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118"/>
      <c r="BV139" s="118"/>
      <c r="BW139" s="118"/>
      <c r="BX139" s="118"/>
      <c r="BY139" s="118"/>
      <c r="BZ139" s="118"/>
      <c r="CA139" s="118"/>
      <c r="CB139" s="118"/>
      <c r="CC139" s="118"/>
      <c r="CD139" s="118"/>
      <c r="CE139" s="118"/>
      <c r="CF139" s="118"/>
      <c r="CG139" s="118"/>
      <c r="CH139" s="118"/>
      <c r="CI139" s="118"/>
      <c r="CJ139" s="118"/>
      <c r="CK139" s="118"/>
      <c r="CL139" s="118"/>
      <c r="CM139" s="118"/>
    </row>
    <row r="140" s="73" customFormat="1" customHeight="1" spans="1:91">
      <c r="A140" s="83" t="s">
        <v>206</v>
      </c>
      <c r="B140" s="85">
        <f t="shared" si="10"/>
        <v>910</v>
      </c>
      <c r="C140" s="122">
        <f t="shared" si="11"/>
        <v>1500</v>
      </c>
      <c r="D140" s="85">
        <f t="shared" si="12"/>
        <v>47573.435</v>
      </c>
      <c r="E140" s="85">
        <f t="shared" si="13"/>
        <v>4277</v>
      </c>
      <c r="F140" s="96">
        <f t="shared" si="14"/>
        <v>53350.435</v>
      </c>
      <c r="G140" s="96">
        <f t="shared" si="15"/>
        <v>79.99</v>
      </c>
      <c r="H140" s="96">
        <f>G140-($F$2+$G$2+$H$2+$J$2+G140*15%)</f>
        <v>23.0115</v>
      </c>
      <c r="I140" s="100">
        <f t="shared" si="16"/>
        <v>0.287679709963745</v>
      </c>
      <c r="J140" s="96">
        <f t="shared" si="17"/>
        <v>72790.9</v>
      </c>
      <c r="K140" s="96">
        <f t="shared" si="18"/>
        <v>20940.465</v>
      </c>
      <c r="L140" s="100">
        <f t="shared" si="19"/>
        <v>0.392507858651949</v>
      </c>
      <c r="M140" s="80"/>
      <c r="N140" s="80"/>
      <c r="O140" s="80"/>
      <c r="P140" s="80"/>
      <c r="Q140" s="80"/>
      <c r="R140" s="80"/>
      <c r="S140" s="76"/>
      <c r="T140" s="80"/>
      <c r="U140" s="80"/>
      <c r="V140" s="80"/>
      <c r="W140" s="124"/>
      <c r="X140" s="124"/>
      <c r="Y140" s="80"/>
      <c r="Z140" s="80"/>
      <c r="AA140" s="80"/>
      <c r="AB140" s="124"/>
      <c r="AC140" s="124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118"/>
      <c r="BV140" s="118"/>
      <c r="BW140" s="118"/>
      <c r="BX140" s="118"/>
      <c r="BY140" s="118"/>
      <c r="BZ140" s="118"/>
      <c r="CA140" s="118"/>
      <c r="CB140" s="118"/>
      <c r="CC140" s="118"/>
      <c r="CD140" s="118"/>
      <c r="CE140" s="118"/>
      <c r="CF140" s="118"/>
      <c r="CG140" s="118"/>
      <c r="CH140" s="118"/>
      <c r="CI140" s="118"/>
      <c r="CJ140" s="118"/>
      <c r="CK140" s="118"/>
      <c r="CL140" s="118"/>
      <c r="CM140" s="118"/>
    </row>
    <row r="141" s="73" customFormat="1" customHeight="1" spans="1:91">
      <c r="A141" s="83" t="s">
        <v>487</v>
      </c>
      <c r="B141" s="85">
        <f t="shared" si="10"/>
        <v>910</v>
      </c>
      <c r="C141" s="122">
        <f t="shared" si="11"/>
        <v>1500</v>
      </c>
      <c r="D141" s="85">
        <f t="shared" si="12"/>
        <v>47573.435</v>
      </c>
      <c r="E141" s="85">
        <f t="shared" si="13"/>
        <v>4277</v>
      </c>
      <c r="F141" s="96">
        <f t="shared" si="14"/>
        <v>53350.435</v>
      </c>
      <c r="G141" s="96">
        <f t="shared" si="15"/>
        <v>79.99</v>
      </c>
      <c r="H141" s="96">
        <f>G141-($F$2+$G$2+$H$2+$J$2+G141*15%)</f>
        <v>23.0115</v>
      </c>
      <c r="I141" s="100">
        <f t="shared" si="16"/>
        <v>0.287679709963745</v>
      </c>
      <c r="J141" s="96">
        <f t="shared" si="17"/>
        <v>72790.9</v>
      </c>
      <c r="K141" s="96">
        <f t="shared" si="18"/>
        <v>20940.465</v>
      </c>
      <c r="L141" s="100">
        <f t="shared" si="19"/>
        <v>0.392507858651949</v>
      </c>
      <c r="M141" s="80"/>
      <c r="N141" s="80"/>
      <c r="O141" s="80"/>
      <c r="P141" s="80"/>
      <c r="Q141" s="80"/>
      <c r="R141" s="80"/>
      <c r="S141" s="76"/>
      <c r="T141" s="80"/>
      <c r="U141" s="80"/>
      <c r="V141" s="80"/>
      <c r="W141" s="124"/>
      <c r="X141" s="124"/>
      <c r="Y141" s="80"/>
      <c r="Z141" s="80"/>
      <c r="AA141" s="80"/>
      <c r="AB141" s="124"/>
      <c r="AC141" s="124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118"/>
      <c r="BV141" s="118"/>
      <c r="BW141" s="118"/>
      <c r="BX141" s="118"/>
      <c r="BY141" s="118"/>
      <c r="BZ141" s="118"/>
      <c r="CA141" s="118"/>
      <c r="CB141" s="118"/>
      <c r="CC141" s="118"/>
      <c r="CD141" s="118"/>
      <c r="CE141" s="118"/>
      <c r="CF141" s="118"/>
      <c r="CG141" s="118"/>
      <c r="CH141" s="118"/>
      <c r="CI141" s="118"/>
      <c r="CJ141" s="118"/>
      <c r="CK141" s="118"/>
      <c r="CL141" s="118"/>
      <c r="CM141" s="118"/>
    </row>
    <row r="142" s="73" customFormat="1" customHeight="1" spans="1:91">
      <c r="A142" s="83" t="s">
        <v>483</v>
      </c>
      <c r="B142" s="85">
        <f t="shared" si="10"/>
        <v>910</v>
      </c>
      <c r="C142" s="122">
        <f t="shared" si="11"/>
        <v>1500</v>
      </c>
      <c r="D142" s="85">
        <f t="shared" si="12"/>
        <v>47573.435</v>
      </c>
      <c r="E142" s="85">
        <f t="shared" si="13"/>
        <v>4277</v>
      </c>
      <c r="F142" s="96">
        <f t="shared" si="14"/>
        <v>53350.435</v>
      </c>
      <c r="G142" s="96">
        <f t="shared" si="15"/>
        <v>79.99</v>
      </c>
      <c r="H142" s="96">
        <f>G142-($F$2+$G$2+$H$2+$J$2+G142*15%)</f>
        <v>23.0115</v>
      </c>
      <c r="I142" s="100">
        <f t="shared" si="16"/>
        <v>0.287679709963745</v>
      </c>
      <c r="J142" s="96">
        <f t="shared" si="17"/>
        <v>72790.9</v>
      </c>
      <c r="K142" s="96">
        <f t="shared" si="18"/>
        <v>20940.465</v>
      </c>
      <c r="L142" s="100">
        <f t="shared" si="19"/>
        <v>0.392507858651949</v>
      </c>
      <c r="M142" s="80"/>
      <c r="N142" s="80"/>
      <c r="O142" s="80"/>
      <c r="P142" s="80"/>
      <c r="Q142" s="80"/>
      <c r="R142" s="80"/>
      <c r="S142" s="76"/>
      <c r="T142" s="80"/>
      <c r="U142" s="80"/>
      <c r="V142" s="80"/>
      <c r="W142" s="124"/>
      <c r="X142" s="124"/>
      <c r="Y142" s="80"/>
      <c r="Z142" s="80"/>
      <c r="AA142" s="80"/>
      <c r="AB142" s="124"/>
      <c r="AC142" s="124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118"/>
      <c r="BV142" s="118"/>
      <c r="BW142" s="118"/>
      <c r="BX142" s="118"/>
      <c r="BY142" s="118"/>
      <c r="BZ142" s="118"/>
      <c r="CA142" s="118"/>
      <c r="CB142" s="118"/>
      <c r="CC142" s="118"/>
      <c r="CD142" s="118"/>
      <c r="CE142" s="118"/>
      <c r="CF142" s="118"/>
      <c r="CG142" s="118"/>
      <c r="CH142" s="118"/>
      <c r="CI142" s="118"/>
      <c r="CJ142" s="118"/>
      <c r="CK142" s="118"/>
      <c r="CL142" s="118"/>
      <c r="CM142" s="118"/>
    </row>
    <row r="143" s="73" customFormat="1" customHeight="1" spans="1:91">
      <c r="A143" s="83" t="s">
        <v>708</v>
      </c>
      <c r="B143" s="85">
        <f t="shared" ref="B143:B146" si="20">F69</f>
        <v>910</v>
      </c>
      <c r="C143" s="122">
        <f t="shared" ref="C143:C146" si="21">V69</f>
        <v>1500</v>
      </c>
      <c r="D143" s="85">
        <f t="shared" ref="D143:D146" si="22">T69</f>
        <v>47573.435</v>
      </c>
      <c r="E143" s="85">
        <f t="shared" ref="E143:E146" si="23">U69</f>
        <v>4277</v>
      </c>
      <c r="F143" s="96">
        <f t="shared" ref="F143:F146" si="24">W69</f>
        <v>53350.435</v>
      </c>
      <c r="G143" s="96">
        <f t="shared" ref="G143:G146" si="25">G69</f>
        <v>79.99</v>
      </c>
      <c r="H143" s="96">
        <f>G143-($F$2+$G$2+$H$2+$J$2+G143*15%)</f>
        <v>23.0115</v>
      </c>
      <c r="I143" s="100">
        <f t="shared" ref="I143:I146" si="26">H143/G143</f>
        <v>0.287679709963745</v>
      </c>
      <c r="J143" s="96">
        <f t="shared" ref="J143:J146" si="27">X69</f>
        <v>72790.9</v>
      </c>
      <c r="K143" s="96">
        <f t="shared" ref="K143:K146" si="28">H143*B143</f>
        <v>20940.465</v>
      </c>
      <c r="L143" s="100">
        <f t="shared" ref="L143:L146" si="29">K143/F143</f>
        <v>0.392507858651949</v>
      </c>
      <c r="M143" s="80"/>
      <c r="N143" s="80"/>
      <c r="O143" s="80"/>
      <c r="P143" s="80"/>
      <c r="Q143" s="80"/>
      <c r="R143" s="80"/>
      <c r="S143" s="76"/>
      <c r="T143" s="80"/>
      <c r="U143" s="80"/>
      <c r="V143" s="80"/>
      <c r="W143" s="124"/>
      <c r="X143" s="124"/>
      <c r="Y143" s="80"/>
      <c r="Z143" s="80"/>
      <c r="AA143" s="80"/>
      <c r="AB143" s="124"/>
      <c r="AC143" s="124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118"/>
      <c r="BV143" s="118"/>
      <c r="BW143" s="118"/>
      <c r="BX143" s="118"/>
      <c r="BY143" s="118"/>
      <c r="BZ143" s="118"/>
      <c r="CA143" s="118"/>
      <c r="CB143" s="118"/>
      <c r="CC143" s="118"/>
      <c r="CD143" s="118"/>
      <c r="CE143" s="118"/>
      <c r="CF143" s="118"/>
      <c r="CG143" s="118"/>
      <c r="CH143" s="118"/>
      <c r="CI143" s="118"/>
      <c r="CJ143" s="118"/>
      <c r="CK143" s="118"/>
      <c r="CL143" s="118"/>
      <c r="CM143" s="118"/>
    </row>
    <row r="144" s="73" customFormat="1" customHeight="1" spans="1:91">
      <c r="A144" s="83" t="s">
        <v>709</v>
      </c>
      <c r="B144" s="85">
        <f t="shared" si="20"/>
        <v>910</v>
      </c>
      <c r="C144" s="122">
        <f t="shared" si="21"/>
        <v>1500</v>
      </c>
      <c r="D144" s="85">
        <f t="shared" si="22"/>
        <v>47573.435</v>
      </c>
      <c r="E144" s="85">
        <f t="shared" si="23"/>
        <v>4277</v>
      </c>
      <c r="F144" s="96">
        <f t="shared" si="24"/>
        <v>53350.435</v>
      </c>
      <c r="G144" s="96">
        <f t="shared" si="25"/>
        <v>79.99</v>
      </c>
      <c r="H144" s="96">
        <f>G144-($F$2+$G$2+$H$2+$J$2+G144*15%)</f>
        <v>23.0115</v>
      </c>
      <c r="I144" s="100">
        <f t="shared" si="26"/>
        <v>0.287679709963745</v>
      </c>
      <c r="J144" s="96">
        <f t="shared" si="27"/>
        <v>72790.9</v>
      </c>
      <c r="K144" s="96">
        <f t="shared" si="28"/>
        <v>20940.465</v>
      </c>
      <c r="L144" s="100">
        <f t="shared" si="29"/>
        <v>0.392507858651949</v>
      </c>
      <c r="M144" s="80"/>
      <c r="N144" s="80"/>
      <c r="O144" s="80"/>
      <c r="P144" s="80"/>
      <c r="Q144" s="80"/>
      <c r="R144" s="80"/>
      <c r="S144" s="76"/>
      <c r="T144" s="80"/>
      <c r="U144" s="80"/>
      <c r="V144" s="80"/>
      <c r="W144" s="124"/>
      <c r="X144" s="124"/>
      <c r="Y144" s="80"/>
      <c r="Z144" s="80"/>
      <c r="AA144" s="80"/>
      <c r="AB144" s="124"/>
      <c r="AC144" s="124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118"/>
      <c r="BV144" s="118"/>
      <c r="BW144" s="118"/>
      <c r="BX144" s="118"/>
      <c r="BY144" s="118"/>
      <c r="BZ144" s="118"/>
      <c r="CA144" s="118"/>
      <c r="CB144" s="118"/>
      <c r="CC144" s="118"/>
      <c r="CD144" s="118"/>
      <c r="CE144" s="118"/>
      <c r="CF144" s="118"/>
      <c r="CG144" s="118"/>
      <c r="CH144" s="118"/>
      <c r="CI144" s="118"/>
      <c r="CJ144" s="118"/>
      <c r="CK144" s="118"/>
      <c r="CL144" s="118"/>
      <c r="CM144" s="118"/>
    </row>
    <row r="145" s="73" customFormat="1" customHeight="1" spans="1:91">
      <c r="A145" s="83" t="s">
        <v>710</v>
      </c>
      <c r="B145" s="85">
        <f t="shared" si="20"/>
        <v>910</v>
      </c>
      <c r="C145" s="122">
        <f t="shared" si="21"/>
        <v>1500</v>
      </c>
      <c r="D145" s="85">
        <f t="shared" si="22"/>
        <v>47573.435</v>
      </c>
      <c r="E145" s="85">
        <f t="shared" si="23"/>
        <v>4277</v>
      </c>
      <c r="F145" s="96">
        <f t="shared" si="24"/>
        <v>53350.435</v>
      </c>
      <c r="G145" s="96">
        <f t="shared" si="25"/>
        <v>79.99</v>
      </c>
      <c r="H145" s="96">
        <f>G145-($F$2+$G$2+$H$2+$J$2+G145*15%)</f>
        <v>23.0115</v>
      </c>
      <c r="I145" s="100">
        <f t="shared" si="26"/>
        <v>0.287679709963745</v>
      </c>
      <c r="J145" s="96">
        <f t="shared" si="27"/>
        <v>72790.9</v>
      </c>
      <c r="K145" s="96">
        <f t="shared" si="28"/>
        <v>20940.465</v>
      </c>
      <c r="L145" s="100">
        <f t="shared" si="29"/>
        <v>0.392507858651949</v>
      </c>
      <c r="M145" s="80"/>
      <c r="N145" s="80"/>
      <c r="O145" s="80"/>
      <c r="P145" s="80"/>
      <c r="Q145" s="80"/>
      <c r="R145" s="80"/>
      <c r="S145" s="76"/>
      <c r="T145" s="80"/>
      <c r="U145" s="80"/>
      <c r="V145" s="80"/>
      <c r="W145" s="124"/>
      <c r="X145" s="124"/>
      <c r="Y145" s="80"/>
      <c r="Z145" s="80"/>
      <c r="AA145" s="80"/>
      <c r="AB145" s="124"/>
      <c r="AC145" s="124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118"/>
      <c r="BV145" s="118"/>
      <c r="BW145" s="118"/>
      <c r="BX145" s="118"/>
      <c r="BY145" s="118"/>
      <c r="BZ145" s="118"/>
      <c r="CA145" s="118"/>
      <c r="CB145" s="118"/>
      <c r="CC145" s="118"/>
      <c r="CD145" s="118"/>
      <c r="CE145" s="118"/>
      <c r="CF145" s="118"/>
      <c r="CG145" s="118"/>
      <c r="CH145" s="118"/>
      <c r="CI145" s="118"/>
      <c r="CJ145" s="118"/>
      <c r="CK145" s="118"/>
      <c r="CL145" s="118"/>
      <c r="CM145" s="118"/>
    </row>
    <row r="146" s="73" customFormat="1" customHeight="1" spans="1:91">
      <c r="A146" s="83" t="s">
        <v>301</v>
      </c>
      <c r="B146" s="85">
        <f t="shared" si="20"/>
        <v>910</v>
      </c>
      <c r="C146" s="122">
        <f t="shared" si="21"/>
        <v>1500</v>
      </c>
      <c r="D146" s="85">
        <f t="shared" si="22"/>
        <v>47573.435</v>
      </c>
      <c r="E146" s="85">
        <f t="shared" si="23"/>
        <v>4277</v>
      </c>
      <c r="F146" s="96">
        <f t="shared" si="24"/>
        <v>53350.435</v>
      </c>
      <c r="G146" s="96">
        <f t="shared" si="25"/>
        <v>79.99</v>
      </c>
      <c r="H146" s="96">
        <f>G146-($F$2+$G$2+$H$2+$J$2+G146*15%)</f>
        <v>23.0115</v>
      </c>
      <c r="I146" s="100">
        <f t="shared" si="26"/>
        <v>0.287679709963745</v>
      </c>
      <c r="J146" s="96">
        <f t="shared" si="27"/>
        <v>72790.9</v>
      </c>
      <c r="K146" s="96">
        <f t="shared" si="28"/>
        <v>20940.465</v>
      </c>
      <c r="L146" s="100">
        <f t="shared" si="29"/>
        <v>0.392507858651949</v>
      </c>
      <c r="M146" s="80"/>
      <c r="N146" s="80"/>
      <c r="O146" s="80"/>
      <c r="P146" s="80"/>
      <c r="Q146" s="80"/>
      <c r="R146" s="80"/>
      <c r="S146" s="76"/>
      <c r="T146" s="80"/>
      <c r="U146" s="80"/>
      <c r="V146" s="80"/>
      <c r="W146" s="124"/>
      <c r="X146" s="124"/>
      <c r="Y146" s="80"/>
      <c r="Z146" s="80"/>
      <c r="AA146" s="80"/>
      <c r="AB146" s="124"/>
      <c r="AC146" s="124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118"/>
      <c r="BV146" s="118"/>
      <c r="BW146" s="118"/>
      <c r="BX146" s="118"/>
      <c r="BY146" s="118"/>
      <c r="BZ146" s="118"/>
      <c r="CA146" s="118"/>
      <c r="CB146" s="118"/>
      <c r="CC146" s="118"/>
      <c r="CD146" s="118"/>
      <c r="CE146" s="118"/>
      <c r="CF146" s="118"/>
      <c r="CG146" s="118"/>
      <c r="CH146" s="118"/>
      <c r="CI146" s="118"/>
      <c r="CJ146" s="118"/>
      <c r="CK146" s="118"/>
      <c r="CL146" s="118"/>
      <c r="CM146" s="118"/>
    </row>
    <row r="147" s="44" customFormat="1" customHeight="1"/>
    <row r="148" s="73" customFormat="1" customHeight="1" spans="1:91">
      <c r="A148" s="125" t="s">
        <v>722</v>
      </c>
      <c r="B148" s="125"/>
      <c r="C148" s="120" t="s">
        <v>17</v>
      </c>
      <c r="D148" s="120" t="s">
        <v>723</v>
      </c>
      <c r="E148" s="120" t="s">
        <v>724</v>
      </c>
      <c r="F148" s="120" t="s">
        <v>725</v>
      </c>
      <c r="G148" s="120"/>
      <c r="H148" s="120" t="s">
        <v>726</v>
      </c>
      <c r="I148" s="120"/>
      <c r="J148" s="133" t="s">
        <v>716</v>
      </c>
      <c r="K148" s="136"/>
      <c r="L148" s="80"/>
      <c r="M148" s="80"/>
      <c r="N148" s="80"/>
      <c r="O148" s="80"/>
      <c r="P148" s="80"/>
      <c r="Q148" s="80"/>
      <c r="R148" s="80"/>
      <c r="S148" s="76"/>
      <c r="T148" s="80"/>
      <c r="U148" s="80"/>
      <c r="V148" s="80"/>
      <c r="W148" s="124"/>
      <c r="X148" s="124"/>
      <c r="Y148" s="80"/>
      <c r="Z148" s="80"/>
      <c r="AA148" s="80"/>
      <c r="AB148" s="124"/>
      <c r="AC148" s="124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118"/>
      <c r="BV148" s="118"/>
      <c r="BW148" s="118"/>
      <c r="BX148" s="118"/>
      <c r="BY148" s="118"/>
      <c r="BZ148" s="118"/>
      <c r="CA148" s="118"/>
      <c r="CB148" s="118"/>
      <c r="CC148" s="118"/>
      <c r="CD148" s="118"/>
      <c r="CE148" s="118"/>
      <c r="CF148" s="118"/>
      <c r="CG148" s="118"/>
      <c r="CH148" s="118"/>
      <c r="CI148" s="118"/>
      <c r="CJ148" s="118"/>
      <c r="CK148" s="118"/>
      <c r="CL148" s="118"/>
      <c r="CM148" s="118"/>
    </row>
    <row r="149" s="73" customFormat="1" customHeight="1" spans="1:91">
      <c r="A149" s="125"/>
      <c r="B149" s="125"/>
      <c r="C149" s="120">
        <f>SUM(J79:J90)</f>
        <v>433448.26</v>
      </c>
      <c r="D149" s="120">
        <f>SUM(C79:C90)</f>
        <v>14643.2985</v>
      </c>
      <c r="E149" s="120">
        <f>SUM(K79:K90)</f>
        <v>90724.5009999999</v>
      </c>
      <c r="F149" s="131">
        <f t="shared" ref="F149:F153" si="30">E149*(1-5%)</f>
        <v>86188.2759499999</v>
      </c>
      <c r="G149" s="132"/>
      <c r="H149" s="133">
        <f t="shared" ref="H149:H153" si="31">F149/J149</f>
        <v>0.241175771916246</v>
      </c>
      <c r="I149" s="136"/>
      <c r="J149" s="137">
        <f>SUM(F79:F90)</f>
        <v>357367.0575</v>
      </c>
      <c r="K149" s="138"/>
      <c r="L149" s="80"/>
      <c r="M149" s="80"/>
      <c r="N149" s="80"/>
      <c r="O149" s="80"/>
      <c r="P149" s="80"/>
      <c r="Q149" s="80"/>
      <c r="R149" s="80"/>
      <c r="S149" s="76"/>
      <c r="T149" s="80"/>
      <c r="U149" s="80"/>
      <c r="V149" s="80"/>
      <c r="W149" s="124"/>
      <c r="X149" s="124"/>
      <c r="Y149" s="80"/>
      <c r="Z149" s="80"/>
      <c r="AA149" s="80"/>
      <c r="AB149" s="124"/>
      <c r="AC149" s="124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118"/>
      <c r="BV149" s="118"/>
      <c r="BW149" s="118"/>
      <c r="BX149" s="118"/>
      <c r="BY149" s="118"/>
      <c r="BZ149" s="118"/>
      <c r="CA149" s="118"/>
      <c r="CB149" s="118"/>
      <c r="CC149" s="118"/>
      <c r="CD149" s="118"/>
      <c r="CE149" s="118"/>
      <c r="CF149" s="118"/>
      <c r="CG149" s="118"/>
      <c r="CH149" s="118"/>
      <c r="CI149" s="118"/>
      <c r="CJ149" s="118"/>
      <c r="CK149" s="118"/>
      <c r="CL149" s="118"/>
      <c r="CM149" s="118"/>
    </row>
    <row r="150" s="73" customFormat="1" customHeight="1" spans="1:91">
      <c r="A150" s="125" t="s">
        <v>727</v>
      </c>
      <c r="B150" s="125"/>
      <c r="C150" s="120" t="s">
        <v>17</v>
      </c>
      <c r="D150" s="120" t="s">
        <v>723</v>
      </c>
      <c r="E150" s="120" t="s">
        <v>724</v>
      </c>
      <c r="F150" s="120" t="s">
        <v>725</v>
      </c>
      <c r="G150" s="120"/>
      <c r="H150" s="120" t="s">
        <v>726</v>
      </c>
      <c r="I150" s="120"/>
      <c r="J150" s="133" t="s">
        <v>716</v>
      </c>
      <c r="K150" s="136"/>
      <c r="L150" s="80"/>
      <c r="M150" s="80"/>
      <c r="N150" s="80"/>
      <c r="O150" s="80"/>
      <c r="P150" s="80"/>
      <c r="Q150" s="80"/>
      <c r="R150" s="80"/>
      <c r="S150" s="76"/>
      <c r="T150" s="80"/>
      <c r="U150" s="80"/>
      <c r="V150" s="80"/>
      <c r="W150" s="124"/>
      <c r="X150" s="124"/>
      <c r="Y150" s="80"/>
      <c r="Z150" s="80"/>
      <c r="AA150" s="80"/>
      <c r="AB150" s="124"/>
      <c r="AC150" s="124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118"/>
      <c r="BV150" s="118"/>
      <c r="BW150" s="118"/>
      <c r="BX150" s="118"/>
      <c r="BY150" s="118"/>
      <c r="BZ150" s="118"/>
      <c r="CA150" s="118"/>
      <c r="CB150" s="118"/>
      <c r="CC150" s="118"/>
      <c r="CD150" s="118"/>
      <c r="CE150" s="118"/>
      <c r="CF150" s="118"/>
      <c r="CG150" s="118"/>
      <c r="CH150" s="118"/>
      <c r="CI150" s="118"/>
      <c r="CJ150" s="118"/>
      <c r="CK150" s="118"/>
      <c r="CL150" s="118"/>
      <c r="CM150" s="118"/>
    </row>
    <row r="151" s="73" customFormat="1" customHeight="1" spans="1:91">
      <c r="A151" s="125"/>
      <c r="B151" s="125"/>
      <c r="C151" s="120">
        <f>SUM(J79:J102)</f>
        <v>1068613.56</v>
      </c>
      <c r="D151" s="120">
        <f>SUM(C79:C102)</f>
        <v>32643.2985</v>
      </c>
      <c r="E151" s="120">
        <f>SUM(K79:K102)</f>
        <v>249634.406</v>
      </c>
      <c r="F151" s="131">
        <f t="shared" si="30"/>
        <v>237152.6857</v>
      </c>
      <c r="G151" s="132"/>
      <c r="H151" s="133">
        <f t="shared" si="31"/>
        <v>0.655306665435741</v>
      </c>
      <c r="I151" s="136"/>
      <c r="J151" s="137">
        <v>361895.7325</v>
      </c>
      <c r="K151" s="138"/>
      <c r="L151" s="80"/>
      <c r="M151" s="80"/>
      <c r="N151" s="80"/>
      <c r="O151" s="80"/>
      <c r="P151" s="80"/>
      <c r="Q151" s="80"/>
      <c r="R151" s="80"/>
      <c r="S151" s="76"/>
      <c r="T151" s="80"/>
      <c r="U151" s="80"/>
      <c r="V151" s="80"/>
      <c r="W151" s="124"/>
      <c r="X151" s="124"/>
      <c r="Y151" s="80"/>
      <c r="Z151" s="80"/>
      <c r="AA151" s="80"/>
      <c r="AB151" s="124"/>
      <c r="AC151" s="124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118"/>
      <c r="BV151" s="118"/>
      <c r="BW151" s="118"/>
      <c r="BX151" s="118"/>
      <c r="BY151" s="118"/>
      <c r="BZ151" s="118"/>
      <c r="CA151" s="118"/>
      <c r="CB151" s="118"/>
      <c r="CC151" s="118"/>
      <c r="CD151" s="118"/>
      <c r="CE151" s="118"/>
      <c r="CF151" s="118"/>
      <c r="CG151" s="118"/>
      <c r="CH151" s="118"/>
      <c r="CI151" s="118"/>
      <c r="CJ151" s="118"/>
      <c r="CK151" s="118"/>
      <c r="CL151" s="118"/>
      <c r="CM151" s="118"/>
    </row>
    <row r="152" s="73" customFormat="1" customHeight="1" spans="1:91">
      <c r="A152" s="125" t="s">
        <v>728</v>
      </c>
      <c r="B152" s="125"/>
      <c r="C152" s="120" t="s">
        <v>17</v>
      </c>
      <c r="D152" s="120" t="s">
        <v>723</v>
      </c>
      <c r="E152" s="120" t="s">
        <v>724</v>
      </c>
      <c r="F152" s="120" t="s">
        <v>725</v>
      </c>
      <c r="G152" s="120"/>
      <c r="H152" s="120" t="s">
        <v>726</v>
      </c>
      <c r="I152" s="120"/>
      <c r="J152" s="133" t="s">
        <v>716</v>
      </c>
      <c r="K152" s="136"/>
      <c r="L152" s="80"/>
      <c r="M152" s="80"/>
      <c r="N152" s="80"/>
      <c r="O152" s="80"/>
      <c r="P152" s="80"/>
      <c r="Q152" s="80"/>
      <c r="R152" s="80"/>
      <c r="S152" s="76"/>
      <c r="T152" s="80"/>
      <c r="U152" s="80"/>
      <c r="V152" s="80"/>
      <c r="W152" s="124"/>
      <c r="X152" s="124"/>
      <c r="Y152" s="80"/>
      <c r="Z152" s="80"/>
      <c r="AA152" s="80"/>
      <c r="AB152" s="124"/>
      <c r="AC152" s="124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118"/>
      <c r="BV152" s="118"/>
      <c r="BW152" s="118"/>
      <c r="BX152" s="118"/>
      <c r="BY152" s="118"/>
      <c r="BZ152" s="118"/>
      <c r="CA152" s="118"/>
      <c r="CB152" s="118"/>
      <c r="CC152" s="118"/>
      <c r="CD152" s="118"/>
      <c r="CE152" s="118"/>
      <c r="CF152" s="118"/>
      <c r="CG152" s="118"/>
      <c r="CH152" s="118"/>
      <c r="CI152" s="118"/>
      <c r="CJ152" s="118"/>
      <c r="CK152" s="118"/>
      <c r="CL152" s="118"/>
      <c r="CM152" s="118"/>
    </row>
    <row r="153" s="73" customFormat="1" customHeight="1" spans="1:91">
      <c r="A153" s="125"/>
      <c r="B153" s="125"/>
      <c r="C153" s="120">
        <f>SUM(J79:J120)</f>
        <v>2386548.36</v>
      </c>
      <c r="D153" s="120">
        <f>SUM(C79:C120)</f>
        <v>59643.2985</v>
      </c>
      <c r="E153" s="120">
        <f>SUM(K83:K120)</f>
        <v>616741.769</v>
      </c>
      <c r="F153" s="131">
        <f t="shared" si="30"/>
        <v>585904.68055</v>
      </c>
      <c r="G153" s="132"/>
      <c r="H153" s="133">
        <f t="shared" si="31"/>
        <v>1.61898753683148</v>
      </c>
      <c r="I153" s="136"/>
      <c r="J153" s="137">
        <v>361895.7325</v>
      </c>
      <c r="K153" s="138"/>
      <c r="L153" s="80"/>
      <c r="M153" s="80"/>
      <c r="N153" s="80"/>
      <c r="O153" s="80"/>
      <c r="P153" s="80"/>
      <c r="Q153" s="80"/>
      <c r="R153" s="80"/>
      <c r="S153" s="76"/>
      <c r="T153" s="80"/>
      <c r="U153" s="80"/>
      <c r="V153" s="80"/>
      <c r="W153" s="124"/>
      <c r="X153" s="124"/>
      <c r="Y153" s="80"/>
      <c r="Z153" s="80"/>
      <c r="AA153" s="80"/>
      <c r="AB153" s="124"/>
      <c r="AC153" s="124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118"/>
      <c r="CF153" s="118"/>
      <c r="CG153" s="118"/>
      <c r="CH153" s="118"/>
      <c r="CI153" s="118"/>
      <c r="CJ153" s="118"/>
      <c r="CK153" s="118"/>
      <c r="CL153" s="118"/>
      <c r="CM153" s="118"/>
    </row>
    <row r="154" s="73" customFormat="1" customHeight="1" spans="1:91">
      <c r="A154" s="125" t="s">
        <v>729</v>
      </c>
      <c r="B154" s="125"/>
      <c r="C154" s="120" t="s">
        <v>17</v>
      </c>
      <c r="D154" s="120" t="s">
        <v>723</v>
      </c>
      <c r="E154" s="120" t="s">
        <v>724</v>
      </c>
      <c r="F154" s="120" t="s">
        <v>725</v>
      </c>
      <c r="G154" s="120"/>
      <c r="H154" s="120" t="s">
        <v>726</v>
      </c>
      <c r="I154" s="120"/>
      <c r="J154" s="133" t="s">
        <v>716</v>
      </c>
      <c r="K154" s="136"/>
      <c r="L154" s="80"/>
      <c r="M154" s="80"/>
      <c r="N154" s="80"/>
      <c r="O154" s="80"/>
      <c r="P154" s="80"/>
      <c r="Q154" s="80"/>
      <c r="R154" s="80"/>
      <c r="S154" s="76"/>
      <c r="T154" s="80"/>
      <c r="U154" s="80"/>
      <c r="V154" s="80"/>
      <c r="W154" s="124"/>
      <c r="X154" s="124"/>
      <c r="Y154" s="80"/>
      <c r="Z154" s="80"/>
      <c r="AA154" s="80"/>
      <c r="AB154" s="124"/>
      <c r="AC154" s="124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118"/>
      <c r="CF154" s="118"/>
      <c r="CG154" s="118"/>
      <c r="CH154" s="118"/>
      <c r="CI154" s="118"/>
      <c r="CJ154" s="118"/>
      <c r="CK154" s="118"/>
      <c r="CL154" s="118"/>
      <c r="CM154" s="118"/>
    </row>
    <row r="155" s="73" customFormat="1" customHeight="1" spans="1:91">
      <c r="A155" s="125"/>
      <c r="B155" s="125"/>
      <c r="C155" s="120">
        <f>SUM(J79:J146)</f>
        <v>4295909.66</v>
      </c>
      <c r="D155" s="120">
        <f>SUM(C79:C146)</f>
        <v>98643.2985</v>
      </c>
      <c r="E155" s="120">
        <f>SUM(K79:K146)</f>
        <v>1176093.891</v>
      </c>
      <c r="F155" s="131">
        <f>E155*(1-5%)</f>
        <v>1117289.19645</v>
      </c>
      <c r="G155" s="132"/>
      <c r="H155" s="133">
        <f>F155/J155</f>
        <v>3.08732349158055</v>
      </c>
      <c r="I155" s="136"/>
      <c r="J155" s="137">
        <v>361895.7325</v>
      </c>
      <c r="K155" s="138"/>
      <c r="L155" s="80"/>
      <c r="M155" s="80"/>
      <c r="N155" s="80"/>
      <c r="O155" s="80"/>
      <c r="P155" s="80"/>
      <c r="Q155" s="80"/>
      <c r="R155" s="80"/>
      <c r="S155" s="76"/>
      <c r="T155" s="80"/>
      <c r="U155" s="80"/>
      <c r="V155" s="80"/>
      <c r="W155" s="124"/>
      <c r="X155" s="124"/>
      <c r="Y155" s="80"/>
      <c r="Z155" s="80"/>
      <c r="AA155" s="80"/>
      <c r="AB155" s="124"/>
      <c r="AC155" s="124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118"/>
      <c r="BV155" s="118"/>
      <c r="BW155" s="118"/>
      <c r="BX155" s="118"/>
      <c r="BY155" s="118"/>
      <c r="BZ155" s="118"/>
      <c r="CA155" s="118"/>
      <c r="CB155" s="118"/>
      <c r="CC155" s="118"/>
      <c r="CD155" s="118"/>
      <c r="CE155" s="118"/>
      <c r="CF155" s="118"/>
      <c r="CG155" s="118"/>
      <c r="CH155" s="118"/>
      <c r="CI155" s="118"/>
      <c r="CJ155" s="118"/>
      <c r="CK155" s="118"/>
      <c r="CL155" s="118"/>
      <c r="CM155" s="118"/>
    </row>
    <row r="156" s="73" customFormat="1" customHeight="1" spans="1:91">
      <c r="A156" s="77"/>
      <c r="B156" s="78"/>
      <c r="C156" s="126"/>
      <c r="D156" s="126"/>
      <c r="E156" s="126"/>
      <c r="F156" s="126"/>
      <c r="G156" s="126"/>
      <c r="H156" s="134"/>
      <c r="I156" s="134"/>
      <c r="J156" s="139"/>
      <c r="K156" s="139"/>
      <c r="L156" s="80"/>
      <c r="M156" s="80"/>
      <c r="N156" s="80"/>
      <c r="O156" s="80"/>
      <c r="P156" s="80"/>
      <c r="Q156" s="80"/>
      <c r="R156" s="80"/>
      <c r="S156" s="76"/>
      <c r="T156" s="80"/>
      <c r="U156" s="80"/>
      <c r="V156" s="80"/>
      <c r="W156" s="124"/>
      <c r="X156" s="124"/>
      <c r="Y156" s="80"/>
      <c r="Z156" s="80"/>
      <c r="AA156" s="80"/>
      <c r="AB156" s="124"/>
      <c r="AC156" s="124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118"/>
      <c r="BV156" s="118"/>
      <c r="BW156" s="118"/>
      <c r="BX156" s="118"/>
      <c r="BY156" s="118"/>
      <c r="BZ156" s="118"/>
      <c r="CA156" s="118"/>
      <c r="CB156" s="118"/>
      <c r="CC156" s="118"/>
      <c r="CD156" s="118"/>
      <c r="CE156" s="118"/>
      <c r="CF156" s="118"/>
      <c r="CG156" s="118"/>
      <c r="CH156" s="118"/>
      <c r="CI156" s="118"/>
      <c r="CJ156" s="118"/>
      <c r="CK156" s="118"/>
      <c r="CL156" s="118"/>
      <c r="CM156" s="118"/>
    </row>
    <row r="157" s="73" customFormat="1" customHeight="1" spans="1:9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42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</row>
    <row r="158" s="73" customFormat="1" customHeight="1" spans="1:91">
      <c r="A158" s="128" t="s">
        <v>730</v>
      </c>
      <c r="B158" s="128"/>
      <c r="C158" s="128"/>
      <c r="D158" s="129" t="s">
        <v>731</v>
      </c>
      <c r="E158" s="135"/>
      <c r="F158" s="135"/>
      <c r="G158" s="135"/>
      <c r="H158" s="135"/>
      <c r="I158" s="140"/>
      <c r="J158" s="129" t="s">
        <v>732</v>
      </c>
      <c r="K158" s="135"/>
      <c r="L158" s="135"/>
      <c r="M158" s="135"/>
      <c r="N158" s="135"/>
      <c r="O158" s="140"/>
      <c r="P158" s="129" t="s">
        <v>733</v>
      </c>
      <c r="Q158" s="135"/>
      <c r="R158" s="140"/>
      <c r="S158" s="143" t="s">
        <v>734</v>
      </c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</row>
    <row r="159" s="76" customFormat="1" ht="30" customHeight="1" spans="1:19">
      <c r="A159" s="130" t="s">
        <v>735</v>
      </c>
      <c r="B159" s="108" t="s">
        <v>736</v>
      </c>
      <c r="C159" s="108" t="s">
        <v>737</v>
      </c>
      <c r="D159" s="108" t="s">
        <v>738</v>
      </c>
      <c r="E159" s="108" t="s">
        <v>739</v>
      </c>
      <c r="F159" s="108" t="s">
        <v>740</v>
      </c>
      <c r="G159" s="108" t="s">
        <v>741</v>
      </c>
      <c r="H159" s="108" t="s">
        <v>742</v>
      </c>
      <c r="I159" s="108" t="s">
        <v>743</v>
      </c>
      <c r="J159" s="108" t="s">
        <v>744</v>
      </c>
      <c r="K159" s="108" t="s">
        <v>745</v>
      </c>
      <c r="L159" s="108" t="s">
        <v>746</v>
      </c>
      <c r="M159" s="108" t="s">
        <v>718</v>
      </c>
      <c r="N159" s="108" t="s">
        <v>717</v>
      </c>
      <c r="O159" s="108" t="s">
        <v>747</v>
      </c>
      <c r="P159" s="108" t="s">
        <v>748</v>
      </c>
      <c r="Q159" s="108" t="s">
        <v>749</v>
      </c>
      <c r="R159" s="108" t="s">
        <v>750</v>
      </c>
      <c r="S159" s="108"/>
    </row>
    <row r="160" s="73" customFormat="1" ht="30" customHeight="1" spans="1:92">
      <c r="A160" s="84">
        <f>E2</f>
        <v>43478</v>
      </c>
      <c r="B160" s="84">
        <f>A160</f>
        <v>43478</v>
      </c>
      <c r="C160" s="84"/>
      <c r="D160" s="93"/>
      <c r="E160" s="93"/>
      <c r="F160" s="93"/>
      <c r="G160" s="93"/>
      <c r="H160" s="93"/>
      <c r="I160" s="141"/>
      <c r="J160" s="93"/>
      <c r="K160" s="93"/>
      <c r="L160" s="93"/>
      <c r="M160" s="100"/>
      <c r="N160" s="93"/>
      <c r="O160" s="96"/>
      <c r="P160" s="108"/>
      <c r="Q160" s="108"/>
      <c r="R160" s="108"/>
      <c r="S160" s="108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</row>
  </sheetData>
  <sheetProtection formatCells="0" insertHyperlinks="0" autoFilter="0"/>
  <mergeCells count="56">
    <mergeCell ref="A3:Q3"/>
    <mergeCell ref="R3:S3"/>
    <mergeCell ref="T3:X3"/>
    <mergeCell ref="Y3:AC3"/>
    <mergeCell ref="AD3:AX3"/>
    <mergeCell ref="AY3:BC3"/>
    <mergeCell ref="BD3:BH3"/>
    <mergeCell ref="BP3:BY3"/>
    <mergeCell ref="A73:C73"/>
    <mergeCell ref="W75:X75"/>
    <mergeCell ref="AB75:AC75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A157:S157"/>
    <mergeCell ref="A158:C158"/>
    <mergeCell ref="D158:I158"/>
    <mergeCell ref="J158:O158"/>
    <mergeCell ref="P158:R158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A148:B149"/>
    <mergeCell ref="A150:B151"/>
    <mergeCell ref="A152:B153"/>
    <mergeCell ref="A154:B155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workbookViewId="0">
      <selection activeCell="Q35" sqref="Q35"/>
    </sheetView>
  </sheetViews>
  <sheetFormatPr defaultColWidth="9" defaultRowHeight="14.25"/>
  <cols>
    <col min="1" max="1" width="13.5" style="26" customWidth="1"/>
    <col min="2" max="3" width="5.125" style="26" customWidth="1"/>
    <col min="4" max="5" width="9" style="26"/>
    <col min="6" max="6" width="7.75" style="26" customWidth="1"/>
    <col min="7" max="7" width="12" style="26" customWidth="1"/>
    <col min="8" max="8" width="8.75" style="26" customWidth="1"/>
    <col min="9" max="9" width="4.625" style="26" customWidth="1"/>
    <col min="10" max="10" width="6.625" style="26" customWidth="1"/>
    <col min="11" max="11" width="4.125" style="26" customWidth="1"/>
    <col min="12" max="12" width="5.125" style="26" customWidth="1"/>
    <col min="13" max="13" width="7.5" style="26" customWidth="1"/>
    <col min="14" max="14" width="12.75" style="26" customWidth="1"/>
    <col min="15" max="15" width="10.625" style="26" customWidth="1"/>
    <col min="16" max="16" width="15.875" style="26" customWidth="1"/>
    <col min="17" max="17" width="17.5" style="26" customWidth="1"/>
    <col min="18" max="18" width="12.375" style="26" customWidth="1"/>
    <col min="19" max="19" width="7" style="26" customWidth="1"/>
    <col min="20" max="20" width="11" style="26" customWidth="1"/>
    <col min="21" max="16384" width="9" style="26"/>
  </cols>
  <sheetData>
    <row r="1" s="26" customFormat="1" customHeight="1" spans="1:21">
      <c r="A1" s="61" t="s">
        <v>585</v>
      </c>
      <c r="B1" s="62" t="s">
        <v>509</v>
      </c>
      <c r="C1" s="62" t="s">
        <v>751</v>
      </c>
      <c r="D1" s="62" t="s">
        <v>752</v>
      </c>
      <c r="E1" s="62" t="s">
        <v>753</v>
      </c>
      <c r="F1" s="62" t="s">
        <v>754</v>
      </c>
      <c r="G1" s="62" t="s">
        <v>755</v>
      </c>
      <c r="H1" s="62" t="s">
        <v>102</v>
      </c>
      <c r="I1" s="62" t="s">
        <v>756</v>
      </c>
      <c r="J1" s="62" t="s">
        <v>757</v>
      </c>
      <c r="K1" s="62" t="s">
        <v>758</v>
      </c>
      <c r="L1" s="62" t="s">
        <v>759</v>
      </c>
      <c r="M1" s="64" t="s">
        <v>519</v>
      </c>
      <c r="N1" s="65" t="s">
        <v>760</v>
      </c>
      <c r="O1" s="64" t="s">
        <v>761</v>
      </c>
      <c r="P1" s="66" t="s">
        <v>762</v>
      </c>
      <c r="Q1" s="70" t="s">
        <v>763</v>
      </c>
      <c r="R1" s="64" t="s">
        <v>764</v>
      </c>
      <c r="S1" s="66" t="s">
        <v>565</v>
      </c>
      <c r="T1" s="62" t="s">
        <v>765</v>
      </c>
      <c r="U1" s="64" t="s">
        <v>766</v>
      </c>
    </row>
    <row r="2" s="26" customFormat="1" spans="1:21">
      <c r="A2" s="27"/>
      <c r="B2" s="27"/>
      <c r="C2" s="27"/>
      <c r="D2" s="27"/>
      <c r="E2" s="27"/>
      <c r="F2" s="27"/>
      <c r="G2" s="27"/>
      <c r="H2" s="27"/>
      <c r="I2" s="27"/>
      <c r="J2" s="64"/>
      <c r="K2" s="27"/>
      <c r="L2" s="27"/>
      <c r="M2" s="67"/>
      <c r="N2" s="68"/>
      <c r="O2" s="69"/>
      <c r="P2" s="68"/>
      <c r="Q2" s="71"/>
      <c r="R2" s="67"/>
      <c r="S2" s="68"/>
      <c r="T2" s="72"/>
      <c r="U2" s="67"/>
    </row>
    <row r="3" s="26" customFormat="1" spans="1:2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="26" customFormat="1" spans="1:2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="26" customFormat="1" spans="1:2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="26" customFormat="1" spans="1:2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="26" customFormat="1" spans="1:2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="26" customFormat="1" spans="1:2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s="26" customFormat="1" spans="1:2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="26" customFormat="1" spans="1:2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</row>
    <row r="11" s="26" customFormat="1" spans="1:2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="26" customFormat="1" spans="1:2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="26" customFormat="1" spans="1:2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="26" customFormat="1" spans="1:2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="26" customFormat="1" spans="1:2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</row>
    <row r="16" s="26" customFormat="1" spans="1:2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s="26" customFormat="1" spans="1:2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="26" customFormat="1" spans="1:2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="26" customFormat="1" spans="1:2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="26" customFormat="1" spans="1:2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="26" customFormat="1" spans="1: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="26" customFormat="1" spans="1:2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="26" customFormat="1" spans="1:2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="26" customFormat="1" spans="1:2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="26" customFormat="1" spans="1:2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="26" customFormat="1" spans="1:2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="26" customFormat="1" spans="1:2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="26" customFormat="1" spans="1:2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29" s="26" customFormat="1" spans="1:2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s="26" customFormat="1" spans="1:2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="26" customFormat="1" spans="1:2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="26" customFormat="1" spans="1:2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="26" customFormat="1" spans="1:2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="26" customFormat="1" spans="1:2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="26" customFormat="1" spans="1:2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="26" customFormat="1" spans="1:2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="26" customFormat="1" spans="1:2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="26" customFormat="1" spans="1:2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="26" customFormat="1" spans="1:2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="26" customFormat="1" spans="1:11">
      <c r="A40" s="63"/>
      <c r="G40" s="63"/>
      <c r="H40" s="63"/>
      <c r="I40" s="63"/>
      <c r="J40" s="63"/>
      <c r="K40" s="63"/>
    </row>
    <row r="41" s="26" customFormat="1" spans="1:11">
      <c r="A41" s="63"/>
      <c r="G41" s="63"/>
      <c r="H41" s="63"/>
      <c r="I41" s="63"/>
      <c r="J41" s="63"/>
      <c r="K41" s="63"/>
    </row>
    <row r="42" s="26" customFormat="1" spans="1:11">
      <c r="A42" s="63"/>
      <c r="G42" s="63"/>
      <c r="H42" s="63"/>
      <c r="I42" s="63"/>
      <c r="J42" s="63"/>
      <c r="K42" s="63"/>
    </row>
    <row r="43" s="26" customFormat="1" spans="1:11">
      <c r="A43" s="63"/>
      <c r="G43" s="63"/>
      <c r="H43" s="63"/>
      <c r="I43" s="63"/>
      <c r="J43" s="63"/>
      <c r="K43" s="63"/>
    </row>
  </sheetData>
  <sheetProtection formatCells="0" insertHyperlinks="0" autoFilter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workbookViewId="0">
      <selection activeCell="AD48" sqref="AD48"/>
    </sheetView>
  </sheetViews>
  <sheetFormatPr defaultColWidth="3.9" defaultRowHeight="14.25" outlineLevelRow="2"/>
  <cols>
    <col min="1" max="5" width="3.9" style="26" customWidth="1"/>
    <col min="6" max="6" width="8.2" style="26" customWidth="1"/>
    <col min="7" max="7" width="3.9" style="26" customWidth="1"/>
    <col min="8" max="8" width="7.1" style="26" customWidth="1"/>
    <col min="9" max="12" width="3.9" style="26" customWidth="1"/>
    <col min="13" max="13" width="5.3" style="26" customWidth="1"/>
    <col min="14" max="17" width="3.9" style="26" customWidth="1"/>
    <col min="18" max="21" width="5.9" style="26" customWidth="1"/>
    <col min="22" max="25" width="7.2" style="26" customWidth="1"/>
    <col min="26" max="26" width="10.1" style="26" customWidth="1"/>
    <col min="27" max="38" width="7.2" style="26" customWidth="1"/>
    <col min="39" max="39" width="3.9" style="26" customWidth="1"/>
    <col min="40" max="40" width="6.2" style="26" customWidth="1"/>
    <col min="41" max="16383" width="3.9" style="26" customWidth="1"/>
    <col min="16384" max="16384" width="3.9" style="26"/>
  </cols>
  <sheetData>
    <row r="1" s="26" customFormat="1" ht="15" spans="1:41">
      <c r="A1" s="39" t="s">
        <v>767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50" t="s">
        <v>768</v>
      </c>
      <c r="N1" s="51"/>
      <c r="O1" s="51"/>
      <c r="P1" s="51"/>
      <c r="Q1" s="51"/>
      <c r="R1" s="51"/>
      <c r="S1" s="51"/>
      <c r="T1" s="51"/>
      <c r="U1" s="51"/>
      <c r="V1" s="53" t="s">
        <v>769</v>
      </c>
      <c r="W1" s="54"/>
      <c r="X1" s="54"/>
      <c r="Y1" s="54"/>
      <c r="Z1" s="54"/>
      <c r="AA1" s="54"/>
      <c r="AB1" s="56" t="s">
        <v>770</v>
      </c>
      <c r="AC1" s="57"/>
      <c r="AD1" s="57"/>
      <c r="AE1" s="57"/>
      <c r="AF1" s="57"/>
      <c r="AG1" s="57"/>
      <c r="AH1" s="58" t="s">
        <v>771</v>
      </c>
      <c r="AI1" s="58"/>
      <c r="AJ1" s="58"/>
      <c r="AK1" s="58"/>
      <c r="AL1" s="58"/>
      <c r="AM1" s="58"/>
      <c r="AN1" s="58"/>
      <c r="AO1" s="59"/>
    </row>
    <row r="2" s="26" customFormat="1" ht="82" customHeight="1" spans="1:41">
      <c r="A2" s="41" t="s">
        <v>772</v>
      </c>
      <c r="B2" s="42" t="s">
        <v>773</v>
      </c>
      <c r="C2" s="42" t="s">
        <v>568</v>
      </c>
      <c r="D2" s="42" t="s">
        <v>774</v>
      </c>
      <c r="E2" s="42" t="s">
        <v>585</v>
      </c>
      <c r="F2" s="42" t="s">
        <v>775</v>
      </c>
      <c r="G2" s="42" t="s">
        <v>776</v>
      </c>
      <c r="H2" s="45" t="s">
        <v>777</v>
      </c>
      <c r="I2" s="42" t="s">
        <v>778</v>
      </c>
      <c r="J2" s="42" t="s">
        <v>779</v>
      </c>
      <c r="K2" s="47" t="s">
        <v>780</v>
      </c>
      <c r="L2" s="48" t="s">
        <v>781</v>
      </c>
      <c r="M2" s="52" t="s">
        <v>782</v>
      </c>
      <c r="N2" s="52" t="s">
        <v>783</v>
      </c>
      <c r="O2" s="52" t="s">
        <v>784</v>
      </c>
      <c r="P2" s="52" t="s">
        <v>785</v>
      </c>
      <c r="Q2" s="52" t="s">
        <v>786</v>
      </c>
      <c r="R2" s="52" t="s">
        <v>787</v>
      </c>
      <c r="S2" s="52" t="s">
        <v>788</v>
      </c>
      <c r="T2" s="52" t="s">
        <v>789</v>
      </c>
      <c r="U2" s="52" t="s">
        <v>790</v>
      </c>
      <c r="V2" s="55" t="s">
        <v>791</v>
      </c>
      <c r="W2" s="55" t="s">
        <v>792</v>
      </c>
      <c r="X2" s="55" t="s">
        <v>793</v>
      </c>
      <c r="Y2" s="55" t="s">
        <v>794</v>
      </c>
      <c r="Z2" s="55" t="s">
        <v>795</v>
      </c>
      <c r="AA2" s="55" t="s">
        <v>796</v>
      </c>
      <c r="AB2" s="55" t="s">
        <v>797</v>
      </c>
      <c r="AC2" s="55" t="s">
        <v>798</v>
      </c>
      <c r="AD2" s="55" t="s">
        <v>799</v>
      </c>
      <c r="AE2" s="55" t="s">
        <v>800</v>
      </c>
      <c r="AF2" s="55" t="s">
        <v>801</v>
      </c>
      <c r="AG2" s="55" t="s">
        <v>802</v>
      </c>
      <c r="AH2" s="55" t="s">
        <v>803</v>
      </c>
      <c r="AI2" s="55" t="s">
        <v>804</v>
      </c>
      <c r="AJ2" s="55" t="s">
        <v>805</v>
      </c>
      <c r="AK2" s="55" t="s">
        <v>806</v>
      </c>
      <c r="AL2" s="55" t="s">
        <v>803</v>
      </c>
      <c r="AM2" s="55" t="s">
        <v>806</v>
      </c>
      <c r="AN2" s="55" t="s">
        <v>807</v>
      </c>
      <c r="AO2" s="60" t="s">
        <v>808</v>
      </c>
    </row>
    <row r="3" s="26" customFormat="1" ht="17.25" spans="1:21">
      <c r="A3" s="43"/>
      <c r="B3" s="43"/>
      <c r="C3" s="44"/>
      <c r="D3" s="44"/>
      <c r="E3" s="44"/>
      <c r="F3" s="46"/>
      <c r="G3" s="44"/>
      <c r="H3" s="44"/>
      <c r="I3" s="44"/>
      <c r="J3" s="44"/>
      <c r="K3" s="49"/>
      <c r="L3" s="44"/>
      <c r="M3" s="44"/>
      <c r="N3" s="44"/>
      <c r="O3" s="44"/>
      <c r="P3" s="44"/>
      <c r="Q3" s="44"/>
      <c r="R3" s="44"/>
      <c r="S3" s="44"/>
      <c r="T3" s="44"/>
      <c r="U3" s="44"/>
    </row>
  </sheetData>
  <sheetProtection formatCells="0" insertHyperlinks="0" autoFilter="0"/>
  <mergeCells count="5">
    <mergeCell ref="A1:L1"/>
    <mergeCell ref="M1:U1"/>
    <mergeCell ref="V1:AA1"/>
    <mergeCell ref="AB1:AG1"/>
    <mergeCell ref="AH1:A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P51" sqref="P51"/>
    </sheetView>
  </sheetViews>
  <sheetFormatPr defaultColWidth="8.8" defaultRowHeight="14.25"/>
  <cols>
    <col min="1" max="8" width="8.8" style="26"/>
    <col min="9" max="9" width="9.5" style="26"/>
    <col min="10" max="11" width="8.8" style="26"/>
    <col min="12" max="12" width="35.375" style="26" customWidth="1"/>
    <col min="13" max="14" width="8.8" style="26"/>
    <col min="15" max="15" width="10.5" style="26"/>
    <col min="16" max="16384" width="8.8" style="26"/>
  </cols>
  <sheetData>
    <row r="1" s="26" customFormat="1" spans="1:16">
      <c r="A1" s="27"/>
      <c r="B1" s="27"/>
      <c r="C1" s="27"/>
      <c r="D1" s="27"/>
      <c r="E1" s="37" t="s">
        <v>809</v>
      </c>
      <c r="F1" s="38"/>
      <c r="G1" s="38"/>
      <c r="H1" s="38"/>
      <c r="I1" s="38"/>
      <c r="J1" s="38"/>
      <c r="K1" s="38"/>
      <c r="L1" s="38"/>
      <c r="M1" s="27"/>
      <c r="N1" s="27"/>
      <c r="O1" s="27"/>
      <c r="P1" s="27"/>
    </row>
    <row r="2" s="26" customFormat="1" spans="1:16">
      <c r="A2" s="27"/>
      <c r="B2" s="27"/>
      <c r="C2" s="27"/>
      <c r="D2" s="27"/>
      <c r="E2" s="38"/>
      <c r="F2" s="38"/>
      <c r="G2" s="38"/>
      <c r="H2" s="38"/>
      <c r="I2" s="38"/>
      <c r="J2" s="38"/>
      <c r="K2" s="38"/>
      <c r="L2" s="38"/>
      <c r="M2" s="27"/>
      <c r="N2" s="27"/>
      <c r="O2" s="27"/>
      <c r="P2" s="27"/>
    </row>
    <row r="3" s="26" customFormat="1" spans="1:16">
      <c r="A3" s="27"/>
      <c r="B3" s="27"/>
      <c r="C3" s="27"/>
      <c r="D3" s="27"/>
      <c r="E3" s="38"/>
      <c r="F3" s="38"/>
      <c r="G3" s="38"/>
      <c r="H3" s="38"/>
      <c r="I3" s="38"/>
      <c r="J3" s="38"/>
      <c r="K3" s="38"/>
      <c r="L3" s="38"/>
      <c r="M3" s="27"/>
      <c r="N3" s="27"/>
      <c r="O3" s="27"/>
      <c r="P3" s="27"/>
    </row>
    <row r="4" s="26" customFormat="1" spans="1:16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="26" customFormat="1" ht="19.5" customHeight="1" spans="1:16">
      <c r="A5" s="28" t="s">
        <v>810</v>
      </c>
      <c r="B5" s="28" t="s">
        <v>811</v>
      </c>
      <c r="C5" s="29" t="s">
        <v>812</v>
      </c>
      <c r="D5" s="29" t="s">
        <v>813</v>
      </c>
      <c r="E5" s="29" t="s">
        <v>814</v>
      </c>
      <c r="F5" s="29" t="s">
        <v>815</v>
      </c>
      <c r="G5" s="29" t="s">
        <v>816</v>
      </c>
      <c r="H5" s="29" t="s">
        <v>817</v>
      </c>
      <c r="I5" s="29" t="s">
        <v>818</v>
      </c>
      <c r="J5" s="29" t="s">
        <v>819</v>
      </c>
      <c r="K5" s="29" t="s">
        <v>820</v>
      </c>
      <c r="L5" s="29" t="s">
        <v>821</v>
      </c>
      <c r="M5" s="29" t="s">
        <v>822</v>
      </c>
      <c r="N5" s="29" t="s">
        <v>823</v>
      </c>
      <c r="O5" s="28" t="s">
        <v>711</v>
      </c>
      <c r="P5" s="27"/>
    </row>
    <row r="6" s="26" customFormat="1" ht="19.5" customHeight="1" spans="1:16">
      <c r="A6" s="30" t="s">
        <v>104</v>
      </c>
      <c r="B6" s="27"/>
      <c r="C6" s="27">
        <v>300</v>
      </c>
      <c r="D6" s="27">
        <v>300</v>
      </c>
      <c r="E6" s="27">
        <v>500</v>
      </c>
      <c r="F6" s="27">
        <v>600</v>
      </c>
      <c r="G6" s="27">
        <v>500</v>
      </c>
      <c r="H6" s="27">
        <v>500</v>
      </c>
      <c r="I6" s="27">
        <v>450</v>
      </c>
      <c r="J6" s="27">
        <v>800</v>
      </c>
      <c r="K6" s="27">
        <v>500</v>
      </c>
      <c r="L6" s="27">
        <v>500</v>
      </c>
      <c r="M6" s="27">
        <v>400</v>
      </c>
      <c r="N6" s="27">
        <v>400</v>
      </c>
      <c r="O6" s="27">
        <v>4850</v>
      </c>
      <c r="P6" s="27"/>
    </row>
    <row r="7" s="26" customFormat="1" ht="19.5" customHeight="1" spans="1:16">
      <c r="A7" s="31" t="s">
        <v>824</v>
      </c>
      <c r="B7" s="27"/>
      <c r="C7" s="27">
        <v>45.99</v>
      </c>
      <c r="D7" s="27">
        <v>45.99</v>
      </c>
      <c r="E7" s="27">
        <v>45.99</v>
      </c>
      <c r="F7" s="27">
        <v>45.99</v>
      </c>
      <c r="G7" s="27">
        <v>45.99</v>
      </c>
      <c r="H7" s="27">
        <v>45.99</v>
      </c>
      <c r="I7" s="27">
        <v>45.99</v>
      </c>
      <c r="J7" s="27">
        <v>45.99</v>
      </c>
      <c r="K7" s="27">
        <v>45.99</v>
      </c>
      <c r="L7" s="27">
        <v>45.99</v>
      </c>
      <c r="M7" s="27">
        <v>45.99</v>
      </c>
      <c r="N7" s="27">
        <v>45.99</v>
      </c>
      <c r="O7" s="27">
        <v>45.99</v>
      </c>
      <c r="P7" s="27"/>
    </row>
    <row r="8" s="26" customFormat="1" spans="1:16">
      <c r="A8" s="31" t="s">
        <v>17</v>
      </c>
      <c r="B8" s="27"/>
      <c r="C8" s="27">
        <f t="shared" ref="C8:O8" si="0">C6*C7</f>
        <v>13797</v>
      </c>
      <c r="D8" s="27">
        <f t="shared" si="0"/>
        <v>13797</v>
      </c>
      <c r="E8" s="27">
        <f t="shared" si="0"/>
        <v>22995</v>
      </c>
      <c r="F8" s="27">
        <f t="shared" si="0"/>
        <v>27594</v>
      </c>
      <c r="G8" s="27">
        <f t="shared" si="0"/>
        <v>22995</v>
      </c>
      <c r="H8" s="27">
        <f t="shared" si="0"/>
        <v>22995</v>
      </c>
      <c r="I8" s="27">
        <f t="shared" si="0"/>
        <v>20695.5</v>
      </c>
      <c r="J8" s="27">
        <f t="shared" si="0"/>
        <v>36792</v>
      </c>
      <c r="K8" s="27">
        <f t="shared" si="0"/>
        <v>22995</v>
      </c>
      <c r="L8" s="27">
        <f t="shared" si="0"/>
        <v>22995</v>
      </c>
      <c r="M8" s="27">
        <f t="shared" si="0"/>
        <v>18396</v>
      </c>
      <c r="N8" s="27">
        <f t="shared" si="0"/>
        <v>18396</v>
      </c>
      <c r="O8" s="27">
        <f t="shared" si="0"/>
        <v>223051.5</v>
      </c>
      <c r="P8" s="27"/>
    </row>
    <row r="9" s="26" customFormat="1" spans="1:16">
      <c r="A9" s="31" t="s">
        <v>825</v>
      </c>
      <c r="B9" s="27"/>
      <c r="C9" s="27">
        <v>15</v>
      </c>
      <c r="D9" s="27">
        <v>15</v>
      </c>
      <c r="E9" s="27">
        <v>15</v>
      </c>
      <c r="F9" s="27">
        <v>15</v>
      </c>
      <c r="G9" s="27">
        <v>15</v>
      </c>
      <c r="H9" s="27">
        <v>15</v>
      </c>
      <c r="I9" s="27">
        <v>15</v>
      </c>
      <c r="J9" s="27">
        <v>15</v>
      </c>
      <c r="K9" s="27">
        <v>15</v>
      </c>
      <c r="L9" s="27">
        <v>15</v>
      </c>
      <c r="M9" s="27">
        <v>15</v>
      </c>
      <c r="N9" s="27">
        <v>15</v>
      </c>
      <c r="O9" s="27">
        <v>15</v>
      </c>
      <c r="P9" s="27"/>
    </row>
    <row r="10" s="26" customFormat="1" spans="1:16">
      <c r="A10" s="31" t="s">
        <v>826</v>
      </c>
      <c r="B10" s="27"/>
      <c r="C10" s="27">
        <f t="shared" ref="C10:O10" si="1">C9*C6</f>
        <v>4500</v>
      </c>
      <c r="D10" s="27">
        <f t="shared" si="1"/>
        <v>4500</v>
      </c>
      <c r="E10" s="27">
        <f t="shared" si="1"/>
        <v>7500</v>
      </c>
      <c r="F10" s="27">
        <f t="shared" si="1"/>
        <v>9000</v>
      </c>
      <c r="G10" s="27">
        <f t="shared" si="1"/>
        <v>7500</v>
      </c>
      <c r="H10" s="27">
        <f t="shared" si="1"/>
        <v>7500</v>
      </c>
      <c r="I10" s="27">
        <f t="shared" si="1"/>
        <v>6750</v>
      </c>
      <c r="J10" s="27">
        <f t="shared" si="1"/>
        <v>12000</v>
      </c>
      <c r="K10" s="27">
        <f t="shared" si="1"/>
        <v>7500</v>
      </c>
      <c r="L10" s="27">
        <f t="shared" si="1"/>
        <v>7500</v>
      </c>
      <c r="M10" s="27">
        <f t="shared" si="1"/>
        <v>6000</v>
      </c>
      <c r="N10" s="27">
        <f t="shared" si="1"/>
        <v>6000</v>
      </c>
      <c r="O10" s="27">
        <f t="shared" si="1"/>
        <v>72750</v>
      </c>
      <c r="P10" s="27"/>
    </row>
    <row r="11" s="26" customFormat="1" spans="1:16">
      <c r="A11" s="31" t="s">
        <v>827</v>
      </c>
      <c r="B11" s="27"/>
      <c r="C11" s="27">
        <f t="shared" ref="C11:O11" si="2">C8*0.15</f>
        <v>2069.55</v>
      </c>
      <c r="D11" s="27">
        <f t="shared" si="2"/>
        <v>2069.55</v>
      </c>
      <c r="E11" s="27">
        <f t="shared" si="2"/>
        <v>3449.25</v>
      </c>
      <c r="F11" s="27">
        <f t="shared" si="2"/>
        <v>4139.1</v>
      </c>
      <c r="G11" s="27">
        <f t="shared" si="2"/>
        <v>3449.25</v>
      </c>
      <c r="H11" s="27">
        <f t="shared" si="2"/>
        <v>3449.25</v>
      </c>
      <c r="I11" s="27">
        <f t="shared" si="2"/>
        <v>3104.325</v>
      </c>
      <c r="J11" s="27">
        <f t="shared" si="2"/>
        <v>5518.8</v>
      </c>
      <c r="K11" s="27">
        <f t="shared" si="2"/>
        <v>3449.25</v>
      </c>
      <c r="L11" s="27">
        <f t="shared" si="2"/>
        <v>3449.25</v>
      </c>
      <c r="M11" s="27">
        <f t="shared" si="2"/>
        <v>2759.4</v>
      </c>
      <c r="N11" s="27">
        <f t="shared" si="2"/>
        <v>2759.4</v>
      </c>
      <c r="O11" s="27">
        <f t="shared" si="2"/>
        <v>33457.725</v>
      </c>
      <c r="P11" s="27"/>
    </row>
    <row r="12" s="26" customFormat="1" spans="1:16">
      <c r="A12" s="31" t="s">
        <v>828</v>
      </c>
      <c r="B12" s="27"/>
      <c r="C12" s="27">
        <f t="shared" ref="C12:O12" si="3">4.17*C6</f>
        <v>1251</v>
      </c>
      <c r="D12" s="27">
        <f t="shared" si="3"/>
        <v>1251</v>
      </c>
      <c r="E12" s="27">
        <f t="shared" si="3"/>
        <v>2085</v>
      </c>
      <c r="F12" s="27">
        <f t="shared" si="3"/>
        <v>2502</v>
      </c>
      <c r="G12" s="27">
        <f t="shared" si="3"/>
        <v>2085</v>
      </c>
      <c r="H12" s="27">
        <f t="shared" si="3"/>
        <v>2085</v>
      </c>
      <c r="I12" s="27">
        <f t="shared" si="3"/>
        <v>1876.5</v>
      </c>
      <c r="J12" s="27">
        <f t="shared" si="3"/>
        <v>3336</v>
      </c>
      <c r="K12" s="27">
        <f t="shared" si="3"/>
        <v>2085</v>
      </c>
      <c r="L12" s="27">
        <f t="shared" si="3"/>
        <v>2085</v>
      </c>
      <c r="M12" s="27">
        <f t="shared" si="3"/>
        <v>1668</v>
      </c>
      <c r="N12" s="27">
        <f t="shared" si="3"/>
        <v>1668</v>
      </c>
      <c r="O12" s="27">
        <f t="shared" si="3"/>
        <v>20224.5</v>
      </c>
      <c r="P12" s="27"/>
    </row>
    <row r="13" s="26" customFormat="1" spans="1:16">
      <c r="A13" s="31" t="s">
        <v>829</v>
      </c>
      <c r="B13" s="27"/>
      <c r="C13" s="27">
        <f t="shared" ref="C13:O13" si="4">C8*0.05</f>
        <v>689.85</v>
      </c>
      <c r="D13" s="27">
        <f t="shared" si="4"/>
        <v>689.85</v>
      </c>
      <c r="E13" s="27">
        <f t="shared" si="4"/>
        <v>1149.75</v>
      </c>
      <c r="F13" s="27">
        <f t="shared" si="4"/>
        <v>1379.7</v>
      </c>
      <c r="G13" s="27">
        <f t="shared" si="4"/>
        <v>1149.75</v>
      </c>
      <c r="H13" s="27">
        <f t="shared" si="4"/>
        <v>1149.75</v>
      </c>
      <c r="I13" s="27">
        <f t="shared" si="4"/>
        <v>1034.775</v>
      </c>
      <c r="J13" s="27">
        <f t="shared" si="4"/>
        <v>1839.6</v>
      </c>
      <c r="K13" s="27">
        <f t="shared" si="4"/>
        <v>1149.75</v>
      </c>
      <c r="L13" s="27">
        <f t="shared" si="4"/>
        <v>1149.75</v>
      </c>
      <c r="M13" s="27">
        <f t="shared" si="4"/>
        <v>919.8</v>
      </c>
      <c r="N13" s="27">
        <f t="shared" si="4"/>
        <v>919.8</v>
      </c>
      <c r="O13" s="27">
        <f t="shared" si="4"/>
        <v>11152.575</v>
      </c>
      <c r="P13" s="27"/>
    </row>
    <row r="14" s="26" customFormat="1" spans="1:16">
      <c r="A14" s="31" t="s">
        <v>830</v>
      </c>
      <c r="B14" s="27"/>
      <c r="C14" s="27">
        <f t="shared" ref="C14:O14" si="5">C8*0.1</f>
        <v>1379.7</v>
      </c>
      <c r="D14" s="27">
        <f t="shared" si="5"/>
        <v>1379.7</v>
      </c>
      <c r="E14" s="27">
        <f t="shared" si="5"/>
        <v>2299.5</v>
      </c>
      <c r="F14" s="27">
        <f t="shared" si="5"/>
        <v>2759.4</v>
      </c>
      <c r="G14" s="27">
        <f t="shared" si="5"/>
        <v>2299.5</v>
      </c>
      <c r="H14" s="27">
        <f t="shared" si="5"/>
        <v>2299.5</v>
      </c>
      <c r="I14" s="27">
        <f t="shared" si="5"/>
        <v>2069.55</v>
      </c>
      <c r="J14" s="27">
        <f t="shared" si="5"/>
        <v>3679.2</v>
      </c>
      <c r="K14" s="27">
        <f t="shared" si="5"/>
        <v>2299.5</v>
      </c>
      <c r="L14" s="27">
        <f t="shared" si="5"/>
        <v>2299.5</v>
      </c>
      <c r="M14" s="27">
        <f t="shared" si="5"/>
        <v>1839.6</v>
      </c>
      <c r="N14" s="27">
        <f t="shared" si="5"/>
        <v>1839.6</v>
      </c>
      <c r="O14" s="27">
        <f t="shared" si="5"/>
        <v>22305.15</v>
      </c>
      <c r="P14" s="27"/>
    </row>
    <row r="15" s="26" customFormat="1" ht="25" customHeight="1" spans="1:16">
      <c r="A15" s="32" t="s">
        <v>831</v>
      </c>
      <c r="B15" s="27"/>
      <c r="C15" s="27">
        <f t="shared" ref="C15:O15" si="6">C8*0.1</f>
        <v>1379.7</v>
      </c>
      <c r="D15" s="27">
        <f t="shared" si="6"/>
        <v>1379.7</v>
      </c>
      <c r="E15" s="27">
        <f t="shared" si="6"/>
        <v>2299.5</v>
      </c>
      <c r="F15" s="27">
        <f t="shared" si="6"/>
        <v>2759.4</v>
      </c>
      <c r="G15" s="27">
        <f t="shared" si="6"/>
        <v>2299.5</v>
      </c>
      <c r="H15" s="27">
        <f t="shared" si="6"/>
        <v>2299.5</v>
      </c>
      <c r="I15" s="27">
        <f t="shared" si="6"/>
        <v>2069.55</v>
      </c>
      <c r="J15" s="27">
        <f t="shared" si="6"/>
        <v>3679.2</v>
      </c>
      <c r="K15" s="27">
        <f t="shared" si="6"/>
        <v>2299.5</v>
      </c>
      <c r="L15" s="27">
        <f t="shared" si="6"/>
        <v>2299.5</v>
      </c>
      <c r="M15" s="27">
        <f t="shared" si="6"/>
        <v>1839.6</v>
      </c>
      <c r="N15" s="27">
        <f t="shared" si="6"/>
        <v>1839.6</v>
      </c>
      <c r="O15" s="27">
        <f t="shared" si="6"/>
        <v>22305.15</v>
      </c>
      <c r="P15" s="27"/>
    </row>
    <row r="16" s="26" customFormat="1" spans="1:16">
      <c r="A16" s="33" t="s">
        <v>832</v>
      </c>
      <c r="B16" s="27"/>
      <c r="C16" s="27">
        <f t="shared" ref="C16:O16" si="7">1.5*C6</f>
        <v>450</v>
      </c>
      <c r="D16" s="27">
        <f t="shared" si="7"/>
        <v>450</v>
      </c>
      <c r="E16" s="27">
        <f t="shared" si="7"/>
        <v>750</v>
      </c>
      <c r="F16" s="27">
        <f t="shared" si="7"/>
        <v>900</v>
      </c>
      <c r="G16" s="27">
        <f t="shared" si="7"/>
        <v>750</v>
      </c>
      <c r="H16" s="27">
        <f t="shared" si="7"/>
        <v>750</v>
      </c>
      <c r="I16" s="27">
        <f t="shared" si="7"/>
        <v>675</v>
      </c>
      <c r="J16" s="27">
        <f t="shared" si="7"/>
        <v>1200</v>
      </c>
      <c r="K16" s="27">
        <f t="shared" si="7"/>
        <v>750</v>
      </c>
      <c r="L16" s="27">
        <f t="shared" si="7"/>
        <v>750</v>
      </c>
      <c r="M16" s="27">
        <f t="shared" si="7"/>
        <v>600</v>
      </c>
      <c r="N16" s="27">
        <f t="shared" si="7"/>
        <v>600</v>
      </c>
      <c r="O16" s="27">
        <f t="shared" si="7"/>
        <v>7275</v>
      </c>
      <c r="P16" s="27"/>
    </row>
    <row r="17" s="26" customFormat="1" spans="1:16">
      <c r="A17" s="34" t="s">
        <v>833</v>
      </c>
      <c r="B17" s="27"/>
      <c r="C17" s="27">
        <v>50</v>
      </c>
      <c r="D17" s="27">
        <v>50</v>
      </c>
      <c r="E17" s="27">
        <v>50</v>
      </c>
      <c r="F17" s="27">
        <v>75</v>
      </c>
      <c r="G17" s="27">
        <v>25</v>
      </c>
      <c r="H17" s="27">
        <v>50</v>
      </c>
      <c r="I17" s="27">
        <v>50</v>
      </c>
      <c r="J17" s="27">
        <v>150</v>
      </c>
      <c r="K17" s="27">
        <v>150</v>
      </c>
      <c r="L17" s="27">
        <v>50</v>
      </c>
      <c r="M17" s="27">
        <v>50</v>
      </c>
      <c r="N17" s="27">
        <v>50</v>
      </c>
      <c r="O17" s="27">
        <f t="shared" ref="O17:O19" si="8">SUM(C17:N17)</f>
        <v>800</v>
      </c>
      <c r="P17" s="27"/>
    </row>
    <row r="18" s="26" customFormat="1" spans="1:16">
      <c r="A18" s="34" t="s">
        <v>834</v>
      </c>
      <c r="B18" s="27"/>
      <c r="C18" s="27"/>
      <c r="D18" s="27"/>
      <c r="E18" s="27">
        <v>100</v>
      </c>
      <c r="F18" s="27"/>
      <c r="G18" s="27"/>
      <c r="H18" s="27"/>
      <c r="I18" s="27">
        <v>100</v>
      </c>
      <c r="J18" s="27"/>
      <c r="K18" s="27"/>
      <c r="L18" s="27"/>
      <c r="M18" s="27"/>
      <c r="N18" s="27"/>
      <c r="O18" s="27">
        <f t="shared" si="8"/>
        <v>200</v>
      </c>
      <c r="P18" s="27"/>
    </row>
    <row r="19" s="26" customFormat="1" spans="1:16">
      <c r="A19" s="31" t="s">
        <v>835</v>
      </c>
      <c r="B19" s="27"/>
      <c r="C19" s="27">
        <v>100</v>
      </c>
      <c r="D19" s="27">
        <v>100</v>
      </c>
      <c r="E19" s="27">
        <v>100</v>
      </c>
      <c r="F19" s="27">
        <v>100</v>
      </c>
      <c r="G19" s="27">
        <v>100</v>
      </c>
      <c r="H19" s="27">
        <v>100</v>
      </c>
      <c r="I19" s="27">
        <v>100</v>
      </c>
      <c r="J19" s="27">
        <v>100</v>
      </c>
      <c r="K19" s="27">
        <v>100</v>
      </c>
      <c r="L19" s="27">
        <v>100</v>
      </c>
      <c r="M19" s="27">
        <v>100</v>
      </c>
      <c r="N19" s="27">
        <v>100</v>
      </c>
      <c r="O19" s="27">
        <f t="shared" si="8"/>
        <v>1200</v>
      </c>
      <c r="P19" s="27"/>
    </row>
    <row r="20" s="26" customFormat="1" spans="1:16">
      <c r="A20" s="31" t="s">
        <v>836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="26" customFormat="1" spans="1:16">
      <c r="A21" s="33" t="s">
        <v>837</v>
      </c>
      <c r="B21" s="27"/>
      <c r="C21" s="27">
        <f t="shared" ref="C21:O21" si="9">C8-C11-C12-C13-C14-C15-C16-C17-C18-C19-C10-C20</f>
        <v>1927.2</v>
      </c>
      <c r="D21" s="27">
        <f t="shared" si="9"/>
        <v>1927.2</v>
      </c>
      <c r="E21" s="27">
        <f t="shared" si="9"/>
        <v>3212</v>
      </c>
      <c r="F21" s="27">
        <f t="shared" si="9"/>
        <v>3979.4</v>
      </c>
      <c r="G21" s="27">
        <f t="shared" si="9"/>
        <v>3337</v>
      </c>
      <c r="H21" s="27">
        <f t="shared" si="9"/>
        <v>3312</v>
      </c>
      <c r="I21" s="27">
        <f t="shared" si="9"/>
        <v>2865.8</v>
      </c>
      <c r="J21" s="27">
        <f t="shared" si="9"/>
        <v>5289.2</v>
      </c>
      <c r="K21" s="27">
        <f t="shared" si="9"/>
        <v>3212</v>
      </c>
      <c r="L21" s="27">
        <f t="shared" si="9"/>
        <v>3312</v>
      </c>
      <c r="M21" s="27">
        <f t="shared" si="9"/>
        <v>2619.6</v>
      </c>
      <c r="N21" s="27">
        <f t="shared" si="9"/>
        <v>2619.6</v>
      </c>
      <c r="O21" s="27">
        <f t="shared" si="9"/>
        <v>31381.4</v>
      </c>
      <c r="P21" s="27"/>
    </row>
    <row r="22" s="26" customFormat="1" spans="1:16">
      <c r="A22" s="35" t="s">
        <v>838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27"/>
      <c r="O22" s="27"/>
      <c r="P22" s="27"/>
    </row>
    <row r="23" s="26" customFormat="1" spans="1:16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27"/>
      <c r="O23" s="27"/>
      <c r="P23" s="27"/>
    </row>
    <row r="24" s="26" customFormat="1" spans="1:1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27"/>
      <c r="O24" s="27"/>
      <c r="P24" s="27"/>
    </row>
    <row r="25" s="26" customFormat="1" spans="1:1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27"/>
      <c r="O25" s="27"/>
      <c r="P25" s="27"/>
    </row>
    <row r="26" s="26" customFormat="1" spans="1:1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27"/>
      <c r="O26" s="27"/>
      <c r="P26" s="27"/>
    </row>
    <row r="27" s="26" customFormat="1" spans="1:16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27"/>
      <c r="O27" s="27"/>
      <c r="P27" s="27"/>
    </row>
    <row r="28" s="26" customFormat="1" spans="1:16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27"/>
      <c r="O28" s="27"/>
      <c r="P28" s="27"/>
    </row>
    <row r="29" s="26" customFormat="1" spans="1:16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27"/>
      <c r="O29" s="27"/>
      <c r="P29" s="27"/>
    </row>
    <row r="30" s="26" customFormat="1" spans="1:16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27"/>
      <c r="O30" s="27"/>
      <c r="P30" s="27"/>
    </row>
    <row r="31" s="26" customFormat="1" spans="1:16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27"/>
      <c r="O31" s="27"/>
      <c r="P31" s="27"/>
    </row>
    <row r="32" s="26" customFormat="1" spans="1:16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27"/>
      <c r="O32" s="27"/>
      <c r="P32" s="27"/>
    </row>
    <row r="33" s="26" customFormat="1" spans="1:16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27"/>
      <c r="O33" s="27"/>
      <c r="P33" s="27"/>
    </row>
    <row r="34" s="26" customFormat="1" spans="1:16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27"/>
      <c r="O34" s="27"/>
      <c r="P34" s="27"/>
    </row>
    <row r="35" s="26" customFormat="1" spans="1:16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27"/>
      <c r="O35" s="27"/>
      <c r="P35" s="27"/>
    </row>
  </sheetData>
  <sheetProtection formatCells="0" insertHyperlinks="0" autoFilter="0"/>
  <mergeCells count="2">
    <mergeCell ref="E1:L3"/>
    <mergeCell ref="A22:M3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F52" sqref="F52:G52"/>
    </sheetView>
  </sheetViews>
  <sheetFormatPr defaultColWidth="10.7" defaultRowHeight="12" customHeight="1" outlineLevelCol="7"/>
  <cols>
    <col min="1" max="1" width="10.7" style="2" customWidth="1"/>
    <col min="2" max="2" width="27.7" style="1" customWidth="1"/>
    <col min="3" max="3" width="55.2" style="1" customWidth="1"/>
    <col min="4" max="4" width="14" style="1" customWidth="1"/>
    <col min="5" max="5" width="10.7" style="2" customWidth="1"/>
    <col min="6" max="7" width="10.7" style="1" customWidth="1"/>
    <col min="8" max="8" width="13.2" style="1" customWidth="1"/>
    <col min="9" max="16384" width="10.7" style="1" customWidth="1"/>
  </cols>
  <sheetData>
    <row r="1" s="1" customFormat="1" ht="23" customHeight="1" spans="1:8">
      <c r="A1" s="3" t="s">
        <v>839</v>
      </c>
      <c r="B1" s="4"/>
      <c r="C1" s="4"/>
      <c r="D1" s="4"/>
      <c r="E1" s="4"/>
      <c r="F1" s="4"/>
      <c r="G1" s="4"/>
      <c r="H1" s="15"/>
    </row>
    <row r="2" s="1" customFormat="1" customHeight="1" spans="1:8">
      <c r="A2" s="5" t="s">
        <v>6</v>
      </c>
      <c r="B2" s="6" t="s">
        <v>840</v>
      </c>
      <c r="C2" s="6" t="s">
        <v>841</v>
      </c>
      <c r="D2" s="6" t="s">
        <v>842</v>
      </c>
      <c r="E2" s="16" t="s">
        <v>843</v>
      </c>
      <c r="F2" s="6" t="s">
        <v>844</v>
      </c>
      <c r="G2" s="6" t="s">
        <v>845</v>
      </c>
      <c r="H2" s="17" t="s">
        <v>846</v>
      </c>
    </row>
    <row r="3" s="1" customFormat="1" ht="15" customHeight="1" spans="1:8">
      <c r="A3" s="7">
        <v>1</v>
      </c>
      <c r="B3" s="8" t="s">
        <v>847</v>
      </c>
      <c r="C3" s="8" t="s">
        <v>848</v>
      </c>
      <c r="D3" s="8" t="s">
        <v>849</v>
      </c>
      <c r="E3" s="18">
        <v>30</v>
      </c>
      <c r="F3" s="8">
        <v>2500</v>
      </c>
      <c r="G3" s="8" t="s">
        <v>850</v>
      </c>
      <c r="H3" s="19"/>
    </row>
    <row r="4" s="1" customFormat="1" ht="14" customHeight="1" spans="1:8">
      <c r="A4" s="7">
        <v>2</v>
      </c>
      <c r="B4" s="8" t="s">
        <v>851</v>
      </c>
      <c r="C4" s="8" t="s">
        <v>852</v>
      </c>
      <c r="D4" s="8"/>
      <c r="E4" s="18">
        <v>3</v>
      </c>
      <c r="F4" s="8"/>
      <c r="G4" s="8" t="s">
        <v>850</v>
      </c>
      <c r="H4" s="19"/>
    </row>
    <row r="5" s="1" customFormat="1" customHeight="1" spans="1:8">
      <c r="A5" s="7">
        <v>3</v>
      </c>
      <c r="B5" s="8" t="s">
        <v>853</v>
      </c>
      <c r="C5" s="8"/>
      <c r="D5" s="8"/>
      <c r="E5" s="18"/>
      <c r="F5" s="8"/>
      <c r="G5" s="8" t="s">
        <v>850</v>
      </c>
      <c r="H5" s="19"/>
    </row>
    <row r="6" s="1" customFormat="1" customHeight="1" spans="1:8">
      <c r="A6" s="7">
        <v>4</v>
      </c>
      <c r="B6" s="8" t="s">
        <v>854</v>
      </c>
      <c r="C6" s="8"/>
      <c r="D6" s="8"/>
      <c r="E6" s="18"/>
      <c r="F6" s="8"/>
      <c r="G6" s="8" t="s">
        <v>850</v>
      </c>
      <c r="H6" s="19"/>
    </row>
    <row r="7" s="1" customFormat="1" ht="18" customHeight="1" spans="1:8">
      <c r="A7" s="7">
        <v>5</v>
      </c>
      <c r="B7" s="8" t="s">
        <v>855</v>
      </c>
      <c r="C7" s="8"/>
      <c r="D7" s="8"/>
      <c r="E7" s="18">
        <v>1</v>
      </c>
      <c r="F7" s="8"/>
      <c r="G7" s="8" t="s">
        <v>850</v>
      </c>
      <c r="H7" s="19"/>
    </row>
    <row r="8" s="1" customFormat="1" ht="18" customHeight="1" spans="1:8">
      <c r="A8" s="7">
        <v>6</v>
      </c>
      <c r="B8" s="8" t="s">
        <v>856</v>
      </c>
      <c r="C8" s="9"/>
      <c r="D8" s="8"/>
      <c r="E8" s="18">
        <v>2</v>
      </c>
      <c r="F8" s="8"/>
      <c r="G8" s="8" t="s">
        <v>850</v>
      </c>
      <c r="H8" s="19"/>
    </row>
    <row r="9" s="1" customFormat="1" ht="18" customHeight="1" spans="1:8">
      <c r="A9" s="7">
        <v>7</v>
      </c>
      <c r="B9" s="8" t="s">
        <v>857</v>
      </c>
      <c r="C9" s="8"/>
      <c r="D9" s="8" t="s">
        <v>849</v>
      </c>
      <c r="E9" s="18"/>
      <c r="F9" s="8"/>
      <c r="G9" s="8" t="s">
        <v>858</v>
      </c>
      <c r="H9" s="19" t="s">
        <v>859</v>
      </c>
    </row>
    <row r="10" s="1" customFormat="1" ht="18" customHeight="1" spans="1:8">
      <c r="A10" s="7">
        <v>8</v>
      </c>
      <c r="B10" s="8" t="s">
        <v>860</v>
      </c>
      <c r="C10" s="8" t="s">
        <v>861</v>
      </c>
      <c r="D10" s="8" t="s">
        <v>862</v>
      </c>
      <c r="E10" s="18">
        <v>5</v>
      </c>
      <c r="F10" s="8"/>
      <c r="G10" s="8" t="s">
        <v>850</v>
      </c>
      <c r="H10" s="19" t="s">
        <v>863</v>
      </c>
    </row>
    <row r="11" s="1" customFormat="1" ht="18" customHeight="1" spans="1:8">
      <c r="A11" s="7">
        <v>9</v>
      </c>
      <c r="B11" s="8" t="s">
        <v>864</v>
      </c>
      <c r="C11" s="8" t="s">
        <v>865</v>
      </c>
      <c r="D11" s="8"/>
      <c r="E11" s="18">
        <v>20</v>
      </c>
      <c r="F11" s="8"/>
      <c r="G11" s="8" t="s">
        <v>858</v>
      </c>
      <c r="H11" s="19"/>
    </row>
    <row r="12" s="1" customFormat="1" ht="18" customHeight="1" spans="1:8">
      <c r="A12" s="7">
        <v>10</v>
      </c>
      <c r="B12" s="8" t="s">
        <v>866</v>
      </c>
      <c r="C12" s="8" t="s">
        <v>867</v>
      </c>
      <c r="D12" s="8" t="s">
        <v>868</v>
      </c>
      <c r="E12" s="18" t="s">
        <v>869</v>
      </c>
      <c r="F12" s="8"/>
      <c r="G12" s="8" t="s">
        <v>850</v>
      </c>
      <c r="H12" s="19" t="s">
        <v>870</v>
      </c>
    </row>
    <row r="13" s="1" customFormat="1" ht="18" customHeight="1" spans="1:8">
      <c r="A13" s="7">
        <v>11</v>
      </c>
      <c r="B13" s="8" t="s">
        <v>871</v>
      </c>
      <c r="C13" s="8" t="s">
        <v>872</v>
      </c>
      <c r="D13" s="8"/>
      <c r="E13" s="20" t="s">
        <v>873</v>
      </c>
      <c r="F13" s="8"/>
      <c r="G13" s="8" t="s">
        <v>858</v>
      </c>
      <c r="H13" s="19" t="s">
        <v>874</v>
      </c>
    </row>
    <row r="14" s="1" customFormat="1" ht="18" customHeight="1" spans="1:8">
      <c r="A14" s="7">
        <v>12</v>
      </c>
      <c r="B14" s="8" t="s">
        <v>875</v>
      </c>
      <c r="C14" s="8" t="s">
        <v>876</v>
      </c>
      <c r="D14" s="8" t="s">
        <v>877</v>
      </c>
      <c r="E14" s="18">
        <v>8</v>
      </c>
      <c r="F14" s="8"/>
      <c r="G14" s="8" t="s">
        <v>850</v>
      </c>
      <c r="H14" s="19" t="s">
        <v>878</v>
      </c>
    </row>
    <row r="15" s="1" customFormat="1" ht="18" customHeight="1" spans="1:8">
      <c r="A15" s="7">
        <v>13</v>
      </c>
      <c r="B15" s="8" t="s">
        <v>879</v>
      </c>
      <c r="C15" s="10" t="s">
        <v>880</v>
      </c>
      <c r="D15" s="8" t="s">
        <v>881</v>
      </c>
      <c r="E15" s="18"/>
      <c r="F15" s="8"/>
      <c r="G15" s="8" t="s">
        <v>850</v>
      </c>
      <c r="H15" s="19" t="s">
        <v>882</v>
      </c>
    </row>
    <row r="16" s="1" customFormat="1" ht="18" customHeight="1" spans="1:8">
      <c r="A16" s="7">
        <v>14</v>
      </c>
      <c r="B16" s="8" t="s">
        <v>883</v>
      </c>
      <c r="C16" s="8" t="s">
        <v>884</v>
      </c>
      <c r="D16" s="8" t="s">
        <v>885</v>
      </c>
      <c r="E16" s="18" t="s">
        <v>886</v>
      </c>
      <c r="F16" s="8"/>
      <c r="G16" s="8" t="s">
        <v>850</v>
      </c>
      <c r="H16" s="19"/>
    </row>
    <row r="17" s="1" customFormat="1" ht="18" customHeight="1" spans="1:8">
      <c r="A17" s="7">
        <v>15</v>
      </c>
      <c r="B17" s="8" t="s">
        <v>887</v>
      </c>
      <c r="C17" s="8" t="s">
        <v>872</v>
      </c>
      <c r="D17" s="8" t="s">
        <v>888</v>
      </c>
      <c r="E17" s="18"/>
      <c r="F17" s="8"/>
      <c r="G17" s="8" t="s">
        <v>850</v>
      </c>
      <c r="H17" s="19"/>
    </row>
    <row r="18" s="1" customFormat="1" ht="18" customHeight="1" spans="1:8">
      <c r="A18" s="7">
        <v>16</v>
      </c>
      <c r="B18" s="8" t="s">
        <v>889</v>
      </c>
      <c r="C18" s="8" t="s">
        <v>872</v>
      </c>
      <c r="D18" s="8" t="s">
        <v>890</v>
      </c>
      <c r="E18" s="18" t="s">
        <v>891</v>
      </c>
      <c r="F18" s="8">
        <v>150</v>
      </c>
      <c r="G18" s="8" t="s">
        <v>858</v>
      </c>
      <c r="H18" s="19" t="s">
        <v>892</v>
      </c>
    </row>
    <row r="19" s="1" customFormat="1" ht="18" customHeight="1" spans="1:8">
      <c r="A19" s="7">
        <v>17</v>
      </c>
      <c r="B19" s="8" t="s">
        <v>658</v>
      </c>
      <c r="C19" s="8" t="s">
        <v>872</v>
      </c>
      <c r="D19" s="8"/>
      <c r="E19" s="18"/>
      <c r="F19" s="8"/>
      <c r="G19" s="8" t="s">
        <v>858</v>
      </c>
      <c r="H19" s="19"/>
    </row>
    <row r="20" s="1" customFormat="1" ht="18" customHeight="1" spans="1:8">
      <c r="A20" s="7">
        <v>18</v>
      </c>
      <c r="B20" s="8" t="s">
        <v>893</v>
      </c>
      <c r="C20" s="8" t="s">
        <v>872</v>
      </c>
      <c r="D20" s="11" t="s">
        <v>894</v>
      </c>
      <c r="E20" s="18"/>
      <c r="F20" s="8"/>
      <c r="G20" s="8" t="s">
        <v>858</v>
      </c>
      <c r="H20" s="19" t="s">
        <v>895</v>
      </c>
    </row>
    <row r="21" s="1" customFormat="1" customHeight="1" spans="1:8">
      <c r="A21" s="7">
        <v>19</v>
      </c>
      <c r="B21" s="8" t="s">
        <v>896</v>
      </c>
      <c r="C21" s="8" t="s">
        <v>897</v>
      </c>
      <c r="D21" s="8"/>
      <c r="E21" s="18"/>
      <c r="F21" s="8"/>
      <c r="G21" s="8" t="s">
        <v>858</v>
      </c>
      <c r="H21" s="19"/>
    </row>
    <row r="22" s="1" customFormat="1" customHeight="1" spans="1:8">
      <c r="A22" s="7">
        <v>20</v>
      </c>
      <c r="B22" s="8" t="s">
        <v>898</v>
      </c>
      <c r="C22" s="8"/>
      <c r="D22" s="8"/>
      <c r="E22" s="18"/>
      <c r="F22" s="8"/>
      <c r="G22" s="8"/>
      <c r="H22" s="19"/>
    </row>
    <row r="23" s="1" customFormat="1" customHeight="1" spans="1:8">
      <c r="A23" s="12">
        <v>21</v>
      </c>
      <c r="B23" s="13" t="s">
        <v>899</v>
      </c>
      <c r="C23" s="13"/>
      <c r="D23" s="13"/>
      <c r="E23" s="21"/>
      <c r="F23" s="22"/>
      <c r="G23" s="22" t="s">
        <v>850</v>
      </c>
      <c r="H23" s="23" t="s">
        <v>900</v>
      </c>
    </row>
    <row r="24" s="1" customFormat="1" ht="18" customHeight="1" spans="1:8">
      <c r="A24" s="14"/>
      <c r="E24" s="24"/>
      <c r="F24" s="25"/>
      <c r="G24" s="25"/>
      <c r="H24" s="25"/>
    </row>
    <row r="25" s="1" customFormat="1" customHeight="1" spans="1:8">
      <c r="A25" s="14"/>
      <c r="E25" s="24"/>
      <c r="F25" s="25"/>
      <c r="G25" s="25"/>
      <c r="H25" s="25"/>
    </row>
    <row r="26" s="1" customFormat="1" customHeight="1" spans="1:8">
      <c r="A26" s="14"/>
      <c r="E26" s="24"/>
      <c r="F26" s="25"/>
      <c r="G26" s="25"/>
      <c r="H26" s="25"/>
    </row>
    <row r="27" s="1" customFormat="1" customHeight="1" spans="1:8">
      <c r="A27" s="14"/>
      <c r="E27" s="24"/>
      <c r="F27" s="25"/>
      <c r="G27" s="25"/>
      <c r="H27" s="25"/>
    </row>
    <row r="28" s="1" customFormat="1" customHeight="1" spans="1:8">
      <c r="A28" s="14"/>
      <c r="E28" s="24"/>
      <c r="F28" s="25"/>
      <c r="G28" s="25"/>
      <c r="H28" s="25"/>
    </row>
    <row r="29" s="1" customFormat="1" customHeight="1" spans="1:8">
      <c r="A29" s="14"/>
      <c r="E29" s="24"/>
      <c r="F29" s="25"/>
      <c r="G29" s="25"/>
      <c r="H29" s="25"/>
    </row>
    <row r="30" s="1" customFormat="1" customHeight="1" spans="1:8">
      <c r="A30" s="14"/>
      <c r="E30" s="24"/>
      <c r="F30" s="25"/>
      <c r="G30" s="25"/>
      <c r="H30" s="25"/>
    </row>
    <row r="31" s="1" customFormat="1" customHeight="1" spans="1:5">
      <c r="A31" s="14"/>
      <c r="E31" s="2"/>
    </row>
    <row r="32" s="1" customFormat="1" customHeight="1" spans="1:5">
      <c r="A32" s="14"/>
      <c r="E32" s="2"/>
    </row>
    <row r="33" s="1" customFormat="1" customHeight="1" spans="1:5">
      <c r="A33" s="14"/>
      <c r="E33" s="2"/>
    </row>
    <row r="34" s="1" customFormat="1" customHeight="1" spans="1:5">
      <c r="A34" s="14"/>
      <c r="E34" s="2"/>
    </row>
    <row r="35" s="1" customFormat="1" customHeight="1" spans="1:5">
      <c r="A35" s="14"/>
      <c r="E35" s="2"/>
    </row>
    <row r="36" s="1" customFormat="1" customHeight="1" spans="1:5">
      <c r="A36" s="14"/>
      <c r="E36" s="2"/>
    </row>
  </sheetData>
  <sheetProtection formatCells="0" insertHyperlinks="0" autoFilter="0"/>
  <mergeCells count="1">
    <mergeCell ref="A1:H1"/>
  </mergeCells>
  <hyperlinks>
    <hyperlink ref="D20" r:id="rId1" display="http://www.baixiaotangtop.com/BBS/Detail/10066"/>
    <hyperlink ref="C15" r:id="rId1" display="http://www.baixiaotangtop.com/BBS/Detail/10066 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6">
    <comment s:ref="F1" rgbClr="FF0000">
      <item id="{de044561-1c5a-46fc-9bdf-78e0edcbcfa5}" isNormal="1">
        <s:text>
          <s:r>
            <s:t xml:space="preserve">固定7天追踪</s:t>
          </s:r>
        </s:text>
      </item>
    </comment>
  </commentList>
  <commentList sheetStid="5">
    <comment s:ref="J2" rgbClr="FF0000">
      <item id="{841d25e5-7f97-47d6-87dc-cac3cba56e91}" isNormal="1">
        <s:text>
          <s:r>
            <s:t xml:space="preserve">总库存=在库+在途+接收中+转库</s:t>
          </s:r>
        </s:text>
      </item>
    </comment>
    <comment s:ref="M2" rgbClr="FF0000">
      <item id="{105205d7-6046-4843-8c42-20fe6fe5d665}" isNormal="1">
        <s:text>
          <s:r>
            <s:t xml:space="preserve">备货天数 =   下采购
单到可售的时间+安全库存天数 7天左右</s:t>
          </s:r>
        </s:text>
      </item>
    </comment>
    <comment s:ref="N2" rgbClr="FF0000">
      <item id="{b796c7e5-c24a-4f6d-9b53-a8ca5d60649d}" isNormal="1">
        <s:text>
          <s:r>
            <s:t xml:space="preserve">给工厂下单的日期</s:t>
          </s:r>
        </s:text>
      </item>
    </comment>
    <comment s:ref="P2" rgbClr="FF0000">
      <item id="{70cc71d6-3d28-42d7-ac5d-7d5b85ca8fe3}" isNormal="1">
        <s:text>
          <s:r>
            <s:t xml:space="preserve">日均销量 = 3日销量 / 3 * 3日权重 + 7日销量 / 7 * 7日权重 + 14日销量 / 14 * 14日权重 + 30日销量 / 30 * 30日权重   这里3、7、14、30日权重依次为0、0.5、0.3、0.2</s:t>
          </s:r>
        </s:text>
      </item>
    </comment>
  </commentList>
  <commentList sheetStid="9">
    <comment s:ref="B4" rgbClr="FF0000">
      <item id="{7fdeb268-abdc-427f-b21e-22e9b0de8f1a}" isNormal="1">
        <s:text>
          <s:r>
            <s:t xml:space="preserve">修改日期</s:t>
          </s:r>
        </s:text>
      </item>
    </comment>
    <comment s:ref="F4" rgbClr="FF0000">
      <item id="{a8f5b0f0-cb8b-44d2-9d29-cebb13403693}" isNormal="1">
        <s:text>
          <s:r>
            <s:t xml:space="preserve">公式自动填充 7天追踪</s:t>
          </s:r>
        </s:text>
      </item>
    </comment>
  </commentList>
  <commentList sheetStid="16">
    <comment s:ref="N1" rgbClr="FF0000">
      <item id="{d43ab852-a6bd-4392-bfd1-29581e289639}" isNormal="1">
        <s:text>
          <s:r>
            <s:t xml:space="preserve">由于推广期、稳定期、上升期的售价不同，此处取平均值价格</s:t>
          </s:r>
        </s:text>
      </item>
    </comment>
    <comment s:ref="S1" rgbClr="FF0000">
      <item id="{5b929222-b4c8-4125-86c0-574f976262a9}" isNormal="1">
        <s:text>
          <s:r>
            <s:t xml:space="preserve">成本价</s:t>
          </s:r>
        </s:text>
      </item>
    </comment>
    <comment s:ref="R4" rgbClr="FF0000">
      <item id="{fe692d47-a3cd-4562-b60f-002fa83953b8}" isNormal="1">
        <s:text>
          <s:r>
            <s:t xml:space="preserve">参照空运备货计划表</s:t>
          </s:r>
        </s:text>
      </item>
    </comment>
    <comment s:ref="S4" rgbClr="FF0000">
      <item id="{e08543e3-f0a9-4c0c-94d4-0666d4474fc9}" isNormal="1">
        <s:text>
          <s:r>
            <s:t xml:space="preserve">参考海运补货计划表</s:t>
          </s:r>
        </s:text>
      </item>
    </comment>
    <comment s:ref="V4" rgbClr="FF0000">
      <item id="{f4928cc1-ddba-4fbd-93df-620b951a1d40}" isNormal="1">
        <s:text>
          <s:r>
            <s:t xml:space="preserve"> 个人刷单费用
+
 公司测评费用
+
 LD费用
+ 
 CPC费用
+
 站外推广费用</s:t>
          </s:r>
        </s:text>
      </item>
    </comment>
    <comment s:ref="AA4" rgbClr="FF0000">
      <item id="{8292aa1b-81ac-46ef-b903-f3739ccb27c7}" isNormal="1">
        <s:text>
          <s:r>
            <s:t xml:space="preserve"> 个人刷单费用
+
 公司测评费用
+
 LD费用
+ 
 CPC费用
+
 站外推广费用</s:t>
          </s:r>
        </s:text>
      </item>
    </comment>
    <comment s:ref="AI4" rgbClr="FF0000">
      <item id="{dc71689a-cae7-486d-a8ef-03b91bdcb6ff}" isNormal="1">
        <s:text>
          <s:r>
            <s:t xml:space="preserve">个人测评的留评率，留评内容，是否在预计时间内达到留评数量</s:t>
          </s:r>
        </s:text>
      </item>
    </comment>
    <comment s:ref="AK4" rgbClr="FF0000">
      <item id="{db862c72-82f3-4c4e-a999-8225545e8880}" isNormal="1">
        <s:text>
          <s:r>
            <s:t xml:space="preserve">特殊产品需要留视频的，或者留feedback的是否留了</s:t>
          </s:r>
        </s:text>
      </item>
    </comment>
    <comment s:ref="AN4" rgbClr="FF0000">
      <item id="{eb524b9e-8eae-457b-a9c2-23ce5ff79890}" isNormal="1">
        <s:text>
          <s:r>
            <s:t xml:space="preserve">参加LD后的效果分析，出单情况与CPC对比</s:t>
          </s:r>
        </s:text>
      </item>
    </comment>
    <comment s:ref="AP4" rgbClr="FF0000">
      <item id="{b93d3a1a-85c0-465e-946e-677ec13896b4}" isNormal="1">
        <s:text>
          <s:r>
            <s:t xml:space="preserve">广告坑位不在前三页，打”/”,须加钱或换词</s:t>
          </s:r>
        </s:text>
      </item>
    </comment>
    <comment s:ref="AR4" rgbClr="FF0000">
      <item id="{df63e874-d8f5-429e-bfb8-78c5a72f8d41}" isNormal="1">
        <s:text>
          <s:r>
            <s:t xml:space="preserve">观察CTR和CR，以及追踪广告位置，每天要做一个记录</s:t>
          </s:r>
        </s:text>
      </item>
    </comment>
    <comment s:ref="AT4" rgbClr="FF0000">
      <item id="{da68987f-2680-4698-a378-835859c8752a}" isNormal="1">
        <s:text>
          <s:r>
            <s:t xml:space="preserve">coupon的使用情况</s:t>
          </s:r>
        </s:text>
      </item>
    </comment>
    <comment s:ref="AV4" rgbClr="FF0000">
      <item id="{e763bd6f-1083-46d2-9058-aa8d94867daf}" isNormal="1">
        <s:text>
          <s:r>
            <s:t xml:space="preserve">促销的效果</s:t>
          </s:r>
        </s:text>
      </item>
    </comment>
    <comment s:ref="BA4" rgbClr="FF0000">
      <item id="{c1695983-399c-4c55-8021-3834bfa73613}" isNormal="1">
        <s:text>
          <s:r>
            <s:t xml:space="preserve"> 个人刷单费用
+
 公司测评费用
+
 LD费用
+ 
 CPC费用
+
 站外推广费用</s:t>
          </s:r>
        </s:text>
      </item>
    </comment>
    <comment s:ref="BF4" rgbClr="FF0000">
      <item id="{ca644281-aa7e-4fdd-a9b4-5fb17f65ceb3}" isNormal="1">
        <s:text>
          <s:r>
            <s:t xml:space="preserve"> 个人刷单费用
+
 公司测评费用
+
 LD费用
+ 
 CPC费用
+
 站外推广费用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4" interlineOnOff="0" interlineColor="0" isDbSheet="0" isDashBoardSheet="0"/>
    <woSheetProps sheetStid="8" interlineOnOff="0" interlineColor="0" isDbSheet="0" isDashBoardSheet="0"/>
    <woSheetProps sheetStid="3" interlineOnOff="0" interlineColor="0" isDbSheet="0" isDashBoardSheet="0"/>
    <woSheetProps sheetStid="7" interlineOnOff="0" interlineColor="0" isDbSheet="0" isDashBoardSheet="0"/>
    <woSheetProps sheetStid="10" interlineOnOff="0" interlineColor="0" isDbSheet="0" isDashBoardSheet="0"/>
    <woSheetProps sheetStid="6" interlineOnOff="0" interlineColor="0" isDbSheet="0" isDashBoardSheet="0"/>
    <woSheetProps sheetStid="5" interlineOnOff="0" interlineColor="0" isDbSheet="0" isDashBoardSheet="0"/>
    <woSheetProps sheetStid="9" interlineOnOff="0" interlineColor="0" isDbSheet="0" isDashBoardSheet="0"/>
    <woSheetProps sheetStid="11" interlineOnOff="0" interlineColor="0" isDbSheet="0" isDashBoardSheet="0"/>
    <woSheetProps sheetStid="16" interlineOnOff="0" interlineColor="0" isDbSheet="0" isDashBoardSheet="0"/>
    <woSheetProps sheetStid="12" interlineOnOff="0" interlineColor="0" isDbSheet="0" isDashBoardSheet="0"/>
    <woSheetProps sheetStid="13" interlineOnOff="0" interlineColor="0" isDbSheet="0" isDashBoardSheet="0"/>
    <woSheetProps sheetStid="14" interlineOnOff="0" interlineColor="0" isDbSheet="0" isDashBoardSheet="0"/>
    <woSheetProps sheetStid="15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4" master=""/>
  <rangeList sheetStid="8" master=""/>
  <rangeList sheetStid="3" master=""/>
  <rangeList sheetStid="7" master=""/>
  <rangeList sheetStid="10" master=""/>
  <rangeList sheetStid="6" master=""/>
  <rangeList sheetStid="5" master=""/>
  <rangeList sheetStid="9" master=""/>
  <rangeList sheetStid="11" master=""/>
  <rangeList sheetStid="16" master=""/>
  <rangeList sheetStid="12" master=""/>
  <rangeList sheetStid="13" master=""/>
  <rangeList sheetStid="14" master=""/>
  <rangeList sheetStid="15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8"/>
  <pixelatorList sheetStid="3"/>
  <pixelatorList sheetStid="7"/>
  <pixelatorList sheetStid="10"/>
  <pixelatorList sheetStid="6"/>
  <pixelatorList sheetStid="5"/>
  <pixelatorList sheetStid="9"/>
  <pixelatorList sheetStid="11"/>
  <pixelatorList sheetStid="16"/>
  <pixelatorList sheetStid="12"/>
  <pixelatorList sheetStid="13"/>
  <pixelatorList sheetStid="14"/>
  <pixelatorList sheetStid="15"/>
  <pixelatorList sheetStid="17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试用期业务员</vt:lpstr>
      <vt:lpstr>绩效考核</vt:lpstr>
      <vt:lpstr>日报综合</vt:lpstr>
      <vt:lpstr>每日数据</vt:lpstr>
      <vt:lpstr>周报综合</vt:lpstr>
      <vt:lpstr>周营销数据</vt:lpstr>
      <vt:lpstr>广告周报</vt:lpstr>
      <vt:lpstr>广告操作记录</vt:lpstr>
      <vt:lpstr>FBA补货预警</vt:lpstr>
      <vt:lpstr>listing优化操作记录</vt:lpstr>
      <vt:lpstr>每周退货数据</vt:lpstr>
      <vt:lpstr>每周ROI表格追踪</vt:lpstr>
      <vt:lpstr>简易数据报告</vt:lpstr>
      <vt:lpstr>推广运营计划周报</vt:lpstr>
      <vt:lpstr>年度备货销售计划</vt:lpstr>
      <vt:lpstr>新品推广计划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2022-10-20T11:02:00Z</dcterms:created>
  <dcterms:modified xsi:type="dcterms:W3CDTF">2024-03-28T09:51:00Z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A21A420039044615B79EF46B6EFA7AB7</vt:lpwstr>
  </property>
  <property fmtid="{D5CDD505-2E9C-101B-9397-08002B2CF9AE}" pid="3" name="KSOProductBuildVer">
    <vt:lpwstr>2052-0.0.0.0</vt:lpwstr>
  </property>
</Properties>
</file>