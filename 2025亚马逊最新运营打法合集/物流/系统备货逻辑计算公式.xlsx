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<sst xmlns="http://schemas.openxmlformats.org/spreadsheetml/2006/main" count="42" uniqueCount="42">
  <si>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系统备货计算公式</t>
  </si>
  <si>
    <t>日期</t>
  </si>
  <si>
    <t>容错数量</t>
  </si>
  <si>
    <t>3天出单</t>
  </si>
  <si>
    <r>
      <rPr>
        <b/>
        <sz val="14"/>
        <rFont val="Calibri"/>
        <charset val="134"/>
      </rPr>
      <t>15</t>
    </r>
    <r>
      <rPr>
        <b/>
        <sz val="14"/>
        <rFont val="宋体"/>
        <charset val="134"/>
      </rPr>
      <t>天出单</t>
    </r>
  </si>
  <si>
    <r>
      <rPr>
        <b/>
        <sz val="14"/>
        <rFont val="Calibri"/>
        <charset val="134"/>
      </rPr>
      <t>30</t>
    </r>
    <r>
      <rPr>
        <b/>
        <sz val="14"/>
        <rFont val="宋体"/>
        <charset val="134"/>
      </rPr>
      <t>天出单</t>
    </r>
    <r>
      <rPr>
        <b/>
        <sz val="14"/>
        <rFont val="Calibri"/>
        <charset val="134"/>
      </rPr>
      <t xml:space="preserve"> </t>
    </r>
  </si>
  <si>
    <t>大类排名</t>
  </si>
  <si>
    <t>小类排名</t>
  </si>
  <si>
    <t>评分</t>
  </si>
  <si>
    <t>曝光量</t>
  </si>
  <si>
    <t>点击率</t>
  </si>
  <si>
    <t>转化率</t>
  </si>
  <si>
    <t>刷单库存</t>
  </si>
  <si>
    <t>秒杀库存</t>
  </si>
  <si>
    <t>备货天数
+物流时效</t>
  </si>
  <si>
    <t>备货数量</t>
  </si>
  <si>
    <t>FBA库存</t>
  </si>
  <si>
    <t>调拨需求</t>
  </si>
  <si>
    <t>2023.07.30</t>
  </si>
  <si>
    <t>68</t>
  </si>
  <si>
    <t>206</t>
  </si>
  <si>
    <t>300</t>
  </si>
  <si>
    <t>4800</t>
  </si>
  <si>
    <t>2</t>
  </si>
  <si>
    <t>4.5</t>
  </si>
  <si>
    <t>436</t>
  </si>
  <si>
    <t>45</t>
  </si>
  <si>
    <t>1.如果评分降低，备货库存可以相对减少</t>
  </si>
  <si>
    <r>
      <rPr>
        <b/>
        <sz val="16"/>
        <color theme="1"/>
        <rFont val="Calibri"/>
        <charset val="134"/>
      </rPr>
      <t>2.</t>
    </r>
    <r>
      <rPr>
        <b/>
        <sz val="16"/>
        <color theme="1"/>
        <rFont val="宋体"/>
        <charset val="134"/>
      </rPr>
      <t>如果质量可以改善，那么刷单库存就增加</t>
    </r>
  </si>
  <si>
    <t>评分常规算法</t>
  </si>
  <si>
    <r>
      <rPr>
        <b/>
        <sz val="16"/>
        <color theme="1"/>
        <rFont val="Calibri"/>
        <charset val="134"/>
      </rPr>
      <t>3.</t>
    </r>
    <r>
      <rPr>
        <b/>
        <sz val="16"/>
        <color theme="1"/>
        <rFont val="宋体"/>
        <charset val="134"/>
      </rPr>
      <t>实际调拨数量</t>
    </r>
    <r>
      <rPr>
        <b/>
        <sz val="16"/>
        <color theme="1"/>
        <rFont val="Calibri"/>
        <charset val="134"/>
      </rPr>
      <t>=</t>
    </r>
    <r>
      <rPr>
        <b/>
        <sz val="16"/>
        <color theme="1"/>
        <rFont val="宋体"/>
        <charset val="134"/>
      </rPr>
      <t>备货数量</t>
    </r>
    <r>
      <rPr>
        <b/>
        <sz val="16"/>
        <color theme="1"/>
        <rFont val="Calibri"/>
        <charset val="134"/>
      </rPr>
      <t>-</t>
    </r>
    <r>
      <rPr>
        <b/>
        <sz val="16"/>
        <color theme="1"/>
        <rFont val="宋体"/>
        <charset val="134"/>
      </rPr>
      <t>现有库存</t>
    </r>
  </si>
  <si>
    <t>✬</t>
  </si>
  <si>
    <t>✬✬</t>
  </si>
  <si>
    <t>✬✬✬</t>
  </si>
  <si>
    <t>✬✬✬✬</t>
  </si>
  <si>
    <t>✬✬✬✬✬</t>
  </si>
  <si>
    <t>评论总数</t>
  </si>
  <si>
    <t>得分</t>
  </si>
  <si>
    <t>目标评分</t>
  </si>
  <si>
    <t>需求数量</t>
  </si>
  <si>
    <r>
      <rPr>
        <b/>
        <sz val="16"/>
        <color theme="1"/>
        <rFont val="Calibri"/>
        <charset val="134"/>
      </rPr>
      <t>4.</t>
    </r>
    <r>
      <rPr>
        <b/>
        <sz val="16"/>
        <color theme="1"/>
        <rFont val="宋体"/>
        <charset val="134"/>
      </rPr>
      <t>季节性产品另外分析</t>
    </r>
  </si>
  <si>
    <r>
      <rPr>
        <b/>
        <sz val="16"/>
        <color theme="1"/>
        <rFont val="Calibri"/>
        <charset val="134"/>
      </rPr>
      <t>5.</t>
    </r>
    <r>
      <rPr>
        <b/>
        <sz val="16"/>
        <color theme="1"/>
        <rFont val="宋体"/>
        <charset val="134"/>
      </rPr>
      <t>旺季不要备大货，按照常规出单来算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</si>
</sst>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0"/>
      <name val="宋体"/>
      <charset val="134"/>
    </font>
    <font>
      <b/>
      <sz val="14"/>
      <color theme="1"/>
      <name val="宋体"/>
      <charset val="134"/>
    </font>
    <font>
      <b/>
      <sz val="14"/>
      <name val="宋体"/>
      <charset val="134"/>
    </font>
    <font>
      <b/>
      <sz val="14"/>
      <name val="Calibri"/>
      <charset val="134"/>
    </font>
    <font>
      <b/>
      <sz val="14"/>
      <color rgb="FFFF0000"/>
      <name val="宋体"/>
      <charset val="134"/>
    </font>
    <font>
      <sz val="10"/>
      <color theme="1"/>
      <name val="Calibri"/>
      <charset val="134"/>
    </font>
    <font>
      <b/>
      <sz val="14"/>
      <color rgb="FFFF0000"/>
      <name val="锐字工房云字库锐倩GBK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sz val="20"/>
      <color rgb="FFFF0000"/>
      <name val="锐字工房云字库锐倩GBK"/>
      <charset val="134"/>
    </font>
    <font>
      <b/>
      <sz val="12"/>
      <color rgb="FFFFC000"/>
      <name val="宋体"/>
      <charset val="134"/>
    </font>
    <font>
      <b/>
      <sz val="16"/>
      <color rgb="FF92D050"/>
      <name val="宋体"/>
      <charset val="134"/>
    </font>
    <font>
      <b/>
      <sz val="12"/>
      <color theme="1"/>
      <name val="锐字工房云字库锐倩GBK"/>
      <charset val="134"/>
    </font>
    <font>
      <b/>
      <sz val="14"/>
      <color rgb="FFC00000"/>
      <name val="锐字工房云字库锐倩GBK"/>
      <charset val="134"/>
    </font>
    <font>
      <b/>
      <sz val="16"/>
      <color theme="1"/>
      <name val="宋体"/>
      <charset val="134"/>
    </font>
    <font>
      <b/>
      <sz val="16"/>
      <color theme="1"/>
      <name val="Calibri"/>
      <charset val="134"/>
    </font>
    <font>
      <b/>
      <sz val="14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4" applyNumberFormat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left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 wrapText="1"/>
    </xf>
    <xf numFmtId="49" fontId="11" fillId="0" borderId="0" xfId="0" applyNumberFormat="1" applyFont="1" applyFill="1" applyAlignment="1">
      <alignment horizontal="center" vertical="center"/>
    </xf>
    <xf numFmtId="49" fontId="12" fillId="2" borderId="0" xfId="0" applyNumberFormat="1" applyFont="1" applyFill="1" applyBorder="1" applyAlignment="1">
      <alignment horizontal="left" vertical="center"/>
    </xf>
    <xf numFmtId="0" fontId="12" fillId="2" borderId="0" xfId="0" applyNumberFormat="1" applyFont="1" applyFill="1" applyBorder="1" applyAlignment="1">
      <alignment horizontal="left" vertical="center" wrapText="1"/>
    </xf>
    <xf numFmtId="0" fontId="12" fillId="2" borderId="0" xfId="0" applyNumberFormat="1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76" fontId="15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10" fontId="3" fillId="0" borderId="0" xfId="0" applyNumberFormat="1" applyFont="1" applyFill="1" applyBorder="1" applyAlignment="1">
      <alignment horizontal="left" vertical="center"/>
    </xf>
    <xf numFmtId="10" fontId="7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Fill="1" applyBorder="1" applyAlignment="1">
      <alignment horizontal="left" vertical="center"/>
    </xf>
    <xf numFmtId="49" fontId="16" fillId="0" borderId="0" xfId="0" applyNumberFormat="1" applyFont="1" applyFill="1" applyBorder="1" applyAlignment="1">
      <alignment horizontal="left" vertical="center"/>
    </xf>
    <xf numFmtId="49" fontId="17" fillId="0" borderId="0" xfId="0" applyNumberFormat="1" applyFont="1" applyFill="1" applyBorder="1" applyAlignment="1">
      <alignment horizontal="left" vertical="center"/>
    </xf>
    <xf numFmtId="10" fontId="9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7" fillId="0" borderId="0" xfId="0" applyNumberFormat="1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17" fillId="0" borderId="0" xfId="0" applyNumberFormat="1" applyFont="1" applyFill="1" applyAlignment="1">
      <alignment horizontal="left" vertical="center"/>
    </xf>
    <xf numFmtId="0" fontId="7" fillId="0" borderId="0" xfId="0" applyNumberFormat="1" applyFont="1" applyFill="1" applyAlignment="1">
      <alignment horizontal="left" vertical="center"/>
    </xf>
    <xf numFmtId="10" fontId="9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856615</xdr:colOff>
      <xdr:row>13</xdr:row>
      <xdr:rowOff>34925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572000"/>
          <a:ext cx="4783455" cy="206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10</xdr:col>
      <xdr:colOff>408940</xdr:colOff>
      <xdr:row>13</xdr:row>
      <xdr:rowOff>82550</xdr:rowOff>
    </xdr:to>
    <xdr:pic>
      <xdr:nvPicPr>
        <xdr:cNvPr id="6" name="图片 5" descr="[TPA$[EL1JNP}8O2KB[IVHH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08550" y="4572000"/>
          <a:ext cx="5317490" cy="21145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</xdr:row>
      <xdr:rowOff>0</xdr:rowOff>
    </xdr:from>
    <xdr:to>
      <xdr:col>15</xdr:col>
      <xdr:colOff>549275</xdr:colOff>
      <xdr:row>13</xdr:row>
      <xdr:rowOff>15875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798810" y="4572000"/>
          <a:ext cx="4476115" cy="2047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D5" sqref="D5"/>
    </sheetView>
  </sheetViews>
  <sheetFormatPr defaultColWidth="12.8833333333333" defaultRowHeight="40" customHeight="1"/>
  <cols>
    <col min="1" max="16384" width="12.8833333333333" style="2" customWidth="1"/>
  </cols>
  <sheetData>
    <row r="1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customHeight="1" spans="1:17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6" t="s">
        <v>6</v>
      </c>
      <c r="G2" s="6" t="s">
        <v>7</v>
      </c>
      <c r="H2" s="8" t="s">
        <v>8</v>
      </c>
      <c r="I2" s="25" t="s">
        <v>9</v>
      </c>
      <c r="J2" s="25" t="s">
        <v>10</v>
      </c>
      <c r="K2" s="25" t="s">
        <v>11</v>
      </c>
      <c r="L2" s="6" t="s">
        <v>12</v>
      </c>
      <c r="M2" s="6" t="s">
        <v>13</v>
      </c>
      <c r="N2" s="6" t="s">
        <v>14</v>
      </c>
      <c r="O2" s="26" t="s">
        <v>15</v>
      </c>
      <c r="P2" s="6" t="s">
        <v>16</v>
      </c>
      <c r="Q2" s="42" t="s">
        <v>17</v>
      </c>
    </row>
    <row r="3" customHeight="1" spans="1:17">
      <c r="A3" s="9" t="s">
        <v>18</v>
      </c>
      <c r="B3" s="10">
        <f>(C3/3+D3/15+E3/30)/3</f>
        <v>15.4666666666667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12" t="s">
        <v>24</v>
      </c>
      <c r="I3" s="11" t="s">
        <v>25</v>
      </c>
      <c r="J3" s="27">
        <v>0.1902</v>
      </c>
      <c r="K3" s="27">
        <v>0.1765</v>
      </c>
      <c r="L3" s="28">
        <v>68</v>
      </c>
      <c r="M3" s="28">
        <v>300</v>
      </c>
      <c r="N3" s="29" t="s">
        <v>26</v>
      </c>
      <c r="O3" s="30">
        <f>(C3/3+D3/15+E3/30)/3*N3+L3+M3</f>
        <v>1064</v>
      </c>
      <c r="P3" s="28">
        <v>500</v>
      </c>
      <c r="Q3" s="43">
        <f>O3-P3</f>
        <v>564</v>
      </c>
    </row>
    <row r="4" customHeight="1" spans="1:16">
      <c r="A4" s="13"/>
      <c r="B4" s="9"/>
      <c r="C4" s="14"/>
      <c r="D4" s="14"/>
      <c r="E4" s="14"/>
      <c r="F4" s="11"/>
      <c r="G4" s="11"/>
      <c r="H4" s="15"/>
      <c r="I4" s="31"/>
      <c r="J4" s="31"/>
      <c r="K4" s="32" t="s">
        <v>27</v>
      </c>
      <c r="L4" s="28"/>
      <c r="M4" s="29"/>
      <c r="N4" s="11"/>
      <c r="O4" s="11"/>
      <c r="P4" s="28"/>
    </row>
    <row r="5" customHeight="1" spans="1:16">
      <c r="A5" s="13"/>
      <c r="B5" s="9"/>
      <c r="C5" s="14"/>
      <c r="D5" s="14"/>
      <c r="E5" s="14"/>
      <c r="F5" s="11"/>
      <c r="G5" s="11"/>
      <c r="H5" s="15"/>
      <c r="I5" s="31"/>
      <c r="J5" s="31"/>
      <c r="K5" s="33" t="s">
        <v>28</v>
      </c>
      <c r="L5" s="28"/>
      <c r="M5" s="29"/>
      <c r="N5" s="11"/>
      <c r="O5" s="34"/>
      <c r="P5" s="28"/>
    </row>
    <row r="6" customHeight="1" spans="1:16">
      <c r="A6" s="16" t="s">
        <v>29</v>
      </c>
      <c r="B6" s="16"/>
      <c r="C6" s="16"/>
      <c r="D6" s="16"/>
      <c r="E6" s="16"/>
      <c r="F6" s="16"/>
      <c r="G6" s="16"/>
      <c r="H6" s="16"/>
      <c r="I6" s="16"/>
      <c r="J6" s="35"/>
      <c r="K6" s="36" t="s">
        <v>30</v>
      </c>
      <c r="L6" s="14"/>
      <c r="M6" s="14"/>
      <c r="N6" s="34"/>
      <c r="O6" s="34"/>
      <c r="P6" s="28"/>
    </row>
    <row r="7" customHeight="1" spans="1:16">
      <c r="A7" s="17" t="s">
        <v>31</v>
      </c>
      <c r="B7" s="18" t="s">
        <v>32</v>
      </c>
      <c r="C7" s="19" t="s">
        <v>33</v>
      </c>
      <c r="D7" s="19" t="s">
        <v>34</v>
      </c>
      <c r="E7" s="20" t="s">
        <v>35</v>
      </c>
      <c r="F7" s="21" t="s">
        <v>36</v>
      </c>
      <c r="G7" s="21" t="s">
        <v>37</v>
      </c>
      <c r="H7" s="21" t="s">
        <v>38</v>
      </c>
      <c r="I7" s="21" t="s">
        <v>39</v>
      </c>
      <c r="J7" s="35"/>
      <c r="K7" s="36" t="s">
        <v>40</v>
      </c>
      <c r="L7" s="14"/>
      <c r="M7" s="14"/>
      <c r="N7" s="34"/>
      <c r="O7" s="34"/>
      <c r="P7" s="28"/>
    </row>
    <row r="8" customHeight="1" spans="1:16">
      <c r="A8" s="22">
        <v>12</v>
      </c>
      <c r="B8" s="22">
        <v>11</v>
      </c>
      <c r="C8" s="22">
        <v>33</v>
      </c>
      <c r="D8" s="22">
        <v>54</v>
      </c>
      <c r="E8" s="22">
        <v>157</v>
      </c>
      <c r="F8" s="22">
        <v>267</v>
      </c>
      <c r="G8" s="23">
        <f>(A8*1+B8*2+C8*3+D8*4+E8*5)/F8</f>
        <v>4.24719101123596</v>
      </c>
      <c r="H8" s="22">
        <v>4.4</v>
      </c>
      <c r="I8" s="22">
        <f>((H8*F8)-(A8*1+B8*2+C8*3+D8*4+E8*5))/(5-H8)</f>
        <v>68.0000000000003</v>
      </c>
      <c r="J8" s="35"/>
      <c r="K8" s="36" t="s">
        <v>41</v>
      </c>
      <c r="L8" s="14"/>
      <c r="M8" s="14"/>
      <c r="N8" s="34"/>
      <c r="O8" s="34"/>
      <c r="P8" s="28"/>
    </row>
    <row r="9" customHeight="1" spans="1:16">
      <c r="A9" s="22"/>
      <c r="B9" s="22"/>
      <c r="C9" s="22"/>
      <c r="D9" s="22"/>
      <c r="E9" s="22"/>
      <c r="F9" s="22"/>
      <c r="G9" s="22"/>
      <c r="H9" s="22"/>
      <c r="I9" s="22"/>
      <c r="J9" s="37"/>
      <c r="K9" s="38"/>
      <c r="L9" s="39"/>
      <c r="M9" s="39"/>
      <c r="N9" s="40"/>
      <c r="O9" s="40"/>
      <c r="P9" s="41"/>
    </row>
    <row r="10" customHeight="1" spans="1:16">
      <c r="A10" s="22"/>
      <c r="B10" s="22"/>
      <c r="C10" s="22"/>
      <c r="D10" s="24"/>
      <c r="E10" s="24"/>
      <c r="F10" s="24"/>
      <c r="G10" s="24"/>
      <c r="H10" s="24"/>
      <c r="I10" s="22"/>
      <c r="J10" s="37"/>
      <c r="K10" s="38"/>
      <c r="L10" s="39"/>
      <c r="M10" s="39"/>
      <c r="N10" s="40"/>
      <c r="O10" s="40"/>
      <c r="P10" s="41"/>
    </row>
  </sheetData>
  <mergeCells count="2">
    <mergeCell ref="A1:Q1"/>
    <mergeCell ref="A6:I6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家国</cp:lastModifiedBy>
  <dcterms:created xsi:type="dcterms:W3CDTF">2017-08-31T09:29:00Z</dcterms:created>
  <dcterms:modified xsi:type="dcterms:W3CDTF">2024-03-28T01:48:18Z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4BD3C208F1E446BE97B5986CCA189E77</vt:lpwstr>
  </property>
</Properties>
</file>