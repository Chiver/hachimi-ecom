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产品调研" sheetId="1" r:id="rId1"/>
    <sheet name="产品成本推算" sheetId="3" r:id="rId2"/>
    <sheet name="推广计划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<sst xmlns="http://schemas.openxmlformats.org/spreadsheetml/2006/main" count="172" uniqueCount="151">
  <si>
    <t>调研日期、编号：</t>
  </si>
  <si>
    <t>关键词：Pet Feeder及站点</t>
  </si>
  <si>
    <t>www.amazon.com/dp/B075CXMJB5</t>
  </si>
  <si>
    <t>www.amazon.com/dp/B07XPJMD13</t>
  </si>
  <si>
    <t>www.amazon.com/dp/B07HPYQBTS</t>
  </si>
  <si>
    <t>www.amazon.com/dp/B07S758ZDD</t>
  </si>
  <si>
    <t>www.amazon.com/dp/B07N5BBFZY</t>
  </si>
  <si>
    <t>www.amazon.com/dp/B07JFCML59</t>
  </si>
  <si>
    <t>品牌</t>
  </si>
  <si>
    <t>WOPET</t>
  </si>
  <si>
    <t> Pawple</t>
  </si>
  <si>
    <t> Petnet</t>
  </si>
  <si>
    <t>Pet-U</t>
  </si>
  <si>
    <t> PETKIT</t>
  </si>
  <si>
    <t>图片</t>
  </si>
  <si>
    <t>备注尺寸重量、卖点和运营特点</t>
  </si>
  <si>
    <t>配警报，部分控制，语音记录器，可编程计时器（每天最多4顿饭）</t>
  </si>
  <si>
    <t>冬淡季一倍</t>
  </si>
  <si>
    <t>ALexa连接</t>
  </si>
  <si>
    <t>评分</t>
  </si>
  <si>
    <t>评论量</t>
  </si>
  <si>
    <t>当地价格</t>
  </si>
  <si>
    <t>排名</t>
  </si>
  <si>
    <t>发布日期</t>
  </si>
  <si>
    <t>月数</t>
  </si>
  <si>
    <t>预计月销量</t>
  </si>
  <si>
    <t>预计总销量</t>
  </si>
  <si>
    <t>feedback月均</t>
  </si>
  <si>
    <t>vc</t>
  </si>
  <si>
    <t>评论预计销量</t>
  </si>
  <si>
    <t>预计刷单量</t>
  </si>
  <si>
    <t>刷单站销量总比</t>
  </si>
  <si>
    <t>刷单后预计总收入</t>
  </si>
  <si>
    <t>月均收入</t>
  </si>
  <si>
    <t>利润率x%月利润</t>
  </si>
  <si>
    <t>总利润</t>
  </si>
  <si>
    <t>趋势描述或趋势图</t>
  </si>
  <si>
    <t>平均排名</t>
  </si>
  <si>
    <t>排名月均销量</t>
  </si>
  <si>
    <t>排名估算总销量</t>
  </si>
  <si>
    <t>评论预估总销量</t>
  </si>
  <si>
    <t>流量来源</t>
  </si>
  <si>
    <t>站内广告</t>
  </si>
  <si>
    <t>无SD推广信息</t>
  </si>
  <si>
    <t>SD推广信息为14.99美金</t>
  </si>
  <si>
    <t>站内广告，SD显示2010年开始发布促销信息，没有流行</t>
  </si>
  <si>
    <t>SD推广为74美金，没有流行</t>
  </si>
  <si>
    <t>产品总结</t>
  </si>
  <si>
    <t>产品优点</t>
  </si>
  <si>
    <t>产品缺点</t>
  </si>
  <si>
    <t>1.不支持一个以上宠物</t>
  </si>
  <si>
    <t>2.软件和应用及云很差</t>
  </si>
  <si>
    <t>3.软件不行无法使用</t>
  </si>
  <si>
    <t>4.食物量分配有差异</t>
  </si>
  <si>
    <t>市场空间估算部分</t>
  </si>
  <si>
    <t xml:space="preserve">1.智能宠物喂食器月均销售可达1000-2000件。  2.趋势&amp;&amp;&amp;&amp;&amp;   </t>
  </si>
  <si>
    <t>结论部分</t>
  </si>
  <si>
    <t>结论1：传统喂食器生命周期可长达5-9年上，智能宠物喂食器4年以上。                                                                                                                                                                                                                                                                                                  结论2：产品竞争数量^^^^^^^程度。竞争情况：关键词竞争，关键词需求，首页评论数大于1000的数量： ，低于100评论的数量：     ，低于100评论的平均销量。                                                                                                                                                                                                                                                                                                                                                                                                                                                                                                                        结论3：智能喂食器流行趋势…………                                                                                                                                                                                                                                                                                                                                                    结论4：多数品牌定价从低价往高价推，总体价格上涨趋势&amp;&amp;&amp;&amp;&amp;&amp;&amp;&amp;。其产品*********推荐开发&amp;&amp;&amp;&amp;&amp;&amp;&amp;式。                                                                                                                                                                                         结论4：…………</t>
  </si>
  <si>
    <t>成本分析（备注：均以美元结算）</t>
  </si>
  <si>
    <t>品牌序号</t>
  </si>
  <si>
    <t>产品名称</t>
  </si>
  <si>
    <t>备注</t>
  </si>
  <si>
    <t>亚马逊价格(美金)</t>
  </si>
  <si>
    <t>亚马逊手续费（$)15%</t>
  </si>
  <si>
    <t>亚马逊处理费用（$)</t>
  </si>
  <si>
    <t>亚马逊费用合计（$)</t>
  </si>
  <si>
    <t>单款产品数量</t>
  </si>
  <si>
    <t>采购成本（$)</t>
  </si>
  <si>
    <t>搭售商品成本（$)</t>
  </si>
  <si>
    <t>头程</t>
  </si>
  <si>
    <t>单款产品组合总成本费用（盈亏临界点价格）</t>
  </si>
  <si>
    <t>单个价格</t>
  </si>
  <si>
    <t>单个产品成本费用</t>
  </si>
  <si>
    <t>单个产品毛利</t>
  </si>
  <si>
    <t>单款组合利润（$)</t>
  </si>
  <si>
    <t>销售利润率（销售利润率越高的组合越好）</t>
  </si>
  <si>
    <t>广告成本</t>
  </si>
  <si>
    <t>送测成本</t>
  </si>
  <si>
    <t>退货</t>
  </si>
  <si>
    <t>汇损</t>
  </si>
  <si>
    <t>净利润</t>
  </si>
  <si>
    <t>净利润率</t>
  </si>
  <si>
    <t>估算出货批量或竞争对手估计出售订单数量</t>
  </si>
  <si>
    <t>采购批量时的批量收入或竞争对手估计已出售收入（$)</t>
  </si>
  <si>
    <t>预估成本备注</t>
  </si>
  <si>
    <t>产品1</t>
  </si>
  <si>
    <t>产品2</t>
  </si>
  <si>
    <t>产品3</t>
  </si>
  <si>
    <t>产品4</t>
  </si>
  <si>
    <t>最小批量出货1000.</t>
  </si>
  <si>
    <t>产品5</t>
  </si>
  <si>
    <t>产品6</t>
  </si>
  <si>
    <t>产品</t>
  </si>
  <si>
    <t>Asin</t>
  </si>
  <si>
    <t>年</t>
  </si>
  <si>
    <t>月</t>
  </si>
  <si>
    <t>利润</t>
  </si>
  <si>
    <t>盈亏价</t>
  </si>
  <si>
    <t>盈亏率</t>
  </si>
  <si>
    <t>RMB预定产品成本（利润率30%+产品周边费用后反推产品成本）</t>
  </si>
  <si>
    <t>成本占比</t>
  </si>
  <si>
    <t>实际产品成本占比</t>
  </si>
  <si>
    <t>价格</t>
  </si>
  <si>
    <t>单个fba物流</t>
  </si>
  <si>
    <t>产品成本</t>
  </si>
  <si>
    <t>预计销量</t>
  </si>
  <si>
    <t>预计月刷单详细计划</t>
  </si>
  <si>
    <t>预计月刷单量</t>
  </si>
  <si>
    <t>刷单中介费</t>
  </si>
  <si>
    <t>预计月刷单成本</t>
  </si>
  <si>
    <t>亚马逊佣金</t>
  </si>
  <si>
    <t>FBA费用</t>
  </si>
  <si>
    <t>刷单亚马逊佣金</t>
  </si>
  <si>
    <t>刷单FBA费用</t>
  </si>
  <si>
    <t>总头程</t>
  </si>
  <si>
    <t>预计月均广告费</t>
  </si>
  <si>
    <t>汇损1%</t>
  </si>
  <si>
    <t>其他费用</t>
  </si>
  <si>
    <t>刷单中介佣金损失</t>
  </si>
  <si>
    <t>刷单后预计收入</t>
  </si>
  <si>
    <t>包含刷单总收入</t>
  </si>
  <si>
    <t>总产品成本</t>
  </si>
  <si>
    <t>预计利润(美金)</t>
  </si>
  <si>
    <t>利润率</t>
  </si>
  <si>
    <t>回款</t>
  </si>
  <si>
    <t>投入</t>
  </si>
  <si>
    <t>ASIN</t>
  </si>
  <si>
    <t>对手ASIN</t>
  </si>
  <si>
    <t>对手ASIN及上评出单</t>
  </si>
  <si>
    <t>对手价格</t>
  </si>
  <si>
    <t>排名和备注，汇率7</t>
  </si>
  <si>
    <t>推进日期</t>
  </si>
  <si>
    <t>价格$</t>
  </si>
  <si>
    <t>店铺剩余库存</t>
  </si>
  <si>
    <t>产品成本（RMB）</t>
  </si>
  <si>
    <t>预计月刷单产品成本(RMB)</t>
  </si>
  <si>
    <t>亚马逊佣金(RMB)</t>
  </si>
  <si>
    <t>FBA费用(RMB)-9美金一个</t>
  </si>
  <si>
    <t>刷单亚马逊佣金(RMB)</t>
  </si>
  <si>
    <t>刷单FBA费用(RMB)</t>
  </si>
  <si>
    <t>刷单中介费-49一单佣金rmb</t>
  </si>
  <si>
    <t>总头程(RMB)70元一个海运</t>
  </si>
  <si>
    <t>预计月均广告费（RMB）100美金一天起</t>
  </si>
  <si>
    <t>预计收入(RMB)</t>
  </si>
  <si>
    <t>总产品成本(RMB)</t>
  </si>
  <si>
    <t>汇损：去汇率后回款额1%(RMB)</t>
  </si>
  <si>
    <t>其他投入费用rmb</t>
  </si>
  <si>
    <t>预计利润rmb</t>
  </si>
  <si>
    <t>回款rmb</t>
  </si>
  <si>
    <t>投入rmb</t>
  </si>
  <si>
    <t>差额rmb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</si>
</sst>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</numFmts>
  <fonts count="50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b/>
      <sz val="10"/>
      <color theme="1"/>
      <name val="Arial Unicode MS"/>
      <charset val="134"/>
    </font>
    <font>
      <sz val="9"/>
      <color theme="1"/>
      <name val="宋体"/>
      <charset val="134"/>
      <scheme val="minor"/>
    </font>
    <font>
      <u/>
      <sz val="9"/>
      <color rgb="FF800080"/>
      <name val="宋体"/>
      <charset val="0"/>
      <scheme val="minor"/>
    </font>
    <font>
      <sz val="8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theme="1"/>
      <name val="Arial Unicode MS"/>
      <charset val="134"/>
    </font>
    <font>
      <sz val="8"/>
      <color theme="1"/>
      <name val="微软雅黑"/>
      <charset val="134"/>
    </font>
    <font>
      <sz val="8"/>
      <color indexed="8"/>
      <name val="微软雅黑"/>
      <charset val="134"/>
    </font>
    <font>
      <sz val="8"/>
      <color rgb="FFFF0000"/>
      <name val="微软雅黑"/>
      <charset val="134"/>
    </font>
    <font>
      <sz val="8"/>
      <name val="微软雅黑"/>
      <charset val="134"/>
    </font>
    <font>
      <b/>
      <sz val="8"/>
      <color theme="1"/>
      <name val="微软雅黑"/>
      <charset val="134"/>
    </font>
    <font>
      <sz val="10"/>
      <color theme="1"/>
      <name val="微软雅黑"/>
      <charset val="134"/>
    </font>
    <font>
      <sz val="6"/>
      <color theme="1"/>
      <name val="微软雅黑"/>
      <charset val="134"/>
    </font>
    <font>
      <sz val="6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1"/>
      <name val="宋体"/>
      <charset val="0"/>
      <scheme val="minor"/>
    </font>
    <font>
      <u/>
      <sz val="8"/>
      <name val="微软雅黑"/>
      <charset val="0"/>
    </font>
    <font>
      <u/>
      <sz val="8"/>
      <color rgb="FF0000FF"/>
      <name val="微软雅黑"/>
      <charset val="0"/>
    </font>
    <font>
      <sz val="8"/>
      <name val="微软雅黑"/>
      <charset val="0"/>
    </font>
    <font>
      <u/>
      <sz val="8"/>
      <color rgb="FF800080"/>
      <name val="微软雅黑"/>
      <charset val="0"/>
    </font>
    <font>
      <sz val="8"/>
      <color rgb="FF111111"/>
      <name val="微软雅黑"/>
      <charset val="134"/>
    </font>
    <font>
      <b/>
      <sz val="10"/>
      <color theme="1"/>
      <name val="微软雅黑"/>
      <charset val="134"/>
    </font>
    <font>
      <b/>
      <sz val="8"/>
      <name val="微软雅黑"/>
      <charset val="134"/>
    </font>
    <font>
      <sz val="9"/>
      <color theme="1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u/>
      <sz val="11"/>
      <color theme="1"/>
      <name val="宋体"/>
      <charset val="134"/>
      <scheme val="minor"/>
    </font>
    <font>
      <b/>
      <sz val="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thick">
        <color rgb="FF7030A0"/>
      </right>
      <top style="hair">
        <color rgb="FF7030A0"/>
      </top>
      <bottom/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7030A0"/>
      </left>
      <right style="hair">
        <color rgb="FF7030A0"/>
      </right>
      <top/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/>
      <right/>
      <top style="hair">
        <color rgb="FF7030A0"/>
      </top>
      <bottom style="hair">
        <color rgb="FF7030A0"/>
      </bottom>
      <diagonal/>
    </border>
    <border>
      <left/>
      <right/>
      <top style="hair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 style="hair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thick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FF0000"/>
      </left>
      <right style="thick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7030A0"/>
      </left>
      <right style="thick">
        <color rgb="FF7030A0"/>
      </right>
      <top/>
      <bottom style="hair">
        <color rgb="FF7030A0"/>
      </bottom>
      <diagonal/>
    </border>
    <border>
      <left/>
      <right style="hair">
        <color rgb="FF7030A0"/>
      </right>
      <top style="thin">
        <color rgb="FF7030A0"/>
      </top>
      <bottom/>
      <diagonal/>
    </border>
    <border>
      <left/>
      <right style="hair">
        <color rgb="FF7030A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3" borderId="4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4" borderId="43" applyNumberFormat="0" applyAlignment="0" applyProtection="0">
      <alignment vertical="center"/>
    </xf>
    <xf numFmtId="0" fontId="40" fillId="15" borderId="44" applyNumberFormat="0" applyAlignment="0" applyProtection="0">
      <alignment vertical="center"/>
    </xf>
    <xf numFmtId="0" fontId="41" fillId="15" borderId="43" applyNumberFormat="0" applyAlignment="0" applyProtection="0">
      <alignment vertical="center"/>
    </xf>
    <xf numFmtId="0" fontId="42" fillId="16" borderId="45" applyNumberFormat="0" applyAlignment="0" applyProtection="0">
      <alignment vertical="center"/>
    </xf>
    <xf numFmtId="0" fontId="43" fillId="0" borderId="46" applyNumberFormat="0" applyFill="0" applyAlignment="0" applyProtection="0">
      <alignment vertical="center"/>
    </xf>
    <xf numFmtId="0" fontId="44" fillId="0" borderId="47" applyNumberFormat="0" applyFill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3" fontId="0" fillId="0" borderId="4" xfId="0" applyNumberForma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4" xfId="6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3" fontId="0" fillId="0" borderId="4" xfId="0" applyNumberFormat="1" applyFill="1" applyBorder="1" applyAlignment="1">
      <alignment vertical="center"/>
    </xf>
    <xf numFmtId="14" fontId="5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3" fontId="0" fillId="0" borderId="6" xfId="0" applyNumberFormat="1" applyFill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176" fontId="6" fillId="0" borderId="4" xfId="0" applyNumberFormat="1" applyFont="1" applyFill="1" applyBorder="1" applyAlignment="1">
      <alignment vertical="center" wrapText="1"/>
    </xf>
    <xf numFmtId="0" fontId="0" fillId="0" borderId="6" xfId="0" applyFill="1" applyBorder="1" applyAlignment="1">
      <alignment vertical="center"/>
    </xf>
    <xf numFmtId="176" fontId="6" fillId="0" borderId="6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vertical="center" wrapText="1"/>
    </xf>
    <xf numFmtId="9" fontId="3" fillId="0" borderId="4" xfId="3" applyFont="1" applyBorder="1" applyAlignment="1">
      <alignment vertical="center" wrapText="1"/>
    </xf>
    <xf numFmtId="0" fontId="3" fillId="0" borderId="4" xfId="3" applyNumberFormat="1" applyFont="1" applyBorder="1" applyAlignment="1">
      <alignment vertical="center" wrapText="1"/>
    </xf>
    <xf numFmtId="0" fontId="0" fillId="0" borderId="8" xfId="0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 wrapText="1"/>
    </xf>
    <xf numFmtId="9" fontId="3" fillId="0" borderId="6" xfId="3" applyFont="1" applyBorder="1" applyAlignment="1">
      <alignment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vertical="center"/>
    </xf>
    <xf numFmtId="0" fontId="10" fillId="0" borderId="4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9" fontId="11" fillId="5" borderId="4" xfId="3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2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176" fontId="10" fillId="0" borderId="3" xfId="0" applyNumberFormat="1" applyFont="1" applyFill="1" applyBorder="1" applyAlignment="1">
      <alignment vertical="center" wrapText="1"/>
    </xf>
    <xf numFmtId="176" fontId="10" fillId="0" borderId="4" xfId="0" applyNumberFormat="1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/>
    </xf>
    <xf numFmtId="176" fontId="10" fillId="0" borderId="5" xfId="0" applyNumberFormat="1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vertical="center" wrapText="1"/>
    </xf>
    <xf numFmtId="176" fontId="10" fillId="0" borderId="6" xfId="0" applyNumberFormat="1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177" fontId="8" fillId="0" borderId="4" xfId="0" applyNumberFormat="1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center" vertical="center" wrapText="1"/>
    </xf>
    <xf numFmtId="9" fontId="8" fillId="0" borderId="4" xfId="3" applyFont="1" applyBorder="1" applyAlignment="1">
      <alignment vertical="center" wrapText="1"/>
    </xf>
    <xf numFmtId="0" fontId="8" fillId="5" borderId="4" xfId="3" applyNumberFormat="1" applyFont="1" applyFill="1" applyBorder="1" applyAlignment="1">
      <alignment vertical="center" wrapText="1"/>
    </xf>
    <xf numFmtId="0" fontId="8" fillId="0" borderId="14" xfId="0" applyFont="1" applyFill="1" applyBorder="1" applyAlignment="1">
      <alignment horizontal="left" vertical="center" wrapText="1"/>
    </xf>
    <xf numFmtId="9" fontId="8" fillId="0" borderId="6" xfId="3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5" fillId="7" borderId="15" xfId="0" applyFont="1" applyFill="1" applyBorder="1" applyAlignment="1">
      <alignment horizontal="center" vertical="center" wrapText="1"/>
    </xf>
    <xf numFmtId="14" fontId="16" fillId="7" borderId="16" xfId="0" applyNumberFormat="1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0" borderId="4" xfId="6" applyFont="1" applyBorder="1" applyAlignment="1">
      <alignment horizontal="center" vertical="center" wrapText="1"/>
    </xf>
    <xf numFmtId="0" fontId="18" fillId="0" borderId="4" xfId="6" applyFont="1" applyFill="1" applyBorder="1" applyAlignment="1">
      <alignment horizontal="center" vertical="center" wrapText="1"/>
    </xf>
    <xf numFmtId="0" fontId="18" fillId="0" borderId="19" xfId="6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17" fontId="11" fillId="0" borderId="4" xfId="0" applyNumberFormat="1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/>
    </xf>
    <xf numFmtId="14" fontId="11" fillId="0" borderId="19" xfId="0" applyNumberFormat="1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9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9" fontId="11" fillId="0" borderId="4" xfId="3" applyFont="1" applyBorder="1" applyAlignment="1">
      <alignment horizontal="center" vertical="center"/>
    </xf>
    <xf numFmtId="9" fontId="11" fillId="0" borderId="19" xfId="3" applyFont="1" applyBorder="1" applyAlignment="1">
      <alignment horizontal="center" vertical="center"/>
    </xf>
    <xf numFmtId="1" fontId="11" fillId="0" borderId="4" xfId="3" applyNumberFormat="1" applyFont="1" applyBorder="1" applyAlignment="1">
      <alignment horizontal="center" vertical="center"/>
    </xf>
    <xf numFmtId="1" fontId="11" fillId="0" borderId="19" xfId="3" applyNumberFormat="1" applyFont="1" applyBorder="1" applyAlignment="1">
      <alignment horizontal="center" vertical="center"/>
    </xf>
    <xf numFmtId="0" fontId="8" fillId="8" borderId="18" xfId="0" applyNumberFormat="1" applyFont="1" applyFill="1" applyBorder="1" applyAlignment="1">
      <alignment horizontal="center" vertical="center" wrapText="1"/>
    </xf>
    <xf numFmtId="0" fontId="8" fillId="8" borderId="4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 wrapText="1"/>
    </xf>
    <xf numFmtId="0" fontId="19" fillId="0" borderId="4" xfId="6" applyNumberFormat="1" applyFont="1" applyFill="1" applyBorder="1" applyAlignment="1">
      <alignment horizontal="center" vertical="center" wrapText="1"/>
    </xf>
    <xf numFmtId="0" fontId="20" fillId="0" borderId="19" xfId="6" applyNumberFormat="1" applyFont="1" applyBorder="1" applyAlignment="1">
      <alignment horizontal="center" vertical="center" wrapText="1"/>
    </xf>
    <xf numFmtId="0" fontId="21" fillId="0" borderId="4" xfId="6" applyNumberFormat="1" applyFont="1" applyFill="1" applyBorder="1" applyAlignment="1">
      <alignment horizontal="center" vertical="center" wrapText="1"/>
    </xf>
    <xf numFmtId="0" fontId="22" fillId="0" borderId="4" xfId="6" applyNumberFormat="1" applyFont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/>
    </xf>
    <xf numFmtId="0" fontId="11" fillId="0" borderId="19" xfId="0" applyNumberFormat="1" applyFont="1" applyFill="1" applyBorder="1" applyAlignment="1">
      <alignment horizontal="center" vertical="center"/>
    </xf>
    <xf numFmtId="0" fontId="8" fillId="4" borderId="18" xfId="0" applyNumberFormat="1" applyFont="1" applyFill="1" applyBorder="1" applyAlignment="1">
      <alignment horizontal="center" vertical="center" wrapText="1"/>
    </xf>
    <xf numFmtId="0" fontId="8" fillId="4" borderId="4" xfId="0" applyNumberFormat="1" applyFont="1" applyFill="1" applyBorder="1" applyAlignment="1">
      <alignment horizontal="center" vertical="center" wrapText="1"/>
    </xf>
    <xf numFmtId="176" fontId="8" fillId="0" borderId="19" xfId="0" applyNumberFormat="1" applyFont="1" applyFill="1" applyBorder="1" applyAlignment="1">
      <alignment horizontal="center" vertical="center"/>
    </xf>
    <xf numFmtId="0" fontId="8" fillId="8" borderId="20" xfId="0" applyNumberFormat="1" applyFont="1" applyFill="1" applyBorder="1" applyAlignment="1">
      <alignment horizontal="center" vertical="center" wrapText="1"/>
    </xf>
    <xf numFmtId="0" fontId="8" fillId="8" borderId="21" xfId="0" applyNumberFormat="1" applyFont="1" applyFill="1" applyBorder="1" applyAlignment="1">
      <alignment horizontal="center" vertical="center" wrapText="1"/>
    </xf>
    <xf numFmtId="0" fontId="8" fillId="0" borderId="21" xfId="0" applyNumberFormat="1" applyFont="1" applyFill="1" applyBorder="1" applyAlignment="1">
      <alignment horizontal="center" vertical="center" wrapText="1"/>
    </xf>
    <xf numFmtId="0" fontId="8" fillId="0" borderId="22" xfId="0" applyNumberFormat="1" applyFont="1" applyFill="1" applyBorder="1" applyAlignment="1">
      <alignment horizontal="center" vertical="center" wrapText="1"/>
    </xf>
    <xf numFmtId="0" fontId="12" fillId="8" borderId="15" xfId="0" applyNumberFormat="1" applyFont="1" applyFill="1" applyBorder="1" applyAlignment="1">
      <alignment horizontal="center" vertical="center" wrapText="1"/>
    </xf>
    <xf numFmtId="0" fontId="12" fillId="8" borderId="16" xfId="0" applyNumberFormat="1" applyFont="1" applyFill="1" applyBorder="1" applyAlignment="1">
      <alignment horizontal="center" vertical="center" wrapText="1"/>
    </xf>
    <xf numFmtId="0" fontId="12" fillId="9" borderId="16" xfId="0" applyNumberFormat="1" applyFont="1" applyFill="1" applyBorder="1" applyAlignment="1">
      <alignment horizontal="center" vertical="center" wrapText="1"/>
    </xf>
    <xf numFmtId="0" fontId="12" fillId="9" borderId="23" xfId="0" applyNumberFormat="1" applyFont="1" applyFill="1" applyBorder="1" applyAlignment="1">
      <alignment horizontal="center" vertical="center" wrapText="1"/>
    </xf>
    <xf numFmtId="0" fontId="12" fillId="9" borderId="24" xfId="0" applyNumberFormat="1" applyFont="1" applyFill="1" applyBorder="1" applyAlignment="1">
      <alignment horizontal="center" vertical="center" wrapText="1"/>
    </xf>
    <xf numFmtId="0" fontId="12" fillId="8" borderId="18" xfId="0" applyNumberFormat="1" applyFont="1" applyFill="1" applyBorder="1" applyAlignment="1">
      <alignment horizontal="center" vertical="center" wrapText="1"/>
    </xf>
    <xf numFmtId="0" fontId="12" fillId="8" borderId="4" xfId="0" applyNumberFormat="1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8" fillId="0" borderId="25" xfId="0" applyNumberFormat="1" applyFont="1" applyFill="1" applyBorder="1" applyAlignment="1">
      <alignment horizontal="center" vertical="center" wrapText="1"/>
    </xf>
    <xf numFmtId="0" fontId="8" fillId="0" borderId="26" xfId="0" applyNumberFormat="1" applyFont="1" applyFill="1" applyBorder="1" applyAlignment="1">
      <alignment horizontal="center" vertical="center" wrapText="1"/>
    </xf>
    <xf numFmtId="0" fontId="8" fillId="10" borderId="4" xfId="0" applyNumberFormat="1" applyFont="1" applyFill="1" applyBorder="1" applyAlignment="1">
      <alignment horizontal="left" vertical="center" wrapText="1"/>
    </xf>
    <xf numFmtId="0" fontId="8" fillId="10" borderId="27" xfId="0" applyNumberFormat="1" applyFont="1" applyFill="1" applyBorder="1" applyAlignment="1">
      <alignment horizontal="left" vertical="center" wrapText="1"/>
    </xf>
    <xf numFmtId="0" fontId="12" fillId="8" borderId="20" xfId="0" applyNumberFormat="1" applyFont="1" applyFill="1" applyBorder="1" applyAlignment="1">
      <alignment horizontal="center" vertical="center" wrapText="1"/>
    </xf>
    <xf numFmtId="0" fontId="12" fillId="8" borderId="21" xfId="0" applyNumberFormat="1" applyFont="1" applyFill="1" applyBorder="1" applyAlignment="1">
      <alignment horizontal="center" vertical="center" wrapText="1"/>
    </xf>
    <xf numFmtId="0" fontId="12" fillId="10" borderId="21" xfId="0" applyNumberFormat="1" applyFont="1" applyFill="1" applyBorder="1" applyAlignment="1">
      <alignment horizontal="left" vertical="center" wrapText="1"/>
    </xf>
    <xf numFmtId="0" fontId="24" fillId="10" borderId="15" xfId="0" applyNumberFormat="1" applyFont="1" applyFill="1" applyBorder="1" applyAlignment="1">
      <alignment horizontal="center" vertical="center" wrapText="1"/>
    </xf>
    <xf numFmtId="0" fontId="12" fillId="10" borderId="16" xfId="0" applyNumberFormat="1" applyFont="1" applyFill="1" applyBorder="1" applyAlignment="1">
      <alignment horizontal="center" vertical="center" wrapText="1"/>
    </xf>
    <xf numFmtId="0" fontId="25" fillId="4" borderId="16" xfId="0" applyNumberFormat="1" applyFont="1" applyFill="1" applyBorder="1" applyAlignment="1">
      <alignment horizontal="center" vertical="center" wrapText="1"/>
    </xf>
    <xf numFmtId="0" fontId="12" fillId="3" borderId="16" xfId="0" applyNumberFormat="1" applyFont="1" applyFill="1" applyBorder="1" applyAlignment="1">
      <alignment horizontal="center" vertical="center" wrapText="1"/>
    </xf>
    <xf numFmtId="0" fontId="24" fillId="10" borderId="18" xfId="0" applyNumberFormat="1" applyFont="1" applyFill="1" applyBorder="1" applyAlignment="1">
      <alignment horizontal="center" vertical="center" wrapText="1"/>
    </xf>
    <xf numFmtId="0" fontId="26" fillId="10" borderId="4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27" fillId="0" borderId="4" xfId="0" applyNumberFormat="1" applyFont="1" applyFill="1" applyBorder="1" applyAlignment="1">
      <alignment horizontal="center" vertical="center" wrapText="1"/>
    </xf>
    <xf numFmtId="0" fontId="28" fillId="0" borderId="4" xfId="0" applyNumberFormat="1" applyFont="1" applyFill="1" applyBorder="1" applyAlignment="1">
      <alignment horizontal="center" vertical="center" wrapText="1"/>
    </xf>
    <xf numFmtId="178" fontId="26" fillId="0" borderId="4" xfId="0" applyNumberFormat="1" applyFont="1" applyFill="1" applyBorder="1" applyAlignment="1">
      <alignment horizontal="center" vertical="center"/>
    </xf>
    <xf numFmtId="0" fontId="26" fillId="0" borderId="4" xfId="0" applyNumberFormat="1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4" fillId="10" borderId="28" xfId="0" applyNumberFormat="1" applyFont="1" applyFill="1" applyBorder="1" applyAlignment="1">
      <alignment horizontal="center" vertical="center" wrapText="1"/>
    </xf>
    <xf numFmtId="0" fontId="26" fillId="10" borderId="29" xfId="0" applyNumberFormat="1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/>
    </xf>
    <xf numFmtId="0" fontId="27" fillId="0" borderId="29" xfId="0" applyNumberFormat="1" applyFont="1" applyFill="1" applyBorder="1" applyAlignment="1">
      <alignment horizontal="center" vertical="center" wrapText="1"/>
    </xf>
    <xf numFmtId="0" fontId="28" fillId="0" borderId="29" xfId="0" applyNumberFormat="1" applyFont="1" applyFill="1" applyBorder="1" applyAlignment="1">
      <alignment horizontal="center" vertical="center" wrapText="1"/>
    </xf>
    <xf numFmtId="178" fontId="26" fillId="0" borderId="29" xfId="0" applyNumberFormat="1" applyFont="1" applyFill="1" applyBorder="1" applyAlignment="1">
      <alignment horizontal="center" vertical="center"/>
    </xf>
    <xf numFmtId="0" fontId="26" fillId="0" borderId="29" xfId="0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8" fillId="0" borderId="0" xfId="0" applyFont="1">
      <alignment vertical="center"/>
    </xf>
    <xf numFmtId="0" fontId="20" fillId="0" borderId="30" xfId="6" applyNumberFormat="1" applyFont="1" applyBorder="1" applyAlignment="1">
      <alignment vertical="center" wrapText="1"/>
    </xf>
    <xf numFmtId="0" fontId="11" fillId="0" borderId="30" xfId="0" applyNumberFormat="1" applyFont="1" applyFill="1" applyBorder="1" applyAlignment="1">
      <alignment horizontal="center" vertical="center"/>
    </xf>
    <xf numFmtId="176" fontId="8" fillId="0" borderId="31" xfId="0" applyNumberFormat="1" applyFont="1" applyFill="1" applyBorder="1" applyAlignment="1">
      <alignment horizontal="center" vertical="center"/>
    </xf>
    <xf numFmtId="0" fontId="20" fillId="0" borderId="31" xfId="6" applyNumberFormat="1" applyFont="1" applyBorder="1" applyAlignment="1">
      <alignment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30" fillId="0" borderId="32" xfId="0" applyNumberFormat="1" applyFont="1" applyFill="1" applyBorder="1" applyAlignment="1">
      <alignment horizontal="center" vertical="center" wrapText="1"/>
    </xf>
    <xf numFmtId="0" fontId="20" fillId="0" borderId="0" xfId="6" applyNumberFormat="1" applyFont="1" applyBorder="1" applyAlignment="1">
      <alignment vertical="center" wrapText="1"/>
    </xf>
    <xf numFmtId="0" fontId="20" fillId="0" borderId="0" xfId="6" applyNumberFormat="1" applyFont="1" applyAlignment="1">
      <alignment vertical="center" wrapText="1"/>
    </xf>
    <xf numFmtId="0" fontId="12" fillId="9" borderId="33" xfId="0" applyNumberFormat="1" applyFont="1" applyFill="1" applyBorder="1" applyAlignment="1">
      <alignment horizontal="center" vertical="center" wrapText="1"/>
    </xf>
    <xf numFmtId="0" fontId="12" fillId="9" borderId="34" xfId="0" applyNumberFormat="1" applyFont="1" applyFill="1" applyBorder="1" applyAlignment="1">
      <alignment horizontal="center" vertical="center" wrapText="1"/>
    </xf>
    <xf numFmtId="0" fontId="8" fillId="0" borderId="35" xfId="0" applyNumberFormat="1" applyFont="1" applyFill="1" applyBorder="1" applyAlignment="1">
      <alignment horizontal="center" vertical="center" wrapText="1"/>
    </xf>
    <xf numFmtId="0" fontId="8" fillId="0" borderId="36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8" fillId="10" borderId="37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12" fillId="10" borderId="22" xfId="0" applyNumberFormat="1" applyFont="1" applyFill="1" applyBorder="1" applyAlignment="1">
      <alignment horizontal="left" vertical="center" wrapText="1"/>
    </xf>
    <xf numFmtId="0" fontId="12" fillId="0" borderId="38" xfId="0" applyNumberFormat="1" applyFont="1" applyFill="1" applyBorder="1" applyAlignment="1">
      <alignment vertical="center" wrapText="1"/>
    </xf>
    <xf numFmtId="0" fontId="12" fillId="4" borderId="16" xfId="0" applyNumberFormat="1" applyFont="1" applyFill="1" applyBorder="1" applyAlignment="1">
      <alignment horizontal="center" vertical="center" wrapText="1"/>
    </xf>
    <xf numFmtId="0" fontId="12" fillId="11" borderId="16" xfId="0" applyNumberFormat="1" applyFont="1" applyFill="1" applyBorder="1" applyAlignment="1">
      <alignment horizontal="center" vertical="center" wrapText="1"/>
    </xf>
    <xf numFmtId="177" fontId="26" fillId="0" borderId="4" xfId="0" applyNumberFormat="1" applyFont="1" applyFill="1" applyBorder="1" applyAlignment="1">
      <alignment horizontal="center" vertical="center"/>
    </xf>
    <xf numFmtId="0" fontId="26" fillId="0" borderId="4" xfId="3" applyNumberFormat="1" applyFont="1" applyFill="1" applyBorder="1" applyAlignment="1" applyProtection="1">
      <alignment horizontal="center" vertical="center"/>
    </xf>
    <xf numFmtId="0" fontId="26" fillId="0" borderId="29" xfId="0" applyNumberFormat="1" applyFont="1" applyFill="1" applyBorder="1" applyAlignment="1">
      <alignment horizontal="center" vertical="center"/>
    </xf>
    <xf numFmtId="177" fontId="26" fillId="0" borderId="29" xfId="0" applyNumberFormat="1" applyFont="1" applyFill="1" applyBorder="1" applyAlignment="1">
      <alignment horizontal="center" vertical="center"/>
    </xf>
    <xf numFmtId="0" fontId="26" fillId="0" borderId="29" xfId="3" applyNumberFormat="1" applyFont="1" applyFill="1" applyBorder="1" applyAlignment="1" applyProtection="1">
      <alignment horizontal="center" vertical="center"/>
    </xf>
    <xf numFmtId="0" fontId="12" fillId="5" borderId="16" xfId="0" applyNumberFormat="1" applyFont="1" applyFill="1" applyBorder="1" applyAlignment="1">
      <alignment horizontal="center" vertical="center" wrapText="1"/>
    </xf>
    <xf numFmtId="9" fontId="26" fillId="0" borderId="4" xfId="3" applyFont="1" applyBorder="1" applyAlignment="1">
      <alignment horizontal="center" vertical="center"/>
    </xf>
    <xf numFmtId="177" fontId="26" fillId="0" borderId="4" xfId="3" applyNumberFormat="1" applyFont="1" applyBorder="1" applyAlignment="1">
      <alignment horizontal="center" vertical="center"/>
    </xf>
    <xf numFmtId="9" fontId="26" fillId="0" borderId="4" xfId="3" applyFont="1" applyFill="1" applyBorder="1" applyAlignment="1">
      <alignment horizontal="center" vertical="center"/>
    </xf>
    <xf numFmtId="9" fontId="26" fillId="0" borderId="29" xfId="3" applyFont="1" applyFill="1" applyBorder="1" applyAlignment="1">
      <alignment horizontal="center" vertical="center"/>
    </xf>
    <xf numFmtId="177" fontId="26" fillId="0" borderId="29" xfId="3" applyNumberFormat="1" applyFont="1" applyBorder="1" applyAlignment="1">
      <alignment horizontal="center" vertical="center"/>
    </xf>
    <xf numFmtId="9" fontId="26" fillId="0" borderId="29" xfId="3" applyFont="1" applyBorder="1" applyAlignment="1">
      <alignment horizontal="center" vertical="center"/>
    </xf>
    <xf numFmtId="0" fontId="8" fillId="0" borderId="39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25" fillId="5" borderId="16" xfId="0" applyNumberFormat="1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12" borderId="4" xfId="0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0" fontId="16" fillId="0" borderId="29" xfId="0" applyNumberFormat="1" applyFont="1" applyFill="1" applyBorder="1" applyAlignment="1">
      <alignment horizontal="center" vertical="center"/>
    </xf>
    <xf numFmtId="0" fontId="26" fillId="0" borderId="29" xfId="0" applyFont="1" applyFill="1" applyBorder="1" applyAlignment="1">
      <alignment horizontal="center" vertical="center" wrapText="1"/>
    </xf>
    <xf numFmtId="0" fontId="26" fillId="12" borderId="2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</xdr:colOff>
      <xdr:row>3</xdr:row>
      <xdr:rowOff>41275</xdr:rowOff>
    </xdr:from>
    <xdr:to>
      <xdr:col>2</xdr:col>
      <xdr:colOff>671830</xdr:colOff>
      <xdr:row>4</xdr:row>
      <xdr:rowOff>38100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0580" y="503555"/>
          <a:ext cx="63373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</xdr:colOff>
      <xdr:row>3</xdr:row>
      <xdr:rowOff>105410</xdr:rowOff>
    </xdr:from>
    <xdr:to>
      <xdr:col>3</xdr:col>
      <xdr:colOff>582930</xdr:colOff>
      <xdr:row>4</xdr:row>
      <xdr:rowOff>15240</xdr:rowOff>
    </xdr:to>
    <xdr:pic>
      <xdr:nvPicPr>
        <xdr:cNvPr id="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0680" y="567690"/>
          <a:ext cx="55245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45720</xdr:colOff>
      <xdr:row>3</xdr:row>
      <xdr:rowOff>71755</xdr:rowOff>
    </xdr:from>
    <xdr:to>
      <xdr:col>4</xdr:col>
      <xdr:colOff>701040</xdr:colOff>
      <xdr:row>3</xdr:row>
      <xdr:rowOff>688975</xdr:rowOff>
    </xdr:to>
    <xdr:pic>
      <xdr:nvPicPr>
        <xdr:cNvPr id="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53640" y="534035"/>
          <a:ext cx="65532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99060</xdr:colOff>
      <xdr:row>3</xdr:row>
      <xdr:rowOff>45085</xdr:rowOff>
    </xdr:from>
    <xdr:to>
      <xdr:col>5</xdr:col>
      <xdr:colOff>678180</xdr:colOff>
      <xdr:row>3</xdr:row>
      <xdr:rowOff>690245</xdr:rowOff>
    </xdr:to>
    <xdr:pic>
      <xdr:nvPicPr>
        <xdr:cNvPr id="5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314700" y="507365"/>
          <a:ext cx="579120" cy="64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53340</xdr:colOff>
      <xdr:row>3</xdr:row>
      <xdr:rowOff>74930</xdr:rowOff>
    </xdr:from>
    <xdr:to>
      <xdr:col>6</xdr:col>
      <xdr:colOff>634365</xdr:colOff>
      <xdr:row>3</xdr:row>
      <xdr:rowOff>676275</xdr:rowOff>
    </xdr:to>
    <xdr:pic>
      <xdr:nvPicPr>
        <xdr:cNvPr id="6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76700" y="537210"/>
          <a:ext cx="581025" cy="60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45085</xdr:colOff>
      <xdr:row>3</xdr:row>
      <xdr:rowOff>53340</xdr:rowOff>
    </xdr:from>
    <xdr:to>
      <xdr:col>7</xdr:col>
      <xdr:colOff>754380</xdr:colOff>
      <xdr:row>3</xdr:row>
      <xdr:rowOff>683260</xdr:rowOff>
    </xdr:to>
    <xdr:pic>
      <xdr:nvPicPr>
        <xdr:cNvPr id="7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76165" y="515620"/>
          <a:ext cx="709295" cy="629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amazon.com/dp/B07XPJMD13" TargetMode="External"/><Relationship Id="rId8" Type="http://schemas.openxmlformats.org/officeDocument/2006/relationships/hyperlink" Target="http://www.amazon.com/dp/B07HPYQBTS" TargetMode="External"/><Relationship Id="rId7" Type="http://schemas.openxmlformats.org/officeDocument/2006/relationships/hyperlink" Target="https://www.amazon.com/PETKIT/b/ref=bl_dp_s_web_13109350011?ie=UTF8&amp;node=13109350011&amp;field-lbr_brands_browse-bin=PETKIT" TargetMode="External"/><Relationship Id="rId6" Type="http://schemas.openxmlformats.org/officeDocument/2006/relationships/hyperlink" Target="https://www.amazon.com/s/ref=bl_dp_s_web_0?ie=UTF8&amp;search-alias=aps&amp;field-keywords=Pet-U" TargetMode="External"/><Relationship Id="rId5" Type="http://schemas.openxmlformats.org/officeDocument/2006/relationships/hyperlink" Target="https://www.amazon.com/Petnet/b/ref=bl_dp_s_web_3044864011?ie=UTF8&amp;node=3044864011&amp;field-lbr_brands_browse-bin=Petnet" TargetMode="External"/><Relationship Id="rId4" Type="http://schemas.openxmlformats.org/officeDocument/2006/relationships/hyperlink" Target="https://www.amazon.com/Pawple/b/ref=bl_dp_s_web_19562345011?ie=UTF8&amp;node=19562345011&amp;field-lbr_brands_browse-bin=Pawple" TargetMode="External"/><Relationship Id="rId3" Type="http://schemas.openxmlformats.org/officeDocument/2006/relationships/hyperlink" Target="https://www.amazon.com/WOPET/b/ref=bl_dp_s_web_13706944011?ie=UTF8&amp;node=13706944011&amp;field-lbr_brands_browse-bin=WOPET" TargetMode="External"/><Relationship Id="rId2" Type="http://schemas.openxmlformats.org/officeDocument/2006/relationships/hyperlink" Target="http://www.amazon.com/dp/B075CXMJB5" TargetMode="External"/><Relationship Id="rId12" Type="http://schemas.openxmlformats.org/officeDocument/2006/relationships/hyperlink" Target="http://www.amazon.com/dp/B07JFCML59" TargetMode="External"/><Relationship Id="rId11" Type="http://schemas.openxmlformats.org/officeDocument/2006/relationships/hyperlink" Target="http://www.amazon.com/dp/B07N5BBFZY" TargetMode="External"/><Relationship Id="rId10" Type="http://schemas.openxmlformats.org/officeDocument/2006/relationships/hyperlink" Target="http://www.amazon.com/dp/B07S758ZDD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3"/>
  <sheetViews>
    <sheetView tabSelected="1" zoomScale="130" zoomScaleNormal="130" topLeftCell="A35" workbookViewId="0">
      <selection activeCell="C31" sqref="C31:L31"/>
    </sheetView>
  </sheetViews>
  <sheetFormatPr defaultColWidth="8.88888888888889" defaultRowHeight="14.4"/>
  <cols>
    <col min="1" max="1" width="7.22222222222222" customWidth="1"/>
    <col min="2" max="2" width="4.33333333333333" customWidth="1"/>
    <col min="3" max="8" width="11.7777777777778" customWidth="1"/>
    <col min="9" max="9" width="5.44444444444444" customWidth="1"/>
    <col min="10" max="10" width="5.77777777777778" customWidth="1"/>
    <col min="11" max="12" width="4.33333333333333" customWidth="1"/>
    <col min="13" max="15" width="5.88888888888889" customWidth="1"/>
    <col min="16" max="18" width="5" customWidth="1"/>
    <col min="19" max="23" width="3.88888888888889" customWidth="1"/>
    <col min="24" max="24" width="4.66666666666667" customWidth="1"/>
    <col min="25" max="25" width="10.0648148148148" customWidth="1"/>
    <col min="26" max="26" width="3.55555555555556" customWidth="1"/>
    <col min="27" max="27" width="8.87962962962963" customWidth="1"/>
    <col min="28" max="28" width="8.62037037037037" customWidth="1"/>
    <col min="29" max="29" width="5.88888888888889" customWidth="1"/>
  </cols>
  <sheetData>
    <row r="1" s="76" customFormat="1" ht="9" customHeight="1" spans="1:8">
      <c r="A1" s="82" t="s">
        <v>0</v>
      </c>
      <c r="B1" s="83">
        <v>43767</v>
      </c>
      <c r="C1" s="84">
        <v>1</v>
      </c>
      <c r="D1" s="84">
        <v>2</v>
      </c>
      <c r="E1" s="84">
        <v>3</v>
      </c>
      <c r="F1" s="84">
        <v>4</v>
      </c>
      <c r="G1" s="84">
        <v>5</v>
      </c>
      <c r="H1" s="85">
        <v>6</v>
      </c>
    </row>
    <row r="2" s="77" customFormat="1" ht="13" customHeight="1" spans="1:29">
      <c r="A2" s="86" t="s">
        <v>1</v>
      </c>
      <c r="B2" s="87"/>
      <c r="C2" s="88" t="s">
        <v>2</v>
      </c>
      <c r="D2" s="89" t="s">
        <v>3</v>
      </c>
      <c r="E2" s="88" t="s">
        <v>4</v>
      </c>
      <c r="F2" s="89" t="s">
        <v>5</v>
      </c>
      <c r="G2" s="89" t="s">
        <v>6</v>
      </c>
      <c r="H2" s="90" t="s">
        <v>7</v>
      </c>
      <c r="I2" s="162"/>
      <c r="J2" s="162"/>
      <c r="K2" s="162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</row>
    <row r="3" spans="1:29">
      <c r="A3" s="91" t="s">
        <v>8</v>
      </c>
      <c r="B3" s="92"/>
      <c r="C3" s="93" t="s">
        <v>9</v>
      </c>
      <c r="D3" s="93" t="s">
        <v>10</v>
      </c>
      <c r="E3" s="93" t="s">
        <v>11</v>
      </c>
      <c r="F3" s="93" t="s">
        <v>12</v>
      </c>
      <c r="G3" s="93" t="s">
        <v>9</v>
      </c>
      <c r="H3" s="94" t="s">
        <v>13</v>
      </c>
      <c r="I3" s="164"/>
      <c r="J3" s="164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</row>
    <row r="4" ht="55" customHeight="1" spans="1:29">
      <c r="A4" s="91" t="s">
        <v>14</v>
      </c>
      <c r="B4" s="92"/>
      <c r="C4" s="93"/>
      <c r="D4" s="93"/>
      <c r="E4" s="93"/>
      <c r="F4" s="93"/>
      <c r="G4" s="93"/>
      <c r="H4" s="94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</row>
    <row r="5" s="77" customFormat="1" ht="18" customHeight="1" spans="1:29">
      <c r="A5" s="86" t="s">
        <v>15</v>
      </c>
      <c r="B5" s="87"/>
      <c r="C5" s="95" t="s">
        <v>16</v>
      </c>
      <c r="D5" s="95" t="s">
        <v>17</v>
      </c>
      <c r="E5" s="95"/>
      <c r="F5" s="95"/>
      <c r="G5" s="95"/>
      <c r="H5" s="96" t="s">
        <v>18</v>
      </c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</row>
    <row r="6" spans="1:29">
      <c r="A6" s="91" t="s">
        <v>19</v>
      </c>
      <c r="B6" s="92"/>
      <c r="C6" s="93">
        <v>4.5</v>
      </c>
      <c r="D6" s="93">
        <v>4.8</v>
      </c>
      <c r="E6" s="93">
        <v>3.3</v>
      </c>
      <c r="F6" s="93">
        <v>4.9</v>
      </c>
      <c r="G6" s="93">
        <v>4.3</v>
      </c>
      <c r="H6" s="94">
        <v>4.3</v>
      </c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</row>
    <row r="7" spans="1:29">
      <c r="A7" s="91" t="s">
        <v>20</v>
      </c>
      <c r="B7" s="92"/>
      <c r="C7" s="93">
        <v>878</v>
      </c>
      <c r="D7" s="93">
        <v>12</v>
      </c>
      <c r="E7" s="93">
        <v>385</v>
      </c>
      <c r="F7" s="93">
        <v>39</v>
      </c>
      <c r="G7" s="93">
        <v>150</v>
      </c>
      <c r="H7" s="94">
        <v>150</v>
      </c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</row>
    <row r="8" spans="1:29">
      <c r="A8" s="91" t="s">
        <v>21</v>
      </c>
      <c r="B8" s="92"/>
      <c r="C8" s="93">
        <v>89.95</v>
      </c>
      <c r="D8" s="93">
        <v>69.99</v>
      </c>
      <c r="E8" s="93">
        <v>100</v>
      </c>
      <c r="F8" s="93">
        <v>79.99</v>
      </c>
      <c r="G8" s="93">
        <v>169.99</v>
      </c>
      <c r="H8" s="94">
        <v>99.99</v>
      </c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spans="1:29">
      <c r="A9" s="91" t="s">
        <v>22</v>
      </c>
      <c r="B9" s="92"/>
      <c r="C9" s="93">
        <v>1300</v>
      </c>
      <c r="D9" s="93">
        <v>5000</v>
      </c>
      <c r="E9" s="93">
        <v>2200</v>
      </c>
      <c r="F9" s="93">
        <v>26000</v>
      </c>
      <c r="G9" s="93">
        <v>9000</v>
      </c>
      <c r="H9" s="94">
        <v>5800</v>
      </c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</row>
    <row r="10" spans="1:29">
      <c r="A10" s="91" t="s">
        <v>23</v>
      </c>
      <c r="B10" s="92"/>
      <c r="C10" s="97">
        <v>43101</v>
      </c>
      <c r="D10" s="97">
        <v>43709</v>
      </c>
      <c r="E10" s="97">
        <v>43435</v>
      </c>
      <c r="F10" s="97">
        <v>43647</v>
      </c>
      <c r="G10" s="98">
        <v>43525</v>
      </c>
      <c r="H10" s="99">
        <v>43405</v>
      </c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</row>
    <row r="11" spans="1:29">
      <c r="A11" s="100" t="s">
        <v>24</v>
      </c>
      <c r="B11" s="101"/>
      <c r="C11" s="102">
        <f>($B$1-C10)/30</f>
        <v>22.2</v>
      </c>
      <c r="D11" s="102">
        <f>($B$1-D10)/30</f>
        <v>1.93333333333333</v>
      </c>
      <c r="E11" s="102">
        <f>($B$1-E10)/30</f>
        <v>11.0666666666667</v>
      </c>
      <c r="F11" s="102">
        <f>($B$1-F10)/30</f>
        <v>4</v>
      </c>
      <c r="G11" s="102">
        <f>($B$1-G10)/30</f>
        <v>8.06666666666667</v>
      </c>
      <c r="H11" s="103">
        <f>($B$1-H10)/30</f>
        <v>12.0666666666667</v>
      </c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</row>
    <row r="12" spans="1:29">
      <c r="A12" s="91" t="s">
        <v>25</v>
      </c>
      <c r="B12" s="92"/>
      <c r="C12" s="93">
        <v>2200</v>
      </c>
      <c r="D12" s="93">
        <v>645</v>
      </c>
      <c r="E12" s="93">
        <v>1000</v>
      </c>
      <c r="F12" s="93">
        <v>600</v>
      </c>
      <c r="G12" s="93">
        <v>600</v>
      </c>
      <c r="H12" s="94">
        <v>1000</v>
      </c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</row>
    <row r="13" spans="1:29">
      <c r="A13" s="104" t="s">
        <v>26</v>
      </c>
      <c r="B13" s="105"/>
      <c r="C13" s="93">
        <f>C12*4</f>
        <v>8800</v>
      </c>
      <c r="D13" s="93">
        <v>1300</v>
      </c>
      <c r="E13" s="93">
        <v>11000</v>
      </c>
      <c r="F13" s="93">
        <v>1800</v>
      </c>
      <c r="G13" s="93">
        <v>2100</v>
      </c>
      <c r="H13" s="94">
        <v>10000</v>
      </c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</row>
    <row r="14" spans="1:29">
      <c r="A14" s="91" t="s">
        <v>27</v>
      </c>
      <c r="B14" s="92"/>
      <c r="C14" s="93">
        <v>711</v>
      </c>
      <c r="D14" s="93">
        <v>711</v>
      </c>
      <c r="E14" s="93" t="s">
        <v>28</v>
      </c>
      <c r="F14" s="93">
        <v>4</v>
      </c>
      <c r="G14" s="93">
        <v>5</v>
      </c>
      <c r="H14" s="94">
        <v>16</v>
      </c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</row>
    <row r="15" spans="1:29">
      <c r="A15" s="100" t="s">
        <v>29</v>
      </c>
      <c r="B15" s="101"/>
      <c r="C15" s="93">
        <v>87800</v>
      </c>
      <c r="D15" s="93">
        <v>1200</v>
      </c>
      <c r="E15" s="93">
        <v>38500</v>
      </c>
      <c r="F15" s="93">
        <v>3900</v>
      </c>
      <c r="G15" s="93">
        <v>15000</v>
      </c>
      <c r="H15" s="94">
        <v>15000</v>
      </c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</row>
    <row r="16" ht="12" customHeight="1" spans="1:29">
      <c r="A16" s="100" t="s">
        <v>30</v>
      </c>
      <c r="B16" s="101"/>
      <c r="C16" s="93">
        <v>878</v>
      </c>
      <c r="D16" s="93">
        <v>48</v>
      </c>
      <c r="E16" s="93">
        <v>1200</v>
      </c>
      <c r="F16" s="93">
        <v>39</v>
      </c>
      <c r="G16" s="93">
        <v>150</v>
      </c>
      <c r="H16" s="94">
        <v>150</v>
      </c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</row>
    <row r="17" ht="10" customHeight="1" spans="1:29">
      <c r="A17" s="100" t="s">
        <v>31</v>
      </c>
      <c r="B17" s="101"/>
      <c r="C17" s="106">
        <v>0.0997727272727273</v>
      </c>
      <c r="D17" s="106">
        <v>0.0369230769230769</v>
      </c>
      <c r="E17" s="106">
        <v>0.109090909090909</v>
      </c>
      <c r="F17" s="106">
        <v>0.0216666666666667</v>
      </c>
      <c r="G17" s="106">
        <v>0.0714285714285714</v>
      </c>
      <c r="H17" s="107">
        <v>0.015</v>
      </c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</row>
    <row r="18" spans="1:29">
      <c r="A18" s="100" t="s">
        <v>32</v>
      </c>
      <c r="B18" s="101"/>
      <c r="C18" s="108">
        <f>(C13-C16)*C8</f>
        <v>712583.9</v>
      </c>
      <c r="D18" s="108">
        <f t="shared" ref="C18:H18" si="0">(D13-D16)*D8</f>
        <v>87627.48</v>
      </c>
      <c r="E18" s="108">
        <f t="shared" si="0"/>
        <v>980000</v>
      </c>
      <c r="F18" s="108">
        <f t="shared" si="0"/>
        <v>140862.39</v>
      </c>
      <c r="G18" s="108">
        <f t="shared" si="0"/>
        <v>331480.5</v>
      </c>
      <c r="H18" s="109">
        <f t="shared" si="0"/>
        <v>984901.5</v>
      </c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</row>
    <row r="19" spans="1:29">
      <c r="A19" s="100" t="s">
        <v>33</v>
      </c>
      <c r="B19" s="101"/>
      <c r="C19" s="108">
        <f>C18/C11</f>
        <v>32098.3738738739</v>
      </c>
      <c r="D19" s="108">
        <f t="shared" ref="C19:H19" si="1">D18/D11</f>
        <v>45324.5586206897</v>
      </c>
      <c r="E19" s="108">
        <f t="shared" si="1"/>
        <v>88554.2168674699</v>
      </c>
      <c r="F19" s="108">
        <f t="shared" si="1"/>
        <v>35215.5975</v>
      </c>
      <c r="G19" s="108">
        <f t="shared" si="1"/>
        <v>41092.6239669421</v>
      </c>
      <c r="H19" s="109">
        <f t="shared" si="1"/>
        <v>81621.6712707182</v>
      </c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</row>
    <row r="20" spans="1:29">
      <c r="A20" s="100" t="s">
        <v>34</v>
      </c>
      <c r="B20" s="101"/>
      <c r="C20" s="108">
        <v>9629.51216216216</v>
      </c>
      <c r="D20" s="108">
        <v>13597.3675862069</v>
      </c>
      <c r="E20" s="108">
        <v>26566.265060241</v>
      </c>
      <c r="F20" s="108">
        <v>10564.67925</v>
      </c>
      <c r="G20" s="108">
        <v>12327.7871900826</v>
      </c>
      <c r="H20" s="109">
        <v>24486.5013812155</v>
      </c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</row>
    <row r="21" spans="1:29">
      <c r="A21" s="100" t="s">
        <v>35</v>
      </c>
      <c r="B21" s="101"/>
      <c r="C21" s="108">
        <v>213775.17</v>
      </c>
      <c r="D21" s="108">
        <v>26288.244</v>
      </c>
      <c r="E21" s="108">
        <v>294000</v>
      </c>
      <c r="F21" s="108">
        <v>42258.717</v>
      </c>
      <c r="G21" s="108">
        <v>99444.15</v>
      </c>
      <c r="H21" s="109">
        <v>295470.45</v>
      </c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</row>
    <row r="22" ht="14" customHeight="1" spans="1:29">
      <c r="A22" s="91" t="s">
        <v>36</v>
      </c>
      <c r="B22" s="92"/>
      <c r="C22" s="93"/>
      <c r="D22" s="93"/>
      <c r="E22" s="93"/>
      <c r="F22" s="93"/>
      <c r="G22" s="93"/>
      <c r="H22" s="94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</row>
    <row r="23" s="78" customFormat="1" spans="1:29">
      <c r="A23" s="110" t="s">
        <v>37</v>
      </c>
      <c r="B23" s="111"/>
      <c r="C23" s="112">
        <v>2500</v>
      </c>
      <c r="D23" s="113">
        <v>100</v>
      </c>
      <c r="E23" s="113">
        <v>20000</v>
      </c>
      <c r="F23" s="113">
        <v>200</v>
      </c>
      <c r="G23" s="114">
        <v>1500</v>
      </c>
      <c r="H23" s="115">
        <v>1500</v>
      </c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</row>
    <row r="24" s="78" customFormat="1" spans="1:29">
      <c r="A24" s="110" t="s">
        <v>38</v>
      </c>
      <c r="B24" s="111"/>
      <c r="C24" s="112">
        <v>825</v>
      </c>
      <c r="D24" s="112">
        <v>5000</v>
      </c>
      <c r="E24" s="112">
        <v>200</v>
      </c>
      <c r="F24" s="116">
        <v>4800</v>
      </c>
      <c r="G24" s="117">
        <v>2400</v>
      </c>
      <c r="H24" s="115">
        <v>2400</v>
      </c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</row>
    <row r="25" s="78" customFormat="1" spans="1:29">
      <c r="A25" s="110" t="s">
        <v>39</v>
      </c>
      <c r="B25" s="111"/>
      <c r="C25" s="112">
        <v>13200</v>
      </c>
      <c r="D25" s="112">
        <v>3000</v>
      </c>
      <c r="E25" s="112">
        <v>14400</v>
      </c>
      <c r="F25" s="118">
        <v>115200</v>
      </c>
      <c r="G25" s="118">
        <v>48000</v>
      </c>
      <c r="H25" s="119">
        <v>14400</v>
      </c>
      <c r="I25" s="167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</row>
    <row r="26" s="78" customFormat="1" spans="1:29">
      <c r="A26" s="120" t="s">
        <v>40</v>
      </c>
      <c r="B26" s="121"/>
      <c r="C26" s="112">
        <v>23080</v>
      </c>
      <c r="D26" s="112">
        <v>1100</v>
      </c>
      <c r="E26" s="112">
        <v>6180</v>
      </c>
      <c r="F26" s="112">
        <v>1254450</v>
      </c>
      <c r="G26" s="112">
        <v>30780</v>
      </c>
      <c r="H26" s="122">
        <v>15680</v>
      </c>
      <c r="I26" s="168"/>
      <c r="J26" s="169"/>
      <c r="K26" s="169"/>
      <c r="L26" s="169"/>
      <c r="M26" s="169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</row>
    <row r="27" s="79" customFormat="1" ht="24" customHeight="1" spans="1:29">
      <c r="A27" s="123" t="s">
        <v>41</v>
      </c>
      <c r="B27" s="124"/>
      <c r="C27" s="125" t="s">
        <v>42</v>
      </c>
      <c r="D27" s="125" t="s">
        <v>43</v>
      </c>
      <c r="E27" s="125" t="s">
        <v>44</v>
      </c>
      <c r="F27" s="125" t="s">
        <v>45</v>
      </c>
      <c r="G27" s="125" t="s">
        <v>43</v>
      </c>
      <c r="H27" s="126" t="s">
        <v>46</v>
      </c>
      <c r="I27" s="170"/>
      <c r="J27" s="171"/>
      <c r="K27" s="172"/>
      <c r="L27" s="172"/>
      <c r="M27" s="172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s="78" customFormat="1" ht="15.15" spans="1:29">
      <c r="A28" s="127" t="s">
        <v>47</v>
      </c>
      <c r="B28" s="128"/>
      <c r="C28" s="129" t="s">
        <v>48</v>
      </c>
      <c r="D28" s="129"/>
      <c r="E28" s="129"/>
      <c r="F28" s="129"/>
      <c r="G28" s="130"/>
      <c r="H28" s="131" t="s">
        <v>49</v>
      </c>
      <c r="I28" s="174"/>
      <c r="J28" s="174"/>
      <c r="K28" s="174"/>
      <c r="L28" s="175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="79" customFormat="1" ht="46" customHeight="1" spans="1:29">
      <c r="A29" s="132"/>
      <c r="B29" s="133"/>
      <c r="C29" s="134"/>
      <c r="D29" s="113"/>
      <c r="E29" s="134"/>
      <c r="F29" s="113"/>
      <c r="G29" s="135"/>
      <c r="H29" s="136" t="s">
        <v>50</v>
      </c>
      <c r="I29" s="176" t="s">
        <v>51</v>
      </c>
      <c r="J29" s="176" t="s">
        <v>52</v>
      </c>
      <c r="K29" s="176" t="s">
        <v>53</v>
      </c>
      <c r="L29" s="177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</row>
    <row r="30" s="78" customFormat="1" ht="66" customHeight="1" spans="1:29">
      <c r="A30" s="132" t="s">
        <v>54</v>
      </c>
      <c r="B30" s="133"/>
      <c r="C30" s="137" t="s">
        <v>55</v>
      </c>
      <c r="D30" s="137"/>
      <c r="E30" s="137"/>
      <c r="F30" s="137"/>
      <c r="G30" s="137"/>
      <c r="H30" s="138"/>
      <c r="I30" s="138"/>
      <c r="J30" s="138"/>
      <c r="K30" s="138"/>
      <c r="L30" s="179"/>
      <c r="M30" s="180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98"/>
      <c r="AA30" s="199"/>
      <c r="AB30" s="199"/>
      <c r="AC30" s="199"/>
    </row>
    <row r="31" s="78" customFormat="1" ht="87" customHeight="1" spans="1:13">
      <c r="A31" s="139" t="s">
        <v>56</v>
      </c>
      <c r="B31" s="140"/>
      <c r="C31" s="141" t="s">
        <v>57</v>
      </c>
      <c r="D31" s="141"/>
      <c r="E31" s="141"/>
      <c r="F31" s="141"/>
      <c r="G31" s="141"/>
      <c r="H31" s="141"/>
      <c r="I31" s="141"/>
      <c r="J31" s="141"/>
      <c r="K31" s="141"/>
      <c r="L31" s="182"/>
      <c r="M31" s="183"/>
    </row>
    <row r="32" s="80" customFormat="1" ht="87" customHeight="1" spans="1:29">
      <c r="A32" s="142" t="s">
        <v>58</v>
      </c>
      <c r="B32" s="143" t="s">
        <v>59</v>
      </c>
      <c r="C32" s="128" t="s">
        <v>60</v>
      </c>
      <c r="D32" s="128" t="s">
        <v>61</v>
      </c>
      <c r="E32" s="144" t="s">
        <v>62</v>
      </c>
      <c r="F32" s="128" t="s">
        <v>63</v>
      </c>
      <c r="G32" s="145" t="s">
        <v>64</v>
      </c>
      <c r="H32" s="128" t="s">
        <v>65</v>
      </c>
      <c r="I32" s="145" t="s">
        <v>66</v>
      </c>
      <c r="J32" s="145" t="s">
        <v>67</v>
      </c>
      <c r="K32" s="145" t="s">
        <v>68</v>
      </c>
      <c r="L32" s="145" t="s">
        <v>69</v>
      </c>
      <c r="M32" s="184" t="s">
        <v>70</v>
      </c>
      <c r="N32" s="185" t="s">
        <v>71</v>
      </c>
      <c r="O32" s="185" t="s">
        <v>72</v>
      </c>
      <c r="P32" s="185" t="s">
        <v>73</v>
      </c>
      <c r="Q32" s="184" t="s">
        <v>74</v>
      </c>
      <c r="R32" s="191" t="s">
        <v>75</v>
      </c>
      <c r="S32" s="184" t="s">
        <v>76</v>
      </c>
      <c r="T32" s="184" t="s">
        <v>77</v>
      </c>
      <c r="U32" s="184" t="s">
        <v>78</v>
      </c>
      <c r="V32" s="184" t="s">
        <v>79</v>
      </c>
      <c r="W32" s="184" t="s">
        <v>80</v>
      </c>
      <c r="X32" s="191" t="s">
        <v>81</v>
      </c>
      <c r="Y32" s="145" t="s">
        <v>82</v>
      </c>
      <c r="Z32" s="184" t="s">
        <v>61</v>
      </c>
      <c r="AA32" s="200" t="s">
        <v>83</v>
      </c>
      <c r="AB32" s="200" t="s">
        <v>35</v>
      </c>
      <c r="AC32" s="191" t="s">
        <v>84</v>
      </c>
    </row>
    <row r="33" s="81" customFormat="1" ht="34" customHeight="1" spans="1:29">
      <c r="A33" s="146"/>
      <c r="B33" s="147" t="s">
        <v>85</v>
      </c>
      <c r="C33" s="148" t="s">
        <v>9</v>
      </c>
      <c r="D33" s="149"/>
      <c r="E33" s="150">
        <f>C8</f>
        <v>89.95</v>
      </c>
      <c r="F33" s="151">
        <f t="shared" ref="F33:F38" si="2">E33*0.15</f>
        <v>13.4925</v>
      </c>
      <c r="G33" s="151">
        <v>12.06</v>
      </c>
      <c r="H33" s="151">
        <f t="shared" ref="H33:H44" si="3">G33+F33</f>
        <v>25.5525</v>
      </c>
      <c r="I33" s="152">
        <v>1</v>
      </c>
      <c r="J33" s="186">
        <v>40</v>
      </c>
      <c r="K33" s="151"/>
      <c r="L33" s="187">
        <f>35/7</f>
        <v>5</v>
      </c>
      <c r="M33" s="186">
        <f t="shared" ref="M33:M38" si="4">K33+J33+H33+L33</f>
        <v>70.5525</v>
      </c>
      <c r="N33" s="186">
        <f t="shared" ref="N33:N38" si="5">E33/I33</f>
        <v>89.95</v>
      </c>
      <c r="O33" s="186">
        <f t="shared" ref="O33:O38" si="6">M33/I33</f>
        <v>70.5525</v>
      </c>
      <c r="P33" s="186">
        <f t="shared" ref="P33:P38" si="7">E33-O33</f>
        <v>19.3975</v>
      </c>
      <c r="Q33" s="186">
        <f t="shared" ref="Q33:Q38" si="8">E33-H33-J33-K33-L33</f>
        <v>19.3975</v>
      </c>
      <c r="R33" s="192">
        <f t="shared" ref="R33:R38" si="9">Q33/E33</f>
        <v>0.215647581989995</v>
      </c>
      <c r="S33" s="193">
        <v>4.4975</v>
      </c>
      <c r="T33" s="193">
        <v>2.6985</v>
      </c>
      <c r="U33" s="193">
        <v>2.6985</v>
      </c>
      <c r="V33" s="193">
        <v>0.008995</v>
      </c>
      <c r="W33" s="193">
        <f t="shared" ref="W33:W38" si="10">Q33-S33-T33-U33-V33</f>
        <v>9.49400500000001</v>
      </c>
      <c r="X33" s="192">
        <f t="shared" ref="X33:X38" si="11">W33/E33</f>
        <v>0.105547581989995</v>
      </c>
      <c r="Y33" s="152">
        <v>13200</v>
      </c>
      <c r="Z33" s="201"/>
      <c r="AA33" s="202">
        <f t="shared" ref="AA33:AA38" si="12">Y33*E33</f>
        <v>1187340</v>
      </c>
      <c r="AB33" s="201">
        <f t="shared" ref="AB33:AB38" si="13">X33*AA33</f>
        <v>125320.866</v>
      </c>
      <c r="AC33" s="201">
        <v>22.5</v>
      </c>
    </row>
    <row r="34" s="81" customFormat="1" ht="34" customHeight="1" spans="1:29">
      <c r="A34" s="146"/>
      <c r="B34" s="147" t="s">
        <v>86</v>
      </c>
      <c r="C34" s="148" t="s">
        <v>10</v>
      </c>
      <c r="D34" s="152"/>
      <c r="E34" s="150">
        <f>D8</f>
        <v>69.99</v>
      </c>
      <c r="F34" s="151">
        <f t="shared" si="2"/>
        <v>10.4985</v>
      </c>
      <c r="G34" s="151">
        <v>12.06</v>
      </c>
      <c r="H34" s="151">
        <f t="shared" si="3"/>
        <v>22.5585</v>
      </c>
      <c r="I34" s="152">
        <v>1</v>
      </c>
      <c r="J34" s="186">
        <v>25</v>
      </c>
      <c r="K34" s="151"/>
      <c r="L34" s="187">
        <f t="shared" ref="L33:L38" si="14">35/7</f>
        <v>5</v>
      </c>
      <c r="M34" s="186">
        <f t="shared" si="4"/>
        <v>52.5585</v>
      </c>
      <c r="N34" s="186">
        <f t="shared" si="5"/>
        <v>69.99</v>
      </c>
      <c r="O34" s="186">
        <f t="shared" si="6"/>
        <v>52.5585</v>
      </c>
      <c r="P34" s="186">
        <f t="shared" si="7"/>
        <v>17.4315</v>
      </c>
      <c r="Q34" s="186">
        <f t="shared" si="8"/>
        <v>17.4315</v>
      </c>
      <c r="R34" s="192">
        <f t="shared" si="9"/>
        <v>0.249057008144021</v>
      </c>
      <c r="S34" s="193">
        <v>3.4995</v>
      </c>
      <c r="T34" s="193">
        <v>2.0997</v>
      </c>
      <c r="U34" s="193">
        <v>2.0997</v>
      </c>
      <c r="V34" s="193">
        <v>0.006999</v>
      </c>
      <c r="W34" s="193">
        <f t="shared" si="10"/>
        <v>9.725601</v>
      </c>
      <c r="X34" s="192">
        <f t="shared" si="11"/>
        <v>0.138957008144021</v>
      </c>
      <c r="Y34" s="152">
        <v>3000</v>
      </c>
      <c r="Z34" s="201"/>
      <c r="AA34" s="202">
        <f t="shared" si="12"/>
        <v>209970</v>
      </c>
      <c r="AB34" s="201">
        <f t="shared" si="13"/>
        <v>29176.803</v>
      </c>
      <c r="AC34" s="201"/>
    </row>
    <row r="35" s="81" customFormat="1" ht="34" customHeight="1" spans="1:29">
      <c r="A35" s="146"/>
      <c r="B35" s="147" t="s">
        <v>87</v>
      </c>
      <c r="C35" s="148" t="s">
        <v>11</v>
      </c>
      <c r="D35" s="149"/>
      <c r="E35" s="150">
        <f>E8</f>
        <v>100</v>
      </c>
      <c r="F35" s="151">
        <f t="shared" si="2"/>
        <v>15</v>
      </c>
      <c r="G35" s="153">
        <v>15.97</v>
      </c>
      <c r="H35" s="151">
        <f t="shared" si="3"/>
        <v>30.97</v>
      </c>
      <c r="I35" s="152">
        <v>1</v>
      </c>
      <c r="J35" s="186">
        <v>50</v>
      </c>
      <c r="K35" s="151"/>
      <c r="L35" s="187">
        <f t="shared" si="14"/>
        <v>5</v>
      </c>
      <c r="M35" s="186">
        <f t="shared" si="4"/>
        <v>85.97</v>
      </c>
      <c r="N35" s="186">
        <f t="shared" si="5"/>
        <v>100</v>
      </c>
      <c r="O35" s="186">
        <f t="shared" si="6"/>
        <v>85.97</v>
      </c>
      <c r="P35" s="186">
        <f t="shared" si="7"/>
        <v>14.03</v>
      </c>
      <c r="Q35" s="186">
        <f t="shared" si="8"/>
        <v>14.03</v>
      </c>
      <c r="R35" s="192">
        <f t="shared" si="9"/>
        <v>0.1403</v>
      </c>
      <c r="S35" s="193">
        <v>5</v>
      </c>
      <c r="T35" s="193">
        <v>3</v>
      </c>
      <c r="U35" s="193">
        <v>3</v>
      </c>
      <c r="V35" s="193">
        <v>0.01</v>
      </c>
      <c r="W35" s="193">
        <f t="shared" si="10"/>
        <v>3.02</v>
      </c>
      <c r="X35" s="192">
        <f t="shared" si="11"/>
        <v>0.0302</v>
      </c>
      <c r="Y35" s="152">
        <v>14400</v>
      </c>
      <c r="Z35" s="153"/>
      <c r="AA35" s="202">
        <f t="shared" si="12"/>
        <v>1440000</v>
      </c>
      <c r="AB35" s="201">
        <f t="shared" si="13"/>
        <v>43488</v>
      </c>
      <c r="AC35" s="201"/>
    </row>
    <row r="36" s="81" customFormat="1" ht="34" customHeight="1" spans="1:29">
      <c r="A36" s="146"/>
      <c r="B36" s="147" t="s">
        <v>88</v>
      </c>
      <c r="C36" s="148" t="s">
        <v>12</v>
      </c>
      <c r="D36" s="149"/>
      <c r="E36" s="150">
        <f>F8</f>
        <v>79.99</v>
      </c>
      <c r="F36" s="151">
        <f t="shared" si="2"/>
        <v>11.9985</v>
      </c>
      <c r="G36" s="153">
        <v>12.44</v>
      </c>
      <c r="H36" s="151">
        <f t="shared" si="3"/>
        <v>24.4385</v>
      </c>
      <c r="I36" s="152">
        <v>1</v>
      </c>
      <c r="J36" s="186">
        <v>35</v>
      </c>
      <c r="K36" s="151"/>
      <c r="L36" s="187">
        <f t="shared" si="14"/>
        <v>5</v>
      </c>
      <c r="M36" s="186">
        <f t="shared" si="4"/>
        <v>64.4385</v>
      </c>
      <c r="N36" s="186">
        <f t="shared" si="5"/>
        <v>79.99</v>
      </c>
      <c r="O36" s="186">
        <f t="shared" si="6"/>
        <v>64.4385</v>
      </c>
      <c r="P36" s="186">
        <f t="shared" si="7"/>
        <v>15.5515</v>
      </c>
      <c r="Q36" s="186">
        <f t="shared" si="8"/>
        <v>15.5515</v>
      </c>
      <c r="R36" s="194">
        <f t="shared" si="9"/>
        <v>0.194418052256532</v>
      </c>
      <c r="S36" s="193">
        <v>3.9995</v>
      </c>
      <c r="T36" s="193">
        <v>2.3997</v>
      </c>
      <c r="U36" s="193">
        <v>2.3997</v>
      </c>
      <c r="V36" s="193">
        <v>0.007999</v>
      </c>
      <c r="W36" s="193">
        <f t="shared" si="10"/>
        <v>6.744601</v>
      </c>
      <c r="X36" s="192">
        <f t="shared" si="11"/>
        <v>0.084318052256532</v>
      </c>
      <c r="Y36" s="203">
        <v>115200</v>
      </c>
      <c r="Z36" s="201" t="s">
        <v>89</v>
      </c>
      <c r="AA36" s="202">
        <f t="shared" si="12"/>
        <v>9214848</v>
      </c>
      <c r="AB36" s="201">
        <f t="shared" si="13"/>
        <v>776978.0352</v>
      </c>
      <c r="AC36" s="201"/>
    </row>
    <row r="37" s="81" customFormat="1" ht="34" customHeight="1" spans="1:29">
      <c r="A37" s="146"/>
      <c r="B37" s="147" t="s">
        <v>90</v>
      </c>
      <c r="C37" s="148" t="s">
        <v>9</v>
      </c>
      <c r="D37" s="149"/>
      <c r="E37" s="150">
        <f>G8</f>
        <v>169.99</v>
      </c>
      <c r="F37" s="151">
        <f t="shared" si="2"/>
        <v>25.4985</v>
      </c>
      <c r="G37" s="151">
        <v>12.06</v>
      </c>
      <c r="H37" s="151">
        <f t="shared" si="3"/>
        <v>37.5585</v>
      </c>
      <c r="I37" s="152">
        <v>1</v>
      </c>
      <c r="J37" s="186">
        <v>100</v>
      </c>
      <c r="K37" s="151"/>
      <c r="L37" s="187">
        <f t="shared" si="14"/>
        <v>5</v>
      </c>
      <c r="M37" s="186">
        <f t="shared" si="4"/>
        <v>142.5585</v>
      </c>
      <c r="N37" s="186">
        <f t="shared" si="5"/>
        <v>169.99</v>
      </c>
      <c r="O37" s="186">
        <f t="shared" si="6"/>
        <v>142.5585</v>
      </c>
      <c r="P37" s="186">
        <f t="shared" si="7"/>
        <v>27.4315</v>
      </c>
      <c r="Q37" s="186">
        <f t="shared" si="8"/>
        <v>27.4315</v>
      </c>
      <c r="R37" s="194">
        <f t="shared" si="9"/>
        <v>0.161371257132773</v>
      </c>
      <c r="S37" s="193">
        <v>8.4995</v>
      </c>
      <c r="T37" s="193">
        <v>5.0997</v>
      </c>
      <c r="U37" s="193">
        <v>5.0997</v>
      </c>
      <c r="V37" s="193">
        <v>0.016999</v>
      </c>
      <c r="W37" s="193">
        <f t="shared" si="10"/>
        <v>8.715601</v>
      </c>
      <c r="X37" s="192">
        <f t="shared" si="11"/>
        <v>0.0512712571327725</v>
      </c>
      <c r="Y37" s="203">
        <v>48000</v>
      </c>
      <c r="Z37" s="201" t="s">
        <v>89</v>
      </c>
      <c r="AA37" s="202">
        <f t="shared" si="12"/>
        <v>8159520</v>
      </c>
      <c r="AB37" s="201">
        <f t="shared" si="13"/>
        <v>418348.848</v>
      </c>
      <c r="AC37" s="201"/>
    </row>
    <row r="38" s="81" customFormat="1" ht="34" customHeight="1" spans="1:29">
      <c r="A38" s="154"/>
      <c r="B38" s="155" t="s">
        <v>91</v>
      </c>
      <c r="C38" s="156" t="s">
        <v>13</v>
      </c>
      <c r="D38" s="157"/>
      <c r="E38" s="158">
        <f>H8</f>
        <v>99.99</v>
      </c>
      <c r="F38" s="159">
        <f t="shared" si="2"/>
        <v>14.9985</v>
      </c>
      <c r="G38" s="160">
        <v>11.68</v>
      </c>
      <c r="H38" s="159">
        <f t="shared" si="3"/>
        <v>26.6785</v>
      </c>
      <c r="I38" s="188">
        <v>1</v>
      </c>
      <c r="J38" s="189">
        <v>50</v>
      </c>
      <c r="K38" s="159"/>
      <c r="L38" s="190">
        <f t="shared" si="14"/>
        <v>5</v>
      </c>
      <c r="M38" s="189">
        <f t="shared" si="4"/>
        <v>81.6785</v>
      </c>
      <c r="N38" s="189">
        <f t="shared" si="5"/>
        <v>99.99</v>
      </c>
      <c r="O38" s="189">
        <f t="shared" si="6"/>
        <v>81.6785</v>
      </c>
      <c r="P38" s="189">
        <f t="shared" si="7"/>
        <v>18.3115</v>
      </c>
      <c r="Q38" s="189">
        <f t="shared" si="8"/>
        <v>18.3115</v>
      </c>
      <c r="R38" s="195">
        <f t="shared" si="9"/>
        <v>0.183133313331333</v>
      </c>
      <c r="S38" s="196">
        <v>4.9995</v>
      </c>
      <c r="T38" s="196">
        <v>2.9997</v>
      </c>
      <c r="U38" s="196">
        <v>2.9997</v>
      </c>
      <c r="V38" s="196">
        <v>0.009999</v>
      </c>
      <c r="W38" s="196">
        <f t="shared" si="10"/>
        <v>7.30260099999999</v>
      </c>
      <c r="X38" s="197">
        <f t="shared" si="11"/>
        <v>0.0730333133313331</v>
      </c>
      <c r="Y38" s="204">
        <v>14400</v>
      </c>
      <c r="Z38" s="205" t="s">
        <v>89</v>
      </c>
      <c r="AA38" s="206">
        <f t="shared" si="12"/>
        <v>1439856</v>
      </c>
      <c r="AB38" s="205">
        <f t="shared" si="13"/>
        <v>105157.4544</v>
      </c>
      <c r="AC38" s="205"/>
    </row>
    <row r="39" s="78" customFormat="1" ht="15.15"/>
    <row r="40" s="78" customFormat="1"/>
    <row r="41" s="78" customFormat="1"/>
    <row r="42" s="78" customFormat="1"/>
    <row r="43" s="78" customFormat="1"/>
    <row r="44" s="78" customFormat="1" spans="4:4">
      <c r="D44" s="161"/>
    </row>
    <row r="45" s="78" customFormat="1"/>
    <row r="46" s="78" customFormat="1"/>
    <row r="47" s="78" customFormat="1"/>
    <row r="48" s="78" customFormat="1"/>
    <row r="49" s="78" customFormat="1"/>
    <row r="50" s="78" customFormat="1"/>
    <row r="51" s="78" customFormat="1"/>
    <row r="52" s="78" customFormat="1"/>
    <row r="53" s="78" customFormat="1"/>
  </sheetData>
  <mergeCells count="34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C28:G28"/>
    <mergeCell ref="H28:L28"/>
    <mergeCell ref="A30:B30"/>
    <mergeCell ref="C30:L30"/>
    <mergeCell ref="A31:B31"/>
    <mergeCell ref="C31:L31"/>
    <mergeCell ref="A32:A38"/>
    <mergeCell ref="A28:B29"/>
  </mergeCells>
  <hyperlinks>
    <hyperlink ref="C2" r:id="rId2" display="www.amazon.com/dp/B075CXMJB5" tooltip="http://www.amazon.com/dp/B075CXMJB5"/>
    <hyperlink ref="C3" r:id="rId3" display="WOPET" tooltip="https://www.amazon.com/WOPET/b/ref=bl_dp_s_web_13706944011?ie=UTF8&amp;node=13706944011&amp;field-lbr_brands_browse-bin=WOPET"/>
    <hyperlink ref="D3" r:id="rId4" display=" Pawple" tooltip="https://www.amazon.com/Pawple/b/ref=bl_dp_s_web_19562345011?ie=UTF8&amp;node=19562345011&amp;field-lbr_brands_browse-bin=Pawple"/>
    <hyperlink ref="E3" r:id="rId5" display=" Petnet" tooltip="https://www.amazon.com/Petnet/b/ref=bl_dp_s_web_3044864011?ie=UTF8&amp;node=3044864011&amp;field-lbr_brands_browse-bin=Petnet"/>
    <hyperlink ref="F3" r:id="rId6" display="Pet-U" tooltip="https://www.amazon.com/s/ref=bl_dp_s_web_0?ie=UTF8&amp;search-alias=aps&amp;field-keywords=Pet-U"/>
    <hyperlink ref="G3" r:id="rId3" display="WOPET" tooltip="https://www.amazon.com/WOPET/b/ref=bl_dp_s_web_13706944011?ie=UTF8&amp;node=13706944011&amp;field-lbr_brands_browse-bin=WOPET"/>
    <hyperlink ref="H3" r:id="rId7" display=" PETKIT" tooltip="https://www.amazon.com/PETKIT/b/ref=bl_dp_s_web_13109350011?ie=UTF8&amp;node=13109350011&amp;field-lbr_brands_browse-bin=PETKIT"/>
    <hyperlink ref="E2" r:id="rId8" display="www.amazon.com/dp/B07HPYQBTS"/>
    <hyperlink ref="C33" r:id="rId3" display="WOPET" tooltip="https://www.amazon.com/WOPET/b/ref=bl_dp_s_web_13706944011?ie=UTF8&amp;node=13706944011&amp;field-lbr_brands_browse-bin=WOPET"/>
    <hyperlink ref="C34" r:id="rId4" display=" Pawple" tooltip="https://www.amazon.com/Pawple/b/ref=bl_dp_s_web_19562345011?ie=UTF8&amp;node=19562345011&amp;field-lbr_brands_browse-bin=Pawple"/>
    <hyperlink ref="C35" r:id="rId5" display=" Petnet" tooltip="https://www.amazon.com/Petnet/b/ref=bl_dp_s_web_3044864011?ie=UTF8&amp;node=3044864011&amp;field-lbr_brands_browse-bin=Petnet"/>
    <hyperlink ref="C36" r:id="rId6" display="Pet-U" tooltip="https://www.amazon.com/s/ref=bl_dp_s_web_0?ie=UTF8&amp;search-alias=aps&amp;field-keywords=Pet-U"/>
    <hyperlink ref="C37" r:id="rId3" display="WOPET" tooltip="https://www.amazon.com/WOPET/b/ref=bl_dp_s_web_13706944011?ie=UTF8&amp;node=13706944011&amp;field-lbr_brands_browse-bin=WOPET"/>
    <hyperlink ref="C38" r:id="rId7" display=" PETKIT" tooltip="https://www.amazon.com/PETKIT/b/ref=bl_dp_s_web_13109350011?ie=UTF8&amp;node=13109350011&amp;field-lbr_brands_browse-bin=PETKIT"/>
    <hyperlink ref="D2" r:id="rId9" display="www.amazon.com/dp/B07XPJMD13"/>
    <hyperlink ref="F2" r:id="rId10" display="www.amazon.com/dp/B07S758ZDD"/>
    <hyperlink ref="G2" r:id="rId11" display="www.amazon.com/dp/B07N5BBFZY"/>
    <hyperlink ref="H2" r:id="rId12" display="www.amazon.com/dp/B07JFCML59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zoomScale="130" zoomScaleNormal="130" topLeftCell="U1" workbookViewId="0">
      <selection activeCell="AC3" sqref="AC3"/>
    </sheetView>
  </sheetViews>
  <sheetFormatPr defaultColWidth="8.88888888888889" defaultRowHeight="14.4"/>
  <sheetData>
    <row r="1" ht="79.95" spans="1:36">
      <c r="A1" s="38" t="s">
        <v>92</v>
      </c>
      <c r="B1" s="39" t="s">
        <v>93</v>
      </c>
      <c r="C1" s="39" t="s">
        <v>94</v>
      </c>
      <c r="D1" s="40" t="s">
        <v>95</v>
      </c>
      <c r="E1" s="40" t="s">
        <v>96</v>
      </c>
      <c r="F1" s="40" t="s">
        <v>97</v>
      </c>
      <c r="G1" s="40" t="s">
        <v>98</v>
      </c>
      <c r="H1" s="40" t="s">
        <v>99</v>
      </c>
      <c r="I1" s="40" t="s">
        <v>100</v>
      </c>
      <c r="J1" s="40" t="s">
        <v>101</v>
      </c>
      <c r="K1" s="48" t="s">
        <v>102</v>
      </c>
      <c r="L1" s="49" t="s">
        <v>103</v>
      </c>
      <c r="M1" s="50" t="s">
        <v>69</v>
      </c>
      <c r="N1" s="50" t="s">
        <v>104</v>
      </c>
      <c r="O1" s="50" t="s">
        <v>105</v>
      </c>
      <c r="P1" s="50" t="s">
        <v>106</v>
      </c>
      <c r="Q1" s="50" t="s">
        <v>107</v>
      </c>
      <c r="R1" s="50" t="s">
        <v>108</v>
      </c>
      <c r="S1" s="60" t="s">
        <v>109</v>
      </c>
      <c r="T1" s="60" t="s">
        <v>110</v>
      </c>
      <c r="U1" s="60" t="s">
        <v>111</v>
      </c>
      <c r="V1" s="60" t="s">
        <v>112</v>
      </c>
      <c r="W1" s="60" t="s">
        <v>113</v>
      </c>
      <c r="X1" s="60" t="s">
        <v>114</v>
      </c>
      <c r="Y1" s="50" t="s">
        <v>115</v>
      </c>
      <c r="Z1" s="60" t="s">
        <v>116</v>
      </c>
      <c r="AA1" s="50" t="s">
        <v>117</v>
      </c>
      <c r="AB1" s="63" t="s">
        <v>118</v>
      </c>
      <c r="AC1" s="60" t="s">
        <v>119</v>
      </c>
      <c r="AD1" s="64" t="s">
        <v>120</v>
      </c>
      <c r="AE1" s="60" t="s">
        <v>121</v>
      </c>
      <c r="AF1" s="63" t="s">
        <v>122</v>
      </c>
      <c r="AG1" s="60" t="s">
        <v>123</v>
      </c>
      <c r="AH1" s="64" t="s">
        <v>124</v>
      </c>
      <c r="AI1" s="64" t="s">
        <v>125</v>
      </c>
      <c r="AJ1" s="71" t="s">
        <v>61</v>
      </c>
    </row>
    <row r="2" spans="1:36">
      <c r="A2" s="41"/>
      <c r="B2" s="42"/>
      <c r="C2" s="43">
        <v>2024</v>
      </c>
      <c r="D2" s="43">
        <v>5</v>
      </c>
      <c r="E2" s="44">
        <f t="shared" ref="E2:E13" si="0">K2-L2-M2-N2-K2*0.15</f>
        <v>25.7986428571429</v>
      </c>
      <c r="F2" s="45">
        <f t="shared" ref="F2:F13" si="1">K2-E2</f>
        <v>59.1913571428571</v>
      </c>
      <c r="G2" s="46">
        <f t="shared" ref="G2:G13" si="2">F2/K2</f>
        <v>0.696450842956314</v>
      </c>
      <c r="H2" s="44">
        <f>(K2-M2-L2-K2*30%)*7</f>
        <v>290.451</v>
      </c>
      <c r="I2" s="46">
        <f>H2/7/K2</f>
        <v>0.488210377691493</v>
      </c>
      <c r="J2" s="46">
        <f t="shared" ref="J2:J13" si="3">N2/K2</f>
        <v>0.334661220647807</v>
      </c>
      <c r="K2" s="51">
        <v>84.99</v>
      </c>
      <c r="L2" s="52">
        <v>8</v>
      </c>
      <c r="M2" s="53">
        <v>10</v>
      </c>
      <c r="N2" s="54">
        <f t="shared" ref="N2:N13" si="4">199.1/7</f>
        <v>28.4428571428571</v>
      </c>
      <c r="O2" s="55">
        <v>90</v>
      </c>
      <c r="P2" s="56"/>
      <c r="Q2" s="55">
        <v>28</v>
      </c>
      <c r="R2" s="55">
        <v>7</v>
      </c>
      <c r="S2" s="53">
        <f t="shared" ref="S2:S13" si="5">N2*Q2</f>
        <v>796.399999999999</v>
      </c>
      <c r="T2" s="53">
        <f t="shared" ref="T2:T13" si="6">15%*K2*(O2-Q2)</f>
        <v>790.407</v>
      </c>
      <c r="U2" s="53">
        <f t="shared" ref="U2:U13" si="7">L2*(O2-Q2)</f>
        <v>496</v>
      </c>
      <c r="V2" s="53">
        <f t="shared" ref="V2:V13" si="8">15%*K2*Q2</f>
        <v>356.958</v>
      </c>
      <c r="W2" s="53">
        <f t="shared" ref="W2:W13" si="9">L2*Q2</f>
        <v>224</v>
      </c>
      <c r="X2" s="53">
        <f t="shared" ref="X2:X13" si="10">M2*O2</f>
        <v>900</v>
      </c>
      <c r="Y2" s="65">
        <f t="shared" ref="Y2:Y13" si="11">100*30</f>
        <v>3000</v>
      </c>
      <c r="Z2" s="65">
        <f t="shared" ref="Z2:Z13" si="12">(K2*O2-Y2-U2-T2-V2-W2)*0.01</f>
        <v>27.81735</v>
      </c>
      <c r="AA2" s="65">
        <v>200</v>
      </c>
      <c r="AB2" s="66">
        <f t="shared" ref="AB2:AB13" si="13">Q2*R2</f>
        <v>196</v>
      </c>
      <c r="AC2" s="65">
        <f t="shared" ref="AC2:AC13" si="14">K2*(O2-Q2)</f>
        <v>5269.38</v>
      </c>
      <c r="AD2" s="67">
        <f t="shared" ref="AD2:AD13" si="15">K2*O2</f>
        <v>7649.1</v>
      </c>
      <c r="AE2" s="68">
        <f t="shared" ref="AE2:AE13" si="16">N2*O2</f>
        <v>2559.85714285714</v>
      </c>
      <c r="AF2" s="55">
        <f t="shared" ref="AF2:AF13" si="17">(AC2-AE2-T2-U2-V2-W2-X2-Y2-AB2-Z2-AA2)</f>
        <v>-3481.65949285714</v>
      </c>
      <c r="AG2" s="72">
        <f t="shared" ref="AG2:AG13" si="18">AF2/AC2</f>
        <v>-0.660734183690897</v>
      </c>
      <c r="AH2" s="73">
        <f t="shared" ref="AH2:AH13" si="19">AD2-T2-U2-V2-W2-Y2-Z2</f>
        <v>2753.91765</v>
      </c>
      <c r="AI2" s="57">
        <f t="shared" ref="AI2:AI13" si="20">V2+W2+X2+AE2+(K2*Q2-V2-W2)+AB2+AA2</f>
        <v>6235.57714285714</v>
      </c>
      <c r="AJ2" s="74"/>
    </row>
    <row r="3" spans="1:36">
      <c r="A3" s="47"/>
      <c r="B3" s="47"/>
      <c r="C3" s="43">
        <v>2024</v>
      </c>
      <c r="D3" s="43">
        <v>6</v>
      </c>
      <c r="E3" s="44">
        <f t="shared" si="0"/>
        <v>27.8886428571429</v>
      </c>
      <c r="F3" s="45">
        <f t="shared" si="1"/>
        <v>62.1013571428571</v>
      </c>
      <c r="G3" s="46">
        <f t="shared" si="2"/>
        <v>0.690091756226882</v>
      </c>
      <c r="H3" s="44">
        <f t="shared" ref="H3:H13" si="21">(K3-M3-L3-K3*30%)*7</f>
        <v>299.831</v>
      </c>
      <c r="I3" s="46">
        <f t="shared" ref="I3:I13" si="22">H3/7/K3</f>
        <v>0.475975108345372</v>
      </c>
      <c r="J3" s="46">
        <f t="shared" si="3"/>
        <v>0.316066864572254</v>
      </c>
      <c r="K3" s="51">
        <v>89.99</v>
      </c>
      <c r="L3" s="52">
        <v>10.16</v>
      </c>
      <c r="M3" s="53">
        <v>10</v>
      </c>
      <c r="N3" s="54">
        <f t="shared" si="4"/>
        <v>28.4428571428571</v>
      </c>
      <c r="O3" s="57">
        <v>300</v>
      </c>
      <c r="P3" s="57"/>
      <c r="Q3" s="57">
        <v>30</v>
      </c>
      <c r="R3" s="55">
        <v>7</v>
      </c>
      <c r="S3" s="53">
        <f t="shared" si="5"/>
        <v>853.285714285713</v>
      </c>
      <c r="T3" s="53">
        <f t="shared" si="6"/>
        <v>3644.595</v>
      </c>
      <c r="U3" s="53">
        <f t="shared" si="7"/>
        <v>2743.2</v>
      </c>
      <c r="V3" s="53">
        <f t="shared" si="8"/>
        <v>404.955</v>
      </c>
      <c r="W3" s="53">
        <f t="shared" si="9"/>
        <v>304.8</v>
      </c>
      <c r="X3" s="53">
        <f t="shared" si="10"/>
        <v>3000</v>
      </c>
      <c r="Y3" s="65">
        <f t="shared" si="11"/>
        <v>3000</v>
      </c>
      <c r="Z3" s="65">
        <f t="shared" si="12"/>
        <v>168.9945</v>
      </c>
      <c r="AA3" s="65">
        <v>200</v>
      </c>
      <c r="AB3" s="66">
        <f t="shared" si="13"/>
        <v>210</v>
      </c>
      <c r="AC3" s="65">
        <f t="shared" si="14"/>
        <v>24297.3</v>
      </c>
      <c r="AD3" s="67">
        <f t="shared" si="15"/>
        <v>26997</v>
      </c>
      <c r="AE3" s="65">
        <f t="shared" si="16"/>
        <v>8532.85714285714</v>
      </c>
      <c r="AF3" s="65">
        <f t="shared" si="17"/>
        <v>2087.89835714286</v>
      </c>
      <c r="AG3" s="72">
        <f t="shared" si="18"/>
        <v>0.0859312910135225</v>
      </c>
      <c r="AH3" s="73">
        <f t="shared" si="19"/>
        <v>16730.4555</v>
      </c>
      <c r="AI3" s="57">
        <f t="shared" si="20"/>
        <v>14642.5571428571</v>
      </c>
      <c r="AJ3" s="47"/>
    </row>
    <row r="4" spans="1:36">
      <c r="A4" s="47"/>
      <c r="B4" s="47"/>
      <c r="C4" s="43">
        <v>2024</v>
      </c>
      <c r="D4" s="43">
        <v>7</v>
      </c>
      <c r="E4" s="44">
        <f t="shared" si="0"/>
        <v>32.1386428571429</v>
      </c>
      <c r="F4" s="45">
        <f t="shared" si="1"/>
        <v>62.8513571428571</v>
      </c>
      <c r="G4" s="46">
        <f t="shared" si="2"/>
        <v>0.661662881807108</v>
      </c>
      <c r="H4" s="44">
        <f t="shared" si="21"/>
        <v>324.331</v>
      </c>
      <c r="I4" s="46">
        <f t="shared" si="22"/>
        <v>0.487767133382461</v>
      </c>
      <c r="J4" s="46">
        <f t="shared" si="3"/>
        <v>0.299430015189569</v>
      </c>
      <c r="K4" s="51">
        <v>94.99</v>
      </c>
      <c r="L4" s="52">
        <v>10.16</v>
      </c>
      <c r="M4" s="53">
        <v>10</v>
      </c>
      <c r="N4" s="54">
        <f t="shared" si="4"/>
        <v>28.4428571428571</v>
      </c>
      <c r="O4" s="57">
        <v>500</v>
      </c>
      <c r="P4" s="57"/>
      <c r="Q4" s="57">
        <v>40</v>
      </c>
      <c r="R4" s="55">
        <v>7</v>
      </c>
      <c r="S4" s="53">
        <f t="shared" si="5"/>
        <v>1137.71428571428</v>
      </c>
      <c r="T4" s="53">
        <f t="shared" si="6"/>
        <v>6554.31</v>
      </c>
      <c r="U4" s="53">
        <f t="shared" si="7"/>
        <v>4673.6</v>
      </c>
      <c r="V4" s="53">
        <f t="shared" si="8"/>
        <v>569.94</v>
      </c>
      <c r="W4" s="53">
        <f t="shared" si="9"/>
        <v>406.4</v>
      </c>
      <c r="X4" s="53">
        <f t="shared" si="10"/>
        <v>5000</v>
      </c>
      <c r="Y4" s="65">
        <f t="shared" si="11"/>
        <v>3000</v>
      </c>
      <c r="Z4" s="65">
        <f t="shared" si="12"/>
        <v>322.9075</v>
      </c>
      <c r="AA4" s="65">
        <v>200</v>
      </c>
      <c r="AB4" s="66">
        <f t="shared" si="13"/>
        <v>280</v>
      </c>
      <c r="AC4" s="65">
        <f t="shared" si="14"/>
        <v>43695.4</v>
      </c>
      <c r="AD4" s="67">
        <f t="shared" si="15"/>
        <v>47495</v>
      </c>
      <c r="AE4" s="65">
        <f t="shared" si="16"/>
        <v>14221.4285714286</v>
      </c>
      <c r="AF4" s="65">
        <f t="shared" si="17"/>
        <v>8466.8139285714</v>
      </c>
      <c r="AG4" s="72">
        <f t="shared" si="18"/>
        <v>0.193768999221231</v>
      </c>
      <c r="AH4" s="73">
        <f t="shared" si="19"/>
        <v>31967.8425</v>
      </c>
      <c r="AI4" s="57">
        <f t="shared" si="20"/>
        <v>23501.0285714286</v>
      </c>
      <c r="AJ4" s="47"/>
    </row>
    <row r="5" spans="1:36">
      <c r="A5" s="47"/>
      <c r="B5" s="47"/>
      <c r="C5" s="43">
        <v>2024</v>
      </c>
      <c r="D5" s="43">
        <v>8</v>
      </c>
      <c r="E5" s="44">
        <f t="shared" si="0"/>
        <v>36.3886428571429</v>
      </c>
      <c r="F5" s="45">
        <f t="shared" si="1"/>
        <v>63.6013571428571</v>
      </c>
      <c r="G5" s="46">
        <f t="shared" si="2"/>
        <v>0.636077179146486</v>
      </c>
      <c r="H5" s="44">
        <f t="shared" si="21"/>
        <v>348.831</v>
      </c>
      <c r="I5" s="46">
        <f t="shared" si="22"/>
        <v>0.498379837983798</v>
      </c>
      <c r="J5" s="46">
        <f t="shared" si="3"/>
        <v>0.284457017130284</v>
      </c>
      <c r="K5" s="51">
        <v>99.99</v>
      </c>
      <c r="L5" s="52">
        <v>10.16</v>
      </c>
      <c r="M5" s="53">
        <v>10</v>
      </c>
      <c r="N5" s="54">
        <f t="shared" si="4"/>
        <v>28.4428571428571</v>
      </c>
      <c r="O5" s="57">
        <v>800</v>
      </c>
      <c r="P5" s="57"/>
      <c r="Q5" s="57">
        <v>50</v>
      </c>
      <c r="R5" s="55">
        <v>7</v>
      </c>
      <c r="S5" s="53">
        <f t="shared" si="5"/>
        <v>1422.14285714286</v>
      </c>
      <c r="T5" s="53">
        <f t="shared" si="6"/>
        <v>11248.875</v>
      </c>
      <c r="U5" s="53">
        <f t="shared" si="7"/>
        <v>7620</v>
      </c>
      <c r="V5" s="53">
        <f t="shared" si="8"/>
        <v>749.925</v>
      </c>
      <c r="W5" s="53">
        <f t="shared" si="9"/>
        <v>508</v>
      </c>
      <c r="X5" s="53">
        <f t="shared" si="10"/>
        <v>8000</v>
      </c>
      <c r="Y5" s="65">
        <f t="shared" si="11"/>
        <v>3000</v>
      </c>
      <c r="Z5" s="65">
        <f t="shared" si="12"/>
        <v>568.652</v>
      </c>
      <c r="AA5" s="65">
        <v>200</v>
      </c>
      <c r="AB5" s="66">
        <f t="shared" si="13"/>
        <v>350</v>
      </c>
      <c r="AC5" s="65">
        <f t="shared" si="14"/>
        <v>74992.5</v>
      </c>
      <c r="AD5" s="67">
        <f t="shared" si="15"/>
        <v>79992</v>
      </c>
      <c r="AE5" s="65">
        <f t="shared" si="16"/>
        <v>22754.2857142857</v>
      </c>
      <c r="AF5" s="65">
        <f t="shared" si="17"/>
        <v>19992.7622857143</v>
      </c>
      <c r="AG5" s="72">
        <f t="shared" si="18"/>
        <v>0.266596823491873</v>
      </c>
      <c r="AH5" s="73">
        <f t="shared" si="19"/>
        <v>56296.548</v>
      </c>
      <c r="AI5" s="57">
        <f t="shared" si="20"/>
        <v>36303.7857142857</v>
      </c>
      <c r="AJ5" s="47"/>
    </row>
    <row r="6" spans="1:36">
      <c r="A6" s="47"/>
      <c r="B6" s="47"/>
      <c r="C6" s="43">
        <v>2024</v>
      </c>
      <c r="D6" s="43">
        <v>9</v>
      </c>
      <c r="E6" s="44">
        <f t="shared" si="0"/>
        <v>36.3886428571429</v>
      </c>
      <c r="F6" s="45">
        <f t="shared" si="1"/>
        <v>63.6013571428571</v>
      </c>
      <c r="G6" s="46">
        <f t="shared" si="2"/>
        <v>0.636077179146486</v>
      </c>
      <c r="H6" s="44">
        <f t="shared" si="21"/>
        <v>348.831</v>
      </c>
      <c r="I6" s="46">
        <f t="shared" si="22"/>
        <v>0.498379837983798</v>
      </c>
      <c r="J6" s="46">
        <f t="shared" si="3"/>
        <v>0.284457017130284</v>
      </c>
      <c r="K6" s="51">
        <v>99.99</v>
      </c>
      <c r="L6" s="52">
        <v>10.16</v>
      </c>
      <c r="M6" s="53">
        <v>10</v>
      </c>
      <c r="N6" s="54">
        <f t="shared" si="4"/>
        <v>28.4428571428571</v>
      </c>
      <c r="O6" s="57">
        <v>800</v>
      </c>
      <c r="P6" s="57"/>
      <c r="Q6" s="57">
        <v>100</v>
      </c>
      <c r="R6" s="55">
        <v>7</v>
      </c>
      <c r="S6" s="53">
        <f t="shared" si="5"/>
        <v>2844.28571428571</v>
      </c>
      <c r="T6" s="53">
        <f t="shared" si="6"/>
        <v>10498.95</v>
      </c>
      <c r="U6" s="53">
        <f t="shared" si="7"/>
        <v>7112</v>
      </c>
      <c r="V6" s="53">
        <f t="shared" si="8"/>
        <v>1499.85</v>
      </c>
      <c r="W6" s="53">
        <f t="shared" si="9"/>
        <v>1016</v>
      </c>
      <c r="X6" s="53">
        <f t="shared" si="10"/>
        <v>8000</v>
      </c>
      <c r="Y6" s="65">
        <f t="shared" si="11"/>
        <v>3000</v>
      </c>
      <c r="Z6" s="65">
        <f t="shared" si="12"/>
        <v>568.652</v>
      </c>
      <c r="AA6" s="65">
        <v>200</v>
      </c>
      <c r="AB6" s="66">
        <f t="shared" si="13"/>
        <v>700</v>
      </c>
      <c r="AC6" s="65">
        <f t="shared" si="14"/>
        <v>69993</v>
      </c>
      <c r="AD6" s="67">
        <f t="shared" si="15"/>
        <v>79992</v>
      </c>
      <c r="AE6" s="65">
        <f t="shared" si="16"/>
        <v>22754.2857142857</v>
      </c>
      <c r="AF6" s="65">
        <f t="shared" si="17"/>
        <v>14643.2622857143</v>
      </c>
      <c r="AG6" s="72">
        <f t="shared" si="18"/>
        <v>0.209210382262716</v>
      </c>
      <c r="AH6" s="73">
        <f t="shared" si="19"/>
        <v>56296.548</v>
      </c>
      <c r="AI6" s="57">
        <f t="shared" si="20"/>
        <v>41653.2857142857</v>
      </c>
      <c r="AJ6" s="47"/>
    </row>
    <row r="7" spans="1:36">
      <c r="A7" s="47"/>
      <c r="B7" s="47"/>
      <c r="C7" s="43">
        <v>2024</v>
      </c>
      <c r="D7" s="43">
        <v>10</v>
      </c>
      <c r="E7" s="44">
        <f t="shared" si="0"/>
        <v>36.3886428571429</v>
      </c>
      <c r="F7" s="45">
        <f t="shared" si="1"/>
        <v>63.6013571428571</v>
      </c>
      <c r="G7" s="46">
        <f t="shared" si="2"/>
        <v>0.636077179146486</v>
      </c>
      <c r="H7" s="44">
        <f t="shared" si="21"/>
        <v>348.831</v>
      </c>
      <c r="I7" s="46">
        <f t="shared" si="22"/>
        <v>0.498379837983798</v>
      </c>
      <c r="J7" s="46">
        <f t="shared" si="3"/>
        <v>0.284457017130284</v>
      </c>
      <c r="K7" s="51">
        <v>99.99</v>
      </c>
      <c r="L7" s="52">
        <v>10.16</v>
      </c>
      <c r="M7" s="53">
        <v>10</v>
      </c>
      <c r="N7" s="54">
        <f t="shared" si="4"/>
        <v>28.4428571428571</v>
      </c>
      <c r="O7" s="57">
        <v>800</v>
      </c>
      <c r="P7" s="57"/>
      <c r="Q7" s="57">
        <v>100</v>
      </c>
      <c r="R7" s="55">
        <v>7</v>
      </c>
      <c r="S7" s="53">
        <f t="shared" si="5"/>
        <v>2844.28571428571</v>
      </c>
      <c r="T7" s="53">
        <f t="shared" si="6"/>
        <v>10498.95</v>
      </c>
      <c r="U7" s="53">
        <f t="shared" si="7"/>
        <v>7112</v>
      </c>
      <c r="V7" s="53">
        <f t="shared" si="8"/>
        <v>1499.85</v>
      </c>
      <c r="W7" s="53">
        <f t="shared" si="9"/>
        <v>1016</v>
      </c>
      <c r="X7" s="53">
        <f t="shared" si="10"/>
        <v>8000</v>
      </c>
      <c r="Y7" s="65">
        <f t="shared" si="11"/>
        <v>3000</v>
      </c>
      <c r="Z7" s="65">
        <f t="shared" si="12"/>
        <v>568.652</v>
      </c>
      <c r="AA7" s="65">
        <v>200</v>
      </c>
      <c r="AB7" s="66">
        <f t="shared" si="13"/>
        <v>700</v>
      </c>
      <c r="AC7" s="65">
        <f t="shared" si="14"/>
        <v>69993</v>
      </c>
      <c r="AD7" s="67">
        <f t="shared" si="15"/>
        <v>79992</v>
      </c>
      <c r="AE7" s="65">
        <f t="shared" si="16"/>
        <v>22754.2857142857</v>
      </c>
      <c r="AF7" s="65">
        <f t="shared" si="17"/>
        <v>14643.2622857143</v>
      </c>
      <c r="AG7" s="72">
        <f t="shared" si="18"/>
        <v>0.209210382262716</v>
      </c>
      <c r="AH7" s="73">
        <f t="shared" si="19"/>
        <v>56296.548</v>
      </c>
      <c r="AI7" s="57">
        <f t="shared" si="20"/>
        <v>41653.2857142857</v>
      </c>
      <c r="AJ7" s="47"/>
    </row>
    <row r="8" spans="1:36">
      <c r="A8" s="47"/>
      <c r="B8" s="47"/>
      <c r="C8" s="43">
        <v>2024</v>
      </c>
      <c r="D8" s="43">
        <v>11</v>
      </c>
      <c r="E8" s="44">
        <f t="shared" si="0"/>
        <v>36.3886428571429</v>
      </c>
      <c r="F8" s="45">
        <f t="shared" si="1"/>
        <v>63.6013571428571</v>
      </c>
      <c r="G8" s="46">
        <f t="shared" si="2"/>
        <v>0.636077179146486</v>
      </c>
      <c r="H8" s="44">
        <f t="shared" si="21"/>
        <v>348.831</v>
      </c>
      <c r="I8" s="46">
        <f t="shared" si="22"/>
        <v>0.498379837983798</v>
      </c>
      <c r="J8" s="46">
        <f t="shared" si="3"/>
        <v>0.284457017130284</v>
      </c>
      <c r="K8" s="51">
        <v>99.99</v>
      </c>
      <c r="L8" s="52">
        <v>10.16</v>
      </c>
      <c r="M8" s="53">
        <v>10</v>
      </c>
      <c r="N8" s="54">
        <f t="shared" si="4"/>
        <v>28.4428571428571</v>
      </c>
      <c r="O8" s="57">
        <v>800</v>
      </c>
      <c r="P8" s="57"/>
      <c r="Q8" s="57">
        <v>100</v>
      </c>
      <c r="R8" s="55">
        <v>7</v>
      </c>
      <c r="S8" s="53">
        <f t="shared" si="5"/>
        <v>2844.28571428571</v>
      </c>
      <c r="T8" s="53">
        <f t="shared" si="6"/>
        <v>10498.95</v>
      </c>
      <c r="U8" s="53">
        <f t="shared" si="7"/>
        <v>7112</v>
      </c>
      <c r="V8" s="53">
        <f t="shared" si="8"/>
        <v>1499.85</v>
      </c>
      <c r="W8" s="53">
        <f t="shared" si="9"/>
        <v>1016</v>
      </c>
      <c r="X8" s="53">
        <f t="shared" si="10"/>
        <v>8000</v>
      </c>
      <c r="Y8" s="65">
        <f t="shared" si="11"/>
        <v>3000</v>
      </c>
      <c r="Z8" s="65">
        <f t="shared" si="12"/>
        <v>568.652</v>
      </c>
      <c r="AA8" s="65">
        <v>200</v>
      </c>
      <c r="AB8" s="66">
        <f t="shared" si="13"/>
        <v>700</v>
      </c>
      <c r="AC8" s="65">
        <f t="shared" si="14"/>
        <v>69993</v>
      </c>
      <c r="AD8" s="67">
        <f t="shared" si="15"/>
        <v>79992</v>
      </c>
      <c r="AE8" s="65">
        <f t="shared" si="16"/>
        <v>22754.2857142857</v>
      </c>
      <c r="AF8" s="65">
        <f t="shared" si="17"/>
        <v>14643.2622857143</v>
      </c>
      <c r="AG8" s="72">
        <f t="shared" si="18"/>
        <v>0.209210382262716</v>
      </c>
      <c r="AH8" s="73">
        <f t="shared" si="19"/>
        <v>56296.548</v>
      </c>
      <c r="AI8" s="57">
        <f t="shared" si="20"/>
        <v>41653.2857142857</v>
      </c>
      <c r="AJ8" s="47"/>
    </row>
    <row r="9" spans="1:36">
      <c r="A9" s="47"/>
      <c r="B9" s="47"/>
      <c r="C9" s="43">
        <v>2024</v>
      </c>
      <c r="D9" s="43">
        <v>12</v>
      </c>
      <c r="E9" s="44">
        <f t="shared" si="0"/>
        <v>36.3886428571429</v>
      </c>
      <c r="F9" s="45">
        <f t="shared" si="1"/>
        <v>63.6013571428571</v>
      </c>
      <c r="G9" s="46">
        <f t="shared" si="2"/>
        <v>0.636077179146486</v>
      </c>
      <c r="H9" s="44">
        <f t="shared" si="21"/>
        <v>348.831</v>
      </c>
      <c r="I9" s="46">
        <f t="shared" si="22"/>
        <v>0.498379837983798</v>
      </c>
      <c r="J9" s="46">
        <f t="shared" si="3"/>
        <v>0.284457017130284</v>
      </c>
      <c r="K9" s="51">
        <v>99.99</v>
      </c>
      <c r="L9" s="52">
        <v>10.16</v>
      </c>
      <c r="M9" s="53">
        <v>10</v>
      </c>
      <c r="N9" s="54">
        <f t="shared" si="4"/>
        <v>28.4428571428571</v>
      </c>
      <c r="O9" s="57">
        <v>800</v>
      </c>
      <c r="P9" s="57"/>
      <c r="Q9" s="57">
        <v>100</v>
      </c>
      <c r="R9" s="55">
        <v>7</v>
      </c>
      <c r="S9" s="53">
        <f t="shared" si="5"/>
        <v>2844.28571428571</v>
      </c>
      <c r="T9" s="53">
        <f t="shared" si="6"/>
        <v>10498.95</v>
      </c>
      <c r="U9" s="53">
        <f t="shared" si="7"/>
        <v>7112</v>
      </c>
      <c r="V9" s="53">
        <f t="shared" si="8"/>
        <v>1499.85</v>
      </c>
      <c r="W9" s="53">
        <f t="shared" si="9"/>
        <v>1016</v>
      </c>
      <c r="X9" s="53">
        <f t="shared" si="10"/>
        <v>8000</v>
      </c>
      <c r="Y9" s="65">
        <f t="shared" si="11"/>
        <v>3000</v>
      </c>
      <c r="Z9" s="65">
        <f t="shared" si="12"/>
        <v>568.652</v>
      </c>
      <c r="AA9" s="65">
        <v>200</v>
      </c>
      <c r="AB9" s="66">
        <f t="shared" si="13"/>
        <v>700</v>
      </c>
      <c r="AC9" s="65">
        <f t="shared" si="14"/>
        <v>69993</v>
      </c>
      <c r="AD9" s="67">
        <f t="shared" si="15"/>
        <v>79992</v>
      </c>
      <c r="AE9" s="65">
        <f t="shared" si="16"/>
        <v>22754.2857142857</v>
      </c>
      <c r="AF9" s="65">
        <f t="shared" si="17"/>
        <v>14643.2622857143</v>
      </c>
      <c r="AG9" s="72">
        <f t="shared" si="18"/>
        <v>0.209210382262716</v>
      </c>
      <c r="AH9" s="73">
        <f t="shared" si="19"/>
        <v>56296.548</v>
      </c>
      <c r="AI9" s="57">
        <f t="shared" si="20"/>
        <v>41653.2857142857</v>
      </c>
      <c r="AJ9" s="47"/>
    </row>
    <row r="10" spans="1:36">
      <c r="A10" s="47"/>
      <c r="B10" s="47"/>
      <c r="C10" s="47">
        <v>2025</v>
      </c>
      <c r="D10" s="43">
        <v>1</v>
      </c>
      <c r="E10" s="44">
        <f t="shared" si="0"/>
        <v>36.3886428571429</v>
      </c>
      <c r="F10" s="45">
        <f t="shared" si="1"/>
        <v>63.6013571428571</v>
      </c>
      <c r="G10" s="46">
        <f t="shared" si="2"/>
        <v>0.636077179146486</v>
      </c>
      <c r="H10" s="44">
        <f t="shared" si="21"/>
        <v>348.831</v>
      </c>
      <c r="I10" s="46">
        <f t="shared" si="22"/>
        <v>0.498379837983798</v>
      </c>
      <c r="J10" s="46">
        <f t="shared" si="3"/>
        <v>0.284457017130284</v>
      </c>
      <c r="K10" s="51">
        <v>99.99</v>
      </c>
      <c r="L10" s="52">
        <v>10.16</v>
      </c>
      <c r="M10" s="53">
        <v>10</v>
      </c>
      <c r="N10" s="54">
        <f t="shared" si="4"/>
        <v>28.4428571428571</v>
      </c>
      <c r="O10" s="57">
        <v>800</v>
      </c>
      <c r="P10" s="57"/>
      <c r="Q10" s="57">
        <v>100</v>
      </c>
      <c r="R10" s="55">
        <v>7</v>
      </c>
      <c r="S10" s="53">
        <f t="shared" si="5"/>
        <v>2844.28571428571</v>
      </c>
      <c r="T10" s="53">
        <f t="shared" si="6"/>
        <v>10498.95</v>
      </c>
      <c r="U10" s="53">
        <f t="shared" si="7"/>
        <v>7112</v>
      </c>
      <c r="V10" s="53">
        <f t="shared" si="8"/>
        <v>1499.85</v>
      </c>
      <c r="W10" s="53">
        <f t="shared" si="9"/>
        <v>1016</v>
      </c>
      <c r="X10" s="53">
        <f t="shared" si="10"/>
        <v>8000</v>
      </c>
      <c r="Y10" s="65">
        <f t="shared" si="11"/>
        <v>3000</v>
      </c>
      <c r="Z10" s="65">
        <f t="shared" si="12"/>
        <v>568.652</v>
      </c>
      <c r="AA10" s="65">
        <v>200</v>
      </c>
      <c r="AB10" s="66">
        <f t="shared" si="13"/>
        <v>700</v>
      </c>
      <c r="AC10" s="65">
        <f t="shared" si="14"/>
        <v>69993</v>
      </c>
      <c r="AD10" s="67">
        <f t="shared" si="15"/>
        <v>79992</v>
      </c>
      <c r="AE10" s="65">
        <f t="shared" si="16"/>
        <v>22754.2857142857</v>
      </c>
      <c r="AF10" s="65">
        <f t="shared" si="17"/>
        <v>14643.2622857143</v>
      </c>
      <c r="AG10" s="72">
        <f t="shared" si="18"/>
        <v>0.209210382262716</v>
      </c>
      <c r="AH10" s="73">
        <f t="shared" si="19"/>
        <v>56296.548</v>
      </c>
      <c r="AI10" s="57">
        <f t="shared" si="20"/>
        <v>41653.2857142857</v>
      </c>
      <c r="AJ10" s="47"/>
    </row>
    <row r="11" spans="1:36">
      <c r="A11" s="47"/>
      <c r="B11" s="47"/>
      <c r="C11" s="47">
        <v>2025</v>
      </c>
      <c r="D11" s="43">
        <v>2</v>
      </c>
      <c r="E11" s="44">
        <f t="shared" si="0"/>
        <v>36.3886428571429</v>
      </c>
      <c r="F11" s="45">
        <f t="shared" si="1"/>
        <v>63.6013571428571</v>
      </c>
      <c r="G11" s="46">
        <f t="shared" si="2"/>
        <v>0.636077179146486</v>
      </c>
      <c r="H11" s="44">
        <f t="shared" si="21"/>
        <v>348.831</v>
      </c>
      <c r="I11" s="46">
        <f t="shared" si="22"/>
        <v>0.498379837983798</v>
      </c>
      <c r="J11" s="46">
        <f t="shared" si="3"/>
        <v>0.284457017130284</v>
      </c>
      <c r="K11" s="51">
        <v>99.99</v>
      </c>
      <c r="L11" s="52">
        <v>10.16</v>
      </c>
      <c r="M11" s="53">
        <v>10</v>
      </c>
      <c r="N11" s="54">
        <f t="shared" si="4"/>
        <v>28.4428571428571</v>
      </c>
      <c r="O11" s="57">
        <v>800</v>
      </c>
      <c r="P11" s="57"/>
      <c r="Q11" s="57">
        <v>100</v>
      </c>
      <c r="R11" s="55">
        <v>7</v>
      </c>
      <c r="S11" s="53">
        <f t="shared" si="5"/>
        <v>2844.28571428571</v>
      </c>
      <c r="T11" s="53">
        <f t="shared" si="6"/>
        <v>10498.95</v>
      </c>
      <c r="U11" s="53">
        <f t="shared" si="7"/>
        <v>7112</v>
      </c>
      <c r="V11" s="53">
        <f t="shared" si="8"/>
        <v>1499.85</v>
      </c>
      <c r="W11" s="53">
        <f t="shared" si="9"/>
        <v>1016</v>
      </c>
      <c r="X11" s="53">
        <f t="shared" si="10"/>
        <v>8000</v>
      </c>
      <c r="Y11" s="65">
        <f t="shared" si="11"/>
        <v>3000</v>
      </c>
      <c r="Z11" s="65">
        <f t="shared" si="12"/>
        <v>568.652</v>
      </c>
      <c r="AA11" s="65">
        <v>200</v>
      </c>
      <c r="AB11" s="66">
        <f t="shared" si="13"/>
        <v>700</v>
      </c>
      <c r="AC11" s="65">
        <f t="shared" si="14"/>
        <v>69993</v>
      </c>
      <c r="AD11" s="67">
        <f t="shared" si="15"/>
        <v>79992</v>
      </c>
      <c r="AE11" s="65">
        <f t="shared" si="16"/>
        <v>22754.2857142857</v>
      </c>
      <c r="AF11" s="65">
        <f t="shared" si="17"/>
        <v>14643.2622857143</v>
      </c>
      <c r="AG11" s="72">
        <f t="shared" si="18"/>
        <v>0.209210382262716</v>
      </c>
      <c r="AH11" s="73">
        <f t="shared" si="19"/>
        <v>56296.548</v>
      </c>
      <c r="AI11" s="57">
        <f t="shared" si="20"/>
        <v>41653.2857142857</v>
      </c>
      <c r="AJ11" s="47"/>
    </row>
    <row r="12" spans="1:36">
      <c r="A12" s="47"/>
      <c r="B12" s="47"/>
      <c r="C12" s="47">
        <v>2025</v>
      </c>
      <c r="D12" s="43">
        <v>3</v>
      </c>
      <c r="E12" s="44">
        <f t="shared" si="0"/>
        <v>36.3886428571429</v>
      </c>
      <c r="F12" s="45">
        <f t="shared" si="1"/>
        <v>63.6013571428571</v>
      </c>
      <c r="G12" s="46">
        <f t="shared" si="2"/>
        <v>0.636077179146486</v>
      </c>
      <c r="H12" s="44">
        <f t="shared" si="21"/>
        <v>348.831</v>
      </c>
      <c r="I12" s="46">
        <f t="shared" si="22"/>
        <v>0.498379837983798</v>
      </c>
      <c r="J12" s="46">
        <f t="shared" si="3"/>
        <v>0.284457017130284</v>
      </c>
      <c r="K12" s="51">
        <v>99.99</v>
      </c>
      <c r="L12" s="52">
        <v>10.16</v>
      </c>
      <c r="M12" s="53">
        <v>10</v>
      </c>
      <c r="N12" s="54">
        <f t="shared" si="4"/>
        <v>28.4428571428571</v>
      </c>
      <c r="O12" s="57">
        <v>800</v>
      </c>
      <c r="P12" s="57"/>
      <c r="Q12" s="57">
        <v>100</v>
      </c>
      <c r="R12" s="55">
        <v>7</v>
      </c>
      <c r="S12" s="53">
        <f t="shared" si="5"/>
        <v>2844.28571428571</v>
      </c>
      <c r="T12" s="53">
        <f t="shared" si="6"/>
        <v>10498.95</v>
      </c>
      <c r="U12" s="53">
        <f t="shared" si="7"/>
        <v>7112</v>
      </c>
      <c r="V12" s="53">
        <f t="shared" si="8"/>
        <v>1499.85</v>
      </c>
      <c r="W12" s="53">
        <f t="shared" si="9"/>
        <v>1016</v>
      </c>
      <c r="X12" s="53">
        <f t="shared" si="10"/>
        <v>8000</v>
      </c>
      <c r="Y12" s="65">
        <f t="shared" si="11"/>
        <v>3000</v>
      </c>
      <c r="Z12" s="65">
        <f t="shared" si="12"/>
        <v>568.652</v>
      </c>
      <c r="AA12" s="65">
        <v>200</v>
      </c>
      <c r="AB12" s="66">
        <f t="shared" si="13"/>
        <v>700</v>
      </c>
      <c r="AC12" s="65">
        <f t="shared" si="14"/>
        <v>69993</v>
      </c>
      <c r="AD12" s="67">
        <f t="shared" si="15"/>
        <v>79992</v>
      </c>
      <c r="AE12" s="65">
        <f t="shared" si="16"/>
        <v>22754.2857142857</v>
      </c>
      <c r="AF12" s="65">
        <f t="shared" si="17"/>
        <v>14643.2622857143</v>
      </c>
      <c r="AG12" s="72">
        <f t="shared" si="18"/>
        <v>0.209210382262716</v>
      </c>
      <c r="AH12" s="73">
        <f t="shared" si="19"/>
        <v>56296.548</v>
      </c>
      <c r="AI12" s="57">
        <f t="shared" si="20"/>
        <v>41653.2857142857</v>
      </c>
      <c r="AJ12" s="47"/>
    </row>
    <row r="13" spans="1:36">
      <c r="A13" s="47"/>
      <c r="B13" s="47"/>
      <c r="C13" s="47">
        <v>2025</v>
      </c>
      <c r="D13" s="43">
        <v>4</v>
      </c>
      <c r="E13" s="44">
        <f t="shared" si="0"/>
        <v>36.3886428571429</v>
      </c>
      <c r="F13" s="45">
        <f t="shared" si="1"/>
        <v>63.6013571428571</v>
      </c>
      <c r="G13" s="46">
        <f t="shared" si="2"/>
        <v>0.636077179146486</v>
      </c>
      <c r="H13" s="44">
        <f t="shared" si="21"/>
        <v>348.831</v>
      </c>
      <c r="I13" s="46">
        <f t="shared" si="22"/>
        <v>0.498379837983798</v>
      </c>
      <c r="J13" s="46">
        <f t="shared" si="3"/>
        <v>0.284457017130284</v>
      </c>
      <c r="K13" s="51">
        <v>99.99</v>
      </c>
      <c r="L13" s="58">
        <v>10.16</v>
      </c>
      <c r="M13" s="53">
        <v>10</v>
      </c>
      <c r="N13" s="54">
        <f t="shared" si="4"/>
        <v>28.4428571428571</v>
      </c>
      <c r="O13" s="59">
        <v>800</v>
      </c>
      <c r="P13" s="59"/>
      <c r="Q13" s="59">
        <v>100</v>
      </c>
      <c r="R13" s="61">
        <v>7</v>
      </c>
      <c r="S13" s="62">
        <f t="shared" si="5"/>
        <v>2844.28571428571</v>
      </c>
      <c r="T13" s="62">
        <f t="shared" si="6"/>
        <v>10498.95</v>
      </c>
      <c r="U13" s="62">
        <f t="shared" si="7"/>
        <v>7112</v>
      </c>
      <c r="V13" s="62">
        <f t="shared" si="8"/>
        <v>1499.85</v>
      </c>
      <c r="W13" s="62">
        <f t="shared" si="9"/>
        <v>1016</v>
      </c>
      <c r="X13" s="53">
        <f t="shared" si="10"/>
        <v>8000</v>
      </c>
      <c r="Y13" s="69">
        <f t="shared" si="11"/>
        <v>3000</v>
      </c>
      <c r="Z13" s="65">
        <f t="shared" si="12"/>
        <v>568.652</v>
      </c>
      <c r="AA13" s="65">
        <v>200</v>
      </c>
      <c r="AB13" s="70">
        <f t="shared" si="13"/>
        <v>700</v>
      </c>
      <c r="AC13" s="69">
        <f t="shared" si="14"/>
        <v>69993</v>
      </c>
      <c r="AD13" s="67">
        <f t="shared" si="15"/>
        <v>79992</v>
      </c>
      <c r="AE13" s="69">
        <f t="shared" si="16"/>
        <v>22754.2857142857</v>
      </c>
      <c r="AF13" s="65">
        <f t="shared" si="17"/>
        <v>14643.2622857143</v>
      </c>
      <c r="AG13" s="75">
        <f t="shared" si="18"/>
        <v>0.209210382262716</v>
      </c>
      <c r="AH13" s="73">
        <f t="shared" si="19"/>
        <v>56296.548</v>
      </c>
      <c r="AI13" s="57">
        <f t="shared" si="20"/>
        <v>41653.2857142857</v>
      </c>
      <c r="AJ13" s="4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topLeftCell="N3" workbookViewId="0">
      <selection activeCell="AB2" sqref="AB2"/>
    </sheetView>
  </sheetViews>
  <sheetFormatPr defaultColWidth="8.88888888888889" defaultRowHeight="14.4" outlineLevelRow="6"/>
  <sheetData>
    <row r="1" ht="60" spans="1:32">
      <c r="A1" s="1" t="s">
        <v>92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3" t="s">
        <v>131</v>
      </c>
      <c r="H1" s="4" t="s">
        <v>132</v>
      </c>
      <c r="I1" s="3" t="s">
        <v>133</v>
      </c>
      <c r="J1" s="3" t="s">
        <v>92</v>
      </c>
      <c r="K1" s="3" t="s">
        <v>134</v>
      </c>
      <c r="L1" s="3" t="s">
        <v>105</v>
      </c>
      <c r="M1" s="3" t="s">
        <v>106</v>
      </c>
      <c r="N1" s="3" t="s">
        <v>107</v>
      </c>
      <c r="O1" s="22" t="s">
        <v>135</v>
      </c>
      <c r="P1" s="22" t="s">
        <v>136</v>
      </c>
      <c r="Q1" s="22" t="s">
        <v>137</v>
      </c>
      <c r="R1" s="22" t="s">
        <v>138</v>
      </c>
      <c r="S1" s="22" t="s">
        <v>139</v>
      </c>
      <c r="T1" s="22" t="s">
        <v>140</v>
      </c>
      <c r="U1" s="22" t="s">
        <v>141</v>
      </c>
      <c r="V1" s="22" t="s">
        <v>142</v>
      </c>
      <c r="W1" s="27" t="s">
        <v>143</v>
      </c>
      <c r="X1" s="27" t="s">
        <v>144</v>
      </c>
      <c r="Y1" s="27" t="s">
        <v>145</v>
      </c>
      <c r="Z1" s="3" t="s">
        <v>146</v>
      </c>
      <c r="AA1" s="27" t="s">
        <v>122</v>
      </c>
      <c r="AB1" s="27" t="s">
        <v>147</v>
      </c>
      <c r="AC1" s="27" t="s">
        <v>123</v>
      </c>
      <c r="AD1" s="27" t="s">
        <v>148</v>
      </c>
      <c r="AE1" s="30" t="s">
        <v>149</v>
      </c>
      <c r="AF1" s="31" t="s">
        <v>150</v>
      </c>
    </row>
    <row r="2" spans="1:32">
      <c r="A2" s="5"/>
      <c r="B2" s="6"/>
      <c r="C2" s="7"/>
      <c r="D2" s="7"/>
      <c r="E2" s="6"/>
      <c r="F2" s="8">
        <v>30000</v>
      </c>
      <c r="G2" s="9"/>
      <c r="H2" s="6">
        <v>84.99</v>
      </c>
      <c r="I2" s="6"/>
      <c r="J2" s="10"/>
      <c r="K2" s="12">
        <v>139.1</v>
      </c>
      <c r="L2" s="23">
        <v>90</v>
      </c>
      <c r="M2" s="23"/>
      <c r="N2" s="23">
        <v>20</v>
      </c>
      <c r="O2" s="24">
        <f t="shared" ref="O2:O7" si="0">K2*N2</f>
        <v>2782</v>
      </c>
      <c r="P2" s="24">
        <f t="shared" ref="P2:P7" si="1">15%*H2*7*(L2-N2)</f>
        <v>6246.765</v>
      </c>
      <c r="Q2" s="24">
        <f t="shared" ref="Q2:Q7" si="2">9*7*(L2-N2)</f>
        <v>4410</v>
      </c>
      <c r="R2" s="24">
        <f>15%*H2*7*N2</f>
        <v>1784.79</v>
      </c>
      <c r="S2" s="24">
        <f t="shared" ref="S2:S7" si="3">9*7*N2</f>
        <v>1260</v>
      </c>
      <c r="T2" s="24">
        <f t="shared" ref="T2:T7" si="4">N2*49</f>
        <v>980</v>
      </c>
      <c r="U2" s="24">
        <f t="shared" ref="U2:U7" si="5">70*L2</f>
        <v>6300</v>
      </c>
      <c r="V2" s="28">
        <f>100*30*7</f>
        <v>21000</v>
      </c>
      <c r="W2" s="28">
        <f t="shared" ref="W2:W7" si="6">H2*L2*7</f>
        <v>53543.7</v>
      </c>
      <c r="X2" s="28">
        <f t="shared" ref="X2:X7" si="7">K2*L2</f>
        <v>12519</v>
      </c>
      <c r="Y2" s="32">
        <f t="shared" ref="Y2:Y7" si="8">(H2*L2*7-P2-Q2-R2-S2-V2)*0.01</f>
        <v>188.42145</v>
      </c>
      <c r="Z2" s="32">
        <f t="shared" ref="Z2:Z7" si="9">200*7</f>
        <v>1400</v>
      </c>
      <c r="AA2" s="28">
        <f t="shared" ref="AA2:AA7" si="10">AB2/7</f>
        <v>-2063.41092142857</v>
      </c>
      <c r="AB2" s="28">
        <f t="shared" ref="AB2:AB7" si="11">(H2*7*(L2-N2))-X2-P2-Q2-R2-S2-U2-V2-T2-Z2-Y2</f>
        <v>-14443.87645</v>
      </c>
      <c r="AC2" s="33">
        <f t="shared" ref="AC2:AC7" si="12">AA2*7/W2</f>
        <v>-0.269758654146053</v>
      </c>
      <c r="AD2" s="34">
        <f t="shared" ref="AD2:AD7" si="13">W2-S2-R2-Q2-P2-Y2-V2</f>
        <v>18653.72355</v>
      </c>
      <c r="AE2" s="7">
        <f t="shared" ref="AE2:AE7" si="14">X2+U2+T2+(N2*H2*7)+Z2</f>
        <v>33097.6</v>
      </c>
      <c r="AF2" s="35">
        <f t="shared" ref="AF2:AF7" si="15">AD2-AE2</f>
        <v>-14443.87645</v>
      </c>
    </row>
    <row r="3" spans="1:32">
      <c r="A3" s="5"/>
      <c r="B3" s="10"/>
      <c r="C3" s="11"/>
      <c r="D3" s="6"/>
      <c r="E3" s="12"/>
      <c r="F3" s="13"/>
      <c r="G3" s="14"/>
      <c r="H3" s="10">
        <v>89.99</v>
      </c>
      <c r="I3" s="10"/>
      <c r="J3" s="10"/>
      <c r="K3" s="12">
        <v>139.1</v>
      </c>
      <c r="L3" s="23">
        <v>200</v>
      </c>
      <c r="M3" s="23"/>
      <c r="N3" s="23">
        <v>30</v>
      </c>
      <c r="O3" s="24">
        <f t="shared" si="0"/>
        <v>4173</v>
      </c>
      <c r="P3" s="24">
        <f t="shared" si="1"/>
        <v>16063.215</v>
      </c>
      <c r="Q3" s="24">
        <f t="shared" si="2"/>
        <v>10710</v>
      </c>
      <c r="R3" s="24">
        <f t="shared" ref="R3:R7" si="16">15%*79.99*6.9*N3</f>
        <v>2483.6895</v>
      </c>
      <c r="S3" s="24">
        <f t="shared" si="3"/>
        <v>1890</v>
      </c>
      <c r="T3" s="24">
        <f t="shared" si="4"/>
        <v>1470</v>
      </c>
      <c r="U3" s="24">
        <f t="shared" si="5"/>
        <v>14000</v>
      </c>
      <c r="V3" s="28">
        <f>100*30*7</f>
        <v>21000</v>
      </c>
      <c r="W3" s="28">
        <f t="shared" si="6"/>
        <v>125986</v>
      </c>
      <c r="X3" s="28">
        <f t="shared" si="7"/>
        <v>27820</v>
      </c>
      <c r="Y3" s="32">
        <f t="shared" si="8"/>
        <v>738.390955</v>
      </c>
      <c r="Z3" s="32">
        <f t="shared" si="9"/>
        <v>1400</v>
      </c>
      <c r="AA3" s="28">
        <f t="shared" si="10"/>
        <v>1358.97207785714</v>
      </c>
      <c r="AB3" s="28">
        <f t="shared" si="11"/>
        <v>9512.80454499999</v>
      </c>
      <c r="AC3" s="33">
        <f t="shared" si="12"/>
        <v>0.0755068384185544</v>
      </c>
      <c r="AD3" s="34">
        <f t="shared" si="13"/>
        <v>73100.704545</v>
      </c>
      <c r="AE3" s="7">
        <f t="shared" si="14"/>
        <v>63587.9</v>
      </c>
      <c r="AF3" s="35">
        <f t="shared" si="15"/>
        <v>9512.80454500002</v>
      </c>
    </row>
    <row r="4" spans="1:32">
      <c r="A4" s="5"/>
      <c r="B4" s="10"/>
      <c r="C4" s="12"/>
      <c r="D4" s="12"/>
      <c r="E4" s="12"/>
      <c r="F4" s="8"/>
      <c r="G4" s="14"/>
      <c r="H4" s="15">
        <v>94.99</v>
      </c>
      <c r="I4" s="10"/>
      <c r="J4" s="10"/>
      <c r="K4" s="12">
        <v>139.1</v>
      </c>
      <c r="L4" s="7">
        <v>300</v>
      </c>
      <c r="M4" s="23"/>
      <c r="N4" s="7">
        <v>35</v>
      </c>
      <c r="O4" s="24">
        <f t="shared" si="0"/>
        <v>4868.5</v>
      </c>
      <c r="P4" s="24">
        <f t="shared" si="1"/>
        <v>26430.9675</v>
      </c>
      <c r="Q4" s="24">
        <f t="shared" si="2"/>
        <v>16695</v>
      </c>
      <c r="R4" s="24">
        <f t="shared" si="16"/>
        <v>2897.63775</v>
      </c>
      <c r="S4" s="24">
        <f t="shared" si="3"/>
        <v>2205</v>
      </c>
      <c r="T4" s="24">
        <f t="shared" si="4"/>
        <v>1715</v>
      </c>
      <c r="U4" s="24">
        <f t="shared" si="5"/>
        <v>21000</v>
      </c>
      <c r="V4" s="28">
        <f>100*30*7</f>
        <v>21000</v>
      </c>
      <c r="W4" s="28">
        <f t="shared" si="6"/>
        <v>199479</v>
      </c>
      <c r="X4" s="28">
        <f t="shared" si="7"/>
        <v>41730</v>
      </c>
      <c r="Y4" s="32">
        <f t="shared" si="8"/>
        <v>1302.5039475</v>
      </c>
      <c r="Z4" s="32">
        <f t="shared" si="9"/>
        <v>1400</v>
      </c>
      <c r="AA4" s="28">
        <f t="shared" si="10"/>
        <v>5690.04868607143</v>
      </c>
      <c r="AB4" s="28">
        <f t="shared" si="11"/>
        <v>39830.3408025</v>
      </c>
      <c r="AC4" s="33">
        <f t="shared" si="12"/>
        <v>0.199671849179613</v>
      </c>
      <c r="AD4" s="34">
        <f t="shared" si="13"/>
        <v>128947.8908025</v>
      </c>
      <c r="AE4" s="7">
        <f t="shared" si="14"/>
        <v>89117.55</v>
      </c>
      <c r="AF4" s="35">
        <f t="shared" si="15"/>
        <v>39830.3408025</v>
      </c>
    </row>
    <row r="5" spans="1:32">
      <c r="A5" s="5"/>
      <c r="B5" s="10"/>
      <c r="C5" s="12"/>
      <c r="D5" s="12"/>
      <c r="E5" s="12"/>
      <c r="F5" s="8"/>
      <c r="G5" s="14"/>
      <c r="H5" s="15">
        <v>99.99</v>
      </c>
      <c r="I5" s="10"/>
      <c r="J5" s="10"/>
      <c r="K5" s="12">
        <v>139.1</v>
      </c>
      <c r="L5" s="7">
        <v>500</v>
      </c>
      <c r="M5" s="23"/>
      <c r="N5" s="7">
        <v>36</v>
      </c>
      <c r="O5" s="24">
        <f t="shared" si="0"/>
        <v>5007.6</v>
      </c>
      <c r="P5" s="24">
        <f t="shared" si="1"/>
        <v>48715.128</v>
      </c>
      <c r="Q5" s="24">
        <f t="shared" si="2"/>
        <v>29232</v>
      </c>
      <c r="R5" s="24">
        <f t="shared" si="16"/>
        <v>2980.4274</v>
      </c>
      <c r="S5" s="24">
        <f t="shared" si="3"/>
        <v>2268</v>
      </c>
      <c r="T5" s="24">
        <f t="shared" si="4"/>
        <v>1764</v>
      </c>
      <c r="U5" s="24">
        <f t="shared" si="5"/>
        <v>35000</v>
      </c>
      <c r="V5" s="28">
        <f t="shared" ref="V5:V7" si="17">200*30*7</f>
        <v>42000</v>
      </c>
      <c r="W5" s="28">
        <f t="shared" si="6"/>
        <v>349965</v>
      </c>
      <c r="X5" s="28">
        <f t="shared" si="7"/>
        <v>69550</v>
      </c>
      <c r="Y5" s="32">
        <f t="shared" si="8"/>
        <v>2247.694446</v>
      </c>
      <c r="Z5" s="32">
        <f t="shared" si="9"/>
        <v>1400</v>
      </c>
      <c r="AA5" s="28">
        <f t="shared" si="10"/>
        <v>12801.4671648571</v>
      </c>
      <c r="AB5" s="28">
        <f t="shared" si="11"/>
        <v>89610.270154</v>
      </c>
      <c r="AC5" s="33">
        <f t="shared" si="12"/>
        <v>0.256054948792022</v>
      </c>
      <c r="AD5" s="34">
        <f t="shared" si="13"/>
        <v>222521.750154</v>
      </c>
      <c r="AE5" s="7">
        <f t="shared" si="14"/>
        <v>132911.48</v>
      </c>
      <c r="AF5" s="35">
        <f t="shared" si="15"/>
        <v>89610.2701540001</v>
      </c>
    </row>
    <row r="6" spans="1:32">
      <c r="A6" s="5"/>
      <c r="B6" s="10"/>
      <c r="C6" s="12"/>
      <c r="D6" s="12"/>
      <c r="E6" s="12"/>
      <c r="F6" s="8"/>
      <c r="G6" s="14"/>
      <c r="H6" s="15">
        <v>99.99</v>
      </c>
      <c r="I6" s="10"/>
      <c r="J6" s="10"/>
      <c r="K6" s="12">
        <v>139.1</v>
      </c>
      <c r="L6" s="7">
        <v>600</v>
      </c>
      <c r="M6" s="23"/>
      <c r="N6" s="7">
        <v>37</v>
      </c>
      <c r="O6" s="24">
        <f t="shared" si="0"/>
        <v>5146.7</v>
      </c>
      <c r="P6" s="24">
        <f t="shared" si="1"/>
        <v>59109.0885</v>
      </c>
      <c r="Q6" s="24">
        <f t="shared" si="2"/>
        <v>35469</v>
      </c>
      <c r="R6" s="24">
        <f t="shared" si="16"/>
        <v>3063.21705</v>
      </c>
      <c r="S6" s="24">
        <f t="shared" si="3"/>
        <v>2331</v>
      </c>
      <c r="T6" s="24">
        <f t="shared" si="4"/>
        <v>1813</v>
      </c>
      <c r="U6" s="24">
        <f t="shared" si="5"/>
        <v>42000</v>
      </c>
      <c r="V6" s="28">
        <f t="shared" si="17"/>
        <v>42000</v>
      </c>
      <c r="W6" s="28">
        <f t="shared" si="6"/>
        <v>419958</v>
      </c>
      <c r="X6" s="28">
        <f t="shared" si="7"/>
        <v>83460</v>
      </c>
      <c r="Y6" s="32">
        <f t="shared" si="8"/>
        <v>2779.8569445</v>
      </c>
      <c r="Z6" s="32">
        <f t="shared" si="9"/>
        <v>1400</v>
      </c>
      <c r="AA6" s="28">
        <f t="shared" si="10"/>
        <v>17233.6325007857</v>
      </c>
      <c r="AB6" s="28">
        <f t="shared" si="11"/>
        <v>120635.4275055</v>
      </c>
      <c r="AC6" s="33">
        <f t="shared" si="12"/>
        <v>0.287255933939822</v>
      </c>
      <c r="AD6" s="34">
        <f t="shared" si="13"/>
        <v>275205.8375055</v>
      </c>
      <c r="AE6" s="7">
        <f t="shared" si="14"/>
        <v>154570.41</v>
      </c>
      <c r="AF6" s="35">
        <f t="shared" si="15"/>
        <v>120635.4275055</v>
      </c>
    </row>
    <row r="7" spans="1:32">
      <c r="A7" s="16"/>
      <c r="B7" s="17"/>
      <c r="C7" s="18"/>
      <c r="D7" s="18"/>
      <c r="E7" s="18"/>
      <c r="F7" s="19"/>
      <c r="G7" s="20"/>
      <c r="H7" s="21">
        <v>99.99</v>
      </c>
      <c r="I7" s="17"/>
      <c r="J7" s="17"/>
      <c r="K7" s="12">
        <v>139.1</v>
      </c>
      <c r="L7" s="25">
        <v>600</v>
      </c>
      <c r="M7" s="21"/>
      <c r="N7" s="25">
        <v>40</v>
      </c>
      <c r="O7" s="26">
        <f t="shared" si="0"/>
        <v>5564</v>
      </c>
      <c r="P7" s="26">
        <f t="shared" si="1"/>
        <v>58794.12</v>
      </c>
      <c r="Q7" s="26">
        <f t="shared" si="2"/>
        <v>35280</v>
      </c>
      <c r="R7" s="26">
        <f t="shared" si="16"/>
        <v>3311.586</v>
      </c>
      <c r="S7" s="26">
        <f t="shared" si="3"/>
        <v>2520</v>
      </c>
      <c r="T7" s="26">
        <f t="shared" si="4"/>
        <v>1960</v>
      </c>
      <c r="U7" s="24">
        <f t="shared" si="5"/>
        <v>42000</v>
      </c>
      <c r="V7" s="29">
        <f t="shared" si="17"/>
        <v>42000</v>
      </c>
      <c r="W7" s="29">
        <f t="shared" si="6"/>
        <v>419958</v>
      </c>
      <c r="X7" s="29">
        <f t="shared" si="7"/>
        <v>83460</v>
      </c>
      <c r="Y7" s="36">
        <f t="shared" si="8"/>
        <v>2780.52294</v>
      </c>
      <c r="Z7" s="32">
        <f t="shared" si="9"/>
        <v>1400</v>
      </c>
      <c r="AA7" s="29">
        <f t="shared" si="10"/>
        <v>16922.08158</v>
      </c>
      <c r="AB7" s="28">
        <f t="shared" si="11"/>
        <v>118454.57106</v>
      </c>
      <c r="AC7" s="37">
        <f t="shared" si="12"/>
        <v>0.282062899289929</v>
      </c>
      <c r="AD7" s="34">
        <f t="shared" si="13"/>
        <v>275271.77106</v>
      </c>
      <c r="AE7" s="7">
        <f t="shared" si="14"/>
        <v>156817.2</v>
      </c>
      <c r="AF7" s="35">
        <f t="shared" si="15"/>
        <v>118454.57106</v>
      </c>
    </row>
  </sheetData>
  <mergeCells count="8">
    <mergeCell ref="A2:A7"/>
    <mergeCell ref="B4:B7"/>
    <mergeCell ref="C4:C7"/>
    <mergeCell ref="D4:D7"/>
    <mergeCell ref="E4:E7"/>
    <mergeCell ref="F4:F7"/>
    <mergeCell ref="I4:I7"/>
    <mergeCell ref="J2:J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产品调研</vt:lpstr>
      <vt:lpstr>产品成本推算</vt:lpstr>
      <vt:lpstr>推广计划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WPS_1664800949</cp:lastModifiedBy>
  <dcterms:created xsi:type="dcterms:W3CDTF">2019-11-29T15:01:00Z</dcterms:created>
  <dcterms:modified xsi:type="dcterms:W3CDTF">2025-04-01T03:23:53Z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5F6E7E16D1DE4AC58A95B02317874BFE</vt:lpwstr>
  </property>
</Properties>
</file>